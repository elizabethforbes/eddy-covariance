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ew_York\EF0\"/>
    </mc:Choice>
  </mc:AlternateContent>
  <xr:revisionPtr revIDLastSave="0" documentId="13_ncr:1_{6074D6A1-DBAD-4B03-AEA8-21F7330E727D}" xr6:coauthVersionLast="47" xr6:coauthVersionMax="47" xr10:uidLastSave="{00000000-0000-0000-0000-000000000000}"/>
  <bookViews>
    <workbookView xWindow="-80" yWindow="-80" windowWidth="19360" windowHeight="12240" xr2:uid="{A869123F-F56D-4C74-981C-CAC7891584D3}"/>
  </bookViews>
  <sheets>
    <sheet name="Data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I57" i="1"/>
  <c r="H56" i="1"/>
  <c r="I56" i="1"/>
  <c r="H55" i="1"/>
  <c r="I55" i="1"/>
  <c r="H54" i="1"/>
  <c r="I54" i="1"/>
  <c r="H53" i="1"/>
  <c r="I53" i="1"/>
  <c r="H52" i="1"/>
  <c r="I52" i="1"/>
  <c r="H51" i="1"/>
  <c r="I51" i="1"/>
  <c r="H50" i="1"/>
  <c r="I50" i="1"/>
  <c r="H49" i="1"/>
  <c r="I49" i="1"/>
  <c r="H48" i="1"/>
  <c r="I48" i="1"/>
  <c r="H47" i="1"/>
  <c r="I47" i="1"/>
  <c r="H46" i="1"/>
  <c r="I46" i="1"/>
  <c r="H42" i="1"/>
  <c r="I42" i="1"/>
  <c r="H41" i="1"/>
  <c r="I41" i="1"/>
  <c r="H40" i="1"/>
  <c r="I40" i="1"/>
  <c r="H39" i="1"/>
  <c r="I39" i="1"/>
  <c r="H38" i="1"/>
  <c r="I38" i="1"/>
  <c r="H37" i="1"/>
  <c r="I37" i="1"/>
  <c r="H36" i="1"/>
  <c r="I36" i="1"/>
  <c r="H35" i="1"/>
  <c r="I35" i="1"/>
  <c r="H34" i="1"/>
  <c r="I34" i="1"/>
  <c r="C47" i="1"/>
  <c r="C48" i="1"/>
  <c r="C49" i="1"/>
  <c r="C50" i="1"/>
  <c r="C51" i="1"/>
  <c r="C52" i="1"/>
  <c r="C53" i="1"/>
  <c r="C54" i="1"/>
  <c r="C55" i="1"/>
  <c r="C56" i="1"/>
  <c r="C57" i="1"/>
  <c r="C46" i="1"/>
  <c r="C35" i="1"/>
  <c r="C36" i="1"/>
  <c r="C37" i="1"/>
  <c r="C38" i="1"/>
  <c r="C39" i="1"/>
  <c r="C40" i="1"/>
  <c r="C41" i="1"/>
  <c r="C42" i="1"/>
  <c r="C34" i="1"/>
  <c r="C61" i="1"/>
  <c r="C62" i="1"/>
  <c r="C60" i="1"/>
  <c r="D62" i="1"/>
  <c r="D61" i="1"/>
  <c r="D60" i="1"/>
  <c r="D57" i="1"/>
  <c r="D56" i="1"/>
  <c r="D55" i="1"/>
  <c r="D54" i="1"/>
  <c r="D53" i="1"/>
  <c r="D52" i="1"/>
  <c r="D51" i="1"/>
  <c r="D50" i="1"/>
  <c r="D49" i="1"/>
  <c r="D48" i="1"/>
  <c r="D47" i="1"/>
  <c r="D46" i="1"/>
  <c r="D42" i="1"/>
  <c r="D41" i="1"/>
  <c r="D40" i="1"/>
  <c r="D39" i="1"/>
  <c r="D38" i="1"/>
  <c r="D37" i="1"/>
  <c r="D36" i="1"/>
  <c r="D35" i="1"/>
  <c r="D34" i="1"/>
  <c r="H24" i="1"/>
  <c r="J24" i="1"/>
  <c r="I24" i="1"/>
  <c r="F24" i="1"/>
  <c r="F21" i="1"/>
  <c r="F22" i="1"/>
  <c r="F23" i="1"/>
  <c r="G24" i="1"/>
  <c r="H23" i="1"/>
  <c r="J23" i="1"/>
  <c r="I23" i="1"/>
  <c r="G23" i="1"/>
  <c r="H22" i="1"/>
  <c r="J22" i="1"/>
  <c r="I22" i="1"/>
  <c r="G22" i="1"/>
  <c r="H21" i="1"/>
  <c r="J21" i="1"/>
  <c r="I21" i="1"/>
  <c r="G21" i="1"/>
  <c r="H20" i="1"/>
  <c r="J20" i="1"/>
  <c r="I20" i="1"/>
  <c r="F20" i="1"/>
  <c r="F18" i="1"/>
  <c r="F19" i="1"/>
  <c r="G20" i="1"/>
  <c r="H19" i="1"/>
  <c r="J19" i="1"/>
  <c r="I19" i="1"/>
  <c r="G19" i="1"/>
  <c r="H18" i="1"/>
  <c r="J18" i="1"/>
  <c r="I18" i="1"/>
  <c r="G18" i="1"/>
  <c r="H17" i="1"/>
  <c r="J17" i="1"/>
  <c r="I17" i="1"/>
  <c r="F17" i="1"/>
  <c r="H16" i="1"/>
  <c r="J16" i="1"/>
  <c r="I16" i="1"/>
  <c r="F16" i="1"/>
  <c r="H15" i="1"/>
  <c r="J15" i="1"/>
  <c r="I15" i="1"/>
  <c r="F15" i="1"/>
  <c r="D23" i="1"/>
  <c r="C12" i="1"/>
  <c r="H14" i="1"/>
  <c r="H13" i="1"/>
  <c r="H12" i="1"/>
  <c r="J12" i="1"/>
  <c r="I12" i="1"/>
  <c r="F12" i="1"/>
  <c r="F9" i="1"/>
  <c r="F10" i="1"/>
  <c r="F11" i="1"/>
  <c r="G12" i="1"/>
  <c r="H11" i="1"/>
  <c r="J11" i="1"/>
  <c r="I11" i="1"/>
  <c r="G11" i="1"/>
  <c r="H10" i="1"/>
  <c r="J10" i="1"/>
  <c r="I10" i="1"/>
  <c r="G10" i="1"/>
  <c r="H9" i="1"/>
  <c r="J9" i="1"/>
  <c r="I9" i="1"/>
  <c r="G9" i="1"/>
  <c r="H8" i="1"/>
  <c r="J8" i="1"/>
  <c r="I8" i="1"/>
  <c r="F8" i="1"/>
  <c r="F6" i="1"/>
  <c r="F7" i="1"/>
  <c r="G8" i="1"/>
  <c r="H7" i="1"/>
  <c r="J7" i="1"/>
  <c r="I7" i="1"/>
  <c r="G7" i="1"/>
  <c r="H6" i="1"/>
  <c r="J6" i="1"/>
  <c r="I6" i="1"/>
  <c r="G6" i="1"/>
  <c r="H5" i="1"/>
  <c r="J5" i="1"/>
  <c r="I5" i="1"/>
  <c r="F5" i="1"/>
  <c r="H4" i="1"/>
  <c r="J4" i="1"/>
  <c r="I4" i="1"/>
  <c r="F4" i="1"/>
  <c r="H3" i="1"/>
  <c r="J3" i="1"/>
  <c r="I3" i="1"/>
  <c r="F3" i="1"/>
</calcChain>
</file>

<file path=xl/sharedStrings.xml><?xml version="1.0" encoding="utf-8"?>
<sst xmlns="http://schemas.openxmlformats.org/spreadsheetml/2006/main" count="106" uniqueCount="71">
  <si>
    <t>Weights from full soil bags (g)  / (10cm)</t>
  </si>
  <si>
    <t>Core</t>
  </si>
  <si>
    <t>Cores &lt; 10 cm long</t>
  </si>
  <si>
    <t>N</t>
  </si>
  <si>
    <t>E</t>
  </si>
  <si>
    <t>W</t>
  </si>
  <si>
    <t>Average weight (g)</t>
  </si>
  <si>
    <t>Proportion of 5 gram (for H3 or H4)</t>
  </si>
  <si>
    <t>Median (g)</t>
  </si>
  <si>
    <t>Median +10%</t>
  </si>
  <si>
    <t>Median -10%</t>
  </si>
  <si>
    <t>21335.EF02.18</t>
  </si>
  <si>
    <t>N.S10 is 1 cm, full soil bag true weight is 35 g</t>
  </si>
  <si>
    <t>21335.EF02.18.S1</t>
  </si>
  <si>
    <t>21335.EF02.18.S2</t>
  </si>
  <si>
    <t>21335.EF02.18.S3</t>
  </si>
  <si>
    <t>21335.EF02.18.S4</t>
  </si>
  <si>
    <t>21335.EF02.18.S5</t>
  </si>
  <si>
    <t>21335.EF02.18.S6</t>
  </si>
  <si>
    <t>21335.EF02.18.S7</t>
  </si>
  <si>
    <t>21335.EF02.18.S8</t>
  </si>
  <si>
    <t>21335.EF02.18.S10</t>
  </si>
  <si>
    <t>21335.EF02.18.S9</t>
  </si>
  <si>
    <t>21335.EF02.18.S11</t>
  </si>
  <si>
    <t>21335.EF02.18.S12</t>
  </si>
  <si>
    <t>E.S9 is 10 cm; W.S9 is 10 cm</t>
  </si>
  <si>
    <t>21335.EF02.19.S1</t>
  </si>
  <si>
    <t>21335.EF02.19.S2</t>
  </si>
  <si>
    <t>21335.EF02.19.S3</t>
  </si>
  <si>
    <t>21335.EF02.19.S4</t>
  </si>
  <si>
    <t>21335.EF02.19.S5</t>
  </si>
  <si>
    <t>21335.EF02.19.S6</t>
  </si>
  <si>
    <t>21335.EF02.19.S7</t>
  </si>
  <si>
    <t>21335.EF02.19.S8</t>
  </si>
  <si>
    <t>21335.EF02.19.S9</t>
  </si>
  <si>
    <t>21335.EF02.19.S10</t>
  </si>
  <si>
    <t>21335.EF02.19.S11</t>
  </si>
  <si>
    <t>21335.EF02.19.S12</t>
  </si>
  <si>
    <t>N.S12 is 9 cm</t>
  </si>
  <si>
    <t>E.S9 is 4.5 cm, full soil bag true weight is 126 g</t>
  </si>
  <si>
    <t>Full bag weights (g)</t>
  </si>
  <si>
    <t>True proportion 
(across all)*10 g</t>
  </si>
  <si>
    <t>Round 1 place</t>
  </si>
  <si>
    <t>N(S4)</t>
  </si>
  <si>
    <t>E(S4)</t>
  </si>
  <si>
    <t>W(S4)</t>
  </si>
  <si>
    <t>N(S5)</t>
  </si>
  <si>
    <t>E(S5)</t>
  </si>
  <si>
    <t>W(S5)</t>
  </si>
  <si>
    <t>N(S6)</t>
  </si>
  <si>
    <t>E(S6)</t>
  </si>
  <si>
    <t>W(S6)</t>
  </si>
  <si>
    <t>N(S7)</t>
  </si>
  <si>
    <t>E(S7)</t>
  </si>
  <si>
    <t>W(S7)</t>
  </si>
  <si>
    <t>N(S8)</t>
  </si>
  <si>
    <t>E(S8)</t>
  </si>
  <si>
    <t>W(S8)</t>
  </si>
  <si>
    <t>N(S9)</t>
  </si>
  <si>
    <t>E(S9)</t>
  </si>
  <si>
    <t>W(S9)</t>
  </si>
  <si>
    <t>N(S10)</t>
  </si>
  <si>
    <t>E(S10)</t>
  </si>
  <si>
    <t>W(S10)</t>
  </si>
  <si>
    <t>S1 &amp; S3 all proportionally aligned - take 3 g from each section</t>
  </si>
  <si>
    <t>True proportion</t>
  </si>
  <si>
    <t>True prop*10 g</t>
  </si>
  <si>
    <t>Sum:</t>
  </si>
  <si>
    <t>S2 take: N = 2.9 g, E = 3.8 g, W = 3.4 g</t>
  </si>
  <si>
    <t>21335.EF02.19</t>
  </si>
  <si>
    <t>S2 take: N = 3.6 g, E = 3.3 g, W = 3.2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</si>
</sst>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2" xfId="0" applyBorder="1"/>
    <xf numFmtId="0" fontId="0" fillId="5" borderId="0" xfId="0" applyFill="1"/>
    <xf numFmtId="0" fontId="1" fillId="4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wrapText="1"/>
    </xf>
    <xf numFmtId="0" fontId="0" fillId="0" borderId="9" xfId="0" applyBorder="1"/>
    <xf numFmtId="165" fontId="0" fillId="0" borderId="7" xfId="0" applyNumberFormat="1" applyBorder="1"/>
    <xf numFmtId="164" fontId="0" fillId="0" borderId="2" xfId="0" applyNumberFormat="1" applyBorder="1"/>
    <xf numFmtId="165" fontId="0" fillId="0" borderId="9" xfId="0" applyNumberFormat="1" applyBorder="1"/>
    <xf numFmtId="0" fontId="0" fillId="0" borderId="10" xfId="0" applyBorder="1"/>
    <xf numFmtId="164" fontId="0" fillId="0" borderId="1" xfId="0" applyNumberFormat="1" applyBorder="1"/>
    <xf numFmtId="165" fontId="0" fillId="0" borderId="11" xfId="0" applyNumberFormat="1" applyBorder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9A10-8264-4E04-8503-97DB7B0CB920}">
  <dimension ref="A1:J63"/>
  <sheetViews>
    <sheetView tabSelected="1" topLeftCell="A20" workbookViewId="0">
      <selection activeCell="G35" sqref="G35"/>
    </sheetView>
  </sheetViews>
  <sheetFormatPr defaultRowHeight="14.5" x14ac:dyDescent="0.35"/>
  <cols>
    <col min="1" max="1" width="16.36328125" bestFit="1" customWidth="1"/>
    <col min="2" max="2" width="40.453125" bestFit="1" customWidth="1"/>
    <col min="3" max="3" width="14.453125" bestFit="1" customWidth="1"/>
    <col min="4" max="4" width="13.54296875" bestFit="1" customWidth="1"/>
    <col min="6" max="6" width="17.1796875" bestFit="1" customWidth="1"/>
    <col min="7" max="7" width="30.54296875" bestFit="1" customWidth="1"/>
    <col min="8" max="8" width="14.453125" bestFit="1" customWidth="1"/>
    <col min="9" max="9" width="12.81640625" bestFit="1" customWidth="1"/>
    <col min="10" max="10" width="11.81640625" bestFit="1" customWidth="1"/>
  </cols>
  <sheetData>
    <row r="1" spans="1:10" x14ac:dyDescent="0.35">
      <c r="C1" s="25" t="s">
        <v>0</v>
      </c>
      <c r="D1" s="25"/>
      <c r="E1" s="25"/>
      <c r="F1" s="25"/>
      <c r="G1" s="25"/>
      <c r="H1" s="25"/>
      <c r="I1" s="1"/>
      <c r="J1" s="1"/>
    </row>
    <row r="2" spans="1:10" x14ac:dyDescent="0.3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</row>
    <row r="3" spans="1:10" x14ac:dyDescent="0.35">
      <c r="A3" t="s">
        <v>13</v>
      </c>
      <c r="C3">
        <v>200</v>
      </c>
      <c r="D3">
        <v>184</v>
      </c>
      <c r="E3">
        <v>210</v>
      </c>
      <c r="F3" s="2">
        <f>AVERAGE(C3:E3)</f>
        <v>198</v>
      </c>
      <c r="G3" s="2"/>
      <c r="H3" s="3">
        <f t="shared" ref="H3:H14" si="0" xml:space="preserve"> MEDIAN(C3:E3)</f>
        <v>200</v>
      </c>
      <c r="I3">
        <f xml:space="preserve"> (H3*0.1)+H3</f>
        <v>220</v>
      </c>
      <c r="J3">
        <f xml:space="preserve"> (H3*-0.1)+H3</f>
        <v>180</v>
      </c>
    </row>
    <row r="4" spans="1:10" x14ac:dyDescent="0.35">
      <c r="A4" t="s">
        <v>14</v>
      </c>
      <c r="C4" s="5">
        <v>172</v>
      </c>
      <c r="D4" s="5">
        <v>225</v>
      </c>
      <c r="E4">
        <v>203</v>
      </c>
      <c r="F4" s="2">
        <f t="shared" ref="F4:F12" si="1">AVERAGE(C4:E4)</f>
        <v>200</v>
      </c>
      <c r="G4" s="2"/>
      <c r="H4">
        <f t="shared" si="0"/>
        <v>203</v>
      </c>
      <c r="I4">
        <f t="shared" ref="I4:I12" si="2" xml:space="preserve"> (H4*0.1)+H4</f>
        <v>223.3</v>
      </c>
      <c r="J4">
        <f t="shared" ref="J4:J12" si="3" xml:space="preserve"> (H4*-0.1)+H4</f>
        <v>182.7</v>
      </c>
    </row>
    <row r="5" spans="1:10" x14ac:dyDescent="0.35">
      <c r="A5" t="s">
        <v>15</v>
      </c>
      <c r="C5">
        <v>202</v>
      </c>
      <c r="D5">
        <v>182</v>
      </c>
      <c r="E5">
        <v>215</v>
      </c>
      <c r="F5" s="2">
        <f t="shared" si="1"/>
        <v>199.66666666666666</v>
      </c>
      <c r="G5" s="2"/>
      <c r="H5" s="3">
        <f t="shared" si="0"/>
        <v>202</v>
      </c>
      <c r="I5">
        <f t="shared" si="2"/>
        <v>222.2</v>
      </c>
      <c r="J5">
        <f t="shared" si="3"/>
        <v>181.8</v>
      </c>
    </row>
    <row r="6" spans="1:10" x14ac:dyDescent="0.35">
      <c r="A6" t="s">
        <v>16</v>
      </c>
      <c r="C6">
        <v>168</v>
      </c>
      <c r="D6">
        <v>174</v>
      </c>
      <c r="E6" s="5">
        <v>201</v>
      </c>
      <c r="F6" s="2">
        <f t="shared" si="1"/>
        <v>181</v>
      </c>
      <c r="G6" s="4">
        <f>F6/SUM($F6:$F8)*5</f>
        <v>1.675925925925926</v>
      </c>
      <c r="H6">
        <f t="shared" si="0"/>
        <v>174</v>
      </c>
      <c r="I6">
        <f t="shared" si="2"/>
        <v>191.4</v>
      </c>
      <c r="J6">
        <f t="shared" si="3"/>
        <v>156.6</v>
      </c>
    </row>
    <row r="7" spans="1:10" x14ac:dyDescent="0.35">
      <c r="A7" t="s">
        <v>17</v>
      </c>
      <c r="C7">
        <v>185</v>
      </c>
      <c r="D7" s="5">
        <v>163</v>
      </c>
      <c r="E7" s="5">
        <v>224</v>
      </c>
      <c r="F7" s="2">
        <f t="shared" si="1"/>
        <v>190.66666666666666</v>
      </c>
      <c r="G7" s="4">
        <f>F7/SUM($F6:$F8)*5</f>
        <v>1.7654320987654319</v>
      </c>
      <c r="H7">
        <f t="shared" si="0"/>
        <v>185</v>
      </c>
      <c r="I7">
        <f t="shared" si="2"/>
        <v>203.5</v>
      </c>
      <c r="J7">
        <f t="shared" si="3"/>
        <v>166.5</v>
      </c>
    </row>
    <row r="8" spans="1:10" x14ac:dyDescent="0.35">
      <c r="A8" t="s">
        <v>18</v>
      </c>
      <c r="C8">
        <v>165</v>
      </c>
      <c r="D8">
        <v>164</v>
      </c>
      <c r="E8">
        <v>176</v>
      </c>
      <c r="F8" s="2">
        <f t="shared" si="1"/>
        <v>168.33333333333334</v>
      </c>
      <c r="G8" s="4">
        <f>F8/SUM($F6:$F8)*5</f>
        <v>1.558641975308642</v>
      </c>
      <c r="H8" s="3">
        <f t="shared" si="0"/>
        <v>165</v>
      </c>
      <c r="I8">
        <f t="shared" si="2"/>
        <v>181.5</v>
      </c>
      <c r="J8">
        <f t="shared" si="3"/>
        <v>148.5</v>
      </c>
    </row>
    <row r="9" spans="1:10" x14ac:dyDescent="0.35">
      <c r="A9" t="s">
        <v>19</v>
      </c>
      <c r="C9">
        <v>162</v>
      </c>
      <c r="D9">
        <v>162</v>
      </c>
      <c r="E9">
        <v>169</v>
      </c>
      <c r="F9" s="2">
        <f t="shared" si="1"/>
        <v>164.33333333333334</v>
      </c>
      <c r="G9" s="4">
        <f>F9/SUM($F9:$F12)*5</f>
        <v>0.97430830039525695</v>
      </c>
      <c r="H9" s="3">
        <f t="shared" si="0"/>
        <v>162</v>
      </c>
      <c r="I9">
        <f t="shared" si="2"/>
        <v>178.2</v>
      </c>
      <c r="J9">
        <f t="shared" si="3"/>
        <v>145.80000000000001</v>
      </c>
    </row>
    <row r="10" spans="1:10" x14ac:dyDescent="0.35">
      <c r="A10" t="s">
        <v>20</v>
      </c>
      <c r="C10">
        <v>161</v>
      </c>
      <c r="D10">
        <v>164</v>
      </c>
      <c r="E10">
        <v>169</v>
      </c>
      <c r="F10" s="2">
        <f t="shared" si="1"/>
        <v>164.66666666666666</v>
      </c>
      <c r="G10" s="4">
        <f>F10/SUM($F9:$F12)*5</f>
        <v>0.97628458498023707</v>
      </c>
      <c r="H10" s="3">
        <f t="shared" si="0"/>
        <v>164</v>
      </c>
      <c r="I10">
        <f t="shared" si="2"/>
        <v>180.4</v>
      </c>
      <c r="J10">
        <f t="shared" si="3"/>
        <v>147.6</v>
      </c>
    </row>
    <row r="11" spans="1:10" x14ac:dyDescent="0.35">
      <c r="A11" t="s">
        <v>22</v>
      </c>
      <c r="B11" t="s">
        <v>25</v>
      </c>
      <c r="C11" s="5">
        <v>131</v>
      </c>
      <c r="D11">
        <v>154</v>
      </c>
      <c r="E11" s="5">
        <v>208</v>
      </c>
      <c r="F11" s="2">
        <f t="shared" si="1"/>
        <v>164.33333333333334</v>
      </c>
      <c r="G11" s="4">
        <f>F11/SUM($F9:$F12)*5</f>
        <v>0.97430830039525695</v>
      </c>
      <c r="H11">
        <f t="shared" si="0"/>
        <v>154</v>
      </c>
      <c r="I11">
        <f t="shared" si="2"/>
        <v>169.4</v>
      </c>
      <c r="J11">
        <f t="shared" si="3"/>
        <v>138.6</v>
      </c>
    </row>
    <row r="12" spans="1:10" x14ac:dyDescent="0.35">
      <c r="A12" t="s">
        <v>21</v>
      </c>
      <c r="B12" s="6" t="s">
        <v>12</v>
      </c>
      <c r="C12">
        <f>ROUND(((35/1)*10),0)</f>
        <v>350</v>
      </c>
      <c r="F12" s="2">
        <f t="shared" si="1"/>
        <v>350</v>
      </c>
      <c r="G12" s="4">
        <f>F12/SUM($F9:$F12)*5</f>
        <v>2.075098814229249</v>
      </c>
      <c r="H12" s="3">
        <f t="shared" si="0"/>
        <v>350</v>
      </c>
      <c r="I12">
        <f t="shared" si="2"/>
        <v>385</v>
      </c>
      <c r="J12">
        <f t="shared" si="3"/>
        <v>315</v>
      </c>
    </row>
    <row r="13" spans="1:10" x14ac:dyDescent="0.35">
      <c r="A13" t="s">
        <v>23</v>
      </c>
      <c r="H13" t="e">
        <f t="shared" si="0"/>
        <v>#NUM!</v>
      </c>
    </row>
    <row r="14" spans="1:10" ht="15" thickBot="1" x14ac:dyDescent="0.4">
      <c r="A14" s="7" t="s">
        <v>24</v>
      </c>
      <c r="B14" s="7"/>
      <c r="C14" s="7"/>
      <c r="D14" s="7"/>
      <c r="E14" s="7"/>
      <c r="F14" s="7"/>
      <c r="G14" s="7"/>
      <c r="H14" s="7" t="e">
        <f t="shared" si="0"/>
        <v>#NUM!</v>
      </c>
      <c r="I14" s="7"/>
      <c r="J14" s="7"/>
    </row>
    <row r="15" spans="1:10" x14ac:dyDescent="0.35">
      <c r="A15" t="s">
        <v>26</v>
      </c>
      <c r="C15">
        <v>183</v>
      </c>
      <c r="D15">
        <v>178</v>
      </c>
      <c r="E15">
        <v>223</v>
      </c>
      <c r="F15" s="2">
        <f>AVERAGE(C15:E15)</f>
        <v>194.66666666666666</v>
      </c>
      <c r="G15" s="2"/>
      <c r="H15" s="3">
        <f t="shared" ref="H15:H24" si="4" xml:space="preserve"> MEDIAN(C15:E15)</f>
        <v>183</v>
      </c>
      <c r="I15">
        <f xml:space="preserve"> (H15*0.1)+H15</f>
        <v>201.3</v>
      </c>
      <c r="J15">
        <f xml:space="preserve"> (H15*-0.1)+H15</f>
        <v>164.7</v>
      </c>
    </row>
    <row r="16" spans="1:10" x14ac:dyDescent="0.35">
      <c r="A16" t="s">
        <v>27</v>
      </c>
      <c r="C16" s="9">
        <v>222</v>
      </c>
      <c r="D16">
        <v>201</v>
      </c>
      <c r="E16">
        <v>195</v>
      </c>
      <c r="F16" s="2">
        <f t="shared" ref="F16:F24" si="5">AVERAGE(C16:E16)</f>
        <v>206</v>
      </c>
      <c r="G16" s="2"/>
      <c r="H16">
        <f t="shared" si="4"/>
        <v>201</v>
      </c>
      <c r="I16">
        <f t="shared" ref="I16:I24" si="6" xml:space="preserve"> (H16*0.1)+H16</f>
        <v>221.1</v>
      </c>
      <c r="J16">
        <f t="shared" ref="J16:J24" si="7" xml:space="preserve"> (H16*-0.1)+H16</f>
        <v>180.9</v>
      </c>
    </row>
    <row r="17" spans="1:10" x14ac:dyDescent="0.35">
      <c r="A17" t="s">
        <v>28</v>
      </c>
      <c r="C17">
        <v>199</v>
      </c>
      <c r="D17">
        <v>206</v>
      </c>
      <c r="E17">
        <v>200</v>
      </c>
      <c r="F17" s="2">
        <f t="shared" si="5"/>
        <v>201.66666666666666</v>
      </c>
      <c r="G17" s="2"/>
      <c r="H17" s="3">
        <f t="shared" si="4"/>
        <v>200</v>
      </c>
      <c r="I17">
        <f t="shared" si="6"/>
        <v>220</v>
      </c>
      <c r="J17">
        <f t="shared" si="7"/>
        <v>180</v>
      </c>
    </row>
    <row r="18" spans="1:10" x14ac:dyDescent="0.35">
      <c r="A18" t="s">
        <v>29</v>
      </c>
      <c r="C18">
        <v>200</v>
      </c>
      <c r="D18">
        <v>191</v>
      </c>
      <c r="E18">
        <v>190</v>
      </c>
      <c r="F18" s="2">
        <f t="shared" si="5"/>
        <v>193.66666666666666</v>
      </c>
      <c r="G18" s="4">
        <f>F18/SUM($F18:$F20)*5</f>
        <v>1.6496308915388982</v>
      </c>
      <c r="H18" s="3">
        <f t="shared" si="4"/>
        <v>191</v>
      </c>
      <c r="I18">
        <f t="shared" si="6"/>
        <v>210.1</v>
      </c>
      <c r="J18">
        <f t="shared" si="7"/>
        <v>171.9</v>
      </c>
    </row>
    <row r="19" spans="1:10" x14ac:dyDescent="0.35">
      <c r="A19" t="s">
        <v>30</v>
      </c>
      <c r="C19">
        <v>200</v>
      </c>
      <c r="D19">
        <v>211</v>
      </c>
      <c r="E19">
        <v>199</v>
      </c>
      <c r="F19" s="2">
        <f t="shared" si="5"/>
        <v>203.33333333333334</v>
      </c>
      <c r="G19" s="4">
        <f>F19/SUM($F18:$F20)*5</f>
        <v>1.7319704713231119</v>
      </c>
      <c r="H19" s="3">
        <f t="shared" si="4"/>
        <v>200</v>
      </c>
      <c r="I19">
        <f t="shared" si="6"/>
        <v>220</v>
      </c>
      <c r="J19">
        <f t="shared" si="7"/>
        <v>180</v>
      </c>
    </row>
    <row r="20" spans="1:10" x14ac:dyDescent="0.35">
      <c r="A20" t="s">
        <v>31</v>
      </c>
      <c r="C20">
        <v>198</v>
      </c>
      <c r="D20">
        <v>176</v>
      </c>
      <c r="E20">
        <v>196</v>
      </c>
      <c r="F20" s="2">
        <f t="shared" si="5"/>
        <v>190</v>
      </c>
      <c r="G20" s="4">
        <f>F20/SUM($F18:$F20)*5</f>
        <v>1.6183986371379897</v>
      </c>
      <c r="H20" s="3">
        <f t="shared" si="4"/>
        <v>196</v>
      </c>
      <c r="I20">
        <f t="shared" si="6"/>
        <v>215.6</v>
      </c>
      <c r="J20">
        <f t="shared" si="7"/>
        <v>176.4</v>
      </c>
    </row>
    <row r="21" spans="1:10" x14ac:dyDescent="0.35">
      <c r="A21" t="s">
        <v>32</v>
      </c>
      <c r="C21">
        <v>192</v>
      </c>
      <c r="D21">
        <v>211</v>
      </c>
      <c r="E21">
        <v>206</v>
      </c>
      <c r="F21" s="2">
        <f t="shared" si="5"/>
        <v>203</v>
      </c>
      <c r="G21" s="4">
        <f>F21/SUM($F21:$F24)*5</f>
        <v>1.2461632903621853</v>
      </c>
      <c r="H21" s="3">
        <f t="shared" si="4"/>
        <v>206</v>
      </c>
      <c r="I21">
        <f t="shared" si="6"/>
        <v>226.6</v>
      </c>
      <c r="J21">
        <f t="shared" si="7"/>
        <v>185.4</v>
      </c>
    </row>
    <row r="22" spans="1:10" x14ac:dyDescent="0.35">
      <c r="A22" t="s">
        <v>33</v>
      </c>
      <c r="C22" s="5">
        <v>229</v>
      </c>
      <c r="D22">
        <v>197</v>
      </c>
      <c r="E22">
        <v>193</v>
      </c>
      <c r="F22" s="2">
        <f t="shared" si="5"/>
        <v>206.33333333333334</v>
      </c>
      <c r="G22" s="4">
        <f>F22/SUM($F21:$F24)*5</f>
        <v>1.2666257417638636</v>
      </c>
      <c r="H22">
        <f t="shared" si="4"/>
        <v>197</v>
      </c>
      <c r="I22">
        <f t="shared" si="6"/>
        <v>216.7</v>
      </c>
      <c r="J22">
        <f t="shared" si="7"/>
        <v>177.3</v>
      </c>
    </row>
    <row r="23" spans="1:10" x14ac:dyDescent="0.35">
      <c r="A23" t="s">
        <v>34</v>
      </c>
      <c r="B23" s="6" t="s">
        <v>39</v>
      </c>
      <c r="C23">
        <v>182</v>
      </c>
      <c r="D23" s="5">
        <f>ROUND(((126/4.5)*10),0)</f>
        <v>280</v>
      </c>
      <c r="E23">
        <v>191</v>
      </c>
      <c r="F23" s="2">
        <f t="shared" si="5"/>
        <v>217.66666666666666</v>
      </c>
      <c r="G23" s="4">
        <f>F23/SUM($F21:$F24)*5</f>
        <v>1.336198076529568</v>
      </c>
      <c r="H23">
        <f t="shared" si="4"/>
        <v>191</v>
      </c>
      <c r="I23">
        <f t="shared" si="6"/>
        <v>210.1</v>
      </c>
      <c r="J23">
        <f t="shared" si="7"/>
        <v>171.9</v>
      </c>
    </row>
    <row r="24" spans="1:10" x14ac:dyDescent="0.35">
      <c r="A24" t="s">
        <v>35</v>
      </c>
      <c r="C24">
        <v>179</v>
      </c>
      <c r="E24">
        <v>196</v>
      </c>
      <c r="F24" s="2">
        <f t="shared" si="5"/>
        <v>187.5</v>
      </c>
      <c r="G24" s="4">
        <f>F24/SUM($F21:$F24)*5</f>
        <v>1.1510128913443831</v>
      </c>
      <c r="H24">
        <f t="shared" si="4"/>
        <v>187.5</v>
      </c>
      <c r="I24">
        <f t="shared" si="6"/>
        <v>206.25</v>
      </c>
      <c r="J24">
        <f t="shared" si="7"/>
        <v>168.75</v>
      </c>
    </row>
    <row r="25" spans="1:10" x14ac:dyDescent="0.35">
      <c r="A25" t="s">
        <v>36</v>
      </c>
      <c r="C25">
        <v>188</v>
      </c>
      <c r="E25">
        <v>207</v>
      </c>
    </row>
    <row r="26" spans="1:10" ht="15" thickBot="1" x14ac:dyDescent="0.4">
      <c r="A26" s="7" t="s">
        <v>37</v>
      </c>
      <c r="B26" s="7" t="s">
        <v>38</v>
      </c>
      <c r="C26" s="7">
        <v>189</v>
      </c>
      <c r="D26" s="7"/>
      <c r="E26" s="7"/>
      <c r="F26" s="7"/>
      <c r="G26" s="7"/>
      <c r="H26" s="7"/>
      <c r="I26" s="7"/>
      <c r="J26" s="7"/>
    </row>
    <row r="27" spans="1:10" ht="15" thickBot="1" x14ac:dyDescent="0.4"/>
    <row r="28" spans="1:10" ht="15.5" x14ac:dyDescent="0.35">
      <c r="A28" s="10" t="s">
        <v>11</v>
      </c>
      <c r="B28" s="11"/>
      <c r="C28" s="11"/>
      <c r="D28" s="12"/>
      <c r="F28" s="10" t="s">
        <v>69</v>
      </c>
      <c r="G28" s="11"/>
      <c r="H28" s="11"/>
      <c r="I28" s="12"/>
    </row>
    <row r="29" spans="1:10" x14ac:dyDescent="0.35">
      <c r="A29" s="13"/>
      <c r="D29" s="14"/>
      <c r="F29" s="13"/>
      <c r="I29" s="14"/>
    </row>
    <row r="30" spans="1:10" x14ac:dyDescent="0.35">
      <c r="A30" s="13" t="s">
        <v>68</v>
      </c>
      <c r="D30" s="14"/>
      <c r="F30" s="13" t="s">
        <v>70</v>
      </c>
      <c r="I30" s="14"/>
    </row>
    <row r="31" spans="1:10" x14ac:dyDescent="0.35">
      <c r="A31" s="13" t="s">
        <v>64</v>
      </c>
      <c r="D31" s="14"/>
      <c r="F31" s="13" t="s">
        <v>64</v>
      </c>
      <c r="I31" s="14"/>
    </row>
    <row r="32" spans="1:10" x14ac:dyDescent="0.35">
      <c r="A32" s="13"/>
      <c r="D32" s="14"/>
      <c r="F32" s="13"/>
      <c r="I32" s="14"/>
    </row>
    <row r="33" spans="1:9" ht="58" x14ac:dyDescent="0.35">
      <c r="A33" s="15"/>
      <c r="B33" s="8" t="s">
        <v>40</v>
      </c>
      <c r="C33" s="16" t="s">
        <v>41</v>
      </c>
      <c r="D33" s="17" t="s">
        <v>42</v>
      </c>
      <c r="F33" s="15"/>
      <c r="G33" s="8" t="s">
        <v>40</v>
      </c>
      <c r="H33" s="16" t="s">
        <v>41</v>
      </c>
      <c r="I33" s="17" t="s">
        <v>42</v>
      </c>
    </row>
    <row r="34" spans="1:9" x14ac:dyDescent="0.35">
      <c r="A34" s="13" t="s">
        <v>43</v>
      </c>
      <c r="B34">
        <v>168</v>
      </c>
      <c r="C34" s="4">
        <f>(B34/(SUM(B$34:B$42)))*10</f>
        <v>1.037037037037037</v>
      </c>
      <c r="D34" s="18">
        <f t="shared" ref="D34:D42" si="8">C34</f>
        <v>1.037037037037037</v>
      </c>
      <c r="F34" s="13" t="s">
        <v>43</v>
      </c>
      <c r="G34">
        <v>200</v>
      </c>
      <c r="H34" s="4">
        <f>(G34/(SUM(G$34:G$42)))*10</f>
        <v>1.1357183418512209</v>
      </c>
      <c r="I34" s="18">
        <f t="shared" ref="I34:I42" si="9">H34</f>
        <v>1.1357183418512209</v>
      </c>
    </row>
    <row r="35" spans="1:9" x14ac:dyDescent="0.35">
      <c r="A35" s="13" t="s">
        <v>44</v>
      </c>
      <c r="B35">
        <v>174</v>
      </c>
      <c r="C35" s="4">
        <f t="shared" ref="C35:C42" si="10">(B35/(SUM(B$34:B$42)))*10</f>
        <v>1.0740740740740742</v>
      </c>
      <c r="D35" s="18">
        <f t="shared" si="8"/>
        <v>1.0740740740740742</v>
      </c>
      <c r="F35" s="13" t="s">
        <v>44</v>
      </c>
      <c r="G35">
        <v>191</v>
      </c>
      <c r="H35" s="4">
        <f t="shared" ref="H35:H42" si="11">(G35/(SUM(G$34:G$42)))*10</f>
        <v>1.0846110164679159</v>
      </c>
      <c r="I35" s="18">
        <f t="shared" si="9"/>
        <v>1.0846110164679159</v>
      </c>
    </row>
    <row r="36" spans="1:9" x14ac:dyDescent="0.35">
      <c r="A36" s="15" t="s">
        <v>45</v>
      </c>
      <c r="B36" s="8">
        <v>201</v>
      </c>
      <c r="C36" s="19">
        <f t="shared" si="10"/>
        <v>1.2407407407407407</v>
      </c>
      <c r="D36" s="20">
        <f t="shared" si="8"/>
        <v>1.2407407407407407</v>
      </c>
      <c r="F36" s="15" t="s">
        <v>45</v>
      </c>
      <c r="G36" s="8">
        <v>190</v>
      </c>
      <c r="H36" s="19">
        <f t="shared" si="11"/>
        <v>1.0789324247586598</v>
      </c>
      <c r="I36" s="20">
        <f t="shared" si="9"/>
        <v>1.0789324247586598</v>
      </c>
    </row>
    <row r="37" spans="1:9" x14ac:dyDescent="0.35">
      <c r="A37" s="13" t="s">
        <v>46</v>
      </c>
      <c r="B37">
        <v>185</v>
      </c>
      <c r="C37" s="4">
        <f t="shared" si="10"/>
        <v>1.1419753086419753</v>
      </c>
      <c r="D37" s="18">
        <f t="shared" si="8"/>
        <v>1.1419753086419753</v>
      </c>
      <c r="F37" s="13" t="s">
        <v>46</v>
      </c>
      <c r="G37">
        <v>200</v>
      </c>
      <c r="H37" s="4">
        <f t="shared" si="11"/>
        <v>1.1357183418512209</v>
      </c>
      <c r="I37" s="18">
        <f t="shared" si="9"/>
        <v>1.1357183418512209</v>
      </c>
    </row>
    <row r="38" spans="1:9" x14ac:dyDescent="0.35">
      <c r="A38" s="13" t="s">
        <v>47</v>
      </c>
      <c r="B38">
        <v>163</v>
      </c>
      <c r="C38" s="4">
        <f t="shared" si="10"/>
        <v>1.0061728395061729</v>
      </c>
      <c r="D38" s="18">
        <f t="shared" si="8"/>
        <v>1.0061728395061729</v>
      </c>
      <c r="F38" s="13" t="s">
        <v>47</v>
      </c>
      <c r="G38">
        <v>211</v>
      </c>
      <c r="H38" s="4">
        <f t="shared" si="11"/>
        <v>1.1981828506530381</v>
      </c>
      <c r="I38" s="18">
        <f t="shared" si="9"/>
        <v>1.1981828506530381</v>
      </c>
    </row>
    <row r="39" spans="1:9" x14ac:dyDescent="0.35">
      <c r="A39" s="15" t="s">
        <v>48</v>
      </c>
      <c r="B39" s="8">
        <v>224</v>
      </c>
      <c r="C39" s="19">
        <f t="shared" si="10"/>
        <v>1.382716049382716</v>
      </c>
      <c r="D39" s="20">
        <f t="shared" si="8"/>
        <v>1.382716049382716</v>
      </c>
      <c r="F39" s="15" t="s">
        <v>48</v>
      </c>
      <c r="G39" s="8">
        <v>199</v>
      </c>
      <c r="H39" s="19">
        <f t="shared" si="11"/>
        <v>1.1300397501419648</v>
      </c>
      <c r="I39" s="20">
        <f t="shared" si="9"/>
        <v>1.1300397501419648</v>
      </c>
    </row>
    <row r="40" spans="1:9" x14ac:dyDescent="0.35">
      <c r="A40" s="13" t="s">
        <v>49</v>
      </c>
      <c r="B40">
        <v>165</v>
      </c>
      <c r="C40" s="4">
        <f t="shared" si="10"/>
        <v>1.0185185185185184</v>
      </c>
      <c r="D40" s="18">
        <f t="shared" si="8"/>
        <v>1.0185185185185184</v>
      </c>
      <c r="F40" s="13" t="s">
        <v>49</v>
      </c>
      <c r="G40">
        <v>198</v>
      </c>
      <c r="H40" s="4">
        <f t="shared" si="11"/>
        <v>1.1243611584327087</v>
      </c>
      <c r="I40" s="18">
        <f t="shared" si="9"/>
        <v>1.1243611584327087</v>
      </c>
    </row>
    <row r="41" spans="1:9" x14ac:dyDescent="0.35">
      <c r="A41" s="13" t="s">
        <v>50</v>
      </c>
      <c r="B41">
        <v>164</v>
      </c>
      <c r="C41" s="4">
        <f t="shared" si="10"/>
        <v>1.0123456790123457</v>
      </c>
      <c r="D41" s="18">
        <f t="shared" si="8"/>
        <v>1.0123456790123457</v>
      </c>
      <c r="F41" s="13" t="s">
        <v>50</v>
      </c>
      <c r="G41">
        <v>176</v>
      </c>
      <c r="H41" s="4">
        <f t="shared" si="11"/>
        <v>0.99943214082907428</v>
      </c>
      <c r="I41" s="18">
        <f t="shared" si="9"/>
        <v>0.99943214082907428</v>
      </c>
    </row>
    <row r="42" spans="1:9" x14ac:dyDescent="0.35">
      <c r="A42" s="15" t="s">
        <v>51</v>
      </c>
      <c r="B42" s="8">
        <v>176</v>
      </c>
      <c r="C42" s="19">
        <f t="shared" si="10"/>
        <v>1.0864197530864197</v>
      </c>
      <c r="D42" s="20">
        <f t="shared" si="8"/>
        <v>1.0864197530864197</v>
      </c>
      <c r="F42" s="15" t="s">
        <v>51</v>
      </c>
      <c r="G42" s="8">
        <v>196</v>
      </c>
      <c r="H42" s="19">
        <f t="shared" si="11"/>
        <v>1.1130039750141965</v>
      </c>
      <c r="I42" s="20">
        <f t="shared" si="9"/>
        <v>1.1130039750141965</v>
      </c>
    </row>
    <row r="43" spans="1:9" x14ac:dyDescent="0.35">
      <c r="A43" s="13"/>
      <c r="D43" s="14"/>
      <c r="F43" s="13"/>
      <c r="I43" s="14"/>
    </row>
    <row r="44" spans="1:9" x14ac:dyDescent="0.35">
      <c r="A44" s="13"/>
      <c r="D44" s="14"/>
      <c r="F44" s="13"/>
      <c r="I44" s="14"/>
    </row>
    <row r="45" spans="1:9" ht="58" x14ac:dyDescent="0.35">
      <c r="A45" s="15"/>
      <c r="B45" s="8" t="s">
        <v>40</v>
      </c>
      <c r="C45" s="16" t="s">
        <v>41</v>
      </c>
      <c r="D45" s="17" t="s">
        <v>42</v>
      </c>
      <c r="F45" s="15"/>
      <c r="G45" s="8" t="s">
        <v>40</v>
      </c>
      <c r="H45" s="16" t="s">
        <v>41</v>
      </c>
      <c r="I45" s="17" t="s">
        <v>42</v>
      </c>
    </row>
    <row r="46" spans="1:9" x14ac:dyDescent="0.35">
      <c r="A46" s="13" t="s">
        <v>52</v>
      </c>
      <c r="B46">
        <v>162</v>
      </c>
      <c r="C46" s="4">
        <f>(B46/(SUM(B$46:B$57)))*10</f>
        <v>1.0693069306930694</v>
      </c>
      <c r="D46" s="18">
        <f t="shared" ref="D46:D57" si="12">C46</f>
        <v>1.0693069306930694</v>
      </c>
      <c r="F46" s="13" t="s">
        <v>52</v>
      </c>
      <c r="G46">
        <v>192</v>
      </c>
      <c r="H46" s="4">
        <f>(G46/(SUM(G$46:G$57)))*10</f>
        <v>0.91341579448144627</v>
      </c>
      <c r="I46" s="18">
        <f t="shared" ref="I46:I57" si="13">H46</f>
        <v>0.91341579448144627</v>
      </c>
    </row>
    <row r="47" spans="1:9" x14ac:dyDescent="0.35">
      <c r="A47" s="13" t="s">
        <v>53</v>
      </c>
      <c r="B47">
        <v>162</v>
      </c>
      <c r="C47" s="4">
        <f t="shared" ref="C47:C57" si="14">(B47/(SUM(B$46:B$57)))*10</f>
        <v>1.0693069306930694</v>
      </c>
      <c r="D47" s="18">
        <f t="shared" si="12"/>
        <v>1.0693069306930694</v>
      </c>
      <c r="F47" s="13" t="s">
        <v>53</v>
      </c>
      <c r="G47">
        <v>211</v>
      </c>
      <c r="H47" s="4">
        <f t="shared" ref="H47:H57" si="15">(G47/(SUM(G$46:G$57)))*10</f>
        <v>1.0038058991436727</v>
      </c>
      <c r="I47" s="18">
        <f t="shared" si="13"/>
        <v>1.0038058991436727</v>
      </c>
    </row>
    <row r="48" spans="1:9" x14ac:dyDescent="0.35">
      <c r="A48" s="15" t="s">
        <v>54</v>
      </c>
      <c r="B48" s="8">
        <v>169</v>
      </c>
      <c r="C48" s="19">
        <f t="shared" si="14"/>
        <v>1.1155115511551155</v>
      </c>
      <c r="D48" s="20">
        <f t="shared" si="12"/>
        <v>1.1155115511551155</v>
      </c>
      <c r="F48" s="15" t="s">
        <v>54</v>
      </c>
      <c r="G48" s="8">
        <v>206</v>
      </c>
      <c r="H48" s="19">
        <f t="shared" si="15"/>
        <v>0.9800190294957184</v>
      </c>
      <c r="I48" s="20">
        <f t="shared" si="13"/>
        <v>0.9800190294957184</v>
      </c>
    </row>
    <row r="49" spans="1:9" x14ac:dyDescent="0.35">
      <c r="A49" s="13" t="s">
        <v>55</v>
      </c>
      <c r="B49">
        <v>161</v>
      </c>
      <c r="C49" s="4">
        <f t="shared" si="14"/>
        <v>1.0627062706270627</v>
      </c>
      <c r="D49" s="18">
        <f t="shared" si="12"/>
        <v>1.0627062706270627</v>
      </c>
      <c r="F49" s="13" t="s">
        <v>55</v>
      </c>
      <c r="G49">
        <v>229</v>
      </c>
      <c r="H49" s="4">
        <f t="shared" si="15"/>
        <v>1.0894386298763084</v>
      </c>
      <c r="I49" s="18">
        <f t="shared" si="13"/>
        <v>1.0894386298763084</v>
      </c>
    </row>
    <row r="50" spans="1:9" x14ac:dyDescent="0.35">
      <c r="A50" s="13" t="s">
        <v>56</v>
      </c>
      <c r="B50">
        <v>164</v>
      </c>
      <c r="C50" s="4">
        <f t="shared" si="14"/>
        <v>1.0825082508250825</v>
      </c>
      <c r="D50" s="18">
        <f t="shared" si="12"/>
        <v>1.0825082508250825</v>
      </c>
      <c r="F50" s="13" t="s">
        <v>56</v>
      </c>
      <c r="G50">
        <v>197</v>
      </c>
      <c r="H50" s="4">
        <f t="shared" si="15"/>
        <v>0.93720266412940056</v>
      </c>
      <c r="I50" s="18">
        <f t="shared" si="13"/>
        <v>0.93720266412940056</v>
      </c>
    </row>
    <row r="51" spans="1:9" x14ac:dyDescent="0.35">
      <c r="A51" s="15" t="s">
        <v>57</v>
      </c>
      <c r="B51" s="8">
        <v>169</v>
      </c>
      <c r="C51" s="19">
        <f t="shared" si="14"/>
        <v>1.1155115511551155</v>
      </c>
      <c r="D51" s="20">
        <f t="shared" si="12"/>
        <v>1.1155115511551155</v>
      </c>
      <c r="F51" s="15" t="s">
        <v>57</v>
      </c>
      <c r="G51" s="8">
        <v>193</v>
      </c>
      <c r="H51" s="19">
        <f t="shared" si="15"/>
        <v>0.91817316841103713</v>
      </c>
      <c r="I51" s="20">
        <f t="shared" si="13"/>
        <v>0.91817316841103713</v>
      </c>
    </row>
    <row r="52" spans="1:9" x14ac:dyDescent="0.35">
      <c r="A52" s="13" t="s">
        <v>58</v>
      </c>
      <c r="B52">
        <v>131</v>
      </c>
      <c r="C52" s="4">
        <f t="shared" si="14"/>
        <v>0.86468646864686471</v>
      </c>
      <c r="D52" s="18">
        <f t="shared" si="12"/>
        <v>0.86468646864686471</v>
      </c>
      <c r="F52" s="13" t="s">
        <v>58</v>
      </c>
      <c r="G52">
        <v>182</v>
      </c>
      <c r="H52" s="4">
        <f t="shared" si="15"/>
        <v>0.86584205518553747</v>
      </c>
      <c r="I52" s="18">
        <f t="shared" si="13"/>
        <v>0.86584205518553747</v>
      </c>
    </row>
    <row r="53" spans="1:9" x14ac:dyDescent="0.35">
      <c r="A53" s="13" t="s">
        <v>59</v>
      </c>
      <c r="B53">
        <v>154</v>
      </c>
      <c r="C53" s="4">
        <f t="shared" si="14"/>
        <v>1.0165016501650164</v>
      </c>
      <c r="D53" s="18">
        <f t="shared" si="12"/>
        <v>1.0165016501650164</v>
      </c>
      <c r="F53" s="13" t="s">
        <v>59</v>
      </c>
      <c r="G53">
        <v>126</v>
      </c>
      <c r="H53" s="4">
        <f t="shared" si="15"/>
        <v>0.5994291151284491</v>
      </c>
      <c r="I53" s="18">
        <f t="shared" si="13"/>
        <v>0.5994291151284491</v>
      </c>
    </row>
    <row r="54" spans="1:9" x14ac:dyDescent="0.35">
      <c r="A54" s="15" t="s">
        <v>60</v>
      </c>
      <c r="B54" s="8">
        <v>208</v>
      </c>
      <c r="C54" s="19">
        <f t="shared" si="14"/>
        <v>1.3729372937293729</v>
      </c>
      <c r="D54" s="20">
        <f t="shared" si="12"/>
        <v>1.3729372937293729</v>
      </c>
      <c r="F54" s="15" t="s">
        <v>60</v>
      </c>
      <c r="G54" s="8">
        <v>191</v>
      </c>
      <c r="H54" s="19">
        <f t="shared" si="15"/>
        <v>0.90865842055185542</v>
      </c>
      <c r="I54" s="20">
        <f t="shared" si="13"/>
        <v>0.90865842055185542</v>
      </c>
    </row>
    <row r="55" spans="1:9" x14ac:dyDescent="0.35">
      <c r="A55" s="13" t="s">
        <v>61</v>
      </c>
      <c r="B55">
        <v>35</v>
      </c>
      <c r="C55" s="4">
        <f t="shared" si="14"/>
        <v>0.23102310231023102</v>
      </c>
      <c r="D55" s="18">
        <f t="shared" si="12"/>
        <v>0.23102310231023102</v>
      </c>
      <c r="F55" s="13" t="s">
        <v>61</v>
      </c>
      <c r="G55">
        <v>179</v>
      </c>
      <c r="H55" s="4">
        <f t="shared" si="15"/>
        <v>0.85156993339676501</v>
      </c>
      <c r="I55" s="18">
        <f t="shared" si="13"/>
        <v>0.85156993339676501</v>
      </c>
    </row>
    <row r="56" spans="1:9" x14ac:dyDescent="0.35">
      <c r="A56" s="13" t="s">
        <v>62</v>
      </c>
      <c r="B56">
        <v>0</v>
      </c>
      <c r="C56" s="4">
        <f t="shared" si="14"/>
        <v>0</v>
      </c>
      <c r="D56" s="18">
        <f t="shared" si="12"/>
        <v>0</v>
      </c>
      <c r="F56" s="13" t="s">
        <v>62</v>
      </c>
      <c r="G56">
        <v>0</v>
      </c>
      <c r="H56" s="4">
        <f t="shared" si="15"/>
        <v>0</v>
      </c>
      <c r="I56" s="18">
        <f t="shared" si="13"/>
        <v>0</v>
      </c>
    </row>
    <row r="57" spans="1:9" ht="15" thickBot="1" x14ac:dyDescent="0.4">
      <c r="A57" s="21" t="s">
        <v>63</v>
      </c>
      <c r="B57" s="7">
        <v>0</v>
      </c>
      <c r="C57" s="22">
        <f t="shared" si="14"/>
        <v>0</v>
      </c>
      <c r="D57" s="23">
        <f t="shared" si="12"/>
        <v>0</v>
      </c>
      <c r="F57" s="21" t="s">
        <v>63</v>
      </c>
      <c r="G57" s="7">
        <v>196</v>
      </c>
      <c r="H57" s="22">
        <f t="shared" si="15"/>
        <v>0.93244529019980971</v>
      </c>
      <c r="I57" s="23">
        <f t="shared" si="13"/>
        <v>0.93244529019980971</v>
      </c>
    </row>
    <row r="59" spans="1:9" x14ac:dyDescent="0.35">
      <c r="B59" t="s">
        <v>40</v>
      </c>
      <c r="C59" t="s">
        <v>65</v>
      </c>
      <c r="D59" t="s">
        <v>66</v>
      </c>
    </row>
    <row r="60" spans="1:9" x14ac:dyDescent="0.35">
      <c r="A60" t="s">
        <v>3</v>
      </c>
      <c r="B60">
        <v>222</v>
      </c>
      <c r="C60">
        <f>B60/SUM($B$60:$B$62)</f>
        <v>0.35922330097087379</v>
      </c>
      <c r="D60" s="24">
        <f>C60*10</f>
        <v>3.592233009708738</v>
      </c>
    </row>
    <row r="61" spans="1:9" x14ac:dyDescent="0.35">
      <c r="A61" t="s">
        <v>4</v>
      </c>
      <c r="B61">
        <v>201</v>
      </c>
      <c r="C61">
        <f t="shared" ref="C61:C62" si="16">B61/SUM($B$60:$B$62)</f>
        <v>0.32524271844660196</v>
      </c>
      <c r="D61" s="24">
        <f>C61*10</f>
        <v>3.2524271844660197</v>
      </c>
    </row>
    <row r="62" spans="1:9" x14ac:dyDescent="0.35">
      <c r="A62" t="s">
        <v>5</v>
      </c>
      <c r="B62">
        <v>195</v>
      </c>
      <c r="C62">
        <f t="shared" si="16"/>
        <v>0.3155339805825243</v>
      </c>
      <c r="D62" s="24">
        <f>C62*10</f>
        <v>3.1553398058252431</v>
      </c>
    </row>
    <row r="63" spans="1:9" x14ac:dyDescent="0.35">
      <c r="A63" t="s">
        <v>67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Carbon Lab</dc:creator>
  <cp:lastModifiedBy>Hudson Carbon Lab</cp:lastModifiedBy>
  <dcterms:created xsi:type="dcterms:W3CDTF">2023-02-15T18:23:18Z</dcterms:created>
  <dcterms:modified xsi:type="dcterms:W3CDTF">2023-02-17T19:23:19Z</dcterms:modified>
</cp:coreProperties>
</file>