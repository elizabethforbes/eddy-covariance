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lizabethforbes/Documents/Hudson Carbon/eddy covariance/"/>
    </mc:Choice>
  </mc:AlternateContent>
  <xr:revisionPtr revIDLastSave="0" documentId="13_ncr:1_{4BDD3594-899B-E544-BD40-AF526E411A79}" xr6:coauthVersionLast="47" xr6:coauthVersionMax="47" xr10:uidLastSave="{00000000-0000-0000-0000-000000000000}"/>
  <bookViews>
    <workbookView xWindow="1740" yWindow="760" windowWidth="16700" windowHeight="18880" xr2:uid="{15DBAF59-A2B3-3F43-91A8-FD158E0B7656}"/>
  </bookViews>
  <sheets>
    <sheet name="data" sheetId="1" r:id="rId1"/>
    <sheet name="key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0" i="1" l="1"/>
  <c r="D99" i="1"/>
  <c r="D87" i="1"/>
  <c r="D94" i="1"/>
  <c r="D90" i="1"/>
  <c r="D89" i="1"/>
  <c r="D75" i="1" l="1"/>
  <c r="D73" i="1"/>
  <c r="D69" i="1"/>
  <c r="D66" i="1"/>
  <c r="D60" i="1" l="1"/>
  <c r="D49" i="1"/>
  <c r="D50" i="1"/>
  <c r="D51" i="1"/>
  <c r="D52" i="1"/>
  <c r="D53" i="1"/>
  <c r="D54" i="1"/>
  <c r="D55" i="1"/>
  <c r="D56" i="1"/>
  <c r="D57" i="1"/>
  <c r="D58" i="1"/>
  <c r="D48" i="1"/>
  <c r="D47" i="1"/>
  <c r="D46" i="1"/>
  <c r="D35" i="1"/>
  <c r="D34" i="1"/>
  <c r="D33" i="1"/>
  <c r="D32" i="1"/>
  <c r="D30" i="1"/>
  <c r="D31" i="1"/>
  <c r="D29" i="1"/>
  <c r="D28" i="1"/>
  <c r="D27" i="1"/>
  <c r="D26" i="1"/>
  <c r="D12" i="1"/>
  <c r="D8" i="1"/>
  <c r="D5" i="1"/>
  <c r="D4" i="1"/>
  <c r="D2" i="1"/>
  <c r="D6" i="1"/>
  <c r="D7" i="1"/>
  <c r="D10" i="1"/>
  <c r="D11" i="1"/>
  <c r="D3" i="1"/>
  <c r="D62" i="1"/>
  <c r="D9" i="1"/>
  <c r="D13" i="1"/>
  <c r="D37" i="1"/>
  <c r="D24" i="1"/>
  <c r="D23" i="1"/>
  <c r="D17" i="1"/>
  <c r="D25" i="1"/>
  <c r="D22" i="1"/>
  <c r="D20" i="1"/>
  <c r="D15" i="1"/>
  <c r="D18" i="1"/>
  <c r="D21" i="1"/>
  <c r="D19" i="1"/>
  <c r="D16" i="1"/>
  <c r="D14" i="1"/>
  <c r="D45" i="1"/>
  <c r="D44" i="1"/>
  <c r="D43" i="1"/>
  <c r="D41" i="1"/>
  <c r="D42" i="1"/>
  <c r="D40" i="1"/>
  <c r="D39" i="1"/>
  <c r="D38" i="1"/>
  <c r="D36" i="1"/>
  <c r="D98" i="1"/>
  <c r="D97" i="1"/>
  <c r="D96" i="1"/>
  <c r="D93" i="1"/>
  <c r="D88" i="1"/>
  <c r="D85" i="1"/>
  <c r="D86" i="1"/>
  <c r="D84" i="1"/>
  <c r="D83" i="1"/>
  <c r="D64" i="1"/>
  <c r="D65" i="1"/>
  <c r="D67" i="1"/>
  <c r="D68" i="1"/>
  <c r="D71" i="1"/>
  <c r="D72" i="1"/>
  <c r="D77" i="1"/>
  <c r="D78" i="1"/>
  <c r="D79" i="1"/>
  <c r="D80" i="1"/>
  <c r="D81" i="1"/>
  <c r="D63" i="1"/>
  <c r="D70" i="1"/>
  <c r="D74" i="1"/>
  <c r="D76" i="1"/>
  <c r="D82" i="1"/>
  <c r="D59" i="1"/>
  <c r="D61" i="1"/>
</calcChain>
</file>

<file path=xl/sharedStrings.xml><?xml version="1.0" encoding="utf-8"?>
<sst xmlns="http://schemas.openxmlformats.org/spreadsheetml/2006/main" count="464" uniqueCount="75">
  <si>
    <t>date</t>
  </si>
  <si>
    <t>doy</t>
  </si>
  <si>
    <t>field</t>
  </si>
  <si>
    <t>action</t>
  </si>
  <si>
    <t>duration</t>
  </si>
  <si>
    <t>grazing</t>
  </si>
  <si>
    <t>EF03</t>
  </si>
  <si>
    <t>mowing</t>
  </si>
  <si>
    <t>baling</t>
  </si>
  <si>
    <t>compost</t>
  </si>
  <si>
    <t>tedding</t>
  </si>
  <si>
    <t>raking, baling</t>
  </si>
  <si>
    <t>biodynamic spray</t>
  </si>
  <si>
    <t>whey spray</t>
  </si>
  <si>
    <t>month</t>
  </si>
  <si>
    <t>year</t>
  </si>
  <si>
    <t>frost seeding</t>
  </si>
  <si>
    <t>marking bales</t>
  </si>
  <si>
    <t>moving bales out</t>
  </si>
  <si>
    <t>EF02</t>
  </si>
  <si>
    <t>chicken litter</t>
  </si>
  <si>
    <t>soybean planting</t>
  </si>
  <si>
    <t>soybean harvesting</t>
  </si>
  <si>
    <t>tilling 4-5in</t>
  </si>
  <si>
    <t>barley planting</t>
  </si>
  <si>
    <t>barley harvesting</t>
  </si>
  <si>
    <t>rye cover planting</t>
  </si>
  <si>
    <t>cereal rye cover planting</t>
  </si>
  <si>
    <t>EF01</t>
  </si>
  <si>
    <t>tilling</t>
  </si>
  <si>
    <t>tilling 1in</t>
  </si>
  <si>
    <t>tilling 2in</t>
  </si>
  <si>
    <t>rye planting</t>
  </si>
  <si>
    <t>grass planting</t>
  </si>
  <si>
    <t>cover crop harvesting</t>
  </si>
  <si>
    <t>a process by which a mechanical spreader is used to spread out / fluff out the cut hay to facilitate drying prior to raking and baling</t>
  </si>
  <si>
    <t>duration of EF02</t>
  </si>
  <si>
    <t>these dates were indicated more generally, so start/end dates are approximate unless otherwise validated in other datasheets, and durations are estimates</t>
  </si>
  <si>
    <t>corn planting</t>
  </si>
  <si>
    <t>tilling, 10in</t>
  </si>
  <si>
    <t>compost tea</t>
  </si>
  <si>
    <t>category</t>
  </si>
  <si>
    <t>tillage</t>
  </si>
  <si>
    <t>fertilizer</t>
  </si>
  <si>
    <t>harvest</t>
  </si>
  <si>
    <t>planting</t>
  </si>
  <si>
    <t>haying</t>
  </si>
  <si>
    <t>corn harvest</t>
  </si>
  <si>
    <t>hay harvest</t>
  </si>
  <si>
    <t>potash</t>
  </si>
  <si>
    <t>tilling 9in</t>
  </si>
  <si>
    <t>herbicide</t>
  </si>
  <si>
    <t>herbicide application</t>
  </si>
  <si>
    <t>phosphorus</t>
  </si>
  <si>
    <t>corn harvesting</t>
  </si>
  <si>
    <t>lime</t>
  </si>
  <si>
    <t>ammonium nitrate</t>
  </si>
  <si>
    <t>NA</t>
  </si>
  <si>
    <t>mowed</t>
  </si>
  <si>
    <t>EFO3_S2</t>
  </si>
  <si>
    <t>yes</t>
  </si>
  <si>
    <t>no</t>
  </si>
  <si>
    <t>EF03_S2</t>
  </si>
  <si>
    <t>indicates whether, if in EF03 (dairy pasture/hay field), the indicated manamgenet happened in S2 (where the tower is) or the other portions of the field</t>
  </si>
  <si>
    <t>crop</t>
  </si>
  <si>
    <t>cover crop</t>
  </si>
  <si>
    <t>corn</t>
  </si>
  <si>
    <t>soybean</t>
  </si>
  <si>
    <t>barley</t>
  </si>
  <si>
    <t>poly_mono</t>
  </si>
  <si>
    <t>mono</t>
  </si>
  <si>
    <t>poly</t>
  </si>
  <si>
    <t>brome planting as cover crop</t>
  </si>
  <si>
    <t>alfalfa hay</t>
  </si>
  <si>
    <t>indicates whether cover crops are undersown with cash crop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</si>
</sst>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10409]m/dd/yy"/>
  </numFmts>
  <fonts count="5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1" fontId="0" fillId="0" borderId="0" xfId="0" applyNumberFormat="1"/>
    <xf numFmtId="14" fontId="0" fillId="0" borderId="0" xfId="0" applyNumberFormat="1"/>
    <xf numFmtId="14" fontId="2" fillId="0" borderId="0" xfId="0" applyNumberFormat="1" applyFont="1"/>
    <xf numFmtId="164" fontId="2" fillId="0" borderId="0" xfId="0" applyNumberFormat="1" applyFont="1" applyAlignment="1">
      <alignment horizontal="right" vertical="center" wrapText="1" readingOrder="1"/>
    </xf>
    <xf numFmtId="14" fontId="3" fillId="0" borderId="0" xfId="0" applyNumberFormat="1" applyFont="1"/>
    <xf numFmtId="14" fontId="4" fillId="0" borderId="0" xfId="0" applyNumberFormat="1" applyFont="1"/>
    <xf numFmtId="0" fontId="4" fillId="0" borderId="0" xfId="0" applyFont="1"/>
    <xf numFmtId="1" fontId="4" fillId="0" borderId="0" xfId="0" applyNumberFormat="1" applyFont="1"/>
    <xf numFmtId="14" fontId="0" fillId="0" borderId="1" xfId="0" applyNumberFormat="1" applyBorder="1"/>
    <xf numFmtId="0" fontId="0" fillId="0" borderId="1" xfId="0" applyBorder="1"/>
    <xf numFmtId="1" fontId="0" fillId="0" borderId="1" xfId="0" applyNumberFormat="1" applyBorder="1"/>
    <xf numFmtId="14" fontId="0" fillId="0" borderId="2" xfId="0" applyNumberFormat="1" applyBorder="1"/>
    <xf numFmtId="0" fontId="0" fillId="0" borderId="2" xfId="0" applyBorder="1"/>
    <xf numFmtId="1" fontId="0" fillId="0" borderId="2" xfId="0" applyNumberFormat="1" applyBorder="1"/>
    <xf numFmtId="14" fontId="0" fillId="0" borderId="0" xfId="0" applyNumberFormat="1" applyBorder="1"/>
    <xf numFmtId="0" fontId="0" fillId="0" borderId="0" xfId="0" applyBorder="1"/>
    <xf numFmtId="1" fontId="0" fillId="0" borderId="0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080AA-DDDE-F14D-9EC1-8F3DC7D0F295}">
  <dimension ref="A1:K100"/>
  <sheetViews>
    <sheetView tabSelected="1" workbookViewId="0">
      <selection activeCell="C21" sqref="C21"/>
    </sheetView>
  </sheetViews>
  <sheetFormatPr baseColWidth="10" defaultRowHeight="16" x14ac:dyDescent="0.2"/>
  <cols>
    <col min="3" max="3" width="10.83203125" style="1"/>
    <col min="9" max="9" width="15.1640625" bestFit="1" customWidth="1"/>
  </cols>
  <sheetData>
    <row r="1" spans="1:11" x14ac:dyDescent="0.2">
      <c r="A1" t="s">
        <v>0</v>
      </c>
      <c r="B1" t="s">
        <v>14</v>
      </c>
      <c r="C1" s="1" t="s">
        <v>15</v>
      </c>
      <c r="D1" t="s">
        <v>1</v>
      </c>
      <c r="E1" t="s">
        <v>2</v>
      </c>
      <c r="F1" t="s">
        <v>41</v>
      </c>
      <c r="G1" t="s">
        <v>64</v>
      </c>
      <c r="H1" t="s">
        <v>69</v>
      </c>
      <c r="I1" t="s">
        <v>3</v>
      </c>
      <c r="J1" t="s">
        <v>4</v>
      </c>
      <c r="K1" t="s">
        <v>59</v>
      </c>
    </row>
    <row r="2" spans="1:11" x14ac:dyDescent="0.2">
      <c r="A2" s="2">
        <v>43028</v>
      </c>
      <c r="B2">
        <v>10</v>
      </c>
      <c r="C2" s="1">
        <v>2017</v>
      </c>
      <c r="D2">
        <f t="shared" ref="D2:D29" si="0">A2-DATE(YEAR(A2), 1, 0)</f>
        <v>293</v>
      </c>
      <c r="E2" t="s">
        <v>28</v>
      </c>
      <c r="F2" t="s">
        <v>43</v>
      </c>
      <c r="I2" t="s">
        <v>20</v>
      </c>
      <c r="J2">
        <v>1</v>
      </c>
      <c r="K2" t="s">
        <v>57</v>
      </c>
    </row>
    <row r="3" spans="1:11" x14ac:dyDescent="0.2">
      <c r="A3" s="3">
        <v>43054</v>
      </c>
      <c r="B3">
        <v>11</v>
      </c>
      <c r="C3" s="1">
        <v>2017</v>
      </c>
      <c r="D3">
        <f t="shared" si="0"/>
        <v>319</v>
      </c>
      <c r="E3" t="s">
        <v>28</v>
      </c>
      <c r="F3" t="s">
        <v>45</v>
      </c>
      <c r="G3" t="s">
        <v>65</v>
      </c>
      <c r="H3" t="s">
        <v>70</v>
      </c>
      <c r="I3" t="s">
        <v>32</v>
      </c>
      <c r="J3">
        <v>1</v>
      </c>
      <c r="K3" t="s">
        <v>57</v>
      </c>
    </row>
    <row r="4" spans="1:11" x14ac:dyDescent="0.2">
      <c r="A4" s="2">
        <v>43084</v>
      </c>
      <c r="B4">
        <v>12</v>
      </c>
      <c r="C4" s="1">
        <v>2017</v>
      </c>
      <c r="D4">
        <f t="shared" si="0"/>
        <v>349</v>
      </c>
      <c r="E4" t="s">
        <v>28</v>
      </c>
      <c r="F4" t="s">
        <v>43</v>
      </c>
      <c r="I4" t="s">
        <v>55</v>
      </c>
      <c r="J4">
        <v>1</v>
      </c>
      <c r="K4" t="s">
        <v>57</v>
      </c>
    </row>
    <row r="5" spans="1:11" x14ac:dyDescent="0.2">
      <c r="A5" s="2">
        <v>43222</v>
      </c>
      <c r="B5">
        <v>5</v>
      </c>
      <c r="C5" s="1">
        <v>2018</v>
      </c>
      <c r="D5">
        <f t="shared" si="0"/>
        <v>122</v>
      </c>
      <c r="E5" t="s">
        <v>28</v>
      </c>
      <c r="F5" t="s">
        <v>43</v>
      </c>
      <c r="I5" t="s">
        <v>20</v>
      </c>
      <c r="J5">
        <v>1</v>
      </c>
      <c r="K5" t="s">
        <v>57</v>
      </c>
    </row>
    <row r="6" spans="1:11" x14ac:dyDescent="0.2">
      <c r="A6" s="4">
        <v>43228</v>
      </c>
      <c r="B6">
        <v>5</v>
      </c>
      <c r="C6" s="1">
        <v>2018</v>
      </c>
      <c r="D6">
        <f t="shared" si="0"/>
        <v>128</v>
      </c>
      <c r="E6" t="s">
        <v>28</v>
      </c>
      <c r="F6" t="s">
        <v>42</v>
      </c>
      <c r="I6" t="s">
        <v>39</v>
      </c>
      <c r="J6">
        <v>1</v>
      </c>
      <c r="K6" t="s">
        <v>57</v>
      </c>
    </row>
    <row r="7" spans="1:11" x14ac:dyDescent="0.2">
      <c r="A7" s="4">
        <v>43235</v>
      </c>
      <c r="B7">
        <v>5</v>
      </c>
      <c r="C7" s="1">
        <v>2018</v>
      </c>
      <c r="D7">
        <f t="shared" si="0"/>
        <v>135</v>
      </c>
      <c r="E7" t="s">
        <v>28</v>
      </c>
      <c r="F7" t="s">
        <v>42</v>
      </c>
      <c r="I7" t="s">
        <v>29</v>
      </c>
      <c r="J7">
        <v>1</v>
      </c>
      <c r="K7" t="s">
        <v>57</v>
      </c>
    </row>
    <row r="8" spans="1:11" x14ac:dyDescent="0.2">
      <c r="A8" s="2">
        <v>43240</v>
      </c>
      <c r="B8">
        <v>5</v>
      </c>
      <c r="C8" s="1">
        <v>2018</v>
      </c>
      <c r="D8">
        <f t="shared" si="0"/>
        <v>140</v>
      </c>
      <c r="E8" t="s">
        <v>28</v>
      </c>
      <c r="F8" t="s">
        <v>43</v>
      </c>
      <c r="I8" t="s">
        <v>40</v>
      </c>
      <c r="J8">
        <v>1</v>
      </c>
      <c r="K8" t="s">
        <v>57</v>
      </c>
    </row>
    <row r="9" spans="1:11" x14ac:dyDescent="0.2">
      <c r="A9" s="3">
        <v>43240</v>
      </c>
      <c r="B9">
        <v>5</v>
      </c>
      <c r="C9" s="1">
        <v>2018</v>
      </c>
      <c r="D9">
        <f t="shared" si="0"/>
        <v>140</v>
      </c>
      <c r="E9" t="s">
        <v>28</v>
      </c>
      <c r="F9" t="s">
        <v>45</v>
      </c>
      <c r="G9" t="s">
        <v>66</v>
      </c>
      <c r="H9" t="s">
        <v>70</v>
      </c>
      <c r="I9" t="s">
        <v>38</v>
      </c>
      <c r="J9">
        <v>10</v>
      </c>
      <c r="K9" t="s">
        <v>57</v>
      </c>
    </row>
    <row r="10" spans="1:11" x14ac:dyDescent="0.2">
      <c r="A10" s="4">
        <v>43247</v>
      </c>
      <c r="B10">
        <v>5</v>
      </c>
      <c r="C10" s="1">
        <v>2018</v>
      </c>
      <c r="D10">
        <f t="shared" si="0"/>
        <v>147</v>
      </c>
      <c r="E10" t="s">
        <v>28</v>
      </c>
      <c r="F10" t="s">
        <v>42</v>
      </c>
      <c r="I10" t="s">
        <v>29</v>
      </c>
      <c r="J10">
        <v>1</v>
      </c>
      <c r="K10" t="s">
        <v>57</v>
      </c>
    </row>
    <row r="11" spans="1:11" x14ac:dyDescent="0.2">
      <c r="A11" s="4">
        <v>43265</v>
      </c>
      <c r="B11">
        <v>6</v>
      </c>
      <c r="C11" s="1">
        <v>2018</v>
      </c>
      <c r="D11">
        <f t="shared" si="0"/>
        <v>165</v>
      </c>
      <c r="E11" t="s">
        <v>28</v>
      </c>
      <c r="F11" t="s">
        <v>42</v>
      </c>
      <c r="I11" t="s">
        <v>29</v>
      </c>
      <c r="J11">
        <v>1</v>
      </c>
      <c r="K11" t="s">
        <v>57</v>
      </c>
    </row>
    <row r="12" spans="1:11" x14ac:dyDescent="0.2">
      <c r="A12" s="2">
        <v>43399</v>
      </c>
      <c r="B12">
        <v>10</v>
      </c>
      <c r="C12" s="1">
        <v>2018</v>
      </c>
      <c r="D12">
        <f t="shared" si="0"/>
        <v>299</v>
      </c>
      <c r="E12" t="s">
        <v>28</v>
      </c>
      <c r="F12" t="s">
        <v>44</v>
      </c>
      <c r="G12" t="s">
        <v>66</v>
      </c>
      <c r="H12" t="s">
        <v>70</v>
      </c>
      <c r="I12" t="s">
        <v>47</v>
      </c>
      <c r="J12">
        <v>1</v>
      </c>
      <c r="K12" t="s">
        <v>57</v>
      </c>
    </row>
    <row r="13" spans="1:11" x14ac:dyDescent="0.2">
      <c r="A13" s="3">
        <v>43400</v>
      </c>
      <c r="B13">
        <v>10</v>
      </c>
      <c r="C13" s="1">
        <v>2018</v>
      </c>
      <c r="D13">
        <f t="shared" si="0"/>
        <v>300</v>
      </c>
      <c r="E13" t="s">
        <v>28</v>
      </c>
      <c r="F13" t="s">
        <v>45</v>
      </c>
      <c r="G13" t="s">
        <v>65</v>
      </c>
      <c r="H13" t="s">
        <v>70</v>
      </c>
      <c r="I13" t="s">
        <v>32</v>
      </c>
      <c r="J13">
        <v>1</v>
      </c>
      <c r="K13" t="s">
        <v>57</v>
      </c>
    </row>
    <row r="14" spans="1:11" x14ac:dyDescent="0.2">
      <c r="A14" s="2">
        <v>43593</v>
      </c>
      <c r="B14">
        <v>5</v>
      </c>
      <c r="C14" s="1">
        <v>2019</v>
      </c>
      <c r="D14">
        <f t="shared" si="0"/>
        <v>128</v>
      </c>
      <c r="E14" t="s">
        <v>28</v>
      </c>
      <c r="F14" t="s">
        <v>42</v>
      </c>
      <c r="I14" t="s">
        <v>29</v>
      </c>
      <c r="J14">
        <v>1</v>
      </c>
      <c r="K14" t="s">
        <v>57</v>
      </c>
    </row>
    <row r="15" spans="1:11" x14ac:dyDescent="0.2">
      <c r="A15" s="2">
        <v>43594</v>
      </c>
      <c r="B15">
        <v>5</v>
      </c>
      <c r="C15" s="1">
        <v>2019</v>
      </c>
      <c r="D15">
        <f t="shared" si="0"/>
        <v>129</v>
      </c>
      <c r="E15" t="s">
        <v>28</v>
      </c>
      <c r="F15" t="s">
        <v>45</v>
      </c>
      <c r="G15" t="s">
        <v>67</v>
      </c>
      <c r="H15" t="s">
        <v>70</v>
      </c>
      <c r="I15" t="s">
        <v>21</v>
      </c>
      <c r="J15">
        <v>1</v>
      </c>
      <c r="K15" t="s">
        <v>57</v>
      </c>
    </row>
    <row r="16" spans="1:11" x14ac:dyDescent="0.2">
      <c r="A16" s="2">
        <v>43594</v>
      </c>
      <c r="B16">
        <v>5</v>
      </c>
      <c r="C16" s="1">
        <v>2019</v>
      </c>
      <c r="D16">
        <f t="shared" si="0"/>
        <v>129</v>
      </c>
      <c r="E16" t="s">
        <v>28</v>
      </c>
      <c r="F16" t="s">
        <v>42</v>
      </c>
      <c r="I16" t="s">
        <v>30</v>
      </c>
      <c r="J16">
        <v>1</v>
      </c>
      <c r="K16" t="s">
        <v>57</v>
      </c>
    </row>
    <row r="17" spans="1:11" x14ac:dyDescent="0.2">
      <c r="A17" s="2">
        <v>43775</v>
      </c>
      <c r="B17">
        <v>11</v>
      </c>
      <c r="C17" s="1">
        <v>2019</v>
      </c>
      <c r="D17">
        <f t="shared" si="0"/>
        <v>310</v>
      </c>
      <c r="E17" t="s">
        <v>28</v>
      </c>
      <c r="F17" t="s">
        <v>44</v>
      </c>
      <c r="G17" t="s">
        <v>67</v>
      </c>
      <c r="H17" t="s">
        <v>70</v>
      </c>
      <c r="I17" t="s">
        <v>22</v>
      </c>
      <c r="J17">
        <v>1</v>
      </c>
      <c r="K17" t="s">
        <v>57</v>
      </c>
    </row>
    <row r="18" spans="1:11" x14ac:dyDescent="0.2">
      <c r="A18" s="2">
        <v>43780</v>
      </c>
      <c r="B18">
        <v>11</v>
      </c>
      <c r="C18" s="1">
        <v>2019</v>
      </c>
      <c r="D18">
        <f t="shared" si="0"/>
        <v>315</v>
      </c>
      <c r="E18" t="s">
        <v>28</v>
      </c>
      <c r="F18" t="s">
        <v>45</v>
      </c>
      <c r="G18" t="s">
        <v>65</v>
      </c>
      <c r="H18" t="s">
        <v>70</v>
      </c>
      <c r="I18" t="s">
        <v>32</v>
      </c>
      <c r="J18">
        <v>1</v>
      </c>
      <c r="K18" t="s">
        <v>57</v>
      </c>
    </row>
    <row r="19" spans="1:11" x14ac:dyDescent="0.2">
      <c r="A19" s="2">
        <v>43917</v>
      </c>
      <c r="B19">
        <v>3</v>
      </c>
      <c r="C19" s="1">
        <v>2020</v>
      </c>
      <c r="D19">
        <f t="shared" si="0"/>
        <v>87</v>
      </c>
      <c r="E19" t="s">
        <v>28</v>
      </c>
      <c r="F19" t="s">
        <v>42</v>
      </c>
      <c r="I19" t="s">
        <v>29</v>
      </c>
      <c r="J19">
        <v>1</v>
      </c>
      <c r="K19" t="s">
        <v>57</v>
      </c>
    </row>
    <row r="20" spans="1:11" s="10" customFormat="1" x14ac:dyDescent="0.2">
      <c r="A20" s="9">
        <v>43919</v>
      </c>
      <c r="B20" s="10">
        <v>3</v>
      </c>
      <c r="C20" s="11">
        <v>2020</v>
      </c>
      <c r="D20" s="10">
        <f t="shared" si="0"/>
        <v>89</v>
      </c>
      <c r="E20" s="10" t="s">
        <v>28</v>
      </c>
      <c r="F20" s="10" t="s">
        <v>45</v>
      </c>
      <c r="G20" s="10" t="s">
        <v>68</v>
      </c>
      <c r="H20" s="10" t="s">
        <v>71</v>
      </c>
      <c r="I20" s="10" t="s">
        <v>24</v>
      </c>
      <c r="J20" s="10">
        <v>1</v>
      </c>
      <c r="K20" s="10" t="s">
        <v>57</v>
      </c>
    </row>
    <row r="21" spans="1:11" s="10" customFormat="1" x14ac:dyDescent="0.2">
      <c r="A21" s="9">
        <v>43919</v>
      </c>
      <c r="B21" s="10">
        <v>3</v>
      </c>
      <c r="C21" s="11">
        <v>2019</v>
      </c>
      <c r="D21" s="10">
        <f t="shared" si="0"/>
        <v>89</v>
      </c>
      <c r="E21" s="10" t="s">
        <v>28</v>
      </c>
      <c r="F21" s="10" t="s">
        <v>42</v>
      </c>
      <c r="I21" s="10" t="s">
        <v>31</v>
      </c>
      <c r="J21" s="10">
        <v>1</v>
      </c>
      <c r="K21" s="10" t="s">
        <v>57</v>
      </c>
    </row>
    <row r="22" spans="1:11" s="10" customFormat="1" x14ac:dyDescent="0.2">
      <c r="A22" s="9">
        <v>43938</v>
      </c>
      <c r="B22" s="10">
        <v>4</v>
      </c>
      <c r="C22" s="11">
        <v>2020</v>
      </c>
      <c r="D22" s="10">
        <f t="shared" si="0"/>
        <v>108</v>
      </c>
      <c r="E22" s="10" t="s">
        <v>28</v>
      </c>
      <c r="F22" s="10" t="s">
        <v>45</v>
      </c>
      <c r="G22" s="10" t="s">
        <v>65</v>
      </c>
      <c r="H22" s="10" t="s">
        <v>71</v>
      </c>
      <c r="I22" s="10" t="s">
        <v>72</v>
      </c>
      <c r="J22" s="10">
        <v>1</v>
      </c>
      <c r="K22" s="10" t="s">
        <v>57</v>
      </c>
    </row>
    <row r="23" spans="1:11" s="13" customFormat="1" x14ac:dyDescent="0.2">
      <c r="A23" s="12">
        <v>44021</v>
      </c>
      <c r="B23" s="13">
        <v>7</v>
      </c>
      <c r="C23" s="14">
        <v>2020</v>
      </c>
      <c r="D23" s="13">
        <f t="shared" si="0"/>
        <v>191</v>
      </c>
      <c r="E23" s="13" t="s">
        <v>28</v>
      </c>
      <c r="F23" s="13" t="s">
        <v>44</v>
      </c>
      <c r="G23" s="13" t="s">
        <v>68</v>
      </c>
      <c r="H23" s="13" t="s">
        <v>71</v>
      </c>
      <c r="I23" s="13" t="s">
        <v>25</v>
      </c>
      <c r="J23" s="13">
        <v>1</v>
      </c>
      <c r="K23" s="13" t="s">
        <v>57</v>
      </c>
    </row>
    <row r="24" spans="1:11" s="10" customFormat="1" x14ac:dyDescent="0.2">
      <c r="A24" s="9">
        <v>44089</v>
      </c>
      <c r="B24" s="10">
        <v>9</v>
      </c>
      <c r="C24" s="11">
        <v>2020</v>
      </c>
      <c r="D24" s="10">
        <f t="shared" si="0"/>
        <v>259</v>
      </c>
      <c r="E24" s="10" t="s">
        <v>28</v>
      </c>
      <c r="F24" s="10" t="s">
        <v>44</v>
      </c>
      <c r="G24" s="10" t="s">
        <v>65</v>
      </c>
      <c r="H24" s="10" t="s">
        <v>71</v>
      </c>
      <c r="I24" s="10" t="s">
        <v>34</v>
      </c>
      <c r="J24" s="10">
        <v>1</v>
      </c>
      <c r="K24" s="10" t="s">
        <v>57</v>
      </c>
    </row>
    <row r="25" spans="1:11" s="16" customFormat="1" x14ac:dyDescent="0.2">
      <c r="A25" s="15">
        <v>44090</v>
      </c>
      <c r="B25" s="16">
        <v>9</v>
      </c>
      <c r="C25" s="17">
        <v>2020</v>
      </c>
      <c r="D25" s="16">
        <f t="shared" si="0"/>
        <v>260</v>
      </c>
      <c r="E25" s="16" t="s">
        <v>28</v>
      </c>
      <c r="F25" s="16" t="s">
        <v>45</v>
      </c>
      <c r="G25" s="16" t="s">
        <v>73</v>
      </c>
      <c r="H25" s="16" t="s">
        <v>71</v>
      </c>
      <c r="I25" s="16" t="s">
        <v>33</v>
      </c>
      <c r="J25" s="16">
        <v>1</v>
      </c>
      <c r="K25" s="16" t="s">
        <v>57</v>
      </c>
    </row>
    <row r="26" spans="1:11" s="16" customFormat="1" x14ac:dyDescent="0.2">
      <c r="A26" s="15">
        <v>44352</v>
      </c>
      <c r="B26" s="16">
        <v>6</v>
      </c>
      <c r="C26" s="17">
        <v>2021</v>
      </c>
      <c r="D26" s="16">
        <f t="shared" si="0"/>
        <v>156</v>
      </c>
      <c r="E26" s="16" t="s">
        <v>28</v>
      </c>
      <c r="F26" s="16" t="s">
        <v>44</v>
      </c>
      <c r="G26" s="16" t="s">
        <v>73</v>
      </c>
      <c r="H26" s="16" t="s">
        <v>71</v>
      </c>
      <c r="I26" s="16" t="s">
        <v>48</v>
      </c>
      <c r="J26" s="16">
        <v>1</v>
      </c>
      <c r="K26" s="16" t="s">
        <v>57</v>
      </c>
    </row>
    <row r="27" spans="1:11" s="16" customFormat="1" x14ac:dyDescent="0.2">
      <c r="A27" s="15">
        <v>44418</v>
      </c>
      <c r="B27" s="16">
        <v>8</v>
      </c>
      <c r="C27" s="17">
        <v>2021</v>
      </c>
      <c r="D27" s="16">
        <f t="shared" si="0"/>
        <v>222</v>
      </c>
      <c r="E27" s="16" t="s">
        <v>28</v>
      </c>
      <c r="F27" s="16" t="s">
        <v>44</v>
      </c>
      <c r="G27" s="16" t="s">
        <v>73</v>
      </c>
      <c r="H27" s="16" t="s">
        <v>71</v>
      </c>
      <c r="I27" s="16" t="s">
        <v>48</v>
      </c>
      <c r="J27" s="16">
        <v>1</v>
      </c>
      <c r="K27" s="16" t="s">
        <v>57</v>
      </c>
    </row>
    <row r="28" spans="1:11" x14ac:dyDescent="0.2">
      <c r="A28" s="2">
        <v>43179</v>
      </c>
      <c r="B28">
        <v>3</v>
      </c>
      <c r="C28" s="1">
        <v>2018</v>
      </c>
      <c r="D28">
        <f t="shared" si="0"/>
        <v>79</v>
      </c>
      <c r="E28" t="s">
        <v>19</v>
      </c>
      <c r="F28" t="s">
        <v>43</v>
      </c>
      <c r="I28" t="s">
        <v>49</v>
      </c>
      <c r="J28">
        <v>1</v>
      </c>
      <c r="K28" t="s">
        <v>57</v>
      </c>
    </row>
    <row r="29" spans="1:11" x14ac:dyDescent="0.2">
      <c r="A29" s="2">
        <v>43220</v>
      </c>
      <c r="B29">
        <v>4</v>
      </c>
      <c r="C29" s="1">
        <v>2018</v>
      </c>
      <c r="D29">
        <f t="shared" si="0"/>
        <v>120</v>
      </c>
      <c r="E29" t="s">
        <v>19</v>
      </c>
      <c r="F29" t="s">
        <v>42</v>
      </c>
      <c r="I29" t="s">
        <v>50</v>
      </c>
      <c r="J29">
        <v>1</v>
      </c>
      <c r="K29" t="s">
        <v>57</v>
      </c>
    </row>
    <row r="30" spans="1:11" x14ac:dyDescent="0.2">
      <c r="A30" s="2">
        <v>43221</v>
      </c>
      <c r="B30">
        <v>5</v>
      </c>
      <c r="C30" s="1">
        <v>2018</v>
      </c>
      <c r="D30">
        <f t="shared" ref="D30:D61" si="1">A30-DATE(YEAR(A30), 1, 0)</f>
        <v>121</v>
      </c>
      <c r="E30" t="s">
        <v>19</v>
      </c>
      <c r="F30" t="s">
        <v>42</v>
      </c>
      <c r="I30" t="s">
        <v>31</v>
      </c>
      <c r="J30">
        <v>1</v>
      </c>
      <c r="K30" t="s">
        <v>57</v>
      </c>
    </row>
    <row r="31" spans="1:11" x14ac:dyDescent="0.2">
      <c r="A31" s="2">
        <v>43230</v>
      </c>
      <c r="B31">
        <v>5</v>
      </c>
      <c r="C31" s="1">
        <v>2018</v>
      </c>
      <c r="D31">
        <f t="shared" si="1"/>
        <v>130</v>
      </c>
      <c r="E31" t="s">
        <v>19</v>
      </c>
      <c r="F31" t="s">
        <v>45</v>
      </c>
      <c r="G31" t="s">
        <v>66</v>
      </c>
      <c r="H31" t="s">
        <v>70</v>
      </c>
      <c r="I31" t="s">
        <v>38</v>
      </c>
      <c r="J31">
        <v>1</v>
      </c>
      <c r="K31" t="s">
        <v>57</v>
      </c>
    </row>
    <row r="32" spans="1:11" x14ac:dyDescent="0.2">
      <c r="A32" s="2">
        <v>43232</v>
      </c>
      <c r="B32">
        <v>5</v>
      </c>
      <c r="C32" s="1">
        <v>2018</v>
      </c>
      <c r="D32">
        <f t="shared" si="1"/>
        <v>132</v>
      </c>
      <c r="E32" t="s">
        <v>19</v>
      </c>
      <c r="F32" t="s">
        <v>51</v>
      </c>
      <c r="I32" t="s">
        <v>52</v>
      </c>
      <c r="J32">
        <v>2</v>
      </c>
      <c r="K32" t="s">
        <v>57</v>
      </c>
    </row>
    <row r="33" spans="1:11" x14ac:dyDescent="0.2">
      <c r="A33" s="2">
        <v>43278</v>
      </c>
      <c r="B33">
        <v>6</v>
      </c>
      <c r="C33" s="1">
        <v>2018</v>
      </c>
      <c r="D33">
        <f t="shared" si="1"/>
        <v>178</v>
      </c>
      <c r="E33" t="s">
        <v>19</v>
      </c>
      <c r="F33" t="s">
        <v>43</v>
      </c>
      <c r="I33" t="s">
        <v>56</v>
      </c>
      <c r="J33">
        <v>1</v>
      </c>
      <c r="K33" t="s">
        <v>57</v>
      </c>
    </row>
    <row r="34" spans="1:11" x14ac:dyDescent="0.2">
      <c r="A34" s="2">
        <v>43279</v>
      </c>
      <c r="B34">
        <v>6</v>
      </c>
      <c r="C34" s="1">
        <v>2018</v>
      </c>
      <c r="D34">
        <f t="shared" si="1"/>
        <v>179</v>
      </c>
      <c r="E34" t="s">
        <v>19</v>
      </c>
      <c r="F34" t="s">
        <v>43</v>
      </c>
      <c r="I34" t="s">
        <v>53</v>
      </c>
      <c r="J34">
        <v>1</v>
      </c>
      <c r="K34" t="s">
        <v>57</v>
      </c>
    </row>
    <row r="35" spans="1:11" x14ac:dyDescent="0.2">
      <c r="A35" s="2">
        <v>43377</v>
      </c>
      <c r="B35">
        <v>10</v>
      </c>
      <c r="C35" s="1">
        <v>2018</v>
      </c>
      <c r="D35">
        <f t="shared" si="1"/>
        <v>277</v>
      </c>
      <c r="E35" t="s">
        <v>19</v>
      </c>
      <c r="F35" t="s">
        <v>44</v>
      </c>
      <c r="G35" t="s">
        <v>66</v>
      </c>
      <c r="H35" t="s">
        <v>70</v>
      </c>
      <c r="I35" t="s">
        <v>54</v>
      </c>
      <c r="J35">
        <v>1</v>
      </c>
      <c r="K35" t="s">
        <v>57</v>
      </c>
    </row>
    <row r="36" spans="1:11" x14ac:dyDescent="0.2">
      <c r="A36" s="2">
        <v>43556</v>
      </c>
      <c r="B36">
        <v>4</v>
      </c>
      <c r="C36" s="1">
        <v>2019</v>
      </c>
      <c r="D36">
        <f t="shared" si="1"/>
        <v>91</v>
      </c>
      <c r="E36" t="s">
        <v>19</v>
      </c>
      <c r="F36" t="s">
        <v>43</v>
      </c>
      <c r="I36" t="s">
        <v>20</v>
      </c>
      <c r="J36">
        <v>1</v>
      </c>
      <c r="K36" t="s">
        <v>57</v>
      </c>
    </row>
    <row r="37" spans="1:11" x14ac:dyDescent="0.2">
      <c r="A37" s="2">
        <v>43559</v>
      </c>
      <c r="B37">
        <v>4</v>
      </c>
      <c r="C37" s="1">
        <v>2019</v>
      </c>
      <c r="D37">
        <f t="shared" si="1"/>
        <v>94</v>
      </c>
      <c r="E37" t="s">
        <v>19</v>
      </c>
      <c r="F37" t="s">
        <v>43</v>
      </c>
      <c r="I37" t="s">
        <v>55</v>
      </c>
      <c r="J37">
        <v>1</v>
      </c>
      <c r="K37" t="s">
        <v>57</v>
      </c>
    </row>
    <row r="38" spans="1:11" x14ac:dyDescent="0.2">
      <c r="A38" s="2">
        <v>43617</v>
      </c>
      <c r="B38">
        <v>6</v>
      </c>
      <c r="C38" s="1">
        <v>2019</v>
      </c>
      <c r="D38">
        <f t="shared" si="1"/>
        <v>152</v>
      </c>
      <c r="E38" t="s">
        <v>19</v>
      </c>
      <c r="F38" t="s">
        <v>45</v>
      </c>
      <c r="G38" t="s">
        <v>67</v>
      </c>
      <c r="H38" t="s">
        <v>70</v>
      </c>
      <c r="I38" t="s">
        <v>21</v>
      </c>
      <c r="J38">
        <v>1</v>
      </c>
      <c r="K38" t="s">
        <v>57</v>
      </c>
    </row>
    <row r="39" spans="1:11" x14ac:dyDescent="0.2">
      <c r="A39" s="2">
        <v>43739</v>
      </c>
      <c r="B39">
        <v>10</v>
      </c>
      <c r="C39" s="1">
        <v>2019</v>
      </c>
      <c r="D39">
        <f t="shared" si="1"/>
        <v>274</v>
      </c>
      <c r="E39" t="s">
        <v>19</v>
      </c>
      <c r="F39" t="s">
        <v>44</v>
      </c>
      <c r="G39" t="s">
        <v>67</v>
      </c>
      <c r="H39" t="s">
        <v>70</v>
      </c>
      <c r="I39" t="s">
        <v>22</v>
      </c>
      <c r="J39">
        <v>1</v>
      </c>
      <c r="K39" t="s">
        <v>57</v>
      </c>
    </row>
    <row r="40" spans="1:11" x14ac:dyDescent="0.2">
      <c r="A40" s="2">
        <v>43753</v>
      </c>
      <c r="B40">
        <v>10</v>
      </c>
      <c r="C40" s="1">
        <v>2019</v>
      </c>
      <c r="D40">
        <f t="shared" si="1"/>
        <v>288</v>
      </c>
      <c r="E40" t="s">
        <v>19</v>
      </c>
      <c r="F40" t="s">
        <v>45</v>
      </c>
      <c r="G40" t="s">
        <v>65</v>
      </c>
      <c r="H40" t="s">
        <v>70</v>
      </c>
      <c r="I40" t="s">
        <v>27</v>
      </c>
      <c r="J40">
        <v>1</v>
      </c>
      <c r="K40" t="s">
        <v>57</v>
      </c>
    </row>
    <row r="41" spans="1:11" x14ac:dyDescent="0.2">
      <c r="A41" s="2">
        <v>43922</v>
      </c>
      <c r="B41">
        <v>4</v>
      </c>
      <c r="C41" s="1">
        <v>2020</v>
      </c>
      <c r="D41">
        <f t="shared" si="1"/>
        <v>92</v>
      </c>
      <c r="E41" t="s">
        <v>19</v>
      </c>
      <c r="F41" t="s">
        <v>45</v>
      </c>
      <c r="G41" t="s">
        <v>68</v>
      </c>
      <c r="H41" t="s">
        <v>70</v>
      </c>
      <c r="I41" t="s">
        <v>24</v>
      </c>
      <c r="J41">
        <v>1</v>
      </c>
      <c r="K41" t="s">
        <v>57</v>
      </c>
    </row>
    <row r="42" spans="1:11" x14ac:dyDescent="0.2">
      <c r="A42" s="2">
        <v>43922</v>
      </c>
      <c r="B42">
        <v>4</v>
      </c>
      <c r="C42" s="1">
        <v>2020</v>
      </c>
      <c r="D42">
        <f t="shared" si="1"/>
        <v>92</v>
      </c>
      <c r="E42" t="s">
        <v>19</v>
      </c>
      <c r="F42" t="s">
        <v>42</v>
      </c>
      <c r="I42" t="s">
        <v>23</v>
      </c>
      <c r="J42">
        <v>1</v>
      </c>
      <c r="K42" t="s">
        <v>57</v>
      </c>
    </row>
    <row r="43" spans="1:11" x14ac:dyDescent="0.2">
      <c r="A43" s="2">
        <v>44013</v>
      </c>
      <c r="B43">
        <v>7</v>
      </c>
      <c r="C43" s="1">
        <v>2020</v>
      </c>
      <c r="D43">
        <f t="shared" si="1"/>
        <v>183</v>
      </c>
      <c r="E43" t="s">
        <v>19</v>
      </c>
      <c r="F43" t="s">
        <v>44</v>
      </c>
      <c r="G43" t="s">
        <v>68</v>
      </c>
      <c r="H43" t="s">
        <v>70</v>
      </c>
      <c r="I43" t="s">
        <v>25</v>
      </c>
      <c r="J43">
        <v>1</v>
      </c>
      <c r="K43" t="s">
        <v>57</v>
      </c>
    </row>
    <row r="44" spans="1:11" x14ac:dyDescent="0.2">
      <c r="A44" s="2">
        <v>44027</v>
      </c>
      <c r="B44">
        <v>7</v>
      </c>
      <c r="C44" s="1">
        <v>2020</v>
      </c>
      <c r="D44">
        <f t="shared" si="1"/>
        <v>197</v>
      </c>
      <c r="E44" t="s">
        <v>19</v>
      </c>
      <c r="F44" t="s">
        <v>42</v>
      </c>
      <c r="I44" t="s">
        <v>23</v>
      </c>
      <c r="J44">
        <v>1</v>
      </c>
      <c r="K44" t="s">
        <v>57</v>
      </c>
    </row>
    <row r="45" spans="1:11" x14ac:dyDescent="0.2">
      <c r="A45" s="2">
        <v>44032</v>
      </c>
      <c r="B45">
        <v>7</v>
      </c>
      <c r="C45" s="1">
        <v>2020</v>
      </c>
      <c r="D45">
        <f t="shared" si="1"/>
        <v>202</v>
      </c>
      <c r="E45" t="s">
        <v>19</v>
      </c>
      <c r="F45" t="s">
        <v>45</v>
      </c>
      <c r="G45" t="s">
        <v>65</v>
      </c>
      <c r="H45" t="s">
        <v>70</v>
      </c>
      <c r="I45" t="s">
        <v>26</v>
      </c>
      <c r="J45">
        <v>1</v>
      </c>
      <c r="K45" t="s">
        <v>57</v>
      </c>
    </row>
    <row r="46" spans="1:11" x14ac:dyDescent="0.2">
      <c r="A46" s="2">
        <v>44287</v>
      </c>
      <c r="B46">
        <v>4</v>
      </c>
      <c r="C46" s="1">
        <v>2021</v>
      </c>
      <c r="D46">
        <f t="shared" si="1"/>
        <v>91</v>
      </c>
      <c r="E46" t="s">
        <v>19</v>
      </c>
      <c r="F46" t="s">
        <v>43</v>
      </c>
      <c r="I46" t="s">
        <v>20</v>
      </c>
      <c r="J46">
        <v>1</v>
      </c>
      <c r="K46" t="s">
        <v>57</v>
      </c>
    </row>
    <row r="47" spans="1:11" x14ac:dyDescent="0.2">
      <c r="A47" s="2">
        <v>44348</v>
      </c>
      <c r="B47">
        <v>6</v>
      </c>
      <c r="C47" s="1">
        <v>2021</v>
      </c>
      <c r="D47">
        <f t="shared" si="1"/>
        <v>152</v>
      </c>
      <c r="E47" t="s">
        <v>19</v>
      </c>
      <c r="F47" t="s">
        <v>45</v>
      </c>
      <c r="G47" t="s">
        <v>67</v>
      </c>
      <c r="H47" t="s">
        <v>70</v>
      </c>
      <c r="I47" t="s">
        <v>21</v>
      </c>
      <c r="J47">
        <v>1</v>
      </c>
      <c r="K47" t="s">
        <v>57</v>
      </c>
    </row>
    <row r="48" spans="1:11" x14ac:dyDescent="0.2">
      <c r="A48" s="2">
        <v>44470</v>
      </c>
      <c r="B48">
        <v>10</v>
      </c>
      <c r="C48" s="1">
        <v>2021</v>
      </c>
      <c r="D48">
        <f t="shared" si="1"/>
        <v>274</v>
      </c>
      <c r="E48" t="s">
        <v>19</v>
      </c>
      <c r="F48" t="s">
        <v>44</v>
      </c>
      <c r="G48" t="s">
        <v>67</v>
      </c>
      <c r="H48" t="s">
        <v>70</v>
      </c>
      <c r="I48" t="s">
        <v>22</v>
      </c>
      <c r="J48">
        <v>1</v>
      </c>
      <c r="K48" t="s">
        <v>57</v>
      </c>
    </row>
    <row r="49" spans="1:11" x14ac:dyDescent="0.2">
      <c r="A49" s="5">
        <v>43237</v>
      </c>
      <c r="B49">
        <v>5</v>
      </c>
      <c r="C49" s="1">
        <v>2018</v>
      </c>
      <c r="D49">
        <f t="shared" si="1"/>
        <v>137</v>
      </c>
      <c r="E49" t="s">
        <v>6</v>
      </c>
      <c r="F49" t="s">
        <v>5</v>
      </c>
      <c r="I49" t="s">
        <v>5</v>
      </c>
      <c r="J49">
        <v>21</v>
      </c>
      <c r="K49" t="s">
        <v>60</v>
      </c>
    </row>
    <row r="50" spans="1:11" x14ac:dyDescent="0.2">
      <c r="A50" s="5">
        <v>43258</v>
      </c>
      <c r="B50">
        <v>6</v>
      </c>
      <c r="C50" s="1">
        <v>2018</v>
      </c>
      <c r="D50">
        <f t="shared" si="1"/>
        <v>158</v>
      </c>
      <c r="E50" t="s">
        <v>6</v>
      </c>
      <c r="F50" t="s">
        <v>5</v>
      </c>
      <c r="I50" t="s">
        <v>5</v>
      </c>
      <c r="J50">
        <v>20</v>
      </c>
      <c r="K50" t="s">
        <v>60</v>
      </c>
    </row>
    <row r="51" spans="1:11" x14ac:dyDescent="0.2">
      <c r="A51" s="5">
        <v>43261</v>
      </c>
      <c r="B51">
        <v>6</v>
      </c>
      <c r="C51" s="1">
        <v>2018</v>
      </c>
      <c r="D51">
        <f t="shared" si="1"/>
        <v>161</v>
      </c>
      <c r="E51" t="s">
        <v>6</v>
      </c>
      <c r="F51" t="s">
        <v>46</v>
      </c>
      <c r="I51" t="s">
        <v>7</v>
      </c>
      <c r="J51">
        <v>1</v>
      </c>
      <c r="K51" t="s">
        <v>61</v>
      </c>
    </row>
    <row r="52" spans="1:11" x14ac:dyDescent="0.2">
      <c r="A52" s="5">
        <v>43262</v>
      </c>
      <c r="B52">
        <v>6</v>
      </c>
      <c r="C52" s="1">
        <v>2018</v>
      </c>
      <c r="D52">
        <f t="shared" si="1"/>
        <v>162</v>
      </c>
      <c r="E52" t="s">
        <v>6</v>
      </c>
      <c r="F52" t="s">
        <v>46</v>
      </c>
      <c r="I52" t="s">
        <v>8</v>
      </c>
      <c r="J52">
        <v>1</v>
      </c>
      <c r="K52" t="s">
        <v>61</v>
      </c>
    </row>
    <row r="53" spans="1:11" x14ac:dyDescent="0.2">
      <c r="A53" s="5">
        <v>43265</v>
      </c>
      <c r="B53">
        <v>6</v>
      </c>
      <c r="C53" s="1">
        <v>2018</v>
      </c>
      <c r="D53">
        <f t="shared" si="1"/>
        <v>165</v>
      </c>
      <c r="E53" t="s">
        <v>6</v>
      </c>
      <c r="F53" t="s">
        <v>46</v>
      </c>
      <c r="I53" t="s">
        <v>7</v>
      </c>
      <c r="J53">
        <v>1</v>
      </c>
      <c r="K53" t="s">
        <v>61</v>
      </c>
    </row>
    <row r="54" spans="1:11" x14ac:dyDescent="0.2">
      <c r="A54" s="5">
        <v>43269</v>
      </c>
      <c r="B54">
        <v>6</v>
      </c>
      <c r="C54" s="1">
        <v>2018</v>
      </c>
      <c r="D54">
        <f t="shared" si="1"/>
        <v>169</v>
      </c>
      <c r="E54" t="s">
        <v>6</v>
      </c>
      <c r="F54" t="s">
        <v>46</v>
      </c>
      <c r="I54" t="s">
        <v>8</v>
      </c>
      <c r="J54">
        <v>2</v>
      </c>
      <c r="K54" t="s">
        <v>61</v>
      </c>
    </row>
    <row r="55" spans="1:11" x14ac:dyDescent="0.2">
      <c r="A55" s="5">
        <v>43333</v>
      </c>
      <c r="B55">
        <v>8</v>
      </c>
      <c r="C55" s="1">
        <v>2018</v>
      </c>
      <c r="D55">
        <f t="shared" si="1"/>
        <v>233</v>
      </c>
      <c r="E55" t="s">
        <v>6</v>
      </c>
      <c r="F55" t="s">
        <v>43</v>
      </c>
      <c r="I55" t="s">
        <v>12</v>
      </c>
      <c r="J55">
        <v>1</v>
      </c>
      <c r="K55" t="s">
        <v>60</v>
      </c>
    </row>
    <row r="56" spans="1:11" x14ac:dyDescent="0.2">
      <c r="A56" s="5">
        <v>43336</v>
      </c>
      <c r="B56">
        <v>8</v>
      </c>
      <c r="C56" s="1">
        <v>2018</v>
      </c>
      <c r="D56">
        <f t="shared" si="1"/>
        <v>236</v>
      </c>
      <c r="E56" t="s">
        <v>6</v>
      </c>
      <c r="F56" t="s">
        <v>46</v>
      </c>
      <c r="I56" t="s">
        <v>7</v>
      </c>
      <c r="J56">
        <v>1</v>
      </c>
      <c r="K56" t="s">
        <v>61</v>
      </c>
    </row>
    <row r="57" spans="1:11" x14ac:dyDescent="0.2">
      <c r="A57" s="5">
        <v>43340</v>
      </c>
      <c r="B57">
        <v>8</v>
      </c>
      <c r="C57" s="1">
        <v>2018</v>
      </c>
      <c r="D57">
        <f t="shared" si="1"/>
        <v>240</v>
      </c>
      <c r="E57" t="s">
        <v>6</v>
      </c>
      <c r="F57" t="s">
        <v>46</v>
      </c>
      <c r="I57" t="s">
        <v>8</v>
      </c>
      <c r="J57">
        <v>1</v>
      </c>
      <c r="K57" t="s">
        <v>61</v>
      </c>
    </row>
    <row r="58" spans="1:11" x14ac:dyDescent="0.2">
      <c r="A58" s="5">
        <v>43397</v>
      </c>
      <c r="B58">
        <v>10</v>
      </c>
      <c r="C58" s="1">
        <v>2018</v>
      </c>
      <c r="D58">
        <f t="shared" si="1"/>
        <v>297</v>
      </c>
      <c r="E58" t="s">
        <v>6</v>
      </c>
      <c r="F58" t="s">
        <v>5</v>
      </c>
      <c r="I58" t="s">
        <v>5</v>
      </c>
      <c r="J58" t="s">
        <v>57</v>
      </c>
      <c r="K58" t="s">
        <v>61</v>
      </c>
    </row>
    <row r="59" spans="1:11" x14ac:dyDescent="0.2">
      <c r="A59" s="2">
        <v>43586</v>
      </c>
      <c r="B59">
        <v>5</v>
      </c>
      <c r="C59" s="1">
        <v>2019</v>
      </c>
      <c r="D59">
        <f t="shared" si="1"/>
        <v>121</v>
      </c>
      <c r="E59" t="s">
        <v>6</v>
      </c>
      <c r="F59" t="s">
        <v>5</v>
      </c>
      <c r="I59" t="s">
        <v>5</v>
      </c>
      <c r="J59">
        <v>14</v>
      </c>
      <c r="K59" t="s">
        <v>60</v>
      </c>
    </row>
    <row r="60" spans="1:11" x14ac:dyDescent="0.2">
      <c r="A60" s="2">
        <v>43600</v>
      </c>
      <c r="B60">
        <v>5</v>
      </c>
      <c r="C60" s="1">
        <v>2019</v>
      </c>
      <c r="D60">
        <f t="shared" si="1"/>
        <v>135</v>
      </c>
      <c r="E60" t="s">
        <v>6</v>
      </c>
      <c r="F60" t="s">
        <v>5</v>
      </c>
      <c r="I60" t="s">
        <v>5</v>
      </c>
      <c r="J60">
        <v>5</v>
      </c>
      <c r="K60" t="s">
        <v>61</v>
      </c>
    </row>
    <row r="61" spans="1:11" x14ac:dyDescent="0.2">
      <c r="A61" s="2">
        <v>43605</v>
      </c>
      <c r="B61">
        <v>5</v>
      </c>
      <c r="C61" s="1">
        <v>2019</v>
      </c>
      <c r="D61">
        <f t="shared" si="1"/>
        <v>140</v>
      </c>
      <c r="E61" t="s">
        <v>6</v>
      </c>
      <c r="F61" t="s">
        <v>5</v>
      </c>
      <c r="I61" t="s">
        <v>5</v>
      </c>
      <c r="J61">
        <v>15</v>
      </c>
      <c r="K61" t="s">
        <v>60</v>
      </c>
    </row>
    <row r="62" spans="1:11" x14ac:dyDescent="0.2">
      <c r="A62" s="2">
        <v>43616</v>
      </c>
      <c r="B62">
        <v>5</v>
      </c>
      <c r="C62" s="1">
        <v>2019</v>
      </c>
      <c r="D62">
        <f t="shared" ref="D62:D90" si="2">A62-DATE(YEAR(A62), 1, 0)</f>
        <v>151</v>
      </c>
      <c r="E62" t="s">
        <v>6</v>
      </c>
      <c r="F62" t="s">
        <v>46</v>
      </c>
      <c r="I62" t="s">
        <v>7</v>
      </c>
      <c r="J62">
        <v>1</v>
      </c>
      <c r="K62" t="s">
        <v>61</v>
      </c>
    </row>
    <row r="63" spans="1:11" x14ac:dyDescent="0.2">
      <c r="A63" s="2">
        <v>43617</v>
      </c>
      <c r="B63">
        <v>6</v>
      </c>
      <c r="C63" s="1">
        <v>2019</v>
      </c>
      <c r="D63">
        <f t="shared" si="2"/>
        <v>152</v>
      </c>
      <c r="E63" t="s">
        <v>6</v>
      </c>
      <c r="F63" t="s">
        <v>46</v>
      </c>
      <c r="I63" t="s">
        <v>8</v>
      </c>
      <c r="J63">
        <v>1</v>
      </c>
      <c r="K63" t="s">
        <v>61</v>
      </c>
    </row>
    <row r="64" spans="1:11" x14ac:dyDescent="0.2">
      <c r="A64" s="2">
        <v>43619</v>
      </c>
      <c r="B64">
        <v>6</v>
      </c>
      <c r="C64" s="1">
        <v>2019</v>
      </c>
      <c r="D64">
        <f t="shared" si="2"/>
        <v>154</v>
      </c>
      <c r="E64" t="s">
        <v>6</v>
      </c>
      <c r="F64" t="s">
        <v>46</v>
      </c>
      <c r="I64" t="s">
        <v>7</v>
      </c>
      <c r="J64">
        <v>1</v>
      </c>
      <c r="K64" t="s">
        <v>61</v>
      </c>
    </row>
    <row r="65" spans="1:11" x14ac:dyDescent="0.2">
      <c r="A65" s="2">
        <v>43620</v>
      </c>
      <c r="B65">
        <v>6</v>
      </c>
      <c r="C65" s="1">
        <v>2019</v>
      </c>
      <c r="D65">
        <f t="shared" si="2"/>
        <v>155</v>
      </c>
      <c r="E65" t="s">
        <v>6</v>
      </c>
      <c r="F65" t="s">
        <v>46</v>
      </c>
      <c r="I65" t="s">
        <v>8</v>
      </c>
      <c r="J65">
        <v>1</v>
      </c>
      <c r="K65" t="s">
        <v>61</v>
      </c>
    </row>
    <row r="66" spans="1:11" x14ac:dyDescent="0.2">
      <c r="A66" s="2">
        <v>43621</v>
      </c>
      <c r="B66">
        <v>6</v>
      </c>
      <c r="C66" s="1">
        <v>2019</v>
      </c>
      <c r="D66">
        <f t="shared" si="2"/>
        <v>156</v>
      </c>
      <c r="E66" t="s">
        <v>6</v>
      </c>
      <c r="F66" t="s">
        <v>5</v>
      </c>
      <c r="I66" t="s">
        <v>5</v>
      </c>
      <c r="J66">
        <v>5</v>
      </c>
      <c r="K66" t="s">
        <v>61</v>
      </c>
    </row>
    <row r="67" spans="1:11" x14ac:dyDescent="0.2">
      <c r="A67" s="2">
        <v>43622</v>
      </c>
      <c r="B67">
        <v>6</v>
      </c>
      <c r="C67" s="1">
        <v>2019</v>
      </c>
      <c r="D67">
        <f t="shared" si="2"/>
        <v>157</v>
      </c>
      <c r="E67" t="s">
        <v>6</v>
      </c>
      <c r="F67" t="s">
        <v>46</v>
      </c>
      <c r="I67" t="s">
        <v>7</v>
      </c>
      <c r="J67">
        <v>1</v>
      </c>
      <c r="K67" t="s">
        <v>61</v>
      </c>
    </row>
    <row r="68" spans="1:11" x14ac:dyDescent="0.2">
      <c r="A68" s="2">
        <v>43623</v>
      </c>
      <c r="B68">
        <v>6</v>
      </c>
      <c r="C68" s="1">
        <v>2019</v>
      </c>
      <c r="D68">
        <f t="shared" si="2"/>
        <v>158</v>
      </c>
      <c r="E68" t="s">
        <v>6</v>
      </c>
      <c r="F68" t="s">
        <v>46</v>
      </c>
      <c r="I68" t="s">
        <v>8</v>
      </c>
      <c r="J68">
        <v>1</v>
      </c>
      <c r="K68" t="s">
        <v>61</v>
      </c>
    </row>
    <row r="69" spans="1:11" x14ac:dyDescent="0.2">
      <c r="A69" s="2">
        <v>43624</v>
      </c>
      <c r="B69">
        <v>6</v>
      </c>
      <c r="C69" s="1">
        <v>2019</v>
      </c>
      <c r="D69">
        <f t="shared" si="2"/>
        <v>159</v>
      </c>
      <c r="E69" t="s">
        <v>6</v>
      </c>
      <c r="F69" t="s">
        <v>5</v>
      </c>
      <c r="I69" t="s">
        <v>5</v>
      </c>
      <c r="J69">
        <v>12</v>
      </c>
      <c r="K69" t="s">
        <v>61</v>
      </c>
    </row>
    <row r="70" spans="1:11" x14ac:dyDescent="0.2">
      <c r="A70" s="2">
        <v>43626</v>
      </c>
      <c r="B70">
        <v>6</v>
      </c>
      <c r="C70" s="1">
        <v>2019</v>
      </c>
      <c r="D70">
        <f t="shared" si="2"/>
        <v>161</v>
      </c>
      <c r="E70" t="s">
        <v>6</v>
      </c>
      <c r="F70" t="s">
        <v>5</v>
      </c>
      <c r="I70" t="s">
        <v>5</v>
      </c>
      <c r="J70">
        <v>13</v>
      </c>
      <c r="K70" t="s">
        <v>60</v>
      </c>
    </row>
    <row r="71" spans="1:11" x14ac:dyDescent="0.2">
      <c r="A71" s="2">
        <v>43627</v>
      </c>
      <c r="B71">
        <v>6</v>
      </c>
      <c r="C71" s="1">
        <v>2019</v>
      </c>
      <c r="D71">
        <f t="shared" si="2"/>
        <v>162</v>
      </c>
      <c r="E71" t="s">
        <v>6</v>
      </c>
      <c r="F71" t="s">
        <v>46</v>
      </c>
      <c r="I71" t="s">
        <v>7</v>
      </c>
      <c r="J71">
        <v>1</v>
      </c>
      <c r="K71" t="s">
        <v>60</v>
      </c>
    </row>
    <row r="72" spans="1:11" x14ac:dyDescent="0.2">
      <c r="A72" s="2">
        <v>43628</v>
      </c>
      <c r="B72">
        <v>6</v>
      </c>
      <c r="C72" s="1">
        <v>2019</v>
      </c>
      <c r="D72">
        <f t="shared" si="2"/>
        <v>163</v>
      </c>
      <c r="E72" t="s">
        <v>6</v>
      </c>
      <c r="F72" t="s">
        <v>46</v>
      </c>
      <c r="I72" t="s">
        <v>8</v>
      </c>
      <c r="J72">
        <v>1</v>
      </c>
      <c r="K72" t="s">
        <v>60</v>
      </c>
    </row>
    <row r="73" spans="1:11" x14ac:dyDescent="0.2">
      <c r="A73" s="2">
        <v>43640</v>
      </c>
      <c r="B73">
        <v>6</v>
      </c>
      <c r="C73" s="1">
        <v>2019</v>
      </c>
      <c r="D73">
        <f t="shared" si="2"/>
        <v>175</v>
      </c>
      <c r="E73" t="s">
        <v>6</v>
      </c>
      <c r="F73" t="s">
        <v>5</v>
      </c>
      <c r="I73" t="s">
        <v>5</v>
      </c>
      <c r="J73">
        <v>7</v>
      </c>
      <c r="K73" t="s">
        <v>61</v>
      </c>
    </row>
    <row r="74" spans="1:11" x14ac:dyDescent="0.2">
      <c r="A74" s="2">
        <v>43647</v>
      </c>
      <c r="B74">
        <v>7</v>
      </c>
      <c r="C74" s="1">
        <v>2019</v>
      </c>
      <c r="D74">
        <f t="shared" si="2"/>
        <v>182</v>
      </c>
      <c r="E74" t="s">
        <v>6</v>
      </c>
      <c r="F74" t="s">
        <v>5</v>
      </c>
      <c r="I74" t="s">
        <v>5</v>
      </c>
      <c r="J74">
        <v>15</v>
      </c>
      <c r="K74" t="s">
        <v>60</v>
      </c>
    </row>
    <row r="75" spans="1:11" x14ac:dyDescent="0.2">
      <c r="A75" s="2">
        <v>43697</v>
      </c>
      <c r="B75">
        <v>8</v>
      </c>
      <c r="C75" s="1">
        <v>2019</v>
      </c>
      <c r="D75">
        <f t="shared" si="2"/>
        <v>232</v>
      </c>
      <c r="E75" t="s">
        <v>6</v>
      </c>
      <c r="F75" t="s">
        <v>5</v>
      </c>
      <c r="I75" t="s">
        <v>5</v>
      </c>
      <c r="J75">
        <v>11</v>
      </c>
      <c r="K75" t="s">
        <v>61</v>
      </c>
    </row>
    <row r="76" spans="1:11" x14ac:dyDescent="0.2">
      <c r="A76" s="2">
        <v>43708</v>
      </c>
      <c r="B76">
        <v>8</v>
      </c>
      <c r="C76" s="1">
        <v>2019</v>
      </c>
      <c r="D76">
        <f t="shared" si="2"/>
        <v>243</v>
      </c>
      <c r="E76" t="s">
        <v>6</v>
      </c>
      <c r="F76" t="s">
        <v>5</v>
      </c>
      <c r="I76" t="s">
        <v>5</v>
      </c>
      <c r="J76">
        <v>10</v>
      </c>
      <c r="K76" t="s">
        <v>60</v>
      </c>
    </row>
    <row r="77" spans="1:11" x14ac:dyDescent="0.2">
      <c r="A77" s="2">
        <v>43714</v>
      </c>
      <c r="B77">
        <v>9</v>
      </c>
      <c r="C77" s="1">
        <v>2019</v>
      </c>
      <c r="D77">
        <f t="shared" si="2"/>
        <v>249</v>
      </c>
      <c r="E77" t="s">
        <v>6</v>
      </c>
      <c r="F77" t="s">
        <v>43</v>
      </c>
      <c r="I77" t="s">
        <v>9</v>
      </c>
      <c r="J77">
        <v>1</v>
      </c>
      <c r="K77" t="s">
        <v>61</v>
      </c>
    </row>
    <row r="78" spans="1:11" x14ac:dyDescent="0.2">
      <c r="A78" s="2">
        <v>43717</v>
      </c>
      <c r="B78">
        <v>9</v>
      </c>
      <c r="C78" s="1">
        <v>2019</v>
      </c>
      <c r="D78">
        <f t="shared" si="2"/>
        <v>252</v>
      </c>
      <c r="E78" t="s">
        <v>6</v>
      </c>
      <c r="F78" t="s">
        <v>43</v>
      </c>
      <c r="I78" t="s">
        <v>9</v>
      </c>
      <c r="J78">
        <v>1</v>
      </c>
      <c r="K78" t="s">
        <v>61</v>
      </c>
    </row>
    <row r="79" spans="1:11" x14ac:dyDescent="0.2">
      <c r="A79" s="2">
        <v>43726</v>
      </c>
      <c r="B79">
        <v>9</v>
      </c>
      <c r="C79" s="1">
        <v>2019</v>
      </c>
      <c r="D79">
        <f t="shared" si="2"/>
        <v>261</v>
      </c>
      <c r="E79" t="s">
        <v>6</v>
      </c>
      <c r="F79" t="s">
        <v>46</v>
      </c>
      <c r="I79" t="s">
        <v>7</v>
      </c>
      <c r="J79">
        <v>1</v>
      </c>
      <c r="K79" t="s">
        <v>61</v>
      </c>
    </row>
    <row r="80" spans="1:11" x14ac:dyDescent="0.2">
      <c r="A80" s="2">
        <v>43727</v>
      </c>
      <c r="B80">
        <v>9</v>
      </c>
      <c r="C80" s="1">
        <v>2019</v>
      </c>
      <c r="D80">
        <f t="shared" si="2"/>
        <v>262</v>
      </c>
      <c r="E80" t="s">
        <v>6</v>
      </c>
      <c r="F80" t="s">
        <v>46</v>
      </c>
      <c r="I80" t="s">
        <v>10</v>
      </c>
      <c r="J80">
        <v>1</v>
      </c>
      <c r="K80" t="s">
        <v>61</v>
      </c>
    </row>
    <row r="81" spans="1:11" x14ac:dyDescent="0.2">
      <c r="A81" s="2">
        <v>43728</v>
      </c>
      <c r="B81">
        <v>9</v>
      </c>
      <c r="C81" s="1">
        <v>2019</v>
      </c>
      <c r="D81">
        <f t="shared" si="2"/>
        <v>263</v>
      </c>
      <c r="E81" t="s">
        <v>6</v>
      </c>
      <c r="F81" t="s">
        <v>46</v>
      </c>
      <c r="I81" t="s">
        <v>11</v>
      </c>
      <c r="J81">
        <v>1</v>
      </c>
      <c r="K81" t="s">
        <v>61</v>
      </c>
    </row>
    <row r="82" spans="1:11" x14ac:dyDescent="0.2">
      <c r="A82" s="2">
        <v>43756</v>
      </c>
      <c r="B82">
        <v>10</v>
      </c>
      <c r="C82" s="1">
        <v>2019</v>
      </c>
      <c r="D82">
        <f t="shared" si="2"/>
        <v>291</v>
      </c>
      <c r="E82" t="s">
        <v>6</v>
      </c>
      <c r="F82" t="s">
        <v>5</v>
      </c>
      <c r="I82" t="s">
        <v>5</v>
      </c>
      <c r="J82">
        <v>18</v>
      </c>
      <c r="K82" t="s">
        <v>60</v>
      </c>
    </row>
    <row r="83" spans="1:11" x14ac:dyDescent="0.2">
      <c r="A83" s="2">
        <v>43763</v>
      </c>
      <c r="B83">
        <v>10</v>
      </c>
      <c r="C83" s="1">
        <v>2019</v>
      </c>
      <c r="D83">
        <f t="shared" si="2"/>
        <v>298</v>
      </c>
      <c r="E83" t="s">
        <v>6</v>
      </c>
      <c r="F83" t="s">
        <v>43</v>
      </c>
      <c r="I83" t="s">
        <v>12</v>
      </c>
      <c r="J83">
        <v>1</v>
      </c>
      <c r="K83" t="s">
        <v>61</v>
      </c>
    </row>
    <row r="84" spans="1:11" x14ac:dyDescent="0.2">
      <c r="A84" s="2">
        <v>43772</v>
      </c>
      <c r="B84">
        <v>11</v>
      </c>
      <c r="C84" s="1">
        <v>2020</v>
      </c>
      <c r="D84">
        <f t="shared" si="2"/>
        <v>307</v>
      </c>
      <c r="E84" t="s">
        <v>6</v>
      </c>
      <c r="F84" t="s">
        <v>43</v>
      </c>
      <c r="I84" t="s">
        <v>13</v>
      </c>
      <c r="J84">
        <v>1</v>
      </c>
      <c r="K84" t="s">
        <v>61</v>
      </c>
    </row>
    <row r="85" spans="1:11" x14ac:dyDescent="0.2">
      <c r="A85" s="2">
        <v>43912</v>
      </c>
      <c r="B85">
        <v>3</v>
      </c>
      <c r="C85" s="1">
        <v>2020</v>
      </c>
      <c r="D85">
        <f t="shared" si="2"/>
        <v>82</v>
      </c>
      <c r="E85" t="s">
        <v>6</v>
      </c>
      <c r="F85" t="s">
        <v>45</v>
      </c>
      <c r="I85" t="s">
        <v>16</v>
      </c>
      <c r="J85">
        <v>2</v>
      </c>
      <c r="K85" t="s">
        <v>60</v>
      </c>
    </row>
    <row r="86" spans="1:11" x14ac:dyDescent="0.2">
      <c r="A86" s="2">
        <v>43929</v>
      </c>
      <c r="B86">
        <v>4</v>
      </c>
      <c r="C86" s="1">
        <v>2020</v>
      </c>
      <c r="D86">
        <f t="shared" si="2"/>
        <v>99</v>
      </c>
      <c r="E86" t="s">
        <v>6</v>
      </c>
      <c r="F86" t="s">
        <v>43</v>
      </c>
      <c r="I86" t="s">
        <v>9</v>
      </c>
      <c r="J86">
        <v>2</v>
      </c>
      <c r="K86" t="s">
        <v>60</v>
      </c>
    </row>
    <row r="87" spans="1:11" x14ac:dyDescent="0.2">
      <c r="A87" s="2">
        <v>43971</v>
      </c>
      <c r="B87">
        <v>5</v>
      </c>
      <c r="C87" s="1">
        <v>2020</v>
      </c>
      <c r="D87">
        <f t="shared" si="2"/>
        <v>141</v>
      </c>
      <c r="E87" t="s">
        <v>6</v>
      </c>
      <c r="F87" t="s">
        <v>46</v>
      </c>
      <c r="I87" t="s">
        <v>7</v>
      </c>
      <c r="J87">
        <v>1</v>
      </c>
      <c r="K87" t="s">
        <v>60</v>
      </c>
    </row>
    <row r="88" spans="1:11" x14ac:dyDescent="0.2">
      <c r="A88" s="2">
        <v>43972</v>
      </c>
      <c r="B88">
        <v>5</v>
      </c>
      <c r="C88" s="1">
        <v>2020</v>
      </c>
      <c r="D88">
        <f t="shared" si="2"/>
        <v>142</v>
      </c>
      <c r="E88" t="s">
        <v>6</v>
      </c>
      <c r="F88" t="s">
        <v>46</v>
      </c>
      <c r="I88" t="s">
        <v>11</v>
      </c>
      <c r="J88">
        <v>1</v>
      </c>
      <c r="K88" t="s">
        <v>60</v>
      </c>
    </row>
    <row r="89" spans="1:11" x14ac:dyDescent="0.2">
      <c r="A89" s="2">
        <v>43972</v>
      </c>
      <c r="B89">
        <v>5</v>
      </c>
      <c r="C89" s="1">
        <v>2020</v>
      </c>
      <c r="D89">
        <f t="shared" si="2"/>
        <v>142</v>
      </c>
      <c r="E89" t="s">
        <v>6</v>
      </c>
      <c r="F89" t="s">
        <v>46</v>
      </c>
      <c r="I89" t="s">
        <v>7</v>
      </c>
      <c r="J89">
        <v>1</v>
      </c>
      <c r="K89" t="s">
        <v>61</v>
      </c>
    </row>
    <row r="90" spans="1:11" x14ac:dyDescent="0.2">
      <c r="A90" s="2">
        <v>43973</v>
      </c>
      <c r="B90">
        <v>5</v>
      </c>
      <c r="C90" s="1">
        <v>2020</v>
      </c>
      <c r="D90">
        <f t="shared" si="2"/>
        <v>143</v>
      </c>
      <c r="E90" t="s">
        <v>6</v>
      </c>
      <c r="F90" t="s">
        <v>46</v>
      </c>
      <c r="I90" t="s">
        <v>11</v>
      </c>
      <c r="J90">
        <v>1</v>
      </c>
      <c r="K90" t="s">
        <v>61</v>
      </c>
    </row>
    <row r="91" spans="1:11" x14ac:dyDescent="0.2">
      <c r="A91" s="6">
        <v>43975</v>
      </c>
      <c r="B91" s="7">
        <v>5</v>
      </c>
      <c r="C91" s="8">
        <v>2020</v>
      </c>
      <c r="D91" s="7">
        <v>142</v>
      </c>
      <c r="E91" s="7" t="s">
        <v>6</v>
      </c>
      <c r="F91" s="7" t="s">
        <v>46</v>
      </c>
      <c r="G91" s="7"/>
      <c r="H91" s="7"/>
      <c r="I91" s="7" t="s">
        <v>7</v>
      </c>
      <c r="J91" s="7">
        <v>1</v>
      </c>
      <c r="K91" t="s">
        <v>61</v>
      </c>
    </row>
    <row r="92" spans="1:11" x14ac:dyDescent="0.2">
      <c r="A92" s="6">
        <v>43976</v>
      </c>
      <c r="B92" s="7">
        <v>5</v>
      </c>
      <c r="C92" s="8">
        <v>2020</v>
      </c>
      <c r="D92" s="7">
        <v>142</v>
      </c>
      <c r="E92" s="7" t="s">
        <v>6</v>
      </c>
      <c r="F92" s="7" t="s">
        <v>46</v>
      </c>
      <c r="G92" s="7"/>
      <c r="H92" s="7"/>
      <c r="I92" s="7" t="s">
        <v>11</v>
      </c>
      <c r="J92" s="7">
        <v>1</v>
      </c>
      <c r="K92" t="s">
        <v>61</v>
      </c>
    </row>
    <row r="93" spans="1:11" x14ac:dyDescent="0.2">
      <c r="A93" s="2">
        <v>43977</v>
      </c>
      <c r="B93">
        <v>5</v>
      </c>
      <c r="C93" s="1">
        <v>2020</v>
      </c>
      <c r="D93">
        <f>A93-DATE(YEAR(A93), 1, 0)</f>
        <v>147</v>
      </c>
      <c r="E93" t="s">
        <v>6</v>
      </c>
      <c r="F93" t="s">
        <v>46</v>
      </c>
      <c r="I93" t="s">
        <v>17</v>
      </c>
      <c r="J93">
        <v>1</v>
      </c>
      <c r="K93" t="s">
        <v>60</v>
      </c>
    </row>
    <row r="94" spans="1:11" x14ac:dyDescent="0.2">
      <c r="A94" s="2">
        <v>43977</v>
      </c>
      <c r="B94">
        <v>5</v>
      </c>
      <c r="C94" s="1">
        <v>2020</v>
      </c>
      <c r="D94">
        <f>A94-DATE(YEAR(A94), 1, 0)</f>
        <v>147</v>
      </c>
      <c r="E94" t="s">
        <v>6</v>
      </c>
      <c r="F94" t="s">
        <v>46</v>
      </c>
      <c r="I94" t="s">
        <v>58</v>
      </c>
      <c r="J94">
        <v>1</v>
      </c>
      <c r="K94" t="s">
        <v>61</v>
      </c>
    </row>
    <row r="95" spans="1:11" x14ac:dyDescent="0.2">
      <c r="A95" s="6">
        <v>43978</v>
      </c>
      <c r="B95" s="7">
        <v>5</v>
      </c>
      <c r="C95" s="8">
        <v>2020</v>
      </c>
      <c r="D95" s="7">
        <v>147</v>
      </c>
      <c r="E95" s="7" t="s">
        <v>6</v>
      </c>
      <c r="F95" s="7" t="s">
        <v>46</v>
      </c>
      <c r="G95" s="7"/>
      <c r="H95" s="7"/>
      <c r="I95" s="7" t="s">
        <v>11</v>
      </c>
      <c r="J95" s="7">
        <v>1</v>
      </c>
      <c r="K95" t="s">
        <v>61</v>
      </c>
    </row>
    <row r="96" spans="1:11" x14ac:dyDescent="0.2">
      <c r="A96" s="2">
        <v>43980</v>
      </c>
      <c r="B96">
        <v>5</v>
      </c>
      <c r="C96" s="1">
        <v>2020</v>
      </c>
      <c r="D96">
        <f>A96-DATE(YEAR(A96), 1, 0)</f>
        <v>150</v>
      </c>
      <c r="E96" t="s">
        <v>6</v>
      </c>
      <c r="F96" t="s">
        <v>46</v>
      </c>
      <c r="I96" t="s">
        <v>18</v>
      </c>
      <c r="J96">
        <v>3</v>
      </c>
      <c r="K96" t="s">
        <v>60</v>
      </c>
    </row>
    <row r="97" spans="1:11" x14ac:dyDescent="0.2">
      <c r="A97" s="2">
        <v>44026</v>
      </c>
      <c r="B97">
        <v>7</v>
      </c>
      <c r="C97" s="1">
        <v>2020</v>
      </c>
      <c r="D97">
        <f>A97-DATE(YEAR(A97), 1, 0)</f>
        <v>196</v>
      </c>
      <c r="E97" t="s">
        <v>6</v>
      </c>
      <c r="F97" t="s">
        <v>46</v>
      </c>
      <c r="I97" t="s">
        <v>7</v>
      </c>
      <c r="J97">
        <v>1</v>
      </c>
      <c r="K97" t="s">
        <v>60</v>
      </c>
    </row>
    <row r="98" spans="1:11" x14ac:dyDescent="0.2">
      <c r="A98" s="2">
        <v>44028</v>
      </c>
      <c r="B98">
        <v>7</v>
      </c>
      <c r="C98" s="1">
        <v>2020</v>
      </c>
      <c r="D98">
        <f>A98-DATE(YEAR(A98), 1, 0)</f>
        <v>198</v>
      </c>
      <c r="E98" t="s">
        <v>6</v>
      </c>
      <c r="F98" t="s">
        <v>46</v>
      </c>
      <c r="I98" t="s">
        <v>11</v>
      </c>
      <c r="J98">
        <v>1</v>
      </c>
      <c r="K98" t="s">
        <v>60</v>
      </c>
    </row>
    <row r="99" spans="1:11" x14ac:dyDescent="0.2">
      <c r="A99" s="2">
        <v>44037</v>
      </c>
      <c r="B99">
        <v>7</v>
      </c>
      <c r="C99" s="1">
        <v>2020</v>
      </c>
      <c r="D99">
        <f>A99-DATE(YEAR(A99), 1, 0)</f>
        <v>207</v>
      </c>
      <c r="E99" t="s">
        <v>6</v>
      </c>
      <c r="F99" t="s">
        <v>46</v>
      </c>
      <c r="I99" t="s">
        <v>7</v>
      </c>
      <c r="J99">
        <v>1</v>
      </c>
      <c r="K99" t="s">
        <v>61</v>
      </c>
    </row>
    <row r="100" spans="1:11" x14ac:dyDescent="0.2">
      <c r="A100" s="2">
        <v>44038</v>
      </c>
      <c r="B100">
        <v>7</v>
      </c>
      <c r="C100" s="1">
        <v>2020</v>
      </c>
      <c r="D100">
        <f>A100-DATE(YEAR(A100), 1, 0)</f>
        <v>208</v>
      </c>
      <c r="E100" t="s">
        <v>6</v>
      </c>
      <c r="F100" t="s">
        <v>46</v>
      </c>
      <c r="I100" t="s">
        <v>11</v>
      </c>
      <c r="J100">
        <v>1</v>
      </c>
      <c r="K100" t="s">
        <v>61</v>
      </c>
    </row>
  </sheetData>
  <sortState xmlns:xlrd2="http://schemas.microsoft.com/office/spreadsheetml/2017/richdata2" ref="A2:J93">
    <sortCondition ref="E2:E93"/>
    <sortCondition ref="A2:A93"/>
    <sortCondition ref="F2:F93"/>
  </sortState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97E98-1355-EE47-A8C2-9AF47A760EE2}">
  <dimension ref="A1:B4"/>
  <sheetViews>
    <sheetView workbookViewId="0">
      <selection activeCell="B5" sqref="B5"/>
    </sheetView>
  </sheetViews>
  <sheetFormatPr baseColWidth="10" defaultRowHeight="16" x14ac:dyDescent="0.2"/>
  <cols>
    <col min="1" max="1" width="14.1640625" bestFit="1" customWidth="1"/>
  </cols>
  <sheetData>
    <row r="1" spans="1:2" x14ac:dyDescent="0.2">
      <c r="A1" t="s">
        <v>10</v>
      </c>
      <c r="B1" t="s">
        <v>35</v>
      </c>
    </row>
    <row r="2" spans="1:2" x14ac:dyDescent="0.2">
      <c r="A2" t="s">
        <v>36</v>
      </c>
      <c r="B2" t="s">
        <v>37</v>
      </c>
    </row>
    <row r="3" spans="1:2" x14ac:dyDescent="0.2">
      <c r="A3" t="s">
        <v>62</v>
      </c>
      <c r="B3" t="s">
        <v>63</v>
      </c>
    </row>
    <row r="4" spans="1:2" x14ac:dyDescent="0.2">
      <c r="A4" t="s">
        <v>69</v>
      </c>
      <c r="B4" t="s">
        <v>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key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Elizabeth Forbes</dc:creator>
  <cp:lastModifiedBy>Elizabeth Forbes</cp:lastModifiedBy>
  <dcterms:created xsi:type="dcterms:W3CDTF">2025-06-27T14:57:35Z</dcterms:created>
  <dcterms:modified xsi:type="dcterms:W3CDTF">2026-02-09T22:31:19Z</dcterms:modified>
</cp:coreProperties>
</file>