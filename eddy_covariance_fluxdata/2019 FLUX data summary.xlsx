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lilytimpane/Desktop/"/>
    </mc:Choice>
  </mc:AlternateContent>
  <xr:revisionPtr revIDLastSave="0" documentId="8_{78B346FD-D8C5-F849-8767-57EA5D0A7F66}" xr6:coauthVersionLast="45" xr6:coauthVersionMax="45" xr10:uidLastSave="{00000000-0000-0000-0000-000000000000}"/>
  <bookViews>
    <workbookView xWindow="0" yWindow="620" windowWidth="28800" windowHeight="16900" activeTab="4" xr2:uid="{00000000-000D-0000-FFFF-FFFF00000000}"/>
  </bookViews>
  <sheets>
    <sheet name="ef01" sheetId="1" r:id="rId1"/>
    <sheet name="ef02" sheetId="2" r:id="rId2"/>
    <sheet name="ef03" sheetId="3" r:id="rId3"/>
    <sheet name="cs04" sheetId="4" r:id="rId4"/>
    <sheet name="all" sheetId="5" r:id="rId5"/>
    <sheet name="all with means" sheetId="16" r:id="rId6"/>
    <sheet name="only means" sheetId="17" r:id="rId7"/>
    <sheet name="Clean" sheetId="22" r:id="rId8"/>
    <sheet name="Charts" sheetId="2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" i="22" l="1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2" i="22"/>
  <c r="AG259" i="16" l="1"/>
  <c r="AJ259" i="16"/>
  <c r="AI259" i="16"/>
  <c r="AF259" i="16"/>
  <c r="T239" i="16" l="1"/>
  <c r="T244" i="16"/>
  <c r="AI740" i="16"/>
  <c r="AI735" i="16"/>
  <c r="AF740" i="16"/>
  <c r="AF735" i="16"/>
  <c r="T740" i="16"/>
  <c r="T735" i="16"/>
  <c r="Q740" i="16"/>
  <c r="Q735" i="16"/>
  <c r="J379" i="5" l="1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631" i="5"/>
  <c r="J632" i="5"/>
  <c r="J633" i="5"/>
  <c r="J634" i="5"/>
  <c r="J635" i="5"/>
  <c r="J636" i="5"/>
  <c r="J637" i="5"/>
  <c r="J638" i="5"/>
  <c r="J639" i="5"/>
  <c r="J640" i="5"/>
  <c r="J641" i="5"/>
  <c r="J642" i="5"/>
  <c r="J643" i="5"/>
  <c r="J644" i="5"/>
  <c r="J645" i="5"/>
  <c r="J646" i="5"/>
  <c r="J647" i="5"/>
  <c r="J648" i="5"/>
  <c r="J649" i="5"/>
  <c r="J650" i="5"/>
  <c r="J651" i="5"/>
  <c r="J652" i="5"/>
  <c r="J653" i="5"/>
  <c r="J654" i="5"/>
  <c r="J655" i="5"/>
  <c r="J656" i="5"/>
  <c r="J657" i="5"/>
  <c r="J658" i="5"/>
  <c r="J659" i="5"/>
  <c r="J660" i="5"/>
  <c r="J661" i="5"/>
  <c r="J662" i="5"/>
  <c r="J663" i="5"/>
  <c r="J664" i="5"/>
  <c r="J665" i="5"/>
  <c r="J666" i="5"/>
  <c r="J667" i="5"/>
  <c r="J668" i="5"/>
  <c r="J669" i="5"/>
  <c r="J670" i="5"/>
  <c r="J671" i="5"/>
  <c r="J672" i="5"/>
  <c r="J673" i="5"/>
  <c r="J674" i="5"/>
  <c r="J675" i="5"/>
  <c r="J676" i="5"/>
  <c r="J677" i="5"/>
  <c r="J678" i="5"/>
  <c r="J679" i="5"/>
  <c r="J680" i="5"/>
  <c r="J681" i="5"/>
  <c r="J682" i="5"/>
  <c r="J683" i="5"/>
  <c r="J684" i="5"/>
  <c r="J685" i="5"/>
  <c r="J686" i="5"/>
  <c r="J687" i="5"/>
  <c r="J688" i="5"/>
  <c r="J689" i="5"/>
  <c r="J690" i="5"/>
  <c r="J691" i="5"/>
  <c r="J692" i="5"/>
  <c r="J693" i="5"/>
  <c r="J694" i="5"/>
  <c r="J695" i="5"/>
  <c r="J696" i="5"/>
  <c r="J697" i="5"/>
  <c r="J698" i="5"/>
  <c r="J699" i="5"/>
  <c r="J700" i="5"/>
  <c r="J701" i="5"/>
  <c r="J702" i="5"/>
  <c r="J703" i="5"/>
  <c r="J704" i="5"/>
  <c r="J705" i="5"/>
  <c r="J706" i="5"/>
  <c r="J707" i="5"/>
  <c r="J708" i="5"/>
  <c r="J709" i="5"/>
  <c r="J710" i="5"/>
  <c r="J711" i="5"/>
  <c r="J712" i="5"/>
  <c r="J713" i="5"/>
  <c r="J714" i="5"/>
  <c r="J715" i="5"/>
  <c r="J716" i="5"/>
  <c r="J717" i="5"/>
  <c r="J718" i="5"/>
  <c r="J719" i="5"/>
  <c r="J720" i="5"/>
  <c r="J721" i="5"/>
  <c r="J722" i="5"/>
  <c r="J723" i="5"/>
  <c r="J724" i="5"/>
  <c r="J725" i="5"/>
  <c r="J726" i="5"/>
  <c r="J727" i="5"/>
  <c r="J728" i="5"/>
  <c r="J729" i="5"/>
  <c r="J730" i="5"/>
  <c r="J731" i="5"/>
  <c r="J732" i="5"/>
  <c r="J733" i="5"/>
  <c r="J734" i="5"/>
  <c r="J735" i="5"/>
  <c r="J736" i="5"/>
  <c r="J737" i="5"/>
  <c r="J738" i="5"/>
  <c r="J739" i="5"/>
  <c r="J740" i="5"/>
  <c r="J741" i="5"/>
  <c r="J742" i="5"/>
  <c r="J743" i="5"/>
  <c r="J744" i="5"/>
  <c r="J745" i="5"/>
  <c r="J746" i="5"/>
  <c r="J747" i="5"/>
  <c r="J748" i="5"/>
  <c r="J749" i="5"/>
  <c r="J750" i="5"/>
  <c r="J751" i="5"/>
  <c r="J752" i="5"/>
  <c r="J753" i="5"/>
  <c r="J754" i="5"/>
  <c r="J755" i="5"/>
  <c r="J756" i="5"/>
  <c r="J757" i="5"/>
  <c r="J758" i="5"/>
  <c r="J759" i="5"/>
  <c r="J760" i="5"/>
  <c r="J761" i="5"/>
  <c r="J762" i="5"/>
  <c r="J763" i="5"/>
  <c r="J764" i="5"/>
  <c r="J765" i="5"/>
  <c r="J766" i="5"/>
  <c r="J767" i="5"/>
  <c r="J768" i="5"/>
  <c r="J769" i="5"/>
  <c r="J770" i="5"/>
  <c r="J771" i="5"/>
  <c r="J772" i="5"/>
  <c r="J773" i="5"/>
  <c r="J774" i="5"/>
  <c r="J775" i="5"/>
  <c r="J776" i="5"/>
  <c r="J777" i="5"/>
  <c r="J778" i="5"/>
  <c r="J779" i="5"/>
  <c r="J780" i="5"/>
  <c r="J781" i="5"/>
  <c r="J782" i="5"/>
  <c r="J783" i="5"/>
  <c r="J784" i="5"/>
  <c r="J785" i="5"/>
  <c r="J786" i="5"/>
  <c r="J787" i="5"/>
  <c r="J788" i="5"/>
  <c r="J789" i="5"/>
  <c r="J790" i="5"/>
  <c r="J791" i="5"/>
  <c r="J792" i="5"/>
  <c r="J793" i="5"/>
  <c r="J794" i="5"/>
  <c r="J795" i="5"/>
  <c r="J796" i="5"/>
  <c r="J797" i="5"/>
  <c r="J798" i="5"/>
  <c r="J799" i="5"/>
  <c r="J800" i="5"/>
  <c r="J801" i="5"/>
  <c r="J802" i="5"/>
  <c r="J803" i="5"/>
  <c r="J804" i="5"/>
  <c r="J805" i="5"/>
  <c r="J806" i="5"/>
  <c r="J807" i="5"/>
  <c r="J808" i="5"/>
  <c r="J809" i="5"/>
  <c r="J810" i="5"/>
  <c r="J811" i="5"/>
  <c r="J812" i="5"/>
  <c r="J813" i="5"/>
  <c r="J814" i="5"/>
  <c r="J815" i="5"/>
  <c r="J816" i="5"/>
  <c r="J817" i="5"/>
  <c r="J818" i="5"/>
  <c r="J819" i="5"/>
  <c r="J820" i="5"/>
  <c r="J821" i="5"/>
  <c r="J822" i="5"/>
  <c r="J823" i="5"/>
  <c r="J824" i="5"/>
  <c r="J825" i="5"/>
  <c r="J826" i="5"/>
  <c r="J827" i="5"/>
  <c r="J828" i="5"/>
  <c r="J829" i="5"/>
  <c r="J830" i="5"/>
  <c r="J831" i="5"/>
  <c r="J832" i="5"/>
  <c r="J833" i="5"/>
  <c r="J834" i="5"/>
  <c r="J835" i="5"/>
  <c r="J836" i="5"/>
  <c r="J837" i="5"/>
  <c r="J838" i="5"/>
  <c r="J839" i="5"/>
  <c r="J840" i="5"/>
  <c r="J841" i="5"/>
  <c r="J842" i="5"/>
  <c r="J843" i="5"/>
  <c r="J844" i="5"/>
  <c r="J845" i="5"/>
  <c r="J846" i="5"/>
  <c r="J847" i="5"/>
  <c r="J848" i="5"/>
  <c r="J849" i="5"/>
  <c r="J850" i="5"/>
  <c r="J851" i="5"/>
  <c r="J852" i="5"/>
  <c r="J853" i="5"/>
  <c r="J854" i="5"/>
  <c r="J855" i="5"/>
  <c r="J856" i="5"/>
  <c r="J857" i="5"/>
  <c r="J858" i="5"/>
  <c r="J859" i="5"/>
  <c r="J860" i="5"/>
  <c r="J861" i="5"/>
  <c r="J862" i="5"/>
  <c r="J863" i="5"/>
  <c r="J864" i="5"/>
  <c r="J865" i="5"/>
  <c r="J866" i="5"/>
  <c r="J867" i="5"/>
  <c r="J868" i="5"/>
  <c r="J869" i="5"/>
  <c r="J870" i="5"/>
  <c r="J871" i="5"/>
  <c r="J872" i="5"/>
  <c r="J873" i="5"/>
  <c r="J874" i="5"/>
  <c r="J875" i="5"/>
  <c r="J876" i="5"/>
  <c r="J877" i="5"/>
  <c r="J878" i="5"/>
  <c r="J879" i="5"/>
  <c r="J880" i="5"/>
  <c r="J881" i="5"/>
  <c r="J882" i="5"/>
  <c r="J883" i="5"/>
  <c r="J884" i="5"/>
  <c r="J885" i="5"/>
  <c r="J886" i="5"/>
  <c r="J887" i="5"/>
  <c r="J888" i="5"/>
  <c r="J889" i="5"/>
  <c r="J890" i="5"/>
  <c r="J891" i="5"/>
  <c r="J892" i="5"/>
  <c r="J893" i="5"/>
  <c r="J894" i="5"/>
  <c r="J895" i="5"/>
  <c r="J896" i="5"/>
  <c r="J897" i="5"/>
  <c r="J898" i="5"/>
  <c r="J899" i="5"/>
  <c r="J900" i="5"/>
  <c r="J901" i="5"/>
  <c r="J902" i="5"/>
  <c r="J903" i="5"/>
  <c r="J904" i="5"/>
  <c r="J905" i="5"/>
  <c r="J906" i="5"/>
  <c r="J907" i="5"/>
  <c r="J908" i="5"/>
  <c r="J909" i="5"/>
  <c r="J910" i="5"/>
  <c r="J911" i="5"/>
  <c r="J912" i="5"/>
  <c r="J913" i="5"/>
  <c r="J914" i="5"/>
  <c r="J915" i="5"/>
  <c r="J916" i="5"/>
  <c r="J917" i="5"/>
  <c r="J918" i="5"/>
  <c r="J919" i="5"/>
  <c r="J920" i="5"/>
  <c r="J921" i="5"/>
  <c r="J922" i="5"/>
  <c r="J923" i="5"/>
  <c r="J924" i="5"/>
  <c r="J925" i="5"/>
  <c r="J926" i="5"/>
  <c r="J927" i="5"/>
  <c r="J928" i="5"/>
  <c r="J929" i="5"/>
  <c r="J930" i="5"/>
  <c r="J931" i="5"/>
  <c r="J932" i="5"/>
  <c r="J933" i="5"/>
  <c r="J934" i="5"/>
  <c r="J935" i="5"/>
  <c r="J936" i="5"/>
  <c r="J937" i="5"/>
  <c r="J938" i="5"/>
  <c r="J939" i="5"/>
  <c r="J940" i="5"/>
  <c r="J941" i="5"/>
  <c r="J942" i="5"/>
  <c r="J943" i="5"/>
  <c r="J944" i="5"/>
  <c r="J945" i="5"/>
  <c r="J946" i="5"/>
  <c r="J947" i="5"/>
  <c r="J948" i="5"/>
  <c r="J949" i="5"/>
  <c r="J950" i="5"/>
  <c r="J951" i="5"/>
  <c r="J952" i="5"/>
  <c r="J953" i="5"/>
  <c r="J954" i="5"/>
  <c r="J955" i="5"/>
  <c r="J956" i="5"/>
  <c r="J957" i="5"/>
  <c r="J958" i="5"/>
  <c r="J959" i="5"/>
  <c r="J960" i="5"/>
  <c r="J961" i="5"/>
  <c r="J962" i="5"/>
  <c r="J963" i="5"/>
  <c r="J964" i="5"/>
  <c r="J965" i="5"/>
  <c r="J966" i="5"/>
  <c r="J967" i="5"/>
  <c r="J968" i="5"/>
  <c r="J969" i="5"/>
  <c r="J970" i="5"/>
  <c r="J971" i="5"/>
  <c r="J972" i="5"/>
  <c r="J973" i="5"/>
  <c r="J974" i="5"/>
  <c r="J975" i="5"/>
  <c r="J976" i="5"/>
  <c r="J977" i="5"/>
  <c r="J978" i="5"/>
  <c r="J979" i="5"/>
  <c r="J980" i="5"/>
  <c r="J981" i="5"/>
  <c r="J982" i="5"/>
  <c r="J983" i="5"/>
  <c r="J984" i="5"/>
  <c r="J985" i="5"/>
  <c r="J986" i="5"/>
  <c r="J987" i="5"/>
  <c r="J988" i="5"/>
  <c r="J989" i="5"/>
  <c r="J990" i="5"/>
  <c r="J991" i="5"/>
  <c r="J992" i="5"/>
  <c r="J993" i="5"/>
  <c r="J994" i="5"/>
  <c r="J995" i="5"/>
  <c r="J996" i="5"/>
  <c r="J997" i="5"/>
  <c r="J998" i="5"/>
  <c r="J999" i="5"/>
  <c r="J1000" i="5"/>
  <c r="J1001" i="5"/>
  <c r="J1002" i="5"/>
  <c r="J1003" i="5"/>
  <c r="J1004" i="5"/>
  <c r="J1005" i="5"/>
  <c r="J1006" i="5"/>
  <c r="J1007" i="5"/>
  <c r="J1008" i="5"/>
  <c r="J1009" i="5"/>
  <c r="J1010" i="5"/>
  <c r="J1011" i="5"/>
  <c r="J1012" i="5"/>
  <c r="J1013" i="5"/>
  <c r="J1014" i="5"/>
  <c r="J1015" i="5"/>
  <c r="J1016" i="5"/>
  <c r="J1017" i="5"/>
  <c r="J1018" i="5"/>
  <c r="J1019" i="5"/>
  <c r="J1020" i="5"/>
  <c r="J1021" i="5"/>
  <c r="J1022" i="5"/>
  <c r="J1023" i="5"/>
  <c r="J1024" i="5"/>
  <c r="J1025" i="5"/>
  <c r="J1026" i="5"/>
  <c r="J1027" i="5"/>
  <c r="J1028" i="5"/>
  <c r="J1029" i="5"/>
  <c r="J1030" i="5"/>
  <c r="J1031" i="5"/>
  <c r="J1032" i="5"/>
  <c r="J1033" i="5"/>
  <c r="J1034" i="5"/>
  <c r="J1035" i="5"/>
  <c r="J1036" i="5"/>
  <c r="J1037" i="5"/>
  <c r="J1038" i="5"/>
  <c r="J1039" i="5"/>
  <c r="J1040" i="5"/>
  <c r="J1041" i="5"/>
  <c r="J1042" i="5"/>
  <c r="J1043" i="5"/>
  <c r="J1044" i="5"/>
  <c r="J1045" i="5"/>
  <c r="J1046" i="5"/>
  <c r="J1047" i="5"/>
  <c r="J1048" i="5"/>
  <c r="J1049" i="5"/>
  <c r="J1050" i="5"/>
  <c r="J1051" i="5"/>
  <c r="J1052" i="5"/>
  <c r="J1053" i="5"/>
  <c r="J1054" i="5"/>
  <c r="J1055" i="5"/>
  <c r="J1056" i="5"/>
  <c r="J1057" i="5"/>
  <c r="J1058" i="5"/>
  <c r="J1059" i="5"/>
  <c r="J1060" i="5"/>
  <c r="J1061" i="5"/>
  <c r="J1062" i="5"/>
  <c r="J1063" i="5"/>
  <c r="J1064" i="5"/>
  <c r="J1065" i="5"/>
  <c r="J1066" i="5"/>
  <c r="J1067" i="5"/>
  <c r="J1068" i="5"/>
  <c r="J1069" i="5"/>
  <c r="J1070" i="5"/>
  <c r="J1071" i="5"/>
  <c r="J1072" i="5"/>
  <c r="J1073" i="5"/>
  <c r="J1074" i="5"/>
  <c r="J1075" i="5"/>
  <c r="J1076" i="5"/>
  <c r="J1077" i="5"/>
  <c r="J1078" i="5"/>
  <c r="J1079" i="5"/>
  <c r="J1080" i="5"/>
  <c r="J1081" i="5"/>
  <c r="J1082" i="5"/>
  <c r="J1083" i="5"/>
  <c r="J1084" i="5"/>
  <c r="J1085" i="5"/>
  <c r="J1086" i="5"/>
  <c r="J1087" i="5"/>
  <c r="J1088" i="5"/>
  <c r="J1089" i="5"/>
  <c r="J1090" i="5"/>
  <c r="J1091" i="5"/>
  <c r="J1092" i="5"/>
  <c r="J1093" i="5"/>
  <c r="J1094" i="5"/>
  <c r="J1095" i="5"/>
  <c r="J1096" i="5"/>
  <c r="J1097" i="5"/>
  <c r="J1098" i="5"/>
  <c r="J1099" i="5"/>
  <c r="J1100" i="5"/>
  <c r="J1101" i="5"/>
  <c r="J1102" i="5"/>
  <c r="J1103" i="5"/>
  <c r="J1104" i="5"/>
  <c r="J1105" i="5"/>
  <c r="J1106" i="5"/>
  <c r="J1107" i="5"/>
  <c r="J1108" i="5"/>
  <c r="J1109" i="5"/>
  <c r="J1110" i="5"/>
  <c r="J1111" i="5"/>
  <c r="J1112" i="5"/>
  <c r="J1113" i="5"/>
  <c r="J1114" i="5"/>
  <c r="J1115" i="5"/>
  <c r="J1116" i="5"/>
  <c r="J1117" i="5"/>
  <c r="J1118" i="5"/>
  <c r="J1119" i="5"/>
  <c r="J1120" i="5"/>
  <c r="J1121" i="5"/>
  <c r="J1122" i="5"/>
  <c r="J1123" i="5"/>
  <c r="J1124" i="5"/>
  <c r="J1125" i="5"/>
  <c r="J1126" i="5"/>
  <c r="J1127" i="5"/>
  <c r="J1128" i="5"/>
  <c r="J1129" i="5"/>
  <c r="J1130" i="5"/>
  <c r="J1131" i="5"/>
  <c r="J1132" i="5"/>
  <c r="J1133" i="5"/>
  <c r="J1134" i="5"/>
  <c r="J1135" i="5"/>
  <c r="J1136" i="5"/>
  <c r="J1137" i="5"/>
  <c r="J1138" i="5"/>
  <c r="J1139" i="5"/>
  <c r="J1140" i="5"/>
  <c r="J1141" i="5"/>
  <c r="J1142" i="5"/>
  <c r="J1143" i="5"/>
  <c r="J1144" i="5"/>
  <c r="J1145" i="5"/>
  <c r="J1146" i="5"/>
  <c r="J1147" i="5"/>
  <c r="J1148" i="5"/>
  <c r="J1149" i="5"/>
  <c r="J1150" i="5"/>
  <c r="J1151" i="5"/>
  <c r="J1152" i="5"/>
  <c r="J1153" i="5"/>
  <c r="J1154" i="5"/>
  <c r="J1155" i="5"/>
  <c r="J1156" i="5"/>
  <c r="J1157" i="5"/>
  <c r="J1158" i="5"/>
  <c r="J1159" i="5"/>
  <c r="J1160" i="5"/>
  <c r="J1161" i="5"/>
  <c r="J1162" i="5"/>
  <c r="J1163" i="5"/>
  <c r="J1164" i="5"/>
  <c r="J1165" i="5"/>
  <c r="J1166" i="5"/>
  <c r="J1167" i="5"/>
  <c r="J1168" i="5"/>
  <c r="J1169" i="5"/>
  <c r="J1170" i="5"/>
  <c r="J1171" i="5"/>
  <c r="J1172" i="5"/>
  <c r="J1173" i="5"/>
  <c r="J1174" i="5"/>
  <c r="J1175" i="5"/>
  <c r="J1176" i="5"/>
  <c r="J1177" i="5"/>
  <c r="J1178" i="5"/>
  <c r="J1179" i="5"/>
  <c r="J1180" i="5"/>
  <c r="J1181" i="5"/>
  <c r="J1182" i="5"/>
  <c r="J1183" i="5"/>
  <c r="J1184" i="5"/>
  <c r="J1185" i="5"/>
  <c r="J1186" i="5"/>
  <c r="J1187" i="5"/>
  <c r="J1188" i="5"/>
  <c r="J1189" i="5"/>
  <c r="J1190" i="5"/>
  <c r="J1191" i="5"/>
  <c r="J1192" i="5"/>
  <c r="J1193" i="5"/>
  <c r="J1194" i="5"/>
  <c r="J1195" i="5"/>
  <c r="J1196" i="5"/>
  <c r="J1197" i="5"/>
  <c r="J1198" i="5"/>
  <c r="J1199" i="5"/>
  <c r="J1200" i="5"/>
  <c r="J1201" i="5"/>
  <c r="J1202" i="5"/>
  <c r="J1203" i="5"/>
  <c r="J1204" i="5"/>
  <c r="J1205" i="5"/>
  <c r="J1206" i="5"/>
  <c r="J1207" i="5"/>
  <c r="J1208" i="5"/>
  <c r="J1209" i="5"/>
  <c r="J1210" i="5"/>
  <c r="J1211" i="5"/>
  <c r="J1212" i="5"/>
  <c r="J1213" i="5"/>
  <c r="J1214" i="5"/>
  <c r="J1215" i="5"/>
  <c r="J1216" i="5"/>
  <c r="J1217" i="5"/>
  <c r="J1218" i="5"/>
  <c r="J1219" i="5"/>
  <c r="J1220" i="5"/>
  <c r="J1221" i="5"/>
  <c r="J1222" i="5"/>
  <c r="J1223" i="5"/>
  <c r="J1224" i="5"/>
  <c r="J1225" i="5"/>
  <c r="J1226" i="5"/>
  <c r="J1227" i="5"/>
  <c r="J1228" i="5"/>
  <c r="J1229" i="5"/>
  <c r="J1230" i="5"/>
  <c r="J1231" i="5"/>
  <c r="J1232" i="5"/>
  <c r="J1233" i="5"/>
  <c r="J1234" i="5"/>
  <c r="J1235" i="5"/>
  <c r="J1236" i="5"/>
  <c r="J1237" i="5"/>
  <c r="J1238" i="5"/>
  <c r="J1239" i="5"/>
  <c r="J1240" i="5"/>
  <c r="J1241" i="5"/>
  <c r="J1242" i="5"/>
  <c r="J1243" i="5"/>
  <c r="J1244" i="5"/>
  <c r="J1245" i="5"/>
  <c r="J1246" i="5"/>
  <c r="J1247" i="5"/>
  <c r="J1248" i="5"/>
  <c r="J1249" i="5"/>
  <c r="J1250" i="5"/>
  <c r="J1251" i="5"/>
  <c r="J1252" i="5"/>
  <c r="J1253" i="5"/>
  <c r="J1254" i="5"/>
  <c r="J1255" i="5"/>
  <c r="J1256" i="5"/>
  <c r="J1257" i="5"/>
  <c r="J1258" i="5"/>
  <c r="J1259" i="5"/>
  <c r="J1260" i="5"/>
  <c r="J1261" i="5"/>
  <c r="J1262" i="5"/>
  <c r="J1263" i="5"/>
  <c r="J1264" i="5"/>
  <c r="J1265" i="5"/>
  <c r="J1266" i="5"/>
  <c r="J1267" i="5"/>
  <c r="J1268" i="5"/>
  <c r="J1269" i="5"/>
  <c r="J1270" i="5"/>
  <c r="J1271" i="5"/>
  <c r="J1272" i="5"/>
  <c r="J1273" i="5"/>
  <c r="J1274" i="5"/>
  <c r="J1275" i="5"/>
  <c r="J1276" i="5"/>
  <c r="J1277" i="5"/>
  <c r="J1278" i="5"/>
  <c r="J1279" i="5"/>
  <c r="J1280" i="5"/>
  <c r="J1281" i="5"/>
  <c r="J1282" i="5"/>
  <c r="J1283" i="5"/>
  <c r="J1284" i="5"/>
  <c r="J1285" i="5"/>
  <c r="J1286" i="5"/>
  <c r="J1287" i="5"/>
  <c r="J1288" i="5"/>
  <c r="J1289" i="5"/>
  <c r="J1290" i="5"/>
  <c r="J1291" i="5"/>
  <c r="J1292" i="5"/>
  <c r="J1293" i="5"/>
  <c r="J1294" i="5"/>
  <c r="J1295" i="5"/>
  <c r="J1296" i="5"/>
  <c r="J1297" i="5"/>
  <c r="J1298" i="5"/>
  <c r="J1299" i="5"/>
  <c r="J1300" i="5"/>
  <c r="J1301" i="5"/>
  <c r="J1302" i="5"/>
  <c r="J1303" i="5"/>
  <c r="J1304" i="5"/>
  <c r="J1305" i="5"/>
  <c r="J1306" i="5"/>
  <c r="J1307" i="5"/>
  <c r="J1308" i="5"/>
  <c r="J1309" i="5"/>
  <c r="J1310" i="5"/>
  <c r="J1311" i="5"/>
  <c r="J1312" i="5"/>
  <c r="J1313" i="5"/>
  <c r="J1314" i="5"/>
  <c r="J1315" i="5"/>
  <c r="J1316" i="5"/>
  <c r="J1317" i="5"/>
  <c r="J1318" i="5"/>
  <c r="J1319" i="5"/>
  <c r="J1320" i="5"/>
  <c r="J1321" i="5"/>
  <c r="J1322" i="5"/>
  <c r="J1323" i="5"/>
  <c r="J1324" i="5"/>
  <c r="J1325" i="5"/>
  <c r="J1326" i="5"/>
  <c r="J1327" i="5"/>
  <c r="J1328" i="5"/>
  <c r="J1329" i="5"/>
  <c r="J1330" i="5"/>
  <c r="J1331" i="5"/>
  <c r="J1332" i="5"/>
  <c r="J1333" i="5"/>
  <c r="J1334" i="5"/>
  <c r="J1335" i="5"/>
  <c r="J1336" i="5"/>
  <c r="J1337" i="5"/>
  <c r="J1338" i="5"/>
  <c r="J1339" i="5"/>
  <c r="J1340" i="5"/>
  <c r="J1341" i="5"/>
  <c r="J1342" i="5"/>
  <c r="J1343" i="5"/>
  <c r="J1344" i="5"/>
  <c r="J1345" i="5"/>
  <c r="J1346" i="5"/>
  <c r="J1347" i="5"/>
  <c r="J1348" i="5"/>
  <c r="J1349" i="5"/>
  <c r="J1350" i="5"/>
  <c r="J1351" i="5"/>
  <c r="J1352" i="5"/>
  <c r="J1353" i="5"/>
  <c r="J1354" i="5"/>
  <c r="J1355" i="5"/>
  <c r="J1356" i="5"/>
  <c r="J1357" i="5"/>
  <c r="J1358" i="5"/>
  <c r="J1359" i="5"/>
  <c r="J1360" i="5"/>
  <c r="J1361" i="5"/>
  <c r="J1362" i="5"/>
  <c r="J1363" i="5"/>
  <c r="J1364" i="5"/>
  <c r="J1365" i="5"/>
  <c r="J1366" i="5"/>
  <c r="J1367" i="5"/>
  <c r="J1368" i="5"/>
  <c r="J1369" i="5"/>
  <c r="J1370" i="5"/>
  <c r="J1371" i="5"/>
  <c r="J1372" i="5"/>
  <c r="J1373" i="5"/>
  <c r="J1374" i="5"/>
  <c r="J1375" i="5"/>
  <c r="J1376" i="5"/>
  <c r="J1377" i="5"/>
  <c r="J1378" i="5"/>
  <c r="J1379" i="5"/>
  <c r="J1380" i="5"/>
  <c r="J1381" i="5"/>
  <c r="J1382" i="5"/>
  <c r="J1383" i="5"/>
  <c r="J1384" i="5"/>
  <c r="J1385" i="5"/>
  <c r="J1386" i="5"/>
  <c r="J1387" i="5"/>
  <c r="J1388" i="5"/>
  <c r="J1389" i="5"/>
  <c r="J1390" i="5"/>
  <c r="J1391" i="5"/>
  <c r="J1392" i="5"/>
  <c r="J1393" i="5"/>
  <c r="J1394" i="5"/>
  <c r="J1395" i="5"/>
  <c r="J1396" i="5"/>
  <c r="J1397" i="5"/>
  <c r="J1398" i="5"/>
  <c r="J1399" i="5"/>
  <c r="J1400" i="5"/>
  <c r="J1401" i="5"/>
  <c r="J1402" i="5"/>
  <c r="J1403" i="5"/>
  <c r="J1404" i="5"/>
  <c r="J1405" i="5"/>
  <c r="J1406" i="5"/>
  <c r="J1407" i="5"/>
  <c r="J1408" i="5"/>
  <c r="J1409" i="5"/>
  <c r="J1410" i="5"/>
  <c r="J1411" i="5"/>
  <c r="J1412" i="5"/>
  <c r="J1413" i="5"/>
  <c r="J1414" i="5"/>
  <c r="J1415" i="5"/>
  <c r="J1416" i="5"/>
  <c r="J1417" i="5"/>
  <c r="J1418" i="5"/>
  <c r="J1419" i="5"/>
  <c r="J1420" i="5"/>
  <c r="J1421" i="5"/>
  <c r="J1422" i="5"/>
  <c r="J1423" i="5"/>
  <c r="J1424" i="5"/>
  <c r="J1425" i="5"/>
  <c r="J1426" i="5"/>
  <c r="J1427" i="5"/>
  <c r="J1428" i="5"/>
  <c r="J1429" i="5"/>
  <c r="J1430" i="5"/>
  <c r="J1431" i="5"/>
  <c r="J1432" i="5"/>
  <c r="J1433" i="5"/>
  <c r="J1434" i="5"/>
  <c r="J1435" i="5"/>
  <c r="J1436" i="5"/>
  <c r="J1437" i="5"/>
  <c r="J1438" i="5"/>
  <c r="J1439" i="5"/>
  <c r="J1440" i="5"/>
  <c r="J1441" i="5"/>
  <c r="J1442" i="5"/>
  <c r="J1443" i="5"/>
  <c r="J1444" i="5"/>
  <c r="J1445" i="5"/>
  <c r="J1446" i="5"/>
  <c r="J1447" i="5"/>
  <c r="J1448" i="5"/>
  <c r="J1449" i="5"/>
  <c r="J1450" i="5"/>
  <c r="J1451" i="5"/>
  <c r="J1452" i="5"/>
  <c r="J1453" i="5"/>
  <c r="J1454" i="5"/>
  <c r="J1455" i="5"/>
  <c r="J1456" i="5"/>
  <c r="J1457" i="5"/>
  <c r="J1458" i="5"/>
  <c r="J1459" i="5"/>
  <c r="J1460" i="5"/>
  <c r="J1461" i="5"/>
  <c r="J1462" i="5"/>
  <c r="J1463" i="5"/>
  <c r="J1464" i="5"/>
  <c r="J1465" i="5"/>
  <c r="J1466" i="5"/>
  <c r="J1467" i="5"/>
  <c r="J1468" i="5"/>
  <c r="J1469" i="5"/>
  <c r="J1470" i="5"/>
  <c r="J1471" i="5"/>
  <c r="J1472" i="5"/>
  <c r="J1473" i="5"/>
  <c r="J1474" i="5"/>
  <c r="J1475" i="5"/>
  <c r="J1476" i="5"/>
  <c r="J1477" i="5"/>
  <c r="J1478" i="5"/>
  <c r="J1479" i="5"/>
  <c r="J1480" i="5"/>
  <c r="J1481" i="5"/>
  <c r="J1482" i="5"/>
  <c r="J1483" i="5"/>
  <c r="J1484" i="5"/>
  <c r="J1485" i="5"/>
  <c r="J1486" i="5"/>
  <c r="J1487" i="5"/>
  <c r="J1488" i="5"/>
  <c r="J1489" i="5"/>
  <c r="J1490" i="5"/>
  <c r="J1491" i="5"/>
  <c r="J1492" i="5"/>
  <c r="J1493" i="5"/>
  <c r="J1494" i="5"/>
  <c r="J1495" i="5"/>
  <c r="J1496" i="5"/>
  <c r="J1497" i="5"/>
  <c r="J1498" i="5"/>
  <c r="J1499" i="5"/>
  <c r="J1500" i="5"/>
  <c r="J1501" i="5"/>
  <c r="J1502" i="5"/>
  <c r="J1503" i="5"/>
  <c r="J1504" i="5"/>
  <c r="J1505" i="5"/>
  <c r="J1506" i="5"/>
  <c r="J1507" i="5"/>
  <c r="J1508" i="5"/>
  <c r="J1509" i="5"/>
  <c r="J1510" i="5"/>
  <c r="J1511" i="5"/>
  <c r="J1512" i="5"/>
  <c r="J1513" i="5"/>
  <c r="J1514" i="5"/>
  <c r="J1515" i="5"/>
  <c r="J1516" i="5"/>
  <c r="J1517" i="5"/>
  <c r="J1518" i="5"/>
  <c r="J1519" i="5"/>
  <c r="J1520" i="5"/>
  <c r="J1521" i="5"/>
  <c r="J1522" i="5"/>
  <c r="J1523" i="5"/>
  <c r="J1524" i="5"/>
  <c r="J1525" i="5"/>
  <c r="J1526" i="5"/>
  <c r="J1527" i="5"/>
  <c r="J1528" i="5"/>
  <c r="J1529" i="5"/>
  <c r="J1530" i="5"/>
  <c r="J1531" i="5"/>
  <c r="J1532" i="5"/>
  <c r="J1533" i="5"/>
  <c r="J1534" i="5"/>
  <c r="J1535" i="5"/>
  <c r="J1536" i="5"/>
  <c r="J1537" i="5"/>
  <c r="J1538" i="5"/>
  <c r="J1539" i="5"/>
  <c r="J1540" i="5"/>
  <c r="J1541" i="5"/>
  <c r="J1542" i="5"/>
  <c r="J1543" i="5"/>
  <c r="J1544" i="5"/>
  <c r="J1545" i="5"/>
  <c r="J1546" i="5"/>
  <c r="J1547" i="5"/>
  <c r="J1548" i="5"/>
  <c r="J1549" i="5"/>
  <c r="J1550" i="5"/>
  <c r="J1551" i="5"/>
  <c r="J1552" i="5"/>
  <c r="J1553" i="5"/>
  <c r="J1554" i="5"/>
  <c r="J1555" i="5"/>
  <c r="J1556" i="5"/>
  <c r="J1557" i="5"/>
  <c r="J1558" i="5"/>
  <c r="J1559" i="5"/>
  <c r="J1560" i="5"/>
  <c r="J1561" i="5"/>
  <c r="J1562" i="5"/>
  <c r="J1563" i="5"/>
  <c r="J1564" i="5"/>
  <c r="J1565" i="5"/>
  <c r="J1566" i="5"/>
  <c r="J1567" i="5"/>
  <c r="J1568" i="5"/>
  <c r="J1569" i="5"/>
  <c r="J1570" i="5"/>
  <c r="J1571" i="5"/>
  <c r="J1572" i="5"/>
  <c r="J1573" i="5"/>
  <c r="J1574" i="5"/>
  <c r="J1575" i="5"/>
  <c r="J1576" i="5"/>
  <c r="J1577" i="5"/>
  <c r="J1578" i="5"/>
  <c r="J1579" i="5"/>
  <c r="J1580" i="5"/>
  <c r="J1581" i="5"/>
  <c r="J1582" i="5"/>
  <c r="J1583" i="5"/>
  <c r="J1584" i="5"/>
  <c r="J1585" i="5"/>
  <c r="J1586" i="5"/>
  <c r="J1587" i="5"/>
  <c r="J1588" i="5"/>
  <c r="J1589" i="5"/>
  <c r="J1590" i="5"/>
  <c r="J1591" i="5"/>
  <c r="J1592" i="5"/>
  <c r="J1593" i="5"/>
  <c r="J1594" i="5"/>
  <c r="J1595" i="5"/>
  <c r="J1596" i="5"/>
  <c r="J1597" i="5"/>
  <c r="J1598" i="5"/>
  <c r="J1599" i="5"/>
  <c r="J1600" i="5"/>
  <c r="J1601" i="5"/>
  <c r="J1602" i="5"/>
  <c r="J1603" i="5"/>
  <c r="J1604" i="5"/>
  <c r="J1605" i="5"/>
  <c r="J1606" i="5"/>
  <c r="J1607" i="5"/>
  <c r="J1608" i="5"/>
  <c r="J1609" i="5"/>
  <c r="J1610" i="5"/>
  <c r="J1611" i="5"/>
  <c r="J1612" i="5"/>
  <c r="J1613" i="5"/>
  <c r="J1614" i="5"/>
  <c r="J1615" i="5"/>
  <c r="J1616" i="5"/>
  <c r="J1617" i="5"/>
  <c r="J1618" i="5"/>
  <c r="J1619" i="5"/>
  <c r="J1620" i="5"/>
  <c r="J1621" i="5"/>
  <c r="J1622" i="5"/>
  <c r="J1623" i="5"/>
  <c r="J1624" i="5"/>
  <c r="J1625" i="5"/>
  <c r="J1626" i="5"/>
  <c r="J1627" i="5"/>
  <c r="J1628" i="5"/>
  <c r="J1629" i="5"/>
  <c r="J1630" i="5"/>
  <c r="J1631" i="5"/>
  <c r="J1632" i="5"/>
  <c r="J1633" i="5"/>
  <c r="J1634" i="5"/>
  <c r="J1635" i="5"/>
  <c r="J1636" i="5"/>
  <c r="J1637" i="5"/>
  <c r="J1638" i="5"/>
  <c r="J1639" i="5"/>
  <c r="J1640" i="5"/>
  <c r="J1641" i="5"/>
  <c r="J1642" i="5"/>
  <c r="J1643" i="5"/>
  <c r="J1644" i="5"/>
  <c r="J1645" i="5"/>
  <c r="J1646" i="5"/>
  <c r="J1647" i="5"/>
  <c r="J1648" i="5"/>
  <c r="J1649" i="5"/>
  <c r="J1650" i="5"/>
  <c r="J1651" i="5"/>
  <c r="J1652" i="5"/>
  <c r="J1653" i="5"/>
  <c r="J1654" i="5"/>
  <c r="J1655" i="5"/>
  <c r="J1656" i="5"/>
  <c r="J1657" i="5"/>
  <c r="J1658" i="5"/>
  <c r="J1659" i="5"/>
  <c r="J1660" i="5"/>
  <c r="J1661" i="5"/>
  <c r="J1662" i="5"/>
  <c r="J1663" i="5"/>
  <c r="J1664" i="5"/>
  <c r="J1665" i="5"/>
  <c r="J1666" i="5"/>
  <c r="J1667" i="5"/>
  <c r="J1668" i="5"/>
  <c r="J1669" i="5"/>
  <c r="J1670" i="5"/>
  <c r="J1671" i="5"/>
  <c r="J1672" i="5"/>
  <c r="J1673" i="5"/>
  <c r="J1674" i="5"/>
  <c r="J1675" i="5"/>
  <c r="J1676" i="5"/>
  <c r="J1677" i="5"/>
  <c r="J1678" i="5"/>
  <c r="J1679" i="5"/>
  <c r="J1680" i="5"/>
  <c r="J1681" i="5"/>
  <c r="J1682" i="5"/>
  <c r="J1683" i="5"/>
  <c r="J1684" i="5"/>
  <c r="J1685" i="5"/>
  <c r="J1686" i="5"/>
  <c r="J1687" i="5"/>
  <c r="J1688" i="5"/>
  <c r="J1689" i="5"/>
  <c r="J1690" i="5"/>
  <c r="J1691" i="5"/>
  <c r="J1692" i="5"/>
  <c r="J1693" i="5"/>
  <c r="J1694" i="5"/>
  <c r="J1695" i="5"/>
  <c r="J1696" i="5"/>
  <c r="J1697" i="5"/>
  <c r="J1698" i="5"/>
  <c r="J1699" i="5"/>
  <c r="J1700" i="5"/>
  <c r="J1701" i="5"/>
  <c r="J1702" i="5"/>
  <c r="J1703" i="5"/>
  <c r="J1704" i="5"/>
  <c r="J1705" i="5"/>
  <c r="J1706" i="5"/>
  <c r="J1707" i="5"/>
  <c r="J1708" i="5"/>
  <c r="J1709" i="5"/>
  <c r="J1710" i="5"/>
  <c r="J1711" i="5"/>
  <c r="J1712" i="5"/>
  <c r="J1713" i="5"/>
  <c r="J1714" i="5"/>
  <c r="J1715" i="5"/>
  <c r="J1716" i="5"/>
  <c r="J1717" i="5"/>
  <c r="J1718" i="5"/>
  <c r="J1719" i="5"/>
  <c r="J1720" i="5"/>
  <c r="J1721" i="5"/>
  <c r="J1722" i="5"/>
  <c r="J1723" i="5"/>
  <c r="J1724" i="5"/>
  <c r="J1725" i="5"/>
  <c r="J1726" i="5"/>
  <c r="J1727" i="5"/>
  <c r="J1728" i="5"/>
  <c r="J1729" i="5"/>
  <c r="J1730" i="5"/>
  <c r="J1731" i="5"/>
  <c r="J1732" i="5"/>
  <c r="J1733" i="5"/>
  <c r="J1734" i="5"/>
  <c r="J1735" i="5"/>
  <c r="J1736" i="5"/>
  <c r="J1737" i="5"/>
  <c r="J1738" i="5"/>
  <c r="J1739" i="5"/>
  <c r="J1740" i="5"/>
  <c r="J1741" i="5"/>
  <c r="J1742" i="5"/>
  <c r="J1743" i="5"/>
  <c r="J1744" i="5"/>
  <c r="J1745" i="5"/>
  <c r="J1746" i="5"/>
  <c r="J1747" i="5"/>
  <c r="J1748" i="5"/>
  <c r="J1749" i="5"/>
  <c r="J1750" i="5"/>
  <c r="J1751" i="5"/>
  <c r="J1752" i="5"/>
  <c r="J1753" i="5"/>
  <c r="J1754" i="5"/>
  <c r="J1755" i="5"/>
  <c r="J1756" i="5"/>
  <c r="J1757" i="5"/>
  <c r="J1758" i="5"/>
  <c r="J1759" i="5"/>
  <c r="J1760" i="5"/>
  <c r="J1761" i="5"/>
  <c r="J1762" i="5"/>
  <c r="J1763" i="5"/>
  <c r="J1764" i="5"/>
  <c r="J1765" i="5"/>
  <c r="J1766" i="5"/>
  <c r="J1767" i="5"/>
  <c r="J1768" i="5"/>
  <c r="J1769" i="5"/>
  <c r="J1770" i="5"/>
  <c r="J1771" i="5"/>
  <c r="J1772" i="5"/>
  <c r="J1773" i="5"/>
  <c r="J1774" i="5"/>
  <c r="J1775" i="5"/>
  <c r="J1776" i="5"/>
  <c r="J1777" i="5"/>
  <c r="J1778" i="5"/>
  <c r="J1779" i="5"/>
  <c r="J1780" i="5"/>
  <c r="J1781" i="5"/>
  <c r="J1782" i="5"/>
  <c r="J1783" i="5"/>
  <c r="J1784" i="5"/>
  <c r="J1785" i="5"/>
  <c r="J1786" i="5"/>
  <c r="J1787" i="5"/>
  <c r="J1788" i="5"/>
  <c r="J1789" i="5"/>
  <c r="J1790" i="5"/>
  <c r="J1791" i="5"/>
  <c r="J1792" i="5"/>
  <c r="J1793" i="5"/>
  <c r="J1794" i="5"/>
  <c r="J1795" i="5"/>
  <c r="J1796" i="5"/>
  <c r="J1797" i="5"/>
  <c r="J1798" i="5"/>
  <c r="J1799" i="5"/>
  <c r="J1800" i="5"/>
  <c r="J1801" i="5"/>
  <c r="J1802" i="5"/>
  <c r="J1803" i="5"/>
  <c r="J1804" i="5"/>
  <c r="J1805" i="5"/>
  <c r="J1806" i="5"/>
  <c r="J1807" i="5"/>
  <c r="J1808" i="5"/>
  <c r="J1809" i="5"/>
  <c r="J1810" i="5"/>
  <c r="J1811" i="5"/>
  <c r="J1812" i="5"/>
  <c r="J1813" i="5"/>
  <c r="J1814" i="5"/>
  <c r="J1815" i="5"/>
  <c r="J1816" i="5"/>
  <c r="J1817" i="5"/>
  <c r="J1818" i="5"/>
  <c r="J1819" i="5"/>
  <c r="J1820" i="5"/>
  <c r="J1821" i="5"/>
  <c r="J1822" i="5"/>
  <c r="J1823" i="5"/>
  <c r="J1824" i="5"/>
  <c r="J1825" i="5"/>
  <c r="J1826" i="5"/>
  <c r="J1827" i="5"/>
  <c r="J1828" i="5"/>
  <c r="J1829" i="5"/>
  <c r="J1830" i="5"/>
  <c r="J1831" i="5"/>
  <c r="J1832" i="5"/>
  <c r="J1833" i="5"/>
  <c r="J1834" i="5"/>
  <c r="J1835" i="5"/>
  <c r="J1836" i="5"/>
  <c r="J1837" i="5"/>
  <c r="J1838" i="5"/>
  <c r="J1839" i="5"/>
  <c r="J1840" i="5"/>
  <c r="J1841" i="5"/>
  <c r="J1842" i="5"/>
  <c r="J1843" i="5"/>
  <c r="J1844" i="5"/>
  <c r="J1845" i="5"/>
  <c r="J1846" i="5"/>
  <c r="J1847" i="5"/>
  <c r="J1848" i="5"/>
  <c r="J1849" i="5"/>
  <c r="J1850" i="5"/>
  <c r="J1851" i="5"/>
  <c r="J1852" i="5"/>
  <c r="J1853" i="5"/>
  <c r="J1854" i="5"/>
  <c r="J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1470" i="5"/>
  <c r="I1471" i="5"/>
  <c r="I1472" i="5"/>
  <c r="I1473" i="5"/>
  <c r="I1474" i="5"/>
  <c r="I1475" i="5"/>
  <c r="I1476" i="5"/>
  <c r="I1477" i="5"/>
  <c r="I1478" i="5"/>
  <c r="I1479" i="5"/>
  <c r="I1480" i="5"/>
  <c r="I1481" i="5"/>
  <c r="I1482" i="5"/>
  <c r="I1483" i="5"/>
  <c r="I1484" i="5"/>
  <c r="I1485" i="5"/>
  <c r="I1486" i="5"/>
  <c r="I1487" i="5"/>
  <c r="I1488" i="5"/>
  <c r="I1489" i="5"/>
  <c r="I1490" i="5"/>
  <c r="I1491" i="5"/>
  <c r="I1492" i="5"/>
  <c r="I1493" i="5"/>
  <c r="I1494" i="5"/>
  <c r="I1495" i="5"/>
  <c r="I1496" i="5"/>
  <c r="I1497" i="5"/>
  <c r="I1498" i="5"/>
  <c r="I1499" i="5"/>
  <c r="I1500" i="5"/>
  <c r="I1501" i="5"/>
  <c r="I1502" i="5"/>
  <c r="I1503" i="5"/>
  <c r="I1504" i="5"/>
  <c r="I1505" i="5"/>
  <c r="I1506" i="5"/>
  <c r="I1507" i="5"/>
  <c r="I1508" i="5"/>
  <c r="I1509" i="5"/>
  <c r="I1510" i="5"/>
  <c r="I1511" i="5"/>
  <c r="I1512" i="5"/>
  <c r="I1513" i="5"/>
  <c r="I1514" i="5"/>
  <c r="I1515" i="5"/>
  <c r="I1516" i="5"/>
  <c r="I1517" i="5"/>
  <c r="I1518" i="5"/>
  <c r="I1519" i="5"/>
  <c r="I1520" i="5"/>
  <c r="I1521" i="5"/>
  <c r="I1522" i="5"/>
  <c r="I1523" i="5"/>
  <c r="I1524" i="5"/>
  <c r="I1525" i="5"/>
  <c r="I1526" i="5"/>
  <c r="I1527" i="5"/>
  <c r="I1528" i="5"/>
  <c r="I1529" i="5"/>
  <c r="I1530" i="5"/>
  <c r="I1531" i="5"/>
  <c r="I1532" i="5"/>
  <c r="I1533" i="5"/>
  <c r="I1534" i="5"/>
  <c r="I1535" i="5"/>
  <c r="I1536" i="5"/>
  <c r="I1537" i="5"/>
  <c r="I1538" i="5"/>
  <c r="I1539" i="5"/>
  <c r="I1540" i="5"/>
  <c r="I1541" i="5"/>
  <c r="I1542" i="5"/>
  <c r="I1543" i="5"/>
  <c r="I1544" i="5"/>
  <c r="I1545" i="5"/>
  <c r="I1546" i="5"/>
  <c r="I1547" i="5"/>
  <c r="I1548" i="5"/>
  <c r="I1549" i="5"/>
  <c r="I1550" i="5"/>
  <c r="I1551" i="5"/>
  <c r="I1552" i="5"/>
  <c r="I1553" i="5"/>
  <c r="I1554" i="5"/>
  <c r="I1555" i="5"/>
  <c r="I1556" i="5"/>
  <c r="I1557" i="5"/>
  <c r="I1558" i="5"/>
  <c r="I1559" i="5"/>
  <c r="I1560" i="5"/>
  <c r="I1561" i="5"/>
  <c r="I1562" i="5"/>
  <c r="I1563" i="5"/>
  <c r="I1564" i="5"/>
  <c r="I1565" i="5"/>
  <c r="I1566" i="5"/>
  <c r="I1567" i="5"/>
  <c r="I1568" i="5"/>
  <c r="I1569" i="5"/>
  <c r="I1570" i="5"/>
  <c r="I1571" i="5"/>
  <c r="I1572" i="5"/>
  <c r="I1573" i="5"/>
  <c r="I1574" i="5"/>
  <c r="I1575" i="5"/>
  <c r="I1576" i="5"/>
  <c r="I1577" i="5"/>
  <c r="I1578" i="5"/>
  <c r="I1579" i="5"/>
  <c r="I1580" i="5"/>
  <c r="I1581" i="5"/>
  <c r="I1582" i="5"/>
  <c r="I1583" i="5"/>
  <c r="I1584" i="5"/>
  <c r="I1585" i="5"/>
  <c r="I1586" i="5"/>
  <c r="I1587" i="5"/>
  <c r="I1588" i="5"/>
  <c r="I1589" i="5"/>
  <c r="I1590" i="5"/>
  <c r="I1591" i="5"/>
  <c r="I1592" i="5"/>
  <c r="I1593" i="5"/>
  <c r="I1594" i="5"/>
  <c r="I1595" i="5"/>
  <c r="I1596" i="5"/>
  <c r="I1597" i="5"/>
  <c r="I1598" i="5"/>
  <c r="I1599" i="5"/>
  <c r="I1600" i="5"/>
  <c r="I1601" i="5"/>
  <c r="I1602" i="5"/>
  <c r="I1603" i="5"/>
  <c r="I1604" i="5"/>
  <c r="I1605" i="5"/>
  <c r="I1606" i="5"/>
  <c r="I1607" i="5"/>
  <c r="I1608" i="5"/>
  <c r="I1609" i="5"/>
  <c r="I1610" i="5"/>
  <c r="I1611" i="5"/>
  <c r="I1612" i="5"/>
  <c r="I1613" i="5"/>
  <c r="I1614" i="5"/>
  <c r="I1615" i="5"/>
  <c r="I1616" i="5"/>
  <c r="I1617" i="5"/>
  <c r="I1618" i="5"/>
  <c r="I1619" i="5"/>
  <c r="I1620" i="5"/>
  <c r="I1621" i="5"/>
  <c r="I1622" i="5"/>
  <c r="I1623" i="5"/>
  <c r="I1624" i="5"/>
  <c r="I1625" i="5"/>
  <c r="I1626" i="5"/>
  <c r="I1627" i="5"/>
  <c r="I1628" i="5"/>
  <c r="I1629" i="5"/>
  <c r="I1630" i="5"/>
  <c r="I1631" i="5"/>
  <c r="I1632" i="5"/>
  <c r="I1633" i="5"/>
  <c r="I1634" i="5"/>
  <c r="I1635" i="5"/>
  <c r="I1636" i="5"/>
  <c r="I1637" i="5"/>
  <c r="I1638" i="5"/>
  <c r="I1639" i="5"/>
  <c r="I1640" i="5"/>
  <c r="I1641" i="5"/>
  <c r="I1642" i="5"/>
  <c r="I1643" i="5"/>
  <c r="I1644" i="5"/>
  <c r="I1645" i="5"/>
  <c r="I1646" i="5"/>
  <c r="I1647" i="5"/>
  <c r="I1648" i="5"/>
  <c r="I1649" i="5"/>
  <c r="I1650" i="5"/>
  <c r="I1651" i="5"/>
  <c r="I1652" i="5"/>
  <c r="I1653" i="5"/>
  <c r="I1654" i="5"/>
  <c r="I1655" i="5"/>
  <c r="I1656" i="5"/>
  <c r="I1657" i="5"/>
  <c r="I1658" i="5"/>
  <c r="I1659" i="5"/>
  <c r="I1660" i="5"/>
  <c r="I1661" i="5"/>
  <c r="I1662" i="5"/>
  <c r="I1663" i="5"/>
  <c r="I1664" i="5"/>
  <c r="I1665" i="5"/>
  <c r="I1666" i="5"/>
  <c r="I1667" i="5"/>
  <c r="I1668" i="5"/>
  <c r="I1669" i="5"/>
  <c r="I1670" i="5"/>
  <c r="I1671" i="5"/>
  <c r="I1672" i="5"/>
  <c r="I1673" i="5"/>
  <c r="I1674" i="5"/>
  <c r="I1675" i="5"/>
  <c r="I1676" i="5"/>
  <c r="I1677" i="5"/>
  <c r="I1678" i="5"/>
  <c r="I1679" i="5"/>
  <c r="I1680" i="5"/>
  <c r="I1681" i="5"/>
  <c r="I1682" i="5"/>
  <c r="I1683" i="5"/>
  <c r="I1684" i="5"/>
  <c r="I1685" i="5"/>
  <c r="I1686" i="5"/>
  <c r="I1687" i="5"/>
  <c r="I1688" i="5"/>
  <c r="I1689" i="5"/>
  <c r="I1690" i="5"/>
  <c r="I1691" i="5"/>
  <c r="I1692" i="5"/>
  <c r="I1693" i="5"/>
  <c r="I1694" i="5"/>
  <c r="I1695" i="5"/>
  <c r="I1696" i="5"/>
  <c r="I1697" i="5"/>
  <c r="I1698" i="5"/>
  <c r="I1699" i="5"/>
  <c r="I1700" i="5"/>
  <c r="I1701" i="5"/>
  <c r="I1702" i="5"/>
  <c r="I1703" i="5"/>
  <c r="I1704" i="5"/>
  <c r="I1705" i="5"/>
  <c r="I1706" i="5"/>
  <c r="I1707" i="5"/>
  <c r="I1708" i="5"/>
  <c r="I1709" i="5"/>
  <c r="I1710" i="5"/>
  <c r="I1711" i="5"/>
  <c r="I1712" i="5"/>
  <c r="I1713" i="5"/>
  <c r="I1714" i="5"/>
  <c r="I1715" i="5"/>
  <c r="I1716" i="5"/>
  <c r="I1717" i="5"/>
  <c r="I1718" i="5"/>
  <c r="I1719" i="5"/>
  <c r="I1720" i="5"/>
  <c r="I1721" i="5"/>
  <c r="I1722" i="5"/>
  <c r="I1723" i="5"/>
  <c r="I1724" i="5"/>
  <c r="I1725" i="5"/>
  <c r="I1726" i="5"/>
  <c r="I1727" i="5"/>
  <c r="I1728" i="5"/>
  <c r="I1729" i="5"/>
  <c r="I1730" i="5"/>
  <c r="I1731" i="5"/>
  <c r="I1732" i="5"/>
  <c r="I1733" i="5"/>
  <c r="I1734" i="5"/>
  <c r="I1735" i="5"/>
  <c r="I1736" i="5"/>
  <c r="I1737" i="5"/>
  <c r="I1738" i="5"/>
  <c r="I1739" i="5"/>
  <c r="I1740" i="5"/>
  <c r="I1741" i="5"/>
  <c r="I1742" i="5"/>
  <c r="I1743" i="5"/>
  <c r="I1744" i="5"/>
  <c r="I1745" i="5"/>
  <c r="I1746" i="5"/>
  <c r="I1747" i="5"/>
  <c r="I1748" i="5"/>
  <c r="I1749" i="5"/>
  <c r="I1750" i="5"/>
  <c r="I1751" i="5"/>
  <c r="I1752" i="5"/>
  <c r="I1753" i="5"/>
  <c r="I1754" i="5"/>
  <c r="I1755" i="5"/>
  <c r="I1756" i="5"/>
  <c r="I1757" i="5"/>
  <c r="I1758" i="5"/>
  <c r="I1759" i="5"/>
  <c r="I1760" i="5"/>
  <c r="I1761" i="5"/>
  <c r="I1762" i="5"/>
  <c r="I1763" i="5"/>
  <c r="I1764" i="5"/>
  <c r="I1765" i="5"/>
  <c r="I1766" i="5"/>
  <c r="I1767" i="5"/>
  <c r="I1768" i="5"/>
  <c r="I1769" i="5"/>
  <c r="I1770" i="5"/>
  <c r="I1771" i="5"/>
  <c r="I1772" i="5"/>
  <c r="I1773" i="5"/>
  <c r="I1774" i="5"/>
  <c r="I1775" i="5"/>
  <c r="I1776" i="5"/>
  <c r="I1777" i="5"/>
  <c r="I1778" i="5"/>
  <c r="I1779" i="5"/>
  <c r="I1780" i="5"/>
  <c r="I1781" i="5"/>
  <c r="I1782" i="5"/>
  <c r="I1783" i="5"/>
  <c r="I1784" i="5"/>
  <c r="I1785" i="5"/>
  <c r="I1786" i="5"/>
  <c r="I1787" i="5"/>
  <c r="I1788" i="5"/>
  <c r="I1789" i="5"/>
  <c r="I1790" i="5"/>
  <c r="I1791" i="5"/>
  <c r="I1792" i="5"/>
  <c r="I1793" i="5"/>
  <c r="I1794" i="5"/>
  <c r="I1795" i="5"/>
  <c r="I1796" i="5"/>
  <c r="I1797" i="5"/>
  <c r="I1798" i="5"/>
  <c r="I1799" i="5"/>
  <c r="I1800" i="5"/>
  <c r="I1801" i="5"/>
  <c r="I1802" i="5"/>
  <c r="I1803" i="5"/>
  <c r="I1804" i="5"/>
  <c r="I1805" i="5"/>
  <c r="I1806" i="5"/>
  <c r="I1807" i="5"/>
  <c r="I1808" i="5"/>
  <c r="I1809" i="5"/>
  <c r="I1810" i="5"/>
  <c r="I1811" i="5"/>
  <c r="I1812" i="5"/>
  <c r="I1813" i="5"/>
  <c r="I1814" i="5"/>
  <c r="I1815" i="5"/>
  <c r="I1816" i="5"/>
  <c r="I1817" i="5"/>
  <c r="I1818" i="5"/>
  <c r="I1819" i="5"/>
  <c r="I1820" i="5"/>
  <c r="I1821" i="5"/>
  <c r="I1822" i="5"/>
  <c r="I1823" i="5"/>
  <c r="I1824" i="5"/>
  <c r="I1825" i="5"/>
  <c r="I1826" i="5"/>
  <c r="I1827" i="5"/>
  <c r="I1828" i="5"/>
  <c r="I1829" i="5"/>
  <c r="I1830" i="5"/>
  <c r="I1831" i="5"/>
  <c r="I1832" i="5"/>
  <c r="I1833" i="5"/>
  <c r="I1834" i="5"/>
  <c r="I1835" i="5"/>
  <c r="I1836" i="5"/>
  <c r="I1837" i="5"/>
  <c r="I1838" i="5"/>
  <c r="I1839" i="5"/>
  <c r="I1840" i="5"/>
  <c r="I1841" i="5"/>
  <c r="I1842" i="5"/>
  <c r="I1843" i="5"/>
  <c r="I1844" i="5"/>
  <c r="I1845" i="5"/>
  <c r="I1846" i="5"/>
  <c r="I1847" i="5"/>
  <c r="I1848" i="5"/>
  <c r="I1849" i="5"/>
  <c r="I1850" i="5"/>
  <c r="I1851" i="5"/>
  <c r="I1852" i="5"/>
  <c r="I1853" i="5"/>
  <c r="I1854" i="5"/>
  <c r="I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378" i="5"/>
  <c r="R1725" i="5" l="1"/>
  <c r="L249" i="4" l="1"/>
</calcChain>
</file>

<file path=xl/sharedStrings.xml><?xml version="1.0" encoding="utf-8"?>
<sst xmlns="http://schemas.openxmlformats.org/spreadsheetml/2006/main" count="11159" uniqueCount="59">
  <si>
    <t>Ring #</t>
  </si>
  <si>
    <t>Light/Dark</t>
  </si>
  <si>
    <t>light</t>
  </si>
  <si>
    <t xml:space="preserve">dark </t>
  </si>
  <si>
    <t xml:space="preserve">light </t>
  </si>
  <si>
    <t>EF02</t>
  </si>
  <si>
    <t>dark</t>
  </si>
  <si>
    <t>EF01</t>
  </si>
  <si>
    <t>EF03</t>
  </si>
  <si>
    <t>CS04</t>
  </si>
  <si>
    <t>PAR, µmol/m²/s (LGR S/N: 20205284, SEN S/N: 20189138)</t>
  </si>
  <si>
    <t>No PAR data</t>
  </si>
  <si>
    <t>Air temp C</t>
  </si>
  <si>
    <t>Date</t>
  </si>
  <si>
    <t>Start time</t>
  </si>
  <si>
    <t xml:space="preserve">End time </t>
  </si>
  <si>
    <t>PAR time</t>
  </si>
  <si>
    <t>Soil mosture %</t>
  </si>
  <si>
    <t>Spad (0-100)</t>
  </si>
  <si>
    <t>G.S. (NDVI 0.00-.99)</t>
  </si>
  <si>
    <r>
      <t>CH</t>
    </r>
    <r>
      <rPr>
        <vertAlign val="subscript"/>
        <sz val="16"/>
        <color theme="1"/>
        <rFont val="Calibri"/>
        <family val="2"/>
        <scheme val="minor"/>
      </rPr>
      <t>4</t>
    </r>
    <r>
      <rPr>
        <sz val="16"/>
        <color theme="1"/>
        <rFont val="Calibri"/>
        <family val="2"/>
        <scheme val="minor"/>
      </rPr>
      <t xml:space="preserve"> (</t>
    </r>
    <r>
      <rPr>
        <sz val="16"/>
        <color theme="1"/>
        <rFont val="Symbol"/>
        <family val="1"/>
        <charset val="2"/>
      </rPr>
      <t>m</t>
    </r>
    <r>
      <rPr>
        <sz val="16"/>
        <color theme="1"/>
        <rFont val="Calibri"/>
        <family val="2"/>
        <scheme val="minor"/>
      </rPr>
      <t>mol/m</t>
    </r>
    <r>
      <rPr>
        <vertAlign val="superscript"/>
        <sz val="16"/>
        <color theme="1"/>
        <rFont val="Calibri"/>
        <family val="2"/>
        <scheme val="minor"/>
      </rPr>
      <t>2</t>
    </r>
    <r>
      <rPr>
        <sz val="16"/>
        <color theme="1"/>
        <rFont val="Calibri"/>
        <family val="2"/>
        <scheme val="minor"/>
      </rPr>
      <t>/s) ppm</t>
    </r>
  </si>
  <si>
    <r>
      <t>CO</t>
    </r>
    <r>
      <rPr>
        <vertAlign val="subscript"/>
        <sz val="16"/>
        <color theme="1"/>
        <rFont val="Calibri"/>
        <family val="2"/>
        <scheme val="minor"/>
      </rPr>
      <t>2</t>
    </r>
    <r>
      <rPr>
        <sz val="16"/>
        <color theme="1"/>
        <rFont val="Calibri"/>
        <family val="2"/>
        <scheme val="minor"/>
      </rPr>
      <t xml:space="preserve">( </t>
    </r>
    <r>
      <rPr>
        <sz val="16"/>
        <color theme="1"/>
        <rFont val="Symbol"/>
        <family val="1"/>
        <charset val="2"/>
      </rPr>
      <t>m</t>
    </r>
    <r>
      <rPr>
        <sz val="16"/>
        <color theme="1"/>
        <rFont val="Calibri"/>
        <family val="2"/>
        <scheme val="minor"/>
      </rPr>
      <t>mol/m</t>
    </r>
    <r>
      <rPr>
        <vertAlign val="superscript"/>
        <sz val="16"/>
        <color theme="1"/>
        <rFont val="Calibri"/>
        <family val="2"/>
        <scheme val="minor"/>
      </rPr>
      <t>2</t>
    </r>
    <r>
      <rPr>
        <sz val="16"/>
        <color theme="1"/>
        <rFont val="Calibri"/>
        <family val="2"/>
        <scheme val="minor"/>
      </rPr>
      <t>/s) ppm</t>
    </r>
  </si>
  <si>
    <t xml:space="preserve">Site </t>
  </si>
  <si>
    <t>Air temp C°</t>
  </si>
  <si>
    <t>DOY</t>
  </si>
  <si>
    <t>DOY+Start Time</t>
  </si>
  <si>
    <t>DOY+End Time</t>
  </si>
  <si>
    <t>DOY+Mean time</t>
  </si>
  <si>
    <r>
      <t>CO</t>
    </r>
    <r>
      <rPr>
        <vertAlign val="subscript"/>
        <sz val="16"/>
        <color theme="1"/>
        <rFont val="Calibri"/>
        <family val="2"/>
        <scheme val="minor"/>
      </rPr>
      <t>2</t>
    </r>
    <r>
      <rPr>
        <sz val="16"/>
        <color theme="1"/>
        <rFont val="Calibri"/>
        <family val="2"/>
        <scheme val="minor"/>
      </rPr>
      <t xml:space="preserve">( </t>
    </r>
    <r>
      <rPr>
        <sz val="16"/>
        <color theme="1"/>
        <rFont val="Symbol"/>
        <family val="1"/>
        <charset val="2"/>
      </rPr>
      <t>m</t>
    </r>
    <r>
      <rPr>
        <sz val="16"/>
        <color theme="1"/>
        <rFont val="Calibri"/>
        <family val="2"/>
        <scheme val="minor"/>
      </rPr>
      <t>mol/m</t>
    </r>
    <r>
      <rPr>
        <vertAlign val="superscript"/>
        <sz val="16"/>
        <color theme="1"/>
        <rFont val="Calibri"/>
        <family val="2"/>
        <scheme val="minor"/>
      </rPr>
      <t>2</t>
    </r>
    <r>
      <rPr>
        <sz val="16"/>
        <color theme="1"/>
        <rFont val="Calibri"/>
        <family val="2"/>
        <scheme val="minor"/>
      </rPr>
      <t xml:space="preserve">/s) </t>
    </r>
  </si>
  <si>
    <r>
      <t>CH</t>
    </r>
    <r>
      <rPr>
        <vertAlign val="subscript"/>
        <sz val="16"/>
        <color theme="1"/>
        <rFont val="Calibri"/>
        <family val="2"/>
        <scheme val="minor"/>
      </rPr>
      <t>4</t>
    </r>
    <r>
      <rPr>
        <sz val="16"/>
        <color theme="1"/>
        <rFont val="Calibri"/>
        <family val="2"/>
        <scheme val="minor"/>
      </rPr>
      <t xml:space="preserve"> (</t>
    </r>
    <r>
      <rPr>
        <sz val="16"/>
        <color theme="1"/>
        <rFont val="Symbol"/>
        <family val="1"/>
        <charset val="2"/>
      </rPr>
      <t>m</t>
    </r>
    <r>
      <rPr>
        <sz val="16"/>
        <color theme="1"/>
        <rFont val="Calibri"/>
        <family val="2"/>
        <scheme val="minor"/>
      </rPr>
      <t>mol/m</t>
    </r>
    <r>
      <rPr>
        <vertAlign val="superscript"/>
        <sz val="16"/>
        <color theme="1"/>
        <rFont val="Calibri"/>
        <family val="2"/>
        <scheme val="minor"/>
      </rPr>
      <t>2</t>
    </r>
    <r>
      <rPr>
        <sz val="16"/>
        <color theme="1"/>
        <rFont val="Calibri"/>
        <family val="2"/>
        <scheme val="minor"/>
      </rPr>
      <t>/s)</t>
    </r>
  </si>
  <si>
    <r>
      <t>CO</t>
    </r>
    <r>
      <rPr>
        <vertAlign val="subscript"/>
        <sz val="16"/>
        <color theme="1"/>
        <rFont val="Calibri"/>
        <family val="2"/>
        <scheme val="minor"/>
      </rPr>
      <t>2</t>
    </r>
    <r>
      <rPr>
        <sz val="16"/>
        <color theme="1"/>
        <rFont val="Calibri"/>
        <family val="2"/>
        <scheme val="minor"/>
      </rPr>
      <t xml:space="preserve">( </t>
    </r>
    <r>
      <rPr>
        <sz val="16"/>
        <color theme="1"/>
        <rFont val="Symbol"/>
        <family val="1"/>
        <charset val="2"/>
      </rPr>
      <t>m</t>
    </r>
    <r>
      <rPr>
        <sz val="16"/>
        <color theme="1"/>
        <rFont val="Calibri"/>
        <family val="2"/>
        <scheme val="minor"/>
      </rPr>
      <t>mol/m</t>
    </r>
    <r>
      <rPr>
        <vertAlign val="superscript"/>
        <sz val="16"/>
        <color theme="1"/>
        <rFont val="Calibri"/>
        <family val="2"/>
        <scheme val="minor"/>
      </rPr>
      <t>2</t>
    </r>
    <r>
      <rPr>
        <sz val="16"/>
        <color theme="1"/>
        <rFont val="Calibri"/>
        <family val="2"/>
        <scheme val="minor"/>
      </rPr>
      <t>/s) (NEP)</t>
    </r>
  </si>
  <si>
    <r>
      <t>CO</t>
    </r>
    <r>
      <rPr>
        <vertAlign val="subscript"/>
        <sz val="16"/>
        <color theme="1"/>
        <rFont val="Calibri"/>
        <family val="2"/>
        <scheme val="minor"/>
      </rPr>
      <t>2</t>
    </r>
    <r>
      <rPr>
        <sz val="16"/>
        <color theme="1"/>
        <rFont val="Calibri"/>
        <family val="2"/>
        <scheme val="minor"/>
      </rPr>
      <t xml:space="preserve">( </t>
    </r>
    <r>
      <rPr>
        <sz val="16"/>
        <color theme="1"/>
        <rFont val="Symbol"/>
        <family val="1"/>
        <charset val="2"/>
      </rPr>
      <t>m</t>
    </r>
    <r>
      <rPr>
        <sz val="16"/>
        <color theme="1"/>
        <rFont val="Calibri"/>
        <family val="2"/>
        <scheme val="minor"/>
      </rPr>
      <t>mol/m</t>
    </r>
    <r>
      <rPr>
        <vertAlign val="superscript"/>
        <sz val="16"/>
        <color theme="1"/>
        <rFont val="Calibri"/>
        <family val="2"/>
        <scheme val="minor"/>
      </rPr>
      <t>2</t>
    </r>
    <r>
      <rPr>
        <sz val="16"/>
        <color theme="1"/>
        <rFont val="Calibri"/>
        <family val="2"/>
        <scheme val="minor"/>
      </rPr>
      <t>/s) ®</t>
    </r>
  </si>
  <si>
    <t>DOY+Mean start/end time</t>
  </si>
  <si>
    <t>PAR mean of 5 rings</t>
  </si>
  <si>
    <t>DOY+Time mean of 5 rings</t>
  </si>
  <si>
    <t>Soil moisture % mean of 5 rings</t>
  </si>
  <si>
    <t>Air temp C mean of 5 rings</t>
  </si>
  <si>
    <t>Spad mean of 5 rings</t>
  </si>
  <si>
    <t>G.S. mean of 5 rings</t>
  </si>
  <si>
    <r>
      <t>CO</t>
    </r>
    <r>
      <rPr>
        <vertAlign val="subscript"/>
        <sz val="16"/>
        <color theme="1"/>
        <rFont val="Calibri"/>
        <family val="2"/>
        <scheme val="minor"/>
      </rPr>
      <t>2</t>
    </r>
    <r>
      <rPr>
        <sz val="16"/>
        <color theme="1"/>
        <rFont val="Calibri"/>
        <family val="2"/>
        <scheme val="minor"/>
      </rPr>
      <t xml:space="preserve">( </t>
    </r>
    <r>
      <rPr>
        <sz val="16"/>
        <color theme="1"/>
        <rFont val="Symbol"/>
        <family val="1"/>
        <charset val="2"/>
      </rPr>
      <t>m</t>
    </r>
    <r>
      <rPr>
        <sz val="16"/>
        <color theme="1"/>
        <rFont val="Calibri"/>
        <family val="2"/>
        <scheme val="minor"/>
      </rPr>
      <t>mol/m</t>
    </r>
    <r>
      <rPr>
        <vertAlign val="superscript"/>
        <sz val="16"/>
        <color theme="1"/>
        <rFont val="Calibri"/>
        <family val="2"/>
        <scheme val="minor"/>
      </rPr>
      <t>2</t>
    </r>
    <r>
      <rPr>
        <sz val="16"/>
        <color theme="1"/>
        <rFont val="Calibri"/>
        <family val="2"/>
        <scheme val="minor"/>
      </rPr>
      <t>/s) -R- mean of 5 rings</t>
    </r>
  </si>
  <si>
    <r>
      <t>CH</t>
    </r>
    <r>
      <rPr>
        <vertAlign val="subscript"/>
        <sz val="16"/>
        <color theme="1"/>
        <rFont val="Calibri"/>
        <family val="2"/>
        <scheme val="minor"/>
      </rPr>
      <t>4</t>
    </r>
    <r>
      <rPr>
        <sz val="16"/>
        <color theme="1"/>
        <rFont val="Calibri"/>
        <family val="2"/>
        <scheme val="minor"/>
      </rPr>
      <t xml:space="preserve"> (</t>
    </r>
    <r>
      <rPr>
        <sz val="16"/>
        <color theme="1"/>
        <rFont val="Symbol"/>
        <family val="1"/>
        <charset val="2"/>
      </rPr>
      <t>m</t>
    </r>
    <r>
      <rPr>
        <sz val="16"/>
        <color theme="1"/>
        <rFont val="Calibri"/>
        <family val="2"/>
        <scheme val="minor"/>
      </rPr>
      <t>mol/m</t>
    </r>
    <r>
      <rPr>
        <vertAlign val="superscript"/>
        <sz val="16"/>
        <color theme="1"/>
        <rFont val="Calibri"/>
        <family val="2"/>
        <scheme val="minor"/>
      </rPr>
      <t>2</t>
    </r>
    <r>
      <rPr>
        <sz val="16"/>
        <color theme="1"/>
        <rFont val="Calibri"/>
        <family val="2"/>
        <scheme val="minor"/>
      </rPr>
      <t>/s) mean of 5 rings</t>
    </r>
  </si>
  <si>
    <t>NEP mean of 5 rings</t>
  </si>
  <si>
    <r>
      <t>Dark CH</t>
    </r>
    <r>
      <rPr>
        <vertAlign val="subscript"/>
        <sz val="16"/>
        <color theme="1"/>
        <rFont val="Calibri"/>
        <family val="2"/>
        <scheme val="minor"/>
      </rPr>
      <t>4</t>
    </r>
    <r>
      <rPr>
        <sz val="16"/>
        <color theme="1"/>
        <rFont val="Calibri"/>
        <family val="2"/>
        <scheme val="minor"/>
      </rPr>
      <t xml:space="preserve"> (</t>
    </r>
    <r>
      <rPr>
        <sz val="16"/>
        <color theme="1"/>
        <rFont val="Symbol"/>
        <family val="1"/>
        <charset val="2"/>
      </rPr>
      <t>m</t>
    </r>
    <r>
      <rPr>
        <sz val="16"/>
        <color theme="1"/>
        <rFont val="Calibri"/>
        <family val="2"/>
        <scheme val="minor"/>
      </rPr>
      <t>mol/m</t>
    </r>
    <r>
      <rPr>
        <vertAlign val="superscript"/>
        <sz val="16"/>
        <color theme="1"/>
        <rFont val="Calibri"/>
        <family val="2"/>
        <scheme val="minor"/>
      </rPr>
      <t>2</t>
    </r>
    <r>
      <rPr>
        <sz val="16"/>
        <color theme="1"/>
        <rFont val="Calibri"/>
        <family val="2"/>
        <scheme val="minor"/>
      </rPr>
      <t>/s) mean of 5 rings</t>
    </r>
  </si>
  <si>
    <r>
      <t>Light CH</t>
    </r>
    <r>
      <rPr>
        <vertAlign val="subscript"/>
        <sz val="16"/>
        <color theme="1"/>
        <rFont val="Calibri"/>
        <family val="2"/>
        <scheme val="minor"/>
      </rPr>
      <t>4</t>
    </r>
    <r>
      <rPr>
        <sz val="16"/>
        <color theme="1"/>
        <rFont val="Calibri"/>
        <family val="2"/>
        <scheme val="minor"/>
      </rPr>
      <t xml:space="preserve"> (</t>
    </r>
    <r>
      <rPr>
        <sz val="16"/>
        <color theme="1"/>
        <rFont val="Symbol"/>
        <family val="1"/>
        <charset val="2"/>
      </rPr>
      <t>m</t>
    </r>
    <r>
      <rPr>
        <sz val="16"/>
        <color theme="1"/>
        <rFont val="Calibri"/>
        <family val="2"/>
        <scheme val="minor"/>
      </rPr>
      <t>mol/m</t>
    </r>
    <r>
      <rPr>
        <vertAlign val="superscript"/>
        <sz val="16"/>
        <color theme="1"/>
        <rFont val="Calibri"/>
        <family val="2"/>
        <scheme val="minor"/>
      </rPr>
      <t>2</t>
    </r>
    <r>
      <rPr>
        <sz val="16"/>
        <color theme="1"/>
        <rFont val="Calibri"/>
        <family val="2"/>
        <scheme val="minor"/>
      </rPr>
      <t>/s) mean of 5 rings</t>
    </r>
  </si>
  <si>
    <r>
      <t>Dark CH</t>
    </r>
    <r>
      <rPr>
        <vertAlign val="subscript"/>
        <sz val="16"/>
        <color theme="1"/>
        <rFont val="Calibri"/>
        <family val="2"/>
        <scheme val="minor"/>
      </rPr>
      <t xml:space="preserve">4 </t>
    </r>
    <r>
      <rPr>
        <sz val="16"/>
        <color theme="1"/>
        <rFont val="Calibri"/>
        <family val="2"/>
        <scheme val="minor"/>
      </rPr>
      <t>SD</t>
    </r>
  </si>
  <si>
    <t>R SD</t>
  </si>
  <si>
    <t>NEP SD</t>
  </si>
  <si>
    <r>
      <t>Light CH</t>
    </r>
    <r>
      <rPr>
        <vertAlign val="subscript"/>
        <sz val="16"/>
        <color theme="1"/>
        <rFont val="Calibri"/>
        <family val="2"/>
        <scheme val="minor"/>
      </rPr>
      <t>4</t>
    </r>
    <r>
      <rPr>
        <sz val="16"/>
        <color theme="1"/>
        <rFont val="Calibri"/>
        <family val="2"/>
        <scheme val="minor"/>
      </rPr>
      <t xml:space="preserve"> SD</t>
    </r>
  </si>
  <si>
    <r>
      <t>Re (</t>
    </r>
    <r>
      <rPr>
        <sz val="16"/>
        <color theme="1"/>
        <rFont val="Symbol"/>
        <family val="1"/>
        <charset val="2"/>
      </rPr>
      <t>m</t>
    </r>
    <r>
      <rPr>
        <sz val="16"/>
        <color theme="1"/>
        <rFont val="Calibri"/>
        <family val="2"/>
        <scheme val="minor"/>
      </rPr>
      <t>mol/m</t>
    </r>
    <r>
      <rPr>
        <vertAlign val="superscript"/>
        <sz val="16"/>
        <color theme="1"/>
        <rFont val="Calibri"/>
        <family val="2"/>
        <scheme val="minor"/>
      </rPr>
      <t>2</t>
    </r>
    <r>
      <rPr>
        <sz val="16"/>
        <color theme="1"/>
        <rFont val="Calibri"/>
        <family val="2"/>
        <scheme val="minor"/>
      </rPr>
      <t>/s) mean of 5 rings</t>
    </r>
  </si>
  <si>
    <t>SD (Re)</t>
  </si>
  <si>
    <r>
      <t>Dark CH</t>
    </r>
    <r>
      <rPr>
        <vertAlign val="subscript"/>
        <sz val="16"/>
        <color theme="1"/>
        <rFont val="Calibri"/>
        <family val="2"/>
        <scheme val="minor"/>
      </rPr>
      <t>4 (</t>
    </r>
    <r>
      <rPr>
        <sz val="16"/>
        <color theme="1"/>
        <rFont val="Calibri"/>
        <family val="2"/>
        <scheme val="minor"/>
      </rPr>
      <t>SD)</t>
    </r>
  </si>
  <si>
    <t>NEE (µmol/m2/s)mean of 5 rings</t>
  </si>
  <si>
    <t>NEE (SD)</t>
  </si>
  <si>
    <r>
      <t>Light CH</t>
    </r>
    <r>
      <rPr>
        <vertAlign val="subscript"/>
        <sz val="16"/>
        <color theme="1"/>
        <rFont val="Calibri"/>
        <family val="2"/>
        <scheme val="minor"/>
      </rPr>
      <t>4</t>
    </r>
    <r>
      <rPr>
        <sz val="16"/>
        <color theme="1"/>
        <rFont val="Calibri"/>
        <family val="2"/>
        <scheme val="minor"/>
      </rPr>
      <t xml:space="preserve"> (SD)</t>
    </r>
  </si>
  <si>
    <t>Dark PAR mean of 5 rings</t>
  </si>
  <si>
    <t>Light PAR mean of 5 rings</t>
  </si>
  <si>
    <t>Time Stamp (light/dark)</t>
  </si>
  <si>
    <r>
      <t>NEE (µmol/m</t>
    </r>
    <r>
      <rPr>
        <vertAlign val="superscript"/>
        <sz val="16"/>
        <color theme="1"/>
        <rFont val="Calibri"/>
        <family val="2"/>
        <scheme val="minor"/>
      </rPr>
      <t>2</t>
    </r>
    <r>
      <rPr>
        <sz val="16"/>
        <color theme="1"/>
        <rFont val="Calibri"/>
        <family val="2"/>
        <scheme val="minor"/>
      </rPr>
      <t>/s)mean of 5 rings</t>
    </r>
  </si>
  <si>
    <r>
      <t>GPP (µmol/m</t>
    </r>
    <r>
      <rPr>
        <vertAlign val="superscript"/>
        <sz val="16"/>
        <color theme="1"/>
        <rFont val="Calibri"/>
        <family val="2"/>
        <scheme val="minor"/>
      </rPr>
      <t>2</t>
    </r>
    <r>
      <rPr>
        <sz val="16"/>
        <color theme="1"/>
        <rFont val="Calibri"/>
        <family val="2"/>
        <scheme val="minor"/>
      </rPr>
      <t>/s)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</si>
</sst>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yy\ h:mm:ss"/>
    <numFmt numFmtId="165" formatCode="0.0000000000"/>
    <numFmt numFmtId="166" formatCode="m/d/yy;@"/>
    <numFmt numFmtId="167" formatCode="0.0000"/>
  </numFmts>
  <fonts count="6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16"/>
      <color theme="1"/>
      <name val="Calibri"/>
      <family val="2"/>
      <scheme val="minor"/>
    </font>
    <font>
      <vertAlign val="subscript"/>
      <sz val="16"/>
      <color theme="1"/>
      <name val="Calibri"/>
      <family val="2"/>
      <scheme val="minor"/>
    </font>
    <font>
      <sz val="16"/>
      <color theme="1"/>
      <name val="Symbol"/>
      <family val="1"/>
      <charset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2" fontId="0" fillId="0" borderId="0" xfId="0" applyNumberFormat="1"/>
    <xf numFmtId="2" fontId="1" fillId="0" borderId="0" xfId="0" applyNumberFormat="1" applyFont="1"/>
    <xf numFmtId="11" fontId="0" fillId="0" borderId="0" xfId="0" applyNumberFormat="1"/>
    <xf numFmtId="164" fontId="0" fillId="0" borderId="0" xfId="0" applyNumberFormat="1"/>
    <xf numFmtId="21" fontId="1" fillId="0" borderId="0" xfId="0" applyNumberFormat="1" applyFont="1"/>
    <xf numFmtId="164" fontId="1" fillId="0" borderId="0" xfId="0" applyNumberFormat="1" applyFont="1"/>
    <xf numFmtId="2" fontId="0" fillId="0" borderId="0" xfId="0" applyNumberFormat="1" applyAlignment="1">
      <alignment horizontal="right"/>
    </xf>
    <xf numFmtId="1" fontId="0" fillId="0" borderId="0" xfId="0" applyNumberFormat="1"/>
    <xf numFmtId="0" fontId="1" fillId="0" borderId="0" xfId="0" applyFont="1" applyAlignment="1">
      <alignment shrinkToFit="1"/>
    </xf>
    <xf numFmtId="165" fontId="0" fillId="0" borderId="0" xfId="0" applyNumberFormat="1"/>
    <xf numFmtId="165" fontId="1" fillId="0" borderId="0" xfId="0" applyNumberFormat="1" applyFont="1" applyAlignment="1">
      <alignment shrinkToFit="1"/>
    </xf>
    <xf numFmtId="166" fontId="1" fillId="0" borderId="0" xfId="0" applyNumberFormat="1" applyFont="1"/>
    <xf numFmtId="166" fontId="0" fillId="0" borderId="0" xfId="0" applyNumberFormat="1"/>
    <xf numFmtId="2" fontId="1" fillId="0" borderId="0" xfId="0" applyNumberFormat="1" applyFont="1" applyAlignment="1">
      <alignment shrinkToFit="1"/>
    </xf>
    <xf numFmtId="0" fontId="0" fillId="2" borderId="0" xfId="0" applyFill="1"/>
    <xf numFmtId="14" fontId="0" fillId="2" borderId="0" xfId="0" applyNumberFormat="1" applyFill="1"/>
    <xf numFmtId="165" fontId="0" fillId="2" borderId="0" xfId="0" applyNumberFormat="1" applyFill="1"/>
    <xf numFmtId="2" fontId="0" fillId="2" borderId="0" xfId="0" applyNumberFormat="1" applyFill="1"/>
    <xf numFmtId="166" fontId="0" fillId="2" borderId="0" xfId="0" applyNumberFormat="1" applyFill="1"/>
    <xf numFmtId="11" fontId="0" fillId="2" borderId="0" xfId="0" applyNumberFormat="1" applyFill="1"/>
    <xf numFmtId="167" fontId="1" fillId="0" borderId="0" xfId="0" applyNumberFormat="1" applyFont="1" applyAlignment="1">
      <alignment shrinkToFit="1"/>
    </xf>
    <xf numFmtId="167" fontId="0" fillId="0" borderId="0" xfId="0" applyNumberFormat="1"/>
    <xf numFmtId="167" fontId="0" fillId="2" borderId="0" xfId="0" applyNumberFormat="1" applyFill="1"/>
    <xf numFmtId="0" fontId="0" fillId="3" borderId="0" xfId="0" applyFill="1"/>
    <xf numFmtId="11" fontId="0" fillId="3" borderId="0" xfId="0" applyNumberFormat="1" applyFill="1"/>
    <xf numFmtId="0" fontId="0" fillId="0" borderId="0" xfId="0" applyFill="1"/>
    <xf numFmtId="165" fontId="1" fillId="0" borderId="0" xfId="0" applyNumberFormat="1" applyFont="1"/>
    <xf numFmtId="165" fontId="0" fillId="3" borderId="0" xfId="0" applyNumberFormat="1" applyFill="1"/>
    <xf numFmtId="0" fontId="0" fillId="4" borderId="0" xfId="0" applyFill="1"/>
    <xf numFmtId="2" fontId="0" fillId="0" borderId="0" xfId="0" applyNumberForma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NEE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'only means'!$N$26</c:f>
              <c:strCache>
                <c:ptCount val="1"/>
                <c:pt idx="0">
                  <c:v>CS04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'only means'!$O$2:$O$39</c:f>
              <c:numCache>
                <c:formatCode>General</c:formatCode>
                <c:ptCount val="38"/>
                <c:pt idx="0">
                  <c:v>115.43807800000067</c:v>
                </c:pt>
                <c:pt idx="1">
                  <c:v>115.54207200000091</c:v>
                </c:pt>
                <c:pt idx="2">
                  <c:v>119.43275500000018</c:v>
                </c:pt>
                <c:pt idx="3">
                  <c:v>119.53628499999976</c:v>
                </c:pt>
                <c:pt idx="4">
                  <c:v>141.52193200000039</c:v>
                </c:pt>
                <c:pt idx="5">
                  <c:v>144.46643499999919</c:v>
                </c:pt>
                <c:pt idx="6">
                  <c:v>144.53796199999996</c:v>
                </c:pt>
                <c:pt idx="7">
                  <c:v>155.45949000000036</c:v>
                </c:pt>
                <c:pt idx="8">
                  <c:v>155.54020799999998</c:v>
                </c:pt>
                <c:pt idx="9">
                  <c:v>175.50879600000044</c:v>
                </c:pt>
                <c:pt idx="10">
                  <c:v>175.63032500000068</c:v>
                </c:pt>
                <c:pt idx="11">
                  <c:v>192.34629600000045</c:v>
                </c:pt>
                <c:pt idx="12">
                  <c:v>192.61331100000024</c:v>
                </c:pt>
                <c:pt idx="13">
                  <c:v>214.63887600000015</c:v>
                </c:pt>
                <c:pt idx="14">
                  <c:v>221.51341400000018</c:v>
                </c:pt>
                <c:pt idx="15">
                  <c:v>221.62879599999869</c:v>
                </c:pt>
                <c:pt idx="16">
                  <c:v>226.53963000000005</c:v>
                </c:pt>
                <c:pt idx="17">
                  <c:v>226.62516099999993</c:v>
                </c:pt>
                <c:pt idx="18">
                  <c:v>234.5115509999996</c:v>
                </c:pt>
                <c:pt idx="19">
                  <c:v>234.60521999999909</c:v>
                </c:pt>
                <c:pt idx="20">
                  <c:v>238.48541600000027</c:v>
                </c:pt>
                <c:pt idx="21">
                  <c:v>238.58346100000054</c:v>
                </c:pt>
                <c:pt idx="22">
                  <c:v>246.45002199999945</c:v>
                </c:pt>
                <c:pt idx="23">
                  <c:v>246.53312499999956</c:v>
                </c:pt>
                <c:pt idx="24">
                  <c:v>255.42896000000036</c:v>
                </c:pt>
                <c:pt idx="25">
                  <c:v>255.52020899999988</c:v>
                </c:pt>
                <c:pt idx="26">
                  <c:v>263.47004699999962</c:v>
                </c:pt>
                <c:pt idx="27">
                  <c:v>277.58770699999951</c:v>
                </c:pt>
                <c:pt idx="28">
                  <c:v>277.66840100000047</c:v>
                </c:pt>
                <c:pt idx="29">
                  <c:v>283.47187499999927</c:v>
                </c:pt>
                <c:pt idx="30">
                  <c:v>283.57423500000004</c:v>
                </c:pt>
                <c:pt idx="31">
                  <c:v>295.45138999999983</c:v>
                </c:pt>
                <c:pt idx="32">
                  <c:v>301.44583299999942</c:v>
                </c:pt>
                <c:pt idx="33">
                  <c:v>301.5594440000001</c:v>
                </c:pt>
                <c:pt idx="34">
                  <c:v>308.43423600000023</c:v>
                </c:pt>
                <c:pt idx="35">
                  <c:v>308.59896000000009</c:v>
                </c:pt>
                <c:pt idx="36">
                  <c:v>315.46333400000003</c:v>
                </c:pt>
                <c:pt idx="37">
                  <c:v>315.5706959999996</c:v>
                </c:pt>
              </c:numCache>
            </c:numRef>
          </c:xVal>
          <c:yVal>
            <c:numRef>
              <c:f>'only means'!$Q$2:$Q$39</c:f>
              <c:numCache>
                <c:formatCode>General</c:formatCode>
                <c:ptCount val="38"/>
                <c:pt idx="0">
                  <c:v>-0.55154379613028681</c:v>
                </c:pt>
                <c:pt idx="1">
                  <c:v>7.061918694014338E-2</c:v>
                </c:pt>
                <c:pt idx="2">
                  <c:v>-1.03492594465239</c:v>
                </c:pt>
                <c:pt idx="3">
                  <c:v>-0.89409954484235266</c:v>
                </c:pt>
                <c:pt idx="4">
                  <c:v>-11.193472090381066</c:v>
                </c:pt>
                <c:pt idx="5">
                  <c:v>-14.701454053565422</c:v>
                </c:pt>
                <c:pt idx="6">
                  <c:v>-13.916306477304897</c:v>
                </c:pt>
                <c:pt idx="7">
                  <c:v>-13.458042213567158</c:v>
                </c:pt>
                <c:pt idx="8">
                  <c:v>-12.373088393052161</c:v>
                </c:pt>
                <c:pt idx="9">
                  <c:v>-10.618798168960661</c:v>
                </c:pt>
                <c:pt idx="10">
                  <c:v>-8.6637820657546758</c:v>
                </c:pt>
                <c:pt idx="11">
                  <c:v>-1.8718905877997063</c:v>
                </c:pt>
                <c:pt idx="12">
                  <c:v>-3.3621080303802997</c:v>
                </c:pt>
                <c:pt idx="13">
                  <c:v>-3.5531220114476945</c:v>
                </c:pt>
                <c:pt idx="14">
                  <c:v>-1.7187328099294656</c:v>
                </c:pt>
                <c:pt idx="15">
                  <c:v>-1.8678276401932059</c:v>
                </c:pt>
                <c:pt idx="16">
                  <c:v>-8.6107347165270323</c:v>
                </c:pt>
                <c:pt idx="17">
                  <c:v>-3.4659218337445616</c:v>
                </c:pt>
                <c:pt idx="18">
                  <c:v>-8.116927266630011</c:v>
                </c:pt>
                <c:pt idx="19">
                  <c:v>2.6738922372147145</c:v>
                </c:pt>
                <c:pt idx="20">
                  <c:v>-8.4403276203708604</c:v>
                </c:pt>
                <c:pt idx="21">
                  <c:v>-8.4645658042666891</c:v>
                </c:pt>
                <c:pt idx="22">
                  <c:v>-10.741094896013045</c:v>
                </c:pt>
                <c:pt idx="23">
                  <c:v>-8.0762317133997978</c:v>
                </c:pt>
                <c:pt idx="24">
                  <c:v>-7.2481996652663723</c:v>
                </c:pt>
                <c:pt idx="25">
                  <c:v>1.2583608905740349</c:v>
                </c:pt>
                <c:pt idx="26">
                  <c:v>-4.3504473053461048</c:v>
                </c:pt>
                <c:pt idx="27">
                  <c:v>-3.1226388379830659</c:v>
                </c:pt>
                <c:pt idx="28">
                  <c:v>-3.4711828906749056</c:v>
                </c:pt>
                <c:pt idx="29">
                  <c:v>-5.7789287404171814</c:v>
                </c:pt>
                <c:pt idx="30">
                  <c:v>-3.7755114711565922</c:v>
                </c:pt>
                <c:pt idx="31">
                  <c:v>-5.7342561010127593</c:v>
                </c:pt>
                <c:pt idx="32">
                  <c:v>-5.1091583346886056</c:v>
                </c:pt>
                <c:pt idx="33">
                  <c:v>-6.3982826647394502</c:v>
                </c:pt>
                <c:pt idx="34">
                  <c:v>-5.629339686179585</c:v>
                </c:pt>
                <c:pt idx="35">
                  <c:v>-2.5825386843966878</c:v>
                </c:pt>
                <c:pt idx="36">
                  <c:v>-3.8019243580092379</c:v>
                </c:pt>
                <c:pt idx="37">
                  <c:v>-3.5189141529657819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29-4F3C-95E5-86F04073E997}"/>
            </c:ext>
          </c:extLst>
        </c:ser>
        <c:ser>
          <c:idx val="1"/>
          <c:order val="1"/>
          <c:tx>
            <c:strRef>
              <c:f>'only means'!$N$50</c:f>
              <c:strCache>
                <c:ptCount val="1"/>
                <c:pt idx="0">
                  <c:v>EF01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'only means'!$O$40:$O$95</c:f>
              <c:numCache>
                <c:formatCode>General</c:formatCode>
                <c:ptCount val="56"/>
                <c:pt idx="0">
                  <c:v>106.44826388888889</c:v>
                </c:pt>
                <c:pt idx="1">
                  <c:v>106.56770833333334</c:v>
                </c:pt>
                <c:pt idx="2">
                  <c:v>112.39959490740742</c:v>
                </c:pt>
                <c:pt idx="3">
                  <c:v>112.53576388888889</c:v>
                </c:pt>
                <c:pt idx="4">
                  <c:v>120.42037037037036</c:v>
                </c:pt>
                <c:pt idx="5">
                  <c:v>120.52453703703705</c:v>
                </c:pt>
                <c:pt idx="6">
                  <c:v>136.4286574074074</c:v>
                </c:pt>
                <c:pt idx="7">
                  <c:v>136.53178240740741</c:v>
                </c:pt>
                <c:pt idx="8">
                  <c:v>143.40381944444445</c:v>
                </c:pt>
                <c:pt idx="9">
                  <c:v>143.56701388888888</c:v>
                </c:pt>
                <c:pt idx="10">
                  <c:v>149.44131944444445</c:v>
                </c:pt>
                <c:pt idx="11">
                  <c:v>149.53923611111108</c:v>
                </c:pt>
                <c:pt idx="12">
                  <c:v>151.46284722222222</c:v>
                </c:pt>
                <c:pt idx="13">
                  <c:v>151.5482638888889</c:v>
                </c:pt>
                <c:pt idx="14">
                  <c:v>161.44756944444444</c:v>
                </c:pt>
                <c:pt idx="15">
                  <c:v>161.53506944444445</c:v>
                </c:pt>
                <c:pt idx="16">
                  <c:v>171.41354166666665</c:v>
                </c:pt>
                <c:pt idx="17">
                  <c:v>171.52118055555556</c:v>
                </c:pt>
                <c:pt idx="18">
                  <c:v>177.3892361111111</c:v>
                </c:pt>
                <c:pt idx="19">
                  <c:v>177.53437500000001</c:v>
                </c:pt>
                <c:pt idx="20">
                  <c:v>184.43298611111112</c:v>
                </c:pt>
                <c:pt idx="21">
                  <c:v>189.4267361111111</c:v>
                </c:pt>
                <c:pt idx="22">
                  <c:v>189.54618055555557</c:v>
                </c:pt>
                <c:pt idx="23">
                  <c:v>197.46354166666666</c:v>
                </c:pt>
                <c:pt idx="24">
                  <c:v>197.55312499999999</c:v>
                </c:pt>
                <c:pt idx="25">
                  <c:v>200.47881944444444</c:v>
                </c:pt>
                <c:pt idx="26">
                  <c:v>200.578125</c:v>
                </c:pt>
                <c:pt idx="27">
                  <c:v>210.4864583333333</c:v>
                </c:pt>
                <c:pt idx="28">
                  <c:v>210.59131944444448</c:v>
                </c:pt>
                <c:pt idx="29">
                  <c:v>218.48605902777777</c:v>
                </c:pt>
                <c:pt idx="30">
                  <c:v>218.68256944444443</c:v>
                </c:pt>
                <c:pt idx="31">
                  <c:v>225.4822337962963</c:v>
                </c:pt>
                <c:pt idx="32">
                  <c:v>225.58521990740741</c:v>
                </c:pt>
                <c:pt idx="33">
                  <c:v>233.47672453703703</c:v>
                </c:pt>
                <c:pt idx="34">
                  <c:v>233.61230324074077</c:v>
                </c:pt>
                <c:pt idx="35">
                  <c:v>240.45391203703701</c:v>
                </c:pt>
                <c:pt idx="36">
                  <c:v>240.55909722222222</c:v>
                </c:pt>
                <c:pt idx="37">
                  <c:v>247.44795092592602</c:v>
                </c:pt>
                <c:pt idx="38">
                  <c:v>247.54365700000125</c:v>
                </c:pt>
                <c:pt idx="39">
                  <c:v>256.44735000000003</c:v>
                </c:pt>
                <c:pt idx="40">
                  <c:v>256.54693400000104</c:v>
                </c:pt>
                <c:pt idx="41">
                  <c:v>262.47562400000027</c:v>
                </c:pt>
                <c:pt idx="42">
                  <c:v>262.58511499999952</c:v>
                </c:pt>
                <c:pt idx="43">
                  <c:v>269.44604200000032</c:v>
                </c:pt>
                <c:pt idx="44">
                  <c:v>269.55212166666632</c:v>
                </c:pt>
                <c:pt idx="45">
                  <c:v>276.44618100000008</c:v>
                </c:pt>
                <c:pt idx="46">
                  <c:v>276.53187500000058</c:v>
                </c:pt>
                <c:pt idx="47">
                  <c:v>281.45224600000074</c:v>
                </c:pt>
                <c:pt idx="48">
                  <c:v>281.5602070000001</c:v>
                </c:pt>
                <c:pt idx="49">
                  <c:v>288.42488500000036</c:v>
                </c:pt>
                <c:pt idx="50">
                  <c:v>288.52391299999942</c:v>
                </c:pt>
                <c:pt idx="51">
                  <c:v>297.46673499999963</c:v>
                </c:pt>
                <c:pt idx="52">
                  <c:v>297.53742999999884</c:v>
                </c:pt>
                <c:pt idx="53">
                  <c:v>302.45708299999967</c:v>
                </c:pt>
                <c:pt idx="54">
                  <c:v>302.56052100000016</c:v>
                </c:pt>
                <c:pt idx="55">
                  <c:v>309.45066000000077</c:v>
                </c:pt>
              </c:numCache>
            </c:numRef>
          </c:xVal>
          <c:yVal>
            <c:numRef>
              <c:f>'only means'!$Q$40:$Q$95</c:f>
              <c:numCache>
                <c:formatCode>General</c:formatCode>
                <c:ptCount val="56"/>
                <c:pt idx="0">
                  <c:v>-1.2759471341326647</c:v>
                </c:pt>
                <c:pt idx="1">
                  <c:v>1.4402042164267681</c:v>
                </c:pt>
                <c:pt idx="2">
                  <c:v>-1.8775895322997456</c:v>
                </c:pt>
                <c:pt idx="3">
                  <c:v>-2.4597138994668457</c:v>
                </c:pt>
                <c:pt idx="4">
                  <c:v>-0.80649625600796515</c:v>
                </c:pt>
                <c:pt idx="5">
                  <c:v>-1.7142270501109949</c:v>
                </c:pt>
                <c:pt idx="6">
                  <c:v>0.39748788151926256</c:v>
                </c:pt>
                <c:pt idx="7">
                  <c:v>0.24746926823244592</c:v>
                </c:pt>
                <c:pt idx="8">
                  <c:v>8.1346073486868425E-2</c:v>
                </c:pt>
                <c:pt idx="9">
                  <c:v>-0.3643049359747953</c:v>
                </c:pt>
                <c:pt idx="10">
                  <c:v>2.4263965713835303</c:v>
                </c:pt>
                <c:pt idx="11">
                  <c:v>3.9988774434157994</c:v>
                </c:pt>
                <c:pt idx="12">
                  <c:v>1.9923505072233172</c:v>
                </c:pt>
                <c:pt idx="13">
                  <c:v>1.5592327030940987</c:v>
                </c:pt>
                <c:pt idx="14">
                  <c:v>-1.2272544944931365</c:v>
                </c:pt>
                <c:pt idx="15">
                  <c:v>2.0890754198444127E-2</c:v>
                </c:pt>
                <c:pt idx="16">
                  <c:v>1.9342672814674722</c:v>
                </c:pt>
                <c:pt idx="17">
                  <c:v>-1.5729542424385095</c:v>
                </c:pt>
                <c:pt idx="18">
                  <c:v>-12.279898927111947</c:v>
                </c:pt>
                <c:pt idx="19">
                  <c:v>-7.823469930871136</c:v>
                </c:pt>
                <c:pt idx="20">
                  <c:v>-16.24472241022924</c:v>
                </c:pt>
                <c:pt idx="21">
                  <c:v>-8.6770041595199583</c:v>
                </c:pt>
                <c:pt idx="22">
                  <c:v>-13.016073022</c:v>
                </c:pt>
                <c:pt idx="23">
                  <c:v>-13.25956342698756</c:v>
                </c:pt>
                <c:pt idx="24">
                  <c:v>-9.1874380559689666</c:v>
                </c:pt>
                <c:pt idx="25">
                  <c:v>-16.223929714051241</c:v>
                </c:pt>
                <c:pt idx="26">
                  <c:v>-13.801289965007701</c:v>
                </c:pt>
                <c:pt idx="27">
                  <c:v>-12.459271027561645</c:v>
                </c:pt>
                <c:pt idx="28">
                  <c:v>-10.576306102207827</c:v>
                </c:pt>
                <c:pt idx="29">
                  <c:v>-7.2187484204680512</c:v>
                </c:pt>
                <c:pt idx="30">
                  <c:v>-4.4605251803745558</c:v>
                </c:pt>
                <c:pt idx="31">
                  <c:v>-0.60373364916017425</c:v>
                </c:pt>
                <c:pt idx="32">
                  <c:v>-7.5014744971093323</c:v>
                </c:pt>
                <c:pt idx="33">
                  <c:v>-1.5908071575528104</c:v>
                </c:pt>
                <c:pt idx="34">
                  <c:v>-5.4227133782000001</c:v>
                </c:pt>
                <c:pt idx="35">
                  <c:v>-5.4421234417073663</c:v>
                </c:pt>
                <c:pt idx="36">
                  <c:v>-4.1622704352983728</c:v>
                </c:pt>
                <c:pt idx="37">
                  <c:v>-7.7190562306000006</c:v>
                </c:pt>
                <c:pt idx="38">
                  <c:v>-17.182202202999999</c:v>
                </c:pt>
                <c:pt idx="39">
                  <c:v>-5.4528283100207871</c:v>
                </c:pt>
                <c:pt idx="40">
                  <c:v>-1.6402171379999999</c:v>
                </c:pt>
                <c:pt idx="41">
                  <c:v>3.847744446068166</c:v>
                </c:pt>
                <c:pt idx="42">
                  <c:v>4.7823822256665336</c:v>
                </c:pt>
                <c:pt idx="43">
                  <c:v>3.6825345237659461</c:v>
                </c:pt>
                <c:pt idx="44">
                  <c:v>6.0427121036552025</c:v>
                </c:pt>
                <c:pt idx="45">
                  <c:v>3.9315664637591836</c:v>
                </c:pt>
                <c:pt idx="46">
                  <c:v>4.5100916002031699</c:v>
                </c:pt>
                <c:pt idx="47">
                  <c:v>6.8449157126827229</c:v>
                </c:pt>
                <c:pt idx="48">
                  <c:v>6.0958141701999997</c:v>
                </c:pt>
                <c:pt idx="49">
                  <c:v>2.616546297045788</c:v>
                </c:pt>
                <c:pt idx="50">
                  <c:v>2.8947040179125962</c:v>
                </c:pt>
                <c:pt idx="51">
                  <c:v>2.3321889282463162</c:v>
                </c:pt>
                <c:pt idx="52">
                  <c:v>2.6134338791886238</c:v>
                </c:pt>
                <c:pt idx="53">
                  <c:v>2.5830622485388179</c:v>
                </c:pt>
                <c:pt idx="54">
                  <c:v>2.6130685755999998</c:v>
                </c:pt>
                <c:pt idx="55">
                  <c:v>1.6061899628765661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29-4F3C-95E5-86F04073E997}"/>
            </c:ext>
          </c:extLst>
        </c:ser>
        <c:ser>
          <c:idx val="2"/>
          <c:order val="2"/>
          <c:tx>
            <c:strRef>
              <c:f>'only means'!$N$96</c:f>
              <c:strCache>
                <c:ptCount val="1"/>
                <c:pt idx="0">
                  <c:v>EF02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'only means'!$O$96:$O$141</c:f>
              <c:numCache>
                <c:formatCode>General</c:formatCode>
                <c:ptCount val="46"/>
                <c:pt idx="0">
                  <c:v>107.41631999999954</c:v>
                </c:pt>
                <c:pt idx="1">
                  <c:v>107.66573999999892</c:v>
                </c:pt>
                <c:pt idx="2">
                  <c:v>113.37742999999973</c:v>
                </c:pt>
                <c:pt idx="3">
                  <c:v>113.50879600000044</c:v>
                </c:pt>
                <c:pt idx="4">
                  <c:v>122.39895800000014</c:v>
                </c:pt>
                <c:pt idx="5">
                  <c:v>122.51777900000016</c:v>
                </c:pt>
                <c:pt idx="6">
                  <c:v>142.4291680000002</c:v>
                </c:pt>
                <c:pt idx="7">
                  <c:v>142.53090200000005</c:v>
                </c:pt>
                <c:pt idx="8">
                  <c:v>150.47534799999994</c:v>
                </c:pt>
                <c:pt idx="9">
                  <c:v>150.54201400000019</c:v>
                </c:pt>
                <c:pt idx="10">
                  <c:v>154.42465199999933</c:v>
                </c:pt>
                <c:pt idx="11">
                  <c:v>154.52534799999995</c:v>
                </c:pt>
                <c:pt idx="12">
                  <c:v>163.45242999999974</c:v>
                </c:pt>
                <c:pt idx="13">
                  <c:v>163.5357640000002</c:v>
                </c:pt>
                <c:pt idx="14">
                  <c:v>175.43645799999939</c:v>
                </c:pt>
                <c:pt idx="15">
                  <c:v>175.56979199999986</c:v>
                </c:pt>
                <c:pt idx="16">
                  <c:v>190.50173600000053</c:v>
                </c:pt>
                <c:pt idx="17">
                  <c:v>190.59340200000005</c:v>
                </c:pt>
                <c:pt idx="18">
                  <c:v>207.46310099999974</c:v>
                </c:pt>
                <c:pt idx="19">
                  <c:v>211.41354199999986</c:v>
                </c:pt>
                <c:pt idx="20">
                  <c:v>211.61354199999988</c:v>
                </c:pt>
                <c:pt idx="21">
                  <c:v>219.46188499999988</c:v>
                </c:pt>
                <c:pt idx="22">
                  <c:v>219.58278300000092</c:v>
                </c:pt>
                <c:pt idx="23">
                  <c:v>224.47091</c:v>
                </c:pt>
                <c:pt idx="24">
                  <c:v>224.5996600000006</c:v>
                </c:pt>
                <c:pt idx="25">
                  <c:v>228.5486109999998</c:v>
                </c:pt>
                <c:pt idx="26">
                  <c:v>228.63944100000009</c:v>
                </c:pt>
                <c:pt idx="27">
                  <c:v>231.52746499999995</c:v>
                </c:pt>
                <c:pt idx="28">
                  <c:v>231.63921300000075</c:v>
                </c:pt>
                <c:pt idx="29">
                  <c:v>242.40512799999996</c:v>
                </c:pt>
                <c:pt idx="30">
                  <c:v>242.53153499999971</c:v>
                </c:pt>
                <c:pt idx="31">
                  <c:v>248.45324200000033</c:v>
                </c:pt>
                <c:pt idx="32">
                  <c:v>248.54653899999977</c:v>
                </c:pt>
                <c:pt idx="33">
                  <c:v>259.4179759999999</c:v>
                </c:pt>
                <c:pt idx="34">
                  <c:v>259.4991669999996</c:v>
                </c:pt>
                <c:pt idx="35">
                  <c:v>270.42826300000013</c:v>
                </c:pt>
                <c:pt idx="36">
                  <c:v>270.52701399999933</c:v>
                </c:pt>
                <c:pt idx="37">
                  <c:v>275.56750099999988</c:v>
                </c:pt>
                <c:pt idx="38">
                  <c:v>282.49357625000175</c:v>
                </c:pt>
                <c:pt idx="39">
                  <c:v>282.58003625000038</c:v>
                </c:pt>
                <c:pt idx="40">
                  <c:v>289.4645829999987</c:v>
                </c:pt>
                <c:pt idx="41">
                  <c:v>289.55159599999968</c:v>
                </c:pt>
                <c:pt idx="42">
                  <c:v>297.65687600000092</c:v>
                </c:pt>
                <c:pt idx="43">
                  <c:v>297.72407500000043</c:v>
                </c:pt>
                <c:pt idx="44">
                  <c:v>303.42447899999968</c:v>
                </c:pt>
                <c:pt idx="45">
                  <c:v>303.50225599999976</c:v>
                </c:pt>
              </c:numCache>
            </c:numRef>
          </c:xVal>
          <c:yVal>
            <c:numRef>
              <c:f>'only means'!$Q$96:$Q$141</c:f>
              <c:numCache>
                <c:formatCode>General</c:formatCode>
                <c:ptCount val="46"/>
                <c:pt idx="0">
                  <c:v>0.73288627620328051</c:v>
                </c:pt>
                <c:pt idx="1">
                  <c:v>1.113899547047998</c:v>
                </c:pt>
                <c:pt idx="2">
                  <c:v>0.82582506877159667</c:v>
                </c:pt>
                <c:pt idx="3">
                  <c:v>1.3874938542575979</c:v>
                </c:pt>
                <c:pt idx="4">
                  <c:v>0.68819746368986578</c:v>
                </c:pt>
                <c:pt idx="5">
                  <c:v>0.8134878288316838</c:v>
                </c:pt>
                <c:pt idx="6">
                  <c:v>-3.3833432269590302E-4</c:v>
                </c:pt>
                <c:pt idx="7">
                  <c:v>1.2052892480429775</c:v>
                </c:pt>
                <c:pt idx="8">
                  <c:v>1.39368579730978</c:v>
                </c:pt>
                <c:pt idx="9">
                  <c:v>1.429745869116168</c:v>
                </c:pt>
                <c:pt idx="10">
                  <c:v>1.0090806210457219</c:v>
                </c:pt>
                <c:pt idx="11">
                  <c:v>2.1191124467983884</c:v>
                </c:pt>
                <c:pt idx="12">
                  <c:v>1.845944140075888</c:v>
                </c:pt>
                <c:pt idx="13">
                  <c:v>2.2501757583948105</c:v>
                </c:pt>
                <c:pt idx="14">
                  <c:v>-0.39274260629807262</c:v>
                </c:pt>
                <c:pt idx="15">
                  <c:v>0.52951140205690805</c:v>
                </c:pt>
                <c:pt idx="16">
                  <c:v>-1.0950814971108158</c:v>
                </c:pt>
                <c:pt idx="17">
                  <c:v>-1.0332014950805639</c:v>
                </c:pt>
                <c:pt idx="18">
                  <c:v>-13.391855166816438</c:v>
                </c:pt>
                <c:pt idx="19">
                  <c:v>-12.244474507782794</c:v>
                </c:pt>
                <c:pt idx="20">
                  <c:v>-7.8375982734717979</c:v>
                </c:pt>
                <c:pt idx="21">
                  <c:v>-8.0188032802000002</c:v>
                </c:pt>
                <c:pt idx="22">
                  <c:v>-5.6948073219345963</c:v>
                </c:pt>
                <c:pt idx="23">
                  <c:v>4.237572613337834</c:v>
                </c:pt>
                <c:pt idx="24">
                  <c:v>5.2434470161999993</c:v>
                </c:pt>
                <c:pt idx="25">
                  <c:v>0.17074605404362311</c:v>
                </c:pt>
                <c:pt idx="26">
                  <c:v>-0.42502651112679113</c:v>
                </c:pt>
                <c:pt idx="27">
                  <c:v>-7.4402917681034895</c:v>
                </c:pt>
                <c:pt idx="28">
                  <c:v>-5.569463532114634</c:v>
                </c:pt>
                <c:pt idx="29">
                  <c:v>-9.9861707472883303</c:v>
                </c:pt>
                <c:pt idx="30">
                  <c:v>-2.1455504289341283</c:v>
                </c:pt>
                <c:pt idx="31">
                  <c:v>-21.907187797536704</c:v>
                </c:pt>
                <c:pt idx="32">
                  <c:v>-18.855897136058935</c:v>
                </c:pt>
                <c:pt idx="33">
                  <c:v>-4.7444096696002163</c:v>
                </c:pt>
                <c:pt idx="34">
                  <c:v>-7.7843608406458262</c:v>
                </c:pt>
                <c:pt idx="35">
                  <c:v>7.6701009655844272</c:v>
                </c:pt>
                <c:pt idx="36">
                  <c:v>8.3573613207850972</c:v>
                </c:pt>
                <c:pt idx="37">
                  <c:v>4.9856202701782024</c:v>
                </c:pt>
                <c:pt idx="38">
                  <c:v>2.3926521959892701</c:v>
                </c:pt>
                <c:pt idx="39">
                  <c:v>2.5703508125151</c:v>
                </c:pt>
                <c:pt idx="40">
                  <c:v>1.6942177819725557</c:v>
                </c:pt>
                <c:pt idx="41">
                  <c:v>1.41725762618958</c:v>
                </c:pt>
                <c:pt idx="42">
                  <c:v>1.9092202544742662</c:v>
                </c:pt>
                <c:pt idx="43">
                  <c:v>1.5066204087410622</c:v>
                </c:pt>
                <c:pt idx="44">
                  <c:v>1.8846900431578539</c:v>
                </c:pt>
                <c:pt idx="45">
                  <c:v>1.8027917492613881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29-4F3C-95E5-86F04073E997}"/>
            </c:ext>
          </c:extLst>
        </c:ser>
        <c:ser>
          <c:idx val="3"/>
          <c:order val="3"/>
          <c:tx>
            <c:strRef>
              <c:f>'only means'!$N$142</c:f>
              <c:strCache>
                <c:ptCount val="1"/>
                <c:pt idx="0">
                  <c:v>EF03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'only means'!$O$142:$O$188</c:f>
              <c:numCache>
                <c:formatCode>General</c:formatCode>
                <c:ptCount val="47"/>
                <c:pt idx="0">
                  <c:v>107.49141200000012</c:v>
                </c:pt>
                <c:pt idx="1">
                  <c:v>113.44299800000081</c:v>
                </c:pt>
                <c:pt idx="2">
                  <c:v>113.5678230000005</c:v>
                </c:pt>
                <c:pt idx="3">
                  <c:v>121.43208400000003</c:v>
                </c:pt>
                <c:pt idx="4">
                  <c:v>121.53002199999973</c:v>
                </c:pt>
                <c:pt idx="5">
                  <c:v>135.40474499999982</c:v>
                </c:pt>
                <c:pt idx="6">
                  <c:v>135.52289400000009</c:v>
                </c:pt>
                <c:pt idx="7">
                  <c:v>162.44548599999979</c:v>
                </c:pt>
                <c:pt idx="8">
                  <c:v>162.55590200000006</c:v>
                </c:pt>
                <c:pt idx="9">
                  <c:v>170.453125</c:v>
                </c:pt>
                <c:pt idx="10">
                  <c:v>170.53923599999979</c:v>
                </c:pt>
                <c:pt idx="11">
                  <c:v>182.45104199999986</c:v>
                </c:pt>
                <c:pt idx="12">
                  <c:v>182.53923599999979</c:v>
                </c:pt>
                <c:pt idx="13">
                  <c:v>184.37187499999999</c:v>
                </c:pt>
                <c:pt idx="14">
                  <c:v>184.49409799999995</c:v>
                </c:pt>
                <c:pt idx="15">
                  <c:v>191.44965200000007</c:v>
                </c:pt>
                <c:pt idx="16">
                  <c:v>191.54617999999974</c:v>
                </c:pt>
                <c:pt idx="17">
                  <c:v>193.47674800000021</c:v>
                </c:pt>
                <c:pt idx="18">
                  <c:v>193.60173611111023</c:v>
                </c:pt>
                <c:pt idx="19">
                  <c:v>196.48923599999981</c:v>
                </c:pt>
                <c:pt idx="20">
                  <c:v>206.48645800000014</c:v>
                </c:pt>
                <c:pt idx="21">
                  <c:v>206.59201399999947</c:v>
                </c:pt>
                <c:pt idx="22">
                  <c:v>212.47395800000012</c:v>
                </c:pt>
                <c:pt idx="23">
                  <c:v>212.72951388888887</c:v>
                </c:pt>
                <c:pt idx="24">
                  <c:v>220.48689799999994</c:v>
                </c:pt>
                <c:pt idx="25">
                  <c:v>220.60507000000069</c:v>
                </c:pt>
                <c:pt idx="26">
                  <c:v>227.50886500000053</c:v>
                </c:pt>
                <c:pt idx="27">
                  <c:v>227.57721199999941</c:v>
                </c:pt>
                <c:pt idx="28">
                  <c:v>235.51512899999943</c:v>
                </c:pt>
                <c:pt idx="29">
                  <c:v>235.63737299999994</c:v>
                </c:pt>
                <c:pt idx="30">
                  <c:v>241.49708699999974</c:v>
                </c:pt>
                <c:pt idx="31">
                  <c:v>241.65581099999909</c:v>
                </c:pt>
                <c:pt idx="32">
                  <c:v>254.42687599999991</c:v>
                </c:pt>
                <c:pt idx="33">
                  <c:v>254.51138900000007</c:v>
                </c:pt>
                <c:pt idx="34">
                  <c:v>261.64250099999992</c:v>
                </c:pt>
                <c:pt idx="35">
                  <c:v>268.46592599999929</c:v>
                </c:pt>
                <c:pt idx="36">
                  <c:v>268.56312600000018</c:v>
                </c:pt>
                <c:pt idx="37">
                  <c:v>273.4550239999997</c:v>
                </c:pt>
                <c:pt idx="38">
                  <c:v>273.56715299999922</c:v>
                </c:pt>
                <c:pt idx="39">
                  <c:v>284.4118739999991</c:v>
                </c:pt>
                <c:pt idx="40">
                  <c:v>284.50819399999966</c:v>
                </c:pt>
                <c:pt idx="41">
                  <c:v>296.55894125000123</c:v>
                </c:pt>
                <c:pt idx="42">
                  <c:v>296.64322749999974</c:v>
                </c:pt>
                <c:pt idx="43">
                  <c:v>303.60697799999906</c:v>
                </c:pt>
                <c:pt idx="44">
                  <c:v>303.70187500000031</c:v>
                </c:pt>
                <c:pt idx="45">
                  <c:v>310.45756899999981</c:v>
                </c:pt>
                <c:pt idx="46">
                  <c:v>310.54034899999971</c:v>
                </c:pt>
              </c:numCache>
            </c:numRef>
          </c:xVal>
          <c:yVal>
            <c:numRef>
              <c:f>'only means'!$Q$142:$Q$188</c:f>
              <c:numCache>
                <c:formatCode>General</c:formatCode>
                <c:ptCount val="47"/>
                <c:pt idx="0">
                  <c:v>-0.61738437990854023</c:v>
                </c:pt>
                <c:pt idx="1">
                  <c:v>-2.6634665192174749</c:v>
                </c:pt>
                <c:pt idx="2">
                  <c:v>-1.5959143907016089</c:v>
                </c:pt>
                <c:pt idx="3">
                  <c:v>0.52971294851724371</c:v>
                </c:pt>
                <c:pt idx="4">
                  <c:v>-3.1993458243486108</c:v>
                </c:pt>
                <c:pt idx="5">
                  <c:v>-6.4736663694032162</c:v>
                </c:pt>
                <c:pt idx="6">
                  <c:v>-7.6520059906658489</c:v>
                </c:pt>
                <c:pt idx="7">
                  <c:v>-4.3687511489517279</c:v>
                </c:pt>
                <c:pt idx="8">
                  <c:v>-3.3107800592292476</c:v>
                </c:pt>
                <c:pt idx="9">
                  <c:v>1.0922378565274948</c:v>
                </c:pt>
                <c:pt idx="10">
                  <c:v>2.2388543809443933</c:v>
                </c:pt>
                <c:pt idx="11">
                  <c:v>-7.010559996717066</c:v>
                </c:pt>
                <c:pt idx="12">
                  <c:v>-4.4616661625608725</c:v>
                </c:pt>
                <c:pt idx="13">
                  <c:v>-8.9543985366211167</c:v>
                </c:pt>
                <c:pt idx="14">
                  <c:v>-4.5237235237053426</c:v>
                </c:pt>
                <c:pt idx="15">
                  <c:v>-8.5989543803838018</c:v>
                </c:pt>
                <c:pt idx="16">
                  <c:v>-2.6949274580944502</c:v>
                </c:pt>
                <c:pt idx="17">
                  <c:v>-14.793983658374884</c:v>
                </c:pt>
                <c:pt idx="18">
                  <c:v>-11.421976872775673</c:v>
                </c:pt>
                <c:pt idx="19">
                  <c:v>-1.7128230402439972</c:v>
                </c:pt>
                <c:pt idx="20">
                  <c:v>-3.0842341847831598</c:v>
                </c:pt>
                <c:pt idx="21">
                  <c:v>-2.0116428681132343</c:v>
                </c:pt>
                <c:pt idx="22">
                  <c:v>-2.8157514876263599</c:v>
                </c:pt>
                <c:pt idx="23">
                  <c:v>-2.3008580439450323</c:v>
                </c:pt>
                <c:pt idx="24">
                  <c:v>-0.9239851995193733</c:v>
                </c:pt>
                <c:pt idx="25">
                  <c:v>-0.91004569132614699</c:v>
                </c:pt>
                <c:pt idx="26">
                  <c:v>2.0444004459026308</c:v>
                </c:pt>
                <c:pt idx="27">
                  <c:v>2.5503832313915651</c:v>
                </c:pt>
                <c:pt idx="28">
                  <c:v>-0.1091597374</c:v>
                </c:pt>
                <c:pt idx="29">
                  <c:v>0.34692890198021864</c:v>
                </c:pt>
                <c:pt idx="30">
                  <c:v>-1.1015381931277024</c:v>
                </c:pt>
                <c:pt idx="31">
                  <c:v>0.96124656808482667</c:v>
                </c:pt>
                <c:pt idx="32">
                  <c:v>-3.1483415694303405</c:v>
                </c:pt>
                <c:pt idx="33">
                  <c:v>-2.3877254135961636</c:v>
                </c:pt>
                <c:pt idx="34">
                  <c:v>-1.4742676780043347</c:v>
                </c:pt>
                <c:pt idx="35">
                  <c:v>-2.3065814887971365</c:v>
                </c:pt>
                <c:pt idx="36">
                  <c:v>-0.34945563422860343</c:v>
                </c:pt>
                <c:pt idx="37">
                  <c:v>-3.8870259051329166</c:v>
                </c:pt>
                <c:pt idx="38">
                  <c:v>-2.6578875593686639</c:v>
                </c:pt>
                <c:pt idx="39">
                  <c:v>-5.4977662539282814</c:v>
                </c:pt>
                <c:pt idx="40">
                  <c:v>-8.1780032275068137</c:v>
                </c:pt>
                <c:pt idx="41">
                  <c:v>-4.6317599439213497</c:v>
                </c:pt>
                <c:pt idx="42">
                  <c:v>-2.9479795524174</c:v>
                </c:pt>
                <c:pt idx="43">
                  <c:v>-0.97187433223006647</c:v>
                </c:pt>
                <c:pt idx="44">
                  <c:v>4.8259378891632236</c:v>
                </c:pt>
                <c:pt idx="45">
                  <c:v>-4.093930116854354</c:v>
                </c:pt>
                <c:pt idx="46">
                  <c:v>-3.4332186941465084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29-4F3C-95E5-86F04073E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8011952"/>
        <c:axId val="448011296"/>
      </c:scatterChart>
      <c:valAx>
        <c:axId val="448011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DOY+time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011296"/>
        <c:crosses val="autoZero"/>
        <c:crossBetween val="midCat"/>
      </c:valAx>
      <c:valAx>
        <c:axId val="44801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micromol/m2/s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2.1890547263681594E-2"/>
              <c:y val="0.521012708894038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011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Respiration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721301353740069E-2"/>
          <c:y val="9.1844367423842971E-2"/>
          <c:w val="0.89072463257529055"/>
          <c:h val="0.80258819989522945"/>
        </c:manualLayout>
      </c:layout>
      <c:scatterChart>
        <c:scatterStyle val="lineMarker"/>
        <c:varyColors val="0"/>
        <c:ser>
          <c:idx val="0"/>
          <c:order val="0"/>
          <c:tx>
            <c:strRef>
              <c:f>'only means'!$A$14</c:f>
              <c:strCache>
                <c:ptCount val="1"/>
                <c:pt idx="0">
                  <c:v>CS04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'only means'!$B$2:$B$39</c:f>
              <c:numCache>
                <c:formatCode>0.0000</c:formatCode>
                <c:ptCount val="38"/>
                <c:pt idx="0">
                  <c:v>115.44294000000009</c:v>
                </c:pt>
                <c:pt idx="1">
                  <c:v>115.54693199999966</c:v>
                </c:pt>
                <c:pt idx="2">
                  <c:v>119.43761599999998</c:v>
                </c:pt>
                <c:pt idx="3">
                  <c:v>119.5411460000003</c:v>
                </c:pt>
                <c:pt idx="4">
                  <c:v>141.52679400000051</c:v>
                </c:pt>
                <c:pt idx="5">
                  <c:v>144.47129600000045</c:v>
                </c:pt>
                <c:pt idx="6">
                  <c:v>144.54282399999937</c:v>
                </c:pt>
                <c:pt idx="7">
                  <c:v>155.4643520000005</c:v>
                </c:pt>
                <c:pt idx="8">
                  <c:v>155.54493100000036</c:v>
                </c:pt>
                <c:pt idx="9">
                  <c:v>175.51365799999911</c:v>
                </c:pt>
                <c:pt idx="10">
                  <c:v>175.6351850000004</c:v>
                </c:pt>
                <c:pt idx="11">
                  <c:v>192.35115799999986</c:v>
                </c:pt>
                <c:pt idx="12">
                  <c:v>192.6178240000001</c:v>
                </c:pt>
                <c:pt idx="13">
                  <c:v>214.64496500000024</c:v>
                </c:pt>
                <c:pt idx="14">
                  <c:v>221.52003500000137</c:v>
                </c:pt>
                <c:pt idx="15">
                  <c:v>221.63415600000008</c:v>
                </c:pt>
                <c:pt idx="16">
                  <c:v>226.5451740000004</c:v>
                </c:pt>
                <c:pt idx="17">
                  <c:v>226.63182800000067</c:v>
                </c:pt>
                <c:pt idx="18">
                  <c:v>234.51753500000049</c:v>
                </c:pt>
                <c:pt idx="19">
                  <c:v>234.61076300000059</c:v>
                </c:pt>
                <c:pt idx="20">
                  <c:v>238.49260399999986</c:v>
                </c:pt>
                <c:pt idx="21">
                  <c:v>238.58982600000019</c:v>
                </c:pt>
                <c:pt idx="22">
                  <c:v>246.45655800000094</c:v>
                </c:pt>
                <c:pt idx="23">
                  <c:v>246.53916600000011</c:v>
                </c:pt>
                <c:pt idx="24">
                  <c:v>255.43494100000098</c:v>
                </c:pt>
                <c:pt idx="25">
                  <c:v>255.52640099999991</c:v>
                </c:pt>
                <c:pt idx="26">
                  <c:v>263.47707199999934</c:v>
                </c:pt>
                <c:pt idx="27">
                  <c:v>277.59444599999989</c:v>
                </c:pt>
                <c:pt idx="28">
                  <c:v>277.67448000000076</c:v>
                </c:pt>
                <c:pt idx="29">
                  <c:v>283.47787000000028</c:v>
                </c:pt>
                <c:pt idx="30">
                  <c:v>283.5801630000002</c:v>
                </c:pt>
                <c:pt idx="31">
                  <c:v>295.4553469999999</c:v>
                </c:pt>
                <c:pt idx="32">
                  <c:v>301.4521869999997</c:v>
                </c:pt>
                <c:pt idx="33">
                  <c:v>301.56579800000037</c:v>
                </c:pt>
                <c:pt idx="34">
                  <c:v>308.44090199999994</c:v>
                </c:pt>
                <c:pt idx="35">
                  <c:v>308.60638799999941</c:v>
                </c:pt>
                <c:pt idx="36">
                  <c:v>315.46687499999899</c:v>
                </c:pt>
                <c:pt idx="37">
                  <c:v>315.57687499999957</c:v>
                </c:pt>
              </c:numCache>
            </c:numRef>
          </c:xVal>
          <c:yVal>
            <c:numRef>
              <c:f>'only means'!$H$2:$H$39</c:f>
              <c:numCache>
                <c:formatCode>General</c:formatCode>
                <c:ptCount val="38"/>
                <c:pt idx="0">
                  <c:v>3.6548722223418282</c:v>
                </c:pt>
                <c:pt idx="1">
                  <c:v>3.467100165088552</c:v>
                </c:pt>
                <c:pt idx="2">
                  <c:v>2.4777204923292877</c:v>
                </c:pt>
                <c:pt idx="3">
                  <c:v>3.4564744720157963</c:v>
                </c:pt>
                <c:pt idx="4">
                  <c:v>6.4432504002125786</c:v>
                </c:pt>
                <c:pt idx="5">
                  <c:v>8.1142853351682849</c:v>
                </c:pt>
                <c:pt idx="6">
                  <c:v>8.1454183591217486</c:v>
                </c:pt>
                <c:pt idx="7">
                  <c:v>6.7578653093858119</c:v>
                </c:pt>
                <c:pt idx="8">
                  <c:v>7.9960950503362245</c:v>
                </c:pt>
                <c:pt idx="9">
                  <c:v>7.4562541120106136</c:v>
                </c:pt>
                <c:pt idx="10">
                  <c:v>8.1445894843883</c:v>
                </c:pt>
                <c:pt idx="11">
                  <c:v>5.7758611097323049</c:v>
                </c:pt>
                <c:pt idx="12">
                  <c:v>1.8740682580671226</c:v>
                </c:pt>
                <c:pt idx="13">
                  <c:v>9.3872956681341719</c:v>
                </c:pt>
                <c:pt idx="14">
                  <c:v>0.60159296796374073</c:v>
                </c:pt>
                <c:pt idx="15">
                  <c:v>2.1844332627588474</c:v>
                </c:pt>
                <c:pt idx="16">
                  <c:v>11.628930542677031</c:v>
                </c:pt>
                <c:pt idx="17">
                  <c:v>9.9674713975591072</c:v>
                </c:pt>
                <c:pt idx="18">
                  <c:v>21.441492198383521</c:v>
                </c:pt>
                <c:pt idx="19">
                  <c:v>18.834465293704163</c:v>
                </c:pt>
                <c:pt idx="20">
                  <c:v>11.9893198680937</c:v>
                </c:pt>
                <c:pt idx="21">
                  <c:v>13.124320399141819</c:v>
                </c:pt>
                <c:pt idx="22">
                  <c:v>11.219151529730651</c:v>
                </c:pt>
                <c:pt idx="23">
                  <c:v>14.840793573654178</c:v>
                </c:pt>
                <c:pt idx="24">
                  <c:v>10.341932542722573</c:v>
                </c:pt>
                <c:pt idx="25">
                  <c:v>9.3309566795339141</c:v>
                </c:pt>
                <c:pt idx="26">
                  <c:v>8.8192992229738287</c:v>
                </c:pt>
                <c:pt idx="27">
                  <c:v>4.8636707307292077</c:v>
                </c:pt>
                <c:pt idx="28">
                  <c:v>5.6302927734341779</c:v>
                </c:pt>
                <c:pt idx="29">
                  <c:v>7.0472194808858344</c:v>
                </c:pt>
                <c:pt idx="30">
                  <c:v>7.9617907173561848</c:v>
                </c:pt>
                <c:pt idx="31">
                  <c:v>4.7905634941205824</c:v>
                </c:pt>
                <c:pt idx="32">
                  <c:v>5.1234171141556581</c:v>
                </c:pt>
                <c:pt idx="33">
                  <c:v>5.8310312648331353</c:v>
                </c:pt>
                <c:pt idx="34">
                  <c:v>3.1536211882997938</c:v>
                </c:pt>
                <c:pt idx="35">
                  <c:v>2.7698499026658583</c:v>
                </c:pt>
                <c:pt idx="36">
                  <c:v>2.1861678571731624</c:v>
                </c:pt>
                <c:pt idx="37">
                  <c:v>2.091154688750704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E8-4FF6-B9A6-B8FE97C8A6EF}"/>
            </c:ext>
          </c:extLst>
        </c:ser>
        <c:ser>
          <c:idx val="1"/>
          <c:order val="1"/>
          <c:tx>
            <c:strRef>
              <c:f>'only means'!$A$40</c:f>
              <c:strCache>
                <c:ptCount val="1"/>
                <c:pt idx="0">
                  <c:v>EF01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'only means'!$B$40:$B$95</c:f>
              <c:numCache>
                <c:formatCode>0.0000</c:formatCode>
                <c:ptCount val="56"/>
                <c:pt idx="0">
                  <c:v>106.46729166666664</c:v>
                </c:pt>
                <c:pt idx="1">
                  <c:v>106.57256944444444</c:v>
                </c:pt>
                <c:pt idx="2">
                  <c:v>112.40445601851852</c:v>
                </c:pt>
                <c:pt idx="3">
                  <c:v>112.54062500000001</c:v>
                </c:pt>
                <c:pt idx="4">
                  <c:v>120.4252314814815</c:v>
                </c:pt>
                <c:pt idx="5">
                  <c:v>120.52939814814815</c:v>
                </c:pt>
                <c:pt idx="6">
                  <c:v>136.43351851851853</c:v>
                </c:pt>
                <c:pt idx="7">
                  <c:v>136.53664351851853</c:v>
                </c:pt>
                <c:pt idx="8">
                  <c:v>143.40868055555555</c:v>
                </c:pt>
                <c:pt idx="9">
                  <c:v>143.57187500000001</c:v>
                </c:pt>
                <c:pt idx="10">
                  <c:v>149.44618055555557</c:v>
                </c:pt>
                <c:pt idx="11">
                  <c:v>149.54409722222221</c:v>
                </c:pt>
                <c:pt idx="12">
                  <c:v>151.46770833333335</c:v>
                </c:pt>
                <c:pt idx="13">
                  <c:v>151.55312499999999</c:v>
                </c:pt>
                <c:pt idx="14">
                  <c:v>161.45243055555557</c:v>
                </c:pt>
                <c:pt idx="15">
                  <c:v>161.53993055555557</c:v>
                </c:pt>
                <c:pt idx="16">
                  <c:v>171.41840277777777</c:v>
                </c:pt>
                <c:pt idx="17">
                  <c:v>171.52604166666666</c:v>
                </c:pt>
                <c:pt idx="18">
                  <c:v>177.39409722222223</c:v>
                </c:pt>
                <c:pt idx="19">
                  <c:v>177.53923611111108</c:v>
                </c:pt>
                <c:pt idx="20">
                  <c:v>184.43784722222222</c:v>
                </c:pt>
                <c:pt idx="21">
                  <c:v>189.43159722222222</c:v>
                </c:pt>
                <c:pt idx="22">
                  <c:v>189.55104166666666</c:v>
                </c:pt>
                <c:pt idx="23">
                  <c:v>197.46840277777778</c:v>
                </c:pt>
                <c:pt idx="24">
                  <c:v>197.55798611111112</c:v>
                </c:pt>
                <c:pt idx="25">
                  <c:v>200.48368055555557</c:v>
                </c:pt>
                <c:pt idx="26">
                  <c:v>200.5829861111111</c:v>
                </c:pt>
                <c:pt idx="27">
                  <c:v>210.49131944444443</c:v>
                </c:pt>
                <c:pt idx="28">
                  <c:v>210.59618055555552</c:v>
                </c:pt>
                <c:pt idx="29">
                  <c:v>218.49348148148147</c:v>
                </c:pt>
                <c:pt idx="30">
                  <c:v>218.68943287037035</c:v>
                </c:pt>
                <c:pt idx="31">
                  <c:v>225.48861574074076</c:v>
                </c:pt>
                <c:pt idx="32">
                  <c:v>225.59120370370368</c:v>
                </c:pt>
                <c:pt idx="33">
                  <c:v>233.48335648148151</c:v>
                </c:pt>
                <c:pt idx="34">
                  <c:v>233.61806712962965</c:v>
                </c:pt>
                <c:pt idx="35">
                  <c:v>240.46052083333333</c:v>
                </c:pt>
                <c:pt idx="36">
                  <c:v>240.5655324074074</c:v>
                </c:pt>
                <c:pt idx="37">
                  <c:v>247.45473342592604</c:v>
                </c:pt>
                <c:pt idx="38">
                  <c:v>247.55177099999929</c:v>
                </c:pt>
                <c:pt idx="39">
                  <c:v>256.45457299999981</c:v>
                </c:pt>
                <c:pt idx="40">
                  <c:v>256.55283599999967</c:v>
                </c:pt>
                <c:pt idx="41">
                  <c:v>262.48348499999992</c:v>
                </c:pt>
                <c:pt idx="42">
                  <c:v>262.59262900000033</c:v>
                </c:pt>
                <c:pt idx="43">
                  <c:v>269.45428299999986</c:v>
                </c:pt>
                <c:pt idx="44">
                  <c:v>269.55972166666714</c:v>
                </c:pt>
                <c:pt idx="45">
                  <c:v>276.45291600000053</c:v>
                </c:pt>
                <c:pt idx="46">
                  <c:v>276.5388200000001</c:v>
                </c:pt>
                <c:pt idx="47">
                  <c:v>281.45888899999989</c:v>
                </c:pt>
                <c:pt idx="48">
                  <c:v>281.56627399999854</c:v>
                </c:pt>
                <c:pt idx="49">
                  <c:v>288.43118199999952</c:v>
                </c:pt>
                <c:pt idx="50">
                  <c:v>288.52992999999987</c:v>
                </c:pt>
                <c:pt idx="51">
                  <c:v>297.47257100000058</c:v>
                </c:pt>
                <c:pt idx="52">
                  <c:v>297.54319499999986</c:v>
                </c:pt>
                <c:pt idx="53">
                  <c:v>302.46319599999987</c:v>
                </c:pt>
                <c:pt idx="54">
                  <c:v>302.56680499999931</c:v>
                </c:pt>
                <c:pt idx="55">
                  <c:v>309.45687699999979</c:v>
                </c:pt>
              </c:numCache>
            </c:numRef>
          </c:xVal>
          <c:yVal>
            <c:numRef>
              <c:f>'only means'!$H$40:$H$95</c:f>
              <c:numCache>
                <c:formatCode>General</c:formatCode>
                <c:ptCount val="56"/>
                <c:pt idx="0">
                  <c:v>1.4924509987308621</c:v>
                </c:pt>
                <c:pt idx="1">
                  <c:v>-0.33747289257215829</c:v>
                </c:pt>
                <c:pt idx="2">
                  <c:v>1.1171643957983122</c:v>
                </c:pt>
                <c:pt idx="3">
                  <c:v>2.7015440531028658</c:v>
                </c:pt>
                <c:pt idx="4">
                  <c:v>1.4414528086832221</c:v>
                </c:pt>
                <c:pt idx="5">
                  <c:v>1.3702319986821281</c:v>
                </c:pt>
                <c:pt idx="6">
                  <c:v>-0.5521121057109154</c:v>
                </c:pt>
                <c:pt idx="7">
                  <c:v>0.25247294684875798</c:v>
                </c:pt>
                <c:pt idx="8">
                  <c:v>1.4880208288086783</c:v>
                </c:pt>
                <c:pt idx="9">
                  <c:v>0.82270341205623643</c:v>
                </c:pt>
                <c:pt idx="10">
                  <c:v>4.0869975551487681</c:v>
                </c:pt>
                <c:pt idx="11">
                  <c:v>4.8109888197166324</c:v>
                </c:pt>
                <c:pt idx="12">
                  <c:v>4.7069611187525577</c:v>
                </c:pt>
                <c:pt idx="13">
                  <c:v>4.8064004189496039</c:v>
                </c:pt>
                <c:pt idx="14">
                  <c:v>12.042442610166518</c:v>
                </c:pt>
                <c:pt idx="15">
                  <c:v>7.3702615079621552</c:v>
                </c:pt>
                <c:pt idx="16">
                  <c:v>7.1100998048121795</c:v>
                </c:pt>
                <c:pt idx="17">
                  <c:v>1.3450509425910719</c:v>
                </c:pt>
                <c:pt idx="18">
                  <c:v>7.4786743958677473</c:v>
                </c:pt>
                <c:pt idx="19">
                  <c:v>6.9144646605522011</c:v>
                </c:pt>
                <c:pt idx="20">
                  <c:v>10.877135773010927</c:v>
                </c:pt>
                <c:pt idx="21">
                  <c:v>6.888574928761086</c:v>
                </c:pt>
                <c:pt idx="22">
                  <c:v>11.891941475399999</c:v>
                </c:pt>
                <c:pt idx="23">
                  <c:v>10.695847529454349</c:v>
                </c:pt>
                <c:pt idx="24">
                  <c:v>13.145832680607645</c:v>
                </c:pt>
                <c:pt idx="25">
                  <c:v>12.307962157899246</c:v>
                </c:pt>
                <c:pt idx="26">
                  <c:v>12.789020248062714</c:v>
                </c:pt>
                <c:pt idx="27">
                  <c:v>17.707960266994917</c:v>
                </c:pt>
                <c:pt idx="28">
                  <c:v>14.338771951588956</c:v>
                </c:pt>
                <c:pt idx="29">
                  <c:v>12.987212789860468</c:v>
                </c:pt>
                <c:pt idx="30">
                  <c:v>17.02408716561072</c:v>
                </c:pt>
                <c:pt idx="31">
                  <c:v>20.463591320773681</c:v>
                </c:pt>
                <c:pt idx="32">
                  <c:v>23.565753008548601</c:v>
                </c:pt>
                <c:pt idx="33">
                  <c:v>31.197703988579718</c:v>
                </c:pt>
                <c:pt idx="34">
                  <c:v>22.609260459999998</c:v>
                </c:pt>
                <c:pt idx="35">
                  <c:v>23.481069363080518</c:v>
                </c:pt>
                <c:pt idx="36">
                  <c:v>24.914901276714552</c:v>
                </c:pt>
                <c:pt idx="37">
                  <c:v>18.412677278</c:v>
                </c:pt>
                <c:pt idx="38">
                  <c:v>21.534794213999998</c:v>
                </c:pt>
                <c:pt idx="39">
                  <c:v>12.601413887436143</c:v>
                </c:pt>
                <c:pt idx="40">
                  <c:v>13.398265252750001</c:v>
                </c:pt>
                <c:pt idx="41">
                  <c:v>9.9476339024330738</c:v>
                </c:pt>
                <c:pt idx="42">
                  <c:v>10.424736501459341</c:v>
                </c:pt>
                <c:pt idx="43">
                  <c:v>6.270658200601388</c:v>
                </c:pt>
                <c:pt idx="44">
                  <c:v>5.6178109009539146</c:v>
                </c:pt>
                <c:pt idx="45">
                  <c:v>4.441588707119922</c:v>
                </c:pt>
                <c:pt idx="46">
                  <c:v>4.9142060352527235</c:v>
                </c:pt>
                <c:pt idx="47">
                  <c:v>6.3923277568016541</c:v>
                </c:pt>
                <c:pt idx="48">
                  <c:v>5.5326784250000003</c:v>
                </c:pt>
                <c:pt idx="49">
                  <c:v>2.5604521067141022</c:v>
                </c:pt>
                <c:pt idx="50">
                  <c:v>2.9883785497204478</c:v>
                </c:pt>
                <c:pt idx="51">
                  <c:v>2.1818185358201942</c:v>
                </c:pt>
                <c:pt idx="52">
                  <c:v>2.3683671986511863</c:v>
                </c:pt>
                <c:pt idx="53">
                  <c:v>2.4577363578008802</c:v>
                </c:pt>
                <c:pt idx="54">
                  <c:v>2.5839000270000003</c:v>
                </c:pt>
                <c:pt idx="55">
                  <c:v>1.438951850669312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E8-4FF6-B9A6-B8FE97C8A6EF}"/>
            </c:ext>
          </c:extLst>
        </c:ser>
        <c:ser>
          <c:idx val="2"/>
          <c:order val="2"/>
          <c:tx>
            <c:strRef>
              <c:f>'only means'!$A$138</c:f>
              <c:strCache>
                <c:ptCount val="1"/>
                <c:pt idx="0">
                  <c:v>EF02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'only means'!$B$96:$B$141</c:f>
              <c:numCache>
                <c:formatCode>0.0000</c:formatCode>
                <c:ptCount val="46"/>
                <c:pt idx="0">
                  <c:v>107.42117999999974</c:v>
                </c:pt>
                <c:pt idx="1">
                  <c:v>107.67060200000051</c:v>
                </c:pt>
                <c:pt idx="2">
                  <c:v>113.38229199999986</c:v>
                </c:pt>
                <c:pt idx="3">
                  <c:v>113.51365799999913</c:v>
                </c:pt>
                <c:pt idx="4">
                  <c:v>122.40382000000027</c:v>
                </c:pt>
                <c:pt idx="5">
                  <c:v>122.52208500000052</c:v>
                </c:pt>
                <c:pt idx="6">
                  <c:v>142.43402799999893</c:v>
                </c:pt>
                <c:pt idx="7">
                  <c:v>142.5357640000002</c:v>
                </c:pt>
                <c:pt idx="8">
                  <c:v>150.48020800000012</c:v>
                </c:pt>
                <c:pt idx="9">
                  <c:v>150.546875</c:v>
                </c:pt>
                <c:pt idx="10">
                  <c:v>154.42951400000021</c:v>
                </c:pt>
                <c:pt idx="11">
                  <c:v>154.53020799999939</c:v>
                </c:pt>
                <c:pt idx="12">
                  <c:v>163.45729199999988</c:v>
                </c:pt>
                <c:pt idx="13">
                  <c:v>163.54062500000001</c:v>
                </c:pt>
                <c:pt idx="14">
                  <c:v>175.44131999999954</c:v>
                </c:pt>
                <c:pt idx="15">
                  <c:v>175.57465200000007</c:v>
                </c:pt>
                <c:pt idx="16">
                  <c:v>190.50659799999994</c:v>
                </c:pt>
                <c:pt idx="17">
                  <c:v>190.5982640000002</c:v>
                </c:pt>
                <c:pt idx="18">
                  <c:v>207.46796199999955</c:v>
                </c:pt>
                <c:pt idx="19">
                  <c:v>211.41840200000007</c:v>
                </c:pt>
                <c:pt idx="20">
                  <c:v>211.61840200000006</c:v>
                </c:pt>
                <c:pt idx="21">
                  <c:v>219.46842699999905</c:v>
                </c:pt>
                <c:pt idx="22">
                  <c:v>219.5890370000001</c:v>
                </c:pt>
                <c:pt idx="23">
                  <c:v>224.47804799999867</c:v>
                </c:pt>
                <c:pt idx="24">
                  <c:v>224.60683500000087</c:v>
                </c:pt>
                <c:pt idx="25">
                  <c:v>228.55357699999951</c:v>
                </c:pt>
                <c:pt idx="26">
                  <c:v>228.64512799999866</c:v>
                </c:pt>
                <c:pt idx="27">
                  <c:v>231.53334499999983</c:v>
                </c:pt>
                <c:pt idx="28">
                  <c:v>231.64409699999959</c:v>
                </c:pt>
                <c:pt idx="29">
                  <c:v>242.4125659999998</c:v>
                </c:pt>
                <c:pt idx="30">
                  <c:v>242.53821800000006</c:v>
                </c:pt>
                <c:pt idx="31">
                  <c:v>248.46035800000027</c:v>
                </c:pt>
                <c:pt idx="32">
                  <c:v>248.55384300000006</c:v>
                </c:pt>
                <c:pt idx="33">
                  <c:v>259.42423699999927</c:v>
                </c:pt>
                <c:pt idx="34">
                  <c:v>259.50651700000088</c:v>
                </c:pt>
                <c:pt idx="35">
                  <c:v>270.43576299999916</c:v>
                </c:pt>
                <c:pt idx="36">
                  <c:v>270.53270699999996</c:v>
                </c:pt>
                <c:pt idx="37">
                  <c:v>275.58381900000023</c:v>
                </c:pt>
                <c:pt idx="38">
                  <c:v>282.50156250000055</c:v>
                </c:pt>
                <c:pt idx="39">
                  <c:v>282.58697749999919</c:v>
                </c:pt>
                <c:pt idx="40">
                  <c:v>289.47305699999998</c:v>
                </c:pt>
                <c:pt idx="41">
                  <c:v>289.55889100000059</c:v>
                </c:pt>
                <c:pt idx="42">
                  <c:v>297.66264000000012</c:v>
                </c:pt>
                <c:pt idx="43">
                  <c:v>297.72955000000076</c:v>
                </c:pt>
                <c:pt idx="44">
                  <c:v>303.43016199999983</c:v>
                </c:pt>
                <c:pt idx="45">
                  <c:v>303.50989499999997</c:v>
                </c:pt>
              </c:numCache>
            </c:numRef>
          </c:xVal>
          <c:yVal>
            <c:numRef>
              <c:f>'only means'!$H$96:$H$141</c:f>
              <c:numCache>
                <c:formatCode>General</c:formatCode>
                <c:ptCount val="46"/>
                <c:pt idx="0">
                  <c:v>0.67193975867875666</c:v>
                </c:pt>
                <c:pt idx="1">
                  <c:v>1.0076131232537731</c:v>
                </c:pt>
                <c:pt idx="2">
                  <c:v>0.91337381805092765</c:v>
                </c:pt>
                <c:pt idx="3">
                  <c:v>1.1850562034763021</c:v>
                </c:pt>
                <c:pt idx="4">
                  <c:v>0.83686593787670804</c:v>
                </c:pt>
                <c:pt idx="5">
                  <c:v>0.92133365534543366</c:v>
                </c:pt>
                <c:pt idx="6">
                  <c:v>-9.5490680902257424E-4</c:v>
                </c:pt>
                <c:pt idx="7">
                  <c:v>-0.60301398875238521</c:v>
                </c:pt>
                <c:pt idx="8">
                  <c:v>1.5864105172071259</c:v>
                </c:pt>
                <c:pt idx="9">
                  <c:v>1.2138918963394485</c:v>
                </c:pt>
                <c:pt idx="10">
                  <c:v>1.5159770543329221</c:v>
                </c:pt>
                <c:pt idx="11">
                  <c:v>2.0264111651942782</c:v>
                </c:pt>
                <c:pt idx="12">
                  <c:v>2.8285226044283318</c:v>
                </c:pt>
                <c:pt idx="13">
                  <c:v>3.146295586346072</c:v>
                </c:pt>
                <c:pt idx="14">
                  <c:v>2.3462210847193838</c:v>
                </c:pt>
                <c:pt idx="15">
                  <c:v>3.358356912499918</c:v>
                </c:pt>
                <c:pt idx="16">
                  <c:v>9.617221272328548</c:v>
                </c:pt>
                <c:pt idx="17">
                  <c:v>6.8005312325197638</c:v>
                </c:pt>
                <c:pt idx="18">
                  <c:v>14.525559096930627</c:v>
                </c:pt>
                <c:pt idx="19">
                  <c:v>11.846710263130523</c:v>
                </c:pt>
                <c:pt idx="20">
                  <c:v>14.466362833495543</c:v>
                </c:pt>
                <c:pt idx="21">
                  <c:v>31.283106289999999</c:v>
                </c:pt>
                <c:pt idx="22">
                  <c:v>28.23394911029078</c:v>
                </c:pt>
                <c:pt idx="23">
                  <c:v>27.958890848209318</c:v>
                </c:pt>
                <c:pt idx="24">
                  <c:v>28.105277282000003</c:v>
                </c:pt>
                <c:pt idx="25">
                  <c:v>23.537530751497819</c:v>
                </c:pt>
                <c:pt idx="26">
                  <c:v>17.268798684002942</c:v>
                </c:pt>
                <c:pt idx="27">
                  <c:v>33.111584290203744</c:v>
                </c:pt>
                <c:pt idx="28">
                  <c:v>27.064509878413666</c:v>
                </c:pt>
                <c:pt idx="29">
                  <c:v>22.123689619229459</c:v>
                </c:pt>
                <c:pt idx="30">
                  <c:v>26.239161893260654</c:v>
                </c:pt>
                <c:pt idx="31">
                  <c:v>18.059551801942639</c:v>
                </c:pt>
                <c:pt idx="32">
                  <c:v>22.195550005830743</c:v>
                </c:pt>
                <c:pt idx="33">
                  <c:v>10.825652909290692</c:v>
                </c:pt>
                <c:pt idx="34">
                  <c:v>21.34420328174912</c:v>
                </c:pt>
                <c:pt idx="35">
                  <c:v>7.8446075913906936</c:v>
                </c:pt>
                <c:pt idx="36">
                  <c:v>8.8574705655554062</c:v>
                </c:pt>
                <c:pt idx="37">
                  <c:v>3.9944001984104252</c:v>
                </c:pt>
                <c:pt idx="38">
                  <c:v>1.8404797649637601</c:v>
                </c:pt>
                <c:pt idx="39">
                  <c:v>2.2677494438554526</c:v>
                </c:pt>
                <c:pt idx="40">
                  <c:v>1.4150470296050348</c:v>
                </c:pt>
                <c:pt idx="41">
                  <c:v>1.3284992722896578</c:v>
                </c:pt>
                <c:pt idx="42">
                  <c:v>1.7084981898601881</c:v>
                </c:pt>
                <c:pt idx="43">
                  <c:v>1.425114641924434</c:v>
                </c:pt>
                <c:pt idx="44">
                  <c:v>1.6131498686477102</c:v>
                </c:pt>
                <c:pt idx="45">
                  <c:v>1.7305381346852537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E8-4FF6-B9A6-B8FE97C8A6EF}"/>
            </c:ext>
          </c:extLst>
        </c:ser>
        <c:ser>
          <c:idx val="3"/>
          <c:order val="3"/>
          <c:tx>
            <c:strRef>
              <c:f>'only means'!$A$142</c:f>
              <c:strCache>
                <c:ptCount val="1"/>
                <c:pt idx="0">
                  <c:v>EF03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'only means'!$B$142:$B$188</c:f>
              <c:numCache>
                <c:formatCode>0.0000</c:formatCode>
                <c:ptCount val="47"/>
                <c:pt idx="0">
                  <c:v>107.49627200000104</c:v>
                </c:pt>
                <c:pt idx="1">
                  <c:v>113.44785800000027</c:v>
                </c:pt>
                <c:pt idx="2">
                  <c:v>113.57198999999964</c:v>
                </c:pt>
                <c:pt idx="3">
                  <c:v>121.43729199999943</c:v>
                </c:pt>
                <c:pt idx="4">
                  <c:v>121.5348840000006</c:v>
                </c:pt>
                <c:pt idx="5">
                  <c:v>135.40960599999963</c:v>
                </c:pt>
                <c:pt idx="6">
                  <c:v>135.5277549999999</c:v>
                </c:pt>
                <c:pt idx="7">
                  <c:v>162.45034800000067</c:v>
                </c:pt>
                <c:pt idx="8">
                  <c:v>162.56076399999947</c:v>
                </c:pt>
                <c:pt idx="9">
                  <c:v>170.45798599999981</c:v>
                </c:pt>
                <c:pt idx="10">
                  <c:v>170.54409800000067</c:v>
                </c:pt>
                <c:pt idx="11">
                  <c:v>182.45590199999933</c:v>
                </c:pt>
                <c:pt idx="12">
                  <c:v>182.54409800000067</c:v>
                </c:pt>
                <c:pt idx="13">
                  <c:v>184.37673600000053</c:v>
                </c:pt>
                <c:pt idx="14">
                  <c:v>184.49895799999939</c:v>
                </c:pt>
                <c:pt idx="15">
                  <c:v>191.45451400000019</c:v>
                </c:pt>
                <c:pt idx="16">
                  <c:v>191.55104199999988</c:v>
                </c:pt>
                <c:pt idx="17">
                  <c:v>193.48160799999968</c:v>
                </c:pt>
                <c:pt idx="18">
                  <c:v>193.60659722222917</c:v>
                </c:pt>
                <c:pt idx="19">
                  <c:v>196.49409799999995</c:v>
                </c:pt>
                <c:pt idx="20">
                  <c:v>206.49132000000026</c:v>
                </c:pt>
                <c:pt idx="21">
                  <c:v>206.59687500000001</c:v>
                </c:pt>
                <c:pt idx="22">
                  <c:v>212.47881999999953</c:v>
                </c:pt>
                <c:pt idx="23">
                  <c:v>212.734375</c:v>
                </c:pt>
                <c:pt idx="24">
                  <c:v>220.48996399999959</c:v>
                </c:pt>
                <c:pt idx="25">
                  <c:v>220.61118100000022</c:v>
                </c:pt>
                <c:pt idx="26">
                  <c:v>227.51407399999954</c:v>
                </c:pt>
                <c:pt idx="27">
                  <c:v>227.582402</c:v>
                </c:pt>
                <c:pt idx="28">
                  <c:v>235.52231300000057</c:v>
                </c:pt>
                <c:pt idx="29">
                  <c:v>235.64668000000165</c:v>
                </c:pt>
                <c:pt idx="30">
                  <c:v>241.50274299999947</c:v>
                </c:pt>
                <c:pt idx="31">
                  <c:v>241.66210599999977</c:v>
                </c:pt>
                <c:pt idx="32">
                  <c:v>254.43364499999953</c:v>
                </c:pt>
                <c:pt idx="33">
                  <c:v>254.51847199999901</c:v>
                </c:pt>
                <c:pt idx="34">
                  <c:v>261.64893599999994</c:v>
                </c:pt>
                <c:pt idx="35">
                  <c:v>268.47342600000047</c:v>
                </c:pt>
                <c:pt idx="36">
                  <c:v>268.56942199999975</c:v>
                </c:pt>
                <c:pt idx="37">
                  <c:v>273.46173599999963</c:v>
                </c:pt>
                <c:pt idx="38">
                  <c:v>273.57340200000033</c:v>
                </c:pt>
                <c:pt idx="39">
                  <c:v>284.41874899999965</c:v>
                </c:pt>
                <c:pt idx="40">
                  <c:v>284.51409700000079</c:v>
                </c:pt>
                <c:pt idx="41">
                  <c:v>296.56753499999922</c:v>
                </c:pt>
                <c:pt idx="42">
                  <c:v>296.64939249999952</c:v>
                </c:pt>
                <c:pt idx="43">
                  <c:v>303.61314799999963</c:v>
                </c:pt>
                <c:pt idx="44">
                  <c:v>303.7079170000012</c:v>
                </c:pt>
                <c:pt idx="45">
                  <c:v>310.4649540000006</c:v>
                </c:pt>
                <c:pt idx="46">
                  <c:v>310.54699300000067</c:v>
                </c:pt>
              </c:numCache>
            </c:numRef>
          </c:xVal>
          <c:yVal>
            <c:numRef>
              <c:f>'only means'!$H$142:$H$188</c:f>
              <c:numCache>
                <c:formatCode>General</c:formatCode>
                <c:ptCount val="47"/>
                <c:pt idx="0">
                  <c:v>1.9731230813804905</c:v>
                </c:pt>
                <c:pt idx="1">
                  <c:v>4.1938830273357457</c:v>
                </c:pt>
                <c:pt idx="2">
                  <c:v>5.9101049761654521</c:v>
                </c:pt>
                <c:pt idx="3">
                  <c:v>0.40300016306669717</c:v>
                </c:pt>
                <c:pt idx="4">
                  <c:v>2.4644014830815566</c:v>
                </c:pt>
                <c:pt idx="5">
                  <c:v>3.8411233295076186</c:v>
                </c:pt>
                <c:pt idx="6">
                  <c:v>5.429604229620554</c:v>
                </c:pt>
                <c:pt idx="7">
                  <c:v>10.291437892023682</c:v>
                </c:pt>
                <c:pt idx="8">
                  <c:v>10.0704204355706</c:v>
                </c:pt>
                <c:pt idx="9">
                  <c:v>8.247437460648591</c:v>
                </c:pt>
                <c:pt idx="10">
                  <c:v>6.9495278289331655</c:v>
                </c:pt>
                <c:pt idx="11">
                  <c:v>8.1771943603685848</c:v>
                </c:pt>
                <c:pt idx="12">
                  <c:v>8.3897293688705226</c:v>
                </c:pt>
                <c:pt idx="13">
                  <c:v>5.5728907779371557</c:v>
                </c:pt>
                <c:pt idx="14">
                  <c:v>7.2591276193890293</c:v>
                </c:pt>
                <c:pt idx="15">
                  <c:v>9.0810525219629348</c:v>
                </c:pt>
                <c:pt idx="16">
                  <c:v>9.756972760857213</c:v>
                </c:pt>
                <c:pt idx="17">
                  <c:v>12.550170163011478</c:v>
                </c:pt>
                <c:pt idx="18">
                  <c:v>11.775331821285766</c:v>
                </c:pt>
                <c:pt idx="19">
                  <c:v>7.5608394596207349</c:v>
                </c:pt>
                <c:pt idx="20">
                  <c:v>3.841371320982224</c:v>
                </c:pt>
                <c:pt idx="21">
                  <c:v>2.3965141339189286</c:v>
                </c:pt>
                <c:pt idx="22">
                  <c:v>5.9529379228798307</c:v>
                </c:pt>
                <c:pt idx="23">
                  <c:v>9.7573001291674437</c:v>
                </c:pt>
                <c:pt idx="24">
                  <c:v>0.22353030274526195</c:v>
                </c:pt>
                <c:pt idx="25">
                  <c:v>-0.35041623337678457</c:v>
                </c:pt>
                <c:pt idx="26">
                  <c:v>5.2906181119964657</c:v>
                </c:pt>
                <c:pt idx="27">
                  <c:v>5.7911671401569809</c:v>
                </c:pt>
                <c:pt idx="28">
                  <c:v>2.6826212645999998</c:v>
                </c:pt>
                <c:pt idx="29">
                  <c:v>3.8694685604754619</c:v>
                </c:pt>
                <c:pt idx="30">
                  <c:v>11.611272416676105</c:v>
                </c:pt>
                <c:pt idx="31">
                  <c:v>10.023614428382206</c:v>
                </c:pt>
                <c:pt idx="32">
                  <c:v>7.3217510223021565</c:v>
                </c:pt>
                <c:pt idx="33">
                  <c:v>8.8117750077471086</c:v>
                </c:pt>
                <c:pt idx="34">
                  <c:v>7.9222578171034446</c:v>
                </c:pt>
                <c:pt idx="35">
                  <c:v>6.9115628123434716</c:v>
                </c:pt>
                <c:pt idx="36">
                  <c:v>7.7319420033458242</c:v>
                </c:pt>
                <c:pt idx="37">
                  <c:v>5.4415188050388066</c:v>
                </c:pt>
                <c:pt idx="38">
                  <c:v>5.2483105763229361</c:v>
                </c:pt>
                <c:pt idx="39">
                  <c:v>4.8946848226706337</c:v>
                </c:pt>
                <c:pt idx="40">
                  <c:v>6.1120991563910145</c:v>
                </c:pt>
                <c:pt idx="41">
                  <c:v>5.5175206466503326</c:v>
                </c:pt>
                <c:pt idx="42">
                  <c:v>5.5938056430539547</c:v>
                </c:pt>
                <c:pt idx="43">
                  <c:v>5.6569553719708781</c:v>
                </c:pt>
                <c:pt idx="44">
                  <c:v>5.5670496821843596</c:v>
                </c:pt>
                <c:pt idx="45">
                  <c:v>2.6362425355068559</c:v>
                </c:pt>
                <c:pt idx="46">
                  <c:v>2.7872932654278104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E8-4FF6-B9A6-B8FE97C8A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734728"/>
        <c:axId val="410732104"/>
      </c:scatterChart>
      <c:valAx>
        <c:axId val="410734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DOY+Time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32104"/>
        <c:crosses val="autoZero"/>
        <c:crossBetween val="midCat"/>
      </c:valAx>
      <c:valAx>
        <c:axId val="410732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micromol/m2/s</a:t>
                </a:r>
              </a:p>
            </c:rich>
          </c:tx>
          <c:layout>
            <c:manualLayout>
              <c:xMode val="edge"/>
              <c:yMode val="edge"/>
              <c:x val="2.0879940343027592E-2"/>
              <c:y val="0.429570325409160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7347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CSO4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Clean!$C$1</c:f>
              <c:strCache>
                <c:ptCount val="1"/>
                <c:pt idx="0">
                  <c:v>NEE (µmol/m2/s)mean of 5 rings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Clean!$B$2:$B$39</c:f>
              <c:numCache>
                <c:formatCode>0.0000</c:formatCode>
                <c:ptCount val="38"/>
                <c:pt idx="0">
                  <c:v>115.44050900000039</c:v>
                </c:pt>
                <c:pt idx="1">
                  <c:v>115.54450200000028</c:v>
                </c:pt>
                <c:pt idx="2">
                  <c:v>119.43518550000007</c:v>
                </c:pt>
                <c:pt idx="3">
                  <c:v>119.53871550000002</c:v>
                </c:pt>
                <c:pt idx="4">
                  <c:v>141.52436300000045</c:v>
                </c:pt>
                <c:pt idx="5">
                  <c:v>144.46886549999982</c:v>
                </c:pt>
                <c:pt idx="6">
                  <c:v>144.54039299999965</c:v>
                </c:pt>
                <c:pt idx="7">
                  <c:v>155.46192100000042</c:v>
                </c:pt>
                <c:pt idx="8">
                  <c:v>155.54256950000018</c:v>
                </c:pt>
                <c:pt idx="9">
                  <c:v>175.51122699999979</c:v>
                </c:pt>
                <c:pt idx="10">
                  <c:v>175.63275500000054</c:v>
                </c:pt>
                <c:pt idx="11">
                  <c:v>192.34872700000017</c:v>
                </c:pt>
                <c:pt idx="12">
                  <c:v>192.61556750000017</c:v>
                </c:pt>
                <c:pt idx="13">
                  <c:v>214.6419205000002</c:v>
                </c:pt>
                <c:pt idx="14">
                  <c:v>221.51672450000078</c:v>
                </c:pt>
                <c:pt idx="15">
                  <c:v>221.6314759999994</c:v>
                </c:pt>
                <c:pt idx="16">
                  <c:v>226.54240200000021</c:v>
                </c:pt>
                <c:pt idx="17">
                  <c:v>226.6284945000003</c:v>
                </c:pt>
                <c:pt idx="18">
                  <c:v>234.51454300000006</c:v>
                </c:pt>
                <c:pt idx="19">
                  <c:v>234.60799149999986</c:v>
                </c:pt>
                <c:pt idx="20">
                  <c:v>238.48901000000006</c:v>
                </c:pt>
                <c:pt idx="21">
                  <c:v>238.58664350000038</c:v>
                </c:pt>
                <c:pt idx="22">
                  <c:v>246.45329000000021</c:v>
                </c:pt>
                <c:pt idx="23">
                  <c:v>246.53614549999983</c:v>
                </c:pt>
                <c:pt idx="24">
                  <c:v>255.43195050000065</c:v>
                </c:pt>
                <c:pt idx="25">
                  <c:v>255.52330499999988</c:v>
                </c:pt>
                <c:pt idx="26">
                  <c:v>263.47355949999951</c:v>
                </c:pt>
                <c:pt idx="27">
                  <c:v>277.5910764999997</c:v>
                </c:pt>
                <c:pt idx="28">
                  <c:v>277.67144050000059</c:v>
                </c:pt>
                <c:pt idx="29">
                  <c:v>283.47487249999978</c:v>
                </c:pt>
                <c:pt idx="30">
                  <c:v>283.57719900000012</c:v>
                </c:pt>
                <c:pt idx="31">
                  <c:v>295.4533684999999</c:v>
                </c:pt>
                <c:pt idx="32">
                  <c:v>301.44900999999959</c:v>
                </c:pt>
                <c:pt idx="33">
                  <c:v>301.56262100000026</c:v>
                </c:pt>
                <c:pt idx="34">
                  <c:v>308.43756900000005</c:v>
                </c:pt>
                <c:pt idx="35">
                  <c:v>308.60267399999975</c:v>
                </c:pt>
                <c:pt idx="36">
                  <c:v>315.46510449999948</c:v>
                </c:pt>
                <c:pt idx="37">
                  <c:v>315.57378549999959</c:v>
                </c:pt>
              </c:numCache>
            </c:numRef>
          </c:xVal>
          <c:yVal>
            <c:numRef>
              <c:f>Clean!$C$2:$C$39</c:f>
              <c:numCache>
                <c:formatCode>General</c:formatCode>
                <c:ptCount val="38"/>
                <c:pt idx="0">
                  <c:v>-0.55154379613028681</c:v>
                </c:pt>
                <c:pt idx="1">
                  <c:v>7.061918694014338E-2</c:v>
                </c:pt>
                <c:pt idx="2">
                  <c:v>-1.03492594465239</c:v>
                </c:pt>
                <c:pt idx="3">
                  <c:v>-0.89409954484235266</c:v>
                </c:pt>
                <c:pt idx="4">
                  <c:v>-11.193472090381066</c:v>
                </c:pt>
                <c:pt idx="5">
                  <c:v>-14.701454053565422</c:v>
                </c:pt>
                <c:pt idx="6">
                  <c:v>-13.916306477304897</c:v>
                </c:pt>
                <c:pt idx="7">
                  <c:v>-13.458042213567158</c:v>
                </c:pt>
                <c:pt idx="8">
                  <c:v>-12.373088393052161</c:v>
                </c:pt>
                <c:pt idx="9">
                  <c:v>-10.618798168960661</c:v>
                </c:pt>
                <c:pt idx="10">
                  <c:v>-8.6637820657546758</c:v>
                </c:pt>
                <c:pt idx="11">
                  <c:v>-1.8718905877997063</c:v>
                </c:pt>
                <c:pt idx="12">
                  <c:v>-3.3621080303802997</c:v>
                </c:pt>
                <c:pt idx="13">
                  <c:v>-3.5531220114476945</c:v>
                </c:pt>
                <c:pt idx="14">
                  <c:v>-1.7187328099294656</c:v>
                </c:pt>
                <c:pt idx="15">
                  <c:v>-1.8678276401932059</c:v>
                </c:pt>
                <c:pt idx="16">
                  <c:v>-8.6107347165270323</c:v>
                </c:pt>
                <c:pt idx="17">
                  <c:v>-3.4659218337445616</c:v>
                </c:pt>
                <c:pt idx="18">
                  <c:v>-8.116927266630011</c:v>
                </c:pt>
                <c:pt idx="19">
                  <c:v>2.6738922372147145</c:v>
                </c:pt>
                <c:pt idx="20">
                  <c:v>-8.4403276203708604</c:v>
                </c:pt>
                <c:pt idx="21">
                  <c:v>-8.4645658042666891</c:v>
                </c:pt>
                <c:pt idx="22">
                  <c:v>-10.741094896013045</c:v>
                </c:pt>
                <c:pt idx="23">
                  <c:v>-8.0762317133997978</c:v>
                </c:pt>
                <c:pt idx="24">
                  <c:v>-7.2481996652663723</c:v>
                </c:pt>
                <c:pt idx="25">
                  <c:v>1.2583608905740349</c:v>
                </c:pt>
                <c:pt idx="26">
                  <c:v>-4.3504473053461048</c:v>
                </c:pt>
                <c:pt idx="27">
                  <c:v>-3.1226388379830659</c:v>
                </c:pt>
                <c:pt idx="28">
                  <c:v>-3.4711828906749056</c:v>
                </c:pt>
                <c:pt idx="29">
                  <c:v>-5.7789287404171814</c:v>
                </c:pt>
                <c:pt idx="30">
                  <c:v>-3.7755114711565922</c:v>
                </c:pt>
                <c:pt idx="31">
                  <c:v>-5.7342561010127593</c:v>
                </c:pt>
                <c:pt idx="32">
                  <c:v>-5.1091583346886056</c:v>
                </c:pt>
                <c:pt idx="33">
                  <c:v>-6.3982826647394502</c:v>
                </c:pt>
                <c:pt idx="34">
                  <c:v>-5.629339686179585</c:v>
                </c:pt>
                <c:pt idx="35">
                  <c:v>-2.5825386843966878</c:v>
                </c:pt>
                <c:pt idx="36">
                  <c:v>-3.8019243580092379</c:v>
                </c:pt>
                <c:pt idx="37">
                  <c:v>-3.5189141529657819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C0-4A7C-BD29-A3649C892E68}"/>
            </c:ext>
          </c:extLst>
        </c:ser>
        <c:ser>
          <c:idx val="1"/>
          <c:order val="1"/>
          <c:tx>
            <c:strRef>
              <c:f>Clean!$G$1</c:f>
              <c:strCache>
                <c:ptCount val="1"/>
                <c:pt idx="0">
                  <c:v>GPP (µmol/m2/s)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Clean!$B$2:$B$39</c:f>
              <c:numCache>
                <c:formatCode>0.0000</c:formatCode>
                <c:ptCount val="38"/>
                <c:pt idx="0">
                  <c:v>115.44050900000039</c:v>
                </c:pt>
                <c:pt idx="1">
                  <c:v>115.54450200000028</c:v>
                </c:pt>
                <c:pt idx="2">
                  <c:v>119.43518550000007</c:v>
                </c:pt>
                <c:pt idx="3">
                  <c:v>119.53871550000002</c:v>
                </c:pt>
                <c:pt idx="4">
                  <c:v>141.52436300000045</c:v>
                </c:pt>
                <c:pt idx="5">
                  <c:v>144.46886549999982</c:v>
                </c:pt>
                <c:pt idx="6">
                  <c:v>144.54039299999965</c:v>
                </c:pt>
                <c:pt idx="7">
                  <c:v>155.46192100000042</c:v>
                </c:pt>
                <c:pt idx="8">
                  <c:v>155.54256950000018</c:v>
                </c:pt>
                <c:pt idx="9">
                  <c:v>175.51122699999979</c:v>
                </c:pt>
                <c:pt idx="10">
                  <c:v>175.63275500000054</c:v>
                </c:pt>
                <c:pt idx="11">
                  <c:v>192.34872700000017</c:v>
                </c:pt>
                <c:pt idx="12">
                  <c:v>192.61556750000017</c:v>
                </c:pt>
                <c:pt idx="13">
                  <c:v>214.6419205000002</c:v>
                </c:pt>
                <c:pt idx="14">
                  <c:v>221.51672450000078</c:v>
                </c:pt>
                <c:pt idx="15">
                  <c:v>221.6314759999994</c:v>
                </c:pt>
                <c:pt idx="16">
                  <c:v>226.54240200000021</c:v>
                </c:pt>
                <c:pt idx="17">
                  <c:v>226.6284945000003</c:v>
                </c:pt>
                <c:pt idx="18">
                  <c:v>234.51454300000006</c:v>
                </c:pt>
                <c:pt idx="19">
                  <c:v>234.60799149999986</c:v>
                </c:pt>
                <c:pt idx="20">
                  <c:v>238.48901000000006</c:v>
                </c:pt>
                <c:pt idx="21">
                  <c:v>238.58664350000038</c:v>
                </c:pt>
                <c:pt idx="22">
                  <c:v>246.45329000000021</c:v>
                </c:pt>
                <c:pt idx="23">
                  <c:v>246.53614549999983</c:v>
                </c:pt>
                <c:pt idx="24">
                  <c:v>255.43195050000065</c:v>
                </c:pt>
                <c:pt idx="25">
                  <c:v>255.52330499999988</c:v>
                </c:pt>
                <c:pt idx="26">
                  <c:v>263.47355949999951</c:v>
                </c:pt>
                <c:pt idx="27">
                  <c:v>277.5910764999997</c:v>
                </c:pt>
                <c:pt idx="28">
                  <c:v>277.67144050000059</c:v>
                </c:pt>
                <c:pt idx="29">
                  <c:v>283.47487249999978</c:v>
                </c:pt>
                <c:pt idx="30">
                  <c:v>283.57719900000012</c:v>
                </c:pt>
                <c:pt idx="31">
                  <c:v>295.4533684999999</c:v>
                </c:pt>
                <c:pt idx="32">
                  <c:v>301.44900999999959</c:v>
                </c:pt>
                <c:pt idx="33">
                  <c:v>301.56262100000026</c:v>
                </c:pt>
                <c:pt idx="34">
                  <c:v>308.43756900000005</c:v>
                </c:pt>
                <c:pt idx="35">
                  <c:v>308.60267399999975</c:v>
                </c:pt>
                <c:pt idx="36">
                  <c:v>315.46510449999948</c:v>
                </c:pt>
                <c:pt idx="37">
                  <c:v>315.57378549999959</c:v>
                </c:pt>
              </c:numCache>
            </c:numRef>
          </c:xVal>
          <c:yVal>
            <c:numRef>
              <c:f>Clean!$G$2:$G$39</c:f>
              <c:numCache>
                <c:formatCode>General</c:formatCode>
                <c:ptCount val="38"/>
                <c:pt idx="0">
                  <c:v>-4.2064160184721153</c:v>
                </c:pt>
                <c:pt idx="1">
                  <c:v>-3.3964809781484084</c:v>
                </c:pt>
                <c:pt idx="2">
                  <c:v>-3.5126464369816777</c:v>
                </c:pt>
                <c:pt idx="3">
                  <c:v>-4.3505740168581486</c:v>
                </c:pt>
                <c:pt idx="4">
                  <c:v>-17.636722490593645</c:v>
                </c:pt>
                <c:pt idx="5">
                  <c:v>-22.815739388733707</c:v>
                </c:pt>
                <c:pt idx="6">
                  <c:v>-22.061724836426645</c:v>
                </c:pt>
                <c:pt idx="7">
                  <c:v>-20.215907522952968</c:v>
                </c:pt>
                <c:pt idx="8">
                  <c:v>-20.369183443388387</c:v>
                </c:pt>
                <c:pt idx="9">
                  <c:v>-18.075052280971274</c:v>
                </c:pt>
                <c:pt idx="10">
                  <c:v>-16.808371550142976</c:v>
                </c:pt>
                <c:pt idx="11">
                  <c:v>-7.6477516975320112</c:v>
                </c:pt>
                <c:pt idx="12">
                  <c:v>-5.2361762884474228</c:v>
                </c:pt>
                <c:pt idx="13">
                  <c:v>-12.940417679581866</c:v>
                </c:pt>
                <c:pt idx="14">
                  <c:v>-2.3203257778932063</c:v>
                </c:pt>
                <c:pt idx="15">
                  <c:v>-4.0522609029520531</c:v>
                </c:pt>
                <c:pt idx="16">
                  <c:v>-20.239665259204063</c:v>
                </c:pt>
                <c:pt idx="17">
                  <c:v>-13.433393231303668</c:v>
                </c:pt>
                <c:pt idx="18">
                  <c:v>-29.558419465013532</c:v>
                </c:pt>
                <c:pt idx="19">
                  <c:v>-16.160573056489447</c:v>
                </c:pt>
                <c:pt idx="20">
                  <c:v>-20.42964748846456</c:v>
                </c:pt>
                <c:pt idx="21">
                  <c:v>-21.588886203408507</c:v>
                </c:pt>
                <c:pt idx="22">
                  <c:v>-21.960246425743698</c:v>
                </c:pt>
                <c:pt idx="23">
                  <c:v>-22.917025287053974</c:v>
                </c:pt>
                <c:pt idx="24">
                  <c:v>-17.590132207988944</c:v>
                </c:pt>
                <c:pt idx="25">
                  <c:v>-8.0725957889598785</c:v>
                </c:pt>
                <c:pt idx="26">
                  <c:v>-13.169746528319934</c:v>
                </c:pt>
                <c:pt idx="27">
                  <c:v>-7.986309568712274</c:v>
                </c:pt>
                <c:pt idx="28">
                  <c:v>-9.101475664109083</c:v>
                </c:pt>
                <c:pt idx="29">
                  <c:v>-12.826148221303015</c:v>
                </c:pt>
                <c:pt idx="30">
                  <c:v>-11.737302188512777</c:v>
                </c:pt>
                <c:pt idx="31">
                  <c:v>-10.524819595133341</c:v>
                </c:pt>
                <c:pt idx="32">
                  <c:v>-10.232575448844264</c:v>
                </c:pt>
                <c:pt idx="33">
                  <c:v>-12.229313929572585</c:v>
                </c:pt>
                <c:pt idx="34">
                  <c:v>-8.7829608744793788</c:v>
                </c:pt>
                <c:pt idx="35">
                  <c:v>-5.3523885870625456</c:v>
                </c:pt>
                <c:pt idx="36">
                  <c:v>-5.9880922151823999</c:v>
                </c:pt>
                <c:pt idx="37">
                  <c:v>-5.6100688417164859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C0-4A7C-BD29-A3649C892E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800872"/>
        <c:axId val="428801528"/>
      </c:scatterChart>
      <c:valAx>
        <c:axId val="428800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801528"/>
        <c:crosses val="autoZero"/>
        <c:crossBetween val="midCat"/>
      </c:valAx>
      <c:valAx>
        <c:axId val="428801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800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CSO4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Clean!$C$1</c:f>
              <c:strCache>
                <c:ptCount val="1"/>
                <c:pt idx="0">
                  <c:v>NEE (µmol/m2/s)mean of 5 rings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Clean!$B$2:$B$39</c:f>
              <c:numCache>
                <c:formatCode>0.0000</c:formatCode>
                <c:ptCount val="38"/>
                <c:pt idx="0">
                  <c:v>115.44050900000039</c:v>
                </c:pt>
                <c:pt idx="1">
                  <c:v>115.54450200000028</c:v>
                </c:pt>
                <c:pt idx="2">
                  <c:v>119.43518550000007</c:v>
                </c:pt>
                <c:pt idx="3">
                  <c:v>119.53871550000002</c:v>
                </c:pt>
                <c:pt idx="4">
                  <c:v>141.52436300000045</c:v>
                </c:pt>
                <c:pt idx="5">
                  <c:v>144.46886549999982</c:v>
                </c:pt>
                <c:pt idx="6">
                  <c:v>144.54039299999965</c:v>
                </c:pt>
                <c:pt idx="7">
                  <c:v>155.46192100000042</c:v>
                </c:pt>
                <c:pt idx="8">
                  <c:v>155.54256950000018</c:v>
                </c:pt>
                <c:pt idx="9">
                  <c:v>175.51122699999979</c:v>
                </c:pt>
                <c:pt idx="10">
                  <c:v>175.63275500000054</c:v>
                </c:pt>
                <c:pt idx="11">
                  <c:v>192.34872700000017</c:v>
                </c:pt>
                <c:pt idx="12">
                  <c:v>192.61556750000017</c:v>
                </c:pt>
                <c:pt idx="13">
                  <c:v>214.6419205000002</c:v>
                </c:pt>
                <c:pt idx="14">
                  <c:v>221.51672450000078</c:v>
                </c:pt>
                <c:pt idx="15">
                  <c:v>221.6314759999994</c:v>
                </c:pt>
                <c:pt idx="16">
                  <c:v>226.54240200000021</c:v>
                </c:pt>
                <c:pt idx="17">
                  <c:v>226.6284945000003</c:v>
                </c:pt>
                <c:pt idx="18">
                  <c:v>234.51454300000006</c:v>
                </c:pt>
                <c:pt idx="19">
                  <c:v>234.60799149999986</c:v>
                </c:pt>
                <c:pt idx="20">
                  <c:v>238.48901000000006</c:v>
                </c:pt>
                <c:pt idx="21">
                  <c:v>238.58664350000038</c:v>
                </c:pt>
                <c:pt idx="22">
                  <c:v>246.45329000000021</c:v>
                </c:pt>
                <c:pt idx="23">
                  <c:v>246.53614549999983</c:v>
                </c:pt>
                <c:pt idx="24">
                  <c:v>255.43195050000065</c:v>
                </c:pt>
                <c:pt idx="25">
                  <c:v>255.52330499999988</c:v>
                </c:pt>
                <c:pt idx="26">
                  <c:v>263.47355949999951</c:v>
                </c:pt>
                <c:pt idx="27">
                  <c:v>277.5910764999997</c:v>
                </c:pt>
                <c:pt idx="28">
                  <c:v>277.67144050000059</c:v>
                </c:pt>
                <c:pt idx="29">
                  <c:v>283.47487249999978</c:v>
                </c:pt>
                <c:pt idx="30">
                  <c:v>283.57719900000012</c:v>
                </c:pt>
                <c:pt idx="31">
                  <c:v>295.4533684999999</c:v>
                </c:pt>
                <c:pt idx="32">
                  <c:v>301.44900999999959</c:v>
                </c:pt>
                <c:pt idx="33">
                  <c:v>301.56262100000026</c:v>
                </c:pt>
                <c:pt idx="34">
                  <c:v>308.43756900000005</c:v>
                </c:pt>
                <c:pt idx="35">
                  <c:v>308.60267399999975</c:v>
                </c:pt>
                <c:pt idx="36">
                  <c:v>315.46510449999948</c:v>
                </c:pt>
                <c:pt idx="37">
                  <c:v>315.57378549999959</c:v>
                </c:pt>
              </c:numCache>
            </c:numRef>
          </c:xVal>
          <c:yVal>
            <c:numRef>
              <c:f>Clean!$C$2:$C$39</c:f>
              <c:numCache>
                <c:formatCode>General</c:formatCode>
                <c:ptCount val="38"/>
                <c:pt idx="0">
                  <c:v>-0.55154379613028681</c:v>
                </c:pt>
                <c:pt idx="1">
                  <c:v>7.061918694014338E-2</c:v>
                </c:pt>
                <c:pt idx="2">
                  <c:v>-1.03492594465239</c:v>
                </c:pt>
                <c:pt idx="3">
                  <c:v>-0.89409954484235266</c:v>
                </c:pt>
                <c:pt idx="4">
                  <c:v>-11.193472090381066</c:v>
                </c:pt>
                <c:pt idx="5">
                  <c:v>-14.701454053565422</c:v>
                </c:pt>
                <c:pt idx="6">
                  <c:v>-13.916306477304897</c:v>
                </c:pt>
                <c:pt idx="7">
                  <c:v>-13.458042213567158</c:v>
                </c:pt>
                <c:pt idx="8">
                  <c:v>-12.373088393052161</c:v>
                </c:pt>
                <c:pt idx="9">
                  <c:v>-10.618798168960661</c:v>
                </c:pt>
                <c:pt idx="10">
                  <c:v>-8.6637820657546758</c:v>
                </c:pt>
                <c:pt idx="11">
                  <c:v>-1.8718905877997063</c:v>
                </c:pt>
                <c:pt idx="12">
                  <c:v>-3.3621080303802997</c:v>
                </c:pt>
                <c:pt idx="13">
                  <c:v>-3.5531220114476945</c:v>
                </c:pt>
                <c:pt idx="14">
                  <c:v>-1.7187328099294656</c:v>
                </c:pt>
                <c:pt idx="15">
                  <c:v>-1.8678276401932059</c:v>
                </c:pt>
                <c:pt idx="16">
                  <c:v>-8.6107347165270323</c:v>
                </c:pt>
                <c:pt idx="17">
                  <c:v>-3.4659218337445616</c:v>
                </c:pt>
                <c:pt idx="18">
                  <c:v>-8.116927266630011</c:v>
                </c:pt>
                <c:pt idx="19">
                  <c:v>2.6738922372147145</c:v>
                </c:pt>
                <c:pt idx="20">
                  <c:v>-8.4403276203708604</c:v>
                </c:pt>
                <c:pt idx="21">
                  <c:v>-8.4645658042666891</c:v>
                </c:pt>
                <c:pt idx="22">
                  <c:v>-10.741094896013045</c:v>
                </c:pt>
                <c:pt idx="23">
                  <c:v>-8.0762317133997978</c:v>
                </c:pt>
                <c:pt idx="24">
                  <c:v>-7.2481996652663723</c:v>
                </c:pt>
                <c:pt idx="25">
                  <c:v>1.2583608905740349</c:v>
                </c:pt>
                <c:pt idx="26">
                  <c:v>-4.3504473053461048</c:v>
                </c:pt>
                <c:pt idx="27">
                  <c:v>-3.1226388379830659</c:v>
                </c:pt>
                <c:pt idx="28">
                  <c:v>-3.4711828906749056</c:v>
                </c:pt>
                <c:pt idx="29">
                  <c:v>-5.7789287404171814</c:v>
                </c:pt>
                <c:pt idx="30">
                  <c:v>-3.7755114711565922</c:v>
                </c:pt>
                <c:pt idx="31">
                  <c:v>-5.7342561010127593</c:v>
                </c:pt>
                <c:pt idx="32">
                  <c:v>-5.1091583346886056</c:v>
                </c:pt>
                <c:pt idx="33">
                  <c:v>-6.3982826647394502</c:v>
                </c:pt>
                <c:pt idx="34">
                  <c:v>-5.629339686179585</c:v>
                </c:pt>
                <c:pt idx="35">
                  <c:v>-2.5825386843966878</c:v>
                </c:pt>
                <c:pt idx="36">
                  <c:v>-3.8019243580092379</c:v>
                </c:pt>
                <c:pt idx="37">
                  <c:v>-3.5189141529657819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F4-4A5B-9403-8DAD97E24460}"/>
            </c:ext>
          </c:extLst>
        </c:ser>
        <c:ser>
          <c:idx val="1"/>
          <c:order val="1"/>
          <c:tx>
            <c:strRef>
              <c:f>Clean!$E$1</c:f>
              <c:strCache>
                <c:ptCount val="1"/>
                <c:pt idx="0">
                  <c:v>Re (mmol/m2/s) mean of 5 rings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Clean!$B$2:$B$39</c:f>
              <c:numCache>
                <c:formatCode>0.0000</c:formatCode>
                <c:ptCount val="38"/>
                <c:pt idx="0">
                  <c:v>115.44050900000039</c:v>
                </c:pt>
                <c:pt idx="1">
                  <c:v>115.54450200000028</c:v>
                </c:pt>
                <c:pt idx="2">
                  <c:v>119.43518550000007</c:v>
                </c:pt>
                <c:pt idx="3">
                  <c:v>119.53871550000002</c:v>
                </c:pt>
                <c:pt idx="4">
                  <c:v>141.52436300000045</c:v>
                </c:pt>
                <c:pt idx="5">
                  <c:v>144.46886549999982</c:v>
                </c:pt>
                <c:pt idx="6">
                  <c:v>144.54039299999965</c:v>
                </c:pt>
                <c:pt idx="7">
                  <c:v>155.46192100000042</c:v>
                </c:pt>
                <c:pt idx="8">
                  <c:v>155.54256950000018</c:v>
                </c:pt>
                <c:pt idx="9">
                  <c:v>175.51122699999979</c:v>
                </c:pt>
                <c:pt idx="10">
                  <c:v>175.63275500000054</c:v>
                </c:pt>
                <c:pt idx="11">
                  <c:v>192.34872700000017</c:v>
                </c:pt>
                <c:pt idx="12">
                  <c:v>192.61556750000017</c:v>
                </c:pt>
                <c:pt idx="13">
                  <c:v>214.6419205000002</c:v>
                </c:pt>
                <c:pt idx="14">
                  <c:v>221.51672450000078</c:v>
                </c:pt>
                <c:pt idx="15">
                  <c:v>221.6314759999994</c:v>
                </c:pt>
                <c:pt idx="16">
                  <c:v>226.54240200000021</c:v>
                </c:pt>
                <c:pt idx="17">
                  <c:v>226.6284945000003</c:v>
                </c:pt>
                <c:pt idx="18">
                  <c:v>234.51454300000006</c:v>
                </c:pt>
                <c:pt idx="19">
                  <c:v>234.60799149999986</c:v>
                </c:pt>
                <c:pt idx="20">
                  <c:v>238.48901000000006</c:v>
                </c:pt>
                <c:pt idx="21">
                  <c:v>238.58664350000038</c:v>
                </c:pt>
                <c:pt idx="22">
                  <c:v>246.45329000000021</c:v>
                </c:pt>
                <c:pt idx="23">
                  <c:v>246.53614549999983</c:v>
                </c:pt>
                <c:pt idx="24">
                  <c:v>255.43195050000065</c:v>
                </c:pt>
                <c:pt idx="25">
                  <c:v>255.52330499999988</c:v>
                </c:pt>
                <c:pt idx="26">
                  <c:v>263.47355949999951</c:v>
                </c:pt>
                <c:pt idx="27">
                  <c:v>277.5910764999997</c:v>
                </c:pt>
                <c:pt idx="28">
                  <c:v>277.67144050000059</c:v>
                </c:pt>
                <c:pt idx="29">
                  <c:v>283.47487249999978</c:v>
                </c:pt>
                <c:pt idx="30">
                  <c:v>283.57719900000012</c:v>
                </c:pt>
                <c:pt idx="31">
                  <c:v>295.4533684999999</c:v>
                </c:pt>
                <c:pt idx="32">
                  <c:v>301.44900999999959</c:v>
                </c:pt>
                <c:pt idx="33">
                  <c:v>301.56262100000026</c:v>
                </c:pt>
                <c:pt idx="34">
                  <c:v>308.43756900000005</c:v>
                </c:pt>
                <c:pt idx="35">
                  <c:v>308.60267399999975</c:v>
                </c:pt>
                <c:pt idx="36">
                  <c:v>315.46510449999948</c:v>
                </c:pt>
                <c:pt idx="37">
                  <c:v>315.57378549999959</c:v>
                </c:pt>
              </c:numCache>
            </c:numRef>
          </c:xVal>
          <c:yVal>
            <c:numRef>
              <c:f>Clean!$E$2:$E$39</c:f>
              <c:numCache>
                <c:formatCode>General</c:formatCode>
                <c:ptCount val="38"/>
                <c:pt idx="0">
                  <c:v>3.6548722223418282</c:v>
                </c:pt>
                <c:pt idx="1">
                  <c:v>3.467100165088552</c:v>
                </c:pt>
                <c:pt idx="2">
                  <c:v>2.4777204923292877</c:v>
                </c:pt>
                <c:pt idx="3">
                  <c:v>3.4564744720157963</c:v>
                </c:pt>
                <c:pt idx="4">
                  <c:v>6.4432504002125786</c:v>
                </c:pt>
                <c:pt idx="5">
                  <c:v>8.1142853351682849</c:v>
                </c:pt>
                <c:pt idx="6">
                  <c:v>8.1454183591217486</c:v>
                </c:pt>
                <c:pt idx="7">
                  <c:v>6.7578653093858119</c:v>
                </c:pt>
                <c:pt idx="8">
                  <c:v>7.9960950503362245</c:v>
                </c:pt>
                <c:pt idx="9">
                  <c:v>7.4562541120106136</c:v>
                </c:pt>
                <c:pt idx="10">
                  <c:v>8.1445894843883</c:v>
                </c:pt>
                <c:pt idx="11">
                  <c:v>5.7758611097323049</c:v>
                </c:pt>
                <c:pt idx="12">
                  <c:v>1.8740682580671226</c:v>
                </c:pt>
                <c:pt idx="13">
                  <c:v>9.3872956681341719</c:v>
                </c:pt>
                <c:pt idx="14">
                  <c:v>0.60159296796374073</c:v>
                </c:pt>
                <c:pt idx="15">
                  <c:v>2.1844332627588474</c:v>
                </c:pt>
                <c:pt idx="16">
                  <c:v>11.628930542677031</c:v>
                </c:pt>
                <c:pt idx="17">
                  <c:v>9.9674713975591072</c:v>
                </c:pt>
                <c:pt idx="18">
                  <c:v>21.441492198383521</c:v>
                </c:pt>
                <c:pt idx="19">
                  <c:v>18.834465293704163</c:v>
                </c:pt>
                <c:pt idx="20">
                  <c:v>11.9893198680937</c:v>
                </c:pt>
                <c:pt idx="21">
                  <c:v>13.124320399141819</c:v>
                </c:pt>
                <c:pt idx="22">
                  <c:v>11.219151529730651</c:v>
                </c:pt>
                <c:pt idx="23">
                  <c:v>14.840793573654178</c:v>
                </c:pt>
                <c:pt idx="24">
                  <c:v>10.341932542722573</c:v>
                </c:pt>
                <c:pt idx="25">
                  <c:v>9.3309566795339141</c:v>
                </c:pt>
                <c:pt idx="26">
                  <c:v>8.8192992229738287</c:v>
                </c:pt>
                <c:pt idx="27">
                  <c:v>4.8636707307292077</c:v>
                </c:pt>
                <c:pt idx="28">
                  <c:v>5.6302927734341779</c:v>
                </c:pt>
                <c:pt idx="29">
                  <c:v>7.0472194808858344</c:v>
                </c:pt>
                <c:pt idx="30">
                  <c:v>7.9617907173561848</c:v>
                </c:pt>
                <c:pt idx="31">
                  <c:v>4.7905634941205824</c:v>
                </c:pt>
                <c:pt idx="32">
                  <c:v>5.1234171141556581</c:v>
                </c:pt>
                <c:pt idx="33">
                  <c:v>5.8310312648331353</c:v>
                </c:pt>
                <c:pt idx="34">
                  <c:v>3.1536211882997938</c:v>
                </c:pt>
                <c:pt idx="35">
                  <c:v>2.7698499026658583</c:v>
                </c:pt>
                <c:pt idx="36">
                  <c:v>2.1861678571731624</c:v>
                </c:pt>
                <c:pt idx="37">
                  <c:v>2.091154688750704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F4-4A5B-9403-8DAD97E24460}"/>
            </c:ext>
          </c:extLst>
        </c:ser>
        <c:ser>
          <c:idx val="2"/>
          <c:order val="2"/>
          <c:tx>
            <c:strRef>
              <c:f>Clean!$G$1</c:f>
              <c:strCache>
                <c:ptCount val="1"/>
                <c:pt idx="0">
                  <c:v>GPP (µmol/m2/s)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Clean!$B$2:$B$39</c:f>
              <c:numCache>
                <c:formatCode>0.0000</c:formatCode>
                <c:ptCount val="38"/>
                <c:pt idx="0">
                  <c:v>115.44050900000039</c:v>
                </c:pt>
                <c:pt idx="1">
                  <c:v>115.54450200000028</c:v>
                </c:pt>
                <c:pt idx="2">
                  <c:v>119.43518550000007</c:v>
                </c:pt>
                <c:pt idx="3">
                  <c:v>119.53871550000002</c:v>
                </c:pt>
                <c:pt idx="4">
                  <c:v>141.52436300000045</c:v>
                </c:pt>
                <c:pt idx="5">
                  <c:v>144.46886549999982</c:v>
                </c:pt>
                <c:pt idx="6">
                  <c:v>144.54039299999965</c:v>
                </c:pt>
                <c:pt idx="7">
                  <c:v>155.46192100000042</c:v>
                </c:pt>
                <c:pt idx="8">
                  <c:v>155.54256950000018</c:v>
                </c:pt>
                <c:pt idx="9">
                  <c:v>175.51122699999979</c:v>
                </c:pt>
                <c:pt idx="10">
                  <c:v>175.63275500000054</c:v>
                </c:pt>
                <c:pt idx="11">
                  <c:v>192.34872700000017</c:v>
                </c:pt>
                <c:pt idx="12">
                  <c:v>192.61556750000017</c:v>
                </c:pt>
                <c:pt idx="13">
                  <c:v>214.6419205000002</c:v>
                </c:pt>
                <c:pt idx="14">
                  <c:v>221.51672450000078</c:v>
                </c:pt>
                <c:pt idx="15">
                  <c:v>221.6314759999994</c:v>
                </c:pt>
                <c:pt idx="16">
                  <c:v>226.54240200000021</c:v>
                </c:pt>
                <c:pt idx="17">
                  <c:v>226.6284945000003</c:v>
                </c:pt>
                <c:pt idx="18">
                  <c:v>234.51454300000006</c:v>
                </c:pt>
                <c:pt idx="19">
                  <c:v>234.60799149999986</c:v>
                </c:pt>
                <c:pt idx="20">
                  <c:v>238.48901000000006</c:v>
                </c:pt>
                <c:pt idx="21">
                  <c:v>238.58664350000038</c:v>
                </c:pt>
                <c:pt idx="22">
                  <c:v>246.45329000000021</c:v>
                </c:pt>
                <c:pt idx="23">
                  <c:v>246.53614549999983</c:v>
                </c:pt>
                <c:pt idx="24">
                  <c:v>255.43195050000065</c:v>
                </c:pt>
                <c:pt idx="25">
                  <c:v>255.52330499999988</c:v>
                </c:pt>
                <c:pt idx="26">
                  <c:v>263.47355949999951</c:v>
                </c:pt>
                <c:pt idx="27">
                  <c:v>277.5910764999997</c:v>
                </c:pt>
                <c:pt idx="28">
                  <c:v>277.67144050000059</c:v>
                </c:pt>
                <c:pt idx="29">
                  <c:v>283.47487249999978</c:v>
                </c:pt>
                <c:pt idx="30">
                  <c:v>283.57719900000012</c:v>
                </c:pt>
                <c:pt idx="31">
                  <c:v>295.4533684999999</c:v>
                </c:pt>
                <c:pt idx="32">
                  <c:v>301.44900999999959</c:v>
                </c:pt>
                <c:pt idx="33">
                  <c:v>301.56262100000026</c:v>
                </c:pt>
                <c:pt idx="34">
                  <c:v>308.43756900000005</c:v>
                </c:pt>
                <c:pt idx="35">
                  <c:v>308.60267399999975</c:v>
                </c:pt>
                <c:pt idx="36">
                  <c:v>315.46510449999948</c:v>
                </c:pt>
                <c:pt idx="37">
                  <c:v>315.57378549999959</c:v>
                </c:pt>
              </c:numCache>
            </c:numRef>
          </c:xVal>
          <c:yVal>
            <c:numRef>
              <c:f>Clean!$G$2:$G$39</c:f>
              <c:numCache>
                <c:formatCode>General</c:formatCode>
                <c:ptCount val="38"/>
                <c:pt idx="0">
                  <c:v>-4.2064160184721153</c:v>
                </c:pt>
                <c:pt idx="1">
                  <c:v>-3.3964809781484084</c:v>
                </c:pt>
                <c:pt idx="2">
                  <c:v>-3.5126464369816777</c:v>
                </c:pt>
                <c:pt idx="3">
                  <c:v>-4.3505740168581486</c:v>
                </c:pt>
                <c:pt idx="4">
                  <c:v>-17.636722490593645</c:v>
                </c:pt>
                <c:pt idx="5">
                  <c:v>-22.815739388733707</c:v>
                </c:pt>
                <c:pt idx="6">
                  <c:v>-22.061724836426645</c:v>
                </c:pt>
                <c:pt idx="7">
                  <c:v>-20.215907522952968</c:v>
                </c:pt>
                <c:pt idx="8">
                  <c:v>-20.369183443388387</c:v>
                </c:pt>
                <c:pt idx="9">
                  <c:v>-18.075052280971274</c:v>
                </c:pt>
                <c:pt idx="10">
                  <c:v>-16.808371550142976</c:v>
                </c:pt>
                <c:pt idx="11">
                  <c:v>-7.6477516975320112</c:v>
                </c:pt>
                <c:pt idx="12">
                  <c:v>-5.2361762884474228</c:v>
                </c:pt>
                <c:pt idx="13">
                  <c:v>-12.940417679581866</c:v>
                </c:pt>
                <c:pt idx="14">
                  <c:v>-2.3203257778932063</c:v>
                </c:pt>
                <c:pt idx="15">
                  <c:v>-4.0522609029520531</c:v>
                </c:pt>
                <c:pt idx="16">
                  <c:v>-20.239665259204063</c:v>
                </c:pt>
                <c:pt idx="17">
                  <c:v>-13.433393231303668</c:v>
                </c:pt>
                <c:pt idx="18">
                  <c:v>-29.558419465013532</c:v>
                </c:pt>
                <c:pt idx="19">
                  <c:v>-16.160573056489447</c:v>
                </c:pt>
                <c:pt idx="20">
                  <c:v>-20.42964748846456</c:v>
                </c:pt>
                <c:pt idx="21">
                  <c:v>-21.588886203408507</c:v>
                </c:pt>
                <c:pt idx="22">
                  <c:v>-21.960246425743698</c:v>
                </c:pt>
                <c:pt idx="23">
                  <c:v>-22.917025287053974</c:v>
                </c:pt>
                <c:pt idx="24">
                  <c:v>-17.590132207988944</c:v>
                </c:pt>
                <c:pt idx="25">
                  <c:v>-8.0725957889598785</c:v>
                </c:pt>
                <c:pt idx="26">
                  <c:v>-13.169746528319934</c:v>
                </c:pt>
                <c:pt idx="27">
                  <c:v>-7.986309568712274</c:v>
                </c:pt>
                <c:pt idx="28">
                  <c:v>-9.101475664109083</c:v>
                </c:pt>
                <c:pt idx="29">
                  <c:v>-12.826148221303015</c:v>
                </c:pt>
                <c:pt idx="30">
                  <c:v>-11.737302188512777</c:v>
                </c:pt>
                <c:pt idx="31">
                  <c:v>-10.524819595133341</c:v>
                </c:pt>
                <c:pt idx="32">
                  <c:v>-10.232575448844264</c:v>
                </c:pt>
                <c:pt idx="33">
                  <c:v>-12.229313929572585</c:v>
                </c:pt>
                <c:pt idx="34">
                  <c:v>-8.7829608744793788</c:v>
                </c:pt>
                <c:pt idx="35">
                  <c:v>-5.3523885870625456</c:v>
                </c:pt>
                <c:pt idx="36">
                  <c:v>-5.9880922151823999</c:v>
                </c:pt>
                <c:pt idx="37">
                  <c:v>-5.6100688417164859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F4-4A5B-9403-8DAD97E24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3696984"/>
        <c:axId val="503697640"/>
      </c:scatterChart>
      <c:valAx>
        <c:axId val="503696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697640"/>
        <c:crosses val="autoZero"/>
        <c:crossBetween val="midCat"/>
      </c:valAx>
      <c:valAx>
        <c:axId val="503697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696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Clean!$H$1</c:f>
              <c:strCache>
                <c:ptCount val="1"/>
                <c:pt idx="0">
                  <c:v>Dark CH4 (mmol/m2/s) mean of 5 rings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Clean!$B$96:$B$141</c:f>
              <c:numCache>
                <c:formatCode>0.0000</c:formatCode>
                <c:ptCount val="46"/>
                <c:pt idx="0">
                  <c:v>107.41874999999965</c:v>
                </c:pt>
                <c:pt idx="1">
                  <c:v>107.66817099999972</c:v>
                </c:pt>
                <c:pt idx="2">
                  <c:v>113.37986099999981</c:v>
                </c:pt>
                <c:pt idx="3">
                  <c:v>113.51122699999979</c:v>
                </c:pt>
                <c:pt idx="4">
                  <c:v>122.40138900000019</c:v>
                </c:pt>
                <c:pt idx="5">
                  <c:v>122.51993200000034</c:v>
                </c:pt>
                <c:pt idx="6">
                  <c:v>142.43159799999955</c:v>
                </c:pt>
                <c:pt idx="7">
                  <c:v>142.53333300000014</c:v>
                </c:pt>
                <c:pt idx="8">
                  <c:v>150.47777800000003</c:v>
                </c:pt>
                <c:pt idx="9">
                  <c:v>150.54444450000011</c:v>
                </c:pt>
                <c:pt idx="10">
                  <c:v>154.42708299999975</c:v>
                </c:pt>
                <c:pt idx="11">
                  <c:v>154.52777799999967</c:v>
                </c:pt>
                <c:pt idx="12">
                  <c:v>163.45486099999982</c:v>
                </c:pt>
                <c:pt idx="13">
                  <c:v>163.53819450000009</c:v>
                </c:pt>
                <c:pt idx="14">
                  <c:v>175.43888899999945</c:v>
                </c:pt>
                <c:pt idx="15">
                  <c:v>175.57222199999995</c:v>
                </c:pt>
                <c:pt idx="16">
                  <c:v>190.50416700000022</c:v>
                </c:pt>
                <c:pt idx="17">
                  <c:v>190.59583300000014</c:v>
                </c:pt>
                <c:pt idx="18">
                  <c:v>207.46553149999966</c:v>
                </c:pt>
                <c:pt idx="19">
                  <c:v>211.41597199999995</c:v>
                </c:pt>
                <c:pt idx="20">
                  <c:v>211.61597199999997</c:v>
                </c:pt>
                <c:pt idx="21">
                  <c:v>219.46515599999947</c:v>
                </c:pt>
                <c:pt idx="22">
                  <c:v>219.58591000000052</c:v>
                </c:pt>
                <c:pt idx="23">
                  <c:v>224.47447899999935</c:v>
                </c:pt>
                <c:pt idx="24">
                  <c:v>224.60324750000075</c:v>
                </c:pt>
                <c:pt idx="25">
                  <c:v>228.55109399999964</c:v>
                </c:pt>
                <c:pt idx="26">
                  <c:v>228.64228449999939</c:v>
                </c:pt>
                <c:pt idx="27">
                  <c:v>231.53040499999989</c:v>
                </c:pt>
                <c:pt idx="28">
                  <c:v>231.64165500000018</c:v>
                </c:pt>
                <c:pt idx="29">
                  <c:v>242.40884699999987</c:v>
                </c:pt>
                <c:pt idx="30">
                  <c:v>242.53487649999988</c:v>
                </c:pt>
                <c:pt idx="31">
                  <c:v>248.4568000000003</c:v>
                </c:pt>
                <c:pt idx="32">
                  <c:v>248.55019099999993</c:v>
                </c:pt>
                <c:pt idx="33">
                  <c:v>259.42110649999961</c:v>
                </c:pt>
                <c:pt idx="34">
                  <c:v>259.50284200000021</c:v>
                </c:pt>
                <c:pt idx="35">
                  <c:v>270.43201299999964</c:v>
                </c:pt>
                <c:pt idx="36">
                  <c:v>270.52986049999964</c:v>
                </c:pt>
                <c:pt idx="37">
                  <c:v>275.57566000000008</c:v>
                </c:pt>
                <c:pt idx="38">
                  <c:v>282.49756937500115</c:v>
                </c:pt>
                <c:pt idx="39">
                  <c:v>282.58350687499978</c:v>
                </c:pt>
                <c:pt idx="40">
                  <c:v>289.46881999999937</c:v>
                </c:pt>
                <c:pt idx="41">
                  <c:v>289.55524350000013</c:v>
                </c:pt>
                <c:pt idx="42">
                  <c:v>297.65975800000052</c:v>
                </c:pt>
                <c:pt idx="43">
                  <c:v>297.72681250000062</c:v>
                </c:pt>
                <c:pt idx="44">
                  <c:v>303.42732049999972</c:v>
                </c:pt>
                <c:pt idx="45">
                  <c:v>303.50607549999984</c:v>
                </c:pt>
              </c:numCache>
            </c:numRef>
          </c:xVal>
          <c:yVal>
            <c:numRef>
              <c:f>Clean!$H$96:$H$141</c:f>
              <c:numCache>
                <c:formatCode>0.0000000000</c:formatCode>
                <c:ptCount val="46"/>
                <c:pt idx="0">
                  <c:v>4.1477891319809121E-5</c:v>
                </c:pt>
                <c:pt idx="1">
                  <c:v>1.9055628118247421E-4</c:v>
                </c:pt>
                <c:pt idx="2">
                  <c:v>-1.0008066538599039E-5</c:v>
                </c:pt>
                <c:pt idx="3">
                  <c:v>6.9176151063464461E-5</c:v>
                </c:pt>
                <c:pt idx="4">
                  <c:v>-9.0392414350864964E-5</c:v>
                </c:pt>
                <c:pt idx="5">
                  <c:v>-8.6487122251913861E-5</c:v>
                </c:pt>
                <c:pt idx="6">
                  <c:v>-3.6932800000000004E-4</c:v>
                </c:pt>
                <c:pt idx="7">
                  <c:v>-9.5490680902257424E-4</c:v>
                </c:pt>
                <c:pt idx="8">
                  <c:v>3.8096341528817283E-4</c:v>
                </c:pt>
                <c:pt idx="9">
                  <c:v>1.3979371134418419E-4</c:v>
                </c:pt>
                <c:pt idx="10">
                  <c:v>-3.5937675291858262E-7</c:v>
                </c:pt>
                <c:pt idx="11">
                  <c:v>-3.8846452646717539E-7</c:v>
                </c:pt>
                <c:pt idx="12">
                  <c:v>-3.0713293162756577E-6</c:v>
                </c:pt>
                <c:pt idx="13">
                  <c:v>2.7315452853356782E-5</c:v>
                </c:pt>
                <c:pt idx="14">
                  <c:v>9.7842185041158315E-3</c:v>
                </c:pt>
                <c:pt idx="15">
                  <c:v>-3.4439199999999995E-6</c:v>
                </c:pt>
                <c:pt idx="16">
                  <c:v>-1.1201796503398157E-4</c:v>
                </c:pt>
                <c:pt idx="17">
                  <c:v>1.5864134902919514E-4</c:v>
                </c:pt>
                <c:pt idx="18">
                  <c:v>4.1055403886220401E-6</c:v>
                </c:pt>
                <c:pt idx="19">
                  <c:v>1.0737926000000001E-3</c:v>
                </c:pt>
                <c:pt idx="20">
                  <c:v>8.0186712000000007E-3</c:v>
                </c:pt>
                <c:pt idx="21">
                  <c:v>-3.1417011683405102E-4</c:v>
                </c:pt>
                <c:pt idx="22">
                  <c:v>1.35245468E-3</c:v>
                </c:pt>
                <c:pt idx="23">
                  <c:v>-2.3745659999999997E-4</c:v>
                </c:pt>
                <c:pt idx="24">
                  <c:v>-2.6775380000000002E-4</c:v>
                </c:pt>
                <c:pt idx="25">
                  <c:v>-1.5010562135803058E-4</c:v>
                </c:pt>
                <c:pt idx="26">
                  <c:v>-3.1792433994549963E-5</c:v>
                </c:pt>
                <c:pt idx="27">
                  <c:v>-7.5929115939197693E-5</c:v>
                </c:pt>
                <c:pt idx="28">
                  <c:v>-1.0855351359530779E-5</c:v>
                </c:pt>
                <c:pt idx="29">
                  <c:v>-1.5665231326468667E-4</c:v>
                </c:pt>
                <c:pt idx="30">
                  <c:v>-5.9737908770197075E-5</c:v>
                </c:pt>
                <c:pt idx="31">
                  <c:v>-9.477584853785699E-5</c:v>
                </c:pt>
                <c:pt idx="32">
                  <c:v>-1.8029514432964778E-4</c:v>
                </c:pt>
                <c:pt idx="33">
                  <c:v>-4.8997629446107113E-5</c:v>
                </c:pt>
                <c:pt idx="34">
                  <c:v>-6.6046781945033799E-5</c:v>
                </c:pt>
                <c:pt idx="35">
                  <c:v>-2.2649145880311851E-4</c:v>
                </c:pt>
                <c:pt idx="36">
                  <c:v>-1.4217654160397298E-4</c:v>
                </c:pt>
                <c:pt idx="37">
                  <c:v>-2.1244943051748463E-5</c:v>
                </c:pt>
                <c:pt idx="38">
                  <c:v>-7.1328092560909138E-5</c:v>
                </c:pt>
                <c:pt idx="39">
                  <c:v>1.6704865208407335E-5</c:v>
                </c:pt>
                <c:pt idx="40">
                  <c:v>-1.1913539484739136E-4</c:v>
                </c:pt>
                <c:pt idx="41">
                  <c:v>-8.9241334802715318E-5</c:v>
                </c:pt>
                <c:pt idx="42">
                  <c:v>-4.7360000000000001E-5</c:v>
                </c:pt>
                <c:pt idx="43">
                  <c:v>3.7291372648841898E-7</c:v>
                </c:pt>
                <c:pt idx="44">
                  <c:v>-4.4009870602644113E-5</c:v>
                </c:pt>
                <c:pt idx="45">
                  <c:v>-1.977821579311844E-5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0F-499B-A19D-11E1CD5C0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654048"/>
        <c:axId val="527657000"/>
      </c:scatterChart>
      <c:scatterChart>
        <c:scatterStyle val="lineMarker"/>
        <c:varyColors val="0"/>
        <c:ser>
          <c:idx val="1"/>
          <c:order val="1"/>
          <c:tx>
            <c:strRef>
              <c:f>Clean!$N$1</c:f>
              <c:strCache>
                <c:ptCount val="1"/>
                <c:pt idx="0">
                  <c:v>Soil moisture % mean of 5 rings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Clean!$B$96:$B$141</c:f>
              <c:numCache>
                <c:formatCode>0.0000</c:formatCode>
                <c:ptCount val="46"/>
                <c:pt idx="0">
                  <c:v>107.41874999999965</c:v>
                </c:pt>
                <c:pt idx="1">
                  <c:v>107.66817099999972</c:v>
                </c:pt>
                <c:pt idx="2">
                  <c:v>113.37986099999981</c:v>
                </c:pt>
                <c:pt idx="3">
                  <c:v>113.51122699999979</c:v>
                </c:pt>
                <c:pt idx="4">
                  <c:v>122.40138900000019</c:v>
                </c:pt>
                <c:pt idx="5">
                  <c:v>122.51993200000034</c:v>
                </c:pt>
                <c:pt idx="6">
                  <c:v>142.43159799999955</c:v>
                </c:pt>
                <c:pt idx="7">
                  <c:v>142.53333300000014</c:v>
                </c:pt>
                <c:pt idx="8">
                  <c:v>150.47777800000003</c:v>
                </c:pt>
                <c:pt idx="9">
                  <c:v>150.54444450000011</c:v>
                </c:pt>
                <c:pt idx="10">
                  <c:v>154.42708299999975</c:v>
                </c:pt>
                <c:pt idx="11">
                  <c:v>154.52777799999967</c:v>
                </c:pt>
                <c:pt idx="12">
                  <c:v>163.45486099999982</c:v>
                </c:pt>
                <c:pt idx="13">
                  <c:v>163.53819450000009</c:v>
                </c:pt>
                <c:pt idx="14">
                  <c:v>175.43888899999945</c:v>
                </c:pt>
                <c:pt idx="15">
                  <c:v>175.57222199999995</c:v>
                </c:pt>
                <c:pt idx="16">
                  <c:v>190.50416700000022</c:v>
                </c:pt>
                <c:pt idx="17">
                  <c:v>190.59583300000014</c:v>
                </c:pt>
                <c:pt idx="18">
                  <c:v>207.46553149999966</c:v>
                </c:pt>
                <c:pt idx="19">
                  <c:v>211.41597199999995</c:v>
                </c:pt>
                <c:pt idx="20">
                  <c:v>211.61597199999997</c:v>
                </c:pt>
                <c:pt idx="21">
                  <c:v>219.46515599999947</c:v>
                </c:pt>
                <c:pt idx="22">
                  <c:v>219.58591000000052</c:v>
                </c:pt>
                <c:pt idx="23">
                  <c:v>224.47447899999935</c:v>
                </c:pt>
                <c:pt idx="24">
                  <c:v>224.60324750000075</c:v>
                </c:pt>
                <c:pt idx="25">
                  <c:v>228.55109399999964</c:v>
                </c:pt>
                <c:pt idx="26">
                  <c:v>228.64228449999939</c:v>
                </c:pt>
                <c:pt idx="27">
                  <c:v>231.53040499999989</c:v>
                </c:pt>
                <c:pt idx="28">
                  <c:v>231.64165500000018</c:v>
                </c:pt>
                <c:pt idx="29">
                  <c:v>242.40884699999987</c:v>
                </c:pt>
                <c:pt idx="30">
                  <c:v>242.53487649999988</c:v>
                </c:pt>
                <c:pt idx="31">
                  <c:v>248.4568000000003</c:v>
                </c:pt>
                <c:pt idx="32">
                  <c:v>248.55019099999993</c:v>
                </c:pt>
                <c:pt idx="33">
                  <c:v>259.42110649999961</c:v>
                </c:pt>
                <c:pt idx="34">
                  <c:v>259.50284200000021</c:v>
                </c:pt>
                <c:pt idx="35">
                  <c:v>270.43201299999964</c:v>
                </c:pt>
                <c:pt idx="36">
                  <c:v>270.52986049999964</c:v>
                </c:pt>
                <c:pt idx="37">
                  <c:v>275.57566000000008</c:v>
                </c:pt>
                <c:pt idx="38">
                  <c:v>282.49756937500115</c:v>
                </c:pt>
                <c:pt idx="39">
                  <c:v>282.58350687499978</c:v>
                </c:pt>
                <c:pt idx="40">
                  <c:v>289.46881999999937</c:v>
                </c:pt>
                <c:pt idx="41">
                  <c:v>289.55524350000013</c:v>
                </c:pt>
                <c:pt idx="42">
                  <c:v>297.65975800000052</c:v>
                </c:pt>
                <c:pt idx="43">
                  <c:v>297.72681250000062</c:v>
                </c:pt>
                <c:pt idx="44">
                  <c:v>303.42732049999972</c:v>
                </c:pt>
                <c:pt idx="45">
                  <c:v>303.50607549999984</c:v>
                </c:pt>
              </c:numCache>
            </c:numRef>
          </c:xVal>
          <c:yVal>
            <c:numRef>
              <c:f>Clean!$N$96:$N$141</c:f>
              <c:numCache>
                <c:formatCode>General</c:formatCode>
                <c:ptCount val="46"/>
                <c:pt idx="0">
                  <c:v>18.28</c:v>
                </c:pt>
                <c:pt idx="1">
                  <c:v>17.5</c:v>
                </c:pt>
                <c:pt idx="2">
                  <c:v>18.360000000000003</c:v>
                </c:pt>
                <c:pt idx="3">
                  <c:v>16.78</c:v>
                </c:pt>
                <c:pt idx="4">
                  <c:v>18.399999999999999</c:v>
                </c:pt>
                <c:pt idx="5">
                  <c:v>18.459999999999997</c:v>
                </c:pt>
                <c:pt idx="6">
                  <c:v>15.3</c:v>
                </c:pt>
                <c:pt idx="7">
                  <c:v>14.76</c:v>
                </c:pt>
                <c:pt idx="8">
                  <c:v>23.479999999999997</c:v>
                </c:pt>
                <c:pt idx="9">
                  <c:v>20.04</c:v>
                </c:pt>
                <c:pt idx="10">
                  <c:v>13.3</c:v>
                </c:pt>
                <c:pt idx="11">
                  <c:v>10.16</c:v>
                </c:pt>
                <c:pt idx="12">
                  <c:v>15.919999999999998</c:v>
                </c:pt>
                <c:pt idx="13">
                  <c:v>15.440000000000001</c:v>
                </c:pt>
                <c:pt idx="14">
                  <c:v>13.540000000000001</c:v>
                </c:pt>
                <c:pt idx="15">
                  <c:v>12.08</c:v>
                </c:pt>
                <c:pt idx="16">
                  <c:v>8.3000000000000007</c:v>
                </c:pt>
                <c:pt idx="17">
                  <c:v>7.68</c:v>
                </c:pt>
                <c:pt idx="18">
                  <c:v>12.36</c:v>
                </c:pt>
                <c:pt idx="19">
                  <c:v>4</c:v>
                </c:pt>
                <c:pt idx="20">
                  <c:v>2.2600000000000002</c:v>
                </c:pt>
                <c:pt idx="21">
                  <c:v>4.8600000000000003</c:v>
                </c:pt>
                <c:pt idx="22">
                  <c:v>3.4199999999999995</c:v>
                </c:pt>
                <c:pt idx="23">
                  <c:v>2</c:v>
                </c:pt>
                <c:pt idx="24">
                  <c:v>2.4</c:v>
                </c:pt>
                <c:pt idx="25">
                  <c:v>2.9200000000000004</c:v>
                </c:pt>
                <c:pt idx="26">
                  <c:v>3.9</c:v>
                </c:pt>
                <c:pt idx="27">
                  <c:v>15.86</c:v>
                </c:pt>
                <c:pt idx="28">
                  <c:v>17.5</c:v>
                </c:pt>
                <c:pt idx="29">
                  <c:v>4.72</c:v>
                </c:pt>
                <c:pt idx="30">
                  <c:v>5.0600000000000005</c:v>
                </c:pt>
                <c:pt idx="31">
                  <c:v>5.6199999999999992</c:v>
                </c:pt>
                <c:pt idx="32">
                  <c:v>4.4799999999999995</c:v>
                </c:pt>
                <c:pt idx="33">
                  <c:v>8.66</c:v>
                </c:pt>
                <c:pt idx="34">
                  <c:v>8.8000000000000007</c:v>
                </c:pt>
                <c:pt idx="35">
                  <c:v>9.7200000000000006</c:v>
                </c:pt>
                <c:pt idx="36">
                  <c:v>8.7800000000000011</c:v>
                </c:pt>
                <c:pt idx="37">
                  <c:v>9.5800000000000018</c:v>
                </c:pt>
                <c:pt idx="38">
                  <c:v>18.049999999999997</c:v>
                </c:pt>
                <c:pt idx="39">
                  <c:v>19.375</c:v>
                </c:pt>
                <c:pt idx="40">
                  <c:v>14.62</c:v>
                </c:pt>
                <c:pt idx="41">
                  <c:v>14.1</c:v>
                </c:pt>
                <c:pt idx="42">
                  <c:v>18.7</c:v>
                </c:pt>
                <c:pt idx="43">
                  <c:v>18.14</c:v>
                </c:pt>
                <c:pt idx="44">
                  <c:v>20.440000000000001</c:v>
                </c:pt>
                <c:pt idx="45">
                  <c:v>20.919999999999998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0F-499B-A19D-11E1CD5C0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604760"/>
        <c:axId val="438716816"/>
      </c:scatterChart>
      <c:valAx>
        <c:axId val="52765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657000"/>
        <c:crosses val="autoZero"/>
        <c:crossBetween val="midCat"/>
      </c:valAx>
      <c:valAx>
        <c:axId val="52765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654048"/>
        <c:crosses val="autoZero"/>
        <c:crossBetween val="midCat"/>
      </c:valAx>
      <c:valAx>
        <c:axId val="4387168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604760"/>
        <c:crosses val="max"/>
        <c:crossBetween val="midCat"/>
      </c:valAx>
      <c:valAx>
        <c:axId val="346604760"/>
        <c:scaling>
          <c:orientation val="minMax"/>
        </c:scaling>
        <c:delete val="1"/>
        <c:axPos val="b"/>
        <c:numFmt formatCode="0.0000" sourceLinked="1"/>
        <c:majorTickMark val="out"/>
        <c:minorTickMark val="none"/>
        <c:tickLblPos val="nextTo"/>
        <c:crossAx val="438716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EFO1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Clean!$H$1</c:f>
              <c:strCache>
                <c:ptCount val="1"/>
                <c:pt idx="0">
                  <c:v>Dark CH4 (mmol/m2/s) mean of 5 rings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Clean!$B$40:$B$95</c:f>
              <c:numCache>
                <c:formatCode>0.0000</c:formatCode>
                <c:ptCount val="56"/>
                <c:pt idx="0">
                  <c:v>106.45777777777776</c:v>
                </c:pt>
                <c:pt idx="1">
                  <c:v>106.57013888888889</c:v>
                </c:pt>
                <c:pt idx="2">
                  <c:v>112.40202546296297</c:v>
                </c:pt>
                <c:pt idx="3">
                  <c:v>112.53819444444446</c:v>
                </c:pt>
                <c:pt idx="4">
                  <c:v>120.42280092592594</c:v>
                </c:pt>
                <c:pt idx="5">
                  <c:v>120.5269675925926</c:v>
                </c:pt>
                <c:pt idx="6">
                  <c:v>136.43108796296298</c:v>
                </c:pt>
                <c:pt idx="7">
                  <c:v>136.53421296296295</c:v>
                </c:pt>
                <c:pt idx="8">
                  <c:v>143.40625</c:v>
                </c:pt>
                <c:pt idx="9">
                  <c:v>143.56944444444446</c:v>
                </c:pt>
                <c:pt idx="10">
                  <c:v>149.44375000000002</c:v>
                </c:pt>
                <c:pt idx="11">
                  <c:v>149.54166666666663</c:v>
                </c:pt>
                <c:pt idx="12">
                  <c:v>151.46527777777777</c:v>
                </c:pt>
                <c:pt idx="13">
                  <c:v>151.55069444444445</c:v>
                </c:pt>
                <c:pt idx="14">
                  <c:v>161.44999999999999</c:v>
                </c:pt>
                <c:pt idx="15">
                  <c:v>161.53750000000002</c:v>
                </c:pt>
                <c:pt idx="16">
                  <c:v>171.41597222222219</c:v>
                </c:pt>
                <c:pt idx="17">
                  <c:v>171.52361111111111</c:v>
                </c:pt>
                <c:pt idx="18">
                  <c:v>177.39166666666665</c:v>
                </c:pt>
                <c:pt idx="19">
                  <c:v>177.53680555555553</c:v>
                </c:pt>
                <c:pt idx="20">
                  <c:v>184.43541666666667</c:v>
                </c:pt>
                <c:pt idx="21">
                  <c:v>189.42916666666667</c:v>
                </c:pt>
                <c:pt idx="22">
                  <c:v>189.54861111111111</c:v>
                </c:pt>
                <c:pt idx="23">
                  <c:v>197.46597222222221</c:v>
                </c:pt>
                <c:pt idx="24">
                  <c:v>197.55555555555554</c:v>
                </c:pt>
                <c:pt idx="25">
                  <c:v>200.48124999999999</c:v>
                </c:pt>
                <c:pt idx="26">
                  <c:v>200.58055555555555</c:v>
                </c:pt>
                <c:pt idx="27">
                  <c:v>210.48888888888888</c:v>
                </c:pt>
                <c:pt idx="28">
                  <c:v>210.59375</c:v>
                </c:pt>
                <c:pt idx="29">
                  <c:v>218.4897702546296</c:v>
                </c:pt>
                <c:pt idx="30">
                  <c:v>218.68600115740739</c:v>
                </c:pt>
                <c:pt idx="31">
                  <c:v>225.48542476851853</c:v>
                </c:pt>
                <c:pt idx="32">
                  <c:v>225.58821180555555</c:v>
                </c:pt>
                <c:pt idx="33">
                  <c:v>233.48004050925925</c:v>
                </c:pt>
                <c:pt idx="34">
                  <c:v>233.61518518518523</c:v>
                </c:pt>
                <c:pt idx="35">
                  <c:v>240.45721643518516</c:v>
                </c:pt>
                <c:pt idx="36">
                  <c:v>240.56231481481481</c:v>
                </c:pt>
                <c:pt idx="37">
                  <c:v>247.45134217592602</c:v>
                </c:pt>
                <c:pt idx="38">
                  <c:v>247.54771400000027</c:v>
                </c:pt>
                <c:pt idx="39">
                  <c:v>256.45096149999995</c:v>
                </c:pt>
                <c:pt idx="40">
                  <c:v>256.54988500000036</c:v>
                </c:pt>
                <c:pt idx="41">
                  <c:v>262.47955450000006</c:v>
                </c:pt>
                <c:pt idx="42">
                  <c:v>262.58887199999992</c:v>
                </c:pt>
                <c:pt idx="43">
                  <c:v>269.45016250000009</c:v>
                </c:pt>
                <c:pt idx="44">
                  <c:v>269.55592166666673</c:v>
                </c:pt>
                <c:pt idx="45">
                  <c:v>276.44954850000033</c:v>
                </c:pt>
                <c:pt idx="46">
                  <c:v>276.53534750000034</c:v>
                </c:pt>
                <c:pt idx="47">
                  <c:v>281.45556750000031</c:v>
                </c:pt>
                <c:pt idx="48">
                  <c:v>281.56324049999932</c:v>
                </c:pt>
                <c:pt idx="49">
                  <c:v>288.42803349999997</c:v>
                </c:pt>
                <c:pt idx="50">
                  <c:v>288.52692149999962</c:v>
                </c:pt>
                <c:pt idx="51">
                  <c:v>297.46965300000011</c:v>
                </c:pt>
                <c:pt idx="52">
                  <c:v>297.54031249999935</c:v>
                </c:pt>
                <c:pt idx="53">
                  <c:v>302.46013949999974</c:v>
                </c:pt>
                <c:pt idx="54">
                  <c:v>302.56366299999974</c:v>
                </c:pt>
                <c:pt idx="55">
                  <c:v>309.45376850000025</c:v>
                </c:pt>
              </c:numCache>
            </c:numRef>
          </c:xVal>
          <c:yVal>
            <c:numRef>
              <c:f>Clean!$H$40:$H$95</c:f>
              <c:numCache>
                <c:formatCode>0.0000000000</c:formatCode>
                <c:ptCount val="56"/>
                <c:pt idx="0">
                  <c:v>1.2699769032006088E-4</c:v>
                </c:pt>
                <c:pt idx="1">
                  <c:v>1.033598E-4</c:v>
                </c:pt>
                <c:pt idx="2">
                  <c:v>-3.7836665789320541E-5</c:v>
                </c:pt>
                <c:pt idx="3">
                  <c:v>8.6771119870253738E-5</c:v>
                </c:pt>
                <c:pt idx="4">
                  <c:v>-2.7076041859687177E-5</c:v>
                </c:pt>
                <c:pt idx="5">
                  <c:v>5.8663336177432591E-6</c:v>
                </c:pt>
                <c:pt idx="6">
                  <c:v>-1.1663535707809577E-4</c:v>
                </c:pt>
                <c:pt idx="7">
                  <c:v>1.5073982577449538E-4</c:v>
                </c:pt>
                <c:pt idx="8">
                  <c:v>-1.2762873151446569E-4</c:v>
                </c:pt>
                <c:pt idx="9">
                  <c:v>2.7875249380987215E-5</c:v>
                </c:pt>
                <c:pt idx="10">
                  <c:v>-3.0066798641058276E-3</c:v>
                </c:pt>
                <c:pt idx="11">
                  <c:v>-2.0366289532283598E-2</c:v>
                </c:pt>
                <c:pt idx="14">
                  <c:v>1.9169455753433054E-2</c:v>
                </c:pt>
                <c:pt idx="15">
                  <c:v>-1.4105288799999999E-2</c:v>
                </c:pt>
                <c:pt idx="16">
                  <c:v>-1.485492E-4</c:v>
                </c:pt>
                <c:pt idx="17">
                  <c:v>-3.10568E-4</c:v>
                </c:pt>
                <c:pt idx="18">
                  <c:v>1.2776954000000001E-3</c:v>
                </c:pt>
                <c:pt idx="19">
                  <c:v>5.6835695530396803E-3</c:v>
                </c:pt>
                <c:pt idx="20">
                  <c:v>6.3102327969174804E-4</c:v>
                </c:pt>
                <c:pt idx="21">
                  <c:v>2.4956822097202949E-3</c:v>
                </c:pt>
                <c:pt idx="22">
                  <c:v>-2.1394621104294026E-5</c:v>
                </c:pt>
                <c:pt idx="23">
                  <c:v>-1.3305155656996966E-4</c:v>
                </c:pt>
                <c:pt idx="24">
                  <c:v>-1.6329217539404401E-4</c:v>
                </c:pt>
                <c:pt idx="25">
                  <c:v>-3.8942950630039496E-3</c:v>
                </c:pt>
                <c:pt idx="26">
                  <c:v>2.4545169773947296E-4</c:v>
                </c:pt>
                <c:pt idx="27">
                  <c:v>1.0045766083336044E-2</c:v>
                </c:pt>
                <c:pt idx="28">
                  <c:v>-4.6862938103778003E-4</c:v>
                </c:pt>
                <c:pt idx="29">
                  <c:v>-1.3274132797035164E-4</c:v>
                </c:pt>
                <c:pt idx="30">
                  <c:v>-2.0318198722127679E-4</c:v>
                </c:pt>
                <c:pt idx="31">
                  <c:v>-4.2605512133083237E-4</c:v>
                </c:pt>
                <c:pt idx="32">
                  <c:v>-3.9057183192443281E-4</c:v>
                </c:pt>
                <c:pt idx="33">
                  <c:v>-1.7052787844992851E-4</c:v>
                </c:pt>
                <c:pt idx="34">
                  <c:v>-8.9612000000000009E-5</c:v>
                </c:pt>
                <c:pt idx="35">
                  <c:v>-1.9490146325986535E-4</c:v>
                </c:pt>
                <c:pt idx="36">
                  <c:v>-1.07953E-4</c:v>
                </c:pt>
                <c:pt idx="37">
                  <c:v>-2.6936080000000001E-4</c:v>
                </c:pt>
                <c:pt idx="38">
                  <c:v>-1.504252E-4</c:v>
                </c:pt>
                <c:pt idx="39">
                  <c:v>-1.45432E-4</c:v>
                </c:pt>
                <c:pt idx="40">
                  <c:v>-1.4417875E-4</c:v>
                </c:pt>
                <c:pt idx="41">
                  <c:v>-1.6814210122629371E-4</c:v>
                </c:pt>
                <c:pt idx="42">
                  <c:v>-2.221038233631032E-4</c:v>
                </c:pt>
                <c:pt idx="43">
                  <c:v>-3.1462971725170917E-4</c:v>
                </c:pt>
                <c:pt idx="44">
                  <c:v>-2.6509763646089831E-4</c:v>
                </c:pt>
                <c:pt idx="45">
                  <c:v>-1.3005972515332118E-4</c:v>
                </c:pt>
                <c:pt idx="46">
                  <c:v>-1.2158500000000001E-4</c:v>
                </c:pt>
                <c:pt idx="47">
                  <c:v>-1.1761616179512699E-5</c:v>
                </c:pt>
                <c:pt idx="48">
                  <c:v>-3.3124142646461622E-5</c:v>
                </c:pt>
                <c:pt idx="49">
                  <c:v>-1.8433033518375225E-4</c:v>
                </c:pt>
                <c:pt idx="50">
                  <c:v>-1.335062238467361E-4</c:v>
                </c:pt>
                <c:pt idx="51">
                  <c:v>-6.385479999999999E-5</c:v>
                </c:pt>
                <c:pt idx="52">
                  <c:v>2.7010489523103352E-5</c:v>
                </c:pt>
                <c:pt idx="53">
                  <c:v>-1.3762310808594121E-4</c:v>
                </c:pt>
                <c:pt idx="54">
                  <c:v>-9.831762965504688E-5</c:v>
                </c:pt>
                <c:pt idx="55">
                  <c:v>-1.764449047863068E-4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1F-41C5-99B1-5F2CC4F30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491576"/>
        <c:axId val="435500104"/>
      </c:scatterChart>
      <c:scatterChart>
        <c:scatterStyle val="lineMarker"/>
        <c:varyColors val="0"/>
        <c:ser>
          <c:idx val="1"/>
          <c:order val="1"/>
          <c:tx>
            <c:strRef>
              <c:f>Clean!$N$1</c:f>
              <c:strCache>
                <c:ptCount val="1"/>
                <c:pt idx="0">
                  <c:v>Soil moisture % mean of 5 rings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Clean!$B$40:$B$95</c:f>
              <c:numCache>
                <c:formatCode>0.0000</c:formatCode>
                <c:ptCount val="56"/>
                <c:pt idx="0">
                  <c:v>106.45777777777776</c:v>
                </c:pt>
                <c:pt idx="1">
                  <c:v>106.57013888888889</c:v>
                </c:pt>
                <c:pt idx="2">
                  <c:v>112.40202546296297</c:v>
                </c:pt>
                <c:pt idx="3">
                  <c:v>112.53819444444446</c:v>
                </c:pt>
                <c:pt idx="4">
                  <c:v>120.42280092592594</c:v>
                </c:pt>
                <c:pt idx="5">
                  <c:v>120.5269675925926</c:v>
                </c:pt>
                <c:pt idx="6">
                  <c:v>136.43108796296298</c:v>
                </c:pt>
                <c:pt idx="7">
                  <c:v>136.53421296296295</c:v>
                </c:pt>
                <c:pt idx="8">
                  <c:v>143.40625</c:v>
                </c:pt>
                <c:pt idx="9">
                  <c:v>143.56944444444446</c:v>
                </c:pt>
                <c:pt idx="10">
                  <c:v>149.44375000000002</c:v>
                </c:pt>
                <c:pt idx="11">
                  <c:v>149.54166666666663</c:v>
                </c:pt>
                <c:pt idx="12">
                  <c:v>151.46527777777777</c:v>
                </c:pt>
                <c:pt idx="13">
                  <c:v>151.55069444444445</c:v>
                </c:pt>
                <c:pt idx="14">
                  <c:v>161.44999999999999</c:v>
                </c:pt>
                <c:pt idx="15">
                  <c:v>161.53750000000002</c:v>
                </c:pt>
                <c:pt idx="16">
                  <c:v>171.41597222222219</c:v>
                </c:pt>
                <c:pt idx="17">
                  <c:v>171.52361111111111</c:v>
                </c:pt>
                <c:pt idx="18">
                  <c:v>177.39166666666665</c:v>
                </c:pt>
                <c:pt idx="19">
                  <c:v>177.53680555555553</c:v>
                </c:pt>
                <c:pt idx="20">
                  <c:v>184.43541666666667</c:v>
                </c:pt>
                <c:pt idx="21">
                  <c:v>189.42916666666667</c:v>
                </c:pt>
                <c:pt idx="22">
                  <c:v>189.54861111111111</c:v>
                </c:pt>
                <c:pt idx="23">
                  <c:v>197.46597222222221</c:v>
                </c:pt>
                <c:pt idx="24">
                  <c:v>197.55555555555554</c:v>
                </c:pt>
                <c:pt idx="25">
                  <c:v>200.48124999999999</c:v>
                </c:pt>
                <c:pt idx="26">
                  <c:v>200.58055555555555</c:v>
                </c:pt>
                <c:pt idx="27">
                  <c:v>210.48888888888888</c:v>
                </c:pt>
                <c:pt idx="28">
                  <c:v>210.59375</c:v>
                </c:pt>
                <c:pt idx="29">
                  <c:v>218.4897702546296</c:v>
                </c:pt>
                <c:pt idx="30">
                  <c:v>218.68600115740739</c:v>
                </c:pt>
                <c:pt idx="31">
                  <c:v>225.48542476851853</c:v>
                </c:pt>
                <c:pt idx="32">
                  <c:v>225.58821180555555</c:v>
                </c:pt>
                <c:pt idx="33">
                  <c:v>233.48004050925925</c:v>
                </c:pt>
                <c:pt idx="34">
                  <c:v>233.61518518518523</c:v>
                </c:pt>
                <c:pt idx="35">
                  <c:v>240.45721643518516</c:v>
                </c:pt>
                <c:pt idx="36">
                  <c:v>240.56231481481481</c:v>
                </c:pt>
                <c:pt idx="37">
                  <c:v>247.45134217592602</c:v>
                </c:pt>
                <c:pt idx="38">
                  <c:v>247.54771400000027</c:v>
                </c:pt>
                <c:pt idx="39">
                  <c:v>256.45096149999995</c:v>
                </c:pt>
                <c:pt idx="40">
                  <c:v>256.54988500000036</c:v>
                </c:pt>
                <c:pt idx="41">
                  <c:v>262.47955450000006</c:v>
                </c:pt>
                <c:pt idx="42">
                  <c:v>262.58887199999992</c:v>
                </c:pt>
                <c:pt idx="43">
                  <c:v>269.45016250000009</c:v>
                </c:pt>
                <c:pt idx="44">
                  <c:v>269.55592166666673</c:v>
                </c:pt>
                <c:pt idx="45">
                  <c:v>276.44954850000033</c:v>
                </c:pt>
                <c:pt idx="46">
                  <c:v>276.53534750000034</c:v>
                </c:pt>
                <c:pt idx="47">
                  <c:v>281.45556750000031</c:v>
                </c:pt>
                <c:pt idx="48">
                  <c:v>281.56324049999932</c:v>
                </c:pt>
                <c:pt idx="49">
                  <c:v>288.42803349999997</c:v>
                </c:pt>
                <c:pt idx="50">
                  <c:v>288.52692149999962</c:v>
                </c:pt>
                <c:pt idx="51">
                  <c:v>297.46965300000011</c:v>
                </c:pt>
                <c:pt idx="52">
                  <c:v>297.54031249999935</c:v>
                </c:pt>
                <c:pt idx="53">
                  <c:v>302.46013949999974</c:v>
                </c:pt>
                <c:pt idx="54">
                  <c:v>302.56366299999974</c:v>
                </c:pt>
                <c:pt idx="55">
                  <c:v>309.45376850000025</c:v>
                </c:pt>
              </c:numCache>
            </c:numRef>
          </c:xVal>
          <c:yVal>
            <c:numRef>
              <c:f>Clean!$N$40:$N$95</c:f>
              <c:numCache>
                <c:formatCode>General</c:formatCode>
                <c:ptCount val="56"/>
                <c:pt idx="0">
                  <c:v>26.8</c:v>
                </c:pt>
                <c:pt idx="1">
                  <c:v>24.560000000000002</c:v>
                </c:pt>
                <c:pt idx="2">
                  <c:v>24.119999999999997</c:v>
                </c:pt>
                <c:pt idx="3">
                  <c:v>23.660000000000004</c:v>
                </c:pt>
                <c:pt idx="4">
                  <c:v>27.52</c:v>
                </c:pt>
                <c:pt idx="5">
                  <c:v>26.660000000000004</c:v>
                </c:pt>
                <c:pt idx="6">
                  <c:v>26.880000000000003</c:v>
                </c:pt>
                <c:pt idx="7" formatCode="0.00">
                  <c:v>24.86</c:v>
                </c:pt>
                <c:pt idx="8">
                  <c:v>16.540000000000003</c:v>
                </c:pt>
                <c:pt idx="9" formatCode="0.00">
                  <c:v>17.2</c:v>
                </c:pt>
                <c:pt idx="10" formatCode="0.00">
                  <c:v>23.5</c:v>
                </c:pt>
                <c:pt idx="11" formatCode="0.00">
                  <c:v>21.5</c:v>
                </c:pt>
                <c:pt idx="12" formatCode="0.00">
                  <c:v>19.439999999999998</c:v>
                </c:pt>
                <c:pt idx="13" formatCode="0.00">
                  <c:v>19.240000000000002</c:v>
                </c:pt>
                <c:pt idx="14" formatCode="0.00">
                  <c:v>11.86</c:v>
                </c:pt>
                <c:pt idx="15" formatCode="0.00">
                  <c:v>11.44</c:v>
                </c:pt>
                <c:pt idx="16" formatCode="0.00">
                  <c:v>17.220000000000002</c:v>
                </c:pt>
                <c:pt idx="17" formatCode="0.00">
                  <c:v>16.759999999999998</c:v>
                </c:pt>
                <c:pt idx="18" formatCode="0.00">
                  <c:v>19.560000000000002</c:v>
                </c:pt>
                <c:pt idx="19" formatCode="0.00">
                  <c:v>21.060000000000002</c:v>
                </c:pt>
                <c:pt idx="20" formatCode="0.00">
                  <c:v>7.24</c:v>
                </c:pt>
                <c:pt idx="21" formatCode="0.00">
                  <c:v>17.52</c:v>
                </c:pt>
                <c:pt idx="22" formatCode="0.00">
                  <c:v>16.28</c:v>
                </c:pt>
                <c:pt idx="23" formatCode="0.00">
                  <c:v>3.8600000000000003</c:v>
                </c:pt>
                <c:pt idx="24" formatCode="0.00">
                  <c:v>3.66</c:v>
                </c:pt>
                <c:pt idx="25" formatCode="0.00">
                  <c:v>5.78</c:v>
                </c:pt>
                <c:pt idx="26" formatCode="0.00">
                  <c:v>5.78</c:v>
                </c:pt>
                <c:pt idx="27" formatCode="0.00">
                  <c:v>10.419999999999998</c:v>
                </c:pt>
                <c:pt idx="28" formatCode="0.00">
                  <c:v>8.5</c:v>
                </c:pt>
                <c:pt idx="29" formatCode="0.00">
                  <c:v>13.720000000000002</c:v>
                </c:pt>
                <c:pt idx="30" formatCode="0.00">
                  <c:v>14.059999999999999</c:v>
                </c:pt>
                <c:pt idx="31" formatCode="0.00">
                  <c:v>7.5200000000000005</c:v>
                </c:pt>
                <c:pt idx="32" formatCode="0.00">
                  <c:v>7.5399999999999991</c:v>
                </c:pt>
                <c:pt idx="33" formatCode="0.00">
                  <c:v>20.740000000000002</c:v>
                </c:pt>
                <c:pt idx="34" formatCode="0.00">
                  <c:v>21.3</c:v>
                </c:pt>
                <c:pt idx="35" formatCode="0.00">
                  <c:v>11.440000000000001</c:v>
                </c:pt>
                <c:pt idx="36" formatCode="0.00">
                  <c:v>11</c:v>
                </c:pt>
                <c:pt idx="37" formatCode="0.00">
                  <c:v>13.26</c:v>
                </c:pt>
                <c:pt idx="38" formatCode="0.00">
                  <c:v>11.46</c:v>
                </c:pt>
                <c:pt idx="39" formatCode="0.00">
                  <c:v>16.160000000000004</c:v>
                </c:pt>
                <c:pt idx="40" formatCode="0.00">
                  <c:v>17</c:v>
                </c:pt>
                <c:pt idx="41" formatCode="0.00">
                  <c:v>12.4</c:v>
                </c:pt>
                <c:pt idx="42" formatCode="0.00">
                  <c:v>11.66</c:v>
                </c:pt>
                <c:pt idx="43" formatCode="0.00">
                  <c:v>8.58</c:v>
                </c:pt>
                <c:pt idx="44" formatCode="0.00">
                  <c:v>10.866666666666667</c:v>
                </c:pt>
                <c:pt idx="45" formatCode="0.00">
                  <c:v>19.16</c:v>
                </c:pt>
                <c:pt idx="46">
                  <c:v>21.324000000000002</c:v>
                </c:pt>
                <c:pt idx="47">
                  <c:v>23.7</c:v>
                </c:pt>
                <c:pt idx="48">
                  <c:v>22.9</c:v>
                </c:pt>
                <c:pt idx="49">
                  <c:v>17.48</c:v>
                </c:pt>
                <c:pt idx="50">
                  <c:v>16.419999999999998</c:v>
                </c:pt>
                <c:pt idx="51">
                  <c:v>21.740000000000002</c:v>
                </c:pt>
                <c:pt idx="52">
                  <c:v>21.380000000000003</c:v>
                </c:pt>
                <c:pt idx="53">
                  <c:v>23.060000000000002</c:v>
                </c:pt>
                <c:pt idx="54">
                  <c:v>22.400000000000002</c:v>
                </c:pt>
                <c:pt idx="55">
                  <c:v>19.84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1F-41C5-99B1-5F2CC4F30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505680"/>
        <c:axId val="435506992"/>
      </c:scatterChart>
      <c:valAx>
        <c:axId val="435491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500104"/>
        <c:crosses val="autoZero"/>
        <c:crossBetween val="midCat"/>
      </c:valAx>
      <c:valAx>
        <c:axId val="435500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91576"/>
        <c:crosses val="autoZero"/>
        <c:crossBetween val="midCat"/>
      </c:valAx>
      <c:valAx>
        <c:axId val="4355069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505680"/>
        <c:crosses val="max"/>
        <c:crossBetween val="midCat"/>
      </c:valAx>
      <c:valAx>
        <c:axId val="435505680"/>
        <c:scaling>
          <c:orientation val="minMax"/>
        </c:scaling>
        <c:delete val="1"/>
        <c:axPos val="b"/>
        <c:numFmt formatCode="0.0000" sourceLinked="1"/>
        <c:majorTickMark val="out"/>
        <c:minorTickMark val="none"/>
        <c:tickLblPos val="nextTo"/>
        <c:crossAx val="435506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EFO3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Clean!$H$1</c:f>
              <c:strCache>
                <c:ptCount val="1"/>
                <c:pt idx="0">
                  <c:v>Dark CH4 (mmol/m2/s) mean of 5 rings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Clean!$B$142:$B$188</c:f>
              <c:numCache>
                <c:formatCode>0.0000</c:formatCode>
                <c:ptCount val="47"/>
                <c:pt idx="0">
                  <c:v>107.49384200000058</c:v>
                </c:pt>
                <c:pt idx="1">
                  <c:v>113.44542800000053</c:v>
                </c:pt>
                <c:pt idx="2">
                  <c:v>113.56990650000007</c:v>
                </c:pt>
                <c:pt idx="3">
                  <c:v>121.43468799999974</c:v>
                </c:pt>
                <c:pt idx="4">
                  <c:v>121.53245300000017</c:v>
                </c:pt>
                <c:pt idx="5">
                  <c:v>135.40717549999971</c:v>
                </c:pt>
                <c:pt idx="6">
                  <c:v>135.52532450000001</c:v>
                </c:pt>
                <c:pt idx="7">
                  <c:v>162.44791700000025</c:v>
                </c:pt>
                <c:pt idx="8">
                  <c:v>162.55833299999978</c:v>
                </c:pt>
                <c:pt idx="9">
                  <c:v>170.45555549999989</c:v>
                </c:pt>
                <c:pt idx="10">
                  <c:v>170.54166700000025</c:v>
                </c:pt>
                <c:pt idx="11">
                  <c:v>182.45347199999958</c:v>
                </c:pt>
                <c:pt idx="12">
                  <c:v>182.54166700000025</c:v>
                </c:pt>
                <c:pt idx="13">
                  <c:v>184.37430550000028</c:v>
                </c:pt>
                <c:pt idx="14">
                  <c:v>184.49652799999967</c:v>
                </c:pt>
                <c:pt idx="15">
                  <c:v>191.45208300000013</c:v>
                </c:pt>
                <c:pt idx="16">
                  <c:v>191.54861099999982</c:v>
                </c:pt>
                <c:pt idx="17">
                  <c:v>193.47917799999993</c:v>
                </c:pt>
                <c:pt idx="18">
                  <c:v>193.6041666666697</c:v>
                </c:pt>
                <c:pt idx="19">
                  <c:v>196.49166699999989</c:v>
                </c:pt>
                <c:pt idx="20">
                  <c:v>206.4888890000002</c:v>
                </c:pt>
                <c:pt idx="21">
                  <c:v>206.59444449999972</c:v>
                </c:pt>
                <c:pt idx="22">
                  <c:v>212.47638899999981</c:v>
                </c:pt>
                <c:pt idx="23">
                  <c:v>212.73194444444442</c:v>
                </c:pt>
                <c:pt idx="24">
                  <c:v>220.48843099999976</c:v>
                </c:pt>
                <c:pt idx="25">
                  <c:v>220.60812550000045</c:v>
                </c:pt>
                <c:pt idx="26">
                  <c:v>227.51146950000003</c:v>
                </c:pt>
                <c:pt idx="27">
                  <c:v>227.5798069999997</c:v>
                </c:pt>
                <c:pt idx="28">
                  <c:v>235.518721</c:v>
                </c:pt>
                <c:pt idx="29">
                  <c:v>235.64202650000078</c:v>
                </c:pt>
                <c:pt idx="30">
                  <c:v>241.49991499999959</c:v>
                </c:pt>
                <c:pt idx="31">
                  <c:v>241.65895849999941</c:v>
                </c:pt>
                <c:pt idx="32">
                  <c:v>254.43026049999972</c:v>
                </c:pt>
                <c:pt idx="33">
                  <c:v>254.51493049999954</c:v>
                </c:pt>
                <c:pt idx="34">
                  <c:v>261.64571849999993</c:v>
                </c:pt>
                <c:pt idx="35">
                  <c:v>268.46967599999988</c:v>
                </c:pt>
                <c:pt idx="36">
                  <c:v>268.56627399999996</c:v>
                </c:pt>
                <c:pt idx="37">
                  <c:v>273.45837999999969</c:v>
                </c:pt>
                <c:pt idx="38">
                  <c:v>273.57027749999975</c:v>
                </c:pt>
                <c:pt idx="39">
                  <c:v>284.41531149999935</c:v>
                </c:pt>
                <c:pt idx="40">
                  <c:v>284.51114550000023</c:v>
                </c:pt>
                <c:pt idx="41">
                  <c:v>296.56323812500023</c:v>
                </c:pt>
                <c:pt idx="42">
                  <c:v>296.64630999999963</c:v>
                </c:pt>
                <c:pt idx="43">
                  <c:v>303.61006299999934</c:v>
                </c:pt>
                <c:pt idx="44">
                  <c:v>303.70489600000076</c:v>
                </c:pt>
                <c:pt idx="45">
                  <c:v>310.46126150000021</c:v>
                </c:pt>
                <c:pt idx="46">
                  <c:v>310.54367100000019</c:v>
                </c:pt>
              </c:numCache>
            </c:numRef>
          </c:xVal>
          <c:yVal>
            <c:numRef>
              <c:f>Clean!$H$142:$H$188</c:f>
              <c:numCache>
                <c:formatCode>0.0000000000</c:formatCode>
                <c:ptCount val="47"/>
                <c:pt idx="0">
                  <c:v>3.7758226186507986E-5</c:v>
                </c:pt>
                <c:pt idx="1">
                  <c:v>-8.3495522837116482E-5</c:v>
                </c:pt>
                <c:pt idx="2">
                  <c:v>-8.2943473449748206E-5</c:v>
                </c:pt>
                <c:pt idx="3">
                  <c:v>-2.1839212013313801E-5</c:v>
                </c:pt>
                <c:pt idx="4">
                  <c:v>-1.2990920000000001E-4</c:v>
                </c:pt>
                <c:pt idx="5">
                  <c:v>0</c:v>
                </c:pt>
                <c:pt idx="6">
                  <c:v>1.1478039127975326E-5</c:v>
                </c:pt>
                <c:pt idx="7">
                  <c:v>-3.6296762091210115E-4</c:v>
                </c:pt>
                <c:pt idx="8">
                  <c:v>4.9053729320711245E-5</c:v>
                </c:pt>
                <c:pt idx="9">
                  <c:v>-7.2853967316488053E-3</c:v>
                </c:pt>
                <c:pt idx="10">
                  <c:v>-4.0565016743781202E-5</c:v>
                </c:pt>
                <c:pt idx="11">
                  <c:v>6.2767747227843922E-4</c:v>
                </c:pt>
                <c:pt idx="12">
                  <c:v>9.678823175988373E-4</c:v>
                </c:pt>
                <c:pt idx="13">
                  <c:v>2.3800342283571379E-4</c:v>
                </c:pt>
                <c:pt idx="14">
                  <c:v>-8.9606339978158035E-4</c:v>
                </c:pt>
                <c:pt idx="15">
                  <c:v>-2.9628266948607946E-4</c:v>
                </c:pt>
                <c:pt idx="16">
                  <c:v>-4.0282441118188078E-4</c:v>
                </c:pt>
                <c:pt idx="17">
                  <c:v>7.5622254720001296E-3</c:v>
                </c:pt>
                <c:pt idx="18">
                  <c:v>-7.8742951439965143E-5</c:v>
                </c:pt>
                <c:pt idx="19">
                  <c:v>-3.1885060901830819E-4</c:v>
                </c:pt>
                <c:pt idx="20">
                  <c:v>-2.5342624813772858E-4</c:v>
                </c:pt>
                <c:pt idx="21">
                  <c:v>-1.074871736508698E-5</c:v>
                </c:pt>
                <c:pt idx="22">
                  <c:v>1.1153284601529063E-3</c:v>
                </c:pt>
                <c:pt idx="23">
                  <c:v>2.5566515922770742E-3</c:v>
                </c:pt>
                <c:pt idx="24">
                  <c:v>-4.7453389263812538E-4</c:v>
                </c:pt>
                <c:pt idx="25">
                  <c:v>9.0718626074227517E-5</c:v>
                </c:pt>
                <c:pt idx="26">
                  <c:v>-5.9144677158194637E-4</c:v>
                </c:pt>
                <c:pt idx="27">
                  <c:v>-4.0834032307409605E-4</c:v>
                </c:pt>
                <c:pt idx="28">
                  <c:v>6.4209294432126881E-5</c:v>
                </c:pt>
                <c:pt idx="29">
                  <c:v>2.2103749039489154E-4</c:v>
                </c:pt>
                <c:pt idx="30">
                  <c:v>-5.2633432491387103E-4</c:v>
                </c:pt>
                <c:pt idx="31">
                  <c:v>-5.3266474392178861E-4</c:v>
                </c:pt>
                <c:pt idx="32">
                  <c:v>-4.3746934736558514E-4</c:v>
                </c:pt>
                <c:pt idx="33">
                  <c:v>-3.3410997483907938E-4</c:v>
                </c:pt>
                <c:pt idx="34">
                  <c:v>-4.3349251671060839E-4</c:v>
                </c:pt>
                <c:pt idx="35">
                  <c:v>-6.2027218708514669E-4</c:v>
                </c:pt>
                <c:pt idx="36">
                  <c:v>-6.6460221368318218E-4</c:v>
                </c:pt>
                <c:pt idx="37">
                  <c:v>-4.4077145526933277E-4</c:v>
                </c:pt>
                <c:pt idx="38">
                  <c:v>-4.7094240757344225E-4</c:v>
                </c:pt>
                <c:pt idx="39">
                  <c:v>-4.2366897433075961E-4</c:v>
                </c:pt>
                <c:pt idx="40">
                  <c:v>-4.5265583315190499E-4</c:v>
                </c:pt>
                <c:pt idx="41">
                  <c:v>-1.0091878396416889E-4</c:v>
                </c:pt>
                <c:pt idx="42">
                  <c:v>-5.9743772126596994E-4</c:v>
                </c:pt>
                <c:pt idx="43">
                  <c:v>-1.2107999903620059E-4</c:v>
                </c:pt>
                <c:pt idx="44">
                  <c:v>-2.0272231898411371E-4</c:v>
                </c:pt>
                <c:pt idx="45">
                  <c:v>-1.3199971229077537E-4</c:v>
                </c:pt>
                <c:pt idx="46">
                  <c:v>-2.6144948414671011E-4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FD-4B77-BE51-32A0E38A2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652736"/>
        <c:axId val="527660936"/>
      </c:scatterChart>
      <c:scatterChart>
        <c:scatterStyle val="lineMarker"/>
        <c:varyColors val="0"/>
        <c:ser>
          <c:idx val="1"/>
          <c:order val="1"/>
          <c:tx>
            <c:strRef>
              <c:f>Clean!$N$1</c:f>
              <c:strCache>
                <c:ptCount val="1"/>
                <c:pt idx="0">
                  <c:v>Soil moisture % mean of 5 rings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Clean!$B$142:$B$188</c:f>
              <c:numCache>
                <c:formatCode>0.0000</c:formatCode>
                <c:ptCount val="47"/>
                <c:pt idx="0">
                  <c:v>107.49384200000058</c:v>
                </c:pt>
                <c:pt idx="1">
                  <c:v>113.44542800000053</c:v>
                </c:pt>
                <c:pt idx="2">
                  <c:v>113.56990650000007</c:v>
                </c:pt>
                <c:pt idx="3">
                  <c:v>121.43468799999974</c:v>
                </c:pt>
                <c:pt idx="4">
                  <c:v>121.53245300000017</c:v>
                </c:pt>
                <c:pt idx="5">
                  <c:v>135.40717549999971</c:v>
                </c:pt>
                <c:pt idx="6">
                  <c:v>135.52532450000001</c:v>
                </c:pt>
                <c:pt idx="7">
                  <c:v>162.44791700000025</c:v>
                </c:pt>
                <c:pt idx="8">
                  <c:v>162.55833299999978</c:v>
                </c:pt>
                <c:pt idx="9">
                  <c:v>170.45555549999989</c:v>
                </c:pt>
                <c:pt idx="10">
                  <c:v>170.54166700000025</c:v>
                </c:pt>
                <c:pt idx="11">
                  <c:v>182.45347199999958</c:v>
                </c:pt>
                <c:pt idx="12">
                  <c:v>182.54166700000025</c:v>
                </c:pt>
                <c:pt idx="13">
                  <c:v>184.37430550000028</c:v>
                </c:pt>
                <c:pt idx="14">
                  <c:v>184.49652799999967</c:v>
                </c:pt>
                <c:pt idx="15">
                  <c:v>191.45208300000013</c:v>
                </c:pt>
                <c:pt idx="16">
                  <c:v>191.54861099999982</c:v>
                </c:pt>
                <c:pt idx="17">
                  <c:v>193.47917799999993</c:v>
                </c:pt>
                <c:pt idx="18">
                  <c:v>193.6041666666697</c:v>
                </c:pt>
                <c:pt idx="19">
                  <c:v>196.49166699999989</c:v>
                </c:pt>
                <c:pt idx="20">
                  <c:v>206.4888890000002</c:v>
                </c:pt>
                <c:pt idx="21">
                  <c:v>206.59444449999972</c:v>
                </c:pt>
                <c:pt idx="22">
                  <c:v>212.47638899999981</c:v>
                </c:pt>
                <c:pt idx="23">
                  <c:v>212.73194444444442</c:v>
                </c:pt>
                <c:pt idx="24">
                  <c:v>220.48843099999976</c:v>
                </c:pt>
                <c:pt idx="25">
                  <c:v>220.60812550000045</c:v>
                </c:pt>
                <c:pt idx="26">
                  <c:v>227.51146950000003</c:v>
                </c:pt>
                <c:pt idx="27">
                  <c:v>227.5798069999997</c:v>
                </c:pt>
                <c:pt idx="28">
                  <c:v>235.518721</c:v>
                </c:pt>
                <c:pt idx="29">
                  <c:v>235.64202650000078</c:v>
                </c:pt>
                <c:pt idx="30">
                  <c:v>241.49991499999959</c:v>
                </c:pt>
                <c:pt idx="31">
                  <c:v>241.65895849999941</c:v>
                </c:pt>
                <c:pt idx="32">
                  <c:v>254.43026049999972</c:v>
                </c:pt>
                <c:pt idx="33">
                  <c:v>254.51493049999954</c:v>
                </c:pt>
                <c:pt idx="34">
                  <c:v>261.64571849999993</c:v>
                </c:pt>
                <c:pt idx="35">
                  <c:v>268.46967599999988</c:v>
                </c:pt>
                <c:pt idx="36">
                  <c:v>268.56627399999996</c:v>
                </c:pt>
                <c:pt idx="37">
                  <c:v>273.45837999999969</c:v>
                </c:pt>
                <c:pt idx="38">
                  <c:v>273.57027749999975</c:v>
                </c:pt>
                <c:pt idx="39">
                  <c:v>284.41531149999935</c:v>
                </c:pt>
                <c:pt idx="40">
                  <c:v>284.51114550000023</c:v>
                </c:pt>
                <c:pt idx="41">
                  <c:v>296.56323812500023</c:v>
                </c:pt>
                <c:pt idx="42">
                  <c:v>296.64630999999963</c:v>
                </c:pt>
                <c:pt idx="43">
                  <c:v>303.61006299999934</c:v>
                </c:pt>
                <c:pt idx="44">
                  <c:v>303.70489600000076</c:v>
                </c:pt>
                <c:pt idx="45">
                  <c:v>310.46126150000021</c:v>
                </c:pt>
                <c:pt idx="46">
                  <c:v>310.54367100000019</c:v>
                </c:pt>
              </c:numCache>
            </c:numRef>
          </c:xVal>
          <c:yVal>
            <c:numRef>
              <c:f>Clean!$N$142:$N$188</c:f>
              <c:numCache>
                <c:formatCode>General</c:formatCode>
                <c:ptCount val="47"/>
                <c:pt idx="0">
                  <c:v>15.319999999999999</c:v>
                </c:pt>
                <c:pt idx="1">
                  <c:v>14.52</c:v>
                </c:pt>
                <c:pt idx="2">
                  <c:v>12.819999999999999</c:v>
                </c:pt>
                <c:pt idx="3">
                  <c:v>15.6</c:v>
                </c:pt>
                <c:pt idx="4">
                  <c:v>16.639999999999997</c:v>
                </c:pt>
                <c:pt idx="5">
                  <c:v>19.64</c:v>
                </c:pt>
                <c:pt idx="6">
                  <c:v>17.800000000000004</c:v>
                </c:pt>
                <c:pt idx="7">
                  <c:v>7.6799999999999979</c:v>
                </c:pt>
                <c:pt idx="8">
                  <c:v>5.2200000000000006</c:v>
                </c:pt>
                <c:pt idx="9">
                  <c:v>10.7</c:v>
                </c:pt>
                <c:pt idx="10">
                  <c:v>9.6000000000000014</c:v>
                </c:pt>
                <c:pt idx="11">
                  <c:v>5.0200000000000005</c:v>
                </c:pt>
                <c:pt idx="12">
                  <c:v>4.74</c:v>
                </c:pt>
                <c:pt idx="13">
                  <c:v>2</c:v>
                </c:pt>
                <c:pt idx="14">
                  <c:v>4.38</c:v>
                </c:pt>
                <c:pt idx="15">
                  <c:v>3.34</c:v>
                </c:pt>
                <c:pt idx="16">
                  <c:v>4.7200000000000006</c:v>
                </c:pt>
                <c:pt idx="17">
                  <c:v>5.9799999999999995</c:v>
                </c:pt>
                <c:pt idx="18">
                  <c:v>4.9400000000000004</c:v>
                </c:pt>
                <c:pt idx="19">
                  <c:v>2.2600000000000002</c:v>
                </c:pt>
                <c:pt idx="20">
                  <c:v>6.82</c:v>
                </c:pt>
                <c:pt idx="21">
                  <c:v>7.5600000000000005</c:v>
                </c:pt>
                <c:pt idx="22">
                  <c:v>2.96</c:v>
                </c:pt>
                <c:pt idx="23">
                  <c:v>4.8400000000000007</c:v>
                </c:pt>
                <c:pt idx="24">
                  <c:v>2.6599999999999997</c:v>
                </c:pt>
                <c:pt idx="25">
                  <c:v>2.46</c:v>
                </c:pt>
                <c:pt idx="26">
                  <c:v>2.54</c:v>
                </c:pt>
                <c:pt idx="27">
                  <c:v>2.0800000000000005</c:v>
                </c:pt>
                <c:pt idx="28">
                  <c:v>13.819999999999999</c:v>
                </c:pt>
                <c:pt idx="29">
                  <c:v>14.16</c:v>
                </c:pt>
                <c:pt idx="30">
                  <c:v>7.9799999999999995</c:v>
                </c:pt>
                <c:pt idx="31">
                  <c:v>8.26</c:v>
                </c:pt>
                <c:pt idx="32">
                  <c:v>8.26</c:v>
                </c:pt>
                <c:pt idx="33">
                  <c:v>9.5399999999999991</c:v>
                </c:pt>
                <c:pt idx="34">
                  <c:v>8.0599999999999987</c:v>
                </c:pt>
                <c:pt idx="35">
                  <c:v>5.0199999999999996</c:v>
                </c:pt>
                <c:pt idx="36">
                  <c:v>4.5599999999999996</c:v>
                </c:pt>
                <c:pt idx="37">
                  <c:v>6.38</c:v>
                </c:pt>
                <c:pt idx="38">
                  <c:v>6.7</c:v>
                </c:pt>
                <c:pt idx="39">
                  <c:v>15.360000000000003</c:v>
                </c:pt>
                <c:pt idx="40">
                  <c:v>16.259999999999998</c:v>
                </c:pt>
                <c:pt idx="41">
                  <c:v>15.475</c:v>
                </c:pt>
                <c:pt idx="42">
                  <c:v>16.95</c:v>
                </c:pt>
                <c:pt idx="43">
                  <c:v>16</c:v>
                </c:pt>
                <c:pt idx="44">
                  <c:v>15.280000000000001</c:v>
                </c:pt>
                <c:pt idx="45">
                  <c:v>10.42</c:v>
                </c:pt>
                <c:pt idx="46">
                  <c:v>12.820000000000002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FD-4B77-BE51-32A0E38A2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605416"/>
        <c:axId val="346603120"/>
      </c:scatterChart>
      <c:valAx>
        <c:axId val="52765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660936"/>
        <c:crosses val="autoZero"/>
        <c:crossBetween val="midCat"/>
      </c:valAx>
      <c:valAx>
        <c:axId val="52766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652736"/>
        <c:crosses val="autoZero"/>
        <c:crossBetween val="midCat"/>
      </c:valAx>
      <c:valAx>
        <c:axId val="3466031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605416"/>
        <c:crosses val="max"/>
        <c:crossBetween val="midCat"/>
      </c:valAx>
      <c:valAx>
        <c:axId val="346605416"/>
        <c:scaling>
          <c:orientation val="minMax"/>
        </c:scaling>
        <c:delete val="1"/>
        <c:axPos val="b"/>
        <c:numFmt formatCode="0.0000" sourceLinked="1"/>
        <c:majorTickMark val="out"/>
        <c:minorTickMark val="none"/>
        <c:tickLblPos val="nextTo"/>
        <c:crossAx val="346603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CSO4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Clean!$N$1</c:f>
              <c:strCache>
                <c:ptCount val="1"/>
                <c:pt idx="0">
                  <c:v>Soil moisture % mean of 5 rings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Clean!$B$2:$B$39</c:f>
              <c:numCache>
                <c:formatCode>0.0000</c:formatCode>
                <c:ptCount val="38"/>
                <c:pt idx="0">
                  <c:v>115.44050900000039</c:v>
                </c:pt>
                <c:pt idx="1">
                  <c:v>115.54450200000028</c:v>
                </c:pt>
                <c:pt idx="2">
                  <c:v>119.43518550000007</c:v>
                </c:pt>
                <c:pt idx="3">
                  <c:v>119.53871550000002</c:v>
                </c:pt>
                <c:pt idx="4">
                  <c:v>141.52436300000045</c:v>
                </c:pt>
                <c:pt idx="5">
                  <c:v>144.46886549999982</c:v>
                </c:pt>
                <c:pt idx="6">
                  <c:v>144.54039299999965</c:v>
                </c:pt>
                <c:pt idx="7">
                  <c:v>155.46192100000042</c:v>
                </c:pt>
                <c:pt idx="8">
                  <c:v>155.54256950000018</c:v>
                </c:pt>
                <c:pt idx="9">
                  <c:v>175.51122699999979</c:v>
                </c:pt>
                <c:pt idx="10">
                  <c:v>175.63275500000054</c:v>
                </c:pt>
                <c:pt idx="11">
                  <c:v>192.34872700000017</c:v>
                </c:pt>
                <c:pt idx="12">
                  <c:v>192.61556750000017</c:v>
                </c:pt>
                <c:pt idx="13">
                  <c:v>214.6419205000002</c:v>
                </c:pt>
                <c:pt idx="14">
                  <c:v>221.51672450000078</c:v>
                </c:pt>
                <c:pt idx="15">
                  <c:v>221.6314759999994</c:v>
                </c:pt>
                <c:pt idx="16">
                  <c:v>226.54240200000021</c:v>
                </c:pt>
                <c:pt idx="17">
                  <c:v>226.6284945000003</c:v>
                </c:pt>
                <c:pt idx="18">
                  <c:v>234.51454300000006</c:v>
                </c:pt>
                <c:pt idx="19">
                  <c:v>234.60799149999986</c:v>
                </c:pt>
                <c:pt idx="20">
                  <c:v>238.48901000000006</c:v>
                </c:pt>
                <c:pt idx="21">
                  <c:v>238.58664350000038</c:v>
                </c:pt>
                <c:pt idx="22">
                  <c:v>246.45329000000021</c:v>
                </c:pt>
                <c:pt idx="23">
                  <c:v>246.53614549999983</c:v>
                </c:pt>
                <c:pt idx="24">
                  <c:v>255.43195050000065</c:v>
                </c:pt>
                <c:pt idx="25">
                  <c:v>255.52330499999988</c:v>
                </c:pt>
                <c:pt idx="26">
                  <c:v>263.47355949999951</c:v>
                </c:pt>
                <c:pt idx="27">
                  <c:v>277.5910764999997</c:v>
                </c:pt>
                <c:pt idx="28">
                  <c:v>277.67144050000059</c:v>
                </c:pt>
                <c:pt idx="29">
                  <c:v>283.47487249999978</c:v>
                </c:pt>
                <c:pt idx="30">
                  <c:v>283.57719900000012</c:v>
                </c:pt>
                <c:pt idx="31">
                  <c:v>295.4533684999999</c:v>
                </c:pt>
                <c:pt idx="32">
                  <c:v>301.44900999999959</c:v>
                </c:pt>
                <c:pt idx="33">
                  <c:v>301.56262100000026</c:v>
                </c:pt>
                <c:pt idx="34">
                  <c:v>308.43756900000005</c:v>
                </c:pt>
                <c:pt idx="35">
                  <c:v>308.60267399999975</c:v>
                </c:pt>
                <c:pt idx="36">
                  <c:v>315.46510449999948</c:v>
                </c:pt>
                <c:pt idx="37">
                  <c:v>315.57378549999959</c:v>
                </c:pt>
              </c:numCache>
            </c:numRef>
          </c:xVal>
          <c:yVal>
            <c:numRef>
              <c:f>Clean!$N$2:$N$39</c:f>
              <c:numCache>
                <c:formatCode>General</c:formatCode>
                <c:ptCount val="38"/>
                <c:pt idx="0">
                  <c:v>18.32</c:v>
                </c:pt>
                <c:pt idx="1">
                  <c:v>16.96</c:v>
                </c:pt>
                <c:pt idx="2">
                  <c:v>23.240000000000002</c:v>
                </c:pt>
                <c:pt idx="3">
                  <c:v>23.700000000000003</c:v>
                </c:pt>
                <c:pt idx="4">
                  <c:v>22.18</c:v>
                </c:pt>
                <c:pt idx="5">
                  <c:v>17.04</c:v>
                </c:pt>
                <c:pt idx="6">
                  <c:v>17.400000000000002</c:v>
                </c:pt>
                <c:pt idx="7">
                  <c:v>11.24</c:v>
                </c:pt>
                <c:pt idx="8">
                  <c:v>8.64</c:v>
                </c:pt>
                <c:pt idx="9">
                  <c:v>7.6200000000000019</c:v>
                </c:pt>
                <c:pt idx="10">
                  <c:v>7.0999999999999988</c:v>
                </c:pt>
                <c:pt idx="11">
                  <c:v>5.7399999999999993</c:v>
                </c:pt>
                <c:pt idx="12">
                  <c:v>4.0199999999999996</c:v>
                </c:pt>
                <c:pt idx="13">
                  <c:v>8.5</c:v>
                </c:pt>
                <c:pt idx="14">
                  <c:v>13.180000000000001</c:v>
                </c:pt>
                <c:pt idx="15">
                  <c:v>13.98</c:v>
                </c:pt>
                <c:pt idx="16">
                  <c:v>5.0600000000000005</c:v>
                </c:pt>
                <c:pt idx="17">
                  <c:v>4.78</c:v>
                </c:pt>
                <c:pt idx="18">
                  <c:v>19.260000000000002</c:v>
                </c:pt>
                <c:pt idx="19">
                  <c:v>17.52</c:v>
                </c:pt>
                <c:pt idx="20">
                  <c:v>13.74</c:v>
                </c:pt>
                <c:pt idx="21">
                  <c:v>13.1</c:v>
                </c:pt>
                <c:pt idx="22">
                  <c:v>10.66</c:v>
                </c:pt>
                <c:pt idx="23">
                  <c:v>9.5</c:v>
                </c:pt>
                <c:pt idx="24">
                  <c:v>13.959999999999999</c:v>
                </c:pt>
                <c:pt idx="25">
                  <c:v>12.959999999999999</c:v>
                </c:pt>
                <c:pt idx="26">
                  <c:v>4.5599999999999996</c:v>
                </c:pt>
                <c:pt idx="27">
                  <c:v>13.420000000000002</c:v>
                </c:pt>
                <c:pt idx="28">
                  <c:v>11.959999999999999</c:v>
                </c:pt>
                <c:pt idx="29">
                  <c:v>15.62</c:v>
                </c:pt>
                <c:pt idx="30">
                  <c:v>14.940000000000001</c:v>
                </c:pt>
                <c:pt idx="31">
                  <c:v>15.425000000000001</c:v>
                </c:pt>
                <c:pt idx="32">
                  <c:v>20.74</c:v>
                </c:pt>
                <c:pt idx="33">
                  <c:v>19.799999999999997</c:v>
                </c:pt>
                <c:pt idx="34">
                  <c:v>16.14</c:v>
                </c:pt>
                <c:pt idx="35">
                  <c:v>15.339999999999998</c:v>
                </c:pt>
                <c:pt idx="36">
                  <c:v>17.725000000000001</c:v>
                </c:pt>
                <c:pt idx="37">
                  <c:v>16.959999999999997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A8-4E51-8FA3-49AE59C1C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342200"/>
        <c:axId val="439341216"/>
      </c:scatterChart>
      <c:scatterChart>
        <c:scatterStyle val="lineMarker"/>
        <c:varyColors val="0"/>
        <c:ser>
          <c:idx val="0"/>
          <c:order val="0"/>
          <c:tx>
            <c:strRef>
              <c:f>Clean!$H$1</c:f>
              <c:strCache>
                <c:ptCount val="1"/>
                <c:pt idx="0">
                  <c:v>Dark CH4 (mmol/m2/s) mean of 5 rings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Clean!$B$2:$B$39</c:f>
              <c:numCache>
                <c:formatCode>0.0000</c:formatCode>
                <c:ptCount val="38"/>
                <c:pt idx="0">
                  <c:v>115.44050900000039</c:v>
                </c:pt>
                <c:pt idx="1">
                  <c:v>115.54450200000028</c:v>
                </c:pt>
                <c:pt idx="2">
                  <c:v>119.43518550000007</c:v>
                </c:pt>
                <c:pt idx="3">
                  <c:v>119.53871550000002</c:v>
                </c:pt>
                <c:pt idx="4">
                  <c:v>141.52436300000045</c:v>
                </c:pt>
                <c:pt idx="5">
                  <c:v>144.46886549999982</c:v>
                </c:pt>
                <c:pt idx="6">
                  <c:v>144.54039299999965</c:v>
                </c:pt>
                <c:pt idx="7">
                  <c:v>155.46192100000042</c:v>
                </c:pt>
                <c:pt idx="8">
                  <c:v>155.54256950000018</c:v>
                </c:pt>
                <c:pt idx="9">
                  <c:v>175.51122699999979</c:v>
                </c:pt>
                <c:pt idx="10">
                  <c:v>175.63275500000054</c:v>
                </c:pt>
                <c:pt idx="11">
                  <c:v>192.34872700000017</c:v>
                </c:pt>
                <c:pt idx="12">
                  <c:v>192.61556750000017</c:v>
                </c:pt>
                <c:pt idx="13">
                  <c:v>214.6419205000002</c:v>
                </c:pt>
                <c:pt idx="14">
                  <c:v>221.51672450000078</c:v>
                </c:pt>
                <c:pt idx="15">
                  <c:v>221.6314759999994</c:v>
                </c:pt>
                <c:pt idx="16">
                  <c:v>226.54240200000021</c:v>
                </c:pt>
                <c:pt idx="17">
                  <c:v>226.6284945000003</c:v>
                </c:pt>
                <c:pt idx="18">
                  <c:v>234.51454300000006</c:v>
                </c:pt>
                <c:pt idx="19">
                  <c:v>234.60799149999986</c:v>
                </c:pt>
                <c:pt idx="20">
                  <c:v>238.48901000000006</c:v>
                </c:pt>
                <c:pt idx="21">
                  <c:v>238.58664350000038</c:v>
                </c:pt>
                <c:pt idx="22">
                  <c:v>246.45329000000021</c:v>
                </c:pt>
                <c:pt idx="23">
                  <c:v>246.53614549999983</c:v>
                </c:pt>
                <c:pt idx="24">
                  <c:v>255.43195050000065</c:v>
                </c:pt>
                <c:pt idx="25">
                  <c:v>255.52330499999988</c:v>
                </c:pt>
                <c:pt idx="26">
                  <c:v>263.47355949999951</c:v>
                </c:pt>
                <c:pt idx="27">
                  <c:v>277.5910764999997</c:v>
                </c:pt>
                <c:pt idx="28">
                  <c:v>277.67144050000059</c:v>
                </c:pt>
                <c:pt idx="29">
                  <c:v>283.47487249999978</c:v>
                </c:pt>
                <c:pt idx="30">
                  <c:v>283.57719900000012</c:v>
                </c:pt>
                <c:pt idx="31">
                  <c:v>295.4533684999999</c:v>
                </c:pt>
                <c:pt idx="32">
                  <c:v>301.44900999999959</c:v>
                </c:pt>
                <c:pt idx="33">
                  <c:v>301.56262100000026</c:v>
                </c:pt>
                <c:pt idx="34">
                  <c:v>308.43756900000005</c:v>
                </c:pt>
                <c:pt idx="35">
                  <c:v>308.60267399999975</c:v>
                </c:pt>
                <c:pt idx="36">
                  <c:v>315.46510449999948</c:v>
                </c:pt>
                <c:pt idx="37">
                  <c:v>315.57378549999959</c:v>
                </c:pt>
              </c:numCache>
            </c:numRef>
          </c:xVal>
          <c:yVal>
            <c:numRef>
              <c:f>Clean!$H$2:$H$39</c:f>
              <c:numCache>
                <c:formatCode>0.0000000000</c:formatCode>
                <c:ptCount val="38"/>
                <c:pt idx="0">
                  <c:v>-9.2049803145864795E-5</c:v>
                </c:pt>
                <c:pt idx="1">
                  <c:v>-3.3824724101699465E-5</c:v>
                </c:pt>
                <c:pt idx="2">
                  <c:v>1.2494753506583019E-5</c:v>
                </c:pt>
                <c:pt idx="3">
                  <c:v>3.4290882653508055E-5</c:v>
                </c:pt>
                <c:pt idx="4">
                  <c:v>-8.9737275874191192E-5</c:v>
                </c:pt>
                <c:pt idx="5">
                  <c:v>-8.2149743657085594E-5</c:v>
                </c:pt>
                <c:pt idx="6">
                  <c:v>1.1445503954050161E-4</c:v>
                </c:pt>
                <c:pt idx="7">
                  <c:v>-1.3725840647112883E-6</c:v>
                </c:pt>
                <c:pt idx="8">
                  <c:v>-1.439861446607652E-6</c:v>
                </c:pt>
                <c:pt idx="9">
                  <c:v>-9.2934561688741601E-7</c:v>
                </c:pt>
                <c:pt idx="10">
                  <c:v>1.3155437666666667E-2</c:v>
                </c:pt>
                <c:pt idx="11">
                  <c:v>2.8994464041804001E-3</c:v>
                </c:pt>
                <c:pt idx="12">
                  <c:v>-4.8328117682152511E-5</c:v>
                </c:pt>
                <c:pt idx="13">
                  <c:v>-1.6320222556860135E-4</c:v>
                </c:pt>
                <c:pt idx="14">
                  <c:v>5.013415409704493E-5</c:v>
                </c:pt>
                <c:pt idx="15">
                  <c:v>-1.453922863616308E-5</c:v>
                </c:pt>
                <c:pt idx="16">
                  <c:v>-4.82902447190275E-4</c:v>
                </c:pt>
                <c:pt idx="17">
                  <c:v>-3.1185120526100799E-4</c:v>
                </c:pt>
                <c:pt idx="18">
                  <c:v>-1.6605147944006053E-4</c:v>
                </c:pt>
                <c:pt idx="19">
                  <c:v>-1.655074286044631E-4</c:v>
                </c:pt>
                <c:pt idx="20">
                  <c:v>-1.7797547821377679E-4</c:v>
                </c:pt>
                <c:pt idx="21">
                  <c:v>-2.1460330953063873E-4</c:v>
                </c:pt>
                <c:pt idx="22">
                  <c:v>-1.8291739419578056E-4</c:v>
                </c:pt>
                <c:pt idx="23">
                  <c:v>-3.037151972560228E-4</c:v>
                </c:pt>
                <c:pt idx="24">
                  <c:v>-2.7343306565838699E-4</c:v>
                </c:pt>
                <c:pt idx="25">
                  <c:v>-3.1536816728216919E-4</c:v>
                </c:pt>
                <c:pt idx="26">
                  <c:v>-4.4200943963147141E-4</c:v>
                </c:pt>
                <c:pt idx="27">
                  <c:v>-2.8168016266901159E-4</c:v>
                </c:pt>
                <c:pt idx="28">
                  <c:v>-2.8402435836031919E-4</c:v>
                </c:pt>
                <c:pt idx="29">
                  <c:v>-1.8303110136657676E-4</c:v>
                </c:pt>
                <c:pt idx="30">
                  <c:v>-9.2876046251248555E-5</c:v>
                </c:pt>
                <c:pt idx="31">
                  <c:v>-2.1035798177827382E-4</c:v>
                </c:pt>
                <c:pt idx="32">
                  <c:v>-1.7398073389173442E-4</c:v>
                </c:pt>
                <c:pt idx="33">
                  <c:v>-1.2316592406270312E-4</c:v>
                </c:pt>
                <c:pt idx="34">
                  <c:v>-1.3692691002842265E-4</c:v>
                </c:pt>
                <c:pt idx="35">
                  <c:v>-1.4539332938804766E-4</c:v>
                </c:pt>
                <c:pt idx="36">
                  <c:v>-1.6394587637971929E-4</c:v>
                </c:pt>
                <c:pt idx="37">
                  <c:v>-1.7912018070037787E-4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A8-4E51-8FA3-49AE59C1CC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217648"/>
        <c:axId val="508215352"/>
      </c:scatterChart>
      <c:valAx>
        <c:axId val="439342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341216"/>
        <c:crosses val="autoZero"/>
        <c:crossBetween val="midCat"/>
      </c:valAx>
      <c:valAx>
        <c:axId val="43934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342200"/>
        <c:crosses val="autoZero"/>
        <c:crossBetween val="midCat"/>
      </c:valAx>
      <c:valAx>
        <c:axId val="508215352"/>
        <c:scaling>
          <c:orientation val="minMax"/>
        </c:scaling>
        <c:delete val="0"/>
        <c:axPos val="r"/>
        <c:numFmt formatCode="0.0000000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217648"/>
        <c:crosses val="max"/>
        <c:crossBetween val="midCat"/>
      </c:valAx>
      <c:valAx>
        <c:axId val="508217648"/>
        <c:scaling>
          <c:orientation val="minMax"/>
        </c:scaling>
        <c:delete val="1"/>
        <c:axPos val="b"/>
        <c:numFmt formatCode="0.0000" sourceLinked="1"/>
        <c:majorTickMark val="out"/>
        <c:minorTickMark val="none"/>
        <c:tickLblPos val="nextTo"/>
        <c:crossAx val="508215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Dark CH</a:t>
            </a:r>
            <a:r>
              <a:rPr lang="en-US" sz="1400" b="0" i="0" u="none" strike="noStrike" baseline="-25000">
                <a:effectLst/>
              </a:rPr>
              <a:t>4</a:t>
            </a:r>
            <a:r>
              <a:rPr lang="en-US" sz="1400" b="0" i="0" u="none" strike="noStrike" baseline="0">
                <a:effectLst/>
              </a:rPr>
              <a:t> (mmol/m</a:t>
            </a:r>
            <a:r>
              <a:rPr lang="en-US" sz="1400" b="0" i="0" u="none" strike="noStrike" baseline="30000">
                <a:effectLst/>
              </a:rPr>
              <a:t>2</a:t>
            </a:r>
            <a:r>
              <a:rPr lang="en-US" sz="1400" b="0" i="0" u="none" strike="noStrike" baseline="0">
                <a:effectLst/>
              </a:rPr>
              <a:t>/s) mean of 5 rings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Clean!$A$16</c:f>
              <c:strCache>
                <c:ptCount val="1"/>
                <c:pt idx="0">
                  <c:v>CS04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Clean!$B$2:$B$39</c:f>
              <c:numCache>
                <c:formatCode>0.0000</c:formatCode>
                <c:ptCount val="38"/>
                <c:pt idx="0">
                  <c:v>115.44050900000039</c:v>
                </c:pt>
                <c:pt idx="1">
                  <c:v>115.54450200000028</c:v>
                </c:pt>
                <c:pt idx="2">
                  <c:v>119.43518550000007</c:v>
                </c:pt>
                <c:pt idx="3">
                  <c:v>119.53871550000002</c:v>
                </c:pt>
                <c:pt idx="4">
                  <c:v>141.52436300000045</c:v>
                </c:pt>
                <c:pt idx="5">
                  <c:v>144.46886549999982</c:v>
                </c:pt>
                <c:pt idx="6">
                  <c:v>144.54039299999965</c:v>
                </c:pt>
                <c:pt idx="7">
                  <c:v>155.46192100000042</c:v>
                </c:pt>
                <c:pt idx="8">
                  <c:v>155.54256950000018</c:v>
                </c:pt>
                <c:pt idx="9">
                  <c:v>175.51122699999979</c:v>
                </c:pt>
                <c:pt idx="10">
                  <c:v>175.63275500000054</c:v>
                </c:pt>
                <c:pt idx="11">
                  <c:v>192.34872700000017</c:v>
                </c:pt>
                <c:pt idx="12">
                  <c:v>192.61556750000017</c:v>
                </c:pt>
                <c:pt idx="13">
                  <c:v>214.6419205000002</c:v>
                </c:pt>
                <c:pt idx="14">
                  <c:v>221.51672450000078</c:v>
                </c:pt>
                <c:pt idx="15">
                  <c:v>221.6314759999994</c:v>
                </c:pt>
                <c:pt idx="16">
                  <c:v>226.54240200000021</c:v>
                </c:pt>
                <c:pt idx="17">
                  <c:v>226.6284945000003</c:v>
                </c:pt>
                <c:pt idx="18">
                  <c:v>234.51454300000006</c:v>
                </c:pt>
                <c:pt idx="19">
                  <c:v>234.60799149999986</c:v>
                </c:pt>
                <c:pt idx="20">
                  <c:v>238.48901000000006</c:v>
                </c:pt>
                <c:pt idx="21">
                  <c:v>238.58664350000038</c:v>
                </c:pt>
                <c:pt idx="22">
                  <c:v>246.45329000000021</c:v>
                </c:pt>
                <c:pt idx="23">
                  <c:v>246.53614549999983</c:v>
                </c:pt>
                <c:pt idx="24">
                  <c:v>255.43195050000065</c:v>
                </c:pt>
                <c:pt idx="25">
                  <c:v>255.52330499999988</c:v>
                </c:pt>
                <c:pt idx="26">
                  <c:v>263.47355949999951</c:v>
                </c:pt>
                <c:pt idx="27">
                  <c:v>277.5910764999997</c:v>
                </c:pt>
                <c:pt idx="28">
                  <c:v>277.67144050000059</c:v>
                </c:pt>
                <c:pt idx="29">
                  <c:v>283.47487249999978</c:v>
                </c:pt>
                <c:pt idx="30">
                  <c:v>283.57719900000012</c:v>
                </c:pt>
                <c:pt idx="31">
                  <c:v>295.4533684999999</c:v>
                </c:pt>
                <c:pt idx="32">
                  <c:v>301.44900999999959</c:v>
                </c:pt>
                <c:pt idx="33">
                  <c:v>301.56262100000026</c:v>
                </c:pt>
                <c:pt idx="34">
                  <c:v>308.43756900000005</c:v>
                </c:pt>
                <c:pt idx="35">
                  <c:v>308.60267399999975</c:v>
                </c:pt>
                <c:pt idx="36">
                  <c:v>315.46510449999948</c:v>
                </c:pt>
                <c:pt idx="37">
                  <c:v>315.57378549999959</c:v>
                </c:pt>
              </c:numCache>
            </c:numRef>
          </c:xVal>
          <c:yVal>
            <c:numRef>
              <c:f>Clean!$H$2:$H$39</c:f>
              <c:numCache>
                <c:formatCode>0.0000000000</c:formatCode>
                <c:ptCount val="38"/>
                <c:pt idx="0">
                  <c:v>-9.2049803145864795E-5</c:v>
                </c:pt>
                <c:pt idx="1">
                  <c:v>-3.3824724101699465E-5</c:v>
                </c:pt>
                <c:pt idx="2">
                  <c:v>1.2494753506583019E-5</c:v>
                </c:pt>
                <c:pt idx="3">
                  <c:v>3.4290882653508055E-5</c:v>
                </c:pt>
                <c:pt idx="4">
                  <c:v>-8.9737275874191192E-5</c:v>
                </c:pt>
                <c:pt idx="5">
                  <c:v>-8.2149743657085594E-5</c:v>
                </c:pt>
                <c:pt idx="6">
                  <c:v>1.1445503954050161E-4</c:v>
                </c:pt>
                <c:pt idx="7">
                  <c:v>-1.3725840647112883E-6</c:v>
                </c:pt>
                <c:pt idx="8">
                  <c:v>-1.439861446607652E-6</c:v>
                </c:pt>
                <c:pt idx="9">
                  <c:v>-9.2934561688741601E-7</c:v>
                </c:pt>
                <c:pt idx="10">
                  <c:v>1.3155437666666667E-2</c:v>
                </c:pt>
                <c:pt idx="11">
                  <c:v>2.8994464041804001E-3</c:v>
                </c:pt>
                <c:pt idx="12">
                  <c:v>-4.8328117682152511E-5</c:v>
                </c:pt>
                <c:pt idx="13">
                  <c:v>-1.6320222556860135E-4</c:v>
                </c:pt>
                <c:pt idx="14">
                  <c:v>5.013415409704493E-5</c:v>
                </c:pt>
                <c:pt idx="15">
                  <c:v>-1.453922863616308E-5</c:v>
                </c:pt>
                <c:pt idx="16">
                  <c:v>-4.82902447190275E-4</c:v>
                </c:pt>
                <c:pt idx="17">
                  <c:v>-3.1185120526100799E-4</c:v>
                </c:pt>
                <c:pt idx="18">
                  <c:v>-1.6605147944006053E-4</c:v>
                </c:pt>
                <c:pt idx="19">
                  <c:v>-1.655074286044631E-4</c:v>
                </c:pt>
                <c:pt idx="20">
                  <c:v>-1.7797547821377679E-4</c:v>
                </c:pt>
                <c:pt idx="21">
                  <c:v>-2.1460330953063873E-4</c:v>
                </c:pt>
                <c:pt idx="22">
                  <c:v>-1.8291739419578056E-4</c:v>
                </c:pt>
                <c:pt idx="23">
                  <c:v>-3.037151972560228E-4</c:v>
                </c:pt>
                <c:pt idx="24">
                  <c:v>-2.7343306565838699E-4</c:v>
                </c:pt>
                <c:pt idx="25">
                  <c:v>-3.1536816728216919E-4</c:v>
                </c:pt>
                <c:pt idx="26">
                  <c:v>-4.4200943963147141E-4</c:v>
                </c:pt>
                <c:pt idx="27">
                  <c:v>-2.8168016266901159E-4</c:v>
                </c:pt>
                <c:pt idx="28">
                  <c:v>-2.8402435836031919E-4</c:v>
                </c:pt>
                <c:pt idx="29">
                  <c:v>-1.8303110136657676E-4</c:v>
                </c:pt>
                <c:pt idx="30">
                  <c:v>-9.2876046251248555E-5</c:v>
                </c:pt>
                <c:pt idx="31">
                  <c:v>-2.1035798177827382E-4</c:v>
                </c:pt>
                <c:pt idx="32">
                  <c:v>-1.7398073389173442E-4</c:v>
                </c:pt>
                <c:pt idx="33">
                  <c:v>-1.2316592406270312E-4</c:v>
                </c:pt>
                <c:pt idx="34">
                  <c:v>-1.3692691002842265E-4</c:v>
                </c:pt>
                <c:pt idx="35">
                  <c:v>-1.4539332938804766E-4</c:v>
                </c:pt>
                <c:pt idx="36">
                  <c:v>-1.6394587637971929E-4</c:v>
                </c:pt>
                <c:pt idx="37">
                  <c:v>-1.7912018070037787E-4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A5-4316-8B02-38E2DE18CE63}"/>
            </c:ext>
          </c:extLst>
        </c:ser>
        <c:ser>
          <c:idx val="1"/>
          <c:order val="1"/>
          <c:tx>
            <c:strRef>
              <c:f>Clean!$A$40</c:f>
              <c:strCache>
                <c:ptCount val="1"/>
                <c:pt idx="0">
                  <c:v>EF01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Clean!$B$40:$B$95</c:f>
              <c:numCache>
                <c:formatCode>0.0000</c:formatCode>
                <c:ptCount val="56"/>
                <c:pt idx="0">
                  <c:v>106.45777777777776</c:v>
                </c:pt>
                <c:pt idx="1">
                  <c:v>106.57013888888889</c:v>
                </c:pt>
                <c:pt idx="2">
                  <c:v>112.40202546296297</c:v>
                </c:pt>
                <c:pt idx="3">
                  <c:v>112.53819444444446</c:v>
                </c:pt>
                <c:pt idx="4">
                  <c:v>120.42280092592594</c:v>
                </c:pt>
                <c:pt idx="5">
                  <c:v>120.5269675925926</c:v>
                </c:pt>
                <c:pt idx="6">
                  <c:v>136.43108796296298</c:v>
                </c:pt>
                <c:pt idx="7">
                  <c:v>136.53421296296295</c:v>
                </c:pt>
                <c:pt idx="8">
                  <c:v>143.40625</c:v>
                </c:pt>
                <c:pt idx="9">
                  <c:v>143.56944444444446</c:v>
                </c:pt>
                <c:pt idx="10">
                  <c:v>149.44375000000002</c:v>
                </c:pt>
                <c:pt idx="11">
                  <c:v>149.54166666666663</c:v>
                </c:pt>
                <c:pt idx="12">
                  <c:v>151.46527777777777</c:v>
                </c:pt>
                <c:pt idx="13">
                  <c:v>151.55069444444445</c:v>
                </c:pt>
                <c:pt idx="14">
                  <c:v>161.44999999999999</c:v>
                </c:pt>
                <c:pt idx="15">
                  <c:v>161.53750000000002</c:v>
                </c:pt>
                <c:pt idx="16">
                  <c:v>171.41597222222219</c:v>
                </c:pt>
                <c:pt idx="17">
                  <c:v>171.52361111111111</c:v>
                </c:pt>
                <c:pt idx="18">
                  <c:v>177.39166666666665</c:v>
                </c:pt>
                <c:pt idx="19">
                  <c:v>177.53680555555553</c:v>
                </c:pt>
                <c:pt idx="20">
                  <c:v>184.43541666666667</c:v>
                </c:pt>
                <c:pt idx="21">
                  <c:v>189.42916666666667</c:v>
                </c:pt>
                <c:pt idx="22">
                  <c:v>189.54861111111111</c:v>
                </c:pt>
                <c:pt idx="23">
                  <c:v>197.46597222222221</c:v>
                </c:pt>
                <c:pt idx="24">
                  <c:v>197.55555555555554</c:v>
                </c:pt>
                <c:pt idx="25">
                  <c:v>200.48124999999999</c:v>
                </c:pt>
                <c:pt idx="26">
                  <c:v>200.58055555555555</c:v>
                </c:pt>
                <c:pt idx="27">
                  <c:v>210.48888888888888</c:v>
                </c:pt>
                <c:pt idx="28">
                  <c:v>210.59375</c:v>
                </c:pt>
                <c:pt idx="29">
                  <c:v>218.4897702546296</c:v>
                </c:pt>
                <c:pt idx="30">
                  <c:v>218.68600115740739</c:v>
                </c:pt>
                <c:pt idx="31">
                  <c:v>225.48542476851853</c:v>
                </c:pt>
                <c:pt idx="32">
                  <c:v>225.58821180555555</c:v>
                </c:pt>
                <c:pt idx="33">
                  <c:v>233.48004050925925</c:v>
                </c:pt>
                <c:pt idx="34">
                  <c:v>233.61518518518523</c:v>
                </c:pt>
                <c:pt idx="35">
                  <c:v>240.45721643518516</c:v>
                </c:pt>
                <c:pt idx="36">
                  <c:v>240.56231481481481</c:v>
                </c:pt>
                <c:pt idx="37">
                  <c:v>247.45134217592602</c:v>
                </c:pt>
                <c:pt idx="38">
                  <c:v>247.54771400000027</c:v>
                </c:pt>
                <c:pt idx="39">
                  <c:v>256.45096149999995</c:v>
                </c:pt>
                <c:pt idx="40">
                  <c:v>256.54988500000036</c:v>
                </c:pt>
                <c:pt idx="41">
                  <c:v>262.47955450000006</c:v>
                </c:pt>
                <c:pt idx="42">
                  <c:v>262.58887199999992</c:v>
                </c:pt>
                <c:pt idx="43">
                  <c:v>269.45016250000009</c:v>
                </c:pt>
                <c:pt idx="44">
                  <c:v>269.55592166666673</c:v>
                </c:pt>
                <c:pt idx="45">
                  <c:v>276.44954850000033</c:v>
                </c:pt>
                <c:pt idx="46">
                  <c:v>276.53534750000034</c:v>
                </c:pt>
                <c:pt idx="47">
                  <c:v>281.45556750000031</c:v>
                </c:pt>
                <c:pt idx="48">
                  <c:v>281.56324049999932</c:v>
                </c:pt>
                <c:pt idx="49">
                  <c:v>288.42803349999997</c:v>
                </c:pt>
                <c:pt idx="50">
                  <c:v>288.52692149999962</c:v>
                </c:pt>
                <c:pt idx="51">
                  <c:v>297.46965300000011</c:v>
                </c:pt>
                <c:pt idx="52">
                  <c:v>297.54031249999935</c:v>
                </c:pt>
                <c:pt idx="53">
                  <c:v>302.46013949999974</c:v>
                </c:pt>
                <c:pt idx="54">
                  <c:v>302.56366299999974</c:v>
                </c:pt>
                <c:pt idx="55">
                  <c:v>309.45376850000025</c:v>
                </c:pt>
              </c:numCache>
            </c:numRef>
          </c:xVal>
          <c:yVal>
            <c:numRef>
              <c:f>Clean!$H$40:$H$95</c:f>
              <c:numCache>
                <c:formatCode>0.0000000000</c:formatCode>
                <c:ptCount val="56"/>
                <c:pt idx="0">
                  <c:v>1.2699769032006088E-4</c:v>
                </c:pt>
                <c:pt idx="1">
                  <c:v>1.033598E-4</c:v>
                </c:pt>
                <c:pt idx="2">
                  <c:v>-3.7836665789320541E-5</c:v>
                </c:pt>
                <c:pt idx="3">
                  <c:v>8.6771119870253738E-5</c:v>
                </c:pt>
                <c:pt idx="4">
                  <c:v>-2.7076041859687177E-5</c:v>
                </c:pt>
                <c:pt idx="5">
                  <c:v>5.8663336177432591E-6</c:v>
                </c:pt>
                <c:pt idx="6">
                  <c:v>-1.1663535707809577E-4</c:v>
                </c:pt>
                <c:pt idx="7">
                  <c:v>1.5073982577449538E-4</c:v>
                </c:pt>
                <c:pt idx="8">
                  <c:v>-1.2762873151446569E-4</c:v>
                </c:pt>
                <c:pt idx="9">
                  <c:v>2.7875249380987215E-5</c:v>
                </c:pt>
                <c:pt idx="10">
                  <c:v>-3.0066798641058276E-3</c:v>
                </c:pt>
                <c:pt idx="11">
                  <c:v>-2.0366289532283598E-2</c:v>
                </c:pt>
                <c:pt idx="14">
                  <c:v>1.9169455753433054E-2</c:v>
                </c:pt>
                <c:pt idx="15">
                  <c:v>-1.4105288799999999E-2</c:v>
                </c:pt>
                <c:pt idx="16">
                  <c:v>-1.485492E-4</c:v>
                </c:pt>
                <c:pt idx="17">
                  <c:v>-3.10568E-4</c:v>
                </c:pt>
                <c:pt idx="18">
                  <c:v>1.2776954000000001E-3</c:v>
                </c:pt>
                <c:pt idx="19">
                  <c:v>5.6835695530396803E-3</c:v>
                </c:pt>
                <c:pt idx="20">
                  <c:v>6.3102327969174804E-4</c:v>
                </c:pt>
                <c:pt idx="21">
                  <c:v>2.4956822097202949E-3</c:v>
                </c:pt>
                <c:pt idx="22">
                  <c:v>-2.1394621104294026E-5</c:v>
                </c:pt>
                <c:pt idx="23">
                  <c:v>-1.3305155656996966E-4</c:v>
                </c:pt>
                <c:pt idx="24">
                  <c:v>-1.6329217539404401E-4</c:v>
                </c:pt>
                <c:pt idx="25">
                  <c:v>-3.8942950630039496E-3</c:v>
                </c:pt>
                <c:pt idx="26">
                  <c:v>2.4545169773947296E-4</c:v>
                </c:pt>
                <c:pt idx="27">
                  <c:v>1.0045766083336044E-2</c:v>
                </c:pt>
                <c:pt idx="28">
                  <c:v>-4.6862938103778003E-4</c:v>
                </c:pt>
                <c:pt idx="29">
                  <c:v>-1.3274132797035164E-4</c:v>
                </c:pt>
                <c:pt idx="30">
                  <c:v>-2.0318198722127679E-4</c:v>
                </c:pt>
                <c:pt idx="31">
                  <c:v>-4.2605512133083237E-4</c:v>
                </c:pt>
                <c:pt idx="32">
                  <c:v>-3.9057183192443281E-4</c:v>
                </c:pt>
                <c:pt idx="33">
                  <c:v>-1.7052787844992851E-4</c:v>
                </c:pt>
                <c:pt idx="34">
                  <c:v>-8.9612000000000009E-5</c:v>
                </c:pt>
                <c:pt idx="35">
                  <c:v>-1.9490146325986535E-4</c:v>
                </c:pt>
                <c:pt idx="36">
                  <c:v>-1.07953E-4</c:v>
                </c:pt>
                <c:pt idx="37">
                  <c:v>-2.6936080000000001E-4</c:v>
                </c:pt>
                <c:pt idx="38">
                  <c:v>-1.504252E-4</c:v>
                </c:pt>
                <c:pt idx="39">
                  <c:v>-1.45432E-4</c:v>
                </c:pt>
                <c:pt idx="40">
                  <c:v>-1.4417875E-4</c:v>
                </c:pt>
                <c:pt idx="41">
                  <c:v>-1.6814210122629371E-4</c:v>
                </c:pt>
                <c:pt idx="42">
                  <c:v>-2.221038233631032E-4</c:v>
                </c:pt>
                <c:pt idx="43">
                  <c:v>-3.1462971725170917E-4</c:v>
                </c:pt>
                <c:pt idx="44">
                  <c:v>-2.6509763646089831E-4</c:v>
                </c:pt>
                <c:pt idx="45">
                  <c:v>-1.3005972515332118E-4</c:v>
                </c:pt>
                <c:pt idx="46">
                  <c:v>-1.2158500000000001E-4</c:v>
                </c:pt>
                <c:pt idx="47">
                  <c:v>-1.1761616179512699E-5</c:v>
                </c:pt>
                <c:pt idx="48">
                  <c:v>-3.3124142646461622E-5</c:v>
                </c:pt>
                <c:pt idx="49">
                  <c:v>-1.8433033518375225E-4</c:v>
                </c:pt>
                <c:pt idx="50">
                  <c:v>-1.335062238467361E-4</c:v>
                </c:pt>
                <c:pt idx="51">
                  <c:v>-6.385479999999999E-5</c:v>
                </c:pt>
                <c:pt idx="52">
                  <c:v>2.7010489523103352E-5</c:v>
                </c:pt>
                <c:pt idx="53">
                  <c:v>-1.3762310808594121E-4</c:v>
                </c:pt>
                <c:pt idx="54">
                  <c:v>-9.831762965504688E-5</c:v>
                </c:pt>
                <c:pt idx="55">
                  <c:v>-1.764449047863068E-4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A5-4316-8B02-38E2DE18CE63}"/>
            </c:ext>
          </c:extLst>
        </c:ser>
        <c:ser>
          <c:idx val="2"/>
          <c:order val="2"/>
          <c:tx>
            <c:strRef>
              <c:f>Clean!$A$135</c:f>
              <c:strCache>
                <c:ptCount val="1"/>
                <c:pt idx="0">
                  <c:v>EF02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Clean!$B$96:$B$141</c:f>
              <c:numCache>
                <c:formatCode>0.0000</c:formatCode>
                <c:ptCount val="46"/>
                <c:pt idx="0">
                  <c:v>107.41874999999965</c:v>
                </c:pt>
                <c:pt idx="1">
                  <c:v>107.66817099999972</c:v>
                </c:pt>
                <c:pt idx="2">
                  <c:v>113.37986099999981</c:v>
                </c:pt>
                <c:pt idx="3">
                  <c:v>113.51122699999979</c:v>
                </c:pt>
                <c:pt idx="4">
                  <c:v>122.40138900000019</c:v>
                </c:pt>
                <c:pt idx="5">
                  <c:v>122.51993200000034</c:v>
                </c:pt>
                <c:pt idx="6">
                  <c:v>142.43159799999955</c:v>
                </c:pt>
                <c:pt idx="7">
                  <c:v>142.53333300000014</c:v>
                </c:pt>
                <c:pt idx="8">
                  <c:v>150.47777800000003</c:v>
                </c:pt>
                <c:pt idx="9">
                  <c:v>150.54444450000011</c:v>
                </c:pt>
                <c:pt idx="10">
                  <c:v>154.42708299999975</c:v>
                </c:pt>
                <c:pt idx="11">
                  <c:v>154.52777799999967</c:v>
                </c:pt>
                <c:pt idx="12">
                  <c:v>163.45486099999982</c:v>
                </c:pt>
                <c:pt idx="13">
                  <c:v>163.53819450000009</c:v>
                </c:pt>
                <c:pt idx="14">
                  <c:v>175.43888899999945</c:v>
                </c:pt>
                <c:pt idx="15">
                  <c:v>175.57222199999995</c:v>
                </c:pt>
                <c:pt idx="16">
                  <c:v>190.50416700000022</c:v>
                </c:pt>
                <c:pt idx="17">
                  <c:v>190.59583300000014</c:v>
                </c:pt>
                <c:pt idx="18">
                  <c:v>207.46553149999966</c:v>
                </c:pt>
                <c:pt idx="19">
                  <c:v>211.41597199999995</c:v>
                </c:pt>
                <c:pt idx="20">
                  <c:v>211.61597199999997</c:v>
                </c:pt>
                <c:pt idx="21">
                  <c:v>219.46515599999947</c:v>
                </c:pt>
                <c:pt idx="22">
                  <c:v>219.58591000000052</c:v>
                </c:pt>
                <c:pt idx="23">
                  <c:v>224.47447899999935</c:v>
                </c:pt>
                <c:pt idx="24">
                  <c:v>224.60324750000075</c:v>
                </c:pt>
                <c:pt idx="25">
                  <c:v>228.55109399999964</c:v>
                </c:pt>
                <c:pt idx="26">
                  <c:v>228.64228449999939</c:v>
                </c:pt>
                <c:pt idx="27">
                  <c:v>231.53040499999989</c:v>
                </c:pt>
                <c:pt idx="28">
                  <c:v>231.64165500000018</c:v>
                </c:pt>
                <c:pt idx="29">
                  <c:v>242.40884699999987</c:v>
                </c:pt>
                <c:pt idx="30">
                  <c:v>242.53487649999988</c:v>
                </c:pt>
                <c:pt idx="31">
                  <c:v>248.4568000000003</c:v>
                </c:pt>
                <c:pt idx="32">
                  <c:v>248.55019099999993</c:v>
                </c:pt>
                <c:pt idx="33">
                  <c:v>259.42110649999961</c:v>
                </c:pt>
                <c:pt idx="34">
                  <c:v>259.50284200000021</c:v>
                </c:pt>
                <c:pt idx="35">
                  <c:v>270.43201299999964</c:v>
                </c:pt>
                <c:pt idx="36">
                  <c:v>270.52986049999964</c:v>
                </c:pt>
                <c:pt idx="37">
                  <c:v>275.57566000000008</c:v>
                </c:pt>
                <c:pt idx="38">
                  <c:v>282.49756937500115</c:v>
                </c:pt>
                <c:pt idx="39">
                  <c:v>282.58350687499978</c:v>
                </c:pt>
                <c:pt idx="40">
                  <c:v>289.46881999999937</c:v>
                </c:pt>
                <c:pt idx="41">
                  <c:v>289.55524350000013</c:v>
                </c:pt>
                <c:pt idx="42">
                  <c:v>297.65975800000052</c:v>
                </c:pt>
                <c:pt idx="43">
                  <c:v>297.72681250000062</c:v>
                </c:pt>
                <c:pt idx="44">
                  <c:v>303.42732049999972</c:v>
                </c:pt>
                <c:pt idx="45">
                  <c:v>303.50607549999984</c:v>
                </c:pt>
              </c:numCache>
            </c:numRef>
          </c:xVal>
          <c:yVal>
            <c:numRef>
              <c:f>Clean!$H$96:$H$141</c:f>
              <c:numCache>
                <c:formatCode>0.0000000000</c:formatCode>
                <c:ptCount val="46"/>
                <c:pt idx="0">
                  <c:v>4.1477891319809121E-5</c:v>
                </c:pt>
                <c:pt idx="1">
                  <c:v>1.9055628118247421E-4</c:v>
                </c:pt>
                <c:pt idx="2">
                  <c:v>-1.0008066538599039E-5</c:v>
                </c:pt>
                <c:pt idx="3">
                  <c:v>6.9176151063464461E-5</c:v>
                </c:pt>
                <c:pt idx="4">
                  <c:v>-9.0392414350864964E-5</c:v>
                </c:pt>
                <c:pt idx="5">
                  <c:v>-8.6487122251913861E-5</c:v>
                </c:pt>
                <c:pt idx="6">
                  <c:v>-3.6932800000000004E-4</c:v>
                </c:pt>
                <c:pt idx="7">
                  <c:v>-9.5490680902257424E-4</c:v>
                </c:pt>
                <c:pt idx="8">
                  <c:v>3.8096341528817283E-4</c:v>
                </c:pt>
                <c:pt idx="9">
                  <c:v>1.3979371134418419E-4</c:v>
                </c:pt>
                <c:pt idx="10">
                  <c:v>-3.5937675291858262E-7</c:v>
                </c:pt>
                <c:pt idx="11">
                  <c:v>-3.8846452646717539E-7</c:v>
                </c:pt>
                <c:pt idx="12">
                  <c:v>-3.0713293162756577E-6</c:v>
                </c:pt>
                <c:pt idx="13">
                  <c:v>2.7315452853356782E-5</c:v>
                </c:pt>
                <c:pt idx="14">
                  <c:v>9.7842185041158315E-3</c:v>
                </c:pt>
                <c:pt idx="15">
                  <c:v>-3.4439199999999995E-6</c:v>
                </c:pt>
                <c:pt idx="16">
                  <c:v>-1.1201796503398157E-4</c:v>
                </c:pt>
                <c:pt idx="17">
                  <c:v>1.5864134902919514E-4</c:v>
                </c:pt>
                <c:pt idx="18">
                  <c:v>4.1055403886220401E-6</c:v>
                </c:pt>
                <c:pt idx="19">
                  <c:v>1.0737926000000001E-3</c:v>
                </c:pt>
                <c:pt idx="20">
                  <c:v>8.0186712000000007E-3</c:v>
                </c:pt>
                <c:pt idx="21">
                  <c:v>-3.1417011683405102E-4</c:v>
                </c:pt>
                <c:pt idx="22">
                  <c:v>1.35245468E-3</c:v>
                </c:pt>
                <c:pt idx="23">
                  <c:v>-2.3745659999999997E-4</c:v>
                </c:pt>
                <c:pt idx="24">
                  <c:v>-2.6775380000000002E-4</c:v>
                </c:pt>
                <c:pt idx="25">
                  <c:v>-1.5010562135803058E-4</c:v>
                </c:pt>
                <c:pt idx="26">
                  <c:v>-3.1792433994549963E-5</c:v>
                </c:pt>
                <c:pt idx="27">
                  <c:v>-7.5929115939197693E-5</c:v>
                </c:pt>
                <c:pt idx="28">
                  <c:v>-1.0855351359530779E-5</c:v>
                </c:pt>
                <c:pt idx="29">
                  <c:v>-1.5665231326468667E-4</c:v>
                </c:pt>
                <c:pt idx="30">
                  <c:v>-5.9737908770197075E-5</c:v>
                </c:pt>
                <c:pt idx="31">
                  <c:v>-9.477584853785699E-5</c:v>
                </c:pt>
                <c:pt idx="32">
                  <c:v>-1.8029514432964778E-4</c:v>
                </c:pt>
                <c:pt idx="33">
                  <c:v>-4.8997629446107113E-5</c:v>
                </c:pt>
                <c:pt idx="34">
                  <c:v>-6.6046781945033799E-5</c:v>
                </c:pt>
                <c:pt idx="35">
                  <c:v>-2.2649145880311851E-4</c:v>
                </c:pt>
                <c:pt idx="36">
                  <c:v>-1.4217654160397298E-4</c:v>
                </c:pt>
                <c:pt idx="37">
                  <c:v>-2.1244943051748463E-5</c:v>
                </c:pt>
                <c:pt idx="38">
                  <c:v>-7.1328092560909138E-5</c:v>
                </c:pt>
                <c:pt idx="39">
                  <c:v>1.6704865208407335E-5</c:v>
                </c:pt>
                <c:pt idx="40">
                  <c:v>-1.1913539484739136E-4</c:v>
                </c:pt>
                <c:pt idx="41">
                  <c:v>-8.9241334802715318E-5</c:v>
                </c:pt>
                <c:pt idx="42">
                  <c:v>-4.7360000000000001E-5</c:v>
                </c:pt>
                <c:pt idx="43">
                  <c:v>3.7291372648841898E-7</c:v>
                </c:pt>
                <c:pt idx="44">
                  <c:v>-4.4009870602644113E-5</c:v>
                </c:pt>
                <c:pt idx="45">
                  <c:v>-1.977821579311844E-5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A5-4316-8B02-38E2DE18CE63}"/>
            </c:ext>
          </c:extLst>
        </c:ser>
        <c:ser>
          <c:idx val="3"/>
          <c:order val="3"/>
          <c:tx>
            <c:strRef>
              <c:f>Clean!$A$143</c:f>
              <c:strCache>
                <c:ptCount val="1"/>
                <c:pt idx="0">
                  <c:v>EF03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Clean!$B$142:$B$188</c:f>
              <c:numCache>
                <c:formatCode>0.0000</c:formatCode>
                <c:ptCount val="47"/>
                <c:pt idx="0">
                  <c:v>107.49384200000058</c:v>
                </c:pt>
                <c:pt idx="1">
                  <c:v>113.44542800000053</c:v>
                </c:pt>
                <c:pt idx="2">
                  <c:v>113.56990650000007</c:v>
                </c:pt>
                <c:pt idx="3">
                  <c:v>121.43468799999974</c:v>
                </c:pt>
                <c:pt idx="4">
                  <c:v>121.53245300000017</c:v>
                </c:pt>
                <c:pt idx="5">
                  <c:v>135.40717549999971</c:v>
                </c:pt>
                <c:pt idx="6">
                  <c:v>135.52532450000001</c:v>
                </c:pt>
                <c:pt idx="7">
                  <c:v>162.44791700000025</c:v>
                </c:pt>
                <c:pt idx="8">
                  <c:v>162.55833299999978</c:v>
                </c:pt>
                <c:pt idx="9">
                  <c:v>170.45555549999989</c:v>
                </c:pt>
                <c:pt idx="10">
                  <c:v>170.54166700000025</c:v>
                </c:pt>
                <c:pt idx="11">
                  <c:v>182.45347199999958</c:v>
                </c:pt>
                <c:pt idx="12">
                  <c:v>182.54166700000025</c:v>
                </c:pt>
                <c:pt idx="13">
                  <c:v>184.37430550000028</c:v>
                </c:pt>
                <c:pt idx="14">
                  <c:v>184.49652799999967</c:v>
                </c:pt>
                <c:pt idx="15">
                  <c:v>191.45208300000013</c:v>
                </c:pt>
                <c:pt idx="16">
                  <c:v>191.54861099999982</c:v>
                </c:pt>
                <c:pt idx="17">
                  <c:v>193.47917799999993</c:v>
                </c:pt>
                <c:pt idx="18">
                  <c:v>193.6041666666697</c:v>
                </c:pt>
                <c:pt idx="19">
                  <c:v>196.49166699999989</c:v>
                </c:pt>
                <c:pt idx="20">
                  <c:v>206.4888890000002</c:v>
                </c:pt>
                <c:pt idx="21">
                  <c:v>206.59444449999972</c:v>
                </c:pt>
                <c:pt idx="22">
                  <c:v>212.47638899999981</c:v>
                </c:pt>
                <c:pt idx="23">
                  <c:v>212.73194444444442</c:v>
                </c:pt>
                <c:pt idx="24">
                  <c:v>220.48843099999976</c:v>
                </c:pt>
                <c:pt idx="25">
                  <c:v>220.60812550000045</c:v>
                </c:pt>
                <c:pt idx="26">
                  <c:v>227.51146950000003</c:v>
                </c:pt>
                <c:pt idx="27">
                  <c:v>227.5798069999997</c:v>
                </c:pt>
                <c:pt idx="28">
                  <c:v>235.518721</c:v>
                </c:pt>
                <c:pt idx="29">
                  <c:v>235.64202650000078</c:v>
                </c:pt>
                <c:pt idx="30">
                  <c:v>241.49991499999959</c:v>
                </c:pt>
                <c:pt idx="31">
                  <c:v>241.65895849999941</c:v>
                </c:pt>
                <c:pt idx="32">
                  <c:v>254.43026049999972</c:v>
                </c:pt>
                <c:pt idx="33">
                  <c:v>254.51493049999954</c:v>
                </c:pt>
                <c:pt idx="34">
                  <c:v>261.64571849999993</c:v>
                </c:pt>
                <c:pt idx="35">
                  <c:v>268.46967599999988</c:v>
                </c:pt>
                <c:pt idx="36">
                  <c:v>268.56627399999996</c:v>
                </c:pt>
                <c:pt idx="37">
                  <c:v>273.45837999999969</c:v>
                </c:pt>
                <c:pt idx="38">
                  <c:v>273.57027749999975</c:v>
                </c:pt>
                <c:pt idx="39">
                  <c:v>284.41531149999935</c:v>
                </c:pt>
                <c:pt idx="40">
                  <c:v>284.51114550000023</c:v>
                </c:pt>
                <c:pt idx="41">
                  <c:v>296.56323812500023</c:v>
                </c:pt>
                <c:pt idx="42">
                  <c:v>296.64630999999963</c:v>
                </c:pt>
                <c:pt idx="43">
                  <c:v>303.61006299999934</c:v>
                </c:pt>
                <c:pt idx="44">
                  <c:v>303.70489600000076</c:v>
                </c:pt>
                <c:pt idx="45">
                  <c:v>310.46126150000021</c:v>
                </c:pt>
                <c:pt idx="46">
                  <c:v>310.54367100000019</c:v>
                </c:pt>
              </c:numCache>
            </c:numRef>
          </c:xVal>
          <c:yVal>
            <c:numRef>
              <c:f>Clean!$H$142:$H$188</c:f>
              <c:numCache>
                <c:formatCode>0.0000000000</c:formatCode>
                <c:ptCount val="47"/>
                <c:pt idx="0">
                  <c:v>3.7758226186507986E-5</c:v>
                </c:pt>
                <c:pt idx="1">
                  <c:v>-8.3495522837116482E-5</c:v>
                </c:pt>
                <c:pt idx="2">
                  <c:v>-8.2943473449748206E-5</c:v>
                </c:pt>
                <c:pt idx="3">
                  <c:v>-2.1839212013313801E-5</c:v>
                </c:pt>
                <c:pt idx="4">
                  <c:v>-1.2990920000000001E-4</c:v>
                </c:pt>
                <c:pt idx="5">
                  <c:v>0</c:v>
                </c:pt>
                <c:pt idx="6">
                  <c:v>1.1478039127975326E-5</c:v>
                </c:pt>
                <c:pt idx="7">
                  <c:v>-3.6296762091210115E-4</c:v>
                </c:pt>
                <c:pt idx="8">
                  <c:v>4.9053729320711245E-5</c:v>
                </c:pt>
                <c:pt idx="9">
                  <c:v>-7.2853967316488053E-3</c:v>
                </c:pt>
                <c:pt idx="10">
                  <c:v>-4.0565016743781202E-5</c:v>
                </c:pt>
                <c:pt idx="11">
                  <c:v>6.2767747227843922E-4</c:v>
                </c:pt>
                <c:pt idx="12">
                  <c:v>9.678823175988373E-4</c:v>
                </c:pt>
                <c:pt idx="13">
                  <c:v>2.3800342283571379E-4</c:v>
                </c:pt>
                <c:pt idx="14">
                  <c:v>-8.9606339978158035E-4</c:v>
                </c:pt>
                <c:pt idx="15">
                  <c:v>-2.9628266948607946E-4</c:v>
                </c:pt>
                <c:pt idx="16">
                  <c:v>-4.0282441118188078E-4</c:v>
                </c:pt>
                <c:pt idx="17">
                  <c:v>7.5622254720001296E-3</c:v>
                </c:pt>
                <c:pt idx="18">
                  <c:v>-7.8742951439965143E-5</c:v>
                </c:pt>
                <c:pt idx="19">
                  <c:v>-3.1885060901830819E-4</c:v>
                </c:pt>
                <c:pt idx="20">
                  <c:v>-2.5342624813772858E-4</c:v>
                </c:pt>
                <c:pt idx="21">
                  <c:v>-1.074871736508698E-5</c:v>
                </c:pt>
                <c:pt idx="22">
                  <c:v>1.1153284601529063E-3</c:v>
                </c:pt>
                <c:pt idx="23">
                  <c:v>2.5566515922770742E-3</c:v>
                </c:pt>
                <c:pt idx="24">
                  <c:v>-4.7453389263812538E-4</c:v>
                </c:pt>
                <c:pt idx="25">
                  <c:v>9.0718626074227517E-5</c:v>
                </c:pt>
                <c:pt idx="26">
                  <c:v>-5.9144677158194637E-4</c:v>
                </c:pt>
                <c:pt idx="27">
                  <c:v>-4.0834032307409605E-4</c:v>
                </c:pt>
                <c:pt idx="28">
                  <c:v>6.4209294432126881E-5</c:v>
                </c:pt>
                <c:pt idx="29">
                  <c:v>2.2103749039489154E-4</c:v>
                </c:pt>
                <c:pt idx="30">
                  <c:v>-5.2633432491387103E-4</c:v>
                </c:pt>
                <c:pt idx="31">
                  <c:v>-5.3266474392178861E-4</c:v>
                </c:pt>
                <c:pt idx="32">
                  <c:v>-4.3746934736558514E-4</c:v>
                </c:pt>
                <c:pt idx="33">
                  <c:v>-3.3410997483907938E-4</c:v>
                </c:pt>
                <c:pt idx="34">
                  <c:v>-4.3349251671060839E-4</c:v>
                </c:pt>
                <c:pt idx="35">
                  <c:v>-6.2027218708514669E-4</c:v>
                </c:pt>
                <c:pt idx="36">
                  <c:v>-6.6460221368318218E-4</c:v>
                </c:pt>
                <c:pt idx="37">
                  <c:v>-4.4077145526933277E-4</c:v>
                </c:pt>
                <c:pt idx="38">
                  <c:v>-4.7094240757344225E-4</c:v>
                </c:pt>
                <c:pt idx="39">
                  <c:v>-4.2366897433075961E-4</c:v>
                </c:pt>
                <c:pt idx="40">
                  <c:v>-4.5265583315190499E-4</c:v>
                </c:pt>
                <c:pt idx="41">
                  <c:v>-1.0091878396416889E-4</c:v>
                </c:pt>
                <c:pt idx="42">
                  <c:v>-5.9743772126596994E-4</c:v>
                </c:pt>
                <c:pt idx="43">
                  <c:v>-1.2107999903620059E-4</c:v>
                </c:pt>
                <c:pt idx="44">
                  <c:v>-2.0272231898411371E-4</c:v>
                </c:pt>
                <c:pt idx="45">
                  <c:v>-1.3199971229077537E-4</c:v>
                </c:pt>
                <c:pt idx="46">
                  <c:v>-2.6144948414671011E-4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A5-4316-8B02-38E2DE18C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3841800"/>
        <c:axId val="573840488"/>
      </c:scatterChart>
      <c:valAx>
        <c:axId val="573841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840488"/>
        <c:crosses val="autoZero"/>
        <c:crossBetween val="midCat"/>
      </c:valAx>
      <c:valAx>
        <c:axId val="573840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3841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464232</xdr:colOff>
      <xdr:row>0</xdr:row>
      <xdr:rowOff>6</xdr:rowOff>
    </xdr:from>
    <xdr:to>
      <xdr:col>14</xdr:col>
      <xdr:colOff>140382</xdr:colOff>
      <xdr:row>28</xdr:row>
      <xdr:rowOff>152400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B7AC48E-8C96-4B4C-ADA0-6018252C3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466725</xdr:colOff>
      <xdr:row>0</xdr:row>
      <xdr:rowOff>90487</xdr:rowOff>
    </xdr:from>
    <xdr:to>
      <xdr:col>26</xdr:col>
      <xdr:colOff>142875</xdr:colOff>
      <xdr:row>28</xdr:row>
      <xdr:rowOff>104775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337FF84D-9602-4434-B958-49E24D283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295275</xdr:colOff>
      <xdr:row>28</xdr:row>
      <xdr:rowOff>180981</xdr:rowOff>
    </xdr:from>
    <xdr:to>
      <xdr:col>13</xdr:col>
      <xdr:colOff>542925</xdr:colOff>
      <xdr:row>46</xdr:row>
      <xdr:rowOff>9525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A1F01F3F-07FD-432E-9438-276CEB420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80961</xdr:colOff>
      <xdr:row>30</xdr:row>
      <xdr:rowOff>114305</xdr:rowOff>
    </xdr:from>
    <xdr:to>
      <xdr:col>24</xdr:col>
      <xdr:colOff>219074</xdr:colOff>
      <xdr:row>51</xdr:row>
      <xdr:rowOff>66674</xdr:rowOff>
    </xdr:to>
    <xdr:graphicFrame macro="">
      <xdr:nvGraphicFramePr>
        <xdr:cNvPr id="5" name="Chart 8">
          <a:extLst>
            <a:ext uri="{FF2B5EF4-FFF2-40B4-BE49-F238E27FC236}">
              <a16:creationId xmlns:a16="http://schemas.microsoft.com/office/drawing/2014/main" id="{64395271-1477-4443-A343-F0E411FE6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26</xdr:col>
      <xdr:colOff>300037</xdr:colOff>
      <xdr:row>1</xdr:row>
      <xdr:rowOff>4762</xdr:rowOff>
    </xdr:from>
    <xdr:to>
      <xdr:col>33</xdr:col>
      <xdr:colOff>604837</xdr:colOff>
      <xdr:row>15</xdr:row>
      <xdr:rowOff>80962</xdr:rowOff>
    </xdr:to>
    <xdr:graphicFrame macro="">
      <xdr:nvGraphicFramePr>
        <xdr:cNvPr id="6" name="Chart 8">
          <a:extLst>
            <a:ext uri="{FF2B5EF4-FFF2-40B4-BE49-F238E27FC236}">
              <a16:creationId xmlns:a16="http://schemas.microsoft.com/office/drawing/2014/main" id="{F04F97C3-B6F3-4167-BDDB-6006177107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323850</xdr:colOff>
      <xdr:row>15</xdr:row>
      <xdr:rowOff>119062</xdr:rowOff>
    </xdr:from>
    <xdr:to>
      <xdr:col>34</xdr:col>
      <xdr:colOff>19050</xdr:colOff>
      <xdr:row>30</xdr:row>
      <xdr:rowOff>4762</xdr:rowOff>
    </xdr:to>
    <xdr:graphicFrame macro="">
      <xdr:nvGraphicFramePr>
        <xdr:cNvPr id="7" name="Chart 2">
          <a:extLst>
            <a:ext uri="{FF2B5EF4-FFF2-40B4-BE49-F238E27FC236}">
              <a16:creationId xmlns:a16="http://schemas.microsoft.com/office/drawing/2014/main" id="{C78123BE-C0CD-49B4-8B36-A6BE79FFD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328612</xdr:colOff>
      <xdr:row>30</xdr:row>
      <xdr:rowOff>166687</xdr:rowOff>
    </xdr:from>
    <xdr:to>
      <xdr:col>34</xdr:col>
      <xdr:colOff>23812</xdr:colOff>
      <xdr:row>45</xdr:row>
      <xdr:rowOff>52387</xdr:rowOff>
    </xdr:to>
    <xdr:graphicFrame macro="">
      <xdr:nvGraphicFramePr>
        <xdr:cNvPr id="8" name="Chart 9">
          <a:extLst>
            <a:ext uri="{FF2B5EF4-FFF2-40B4-BE49-F238E27FC236}">
              <a16:creationId xmlns:a16="http://schemas.microsoft.com/office/drawing/2014/main" id="{227F7FA1-2B95-4E97-A67F-5AC445EB8B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361950</xdr:colOff>
      <xdr:row>45</xdr:row>
      <xdr:rowOff>9531</xdr:rowOff>
    </xdr:from>
    <xdr:to>
      <xdr:col>34</xdr:col>
      <xdr:colOff>57150</xdr:colOff>
      <xdr:row>59</xdr:row>
      <xdr:rowOff>85731</xdr:rowOff>
    </xdr:to>
    <xdr:graphicFrame macro="">
      <xdr:nvGraphicFramePr>
        <xdr:cNvPr id="9" name="Chart 10">
          <a:extLst>
            <a:ext uri="{FF2B5EF4-FFF2-40B4-BE49-F238E27FC236}">
              <a16:creationId xmlns:a16="http://schemas.microsoft.com/office/drawing/2014/main" id="{99E6E9EB-B269-4856-9062-45390B079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133350</xdr:colOff>
      <xdr:row>51</xdr:row>
      <xdr:rowOff>76206</xdr:rowOff>
    </xdr:from>
    <xdr:to>
      <xdr:col>23</xdr:col>
      <xdr:colOff>381000</xdr:colOff>
      <xdr:row>75</xdr:row>
      <xdr:rowOff>171450</xdr:rowOff>
    </xdr:to>
    <xdr:graphicFrame macro="">
      <xdr:nvGraphicFramePr>
        <xdr:cNvPr id="10" name="Chart 11">
          <a:extLst>
            <a:ext uri="{FF2B5EF4-FFF2-40B4-BE49-F238E27FC236}">
              <a16:creationId xmlns:a16="http://schemas.microsoft.com/office/drawing/2014/main" id="{C4980FBA-6612-488C-833E-0560B3A03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55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3" max="3" width="13.33203125" customWidth="1"/>
    <col min="4" max="4" width="10.6640625" bestFit="1" customWidth="1"/>
    <col min="5" max="5" width="17.33203125" customWidth="1"/>
    <col min="6" max="6" width="15.5" customWidth="1"/>
    <col min="7" max="7" width="22.5" style="4" customWidth="1"/>
    <col min="8" max="8" width="20.5" style="4" customWidth="1"/>
    <col min="9" max="9" width="19.83203125" customWidth="1"/>
    <col min="10" max="10" width="26.5" customWidth="1"/>
    <col min="11" max="11" width="34.5" customWidth="1"/>
    <col min="12" max="12" width="33.33203125" customWidth="1"/>
    <col min="14" max="14" width="9.5" customWidth="1"/>
  </cols>
  <sheetData>
    <row r="1" spans="1:12" ht="42" customHeight="1" x14ac:dyDescent="0.35">
      <c r="A1" s="1" t="s">
        <v>22</v>
      </c>
      <c r="B1" s="1" t="s">
        <v>0</v>
      </c>
      <c r="C1" s="1" t="s">
        <v>1</v>
      </c>
      <c r="D1" s="8" t="s">
        <v>13</v>
      </c>
      <c r="E1" s="8" t="s">
        <v>14</v>
      </c>
      <c r="F1" s="1" t="s">
        <v>15</v>
      </c>
      <c r="G1" s="5" t="s">
        <v>23</v>
      </c>
      <c r="H1" s="5" t="s">
        <v>17</v>
      </c>
      <c r="I1" s="1" t="s">
        <v>18</v>
      </c>
      <c r="J1" s="1" t="s">
        <v>19</v>
      </c>
      <c r="K1" s="1" t="s">
        <v>21</v>
      </c>
      <c r="L1" s="1" t="s">
        <v>20</v>
      </c>
    </row>
    <row r="2" spans="1:12" x14ac:dyDescent="0.2">
      <c r="A2" t="s">
        <v>7</v>
      </c>
      <c r="B2">
        <v>1</v>
      </c>
      <c r="C2" t="s">
        <v>2</v>
      </c>
      <c r="D2" s="2">
        <v>43571</v>
      </c>
      <c r="E2" s="3">
        <v>0.42708333333333331</v>
      </c>
      <c r="F2" s="3">
        <v>0.43055555555555558</v>
      </c>
      <c r="G2" s="4">
        <v>26.9</v>
      </c>
      <c r="H2" s="4">
        <v>7.22</v>
      </c>
      <c r="K2">
        <v>-0.81355818331534502</v>
      </c>
      <c r="L2">
        <v>1.4175786803315301E-4</v>
      </c>
    </row>
    <row r="3" spans="1:12" x14ac:dyDescent="0.2">
      <c r="A3" t="s">
        <v>7</v>
      </c>
      <c r="B3">
        <v>1</v>
      </c>
      <c r="C3" t="s">
        <v>3</v>
      </c>
      <c r="D3" s="2">
        <v>43571</v>
      </c>
      <c r="E3" s="3">
        <v>0.43194444444444446</v>
      </c>
      <c r="F3" s="3">
        <v>0.43541666666666662</v>
      </c>
      <c r="H3" s="4">
        <v>7.22</v>
      </c>
      <c r="K3">
        <v>1.6540980839411701</v>
      </c>
      <c r="L3">
        <v>5.7916244335295498E-5</v>
      </c>
    </row>
    <row r="4" spans="1:12" x14ac:dyDescent="0.2">
      <c r="A4" t="s">
        <v>7</v>
      </c>
      <c r="B4">
        <v>2</v>
      </c>
      <c r="C4" t="s">
        <v>2</v>
      </c>
      <c r="D4" s="2">
        <v>43571</v>
      </c>
      <c r="E4" s="3">
        <v>0.436805555555556</v>
      </c>
      <c r="F4" s="3">
        <v>0.44027777777777799</v>
      </c>
      <c r="G4" s="4">
        <v>24.3</v>
      </c>
      <c r="H4" s="4">
        <v>7.22</v>
      </c>
      <c r="K4">
        <v>-0.167305180830568</v>
      </c>
      <c r="L4">
        <v>1.86422043954819E-4</v>
      </c>
    </row>
    <row r="5" spans="1:12" x14ac:dyDescent="0.2">
      <c r="A5" t="s">
        <v>7</v>
      </c>
      <c r="B5">
        <v>2</v>
      </c>
      <c r="C5" t="s">
        <v>3</v>
      </c>
      <c r="D5" s="2">
        <v>43571</v>
      </c>
      <c r="E5" s="3">
        <v>0.44166666666666698</v>
      </c>
      <c r="F5" s="3">
        <v>0.44513888888888897</v>
      </c>
      <c r="H5" s="4">
        <v>7.22</v>
      </c>
      <c r="K5">
        <v>0.82692471029085102</v>
      </c>
      <c r="L5">
        <v>1.02868715787531E-4</v>
      </c>
    </row>
    <row r="6" spans="1:12" x14ac:dyDescent="0.2">
      <c r="A6" t="s">
        <v>7</v>
      </c>
      <c r="B6">
        <v>3</v>
      </c>
      <c r="C6" t="s">
        <v>2</v>
      </c>
      <c r="D6" s="2">
        <v>43571</v>
      </c>
      <c r="E6" s="3">
        <v>0.44652777777777802</v>
      </c>
      <c r="F6" s="3">
        <v>0.45</v>
      </c>
      <c r="G6" s="4">
        <v>27.7</v>
      </c>
      <c r="H6" s="4">
        <v>7.22</v>
      </c>
      <c r="K6">
        <v>-1.90382270158195</v>
      </c>
      <c r="L6">
        <v>2.0068010207423799E-4</v>
      </c>
    </row>
    <row r="7" spans="1:12" x14ac:dyDescent="0.2">
      <c r="A7" t="s">
        <v>7</v>
      </c>
      <c r="B7">
        <v>3</v>
      </c>
      <c r="C7" t="s">
        <v>3</v>
      </c>
      <c r="D7" s="2">
        <v>43571</v>
      </c>
      <c r="E7" s="3">
        <v>0.45138888888888901</v>
      </c>
      <c r="F7" s="3">
        <v>0.45486111111111099</v>
      </c>
      <c r="H7" s="4">
        <v>7.22</v>
      </c>
      <c r="K7">
        <v>1.91604558976966</v>
      </c>
      <c r="L7">
        <v>1.3544391606353499E-4</v>
      </c>
    </row>
    <row r="8" spans="1:12" x14ac:dyDescent="0.2">
      <c r="A8" t="s">
        <v>7</v>
      </c>
      <c r="B8">
        <v>4</v>
      </c>
      <c r="C8" t="s">
        <v>2</v>
      </c>
      <c r="D8" s="2">
        <v>43571</v>
      </c>
      <c r="E8" s="3">
        <v>0.45624999999999999</v>
      </c>
      <c r="F8" s="3">
        <v>0.45972222222222198</v>
      </c>
      <c r="G8" s="4">
        <v>28.1</v>
      </c>
      <c r="H8" s="4">
        <v>7.22</v>
      </c>
      <c r="K8">
        <v>-1.52658097307464</v>
      </c>
      <c r="L8">
        <v>2.5690945361745598E-4</v>
      </c>
    </row>
    <row r="9" spans="1:12" x14ac:dyDescent="0.2">
      <c r="A9" t="s">
        <v>7</v>
      </c>
      <c r="B9">
        <v>4</v>
      </c>
      <c r="C9" t="s">
        <v>3</v>
      </c>
      <c r="D9" s="2">
        <v>43571</v>
      </c>
      <c r="E9" s="3">
        <v>0.46111111111111103</v>
      </c>
      <c r="F9" s="3">
        <v>0.46458333333333302</v>
      </c>
      <c r="H9" s="4">
        <v>7.22</v>
      </c>
      <c r="K9">
        <v>0.99050102666379902</v>
      </c>
      <c r="L9">
        <v>1.97326564544176E-4</v>
      </c>
    </row>
    <row r="10" spans="1:12" x14ac:dyDescent="0.2">
      <c r="A10" t="s">
        <v>7</v>
      </c>
      <c r="B10">
        <v>5</v>
      </c>
      <c r="C10" t="s">
        <v>2</v>
      </c>
      <c r="D10" s="2">
        <v>43571</v>
      </c>
      <c r="E10" s="3">
        <v>0.46597222222222301</v>
      </c>
      <c r="F10" s="3">
        <v>0.469444444444444</v>
      </c>
      <c r="G10" s="4">
        <v>27</v>
      </c>
      <c r="H10" s="4">
        <v>7.22</v>
      </c>
      <c r="K10">
        <v>-1.96846863186082</v>
      </c>
      <c r="L10">
        <v>2.2227750892663299E-4</v>
      </c>
    </row>
    <row r="11" spans="1:12" x14ac:dyDescent="0.2">
      <c r="A11" t="s">
        <v>7</v>
      </c>
      <c r="B11">
        <v>5</v>
      </c>
      <c r="C11" t="s">
        <v>3</v>
      </c>
      <c r="D11" s="2">
        <v>43571</v>
      </c>
      <c r="E11" s="3">
        <v>0.54166666666666663</v>
      </c>
      <c r="F11" s="3">
        <v>0.54513888888888895</v>
      </c>
      <c r="H11" s="4">
        <v>8.89</v>
      </c>
      <c r="K11">
        <v>2.0746855829888302</v>
      </c>
      <c r="L11">
        <v>1.41433010869767E-4</v>
      </c>
    </row>
    <row r="12" spans="1:12" x14ac:dyDescent="0.2">
      <c r="A12" t="s">
        <v>7</v>
      </c>
      <c r="B12">
        <v>1</v>
      </c>
      <c r="C12" t="s">
        <v>2</v>
      </c>
      <c r="D12" s="2">
        <v>43571</v>
      </c>
      <c r="E12" s="3">
        <v>0.54652777777777783</v>
      </c>
      <c r="F12" s="3">
        <v>0.54999999999999993</v>
      </c>
      <c r="G12" s="4">
        <v>27.1</v>
      </c>
      <c r="H12" s="4">
        <v>8.89</v>
      </c>
      <c r="K12">
        <v>-0.25263974797615002</v>
      </c>
      <c r="L12">
        <v>-6.9667999999999998E-4</v>
      </c>
    </row>
    <row r="13" spans="1:12" x14ac:dyDescent="0.2">
      <c r="A13" t="s">
        <v>7</v>
      </c>
      <c r="B13">
        <v>1</v>
      </c>
      <c r="C13" t="s">
        <v>3</v>
      </c>
      <c r="D13" s="2">
        <v>43571</v>
      </c>
      <c r="E13" s="3">
        <v>0.55138888888888904</v>
      </c>
      <c r="F13" s="3">
        <v>0.55486111111111103</v>
      </c>
      <c r="H13" s="4">
        <v>8.89</v>
      </c>
      <c r="K13">
        <v>2.0146269817321101</v>
      </c>
      <c r="L13" s="6">
        <v>-5.6700000000000003E-5</v>
      </c>
    </row>
    <row r="14" spans="1:12" x14ac:dyDescent="0.2">
      <c r="A14" t="s">
        <v>7</v>
      </c>
      <c r="B14">
        <v>2</v>
      </c>
      <c r="C14" t="s">
        <v>2</v>
      </c>
      <c r="D14" s="2">
        <v>43571</v>
      </c>
      <c r="E14" s="3">
        <v>0.55625000000000002</v>
      </c>
      <c r="F14" s="3">
        <v>0.55972222222222201</v>
      </c>
      <c r="G14" s="4">
        <v>25.5</v>
      </c>
      <c r="H14" s="4">
        <v>8.89</v>
      </c>
      <c r="K14">
        <v>3.1043629473051899</v>
      </c>
      <c r="L14">
        <v>-2.7515800000000001E-4</v>
      </c>
    </row>
    <row r="15" spans="1:12" x14ac:dyDescent="0.2">
      <c r="A15" t="s">
        <v>7</v>
      </c>
      <c r="B15">
        <v>2</v>
      </c>
      <c r="C15" t="s">
        <v>3</v>
      </c>
      <c r="D15" s="2">
        <v>43571</v>
      </c>
      <c r="E15" s="3">
        <v>0.56111111111111101</v>
      </c>
      <c r="F15" s="3">
        <v>0.56458333333333299</v>
      </c>
      <c r="H15" s="4">
        <v>8.89</v>
      </c>
      <c r="K15">
        <v>9.8802566393490193E-2</v>
      </c>
      <c r="L15" s="6">
        <v>7.4099999999999999E-5</v>
      </c>
    </row>
    <row r="16" spans="1:12" x14ac:dyDescent="0.2">
      <c r="A16" t="s">
        <v>7</v>
      </c>
      <c r="B16">
        <v>3</v>
      </c>
      <c r="C16" t="s">
        <v>2</v>
      </c>
      <c r="D16" s="2">
        <v>43571</v>
      </c>
      <c r="E16" s="3">
        <v>0.56597222222222299</v>
      </c>
      <c r="F16" s="3">
        <v>0.56944444444444398</v>
      </c>
      <c r="G16" s="4">
        <v>20.6</v>
      </c>
      <c r="H16" s="4">
        <v>8.89</v>
      </c>
      <c r="K16">
        <v>1.15394447743957</v>
      </c>
      <c r="L16" s="6">
        <v>2.97E-5</v>
      </c>
    </row>
    <row r="17" spans="1:12" x14ac:dyDescent="0.2">
      <c r="A17" t="s">
        <v>7</v>
      </c>
      <c r="B17">
        <v>3</v>
      </c>
      <c r="C17" t="s">
        <v>3</v>
      </c>
      <c r="D17" s="2">
        <v>43571</v>
      </c>
      <c r="E17" s="3">
        <v>0.57083333333333397</v>
      </c>
      <c r="F17" s="3">
        <v>0.57430555555555496</v>
      </c>
      <c r="H17" s="4">
        <v>8.89</v>
      </c>
      <c r="K17">
        <v>-0.90393485453457201</v>
      </c>
      <c r="L17">
        <v>1.3679299999999999E-4</v>
      </c>
    </row>
    <row r="18" spans="1:12" x14ac:dyDescent="0.2">
      <c r="A18" t="s">
        <v>7</v>
      </c>
      <c r="B18">
        <v>4</v>
      </c>
      <c r="C18" t="s">
        <v>2</v>
      </c>
      <c r="D18" s="2">
        <v>43571</v>
      </c>
      <c r="E18" s="3">
        <v>0.57569444444444495</v>
      </c>
      <c r="F18" s="3">
        <v>0.57916666666666605</v>
      </c>
      <c r="G18" s="4">
        <v>24.7</v>
      </c>
      <c r="H18" s="4">
        <v>8.89</v>
      </c>
      <c r="K18">
        <v>1.3025953514388899</v>
      </c>
      <c r="L18" s="6">
        <v>8.8300000000000005E-5</v>
      </c>
    </row>
    <row r="19" spans="1:12" x14ac:dyDescent="0.2">
      <c r="A19" t="s">
        <v>7</v>
      </c>
      <c r="B19">
        <v>4</v>
      </c>
      <c r="C19" t="s">
        <v>3</v>
      </c>
      <c r="D19" s="2">
        <v>43571</v>
      </c>
      <c r="E19" s="3">
        <v>0.58055555555555605</v>
      </c>
      <c r="F19" s="3">
        <v>0.58402777777777704</v>
      </c>
      <c r="H19" s="4">
        <v>8.89</v>
      </c>
      <c r="K19">
        <v>-1.2529267285043</v>
      </c>
      <c r="L19">
        <v>1.8142200000000001E-4</v>
      </c>
    </row>
    <row r="20" spans="1:12" x14ac:dyDescent="0.2">
      <c r="A20" t="s">
        <v>7</v>
      </c>
      <c r="B20">
        <v>5</v>
      </c>
      <c r="C20" t="s">
        <v>2</v>
      </c>
      <c r="D20" s="2">
        <v>43571</v>
      </c>
      <c r="E20" s="3">
        <v>0.58541666666666703</v>
      </c>
      <c r="F20" s="3">
        <v>0.58888888888888802</v>
      </c>
      <c r="G20" s="4">
        <v>24.9</v>
      </c>
      <c r="H20" s="4">
        <v>8.89</v>
      </c>
      <c r="K20">
        <v>1.89275805392634</v>
      </c>
      <c r="L20">
        <v>1.0774599999999999E-4</v>
      </c>
    </row>
    <row r="21" spans="1:12" x14ac:dyDescent="0.2">
      <c r="A21" t="s">
        <v>7</v>
      </c>
      <c r="B21">
        <v>5</v>
      </c>
      <c r="C21" t="s">
        <v>3</v>
      </c>
      <c r="D21" s="2">
        <v>43571</v>
      </c>
      <c r="E21" s="3">
        <v>0.59027777777777801</v>
      </c>
      <c r="F21" s="3">
        <v>0.593749999999999</v>
      </c>
      <c r="H21" s="4">
        <v>8.89</v>
      </c>
      <c r="K21">
        <v>-1.64393242794752</v>
      </c>
      <c r="L21">
        <v>1.8118400000000001E-4</v>
      </c>
    </row>
    <row r="22" spans="1:12" x14ac:dyDescent="0.2">
      <c r="A22" t="s">
        <v>7</v>
      </c>
      <c r="B22">
        <v>1</v>
      </c>
      <c r="C22" t="s">
        <v>4</v>
      </c>
      <c r="D22" s="2">
        <v>43577</v>
      </c>
      <c r="E22" s="3">
        <v>0.37841435185185185</v>
      </c>
      <c r="F22" s="3">
        <v>0.38188657407407406</v>
      </c>
      <c r="G22" s="4">
        <v>21.6</v>
      </c>
      <c r="H22" s="4">
        <v>12.78</v>
      </c>
      <c r="K22">
        <v>-1.4833441319124001</v>
      </c>
      <c r="L22">
        <v>1.51627393571243E-4</v>
      </c>
    </row>
    <row r="23" spans="1:12" x14ac:dyDescent="0.2">
      <c r="A23" t="s">
        <v>7</v>
      </c>
      <c r="B23">
        <v>1</v>
      </c>
      <c r="C23" t="s">
        <v>3</v>
      </c>
      <c r="D23" s="2">
        <v>43577</v>
      </c>
      <c r="E23" s="3">
        <v>0.38327546296296294</v>
      </c>
      <c r="F23" s="3">
        <v>0.38674768518518521</v>
      </c>
      <c r="H23" s="4">
        <v>12.78</v>
      </c>
      <c r="K23">
        <v>0.96112489633797005</v>
      </c>
      <c r="L23">
        <v>-1.6482103959568001E-4</v>
      </c>
    </row>
    <row r="24" spans="1:12" x14ac:dyDescent="0.2">
      <c r="A24" t="s">
        <v>7</v>
      </c>
      <c r="B24">
        <v>2</v>
      </c>
      <c r="C24" t="s">
        <v>4</v>
      </c>
      <c r="D24" s="2">
        <v>43577</v>
      </c>
      <c r="E24" s="3">
        <v>0.38813657407407398</v>
      </c>
      <c r="F24" s="3">
        <v>0.39160879629629602</v>
      </c>
      <c r="G24" s="4">
        <v>22.7</v>
      </c>
      <c r="H24" s="4">
        <v>12.78</v>
      </c>
      <c r="K24">
        <v>-0.58465367240616795</v>
      </c>
      <c r="L24">
        <v>3.5705598764205397E-5</v>
      </c>
    </row>
    <row r="25" spans="1:12" x14ac:dyDescent="0.2">
      <c r="A25" t="s">
        <v>7</v>
      </c>
      <c r="B25">
        <v>2</v>
      </c>
      <c r="C25" t="s">
        <v>3</v>
      </c>
      <c r="D25" s="2">
        <v>43577</v>
      </c>
      <c r="E25" s="3">
        <v>0.39299768518518502</v>
      </c>
      <c r="F25" s="3">
        <v>0.39646990740740701</v>
      </c>
      <c r="H25" s="4">
        <v>12.78</v>
      </c>
      <c r="K25">
        <v>0.95681875878745004</v>
      </c>
      <c r="L25">
        <v>2.5683017267820499E-5</v>
      </c>
    </row>
    <row r="26" spans="1:12" x14ac:dyDescent="0.2">
      <c r="A26" t="s">
        <v>7</v>
      </c>
      <c r="B26">
        <v>3</v>
      </c>
      <c r="C26" t="s">
        <v>4</v>
      </c>
      <c r="D26" s="2">
        <v>43577</v>
      </c>
      <c r="E26" s="3">
        <v>0.397858796296296</v>
      </c>
      <c r="F26" s="3">
        <v>0.40133101851851899</v>
      </c>
      <c r="G26" s="4">
        <v>25.9</v>
      </c>
      <c r="H26" s="4">
        <v>12.78</v>
      </c>
      <c r="K26">
        <v>-2.2798212731634</v>
      </c>
      <c r="L26">
        <v>1.07096035171758E-4</v>
      </c>
    </row>
    <row r="27" spans="1:12" x14ac:dyDescent="0.2">
      <c r="A27" t="s">
        <v>7</v>
      </c>
      <c r="B27">
        <v>3</v>
      </c>
      <c r="C27" t="s">
        <v>3</v>
      </c>
      <c r="D27" s="2">
        <v>43577</v>
      </c>
      <c r="E27" s="3">
        <v>0.40271990740740699</v>
      </c>
      <c r="F27" s="3">
        <v>0.40619212962963003</v>
      </c>
      <c r="H27" s="4">
        <v>12.78</v>
      </c>
      <c r="K27">
        <v>1.4038614127959499</v>
      </c>
      <c r="L27">
        <v>-6.02668349597601E-6</v>
      </c>
    </row>
    <row r="28" spans="1:12" x14ac:dyDescent="0.2">
      <c r="A28" t="s">
        <v>7</v>
      </c>
      <c r="B28">
        <v>4</v>
      </c>
      <c r="C28" t="s">
        <v>4</v>
      </c>
      <c r="D28" s="2">
        <v>43577</v>
      </c>
      <c r="E28" s="3">
        <v>0.40758101851851802</v>
      </c>
      <c r="F28" s="3">
        <v>0.41105324074074101</v>
      </c>
      <c r="G28" s="4">
        <v>26.1</v>
      </c>
      <c r="H28" s="4">
        <v>12.78</v>
      </c>
      <c r="K28">
        <v>-2.1055129206011398</v>
      </c>
      <c r="L28">
        <v>9.3962573132963207E-6</v>
      </c>
    </row>
    <row r="29" spans="1:12" x14ac:dyDescent="0.2">
      <c r="A29" t="s">
        <v>7</v>
      </c>
      <c r="B29">
        <v>4</v>
      </c>
      <c r="C29" t="s">
        <v>3</v>
      </c>
      <c r="D29" s="2">
        <v>43577</v>
      </c>
      <c r="E29" s="3">
        <v>0.41244212962963001</v>
      </c>
      <c r="F29" s="3">
        <v>0.41591435185185199</v>
      </c>
      <c r="H29" s="4">
        <v>12.78</v>
      </c>
      <c r="K29">
        <v>1.08516614012045</v>
      </c>
      <c r="L29">
        <v>-2.0521658912953898E-5</v>
      </c>
    </row>
    <row r="30" spans="1:12" x14ac:dyDescent="0.2">
      <c r="A30" t="s">
        <v>7</v>
      </c>
      <c r="B30">
        <v>5</v>
      </c>
      <c r="C30" t="s">
        <v>4</v>
      </c>
      <c r="D30" s="2">
        <v>43577</v>
      </c>
      <c r="E30" s="3">
        <v>0.41730324074074099</v>
      </c>
      <c r="F30" s="3">
        <v>0.42077546296296298</v>
      </c>
      <c r="G30" s="4">
        <v>24.3</v>
      </c>
      <c r="H30" s="4">
        <v>17.22</v>
      </c>
      <c r="K30">
        <v>-2.9346156634156202</v>
      </c>
      <c r="L30">
        <v>2.25416236937704E-5</v>
      </c>
    </row>
    <row r="31" spans="1:12" x14ac:dyDescent="0.2">
      <c r="A31" t="s">
        <v>7</v>
      </c>
      <c r="B31">
        <v>5</v>
      </c>
      <c r="C31" t="s">
        <v>3</v>
      </c>
      <c r="D31" s="2">
        <v>43577</v>
      </c>
      <c r="E31" s="3">
        <v>0.42216435185185203</v>
      </c>
      <c r="F31" s="3">
        <v>0.42563657407407401</v>
      </c>
      <c r="H31" s="4">
        <v>17.22</v>
      </c>
      <c r="K31">
        <v>1.17885077094974</v>
      </c>
      <c r="L31">
        <v>-2.34969642098133E-5</v>
      </c>
    </row>
    <row r="32" spans="1:12" x14ac:dyDescent="0.2">
      <c r="A32" t="s">
        <v>7</v>
      </c>
      <c r="B32">
        <v>1</v>
      </c>
      <c r="C32" t="s">
        <v>4</v>
      </c>
      <c r="D32" s="2">
        <v>43577</v>
      </c>
      <c r="E32" s="3">
        <v>0.51458333333333328</v>
      </c>
      <c r="F32" s="3">
        <v>0.5180555555555556</v>
      </c>
      <c r="G32" s="4">
        <v>22.8</v>
      </c>
      <c r="H32" s="4">
        <v>17.22</v>
      </c>
      <c r="K32">
        <v>-2.2580428761990698</v>
      </c>
      <c r="L32">
        <v>-2.0571450561710099E-4</v>
      </c>
    </row>
    <row r="33" spans="1:12" x14ac:dyDescent="0.2">
      <c r="A33" t="s">
        <v>7</v>
      </c>
      <c r="B33">
        <v>1</v>
      </c>
      <c r="C33" t="s">
        <v>3</v>
      </c>
      <c r="D33" s="2">
        <v>43577</v>
      </c>
      <c r="E33" s="3">
        <v>0.51944444444444449</v>
      </c>
      <c r="F33" s="3">
        <v>0.5229166666666667</v>
      </c>
      <c r="H33" s="4">
        <v>17.22</v>
      </c>
      <c r="K33">
        <v>3.0289820854529901</v>
      </c>
      <c r="L33">
        <v>1.6198896209047801E-4</v>
      </c>
    </row>
    <row r="34" spans="1:12" x14ac:dyDescent="0.2">
      <c r="A34" t="s">
        <v>7</v>
      </c>
      <c r="B34">
        <v>2</v>
      </c>
      <c r="C34" t="s">
        <v>4</v>
      </c>
      <c r="D34" s="2">
        <v>43577</v>
      </c>
      <c r="E34" s="3">
        <v>0.52430555555555602</v>
      </c>
      <c r="F34" s="3">
        <v>0.52777777777777801</v>
      </c>
      <c r="G34" s="4">
        <v>24.7</v>
      </c>
      <c r="H34" s="4">
        <v>17.22</v>
      </c>
      <c r="K34">
        <v>-4.1894801313537497E-2</v>
      </c>
      <c r="L34">
        <v>4.2422614945768699E-5</v>
      </c>
    </row>
    <row r="35" spans="1:12" x14ac:dyDescent="0.2">
      <c r="A35" t="s">
        <v>7</v>
      </c>
      <c r="B35">
        <v>2</v>
      </c>
      <c r="C35" t="s">
        <v>3</v>
      </c>
      <c r="D35" s="2">
        <v>43577</v>
      </c>
      <c r="E35" s="3">
        <v>0.52916666666666701</v>
      </c>
      <c r="F35" s="3">
        <v>0.53263888888888899</v>
      </c>
      <c r="H35" s="4">
        <v>17.22</v>
      </c>
      <c r="K35">
        <v>1.7602546497512199</v>
      </c>
      <c r="L35">
        <v>6.0910565163501899E-5</v>
      </c>
    </row>
    <row r="36" spans="1:12" x14ac:dyDescent="0.2">
      <c r="A36" t="s">
        <v>7</v>
      </c>
      <c r="B36">
        <v>3</v>
      </c>
      <c r="C36" t="s">
        <v>4</v>
      </c>
      <c r="D36" s="2">
        <v>43577</v>
      </c>
      <c r="E36" s="3">
        <v>0.53402777777777799</v>
      </c>
      <c r="F36" s="3">
        <v>0.53749999999999998</v>
      </c>
      <c r="G36" s="4">
        <v>25.3</v>
      </c>
      <c r="H36" s="4">
        <v>17.22</v>
      </c>
      <c r="K36">
        <v>-2.36800209007923</v>
      </c>
      <c r="L36">
        <v>4.2319558850375399E-5</v>
      </c>
    </row>
    <row r="37" spans="1:12" x14ac:dyDescent="0.2">
      <c r="A37" t="s">
        <v>7</v>
      </c>
      <c r="B37">
        <v>3</v>
      </c>
      <c r="C37" t="s">
        <v>3</v>
      </c>
      <c r="D37" s="2">
        <v>43577</v>
      </c>
      <c r="E37" s="3">
        <v>0.53888888888888897</v>
      </c>
      <c r="F37" s="3">
        <v>0.54236111111111096</v>
      </c>
      <c r="H37" s="4">
        <v>17.22</v>
      </c>
      <c r="K37">
        <v>2.0645607548880198</v>
      </c>
      <c r="L37">
        <v>1.0159163842551999E-4</v>
      </c>
    </row>
    <row r="38" spans="1:12" x14ac:dyDescent="0.2">
      <c r="A38" t="s">
        <v>7</v>
      </c>
      <c r="B38">
        <v>4</v>
      </c>
      <c r="C38" t="s">
        <v>4</v>
      </c>
      <c r="D38" s="2">
        <v>43577</v>
      </c>
      <c r="E38" s="3">
        <v>0.54375000000000095</v>
      </c>
      <c r="F38" s="3">
        <v>0.54722222222222205</v>
      </c>
      <c r="G38" s="4">
        <v>23.6</v>
      </c>
      <c r="H38" s="4">
        <v>17.22</v>
      </c>
      <c r="K38">
        <v>-3.07276580841005</v>
      </c>
      <c r="L38">
        <v>1.2301516583355999E-4</v>
      </c>
    </row>
    <row r="39" spans="1:12" x14ac:dyDescent="0.2">
      <c r="A39" t="s">
        <v>7</v>
      </c>
      <c r="B39">
        <v>4</v>
      </c>
      <c r="C39" t="s">
        <v>3</v>
      </c>
      <c r="D39" s="2">
        <v>43577</v>
      </c>
      <c r="E39" s="3">
        <v>0.54861111111111205</v>
      </c>
      <c r="F39" s="3">
        <v>0.55208333333333304</v>
      </c>
      <c r="H39" s="4">
        <v>17.22</v>
      </c>
      <c r="K39">
        <v>3.8461633915406099</v>
      </c>
      <c r="L39">
        <v>1.2868313175997499E-4</v>
      </c>
    </row>
    <row r="40" spans="1:12" x14ac:dyDescent="0.2">
      <c r="A40" t="s">
        <v>7</v>
      </c>
      <c r="B40">
        <v>5</v>
      </c>
      <c r="C40" t="s">
        <v>4</v>
      </c>
      <c r="D40" s="2">
        <v>43577</v>
      </c>
      <c r="E40" s="3">
        <v>0.55347222222222303</v>
      </c>
      <c r="F40" s="3">
        <v>0.55694444444444402</v>
      </c>
      <c r="G40" s="4">
        <v>21.9</v>
      </c>
      <c r="H40" s="4">
        <v>17.22</v>
      </c>
      <c r="K40">
        <v>-4.5578639213323404</v>
      </c>
      <c r="L40">
        <v>2.51630614639089E-4</v>
      </c>
    </row>
    <row r="41" spans="1:12" x14ac:dyDescent="0.2">
      <c r="A41" t="s">
        <v>7</v>
      </c>
      <c r="B41">
        <v>5</v>
      </c>
      <c r="C41" t="s">
        <v>3</v>
      </c>
      <c r="D41" s="2">
        <v>43577</v>
      </c>
      <c r="E41" s="3">
        <v>0.55833333333333401</v>
      </c>
      <c r="F41" s="3">
        <v>0.561805555555555</v>
      </c>
      <c r="H41" s="4">
        <v>17.22</v>
      </c>
      <c r="K41">
        <v>2.80775938388149</v>
      </c>
      <c r="L41">
        <v>-1.9318698088206199E-5</v>
      </c>
    </row>
    <row r="42" spans="1:12" x14ac:dyDescent="0.2">
      <c r="A42" t="s">
        <v>7</v>
      </c>
      <c r="B42">
        <v>1</v>
      </c>
      <c r="C42" t="s">
        <v>2</v>
      </c>
      <c r="D42" s="2">
        <v>43585</v>
      </c>
      <c r="E42" s="3">
        <v>0.3991898148148148</v>
      </c>
      <c r="F42" s="3">
        <v>0.40266203703703707</v>
      </c>
      <c r="G42" s="4">
        <v>27.3</v>
      </c>
      <c r="H42" s="4">
        <v>13.89</v>
      </c>
      <c r="K42">
        <v>-0.25168799275855702</v>
      </c>
      <c r="L42">
        <v>-1.32368188639572E-5</v>
      </c>
    </row>
    <row r="43" spans="1:12" x14ac:dyDescent="0.2">
      <c r="A43" t="s">
        <v>7</v>
      </c>
      <c r="B43">
        <v>1</v>
      </c>
      <c r="C43" t="s">
        <v>3</v>
      </c>
      <c r="D43" s="2">
        <v>43585</v>
      </c>
      <c r="E43" s="3">
        <v>0.40405092592592595</v>
      </c>
      <c r="F43" s="3">
        <v>0.40752314814814811</v>
      </c>
      <c r="H43" s="4">
        <v>13.89</v>
      </c>
      <c r="K43">
        <v>0.99232204525301004</v>
      </c>
      <c r="L43">
        <v>-4.8131970310524397E-5</v>
      </c>
    </row>
    <row r="44" spans="1:12" x14ac:dyDescent="0.2">
      <c r="A44" t="s">
        <v>7</v>
      </c>
      <c r="B44">
        <v>2</v>
      </c>
      <c r="C44" t="s">
        <v>2</v>
      </c>
      <c r="D44" s="2">
        <v>43585</v>
      </c>
      <c r="E44" s="3">
        <v>0.40891203703703699</v>
      </c>
      <c r="F44" s="3">
        <v>0.41238425925925898</v>
      </c>
      <c r="G44" s="4">
        <v>27.2</v>
      </c>
      <c r="H44" s="4">
        <v>13.89</v>
      </c>
      <c r="K44">
        <v>7.9455543746220297E-2</v>
      </c>
      <c r="L44">
        <v>-2.55045631639221E-5</v>
      </c>
    </row>
    <row r="45" spans="1:12" x14ac:dyDescent="0.2">
      <c r="A45" t="s">
        <v>7</v>
      </c>
      <c r="B45">
        <v>2</v>
      </c>
      <c r="C45" t="s">
        <v>3</v>
      </c>
      <c r="D45" s="2">
        <v>43585</v>
      </c>
      <c r="E45" s="3">
        <v>0.41377314814814797</v>
      </c>
      <c r="F45" s="3">
        <v>0.41724537037037002</v>
      </c>
      <c r="H45" s="4">
        <v>13.89</v>
      </c>
      <c r="K45">
        <v>1.5562474855869199</v>
      </c>
      <c r="L45">
        <v>-9.4075228449488706E-5</v>
      </c>
    </row>
    <row r="46" spans="1:12" x14ac:dyDescent="0.2">
      <c r="A46" t="s">
        <v>7</v>
      </c>
      <c r="B46">
        <v>3</v>
      </c>
      <c r="C46" t="s">
        <v>2</v>
      </c>
      <c r="D46" s="2">
        <v>43585</v>
      </c>
      <c r="E46" s="3">
        <v>0.41863425925925901</v>
      </c>
      <c r="F46" s="3">
        <v>0.422106481481481</v>
      </c>
      <c r="G46" s="4">
        <v>27.5</v>
      </c>
      <c r="H46" s="4">
        <v>13.89</v>
      </c>
      <c r="K46">
        <v>-0.72119240680867103</v>
      </c>
      <c r="L46">
        <v>1.03495606541357E-5</v>
      </c>
    </row>
    <row r="47" spans="1:12" x14ac:dyDescent="0.2">
      <c r="A47" t="s">
        <v>7</v>
      </c>
      <c r="B47">
        <v>3</v>
      </c>
      <c r="C47" t="s">
        <v>3</v>
      </c>
      <c r="D47" s="2">
        <v>43585</v>
      </c>
      <c r="E47" s="3">
        <v>0.42349537037036999</v>
      </c>
      <c r="F47" s="3">
        <v>0.42696759259259198</v>
      </c>
      <c r="H47" s="4">
        <v>13.89</v>
      </c>
      <c r="K47">
        <v>1.2559619661307799</v>
      </c>
      <c r="L47">
        <v>3.5015195088466997E-5</v>
      </c>
    </row>
    <row r="48" spans="1:12" x14ac:dyDescent="0.2">
      <c r="A48" t="s">
        <v>7</v>
      </c>
      <c r="B48">
        <v>4</v>
      </c>
      <c r="C48" t="s">
        <v>2</v>
      </c>
      <c r="D48" s="2">
        <v>43585</v>
      </c>
      <c r="E48" s="3">
        <v>0.42835648148148198</v>
      </c>
      <c r="F48" s="3">
        <v>0.43182870370370302</v>
      </c>
      <c r="G48" s="4">
        <v>28.9</v>
      </c>
      <c r="H48" s="4">
        <v>13.89</v>
      </c>
      <c r="K48">
        <v>-0.83388297092164798</v>
      </c>
      <c r="L48">
        <v>8.3840378744685798E-5</v>
      </c>
    </row>
    <row r="49" spans="1:12" x14ac:dyDescent="0.2">
      <c r="A49" t="s">
        <v>7</v>
      </c>
      <c r="B49">
        <v>4</v>
      </c>
      <c r="C49" t="s">
        <v>3</v>
      </c>
      <c r="D49" s="2">
        <v>43585</v>
      </c>
      <c r="E49" s="3">
        <v>0.43321759259259301</v>
      </c>
      <c r="F49" s="3">
        <v>0.436689814814814</v>
      </c>
      <c r="H49" s="4">
        <v>13.89</v>
      </c>
      <c r="K49">
        <v>2.1386534839051201</v>
      </c>
      <c r="L49">
        <v>-1.34959190867598E-5</v>
      </c>
    </row>
    <row r="50" spans="1:12" x14ac:dyDescent="0.2">
      <c r="A50" t="s">
        <v>7</v>
      </c>
      <c r="B50">
        <v>5</v>
      </c>
      <c r="C50" t="s">
        <v>2</v>
      </c>
      <c r="D50" s="2">
        <v>43585</v>
      </c>
      <c r="E50" s="3">
        <v>0.438078703703704</v>
      </c>
      <c r="F50" s="3">
        <v>0.44155092592592499</v>
      </c>
      <c r="G50" s="4">
        <v>26.7</v>
      </c>
      <c r="H50" s="4">
        <v>13.89</v>
      </c>
      <c r="K50">
        <v>-2.3051734532971699</v>
      </c>
      <c r="L50">
        <v>-1.8975848173396399E-5</v>
      </c>
    </row>
    <row r="51" spans="1:12" x14ac:dyDescent="0.2">
      <c r="A51" t="s">
        <v>7</v>
      </c>
      <c r="B51">
        <v>5</v>
      </c>
      <c r="C51" t="s">
        <v>3</v>
      </c>
      <c r="D51" s="2">
        <v>43585</v>
      </c>
      <c r="E51" s="3">
        <v>0.44293981481481498</v>
      </c>
      <c r="F51" s="3">
        <v>0.44641203703703602</v>
      </c>
      <c r="H51" s="4">
        <v>13.89</v>
      </c>
      <c r="K51">
        <v>1.26407906254028</v>
      </c>
      <c r="L51">
        <v>-1.469228654013E-5</v>
      </c>
    </row>
    <row r="52" spans="1:12" x14ac:dyDescent="0.2">
      <c r="A52" t="s">
        <v>7</v>
      </c>
      <c r="B52">
        <v>1</v>
      </c>
      <c r="C52" t="s">
        <v>2</v>
      </c>
      <c r="D52" s="2">
        <v>43585</v>
      </c>
      <c r="E52" s="3">
        <v>0.50335648148148149</v>
      </c>
      <c r="F52" s="3">
        <v>0.5068287037037037</v>
      </c>
      <c r="G52" s="4">
        <v>27.3</v>
      </c>
      <c r="H52" s="4">
        <v>11.11</v>
      </c>
      <c r="K52">
        <v>-1.88145426587297</v>
      </c>
      <c r="L52">
        <v>8.7457073698952197E-6</v>
      </c>
    </row>
    <row r="53" spans="1:12" x14ac:dyDescent="0.2">
      <c r="A53" t="s">
        <v>7</v>
      </c>
      <c r="B53">
        <v>1</v>
      </c>
      <c r="C53" t="s">
        <v>3</v>
      </c>
      <c r="D53" s="2">
        <v>43585</v>
      </c>
      <c r="E53" s="3">
        <v>0.50821759259259258</v>
      </c>
      <c r="F53" s="3">
        <v>0.51168981481481479</v>
      </c>
      <c r="H53" s="4">
        <v>11.11</v>
      </c>
      <c r="K53">
        <v>1.2164101743155</v>
      </c>
      <c r="L53">
        <v>4.7485862453173802E-5</v>
      </c>
    </row>
    <row r="54" spans="1:12" x14ac:dyDescent="0.2">
      <c r="A54" t="s">
        <v>7</v>
      </c>
      <c r="B54">
        <v>2</v>
      </c>
      <c r="C54" t="s">
        <v>2</v>
      </c>
      <c r="D54" s="2">
        <v>43585</v>
      </c>
      <c r="E54" s="3">
        <v>0.51307870370370401</v>
      </c>
      <c r="F54" s="3">
        <v>0.516550925925926</v>
      </c>
      <c r="G54" s="4">
        <v>29.2</v>
      </c>
      <c r="H54" s="4">
        <v>11.11</v>
      </c>
      <c r="K54">
        <v>8.9167159825846498E-2</v>
      </c>
      <c r="L54">
        <v>2.3888551823239602E-5</v>
      </c>
    </row>
    <row r="55" spans="1:12" x14ac:dyDescent="0.2">
      <c r="A55" t="s">
        <v>7</v>
      </c>
      <c r="B55">
        <v>2</v>
      </c>
      <c r="C55" t="s">
        <v>3</v>
      </c>
      <c r="D55" s="2">
        <v>43585</v>
      </c>
      <c r="E55" s="3">
        <v>0.51793981481481499</v>
      </c>
      <c r="F55" s="3">
        <v>0.52141203703703698</v>
      </c>
      <c r="H55" s="4">
        <v>11.11</v>
      </c>
      <c r="K55">
        <v>1.5450191474572901</v>
      </c>
      <c r="L55">
        <v>-3.5080398395546001E-5</v>
      </c>
    </row>
    <row r="56" spans="1:12" x14ac:dyDescent="0.2">
      <c r="A56" t="s">
        <v>7</v>
      </c>
      <c r="B56">
        <v>3</v>
      </c>
      <c r="C56" t="s">
        <v>2</v>
      </c>
      <c r="D56" s="2">
        <v>43585</v>
      </c>
      <c r="E56" s="3">
        <v>0.52280092592592597</v>
      </c>
      <c r="F56" s="3">
        <v>0.52627314814814796</v>
      </c>
      <c r="G56" s="4">
        <v>26.4</v>
      </c>
      <c r="H56" s="4">
        <v>11.11</v>
      </c>
      <c r="K56">
        <v>-1.12006736930847</v>
      </c>
      <c r="L56">
        <v>-9.2014276157900994E-5</v>
      </c>
    </row>
    <row r="57" spans="1:12" x14ac:dyDescent="0.2">
      <c r="A57" t="s">
        <v>7</v>
      </c>
      <c r="B57">
        <v>3</v>
      </c>
      <c r="C57" t="s">
        <v>3</v>
      </c>
      <c r="D57" s="2">
        <v>43585</v>
      </c>
      <c r="E57" s="3">
        <v>0.52766203703703696</v>
      </c>
      <c r="F57" s="3">
        <v>0.53113425925925895</v>
      </c>
      <c r="H57" s="4">
        <v>11.11</v>
      </c>
      <c r="K57">
        <v>1.0560478412210299</v>
      </c>
      <c r="L57">
        <v>7.6138602628981896E-6</v>
      </c>
    </row>
    <row r="58" spans="1:12" x14ac:dyDescent="0.2">
      <c r="A58" t="s">
        <v>7</v>
      </c>
      <c r="B58">
        <v>4</v>
      </c>
      <c r="C58" t="s">
        <v>2</v>
      </c>
      <c r="D58" s="2">
        <v>43585</v>
      </c>
      <c r="E58" s="3">
        <v>0.53252314814814805</v>
      </c>
      <c r="F58" s="3">
        <v>0.53599537037037004</v>
      </c>
      <c r="G58" s="4">
        <v>26.2</v>
      </c>
      <c r="H58" s="4">
        <v>11.11</v>
      </c>
      <c r="K58">
        <v>-1.4956066640405099</v>
      </c>
      <c r="L58">
        <v>-1.7938744104353499E-5</v>
      </c>
    </row>
    <row r="59" spans="1:12" x14ac:dyDescent="0.2">
      <c r="A59" t="s">
        <v>7</v>
      </c>
      <c r="B59">
        <v>4</v>
      </c>
      <c r="C59" t="s">
        <v>3</v>
      </c>
      <c r="D59" s="2">
        <v>43585</v>
      </c>
      <c r="E59" s="3">
        <v>0.53738425925925903</v>
      </c>
      <c r="F59" s="3">
        <v>0.54085648148148102</v>
      </c>
      <c r="H59" s="4">
        <v>11.11</v>
      </c>
      <c r="K59">
        <v>1.8010213716267101</v>
      </c>
      <c r="L59">
        <v>2.17284970767558E-5</v>
      </c>
    </row>
    <row r="60" spans="1:12" x14ac:dyDescent="0.2">
      <c r="A60" t="s">
        <v>7</v>
      </c>
      <c r="B60">
        <v>5</v>
      </c>
      <c r="C60" t="s">
        <v>2</v>
      </c>
      <c r="D60" s="2">
        <v>43585</v>
      </c>
      <c r="E60" s="3">
        <v>0.54224537037037002</v>
      </c>
      <c r="F60" s="3">
        <v>0.545717592592592</v>
      </c>
      <c r="G60" s="4">
        <v>24.2</v>
      </c>
      <c r="H60" s="4">
        <v>11.11</v>
      </c>
      <c r="K60">
        <v>-4.1631741111588703</v>
      </c>
      <c r="L60">
        <v>-4.8472425756547598E-5</v>
      </c>
    </row>
    <row r="61" spans="1:12" x14ac:dyDescent="0.2">
      <c r="A61" t="s">
        <v>7</v>
      </c>
      <c r="B61">
        <v>5</v>
      </c>
      <c r="C61" t="s">
        <v>3</v>
      </c>
      <c r="D61" s="2">
        <v>43585</v>
      </c>
      <c r="E61" s="3">
        <v>0.547106481481481</v>
      </c>
      <c r="F61" s="3">
        <v>0.55057870370370399</v>
      </c>
      <c r="H61" s="4">
        <v>11.11</v>
      </c>
      <c r="K61">
        <v>1.2326614587901099</v>
      </c>
      <c r="L61">
        <v>-1.24161533085655E-5</v>
      </c>
    </row>
    <row r="62" spans="1:12" x14ac:dyDescent="0.2">
      <c r="A62" t="s">
        <v>7</v>
      </c>
      <c r="B62">
        <v>1</v>
      </c>
      <c r="C62" t="s">
        <v>2</v>
      </c>
      <c r="D62" s="2">
        <v>43601</v>
      </c>
      <c r="E62" s="3">
        <v>0.40747685185185184</v>
      </c>
      <c r="F62" s="3">
        <v>0.41094907407407405</v>
      </c>
      <c r="G62" s="4">
        <v>28.6</v>
      </c>
      <c r="H62" s="4">
        <v>15.56</v>
      </c>
      <c r="K62">
        <v>1.55383505967818</v>
      </c>
      <c r="L62">
        <v>2.1857494198983501E-4</v>
      </c>
    </row>
    <row r="63" spans="1:12" x14ac:dyDescent="0.2">
      <c r="A63" t="s">
        <v>7</v>
      </c>
      <c r="B63">
        <v>1</v>
      </c>
      <c r="C63" t="s">
        <v>3</v>
      </c>
      <c r="D63" s="2">
        <v>43601</v>
      </c>
      <c r="E63" s="3">
        <v>0.41233796296296293</v>
      </c>
      <c r="F63" s="3">
        <v>0.4158101851851852</v>
      </c>
      <c r="H63" s="4">
        <v>15.56</v>
      </c>
      <c r="K63">
        <v>-9.6856554547387307E-3</v>
      </c>
      <c r="L63">
        <v>-5.3671762038535499E-4</v>
      </c>
    </row>
    <row r="64" spans="1:12" x14ac:dyDescent="0.2">
      <c r="A64" t="s">
        <v>7</v>
      </c>
      <c r="B64">
        <v>2</v>
      </c>
      <c r="C64" t="s">
        <v>2</v>
      </c>
      <c r="D64" s="2">
        <v>43601</v>
      </c>
      <c r="E64" s="3">
        <v>0.41719907407407397</v>
      </c>
      <c r="F64" s="3">
        <v>0.42067129629629602</v>
      </c>
      <c r="G64" s="4">
        <v>27.2</v>
      </c>
      <c r="H64" s="4">
        <v>15.56</v>
      </c>
      <c r="K64">
        <v>0.61199815245981104</v>
      </c>
      <c r="L64">
        <v>-2.8724881673281298E-4</v>
      </c>
    </row>
    <row r="65" spans="1:12" x14ac:dyDescent="0.2">
      <c r="A65" t="s">
        <v>7</v>
      </c>
      <c r="B65">
        <v>2</v>
      </c>
      <c r="C65" t="s">
        <v>3</v>
      </c>
      <c r="D65" s="2">
        <v>43601</v>
      </c>
      <c r="E65" s="3">
        <v>0.42206018518518501</v>
      </c>
      <c r="F65" s="3">
        <v>0.425532407407407</v>
      </c>
      <c r="H65" s="4">
        <v>15.56</v>
      </c>
      <c r="K65">
        <v>0.365781899784897</v>
      </c>
      <c r="L65">
        <v>-3.3844828687291402E-4</v>
      </c>
    </row>
    <row r="66" spans="1:12" x14ac:dyDescent="0.2">
      <c r="A66" t="s">
        <v>7</v>
      </c>
      <c r="B66">
        <v>3</v>
      </c>
      <c r="C66" t="s">
        <v>2</v>
      </c>
      <c r="D66" s="2">
        <v>43601</v>
      </c>
      <c r="E66" s="3">
        <v>0.42692129629629599</v>
      </c>
      <c r="F66" s="3">
        <v>0.43039351851851898</v>
      </c>
      <c r="G66" s="4">
        <v>19</v>
      </c>
      <c r="H66" s="4">
        <v>15.56</v>
      </c>
      <c r="K66">
        <v>-4.29490190571351E-2</v>
      </c>
      <c r="L66">
        <v>1.08377615267236E-4</v>
      </c>
    </row>
    <row r="67" spans="1:12" x14ac:dyDescent="0.2">
      <c r="A67" t="s">
        <v>7</v>
      </c>
      <c r="B67">
        <v>3</v>
      </c>
      <c r="C67" t="s">
        <v>3</v>
      </c>
      <c r="D67" s="2">
        <v>43601</v>
      </c>
      <c r="E67" s="3">
        <v>0.43178240740740698</v>
      </c>
      <c r="F67" s="3">
        <v>0.43525462962963002</v>
      </c>
      <c r="H67" s="4">
        <v>15.56</v>
      </c>
      <c r="K67">
        <v>-1.8557337118285101E-2</v>
      </c>
      <c r="L67">
        <v>2.4005379986648999E-4</v>
      </c>
    </row>
    <row r="68" spans="1:12" x14ac:dyDescent="0.2">
      <c r="A68" t="s">
        <v>7</v>
      </c>
      <c r="B68">
        <v>4</v>
      </c>
      <c r="C68" t="s">
        <v>2</v>
      </c>
      <c r="D68" s="2">
        <v>43601</v>
      </c>
      <c r="E68" s="3">
        <v>0.43664351851851801</v>
      </c>
      <c r="F68" s="3">
        <v>0.440115740740741</v>
      </c>
      <c r="G68" s="4">
        <v>28.3</v>
      </c>
      <c r="H68" s="4">
        <v>15.56</v>
      </c>
      <c r="K68">
        <v>0.41744491638744202</v>
      </c>
      <c r="L68">
        <v>-5.4155084697896799E-4</v>
      </c>
    </row>
    <row r="69" spans="1:12" x14ac:dyDescent="0.2">
      <c r="A69" t="s">
        <v>7</v>
      </c>
      <c r="B69">
        <v>4</v>
      </c>
      <c r="C69" t="s">
        <v>3</v>
      </c>
      <c r="D69" s="2">
        <v>43601</v>
      </c>
      <c r="E69" s="3">
        <v>0.44150462962963</v>
      </c>
      <c r="F69" s="3">
        <v>0.44497685185185198</v>
      </c>
      <c r="H69" s="4">
        <v>15.56</v>
      </c>
      <c r="K69">
        <v>-1.6945513174381099</v>
      </c>
      <c r="L69">
        <v>4.3268654103715399E-5</v>
      </c>
    </row>
    <row r="70" spans="1:12" x14ac:dyDescent="0.2">
      <c r="A70" t="s">
        <v>7</v>
      </c>
      <c r="B70">
        <v>5</v>
      </c>
      <c r="C70" t="s">
        <v>2</v>
      </c>
      <c r="D70" s="2">
        <v>43601</v>
      </c>
      <c r="E70" s="3">
        <v>0.44636574074074098</v>
      </c>
      <c r="F70" s="3">
        <v>0.44983796296296302</v>
      </c>
      <c r="G70" s="4">
        <v>31.3</v>
      </c>
      <c r="H70" s="4">
        <v>15.56</v>
      </c>
      <c r="K70">
        <v>-0.55288970187198505</v>
      </c>
      <c r="L70">
        <v>-8.3795798776178305E-5</v>
      </c>
    </row>
    <row r="71" spans="1:12" x14ac:dyDescent="0.2">
      <c r="A71" t="s">
        <v>7</v>
      </c>
      <c r="B71">
        <v>5</v>
      </c>
      <c r="C71" t="s">
        <v>3</v>
      </c>
      <c r="D71" s="2">
        <v>43601</v>
      </c>
      <c r="E71" s="3">
        <v>0.45122685185185202</v>
      </c>
      <c r="F71" s="3">
        <v>0.45469907407407401</v>
      </c>
      <c r="H71" s="4">
        <v>15.56</v>
      </c>
      <c r="K71">
        <v>-1.40354811832834</v>
      </c>
      <c r="L71">
        <v>8.6666678975848198E-6</v>
      </c>
    </row>
    <row r="72" spans="1:12" x14ac:dyDescent="0.2">
      <c r="A72" t="s">
        <v>7</v>
      </c>
      <c r="B72">
        <v>1</v>
      </c>
      <c r="C72" t="s">
        <v>2</v>
      </c>
      <c r="D72" s="2">
        <v>43601</v>
      </c>
      <c r="E72" s="3">
        <v>0.51060185185185192</v>
      </c>
      <c r="F72" s="3">
        <v>0.51407407407407402</v>
      </c>
      <c r="G72" s="4">
        <v>28.3</v>
      </c>
      <c r="H72" s="4">
        <v>16.670000000000002</v>
      </c>
      <c r="K72">
        <v>1.9128857269984501</v>
      </c>
      <c r="L72">
        <v>1.0870529891252599E-4</v>
      </c>
    </row>
    <row r="73" spans="1:12" x14ac:dyDescent="0.2">
      <c r="A73" t="s">
        <v>7</v>
      </c>
      <c r="B73">
        <v>1</v>
      </c>
      <c r="C73" t="s">
        <v>3</v>
      </c>
      <c r="D73" s="2">
        <v>43601</v>
      </c>
      <c r="E73" s="3">
        <v>0.5154629629629629</v>
      </c>
      <c r="F73" s="3">
        <v>0.51893518518518522</v>
      </c>
      <c r="H73" s="4">
        <v>16.670000000000002</v>
      </c>
      <c r="K73">
        <v>1.34342406098565</v>
      </c>
      <c r="L73">
        <v>1.29173555256823E-4</v>
      </c>
    </row>
    <row r="74" spans="1:12" x14ac:dyDescent="0.2">
      <c r="A74" t="s">
        <v>7</v>
      </c>
      <c r="B74">
        <v>2</v>
      </c>
      <c r="C74" t="s">
        <v>2</v>
      </c>
      <c r="D74" s="2">
        <v>43601</v>
      </c>
      <c r="E74" s="3">
        <v>0.52032407407407399</v>
      </c>
      <c r="F74" s="3">
        <v>0.52379629629629598</v>
      </c>
      <c r="G74" s="4">
        <v>26.4</v>
      </c>
      <c r="H74" s="4">
        <v>16.670000000000002</v>
      </c>
      <c r="K74">
        <v>-0.166315628693432</v>
      </c>
      <c r="L74">
        <v>1.29675922484606E-4</v>
      </c>
    </row>
    <row r="75" spans="1:12" x14ac:dyDescent="0.2">
      <c r="A75" t="s">
        <v>7</v>
      </c>
      <c r="B75">
        <v>2</v>
      </c>
      <c r="C75" t="s">
        <v>3</v>
      </c>
      <c r="D75" s="2">
        <v>43601</v>
      </c>
      <c r="E75" s="3">
        <v>0.52518518518518498</v>
      </c>
      <c r="F75" s="3">
        <v>0.52865740740740796</v>
      </c>
      <c r="H75" s="4">
        <v>16.670000000000002</v>
      </c>
      <c r="K75">
        <v>0.63860637235852102</v>
      </c>
      <c r="L75">
        <v>1.31822984772179E-4</v>
      </c>
    </row>
    <row r="76" spans="1:12" x14ac:dyDescent="0.2">
      <c r="A76" t="s">
        <v>7</v>
      </c>
      <c r="B76">
        <v>3</v>
      </c>
      <c r="C76" t="s">
        <v>2</v>
      </c>
      <c r="D76" s="2">
        <v>43601</v>
      </c>
      <c r="E76" s="3">
        <v>0.53004629629629596</v>
      </c>
      <c r="F76" s="3">
        <v>0.53351851851851895</v>
      </c>
      <c r="G76" s="4">
        <v>20.9</v>
      </c>
      <c r="H76" s="4">
        <v>16.670000000000002</v>
      </c>
      <c r="K76">
        <v>-0.47700073774527602</v>
      </c>
      <c r="L76">
        <v>1.3179983052120001E-4</v>
      </c>
    </row>
    <row r="77" spans="1:12" x14ac:dyDescent="0.2">
      <c r="A77" t="s">
        <v>7</v>
      </c>
      <c r="B77">
        <v>3</v>
      </c>
      <c r="C77" t="s">
        <v>3</v>
      </c>
      <c r="D77" s="2">
        <v>43601</v>
      </c>
      <c r="E77" s="3">
        <v>0.53490740740740705</v>
      </c>
      <c r="F77" s="3">
        <v>0.53837962962963004</v>
      </c>
      <c r="H77" s="4">
        <v>16.670000000000002</v>
      </c>
      <c r="K77">
        <v>-0.13570718853015201</v>
      </c>
      <c r="L77">
        <v>1.2436098179114701E-4</v>
      </c>
    </row>
    <row r="78" spans="1:12" x14ac:dyDescent="0.2">
      <c r="A78" t="s">
        <v>7</v>
      </c>
      <c r="B78">
        <v>4</v>
      </c>
      <c r="C78" t="s">
        <v>2</v>
      </c>
      <c r="D78" s="2">
        <v>43601</v>
      </c>
      <c r="E78" s="3">
        <v>0.53976851851851804</v>
      </c>
      <c r="F78" s="3">
        <v>0.54324074074074102</v>
      </c>
      <c r="G78" s="4">
        <v>27.2</v>
      </c>
      <c r="H78" s="4">
        <v>16.670000000000002</v>
      </c>
      <c r="K78">
        <v>-6.2813010763880406E-2</v>
      </c>
      <c r="L78">
        <v>1.4138480205580701E-4</v>
      </c>
    </row>
    <row r="79" spans="1:12" x14ac:dyDescent="0.2">
      <c r="A79" t="s">
        <v>7</v>
      </c>
      <c r="B79">
        <v>4</v>
      </c>
      <c r="C79" t="s">
        <v>3</v>
      </c>
      <c r="D79" s="2">
        <v>43601</v>
      </c>
      <c r="E79" s="3">
        <v>0.54462962962962902</v>
      </c>
      <c r="F79" s="3">
        <v>0.54810185185185201</v>
      </c>
      <c r="H79" s="4">
        <v>16.670000000000002</v>
      </c>
      <c r="K79">
        <v>-0.44834148858794698</v>
      </c>
      <c r="L79">
        <v>1.5410309284617801E-4</v>
      </c>
    </row>
    <row r="80" spans="1:12" x14ac:dyDescent="0.2">
      <c r="A80" t="s">
        <v>7</v>
      </c>
      <c r="B80">
        <v>5</v>
      </c>
      <c r="C80" t="s">
        <v>2</v>
      </c>
      <c r="D80" s="2">
        <v>43601</v>
      </c>
      <c r="E80" s="3">
        <v>0.54949074074074</v>
      </c>
      <c r="F80" s="3">
        <v>0.55296296296296399</v>
      </c>
      <c r="G80" s="4">
        <v>21.5</v>
      </c>
      <c r="H80" s="4">
        <v>16.670000000000002</v>
      </c>
      <c r="K80">
        <v>3.0589991366368099E-2</v>
      </c>
      <c r="L80">
        <v>1.4475517223241899E-4</v>
      </c>
    </row>
    <row r="81" spans="1:12" x14ac:dyDescent="0.2">
      <c r="A81" t="s">
        <v>7</v>
      </c>
      <c r="B81">
        <v>5</v>
      </c>
      <c r="C81" t="s">
        <v>3</v>
      </c>
      <c r="D81" s="2">
        <v>43601</v>
      </c>
      <c r="E81" s="3">
        <v>0.55435185185185099</v>
      </c>
      <c r="F81" s="3">
        <v>0.55782407407407497</v>
      </c>
      <c r="H81" s="4">
        <v>16.670000000000002</v>
      </c>
      <c r="K81">
        <v>-0.13561702198228201</v>
      </c>
      <c r="L81">
        <v>2.1423851420614999E-4</v>
      </c>
    </row>
    <row r="82" spans="1:12" x14ac:dyDescent="0.2">
      <c r="A82" t="s">
        <v>7</v>
      </c>
      <c r="B82">
        <v>1</v>
      </c>
      <c r="C82" t="s">
        <v>2</v>
      </c>
      <c r="D82" s="2">
        <v>43608</v>
      </c>
      <c r="E82" s="3">
        <v>0.38263888888888892</v>
      </c>
      <c r="F82" s="3">
        <v>0.38611111111111113</v>
      </c>
      <c r="G82" s="4">
        <v>18.8</v>
      </c>
      <c r="H82" s="4">
        <v>16.11</v>
      </c>
      <c r="K82">
        <v>1.66716157001968</v>
      </c>
      <c r="L82">
        <v>4.8281927382888502E-4</v>
      </c>
    </row>
    <row r="83" spans="1:12" x14ac:dyDescent="0.2">
      <c r="A83" t="s">
        <v>7</v>
      </c>
      <c r="B83">
        <v>1</v>
      </c>
      <c r="C83" t="s">
        <v>3</v>
      </c>
      <c r="D83" s="2">
        <v>43608</v>
      </c>
      <c r="E83" s="3">
        <v>0.38750000000000001</v>
      </c>
      <c r="F83" s="3">
        <v>0.39097222222222222</v>
      </c>
      <c r="H83" s="4">
        <v>16.11</v>
      </c>
      <c r="K83">
        <v>2.23080948664402</v>
      </c>
      <c r="L83">
        <v>-4.5906818573451902E-6</v>
      </c>
    </row>
    <row r="84" spans="1:12" x14ac:dyDescent="0.2">
      <c r="A84" t="s">
        <v>7</v>
      </c>
      <c r="B84">
        <v>2</v>
      </c>
      <c r="C84" t="s">
        <v>2</v>
      </c>
      <c r="D84" s="2">
        <v>43608</v>
      </c>
      <c r="E84" s="3">
        <v>0.39236111111111099</v>
      </c>
      <c r="F84" s="3">
        <v>0.39583333333333298</v>
      </c>
      <c r="G84" s="4">
        <v>18.600000000000001</v>
      </c>
      <c r="H84" s="4">
        <v>16.11</v>
      </c>
      <c r="K84">
        <v>-0.39364010043717901</v>
      </c>
      <c r="L84">
        <v>-1.0669597279423E-4</v>
      </c>
    </row>
    <row r="85" spans="1:12" x14ac:dyDescent="0.2">
      <c r="A85" t="s">
        <v>7</v>
      </c>
      <c r="B85">
        <v>2</v>
      </c>
      <c r="C85" t="s">
        <v>3</v>
      </c>
      <c r="D85" s="2">
        <v>43608</v>
      </c>
      <c r="E85" s="3">
        <v>0.39722222222222198</v>
      </c>
      <c r="F85" s="3">
        <v>0.40069444444444402</v>
      </c>
      <c r="H85" s="4">
        <v>16.11</v>
      </c>
      <c r="K85">
        <v>2.8819930776397902</v>
      </c>
      <c r="L85">
        <v>-4.5661127963000898E-4</v>
      </c>
    </row>
    <row r="86" spans="1:12" x14ac:dyDescent="0.2">
      <c r="A86" t="s">
        <v>7</v>
      </c>
      <c r="B86">
        <v>3</v>
      </c>
      <c r="C86" t="s">
        <v>2</v>
      </c>
      <c r="D86" s="2">
        <v>43608</v>
      </c>
      <c r="E86" s="3">
        <v>0.40208333333333302</v>
      </c>
      <c r="F86" s="3">
        <v>0.405555555555556</v>
      </c>
      <c r="G86" s="4">
        <v>12.8</v>
      </c>
      <c r="H86" s="4">
        <v>16.11</v>
      </c>
      <c r="K86">
        <v>-3.64689750958008</v>
      </c>
      <c r="L86">
        <v>1.8519958818380999E-4</v>
      </c>
    </row>
    <row r="87" spans="1:12" x14ac:dyDescent="0.2">
      <c r="A87" t="s">
        <v>7</v>
      </c>
      <c r="B87">
        <v>3</v>
      </c>
      <c r="C87" t="s">
        <v>3</v>
      </c>
      <c r="D87" s="2">
        <v>43608</v>
      </c>
      <c r="E87" s="3">
        <v>0.406944444444444</v>
      </c>
      <c r="F87" s="3">
        <v>0.41041666666666698</v>
      </c>
      <c r="H87" s="4">
        <v>16.11</v>
      </c>
      <c r="K87">
        <v>1.3936996941511599</v>
      </c>
      <c r="L87">
        <v>-5.9836618664460702E-4</v>
      </c>
    </row>
    <row r="88" spans="1:12" x14ac:dyDescent="0.2">
      <c r="A88" t="s">
        <v>7</v>
      </c>
      <c r="B88">
        <v>4</v>
      </c>
      <c r="C88" t="s">
        <v>2</v>
      </c>
      <c r="D88" s="2">
        <v>43608</v>
      </c>
      <c r="E88" s="3">
        <v>0.41180555555555598</v>
      </c>
      <c r="F88" s="3">
        <v>0.41527777777777802</v>
      </c>
      <c r="G88" s="4">
        <v>19.100000000000001</v>
      </c>
      <c r="H88" s="4">
        <v>16.11</v>
      </c>
      <c r="K88">
        <v>3.5183431457325001</v>
      </c>
      <c r="L88">
        <v>-9.7967290331316494E-4</v>
      </c>
    </row>
    <row r="89" spans="1:12" x14ac:dyDescent="0.2">
      <c r="A89" t="s">
        <v>7</v>
      </c>
      <c r="B89">
        <v>4</v>
      </c>
      <c r="C89" t="s">
        <v>3</v>
      </c>
      <c r="D89" s="2">
        <v>43608</v>
      </c>
      <c r="E89" s="3">
        <v>0.41666666666666702</v>
      </c>
      <c r="F89" s="3">
        <v>0.42013888888888901</v>
      </c>
      <c r="H89" s="4">
        <v>16.11</v>
      </c>
      <c r="K89">
        <v>2.4645682228471801</v>
      </c>
      <c r="L89">
        <v>-2.6951978701885299E-5</v>
      </c>
    </row>
    <row r="90" spans="1:12" x14ac:dyDescent="0.2">
      <c r="A90" t="s">
        <v>7</v>
      </c>
      <c r="B90">
        <v>5</v>
      </c>
      <c r="C90" t="s">
        <v>2</v>
      </c>
      <c r="D90" s="2">
        <v>43608</v>
      </c>
      <c r="E90" s="3">
        <v>0.421527777777778</v>
      </c>
      <c r="F90" s="3">
        <v>0.42499999999999999</v>
      </c>
      <c r="G90" s="4">
        <v>13.4</v>
      </c>
      <c r="H90" s="4">
        <v>16.11</v>
      </c>
      <c r="K90">
        <v>-0.73823673830057901</v>
      </c>
      <c r="L90">
        <v>4.0796137773568201E-4</v>
      </c>
    </row>
    <row r="91" spans="1:12" x14ac:dyDescent="0.2">
      <c r="A91" t="s">
        <v>7</v>
      </c>
      <c r="B91">
        <v>5</v>
      </c>
      <c r="C91" t="s">
        <v>3</v>
      </c>
      <c r="D91" s="2">
        <v>43608</v>
      </c>
      <c r="E91" s="3">
        <v>0.42638888888888898</v>
      </c>
      <c r="F91" s="3">
        <v>0.42986111111111103</v>
      </c>
      <c r="H91" s="4">
        <v>16.11</v>
      </c>
      <c r="K91">
        <v>-1.5309663372387601</v>
      </c>
      <c r="L91">
        <v>4.4837646926151799E-4</v>
      </c>
    </row>
    <row r="92" spans="1:12" x14ac:dyDescent="0.2">
      <c r="A92" t="s">
        <v>7</v>
      </c>
      <c r="B92">
        <v>1</v>
      </c>
      <c r="C92" t="s">
        <v>2</v>
      </c>
      <c r="D92" s="2">
        <v>43608</v>
      </c>
      <c r="E92" s="3">
        <v>0.55069444444444449</v>
      </c>
      <c r="F92" s="3">
        <v>0.5541666666666667</v>
      </c>
      <c r="G92" s="4">
        <v>18.7</v>
      </c>
      <c r="H92" s="4">
        <v>18.329999999999998</v>
      </c>
      <c r="K92">
        <v>-3.0513031639338002</v>
      </c>
      <c r="L92">
        <v>-1.7365378784746401E-2</v>
      </c>
    </row>
    <row r="93" spans="1:12" x14ac:dyDescent="0.2">
      <c r="A93" t="s">
        <v>7</v>
      </c>
      <c r="B93">
        <v>1</v>
      </c>
      <c r="C93" t="s">
        <v>3</v>
      </c>
      <c r="D93" s="2">
        <v>43608</v>
      </c>
      <c r="E93" s="3">
        <v>0.55555555555555558</v>
      </c>
      <c r="F93" s="3">
        <v>0.55902777777777779</v>
      </c>
      <c r="H93" s="4">
        <v>18.329999999999998</v>
      </c>
      <c r="K93">
        <v>1.36124456760533</v>
      </c>
      <c r="L93">
        <v>4.0920940598121599E-4</v>
      </c>
    </row>
    <row r="94" spans="1:12" x14ac:dyDescent="0.2">
      <c r="A94" t="s">
        <v>7</v>
      </c>
      <c r="B94">
        <v>2</v>
      </c>
      <c r="C94" t="s">
        <v>2</v>
      </c>
      <c r="D94" s="2">
        <v>43608</v>
      </c>
      <c r="E94" s="3">
        <v>0.56041666666666701</v>
      </c>
      <c r="F94" s="3">
        <v>0.56388888888888899</v>
      </c>
      <c r="G94" s="4">
        <v>18.600000000000001</v>
      </c>
      <c r="H94" s="4">
        <v>18.329999999999998</v>
      </c>
      <c r="K94">
        <v>1.7036707836218801</v>
      </c>
      <c r="L94">
        <v>1.9621956040114701E-4</v>
      </c>
    </row>
    <row r="95" spans="1:12" x14ac:dyDescent="0.2">
      <c r="A95" t="s">
        <v>7</v>
      </c>
      <c r="B95">
        <v>2</v>
      </c>
      <c r="C95" t="s">
        <v>3</v>
      </c>
      <c r="D95" s="2">
        <v>43608</v>
      </c>
      <c r="E95" s="3">
        <v>0.56527777777777799</v>
      </c>
      <c r="F95" s="3">
        <v>0.56874999999999998</v>
      </c>
      <c r="H95" s="4">
        <v>18.329999999999998</v>
      </c>
      <c r="K95">
        <v>1.15764899835782</v>
      </c>
      <c r="L95">
        <v>-1.6595973871909801E-5</v>
      </c>
    </row>
    <row r="96" spans="1:12" x14ac:dyDescent="0.2">
      <c r="A96" t="s">
        <v>7</v>
      </c>
      <c r="B96">
        <v>3</v>
      </c>
      <c r="C96" t="s">
        <v>2</v>
      </c>
      <c r="D96" s="2">
        <v>43608</v>
      </c>
      <c r="E96" s="3">
        <v>0.57013888888888897</v>
      </c>
      <c r="F96" s="3">
        <v>0.57361111111111096</v>
      </c>
      <c r="G96" s="4">
        <v>12.5</v>
      </c>
      <c r="H96" s="4">
        <v>18.329999999999998</v>
      </c>
      <c r="K96">
        <v>0.127178199666339</v>
      </c>
      <c r="L96">
        <v>2.8691038381430701E-5</v>
      </c>
    </row>
    <row r="97" spans="1:12" x14ac:dyDescent="0.2">
      <c r="A97" t="s">
        <v>7</v>
      </c>
      <c r="B97">
        <v>3</v>
      </c>
      <c r="C97" t="s">
        <v>3</v>
      </c>
      <c r="D97" s="2">
        <v>43608</v>
      </c>
      <c r="E97" s="3">
        <v>0.57499999999999996</v>
      </c>
      <c r="F97" s="3">
        <v>0.57847222222222205</v>
      </c>
      <c r="H97" s="4">
        <v>18.329999999999998</v>
      </c>
      <c r="K97">
        <v>-0.72612363925951395</v>
      </c>
      <c r="L97">
        <v>-1.43475121417713E-5</v>
      </c>
    </row>
    <row r="98" spans="1:12" x14ac:dyDescent="0.2">
      <c r="A98" t="s">
        <v>7</v>
      </c>
      <c r="B98">
        <v>4</v>
      </c>
      <c r="C98" t="s">
        <v>2</v>
      </c>
      <c r="D98" s="2">
        <v>43608</v>
      </c>
      <c r="E98" s="3">
        <v>0.57986111111111105</v>
      </c>
      <c r="F98" s="3">
        <v>0.58333333333333304</v>
      </c>
      <c r="G98" s="4">
        <v>19</v>
      </c>
      <c r="H98" s="4">
        <v>18.329999999999998</v>
      </c>
      <c r="K98">
        <v>-0.23676556325359999</v>
      </c>
      <c r="L98">
        <v>1.1205630835445801E-6</v>
      </c>
    </row>
    <row r="99" spans="1:12" x14ac:dyDescent="0.2">
      <c r="A99" t="s">
        <v>7</v>
      </c>
      <c r="B99">
        <v>4</v>
      </c>
      <c r="C99" t="s">
        <v>3</v>
      </c>
      <c r="D99" s="2">
        <v>43608</v>
      </c>
      <c r="E99" s="3">
        <v>0.58472222222222203</v>
      </c>
      <c r="F99" s="3">
        <v>0.58819444444444402</v>
      </c>
      <c r="H99" s="4">
        <v>18.329999999999998</v>
      </c>
      <c r="K99">
        <v>1.49804372152131</v>
      </c>
      <c r="L99">
        <v>-2.6676492244358599E-4</v>
      </c>
    </row>
    <row r="100" spans="1:12" x14ac:dyDescent="0.2">
      <c r="A100" t="s">
        <v>7</v>
      </c>
      <c r="B100">
        <v>1</v>
      </c>
      <c r="C100" t="s">
        <v>2</v>
      </c>
      <c r="D100" s="2">
        <v>43614</v>
      </c>
      <c r="E100" s="3">
        <v>0.4201388888888889</v>
      </c>
      <c r="F100" s="3">
        <v>0.4236111111111111</v>
      </c>
      <c r="G100" s="4">
        <v>25.2</v>
      </c>
      <c r="H100" s="4">
        <v>17.22</v>
      </c>
      <c r="K100">
        <v>4.4068148271899199</v>
      </c>
      <c r="L100">
        <v>-0.22641090229215</v>
      </c>
    </row>
    <row r="101" spans="1:12" x14ac:dyDescent="0.2">
      <c r="A101" t="s">
        <v>7</v>
      </c>
      <c r="B101">
        <v>1</v>
      </c>
      <c r="C101" t="s">
        <v>3</v>
      </c>
      <c r="D101" s="2">
        <v>43614</v>
      </c>
      <c r="E101" s="3">
        <v>0.42499999999999999</v>
      </c>
      <c r="F101" s="3">
        <v>0.4284722222222222</v>
      </c>
      <c r="H101" s="4">
        <v>17.22</v>
      </c>
      <c r="K101">
        <v>3.2636361550161301</v>
      </c>
      <c r="L101">
        <v>1.2728237282033799E-3</v>
      </c>
    </row>
    <row r="102" spans="1:12" x14ac:dyDescent="0.2">
      <c r="A102" t="s">
        <v>7</v>
      </c>
      <c r="B102">
        <v>2</v>
      </c>
      <c r="C102" t="s">
        <v>2</v>
      </c>
      <c r="D102" s="2">
        <v>43614</v>
      </c>
      <c r="E102" s="3">
        <v>0.42986111111111103</v>
      </c>
      <c r="F102" s="3">
        <v>0.43333333333333302</v>
      </c>
      <c r="G102" s="4">
        <v>25.3</v>
      </c>
      <c r="H102" s="4">
        <v>17.22</v>
      </c>
      <c r="K102">
        <v>2.2894167775982899</v>
      </c>
      <c r="L102">
        <v>6.4075702758892598E-3</v>
      </c>
    </row>
    <row r="103" spans="1:12" x14ac:dyDescent="0.2">
      <c r="A103" t="s">
        <v>7</v>
      </c>
      <c r="B103">
        <v>2</v>
      </c>
      <c r="C103" t="s">
        <v>3</v>
      </c>
      <c r="D103" s="2">
        <v>43614</v>
      </c>
      <c r="E103" s="3">
        <v>0.43472222222222201</v>
      </c>
      <c r="F103" s="3">
        <v>0.438194444444444</v>
      </c>
      <c r="H103" s="4">
        <v>17.22</v>
      </c>
      <c r="K103">
        <v>3.4042091753033001</v>
      </c>
      <c r="L103">
        <v>1.3936213776738499E-3</v>
      </c>
    </row>
    <row r="104" spans="1:12" x14ac:dyDescent="0.2">
      <c r="A104" t="s">
        <v>7</v>
      </c>
      <c r="B104">
        <v>3</v>
      </c>
      <c r="C104" t="s">
        <v>2</v>
      </c>
      <c r="D104" s="2">
        <v>43614</v>
      </c>
      <c r="E104" s="3">
        <v>0.43958333333333299</v>
      </c>
      <c r="F104" s="3">
        <v>0.44305555555555498</v>
      </c>
      <c r="G104" s="4">
        <v>19.3</v>
      </c>
      <c r="H104" s="4">
        <v>17.22</v>
      </c>
      <c r="K104">
        <v>1.96655829665824</v>
      </c>
      <c r="L104">
        <v>5.7178267781731395E-4</v>
      </c>
    </row>
    <row r="105" spans="1:12" x14ac:dyDescent="0.2">
      <c r="A105" t="s">
        <v>7</v>
      </c>
      <c r="B105">
        <v>3</v>
      </c>
      <c r="C105" t="s">
        <v>3</v>
      </c>
      <c r="D105" s="2">
        <v>43614</v>
      </c>
      <c r="E105" s="3">
        <v>0.44444444444444398</v>
      </c>
      <c r="F105" s="3">
        <v>0.44791666666666702</v>
      </c>
      <c r="H105" s="4">
        <v>17.22</v>
      </c>
      <c r="K105">
        <v>4.9855964000456297</v>
      </c>
      <c r="L105">
        <v>-2.0366289532283598E-2</v>
      </c>
    </row>
    <row r="106" spans="1:12" x14ac:dyDescent="0.2">
      <c r="A106" t="s">
        <v>7</v>
      </c>
      <c r="B106">
        <v>4</v>
      </c>
      <c r="C106" t="s">
        <v>2</v>
      </c>
      <c r="D106" s="2">
        <v>43614</v>
      </c>
      <c r="E106" s="3">
        <v>0.44930555555555601</v>
      </c>
      <c r="F106" s="3">
        <v>0.452777777777778</v>
      </c>
      <c r="G106" s="4">
        <v>24.5</v>
      </c>
      <c r="H106" s="4">
        <v>17.22</v>
      </c>
      <c r="K106">
        <v>1.6510715332105099</v>
      </c>
      <c r="L106">
        <v>-0.22641090229215</v>
      </c>
    </row>
    <row r="107" spans="1:12" x14ac:dyDescent="0.2">
      <c r="A107" t="s">
        <v>7</v>
      </c>
      <c r="B107">
        <v>4</v>
      </c>
      <c r="C107" t="s">
        <v>3</v>
      </c>
      <c r="D107" s="2">
        <v>43614</v>
      </c>
      <c r="E107" s="3">
        <v>0.454166666666667</v>
      </c>
      <c r="F107" s="3">
        <v>0.45763888888888898</v>
      </c>
      <c r="H107" s="4">
        <v>17.22</v>
      </c>
      <c r="K107">
        <v>4.6479170159798899</v>
      </c>
      <c r="L107">
        <v>1.2728237282033799E-3</v>
      </c>
    </row>
    <row r="108" spans="1:12" x14ac:dyDescent="0.2">
      <c r="A108" t="s">
        <v>7</v>
      </c>
      <c r="B108">
        <v>5</v>
      </c>
      <c r="C108" t="s">
        <v>2</v>
      </c>
      <c r="D108" s="2">
        <v>43614</v>
      </c>
      <c r="E108" s="3">
        <v>0.45902777777777798</v>
      </c>
      <c r="F108" s="3">
        <v>0.46250000000000002</v>
      </c>
      <c r="G108" s="4">
        <v>23.2</v>
      </c>
      <c r="H108" s="4">
        <v>17.22</v>
      </c>
      <c r="K108">
        <v>1.8181214222606901</v>
      </c>
      <c r="L108">
        <v>6.4075702758892598E-3</v>
      </c>
    </row>
    <row r="109" spans="1:12" x14ac:dyDescent="0.2">
      <c r="A109" t="s">
        <v>7</v>
      </c>
      <c r="B109">
        <v>5</v>
      </c>
      <c r="C109" t="s">
        <v>3</v>
      </c>
      <c r="D109" s="2">
        <v>43614</v>
      </c>
      <c r="E109" s="3">
        <v>0.46388888888888902</v>
      </c>
      <c r="F109" s="3">
        <v>0.46736111111111101</v>
      </c>
      <c r="H109" s="4">
        <v>17.22</v>
      </c>
      <c r="K109">
        <v>4.1336290293988904</v>
      </c>
      <c r="L109">
        <v>1.3936213776738499E-3</v>
      </c>
    </row>
    <row r="110" spans="1:12" x14ac:dyDescent="0.2">
      <c r="A110" t="s">
        <v>7</v>
      </c>
      <c r="B110">
        <v>1</v>
      </c>
      <c r="C110" t="s">
        <v>2</v>
      </c>
      <c r="D110" s="2">
        <v>43614</v>
      </c>
      <c r="E110" s="3">
        <v>0.5180555555555556</v>
      </c>
      <c r="F110" s="3">
        <v>0.52152777777777781</v>
      </c>
      <c r="G110" s="4">
        <v>22.7</v>
      </c>
      <c r="H110" s="4">
        <v>20.56</v>
      </c>
      <c r="K110">
        <v>8.8282412757044</v>
      </c>
      <c r="L110">
        <v>5.7178267781731395E-4</v>
      </c>
    </row>
    <row r="111" spans="1:12" x14ac:dyDescent="0.2">
      <c r="A111" t="s">
        <v>7</v>
      </c>
      <c r="B111">
        <v>1</v>
      </c>
      <c r="C111" t="s">
        <v>3</v>
      </c>
      <c r="D111" s="2">
        <v>43614</v>
      </c>
      <c r="E111" s="3">
        <v>0.5229166666666667</v>
      </c>
      <c r="F111" s="3">
        <v>0.52638888888888891</v>
      </c>
      <c r="H111" s="4">
        <v>20.56</v>
      </c>
      <c r="K111">
        <v>2.26829167424652</v>
      </c>
      <c r="L111">
        <v>-2.0366289532283598E-2</v>
      </c>
    </row>
    <row r="112" spans="1:12" x14ac:dyDescent="0.2">
      <c r="A112" t="s">
        <v>7</v>
      </c>
      <c r="B112">
        <v>2</v>
      </c>
      <c r="C112" t="s">
        <v>2</v>
      </c>
      <c r="D112" s="2">
        <v>43614</v>
      </c>
      <c r="E112" s="3">
        <v>0.52777777777777801</v>
      </c>
      <c r="F112" s="3">
        <v>0.53125</v>
      </c>
      <c r="G112" s="4">
        <v>24.9</v>
      </c>
      <c r="H112" s="4">
        <v>20.56</v>
      </c>
      <c r="K112">
        <v>3.2789194987383401</v>
      </c>
    </row>
    <row r="113" spans="1:11" x14ac:dyDescent="0.2">
      <c r="A113" t="s">
        <v>7</v>
      </c>
      <c r="B113">
        <v>2</v>
      </c>
      <c r="C113" t="s">
        <v>3</v>
      </c>
      <c r="D113" s="2">
        <v>43614</v>
      </c>
      <c r="E113" s="3">
        <v>0.53263888888888899</v>
      </c>
      <c r="F113" s="3">
        <v>0.53611111111111098</v>
      </c>
      <c r="H113" s="4">
        <v>20.56</v>
      </c>
      <c r="K113">
        <v>5.1322956037055096</v>
      </c>
    </row>
    <row r="114" spans="1:11" x14ac:dyDescent="0.2">
      <c r="A114" t="s">
        <v>7</v>
      </c>
      <c r="B114">
        <v>3</v>
      </c>
      <c r="C114" t="s">
        <v>2</v>
      </c>
      <c r="D114" s="2">
        <v>43614</v>
      </c>
      <c r="E114" s="3">
        <v>0.53749999999999998</v>
      </c>
      <c r="F114" s="3">
        <v>0.54097222222222197</v>
      </c>
      <c r="G114" s="4">
        <v>18.899999999999999</v>
      </c>
      <c r="H114" s="4">
        <v>20.56</v>
      </c>
      <c r="K114">
        <v>2.9207243606479301</v>
      </c>
    </row>
    <row r="115" spans="1:11" x14ac:dyDescent="0.2">
      <c r="A115" t="s">
        <v>7</v>
      </c>
      <c r="B115">
        <v>3</v>
      </c>
      <c r="C115" t="s">
        <v>3</v>
      </c>
      <c r="D115" s="2">
        <v>43614</v>
      </c>
      <c r="E115" s="3">
        <v>0.54236111111111096</v>
      </c>
      <c r="F115" s="3">
        <v>0.54583333333333295</v>
      </c>
      <c r="H115" s="4">
        <v>20.56</v>
      </c>
      <c r="K115">
        <v>5.23400913308872</v>
      </c>
    </row>
    <row r="116" spans="1:11" x14ac:dyDescent="0.2">
      <c r="A116" t="s">
        <v>7</v>
      </c>
      <c r="B116">
        <v>4</v>
      </c>
      <c r="C116" t="s">
        <v>2</v>
      </c>
      <c r="D116" s="2">
        <v>43614</v>
      </c>
      <c r="E116" s="3">
        <v>0.54722222222222205</v>
      </c>
      <c r="F116" s="3">
        <v>0.55069444444444404</v>
      </c>
      <c r="G116" s="4">
        <v>21.9</v>
      </c>
      <c r="H116" s="4">
        <v>20.56</v>
      </c>
      <c r="K116">
        <v>2.340435826182</v>
      </c>
    </row>
    <row r="117" spans="1:11" x14ac:dyDescent="0.2">
      <c r="A117" t="s">
        <v>7</v>
      </c>
      <c r="B117">
        <v>4</v>
      </c>
      <c r="C117" t="s">
        <v>3</v>
      </c>
      <c r="D117" s="2">
        <v>43614</v>
      </c>
      <c r="E117" s="3">
        <v>0.55208333333333304</v>
      </c>
      <c r="F117" s="3">
        <v>0.55555555555555503</v>
      </c>
      <c r="H117" s="4">
        <v>20.56</v>
      </c>
      <c r="K117">
        <v>5.2139729546745697</v>
      </c>
    </row>
    <row r="118" spans="1:11" x14ac:dyDescent="0.2">
      <c r="A118" t="s">
        <v>7</v>
      </c>
      <c r="B118">
        <v>5</v>
      </c>
      <c r="C118" t="s">
        <v>2</v>
      </c>
      <c r="D118" s="2">
        <v>43614</v>
      </c>
      <c r="E118" s="3">
        <v>0.55694444444444402</v>
      </c>
      <c r="F118" s="3">
        <v>0.56041666666666701</v>
      </c>
      <c r="G118" s="4">
        <v>19.100000000000001</v>
      </c>
      <c r="H118" s="4">
        <v>20.56</v>
      </c>
      <c r="K118">
        <v>2.6260662558063301</v>
      </c>
    </row>
    <row r="119" spans="1:11" x14ac:dyDescent="0.2">
      <c r="A119" t="s">
        <v>7</v>
      </c>
      <c r="B119">
        <v>5</v>
      </c>
      <c r="C119" t="s">
        <v>3</v>
      </c>
      <c r="D119" s="2">
        <v>43614</v>
      </c>
      <c r="E119" s="3">
        <v>0.561805555555555</v>
      </c>
      <c r="F119" s="3">
        <v>0.56527777777777799</v>
      </c>
      <c r="H119" s="4">
        <v>20.56</v>
      </c>
      <c r="K119">
        <v>6.2063747328678396</v>
      </c>
    </row>
    <row r="120" spans="1:11" x14ac:dyDescent="0.2">
      <c r="A120" t="s">
        <v>7</v>
      </c>
      <c r="B120">
        <v>1</v>
      </c>
      <c r="C120" t="s">
        <v>2</v>
      </c>
      <c r="D120" s="2">
        <v>43616</v>
      </c>
      <c r="E120" s="3">
        <v>0.44166666666666665</v>
      </c>
      <c r="F120" s="3">
        <v>0.44513888888888892</v>
      </c>
      <c r="G120" s="4">
        <v>22.2</v>
      </c>
      <c r="H120" s="4">
        <v>23.89</v>
      </c>
      <c r="K120">
        <v>4.1679518729626297</v>
      </c>
    </row>
    <row r="121" spans="1:11" x14ac:dyDescent="0.2">
      <c r="A121" t="s">
        <v>7</v>
      </c>
      <c r="B121">
        <v>1</v>
      </c>
      <c r="C121" t="s">
        <v>3</v>
      </c>
      <c r="D121" s="2">
        <v>43616</v>
      </c>
      <c r="E121" s="3">
        <v>0.4465277777777778</v>
      </c>
      <c r="F121" s="3">
        <v>0.45</v>
      </c>
      <c r="H121" s="4">
        <v>23.89</v>
      </c>
      <c r="K121">
        <v>3.9091726735844698</v>
      </c>
    </row>
    <row r="122" spans="1:11" x14ac:dyDescent="0.2">
      <c r="A122" t="s">
        <v>7</v>
      </c>
      <c r="B122">
        <v>2</v>
      </c>
      <c r="C122" t="s">
        <v>2</v>
      </c>
      <c r="D122" s="2">
        <v>43616</v>
      </c>
      <c r="E122" s="3">
        <v>0.45138888888888901</v>
      </c>
      <c r="F122" s="3">
        <v>0.45486111111111099</v>
      </c>
      <c r="G122" s="4">
        <v>22.4</v>
      </c>
      <c r="H122" s="4">
        <v>23.89</v>
      </c>
      <c r="K122">
        <v>2.6247360405195601</v>
      </c>
    </row>
    <row r="123" spans="1:11" x14ac:dyDescent="0.2">
      <c r="A123" t="s">
        <v>7</v>
      </c>
      <c r="B123">
        <v>2</v>
      </c>
      <c r="C123" t="s">
        <v>3</v>
      </c>
      <c r="D123" s="2">
        <v>43616</v>
      </c>
      <c r="E123" s="3">
        <v>0.45624999999999999</v>
      </c>
      <c r="F123" s="3">
        <v>0.45972222222222198</v>
      </c>
      <c r="H123" s="4">
        <v>23.89</v>
      </c>
      <c r="K123">
        <v>5.4369337506488602</v>
      </c>
    </row>
    <row r="124" spans="1:11" x14ac:dyDescent="0.2">
      <c r="A124" t="s">
        <v>7</v>
      </c>
      <c r="B124">
        <v>3</v>
      </c>
      <c r="C124" t="s">
        <v>2</v>
      </c>
      <c r="D124" s="2">
        <v>43616</v>
      </c>
      <c r="E124" s="3">
        <v>0.46111111111111103</v>
      </c>
      <c r="F124" s="3">
        <v>0.46458333333333302</v>
      </c>
      <c r="G124" s="4">
        <v>15.5</v>
      </c>
      <c r="H124" s="4">
        <v>23.89</v>
      </c>
      <c r="K124">
        <v>1.1143550270410001</v>
      </c>
    </row>
    <row r="125" spans="1:11" x14ac:dyDescent="0.2">
      <c r="A125" t="s">
        <v>7</v>
      </c>
      <c r="B125">
        <v>3</v>
      </c>
      <c r="C125" t="s">
        <v>3</v>
      </c>
      <c r="D125" s="2">
        <v>43616</v>
      </c>
      <c r="E125" s="3">
        <v>0.46597222222222201</v>
      </c>
      <c r="F125" s="3">
        <v>0.469444444444444</v>
      </c>
      <c r="H125" s="4">
        <v>23.89</v>
      </c>
      <c r="K125">
        <v>4.7026425451580103</v>
      </c>
    </row>
    <row r="126" spans="1:11" x14ac:dyDescent="0.2">
      <c r="A126" t="s">
        <v>7</v>
      </c>
      <c r="B126">
        <v>4</v>
      </c>
      <c r="C126" t="s">
        <v>2</v>
      </c>
      <c r="D126" s="2">
        <v>43616</v>
      </c>
      <c r="E126" s="3">
        <v>0.47083333333333399</v>
      </c>
      <c r="F126" s="3">
        <v>0.47430555555555598</v>
      </c>
      <c r="G126" s="4">
        <v>17.3</v>
      </c>
      <c r="H126" s="4">
        <v>23.89</v>
      </c>
      <c r="K126">
        <v>1.8015190607560101</v>
      </c>
    </row>
    <row r="127" spans="1:11" x14ac:dyDescent="0.2">
      <c r="A127" t="s">
        <v>7</v>
      </c>
      <c r="B127">
        <v>4</v>
      </c>
      <c r="C127" t="s">
        <v>3</v>
      </c>
      <c r="D127" s="2">
        <v>43616</v>
      </c>
      <c r="E127" s="3">
        <v>0.47569444444444497</v>
      </c>
      <c r="F127" s="3">
        <v>0.47916666666666702</v>
      </c>
      <c r="H127" s="4">
        <v>23.89</v>
      </c>
      <c r="K127">
        <v>4.3649637962291399</v>
      </c>
    </row>
    <row r="128" spans="1:11" x14ac:dyDescent="0.2">
      <c r="A128" t="s">
        <v>7</v>
      </c>
      <c r="B128">
        <v>5</v>
      </c>
      <c r="C128" t="s">
        <v>2</v>
      </c>
      <c r="D128" s="2">
        <v>43616</v>
      </c>
      <c r="E128" s="3">
        <v>0.48055555555555601</v>
      </c>
      <c r="F128" s="3">
        <v>0.484027777777778</v>
      </c>
      <c r="G128" s="4">
        <v>19.8</v>
      </c>
      <c r="H128" s="4">
        <v>23.89</v>
      </c>
      <c r="K128">
        <v>0.25319053483738502</v>
      </c>
    </row>
    <row r="129" spans="1:12" x14ac:dyDescent="0.2">
      <c r="A129" t="s">
        <v>7</v>
      </c>
      <c r="B129">
        <v>5</v>
      </c>
      <c r="C129" t="s">
        <v>3</v>
      </c>
      <c r="D129" s="2">
        <v>43616</v>
      </c>
      <c r="E129" s="3">
        <v>0.485416666666667</v>
      </c>
      <c r="F129" s="3">
        <v>0.48888888888888898</v>
      </c>
      <c r="H129" s="4">
        <v>23.89</v>
      </c>
      <c r="K129">
        <v>5.1210928281423103</v>
      </c>
    </row>
    <row r="130" spans="1:12" x14ac:dyDescent="0.2">
      <c r="A130" t="s">
        <v>7</v>
      </c>
      <c r="B130">
        <v>1</v>
      </c>
      <c r="C130" t="s">
        <v>2</v>
      </c>
      <c r="D130" s="2">
        <v>43616</v>
      </c>
      <c r="E130" s="3">
        <v>0.52708333333333335</v>
      </c>
      <c r="F130" s="3">
        <v>0.53055555555555556</v>
      </c>
      <c r="G130" s="4">
        <v>20.7</v>
      </c>
      <c r="H130" s="4">
        <v>23.89</v>
      </c>
      <c r="K130">
        <v>2.9492225270061501</v>
      </c>
    </row>
    <row r="131" spans="1:12" x14ac:dyDescent="0.2">
      <c r="A131" t="s">
        <v>7</v>
      </c>
      <c r="B131">
        <v>1</v>
      </c>
      <c r="C131" t="s">
        <v>3</v>
      </c>
      <c r="D131" s="2">
        <v>43616</v>
      </c>
      <c r="E131" s="3">
        <v>0.53194444444444444</v>
      </c>
      <c r="F131" s="3">
        <v>0.53541666666666665</v>
      </c>
      <c r="H131" s="4">
        <v>23.89</v>
      </c>
      <c r="K131">
        <v>4.1359259821188603</v>
      </c>
    </row>
    <row r="132" spans="1:12" x14ac:dyDescent="0.2">
      <c r="A132" t="s">
        <v>7</v>
      </c>
      <c r="B132">
        <v>2</v>
      </c>
      <c r="C132" t="s">
        <v>2</v>
      </c>
      <c r="D132" s="2">
        <v>43616</v>
      </c>
      <c r="E132" s="3">
        <v>0.53680555555555598</v>
      </c>
      <c r="F132" s="3">
        <v>0.54027777777777797</v>
      </c>
      <c r="G132" s="4">
        <v>21.8</v>
      </c>
      <c r="H132" s="4">
        <v>23.89</v>
      </c>
      <c r="K132">
        <v>-7.0572755347392699E-2</v>
      </c>
    </row>
    <row r="133" spans="1:12" x14ac:dyDescent="0.2">
      <c r="A133" t="s">
        <v>7</v>
      </c>
      <c r="B133">
        <v>2</v>
      </c>
      <c r="C133" t="s">
        <v>3</v>
      </c>
      <c r="D133" s="2">
        <v>43616</v>
      </c>
      <c r="E133" s="3">
        <v>0.54166666666666696</v>
      </c>
      <c r="F133" s="3">
        <v>0.54513888888888895</v>
      </c>
      <c r="H133" s="4">
        <v>23.89</v>
      </c>
      <c r="K133">
        <v>4.57468465010637</v>
      </c>
    </row>
    <row r="134" spans="1:12" x14ac:dyDescent="0.2">
      <c r="A134" t="s">
        <v>7</v>
      </c>
      <c r="B134">
        <v>3</v>
      </c>
      <c r="C134" t="s">
        <v>2</v>
      </c>
      <c r="D134" s="2">
        <v>43616</v>
      </c>
      <c r="E134" s="3">
        <v>0.54652777777777795</v>
      </c>
      <c r="F134" s="3">
        <v>0.55000000000000004</v>
      </c>
      <c r="G134" s="4">
        <v>15.2</v>
      </c>
      <c r="H134" s="4">
        <v>23.89</v>
      </c>
      <c r="K134">
        <v>0.915489232484336</v>
      </c>
    </row>
    <row r="135" spans="1:12" x14ac:dyDescent="0.2">
      <c r="A135" t="s">
        <v>7</v>
      </c>
      <c r="B135">
        <v>3</v>
      </c>
      <c r="C135" t="s">
        <v>3</v>
      </c>
      <c r="D135" s="2">
        <v>43616</v>
      </c>
      <c r="E135" s="3">
        <v>0.55138888888888904</v>
      </c>
      <c r="F135" s="3">
        <v>0.55486111111111103</v>
      </c>
      <c r="H135" s="4">
        <v>23.89</v>
      </c>
      <c r="K135">
        <v>5.3795036889637204</v>
      </c>
    </row>
    <row r="136" spans="1:12" x14ac:dyDescent="0.2">
      <c r="A136" t="s">
        <v>7</v>
      </c>
      <c r="B136">
        <v>4</v>
      </c>
      <c r="C136" t="s">
        <v>2</v>
      </c>
      <c r="D136" s="2">
        <v>43616</v>
      </c>
      <c r="E136" s="3">
        <v>0.55625000000000002</v>
      </c>
      <c r="F136" s="3">
        <v>0.55972222222222201</v>
      </c>
      <c r="G136" s="4">
        <v>20.3</v>
      </c>
      <c r="H136" s="4">
        <v>23.89</v>
      </c>
      <c r="K136">
        <v>2.5445453960302999</v>
      </c>
    </row>
    <row r="137" spans="1:12" x14ac:dyDescent="0.2">
      <c r="A137" t="s">
        <v>7</v>
      </c>
      <c r="B137">
        <v>4</v>
      </c>
      <c r="C137" t="s">
        <v>3</v>
      </c>
      <c r="D137" s="2">
        <v>43616</v>
      </c>
      <c r="E137" s="3">
        <v>0.56111111111111101</v>
      </c>
      <c r="F137" s="3">
        <v>0.56458333333333299</v>
      </c>
      <c r="H137" s="4">
        <v>23.89</v>
      </c>
      <c r="K137">
        <v>5.2476027046756997</v>
      </c>
    </row>
    <row r="138" spans="1:12" x14ac:dyDescent="0.2">
      <c r="A138" t="s">
        <v>7</v>
      </c>
      <c r="B138">
        <v>5</v>
      </c>
      <c r="C138" t="s">
        <v>2</v>
      </c>
      <c r="D138" s="2">
        <v>43616</v>
      </c>
      <c r="E138" s="3">
        <v>0.56597222222222199</v>
      </c>
      <c r="F138" s="3">
        <v>0.56944444444444398</v>
      </c>
      <c r="G138" s="4">
        <v>18.2</v>
      </c>
      <c r="H138" s="4">
        <v>23.89</v>
      </c>
      <c r="K138">
        <v>1.4574791152971001</v>
      </c>
    </row>
    <row r="139" spans="1:12" x14ac:dyDescent="0.2">
      <c r="A139" t="s">
        <v>7</v>
      </c>
      <c r="B139">
        <v>5</v>
      </c>
      <c r="C139" t="s">
        <v>3</v>
      </c>
      <c r="D139" s="2">
        <v>43616</v>
      </c>
      <c r="E139" s="3">
        <v>0.57083333333333297</v>
      </c>
      <c r="F139" s="3">
        <v>0.57430555555555496</v>
      </c>
      <c r="H139" s="4">
        <v>23.89</v>
      </c>
      <c r="K139">
        <v>4.6942850688833699</v>
      </c>
    </row>
    <row r="140" spans="1:12" x14ac:dyDescent="0.2">
      <c r="A140" t="s">
        <v>7</v>
      </c>
      <c r="B140">
        <v>1</v>
      </c>
      <c r="C140" t="s">
        <v>2</v>
      </c>
      <c r="D140" s="2">
        <v>43626</v>
      </c>
      <c r="E140" s="3">
        <v>0.42638888888888887</v>
      </c>
      <c r="F140" s="3">
        <v>0.42986111111111108</v>
      </c>
      <c r="G140" s="4">
        <v>12.5</v>
      </c>
      <c r="H140" s="4">
        <v>19.440000000000001</v>
      </c>
      <c r="K140">
        <v>-0.48423152522561302</v>
      </c>
      <c r="L140">
        <v>2.6749197371246902E-9</v>
      </c>
    </row>
    <row r="141" spans="1:12" x14ac:dyDescent="0.2">
      <c r="A141" t="s">
        <v>7</v>
      </c>
      <c r="B141">
        <v>1</v>
      </c>
      <c r="C141" t="s">
        <v>3</v>
      </c>
      <c r="D141" s="2">
        <v>43626</v>
      </c>
      <c r="E141" s="3">
        <v>0.43124999999999997</v>
      </c>
      <c r="F141" s="3">
        <v>0.43472222222222223</v>
      </c>
      <c r="H141" s="4">
        <v>19.440000000000001</v>
      </c>
      <c r="K141">
        <v>4.5823814384252</v>
      </c>
      <c r="L141">
        <v>7.8089016296642804E-5</v>
      </c>
    </row>
    <row r="142" spans="1:12" x14ac:dyDescent="0.2">
      <c r="A142" t="s">
        <v>7</v>
      </c>
      <c r="B142">
        <v>2</v>
      </c>
      <c r="C142" t="s">
        <v>2</v>
      </c>
      <c r="D142" s="2">
        <v>43626</v>
      </c>
      <c r="E142" s="3">
        <v>0.43611111111111101</v>
      </c>
      <c r="F142" s="3">
        <v>0.43958333333333299</v>
      </c>
      <c r="G142" s="4">
        <v>15.1</v>
      </c>
      <c r="H142" s="4">
        <v>19.440000000000001</v>
      </c>
      <c r="K142">
        <v>0.77216022538288598</v>
      </c>
      <c r="L142">
        <v>1.84952654347325E-4</v>
      </c>
    </row>
    <row r="143" spans="1:12" x14ac:dyDescent="0.2">
      <c r="A143" t="s">
        <v>7</v>
      </c>
      <c r="B143">
        <v>2</v>
      </c>
      <c r="C143" t="s">
        <v>3</v>
      </c>
      <c r="D143" s="2">
        <v>43626</v>
      </c>
      <c r="E143" s="3">
        <v>0.44097222222222199</v>
      </c>
      <c r="F143" s="3">
        <v>0.44444444444444398</v>
      </c>
      <c r="H143" s="4">
        <v>19.440000000000001</v>
      </c>
      <c r="K143">
        <v>5.4423544515701598</v>
      </c>
      <c r="L143">
        <v>7.5180661039130899E-5</v>
      </c>
    </row>
    <row r="144" spans="1:12" x14ac:dyDescent="0.2">
      <c r="A144" t="s">
        <v>7</v>
      </c>
      <c r="B144">
        <v>3</v>
      </c>
      <c r="C144" t="s">
        <v>2</v>
      </c>
      <c r="D144" s="2">
        <v>43626</v>
      </c>
      <c r="E144" s="3">
        <v>0.44583333333333303</v>
      </c>
      <c r="F144" s="3">
        <v>0.44930555555555601</v>
      </c>
      <c r="G144" s="4">
        <v>10.7</v>
      </c>
      <c r="H144" s="4">
        <v>19.440000000000001</v>
      </c>
      <c r="K144">
        <v>-4.6266810886056202</v>
      </c>
      <c r="L144">
        <v>-2.6830149562057801E-2</v>
      </c>
    </row>
    <row r="145" spans="1:12" x14ac:dyDescent="0.2">
      <c r="A145" t="s">
        <v>7</v>
      </c>
      <c r="B145">
        <v>3</v>
      </c>
      <c r="C145" t="s">
        <v>3</v>
      </c>
      <c r="D145" s="2">
        <v>43626</v>
      </c>
      <c r="E145" s="3">
        <v>0.45069444444444401</v>
      </c>
      <c r="F145" s="3">
        <v>0.454166666666667</v>
      </c>
      <c r="H145" s="4">
        <v>19.440000000000001</v>
      </c>
      <c r="K145">
        <v>39.712895095847699</v>
      </c>
      <c r="L145">
        <v>-5.6887975493803201E-4</v>
      </c>
    </row>
    <row r="146" spans="1:12" x14ac:dyDescent="0.2">
      <c r="A146" t="s">
        <v>7</v>
      </c>
      <c r="B146">
        <v>4</v>
      </c>
      <c r="C146" t="s">
        <v>2</v>
      </c>
      <c r="D146" s="2">
        <v>43626</v>
      </c>
      <c r="E146" s="3">
        <v>0.45555555555555499</v>
      </c>
      <c r="F146" s="3">
        <v>0.45902777777777798</v>
      </c>
      <c r="G146" s="4">
        <v>8.8000000000000007</v>
      </c>
      <c r="H146" s="4">
        <v>19.440000000000001</v>
      </c>
      <c r="K146">
        <v>-1005273.51184839</v>
      </c>
      <c r="L146">
        <v>25.458695926592299</v>
      </c>
    </row>
    <row r="147" spans="1:12" x14ac:dyDescent="0.2">
      <c r="A147" t="s">
        <v>7</v>
      </c>
      <c r="B147">
        <v>4</v>
      </c>
      <c r="C147" t="s">
        <v>3</v>
      </c>
      <c r="D147" s="2">
        <v>43626</v>
      </c>
      <c r="E147" s="3">
        <v>0.46041666666666697</v>
      </c>
      <c r="F147" s="3">
        <v>0.46388888888888902</v>
      </c>
      <c r="H147" s="4">
        <v>19.440000000000001</v>
      </c>
      <c r="K147">
        <v>6.3170713760870703</v>
      </c>
      <c r="L147">
        <v>-5.3834387468287403E-4</v>
      </c>
    </row>
    <row r="148" spans="1:12" x14ac:dyDescent="0.2">
      <c r="A148" t="s">
        <v>7</v>
      </c>
      <c r="B148">
        <v>5</v>
      </c>
      <c r="C148" t="s">
        <v>2</v>
      </c>
      <c r="D148" s="2">
        <v>43626</v>
      </c>
      <c r="E148" s="3">
        <v>0.46527777777777801</v>
      </c>
      <c r="F148" s="3">
        <v>0.46875</v>
      </c>
      <c r="G148" s="4">
        <v>12.2</v>
      </c>
      <c r="H148" s="4">
        <v>19.440000000000001</v>
      </c>
      <c r="K148">
        <v>-0.57026558952419804</v>
      </c>
      <c r="L148">
        <v>-6.8862241586729901E-7</v>
      </c>
    </row>
    <row r="149" spans="1:12" x14ac:dyDescent="0.2">
      <c r="A149" t="s">
        <v>7</v>
      </c>
      <c r="B149">
        <v>5</v>
      </c>
      <c r="C149" t="s">
        <v>3</v>
      </c>
      <c r="D149" s="2">
        <v>43626</v>
      </c>
      <c r="E149" s="3">
        <v>0.47013888888888899</v>
      </c>
      <c r="F149" s="3">
        <v>0.47361111111111098</v>
      </c>
      <c r="H149" s="4">
        <v>19.440000000000001</v>
      </c>
      <c r="K149">
        <v>4.1575106889024598</v>
      </c>
      <c r="L149">
        <v>9.6801232719450403E-2</v>
      </c>
    </row>
    <row r="150" spans="1:12" x14ac:dyDescent="0.2">
      <c r="A150" t="s">
        <v>7</v>
      </c>
      <c r="B150">
        <v>1</v>
      </c>
      <c r="C150" t="s">
        <v>2</v>
      </c>
      <c r="D150" s="2">
        <v>43626</v>
      </c>
      <c r="E150" s="3">
        <v>0.51388888888888895</v>
      </c>
      <c r="F150" s="3">
        <v>0.51736111111111105</v>
      </c>
      <c r="G150" s="4">
        <v>9.6999999999999993</v>
      </c>
      <c r="H150" s="4">
        <v>25.56</v>
      </c>
      <c r="K150">
        <v>9.6545203085757105</v>
      </c>
      <c r="L150">
        <v>-4.9924319999999998E-3</v>
      </c>
    </row>
    <row r="151" spans="1:12" x14ac:dyDescent="0.2">
      <c r="A151" t="s">
        <v>7</v>
      </c>
      <c r="B151">
        <v>1</v>
      </c>
      <c r="C151" t="s">
        <v>3</v>
      </c>
      <c r="D151" s="2">
        <v>43626</v>
      </c>
      <c r="E151" s="3">
        <v>0.51874999999999993</v>
      </c>
      <c r="F151" s="3">
        <v>0.52222222222222225</v>
      </c>
      <c r="H151" s="4">
        <v>25.56</v>
      </c>
      <c r="K151">
        <v>6.03870189673321</v>
      </c>
      <c r="L151">
        <v>-1.1207420000000001E-3</v>
      </c>
    </row>
    <row r="152" spans="1:12" x14ac:dyDescent="0.2">
      <c r="A152" t="s">
        <v>7</v>
      </c>
      <c r="B152">
        <v>2</v>
      </c>
      <c r="C152" t="s">
        <v>2</v>
      </c>
      <c r="D152" s="2">
        <v>43626</v>
      </c>
      <c r="E152" s="3">
        <v>0.52361111111111103</v>
      </c>
      <c r="F152" s="3">
        <v>0.52708333333333302</v>
      </c>
      <c r="G152" s="4">
        <v>16.399999999999999</v>
      </c>
      <c r="H152" s="4">
        <v>25.56</v>
      </c>
      <c r="K152">
        <v>-0.85923911287903099</v>
      </c>
      <c r="L152">
        <v>6.0124261999999998E-2</v>
      </c>
    </row>
    <row r="153" spans="1:12" x14ac:dyDescent="0.2">
      <c r="A153" t="s">
        <v>7</v>
      </c>
      <c r="B153">
        <v>2</v>
      </c>
      <c r="C153" t="s">
        <v>3</v>
      </c>
      <c r="D153" s="2">
        <v>43626</v>
      </c>
      <c r="E153" s="3">
        <v>0.52847222222222201</v>
      </c>
      <c r="F153" s="3">
        <v>0.531944444444445</v>
      </c>
      <c r="H153" s="4">
        <v>25.56</v>
      </c>
      <c r="K153">
        <v>4.8352557659454902</v>
      </c>
      <c r="L153">
        <v>-6.9908337000000001E-2</v>
      </c>
    </row>
    <row r="154" spans="1:12" x14ac:dyDescent="0.2">
      <c r="A154" t="s">
        <v>7</v>
      </c>
      <c r="B154">
        <v>3</v>
      </c>
      <c r="C154" t="s">
        <v>2</v>
      </c>
      <c r="D154" s="2">
        <v>43626</v>
      </c>
      <c r="E154" s="3">
        <v>0.53333333333333299</v>
      </c>
      <c r="F154" s="3">
        <v>0.53680555555555598</v>
      </c>
      <c r="G154" s="4">
        <v>10</v>
      </c>
      <c r="H154" s="4">
        <v>25.56</v>
      </c>
      <c r="K154">
        <v>-2.7558131721896402</v>
      </c>
      <c r="L154">
        <v>-3.501784E-3</v>
      </c>
    </row>
    <row r="155" spans="1:12" x14ac:dyDescent="0.2">
      <c r="A155" t="s">
        <v>7</v>
      </c>
      <c r="B155">
        <v>3</v>
      </c>
      <c r="C155" t="s">
        <v>3</v>
      </c>
      <c r="D155" s="2">
        <v>43626</v>
      </c>
      <c r="E155" s="3">
        <v>0.53819444444444398</v>
      </c>
      <c r="F155" s="3">
        <v>0.54166666666666696</v>
      </c>
      <c r="H155" s="4">
        <v>25.56</v>
      </c>
      <c r="K155">
        <v>5.7842820734035696</v>
      </c>
      <c r="L155">
        <v>-1.0090629999999999E-3</v>
      </c>
    </row>
    <row r="156" spans="1:12" x14ac:dyDescent="0.2">
      <c r="A156" t="s">
        <v>7</v>
      </c>
      <c r="B156">
        <v>4</v>
      </c>
      <c r="C156" t="s">
        <v>2</v>
      </c>
      <c r="D156" s="2">
        <v>43626</v>
      </c>
      <c r="E156" s="3">
        <v>0.54305555555555496</v>
      </c>
      <c r="F156" s="3">
        <v>0.54652777777777795</v>
      </c>
      <c r="G156" s="4">
        <v>9.1</v>
      </c>
      <c r="H156" s="4">
        <v>25.56</v>
      </c>
      <c r="K156">
        <v>0.41382289441777198</v>
      </c>
      <c r="L156">
        <v>8.40528E-4</v>
      </c>
    </row>
    <row r="157" spans="1:12" x14ac:dyDescent="0.2">
      <c r="A157" t="s">
        <v>7</v>
      </c>
      <c r="B157">
        <v>4</v>
      </c>
      <c r="C157" t="s">
        <v>3</v>
      </c>
      <c r="D157" s="2">
        <v>43626</v>
      </c>
      <c r="E157" s="3">
        <v>0.54791666666666605</v>
      </c>
      <c r="F157" s="3">
        <v>0.55138888888888904</v>
      </c>
      <c r="H157" s="4">
        <v>25.56</v>
      </c>
      <c r="K157">
        <v>11.042187794189299</v>
      </c>
      <c r="L157">
        <v>1.6483279999999999E-3</v>
      </c>
    </row>
    <row r="158" spans="1:12" x14ac:dyDescent="0.2">
      <c r="A158" t="s">
        <v>7</v>
      </c>
      <c r="B158">
        <v>5</v>
      </c>
      <c r="C158" t="s">
        <v>2</v>
      </c>
      <c r="D158" s="2">
        <v>43626</v>
      </c>
      <c r="E158" s="3">
        <v>0.55277777777777704</v>
      </c>
      <c r="F158" s="3">
        <v>0.55625000000000102</v>
      </c>
      <c r="G158" s="4">
        <v>12</v>
      </c>
      <c r="H158" s="4">
        <v>25.56</v>
      </c>
      <c r="K158">
        <v>-6.3488371469325902</v>
      </c>
      <c r="L158" s="6">
        <v>-3.9400000000000004E-6</v>
      </c>
    </row>
    <row r="159" spans="1:12" x14ac:dyDescent="0.2">
      <c r="A159" t="s">
        <v>7</v>
      </c>
      <c r="B159">
        <v>5</v>
      </c>
      <c r="C159" t="s">
        <v>3</v>
      </c>
      <c r="D159" s="2">
        <v>43626</v>
      </c>
      <c r="E159" s="3">
        <v>0.55763888888888802</v>
      </c>
      <c r="F159" s="3">
        <v>0.561111111111112</v>
      </c>
      <c r="H159" s="4">
        <v>25.56</v>
      </c>
      <c r="K159">
        <v>9.1508800095392093</v>
      </c>
      <c r="L159">
        <v>-1.3663E-4</v>
      </c>
    </row>
    <row r="160" spans="1:12" x14ac:dyDescent="0.2">
      <c r="A160" t="s">
        <v>7</v>
      </c>
      <c r="B160">
        <v>1</v>
      </c>
      <c r="C160" t="s">
        <v>2</v>
      </c>
      <c r="D160" s="2">
        <v>43636</v>
      </c>
      <c r="E160" s="3">
        <v>0.3923611111111111</v>
      </c>
      <c r="F160" s="3">
        <v>0.39583333333333331</v>
      </c>
      <c r="G160" s="4">
        <v>20.399999999999999</v>
      </c>
      <c r="H160" s="4">
        <v>23.33</v>
      </c>
      <c r="K160">
        <v>2.5318603083752</v>
      </c>
      <c r="L160">
        <v>-2.1016399999999999E-4</v>
      </c>
    </row>
    <row r="161" spans="1:12" x14ac:dyDescent="0.2">
      <c r="A161" t="s">
        <v>7</v>
      </c>
      <c r="B161">
        <v>1</v>
      </c>
      <c r="C161" t="s">
        <v>3</v>
      </c>
      <c r="D161" s="2">
        <v>43636</v>
      </c>
      <c r="E161" s="3">
        <v>0.3972222222222222</v>
      </c>
      <c r="F161" s="3">
        <v>0.40069444444444446</v>
      </c>
      <c r="H161" s="4">
        <v>23.33</v>
      </c>
      <c r="K161">
        <v>5.8943448248151196</v>
      </c>
      <c r="L161" s="6">
        <v>-6.9300000000000004E-5</v>
      </c>
    </row>
    <row r="162" spans="1:12" x14ac:dyDescent="0.2">
      <c r="A162" t="s">
        <v>7</v>
      </c>
      <c r="B162">
        <v>2</v>
      </c>
      <c r="C162" t="s">
        <v>2</v>
      </c>
      <c r="D162" s="2">
        <v>43636</v>
      </c>
      <c r="E162" s="3">
        <v>0.40208333333333302</v>
      </c>
      <c r="F162" s="3">
        <v>0.405555555555556</v>
      </c>
      <c r="G162" s="4">
        <v>18.3</v>
      </c>
      <c r="H162" s="4">
        <v>23.33</v>
      </c>
      <c r="K162">
        <v>1.7378990463416599</v>
      </c>
      <c r="L162">
        <v>-1.8509900000000001E-4</v>
      </c>
    </row>
    <row r="163" spans="1:12" x14ac:dyDescent="0.2">
      <c r="A163" t="s">
        <v>7</v>
      </c>
      <c r="B163">
        <v>2</v>
      </c>
      <c r="C163" t="s">
        <v>3</v>
      </c>
      <c r="D163" s="2">
        <v>43636</v>
      </c>
      <c r="E163" s="3">
        <v>0.406944444444444</v>
      </c>
      <c r="F163" s="3">
        <v>0.41041666666666698</v>
      </c>
      <c r="H163" s="4">
        <v>23.33</v>
      </c>
      <c r="K163">
        <v>6.5530339271338303</v>
      </c>
      <c r="L163">
        <v>-1.8864000000000001E-4</v>
      </c>
    </row>
    <row r="164" spans="1:12" x14ac:dyDescent="0.2">
      <c r="A164" t="s">
        <v>7</v>
      </c>
      <c r="B164">
        <v>3</v>
      </c>
      <c r="C164" t="s">
        <v>2</v>
      </c>
      <c r="D164" s="2">
        <v>43636</v>
      </c>
      <c r="E164" s="3">
        <v>0.41180555555555498</v>
      </c>
      <c r="F164" s="3">
        <v>0.41527777777777802</v>
      </c>
      <c r="G164" s="4">
        <v>15</v>
      </c>
      <c r="H164" s="4">
        <v>23.33</v>
      </c>
      <c r="K164">
        <v>2.29035233266857</v>
      </c>
    </row>
    <row r="165" spans="1:12" x14ac:dyDescent="0.2">
      <c r="A165" t="s">
        <v>7</v>
      </c>
      <c r="B165">
        <v>3</v>
      </c>
      <c r="C165" t="s">
        <v>3</v>
      </c>
      <c r="D165" s="2">
        <v>43636</v>
      </c>
      <c r="E165" s="3">
        <v>0.41666666666666702</v>
      </c>
      <c r="F165" s="3">
        <v>0.42013888888888901</v>
      </c>
      <c r="H165" s="4">
        <v>23.33</v>
      </c>
      <c r="K165">
        <v>6.9561581617733301</v>
      </c>
      <c r="L165">
        <v>-1.82509E-4</v>
      </c>
    </row>
    <row r="166" spans="1:12" x14ac:dyDescent="0.2">
      <c r="A166" t="s">
        <v>7</v>
      </c>
      <c r="B166">
        <v>4</v>
      </c>
      <c r="C166" t="s">
        <v>2</v>
      </c>
      <c r="D166" s="2">
        <v>43636</v>
      </c>
      <c r="E166" s="3">
        <v>0.421527777777778</v>
      </c>
      <c r="F166" s="3">
        <v>0.42499999999999999</v>
      </c>
      <c r="G166" s="4">
        <v>15.7</v>
      </c>
      <c r="H166" s="4">
        <v>23.33</v>
      </c>
      <c r="K166">
        <v>1.94069131481722</v>
      </c>
      <c r="L166">
        <v>-1.13755E-4</v>
      </c>
    </row>
    <row r="167" spans="1:12" x14ac:dyDescent="0.2">
      <c r="A167" t="s">
        <v>7</v>
      </c>
      <c r="B167">
        <v>4</v>
      </c>
      <c r="C167" t="s">
        <v>3</v>
      </c>
      <c r="D167" s="2">
        <v>43636</v>
      </c>
      <c r="E167" s="3">
        <v>0.42638888888888898</v>
      </c>
      <c r="F167" s="3">
        <v>0.42986111111111103</v>
      </c>
      <c r="H167" s="4">
        <v>23.33</v>
      </c>
      <c r="K167">
        <v>7.6622341631819699</v>
      </c>
      <c r="L167">
        <v>-1.00196E-4</v>
      </c>
    </row>
    <row r="168" spans="1:12" x14ac:dyDescent="0.2">
      <c r="A168" t="s">
        <v>7</v>
      </c>
      <c r="B168">
        <v>5</v>
      </c>
      <c r="C168" t="s">
        <v>2</v>
      </c>
      <c r="D168" s="2">
        <v>43636</v>
      </c>
      <c r="E168" s="3">
        <v>0.43125000000000002</v>
      </c>
      <c r="F168" s="3">
        <v>0.43472222222222301</v>
      </c>
      <c r="G168" s="4">
        <v>16.7</v>
      </c>
      <c r="H168" s="4">
        <v>23.33</v>
      </c>
      <c r="K168">
        <v>1.17053340513471</v>
      </c>
      <c r="L168">
        <v>-2.23888E-4</v>
      </c>
    </row>
    <row r="169" spans="1:12" x14ac:dyDescent="0.2">
      <c r="A169" t="s">
        <v>7</v>
      </c>
      <c r="B169">
        <v>5</v>
      </c>
      <c r="C169" t="s">
        <v>3</v>
      </c>
      <c r="D169" s="2">
        <v>43636</v>
      </c>
      <c r="E169" s="3">
        <v>0.43611111111111101</v>
      </c>
      <c r="F169" s="3">
        <v>0.43958333333333399</v>
      </c>
      <c r="H169" s="4">
        <v>23.33</v>
      </c>
      <c r="K169">
        <v>8.4847279471566495</v>
      </c>
      <c r="L169">
        <v>-2.02101E-4</v>
      </c>
    </row>
    <row r="170" spans="1:12" x14ac:dyDescent="0.2">
      <c r="A170" t="s">
        <v>7</v>
      </c>
      <c r="B170">
        <v>1</v>
      </c>
      <c r="C170" t="s">
        <v>2</v>
      </c>
      <c r="D170" s="2">
        <v>43636</v>
      </c>
      <c r="E170" s="3">
        <v>0.5</v>
      </c>
      <c r="F170" s="3">
        <v>0.50347222222222221</v>
      </c>
      <c r="G170" s="4">
        <v>19</v>
      </c>
      <c r="H170" s="4">
        <v>23.33</v>
      </c>
      <c r="K170">
        <v>-2.5047714970011601</v>
      </c>
      <c r="L170">
        <v>-3.7267499999999999E-4</v>
      </c>
    </row>
    <row r="171" spans="1:12" x14ac:dyDescent="0.2">
      <c r="A171" t="s">
        <v>7</v>
      </c>
      <c r="B171">
        <v>1</v>
      </c>
      <c r="C171" t="s">
        <v>3</v>
      </c>
      <c r="D171" s="2">
        <v>43636</v>
      </c>
      <c r="E171" s="3">
        <v>0.50486111111111109</v>
      </c>
      <c r="F171" s="3">
        <v>0.5083333333333333</v>
      </c>
      <c r="H171" s="4">
        <v>23.33</v>
      </c>
      <c r="K171">
        <v>5.62450868564299</v>
      </c>
      <c r="L171">
        <v>-3.10568E-4</v>
      </c>
    </row>
    <row r="172" spans="1:12" x14ac:dyDescent="0.2">
      <c r="A172" t="s">
        <v>7</v>
      </c>
      <c r="B172">
        <v>2</v>
      </c>
      <c r="C172" t="s">
        <v>2</v>
      </c>
      <c r="D172" s="2">
        <v>43636</v>
      </c>
      <c r="E172" s="3">
        <v>0.50972222222222197</v>
      </c>
      <c r="F172" s="3">
        <v>0.51319444444444395</v>
      </c>
      <c r="G172" s="4">
        <v>18.100000000000001</v>
      </c>
      <c r="H172" s="4">
        <v>23.33</v>
      </c>
      <c r="K172">
        <v>-0.85915497345296699</v>
      </c>
    </row>
    <row r="173" spans="1:12" x14ac:dyDescent="0.2">
      <c r="A173" t="s">
        <v>7</v>
      </c>
      <c r="B173">
        <v>2</v>
      </c>
      <c r="C173" t="s">
        <v>3</v>
      </c>
      <c r="D173" s="2">
        <v>43636</v>
      </c>
      <c r="E173" s="3">
        <v>0.51458333333333295</v>
      </c>
      <c r="F173" s="3">
        <v>0.51805555555555505</v>
      </c>
      <c r="H173" s="4">
        <v>23.33</v>
      </c>
      <c r="K173">
        <v>6.0667647903320496</v>
      </c>
    </row>
    <row r="174" spans="1:12" x14ac:dyDescent="0.2">
      <c r="A174" t="s">
        <v>7</v>
      </c>
      <c r="B174">
        <v>3</v>
      </c>
      <c r="C174" t="s">
        <v>2</v>
      </c>
      <c r="D174" s="2">
        <v>43636</v>
      </c>
      <c r="E174" s="3">
        <v>0.51944444444444404</v>
      </c>
      <c r="F174" s="3">
        <v>0.52291666666666703</v>
      </c>
      <c r="G174" s="4">
        <v>14.9</v>
      </c>
      <c r="H174" s="4">
        <v>23.33</v>
      </c>
      <c r="K174">
        <v>3.96397234284444</v>
      </c>
    </row>
    <row r="175" spans="1:12" x14ac:dyDescent="0.2">
      <c r="A175" t="s">
        <v>7</v>
      </c>
      <c r="B175">
        <v>3</v>
      </c>
      <c r="C175" t="s">
        <v>3</v>
      </c>
      <c r="D175" s="2">
        <v>43636</v>
      </c>
      <c r="E175" s="3">
        <v>0.52430555555555503</v>
      </c>
      <c r="F175" s="3">
        <v>0.52777777777777801</v>
      </c>
      <c r="H175" s="4">
        <v>23.33</v>
      </c>
      <c r="K175">
        <v>-19.0210201027739</v>
      </c>
    </row>
    <row r="176" spans="1:12" x14ac:dyDescent="0.2">
      <c r="A176" t="s">
        <v>7</v>
      </c>
      <c r="B176">
        <v>4</v>
      </c>
      <c r="C176" t="s">
        <v>2</v>
      </c>
      <c r="D176" s="2">
        <v>43636</v>
      </c>
      <c r="E176" s="3">
        <v>0.52916666666666701</v>
      </c>
      <c r="F176" s="3">
        <v>0.53263888888888899</v>
      </c>
      <c r="G176" s="4">
        <v>16.2</v>
      </c>
      <c r="H176" s="4">
        <v>23.33</v>
      </c>
      <c r="K176">
        <v>1.01821060715204</v>
      </c>
    </row>
    <row r="177" spans="1:12" x14ac:dyDescent="0.2">
      <c r="A177" t="s">
        <v>7</v>
      </c>
      <c r="B177">
        <v>4</v>
      </c>
      <c r="C177" t="s">
        <v>3</v>
      </c>
      <c r="D177" s="2">
        <v>43636</v>
      </c>
      <c r="E177" s="3">
        <v>0.53402777777777799</v>
      </c>
      <c r="F177" s="3">
        <v>0.53749999999999998</v>
      </c>
      <c r="H177" s="4">
        <v>23.33</v>
      </c>
      <c r="K177">
        <v>6.1455165094153497</v>
      </c>
    </row>
    <row r="178" spans="1:12" x14ac:dyDescent="0.2">
      <c r="A178" t="s">
        <v>7</v>
      </c>
      <c r="B178">
        <v>5</v>
      </c>
      <c r="C178" t="s">
        <v>2</v>
      </c>
      <c r="D178" s="2">
        <v>43636</v>
      </c>
      <c r="E178" s="3">
        <v>0.53888888888888897</v>
      </c>
      <c r="F178" s="3">
        <v>0.54236111111111096</v>
      </c>
      <c r="G178" s="4">
        <v>15.6</v>
      </c>
      <c r="H178" s="4">
        <v>23.33</v>
      </c>
      <c r="K178">
        <v>-9.4830276917349003</v>
      </c>
    </row>
    <row r="179" spans="1:12" x14ac:dyDescent="0.2">
      <c r="A179" t="s">
        <v>7</v>
      </c>
      <c r="B179">
        <v>5</v>
      </c>
      <c r="C179" t="s">
        <v>3</v>
      </c>
      <c r="D179" s="2">
        <v>43636</v>
      </c>
      <c r="E179" s="3">
        <v>0.54374999999999996</v>
      </c>
      <c r="F179" s="3">
        <v>0.54722222222222205</v>
      </c>
      <c r="H179" s="4">
        <v>23.33</v>
      </c>
      <c r="K179">
        <v>7.9094848303388696</v>
      </c>
    </row>
    <row r="180" spans="1:12" x14ac:dyDescent="0.2">
      <c r="A180" t="s">
        <v>7</v>
      </c>
      <c r="B180">
        <v>1</v>
      </c>
      <c r="C180" t="s">
        <v>2</v>
      </c>
      <c r="D180" s="2">
        <v>43642</v>
      </c>
      <c r="E180" s="3">
        <v>0.36805555555555558</v>
      </c>
      <c r="F180" s="3">
        <v>0.37152777777777773</v>
      </c>
      <c r="G180" s="4">
        <v>20.3</v>
      </c>
      <c r="H180" s="4">
        <v>22.78</v>
      </c>
      <c r="K180">
        <v>-9.2992874510043393</v>
      </c>
      <c r="L180">
        <v>9.897599999999999E-4</v>
      </c>
    </row>
    <row r="181" spans="1:12" x14ac:dyDescent="0.2">
      <c r="A181" t="s">
        <v>7</v>
      </c>
      <c r="B181">
        <v>1</v>
      </c>
      <c r="C181" t="s">
        <v>3</v>
      </c>
      <c r="D181" s="2">
        <v>43642</v>
      </c>
      <c r="E181" s="3">
        <v>0.37291666666666662</v>
      </c>
      <c r="F181" s="3">
        <v>0.37638888888888888</v>
      </c>
      <c r="H181" s="4">
        <v>22.78</v>
      </c>
      <c r="K181">
        <v>5.84102105459041</v>
      </c>
      <c r="L181">
        <v>1.380661E-3</v>
      </c>
    </row>
    <row r="182" spans="1:12" x14ac:dyDescent="0.2">
      <c r="A182" t="s">
        <v>7</v>
      </c>
      <c r="B182">
        <v>2</v>
      </c>
      <c r="C182" t="s">
        <v>2</v>
      </c>
      <c r="D182" s="2">
        <v>43642</v>
      </c>
      <c r="E182" s="3">
        <v>0.37777777777777799</v>
      </c>
      <c r="F182" s="3">
        <v>0.38124999999999998</v>
      </c>
      <c r="G182" s="4">
        <v>21.9</v>
      </c>
      <c r="H182" s="4">
        <v>22.78</v>
      </c>
      <c r="K182">
        <v>-11.137909330634701</v>
      </c>
      <c r="L182">
        <v>-2.5330600000000002E-4</v>
      </c>
    </row>
    <row r="183" spans="1:12" x14ac:dyDescent="0.2">
      <c r="A183" t="s">
        <v>7</v>
      </c>
      <c r="B183">
        <v>2</v>
      </c>
      <c r="C183" t="s">
        <v>3</v>
      </c>
      <c r="D183" s="2">
        <v>43642</v>
      </c>
      <c r="E183" s="3">
        <v>0.38263888888888897</v>
      </c>
      <c r="F183" s="3">
        <v>0.38611111111111102</v>
      </c>
      <c r="H183" s="4">
        <v>22.78</v>
      </c>
      <c r="K183">
        <v>6.2390651353250899</v>
      </c>
      <c r="L183">
        <v>6.5463200000000004E-4</v>
      </c>
    </row>
    <row r="184" spans="1:12" x14ac:dyDescent="0.2">
      <c r="A184" t="s">
        <v>7</v>
      </c>
      <c r="B184">
        <v>3</v>
      </c>
      <c r="C184" t="s">
        <v>2</v>
      </c>
      <c r="D184" s="2">
        <v>43642</v>
      </c>
      <c r="E184" s="3">
        <v>0.38750000000000001</v>
      </c>
      <c r="F184" s="3">
        <v>0.390972222222222</v>
      </c>
      <c r="G184" s="4">
        <v>17.3</v>
      </c>
      <c r="H184" s="4">
        <v>22.78</v>
      </c>
      <c r="K184">
        <v>-11.4501998697845</v>
      </c>
      <c r="L184">
        <v>3.70947E-4</v>
      </c>
    </row>
    <row r="185" spans="1:12" x14ac:dyDescent="0.2">
      <c r="A185" t="s">
        <v>7</v>
      </c>
      <c r="B185">
        <v>3</v>
      </c>
      <c r="C185" t="s">
        <v>3</v>
      </c>
      <c r="D185" s="2">
        <v>43642</v>
      </c>
      <c r="E185" s="3">
        <v>0.39236111111111099</v>
      </c>
      <c r="F185" s="3">
        <v>0.39583333333333298</v>
      </c>
      <c r="H185" s="4">
        <v>22.78</v>
      </c>
      <c r="K185">
        <v>7.6242065779379899</v>
      </c>
      <c r="L185">
        <v>5.5852099999999997E-4</v>
      </c>
    </row>
    <row r="186" spans="1:12" x14ac:dyDescent="0.2">
      <c r="A186" t="s">
        <v>7</v>
      </c>
      <c r="B186">
        <v>4</v>
      </c>
      <c r="C186" t="s">
        <v>2</v>
      </c>
      <c r="D186" s="2">
        <v>43642</v>
      </c>
      <c r="E186" s="3">
        <v>0.39722222222222198</v>
      </c>
      <c r="F186" s="3">
        <v>0.40069444444444502</v>
      </c>
      <c r="G186" s="4">
        <v>19.2</v>
      </c>
      <c r="H186" s="4">
        <v>22.78</v>
      </c>
      <c r="K186">
        <v>-13.578549663075</v>
      </c>
      <c r="L186">
        <v>2.5589480000000001E-3</v>
      </c>
    </row>
    <row r="187" spans="1:12" x14ac:dyDescent="0.2">
      <c r="A187" t="s">
        <v>7</v>
      </c>
      <c r="B187">
        <v>4</v>
      </c>
      <c r="C187" t="s">
        <v>3</v>
      </c>
      <c r="D187" s="2">
        <v>43642</v>
      </c>
      <c r="E187" s="3">
        <v>0.40208333333333302</v>
      </c>
      <c r="F187" s="3">
        <v>0.405555555555556</v>
      </c>
      <c r="H187" s="4">
        <v>22.78</v>
      </c>
      <c r="K187">
        <v>7.7430763540328504</v>
      </c>
      <c r="L187">
        <v>2.2197160000000001E-3</v>
      </c>
    </row>
    <row r="188" spans="1:12" x14ac:dyDescent="0.2">
      <c r="A188" t="s">
        <v>7</v>
      </c>
      <c r="B188">
        <v>5</v>
      </c>
      <c r="C188" t="s">
        <v>2</v>
      </c>
      <c r="D188" s="2">
        <v>43642</v>
      </c>
      <c r="E188" s="3">
        <v>0.406944444444444</v>
      </c>
      <c r="F188" s="3">
        <v>0.41041666666666698</v>
      </c>
      <c r="G188" s="4">
        <v>19.100000000000001</v>
      </c>
      <c r="H188" s="4">
        <v>22.78</v>
      </c>
      <c r="K188">
        <v>-15.933548321061201</v>
      </c>
      <c r="L188" s="6">
        <v>9.4699999999999998E-5</v>
      </c>
    </row>
    <row r="189" spans="1:12" x14ac:dyDescent="0.2">
      <c r="A189" t="s">
        <v>7</v>
      </c>
      <c r="B189">
        <v>5</v>
      </c>
      <c r="C189" t="s">
        <v>3</v>
      </c>
      <c r="D189" s="2">
        <v>43642</v>
      </c>
      <c r="E189" s="3">
        <v>0.41180555555555498</v>
      </c>
      <c r="F189" s="3">
        <v>0.41527777777777802</v>
      </c>
      <c r="H189" s="4">
        <v>22.78</v>
      </c>
      <c r="K189">
        <v>9.9460028574524006</v>
      </c>
      <c r="L189">
        <v>1.5749469999999999E-3</v>
      </c>
    </row>
    <row r="190" spans="1:12" x14ac:dyDescent="0.2">
      <c r="A190" t="s">
        <v>7</v>
      </c>
      <c r="B190">
        <v>1</v>
      </c>
      <c r="C190" t="s">
        <v>2</v>
      </c>
      <c r="D190" s="2">
        <v>43642</v>
      </c>
      <c r="E190" s="3">
        <v>0.5131944444444444</v>
      </c>
      <c r="F190" s="3">
        <v>0.51666666666666672</v>
      </c>
      <c r="G190" s="4">
        <v>23.3</v>
      </c>
      <c r="H190" s="4">
        <v>26.67</v>
      </c>
      <c r="K190">
        <v>-7.1241130289655397</v>
      </c>
      <c r="L190">
        <v>7.6840063694693398E-3</v>
      </c>
    </row>
    <row r="191" spans="1:12" x14ac:dyDescent="0.2">
      <c r="A191" t="s">
        <v>7</v>
      </c>
      <c r="B191">
        <v>1</v>
      </c>
      <c r="C191" t="s">
        <v>3</v>
      </c>
      <c r="D191" s="2">
        <v>43642</v>
      </c>
      <c r="E191" s="3">
        <v>0.5180555555555556</v>
      </c>
      <c r="F191" s="3">
        <v>0.52152777777777781</v>
      </c>
      <c r="H191" s="4">
        <v>26.67</v>
      </c>
      <c r="K191">
        <v>7.3448608467846999</v>
      </c>
      <c r="L191">
        <v>2.45771807681753E-3</v>
      </c>
    </row>
    <row r="192" spans="1:12" x14ac:dyDescent="0.2">
      <c r="A192" t="s">
        <v>7</v>
      </c>
      <c r="B192">
        <v>2</v>
      </c>
      <c r="C192" t="s">
        <v>2</v>
      </c>
      <c r="D192" s="2">
        <v>43642</v>
      </c>
      <c r="E192" s="3">
        <v>0.52291666666666703</v>
      </c>
      <c r="F192" s="3">
        <v>0.52638888888888902</v>
      </c>
      <c r="G192" s="4">
        <v>24</v>
      </c>
      <c r="H192" s="4">
        <v>26.67</v>
      </c>
      <c r="K192">
        <v>-7.0809617912503597</v>
      </c>
      <c r="L192">
        <v>-1.4013725756149499E-3</v>
      </c>
    </row>
    <row r="193" spans="1:12" x14ac:dyDescent="0.2">
      <c r="A193" t="s">
        <v>7</v>
      </c>
      <c r="B193">
        <v>2</v>
      </c>
      <c r="C193" t="s">
        <v>3</v>
      </c>
      <c r="D193" s="2">
        <v>43642</v>
      </c>
      <c r="E193" s="3">
        <v>0.52777777777777801</v>
      </c>
      <c r="F193" s="3">
        <v>0.53125</v>
      </c>
      <c r="H193" s="4">
        <v>26.67</v>
      </c>
      <c r="K193">
        <v>7.4880859939774602</v>
      </c>
      <c r="L193">
        <v>1.73946831213184E-3</v>
      </c>
    </row>
    <row r="194" spans="1:12" x14ac:dyDescent="0.2">
      <c r="A194" t="s">
        <v>7</v>
      </c>
      <c r="B194">
        <v>3</v>
      </c>
      <c r="C194" t="s">
        <v>2</v>
      </c>
      <c r="D194" s="2">
        <v>43642</v>
      </c>
      <c r="E194" s="3">
        <v>0.53263888888888899</v>
      </c>
      <c r="F194" s="3">
        <v>0.53611111111111098</v>
      </c>
      <c r="G194" s="4">
        <v>19.5</v>
      </c>
      <c r="H194" s="4">
        <v>26.67</v>
      </c>
      <c r="K194">
        <v>-5.7843818196303296</v>
      </c>
      <c r="L194">
        <v>2.29742779760917E-3</v>
      </c>
    </row>
    <row r="195" spans="1:12" x14ac:dyDescent="0.2">
      <c r="A195" t="s">
        <v>7</v>
      </c>
      <c r="B195">
        <v>3</v>
      </c>
      <c r="C195" t="s">
        <v>3</v>
      </c>
      <c r="D195" s="2">
        <v>43642</v>
      </c>
      <c r="E195" s="3">
        <v>0.53749999999999998</v>
      </c>
      <c r="F195" s="3">
        <v>0.54097222222222197</v>
      </c>
      <c r="H195" s="4">
        <v>26.67</v>
      </c>
      <c r="K195">
        <v>5.9712314242392397</v>
      </c>
      <c r="L195">
        <v>6.2521038378496197E-3</v>
      </c>
    </row>
    <row r="196" spans="1:12" x14ac:dyDescent="0.2">
      <c r="A196" t="s">
        <v>7</v>
      </c>
      <c r="B196">
        <v>4</v>
      </c>
      <c r="C196" t="s">
        <v>2</v>
      </c>
      <c r="D196" s="2">
        <v>43642</v>
      </c>
      <c r="E196" s="3">
        <v>0.54236111111111196</v>
      </c>
      <c r="F196" s="3">
        <v>0.54583333333333295</v>
      </c>
      <c r="G196" s="4">
        <v>19.100000000000001</v>
      </c>
      <c r="H196" s="4">
        <v>26.67</v>
      </c>
      <c r="K196">
        <v>-6.64154678508425</v>
      </c>
      <c r="L196">
        <v>-1.6866463567590899E-3</v>
      </c>
    </row>
    <row r="197" spans="1:12" x14ac:dyDescent="0.2">
      <c r="A197" t="s">
        <v>7</v>
      </c>
      <c r="B197">
        <v>4</v>
      </c>
      <c r="C197" t="s">
        <v>3</v>
      </c>
      <c r="D197" s="2">
        <v>43642</v>
      </c>
      <c r="E197" s="3">
        <v>0.54722222222222305</v>
      </c>
      <c r="F197" s="3">
        <v>0.55069444444444404</v>
      </c>
      <c r="H197" s="4">
        <v>26.67</v>
      </c>
      <c r="K197">
        <v>6.8463332961263799</v>
      </c>
      <c r="L197">
        <v>8.9559303661289093E-3</v>
      </c>
    </row>
    <row r="198" spans="1:12" x14ac:dyDescent="0.2">
      <c r="A198" t="s">
        <v>7</v>
      </c>
      <c r="B198">
        <v>5</v>
      </c>
      <c r="C198" t="s">
        <v>2</v>
      </c>
      <c r="D198" s="2">
        <v>43642</v>
      </c>
      <c r="E198" s="3">
        <v>0.55208333333333404</v>
      </c>
      <c r="F198" s="3">
        <v>0.55555555555555503</v>
      </c>
      <c r="G198" s="4">
        <v>19.399999999999999</v>
      </c>
      <c r="H198" s="4">
        <v>26.67</v>
      </c>
      <c r="K198">
        <v>-12.4863462294252</v>
      </c>
      <c r="L198">
        <v>2.17830125519036E-2</v>
      </c>
    </row>
    <row r="199" spans="1:12" x14ac:dyDescent="0.2">
      <c r="A199" t="s">
        <v>7</v>
      </c>
      <c r="B199">
        <v>5</v>
      </c>
      <c r="C199" t="s">
        <v>3</v>
      </c>
      <c r="D199" s="2">
        <v>43642</v>
      </c>
      <c r="E199" s="3">
        <v>0.55694444444444502</v>
      </c>
      <c r="F199" s="3">
        <v>0.56041666666666701</v>
      </c>
      <c r="H199" s="4">
        <v>26.67</v>
      </c>
      <c r="K199">
        <v>6.9218117416332303</v>
      </c>
      <c r="L199">
        <v>9.0126271722705004E-3</v>
      </c>
    </row>
    <row r="200" spans="1:12" x14ac:dyDescent="0.2">
      <c r="A200" t="s">
        <v>7</v>
      </c>
      <c r="B200">
        <v>1</v>
      </c>
      <c r="C200" t="s">
        <v>2</v>
      </c>
      <c r="D200" s="2">
        <v>43649</v>
      </c>
      <c r="E200" s="3">
        <v>0.41180555555555554</v>
      </c>
      <c r="F200" s="3">
        <v>0.4152777777777778</v>
      </c>
      <c r="G200" s="4">
        <v>5.6</v>
      </c>
      <c r="H200" s="4">
        <v>25.56</v>
      </c>
      <c r="K200">
        <v>-13.869189944914901</v>
      </c>
      <c r="L200">
        <v>-7.7493105876078798E-4</v>
      </c>
    </row>
    <row r="201" spans="1:12" x14ac:dyDescent="0.2">
      <c r="A201" t="s">
        <v>7</v>
      </c>
      <c r="B201">
        <v>1</v>
      </c>
      <c r="C201" t="s">
        <v>3</v>
      </c>
      <c r="D201" s="2">
        <v>43649</v>
      </c>
      <c r="E201" s="3">
        <v>0.41666666666666669</v>
      </c>
      <c r="F201" s="3">
        <v>0.4201388888888889</v>
      </c>
      <c r="H201" s="4">
        <v>25.56</v>
      </c>
      <c r="K201">
        <v>8.0885190131819495</v>
      </c>
      <c r="L201">
        <v>-2.6481434470791501E-3</v>
      </c>
    </row>
    <row r="202" spans="1:12" x14ac:dyDescent="0.2">
      <c r="A202" t="s">
        <v>7</v>
      </c>
      <c r="B202">
        <v>2</v>
      </c>
      <c r="C202" t="s">
        <v>2</v>
      </c>
      <c r="D202" s="2">
        <v>43649</v>
      </c>
      <c r="E202" s="3">
        <v>0.421527777777778</v>
      </c>
      <c r="F202" s="3">
        <v>0.42499999999999999</v>
      </c>
      <c r="G202" s="4">
        <v>7.5</v>
      </c>
      <c r="H202" s="4">
        <v>25.56</v>
      </c>
      <c r="K202">
        <v>-18.144713227983399</v>
      </c>
      <c r="L202">
        <v>3.84639009651935E-4</v>
      </c>
    </row>
    <row r="203" spans="1:12" x14ac:dyDescent="0.2">
      <c r="A203" t="s">
        <v>7</v>
      </c>
      <c r="B203">
        <v>2</v>
      </c>
      <c r="C203" t="s">
        <v>3</v>
      </c>
      <c r="D203" s="2">
        <v>43649</v>
      </c>
      <c r="E203" s="3">
        <v>0.42638888888888898</v>
      </c>
      <c r="F203" s="3">
        <v>0.42986111111111103</v>
      </c>
      <c r="H203" s="4">
        <v>25.56</v>
      </c>
      <c r="K203">
        <v>22.5051547741399</v>
      </c>
      <c r="L203">
        <v>-1.4970166390059999E-3</v>
      </c>
    </row>
    <row r="204" spans="1:12" x14ac:dyDescent="0.2">
      <c r="A204" t="s">
        <v>7</v>
      </c>
      <c r="B204">
        <v>3</v>
      </c>
      <c r="C204" t="s">
        <v>2</v>
      </c>
      <c r="D204" s="2">
        <v>43649</v>
      </c>
      <c r="E204" s="3">
        <v>0.43125000000000002</v>
      </c>
      <c r="F204" s="3">
        <v>0.43472222222222201</v>
      </c>
      <c r="G204" s="4">
        <v>9</v>
      </c>
      <c r="H204" s="4">
        <v>25.56</v>
      </c>
      <c r="K204">
        <v>-14.8262537767755</v>
      </c>
      <c r="L204">
        <v>-2.03096788782944E-3</v>
      </c>
    </row>
    <row r="205" spans="1:12" x14ac:dyDescent="0.2">
      <c r="A205" t="s">
        <v>7</v>
      </c>
      <c r="B205">
        <v>3</v>
      </c>
      <c r="C205" t="s">
        <v>3</v>
      </c>
      <c r="D205" s="2">
        <v>43649</v>
      </c>
      <c r="E205" s="3">
        <v>0.43611111111111101</v>
      </c>
      <c r="F205" s="3">
        <v>0.43958333333333299</v>
      </c>
      <c r="H205" s="4">
        <v>25.56</v>
      </c>
      <c r="K205">
        <v>3.8416911426104798</v>
      </c>
      <c r="L205">
        <v>-2.8948951073733899E-3</v>
      </c>
    </row>
    <row r="206" spans="1:12" x14ac:dyDescent="0.2">
      <c r="A206" t="s">
        <v>7</v>
      </c>
      <c r="B206">
        <v>4</v>
      </c>
      <c r="C206" t="s">
        <v>2</v>
      </c>
      <c r="D206" s="2">
        <v>43649</v>
      </c>
      <c r="E206" s="3">
        <v>0.44097222222222199</v>
      </c>
      <c r="F206" s="3">
        <v>0.44444444444444398</v>
      </c>
      <c r="G206" s="4">
        <v>7.6</v>
      </c>
      <c r="H206" s="4">
        <v>25.56</v>
      </c>
      <c r="K206">
        <v>-14.5620076735308</v>
      </c>
      <c r="L206">
        <v>6.5814608500582997E-3</v>
      </c>
    </row>
    <row r="207" spans="1:12" x14ac:dyDescent="0.2">
      <c r="A207" t="s">
        <v>7</v>
      </c>
      <c r="B207">
        <v>4</v>
      </c>
      <c r="C207" t="s">
        <v>3</v>
      </c>
      <c r="D207" s="2">
        <v>43649</v>
      </c>
      <c r="E207" s="3">
        <v>0.44583333333333403</v>
      </c>
      <c r="F207" s="3">
        <v>0.44930555555555601</v>
      </c>
      <c r="H207" s="4">
        <v>25.56</v>
      </c>
      <c r="K207">
        <v>7.6746747611316097</v>
      </c>
      <c r="L207">
        <v>4.9095193915755196E-3</v>
      </c>
    </row>
    <row r="208" spans="1:12" x14ac:dyDescent="0.2">
      <c r="A208" t="s">
        <v>7</v>
      </c>
      <c r="B208">
        <v>5</v>
      </c>
      <c r="C208" t="s">
        <v>2</v>
      </c>
      <c r="D208" s="2">
        <v>43649</v>
      </c>
      <c r="E208" s="3">
        <v>0.45069444444444501</v>
      </c>
      <c r="F208" s="3">
        <v>0.454166666666667</v>
      </c>
      <c r="G208" s="4">
        <v>6.5</v>
      </c>
      <c r="H208" s="4">
        <v>25.56</v>
      </c>
      <c r="K208">
        <v>-19.8214474279416</v>
      </c>
      <c r="L208">
        <v>3.5999347821905701E-3</v>
      </c>
    </row>
    <row r="209" spans="1:12" x14ac:dyDescent="0.2">
      <c r="A209" t="s">
        <v>7</v>
      </c>
      <c r="B209">
        <v>5</v>
      </c>
      <c r="C209" t="s">
        <v>3</v>
      </c>
      <c r="D209" s="2">
        <v>43649</v>
      </c>
      <c r="E209" s="3">
        <v>0.45555555555555599</v>
      </c>
      <c r="F209" s="3">
        <v>0.45902777777777798</v>
      </c>
      <c r="H209" s="4">
        <v>25.56</v>
      </c>
      <c r="K209">
        <v>12.275639173990699</v>
      </c>
      <c r="L209">
        <v>5.2856522003417597E-3</v>
      </c>
    </row>
    <row r="210" spans="1:12" x14ac:dyDescent="0.2">
      <c r="A210" t="s">
        <v>7</v>
      </c>
      <c r="B210">
        <v>1</v>
      </c>
      <c r="C210" t="s">
        <v>2</v>
      </c>
      <c r="D210" s="2">
        <v>43654</v>
      </c>
      <c r="E210" s="3">
        <v>43654.405559999999</v>
      </c>
      <c r="F210" s="3">
        <v>43654.409030000003</v>
      </c>
      <c r="G210" s="4">
        <v>19.2</v>
      </c>
      <c r="H210" s="4">
        <v>19</v>
      </c>
      <c r="K210">
        <v>-12.443843190719999</v>
      </c>
      <c r="L210">
        <v>-3.7684612829719602E-4</v>
      </c>
    </row>
    <row r="211" spans="1:12" x14ac:dyDescent="0.2">
      <c r="A211" t="s">
        <v>7</v>
      </c>
      <c r="B211">
        <v>1</v>
      </c>
      <c r="C211" t="s">
        <v>3</v>
      </c>
      <c r="D211" s="2">
        <v>43654</v>
      </c>
      <c r="E211" s="3">
        <v>43654.41042</v>
      </c>
      <c r="F211" s="3">
        <v>43654.413890000003</v>
      </c>
      <c r="H211" s="4">
        <v>19</v>
      </c>
      <c r="K211">
        <v>5.2847570773458497</v>
      </c>
      <c r="L211">
        <v>-1.97096452566426E-4</v>
      </c>
    </row>
    <row r="212" spans="1:12" x14ac:dyDescent="0.2">
      <c r="A212" t="s">
        <v>7</v>
      </c>
      <c r="B212">
        <v>2</v>
      </c>
      <c r="C212" t="s">
        <v>2</v>
      </c>
      <c r="D212" s="2">
        <v>43654</v>
      </c>
      <c r="E212" s="3">
        <v>43654.415280000001</v>
      </c>
      <c r="F212" s="3">
        <v>43654.418749999997</v>
      </c>
      <c r="G212" s="4">
        <v>19.100000000000001</v>
      </c>
      <c r="H212" s="4">
        <v>19</v>
      </c>
      <c r="K212">
        <v>-15.8535268800628</v>
      </c>
      <c r="L212">
        <v>-3.13420663666501E-4</v>
      </c>
    </row>
    <row r="213" spans="1:12" x14ac:dyDescent="0.2">
      <c r="A213" t="s">
        <v>7</v>
      </c>
      <c r="B213">
        <v>2</v>
      </c>
      <c r="C213" t="s">
        <v>3</v>
      </c>
      <c r="D213" s="2">
        <v>43654</v>
      </c>
      <c r="E213" s="3">
        <v>43654.420140000002</v>
      </c>
      <c r="F213" s="3">
        <v>43654.423609999998</v>
      </c>
      <c r="H213" s="4">
        <v>19</v>
      </c>
      <c r="K213">
        <v>5.7064961080218302</v>
      </c>
      <c r="L213">
        <v>-4.1526236623779899E-4</v>
      </c>
    </row>
    <row r="214" spans="1:12" x14ac:dyDescent="0.2">
      <c r="A214" t="s">
        <v>7</v>
      </c>
      <c r="B214">
        <v>3</v>
      </c>
      <c r="C214" t="s">
        <v>2</v>
      </c>
      <c r="D214" s="2">
        <v>43654</v>
      </c>
      <c r="E214" s="3">
        <v>43654.425000000003</v>
      </c>
      <c r="F214" s="3">
        <v>43654.428469999999</v>
      </c>
      <c r="G214" s="4">
        <v>16.100000000000001</v>
      </c>
      <c r="H214" s="4">
        <v>20</v>
      </c>
      <c r="K214">
        <v>16.893209972014201</v>
      </c>
      <c r="L214">
        <v>2.9083653511381501E-2</v>
      </c>
    </row>
    <row r="215" spans="1:12" x14ac:dyDescent="0.2">
      <c r="A215" t="s">
        <v>7</v>
      </c>
      <c r="B215">
        <v>3</v>
      </c>
      <c r="C215" t="s">
        <v>3</v>
      </c>
      <c r="D215" s="2">
        <v>43654</v>
      </c>
      <c r="E215" s="3">
        <v>43654.429859999997</v>
      </c>
      <c r="F215" s="3">
        <v>43654.43333</v>
      </c>
      <c r="H215" s="4">
        <v>20</v>
      </c>
      <c r="K215">
        <v>0.90830136043916598</v>
      </c>
      <c r="L215">
        <v>1.3434025931525701E-2</v>
      </c>
    </row>
    <row r="216" spans="1:12" x14ac:dyDescent="0.2">
      <c r="A216" t="s">
        <v>7</v>
      </c>
      <c r="B216">
        <v>4</v>
      </c>
      <c r="C216" t="s">
        <v>2</v>
      </c>
      <c r="D216" s="2">
        <v>43654</v>
      </c>
      <c r="E216" s="3">
        <v>43654.434719999997</v>
      </c>
      <c r="F216" s="3">
        <v>43654.438190000001</v>
      </c>
      <c r="G216" s="4">
        <v>15.9</v>
      </c>
      <c r="H216" s="4">
        <v>21</v>
      </c>
      <c r="K216">
        <v>-11.088319076983201</v>
      </c>
      <c r="L216">
        <v>5.8561304466307801E-5</v>
      </c>
    </row>
    <row r="217" spans="1:12" x14ac:dyDescent="0.2">
      <c r="A217" t="s">
        <v>7</v>
      </c>
      <c r="B217">
        <v>4</v>
      </c>
      <c r="C217" t="s">
        <v>3</v>
      </c>
      <c r="D217" s="2">
        <v>43654</v>
      </c>
      <c r="E217" s="3">
        <v>43654.439579999998</v>
      </c>
      <c r="F217" s="3">
        <v>43654.443059999998</v>
      </c>
      <c r="H217" s="4">
        <v>21</v>
      </c>
      <c r="K217">
        <v>8.0427689435101897</v>
      </c>
      <c r="L217">
        <v>-1.4801885751011601E-4</v>
      </c>
    </row>
    <row r="218" spans="1:12" x14ac:dyDescent="0.2">
      <c r="A218" t="s">
        <v>7</v>
      </c>
      <c r="B218">
        <v>5</v>
      </c>
      <c r="C218" t="s">
        <v>2</v>
      </c>
      <c r="D218" s="2">
        <v>43654</v>
      </c>
      <c r="E218" s="3">
        <v>43654.444439999999</v>
      </c>
      <c r="F218" s="3">
        <v>43654.447919999999</v>
      </c>
      <c r="G218" s="4">
        <v>17.3</v>
      </c>
      <c r="H218" s="4">
        <v>21</v>
      </c>
      <c r="K218">
        <v>-20.892541621848</v>
      </c>
      <c r="L218">
        <v>-3.06591479459864E-5</v>
      </c>
    </row>
    <row r="219" spans="1:12" x14ac:dyDescent="0.2">
      <c r="A219" t="s">
        <v>7</v>
      </c>
      <c r="B219">
        <v>5</v>
      </c>
      <c r="C219" t="s">
        <v>3</v>
      </c>
      <c r="D219" s="2">
        <v>43654</v>
      </c>
      <c r="E219" s="3">
        <v>43654.449310000004</v>
      </c>
      <c r="F219" s="3">
        <v>43654.45278</v>
      </c>
      <c r="H219" s="4">
        <v>21</v>
      </c>
      <c r="K219">
        <v>14.5005511544884</v>
      </c>
      <c r="L219">
        <v>-1.95237206609885E-4</v>
      </c>
    </row>
    <row r="220" spans="1:12" x14ac:dyDescent="0.2">
      <c r="A220" t="s">
        <v>7</v>
      </c>
      <c r="B220">
        <v>1</v>
      </c>
      <c r="C220" t="s">
        <v>2</v>
      </c>
      <c r="D220" s="2">
        <v>43654</v>
      </c>
      <c r="E220" s="3">
        <v>43654.525000000001</v>
      </c>
      <c r="F220" s="3">
        <v>43654.528469999997</v>
      </c>
      <c r="G220" s="4">
        <v>16.399999999999999</v>
      </c>
      <c r="H220" s="4">
        <v>25.56</v>
      </c>
      <c r="K220">
        <v>-9.9871251920000006</v>
      </c>
      <c r="L220">
        <v>-8.7959654548821695E-5</v>
      </c>
    </row>
    <row r="221" spans="1:12" x14ac:dyDescent="0.2">
      <c r="A221" t="s">
        <v>7</v>
      </c>
      <c r="B221">
        <v>1</v>
      </c>
      <c r="C221" t="s">
        <v>3</v>
      </c>
      <c r="D221" s="2">
        <v>43654</v>
      </c>
      <c r="E221" s="3">
        <v>43654.529860000002</v>
      </c>
      <c r="F221" s="3">
        <v>43654.533329999998</v>
      </c>
      <c r="H221" s="4">
        <v>25.56</v>
      </c>
      <c r="K221">
        <v>9.3937830479999995</v>
      </c>
      <c r="L221">
        <v>-7.8340590788765699E-5</v>
      </c>
    </row>
    <row r="222" spans="1:12" x14ac:dyDescent="0.2">
      <c r="A222" t="s">
        <v>7</v>
      </c>
      <c r="B222">
        <v>2</v>
      </c>
      <c r="C222" t="s">
        <v>2</v>
      </c>
      <c r="D222" s="2">
        <v>43654</v>
      </c>
      <c r="E222" s="3">
        <v>43654.534720000003</v>
      </c>
      <c r="F222" s="3">
        <v>43654.538189999999</v>
      </c>
      <c r="G222" s="4">
        <v>18.5</v>
      </c>
      <c r="H222" s="4">
        <v>25.56</v>
      </c>
      <c r="K222">
        <v>-15.51997111</v>
      </c>
      <c r="L222">
        <v>1.4238122021649201E-4</v>
      </c>
    </row>
    <row r="223" spans="1:12" x14ac:dyDescent="0.2">
      <c r="A223" t="s">
        <v>7</v>
      </c>
      <c r="B223">
        <v>2</v>
      </c>
      <c r="C223" t="s">
        <v>3</v>
      </c>
      <c r="D223" s="2">
        <v>43654</v>
      </c>
      <c r="E223" s="3">
        <v>43654.539579999997</v>
      </c>
      <c r="F223" s="3">
        <v>43654.543060000004</v>
      </c>
      <c r="H223" s="4">
        <v>25.56</v>
      </c>
      <c r="K223">
        <v>11.55479487</v>
      </c>
      <c r="L223">
        <v>2.4271504457088801E-4</v>
      </c>
    </row>
    <row r="224" spans="1:12" x14ac:dyDescent="0.2">
      <c r="A224" t="s">
        <v>7</v>
      </c>
      <c r="B224">
        <v>3</v>
      </c>
      <c r="C224" t="s">
        <v>2</v>
      </c>
      <c r="D224" s="2">
        <v>43654</v>
      </c>
      <c r="E224" s="3">
        <v>43654.544439999998</v>
      </c>
      <c r="F224" s="3">
        <v>43654.547919999997</v>
      </c>
      <c r="G224" s="4">
        <v>14.9</v>
      </c>
      <c r="H224" s="4">
        <v>25.56</v>
      </c>
      <c r="K224">
        <v>-9.8033927080000005</v>
      </c>
      <c r="L224">
        <v>1.1177939737821399E-4</v>
      </c>
    </row>
    <row r="225" spans="1:12" x14ac:dyDescent="0.2">
      <c r="A225" t="s">
        <v>7</v>
      </c>
      <c r="B225">
        <v>3</v>
      </c>
      <c r="C225" t="s">
        <v>3</v>
      </c>
      <c r="D225" s="2">
        <v>43654</v>
      </c>
      <c r="E225" s="3">
        <v>43654.549310000002</v>
      </c>
      <c r="F225" s="3">
        <v>43654.552779999998</v>
      </c>
      <c r="H225" s="4">
        <v>25.56</v>
      </c>
      <c r="K225">
        <v>9.037223139</v>
      </c>
      <c r="L225">
        <v>1.9817915460467601E-5</v>
      </c>
    </row>
    <row r="226" spans="1:12" x14ac:dyDescent="0.2">
      <c r="A226" t="s">
        <v>7</v>
      </c>
      <c r="B226">
        <v>4</v>
      </c>
      <c r="C226" t="s">
        <v>2</v>
      </c>
      <c r="D226" s="2">
        <v>43654</v>
      </c>
      <c r="E226" s="3">
        <v>43654.554170000003</v>
      </c>
      <c r="F226" s="3">
        <v>43654.557639999999</v>
      </c>
      <c r="G226" s="4">
        <v>15.4</v>
      </c>
      <c r="H226" s="4">
        <v>25.56</v>
      </c>
      <c r="K226">
        <v>-11.39661725</v>
      </c>
      <c r="L226">
        <v>-1.29087978905785E-4</v>
      </c>
    </row>
    <row r="227" spans="1:12" x14ac:dyDescent="0.2">
      <c r="A227" t="s">
        <v>7</v>
      </c>
      <c r="B227">
        <v>4</v>
      </c>
      <c r="C227" t="s">
        <v>3</v>
      </c>
      <c r="D227" s="2">
        <v>43654</v>
      </c>
      <c r="E227" s="3">
        <v>43654.559029999997</v>
      </c>
      <c r="F227" s="3">
        <v>43654.5625</v>
      </c>
      <c r="H227" s="4">
        <v>25.56</v>
      </c>
      <c r="K227">
        <v>12.5018627</v>
      </c>
      <c r="L227">
        <v>-1.29298165151407E-4</v>
      </c>
    </row>
    <row r="228" spans="1:12" x14ac:dyDescent="0.2">
      <c r="A228" t="s">
        <v>7</v>
      </c>
      <c r="B228">
        <v>5</v>
      </c>
      <c r="C228" t="s">
        <v>2</v>
      </c>
      <c r="D228" s="2">
        <v>43654</v>
      </c>
      <c r="E228" s="3">
        <v>43654.563889999998</v>
      </c>
      <c r="F228" s="3">
        <v>43654.567360000001</v>
      </c>
      <c r="G228" s="4">
        <v>16.2</v>
      </c>
      <c r="H228" s="4">
        <v>25.56</v>
      </c>
      <c r="K228">
        <v>-18.373258849999999</v>
      </c>
      <c r="L228">
        <v>-1.38543776083421E-4</v>
      </c>
    </row>
    <row r="229" spans="1:12" x14ac:dyDescent="0.2">
      <c r="A229" t="s">
        <v>7</v>
      </c>
      <c r="B229">
        <v>5</v>
      </c>
      <c r="C229" t="s">
        <v>3</v>
      </c>
      <c r="D229" s="2">
        <v>43654</v>
      </c>
      <c r="E229" s="3">
        <v>43654.568749999999</v>
      </c>
      <c r="F229" s="3">
        <v>43654.572220000002</v>
      </c>
      <c r="H229" s="4">
        <v>25.56</v>
      </c>
      <c r="K229">
        <v>16.972043620000001</v>
      </c>
      <c r="L229">
        <v>-1.6186730961265301E-4</v>
      </c>
    </row>
    <row r="230" spans="1:12" x14ac:dyDescent="0.2">
      <c r="A230" t="s">
        <v>7</v>
      </c>
      <c r="B230">
        <v>1</v>
      </c>
      <c r="C230" t="s">
        <v>4</v>
      </c>
      <c r="D230" s="2">
        <v>43662</v>
      </c>
      <c r="E230" s="3">
        <v>43662.442360000001</v>
      </c>
      <c r="F230" s="3">
        <v>43662.445829999997</v>
      </c>
      <c r="G230" s="4">
        <v>5.4</v>
      </c>
      <c r="H230" s="4">
        <v>23.89</v>
      </c>
      <c r="I230">
        <v>44.5</v>
      </c>
      <c r="J230">
        <v>0.77</v>
      </c>
      <c r="K230">
        <v>-14.088877784234599</v>
      </c>
      <c r="L230">
        <v>-2.88281056274241E-5</v>
      </c>
    </row>
    <row r="231" spans="1:12" x14ac:dyDescent="0.2">
      <c r="A231" t="s">
        <v>7</v>
      </c>
      <c r="B231">
        <v>1</v>
      </c>
      <c r="C231" t="s">
        <v>3</v>
      </c>
      <c r="D231" s="2">
        <v>43662</v>
      </c>
      <c r="E231" s="3">
        <v>43662.447220000002</v>
      </c>
      <c r="F231" s="3">
        <v>43662.450689999998</v>
      </c>
      <c r="H231" s="4">
        <v>23.89</v>
      </c>
      <c r="K231">
        <v>7.9691870607817501</v>
      </c>
      <c r="L231">
        <v>-3.1332529701459297E-4</v>
      </c>
    </row>
    <row r="232" spans="1:12" x14ac:dyDescent="0.2">
      <c r="A232" t="s">
        <v>7</v>
      </c>
      <c r="B232">
        <v>2</v>
      </c>
      <c r="C232" t="s">
        <v>4</v>
      </c>
      <c r="D232" s="2">
        <v>43662</v>
      </c>
      <c r="E232" s="3">
        <v>43662.452080000003</v>
      </c>
      <c r="F232" s="3">
        <v>43662.455560000002</v>
      </c>
      <c r="G232" s="4">
        <v>3.7</v>
      </c>
      <c r="H232" s="4">
        <v>23.89</v>
      </c>
      <c r="I232">
        <v>38.9</v>
      </c>
      <c r="J232">
        <v>0.79</v>
      </c>
      <c r="K232">
        <v>-15.0000509245213</v>
      </c>
      <c r="L232">
        <v>-2.33508598461827E-4</v>
      </c>
    </row>
    <row r="233" spans="1:12" x14ac:dyDescent="0.2">
      <c r="A233" t="s">
        <v>7</v>
      </c>
      <c r="B233">
        <v>2</v>
      </c>
      <c r="C233" t="s">
        <v>3</v>
      </c>
      <c r="D233" s="2">
        <v>43662</v>
      </c>
      <c r="E233" s="3">
        <v>43662.456939999996</v>
      </c>
      <c r="F233" s="3">
        <v>43662.460420000003</v>
      </c>
      <c r="H233" s="4">
        <v>23.89</v>
      </c>
      <c r="K233">
        <v>10.8242658546305</v>
      </c>
      <c r="L233">
        <v>-3.4559423072404502E-4</v>
      </c>
    </row>
    <row r="234" spans="1:12" x14ac:dyDescent="0.2">
      <c r="A234" t="s">
        <v>7</v>
      </c>
      <c r="B234">
        <v>3</v>
      </c>
      <c r="C234" t="s">
        <v>4</v>
      </c>
      <c r="D234" s="2">
        <v>43662</v>
      </c>
      <c r="E234" s="3">
        <v>43662.461810000001</v>
      </c>
      <c r="F234" s="3">
        <v>43662.465279999997</v>
      </c>
      <c r="G234" s="4">
        <v>5.8</v>
      </c>
      <c r="H234" s="4">
        <v>27.22</v>
      </c>
      <c r="I234">
        <v>44.3</v>
      </c>
      <c r="J234">
        <v>0.79</v>
      </c>
      <c r="K234">
        <v>-13.017891847524499</v>
      </c>
      <c r="L234">
        <v>-3.5444655925496402E-4</v>
      </c>
    </row>
    <row r="235" spans="1:12" x14ac:dyDescent="0.2">
      <c r="A235" t="s">
        <v>7</v>
      </c>
      <c r="B235">
        <v>3</v>
      </c>
      <c r="C235" t="s">
        <v>3</v>
      </c>
      <c r="D235" s="2">
        <v>43662</v>
      </c>
      <c r="E235" s="3">
        <v>43662.466670000002</v>
      </c>
      <c r="F235" s="3">
        <v>43662.470139999998</v>
      </c>
      <c r="H235" s="4">
        <v>27.22</v>
      </c>
      <c r="K235">
        <v>7.0775304605761402</v>
      </c>
      <c r="L235">
        <v>-1.3383064918203201E-4</v>
      </c>
    </row>
    <row r="236" spans="1:12" x14ac:dyDescent="0.2">
      <c r="A236" t="s">
        <v>7</v>
      </c>
      <c r="B236">
        <v>4</v>
      </c>
      <c r="C236" t="s">
        <v>4</v>
      </c>
      <c r="D236" s="2">
        <v>43662</v>
      </c>
      <c r="E236" s="3">
        <v>43662.471530000003</v>
      </c>
      <c r="F236" s="3">
        <v>43662.474999999999</v>
      </c>
      <c r="G236" s="4">
        <v>2</v>
      </c>
      <c r="H236" s="4">
        <v>27.22</v>
      </c>
      <c r="I236">
        <v>28.4</v>
      </c>
      <c r="J236">
        <v>0.81</v>
      </c>
      <c r="K236">
        <v>-13.8728755383527</v>
      </c>
      <c r="L236">
        <v>2.5828015224585102E-4</v>
      </c>
    </row>
    <row r="237" spans="1:12" x14ac:dyDescent="0.2">
      <c r="A237" t="s">
        <v>7</v>
      </c>
      <c r="B237">
        <v>4</v>
      </c>
      <c r="C237" t="s">
        <v>3</v>
      </c>
      <c r="D237" s="2">
        <v>43662</v>
      </c>
      <c r="E237" s="3">
        <v>43662.476390000003</v>
      </c>
      <c r="F237" s="3">
        <v>43662.479859999999</v>
      </c>
      <c r="H237" s="4">
        <v>27.22</v>
      </c>
      <c r="K237">
        <v>8.8585378636885608</v>
      </c>
      <c r="L237">
        <v>1.1431132667885301E-4</v>
      </c>
    </row>
    <row r="238" spans="1:12" x14ac:dyDescent="0.2">
      <c r="A238" t="s">
        <v>7</v>
      </c>
      <c r="B238">
        <v>5</v>
      </c>
      <c r="C238" t="s">
        <v>4</v>
      </c>
      <c r="D238" s="2">
        <v>43662</v>
      </c>
      <c r="E238" s="3">
        <v>43662.481249999997</v>
      </c>
      <c r="F238" s="3">
        <v>43662.48472</v>
      </c>
      <c r="G238" s="4">
        <v>2.4</v>
      </c>
      <c r="H238" s="4">
        <v>27.22</v>
      </c>
      <c r="I238">
        <v>44</v>
      </c>
      <c r="J238">
        <v>0.79</v>
      </c>
      <c r="K238">
        <v>-10.3181210403047</v>
      </c>
      <c r="L238">
        <v>4.8743173754781398E-4</v>
      </c>
    </row>
    <row r="239" spans="1:12" x14ac:dyDescent="0.2">
      <c r="A239" t="s">
        <v>7</v>
      </c>
      <c r="B239">
        <v>5</v>
      </c>
      <c r="C239" t="s">
        <v>3</v>
      </c>
      <c r="D239" s="2">
        <v>43662</v>
      </c>
      <c r="E239" s="3">
        <v>43662.486109999998</v>
      </c>
      <c r="F239" s="3">
        <v>43662.489580000001</v>
      </c>
      <c r="H239" s="4">
        <v>27.22</v>
      </c>
      <c r="K239">
        <v>18.7497164075948</v>
      </c>
      <c r="L239">
        <v>1.3181067391968701E-5</v>
      </c>
    </row>
    <row r="240" spans="1:12" x14ac:dyDescent="0.2">
      <c r="A240" t="s">
        <v>7</v>
      </c>
      <c r="B240">
        <v>1</v>
      </c>
      <c r="C240" t="s">
        <v>2</v>
      </c>
      <c r="D240" s="2">
        <v>43662</v>
      </c>
      <c r="E240" s="3">
        <v>43662.531940000001</v>
      </c>
      <c r="F240" s="3">
        <v>43662.53542</v>
      </c>
      <c r="G240" s="4">
        <v>3.2</v>
      </c>
      <c r="H240" s="4">
        <v>31.11</v>
      </c>
      <c r="I240">
        <v>45.9</v>
      </c>
      <c r="J240">
        <v>0.76</v>
      </c>
      <c r="K240">
        <v>-3.59879238248269</v>
      </c>
      <c r="L240">
        <v>-1.27772968251468E-4</v>
      </c>
    </row>
    <row r="241" spans="1:12" x14ac:dyDescent="0.2">
      <c r="A241" t="s">
        <v>7</v>
      </c>
      <c r="B241">
        <v>1</v>
      </c>
      <c r="C241" t="s">
        <v>3</v>
      </c>
      <c r="D241" s="2">
        <v>43662</v>
      </c>
      <c r="E241" s="3">
        <v>43662.536809999998</v>
      </c>
      <c r="F241" s="3">
        <v>43662.540280000001</v>
      </c>
      <c r="H241" s="4">
        <v>31.11</v>
      </c>
      <c r="K241">
        <v>9.6378398954577804</v>
      </c>
      <c r="L241">
        <v>-2.7162973667826701E-4</v>
      </c>
    </row>
    <row r="242" spans="1:12" x14ac:dyDescent="0.2">
      <c r="A242" t="s">
        <v>7</v>
      </c>
      <c r="B242">
        <v>2</v>
      </c>
      <c r="C242" t="s">
        <v>2</v>
      </c>
      <c r="D242" s="2">
        <v>43662</v>
      </c>
      <c r="E242" s="3">
        <v>43662.541669999999</v>
      </c>
      <c r="F242" s="3">
        <v>43662.545140000002</v>
      </c>
      <c r="G242" s="4">
        <v>2.6</v>
      </c>
      <c r="H242" s="4">
        <v>31.11</v>
      </c>
      <c r="I242">
        <v>43.6</v>
      </c>
      <c r="J242">
        <v>0.78</v>
      </c>
      <c r="K242">
        <v>-10.4425190806333</v>
      </c>
      <c r="L242">
        <v>2.0642239110940899E-4</v>
      </c>
    </row>
    <row r="243" spans="1:12" x14ac:dyDescent="0.2">
      <c r="A243" t="s">
        <v>7</v>
      </c>
      <c r="B243">
        <v>2</v>
      </c>
      <c r="C243" t="s">
        <v>3</v>
      </c>
      <c r="D243" s="2">
        <v>43662</v>
      </c>
      <c r="E243" s="3">
        <v>43662.54653</v>
      </c>
      <c r="F243" s="3">
        <v>43662.55</v>
      </c>
      <c r="H243" s="4">
        <v>31.11</v>
      </c>
      <c r="K243">
        <v>14.6349828708943</v>
      </c>
      <c r="L243">
        <v>-1.56506591594341E-4</v>
      </c>
    </row>
    <row r="244" spans="1:12" x14ac:dyDescent="0.2">
      <c r="A244" t="s">
        <v>7</v>
      </c>
      <c r="B244">
        <v>3</v>
      </c>
      <c r="C244" t="s">
        <v>2</v>
      </c>
      <c r="D244" s="2">
        <v>43662</v>
      </c>
      <c r="E244" s="3">
        <v>43662.551390000001</v>
      </c>
      <c r="F244" s="3">
        <v>43662.554859999997</v>
      </c>
      <c r="G244" s="4">
        <v>6.1</v>
      </c>
      <c r="H244" s="4">
        <v>31.11</v>
      </c>
      <c r="I244">
        <v>43.6</v>
      </c>
      <c r="J244">
        <v>0.79</v>
      </c>
      <c r="K244">
        <v>-11.7209855081577</v>
      </c>
      <c r="L244">
        <v>1.9536361524639901E-4</v>
      </c>
    </row>
    <row r="245" spans="1:12" x14ac:dyDescent="0.2">
      <c r="A245" t="s">
        <v>7</v>
      </c>
      <c r="B245">
        <v>3</v>
      </c>
      <c r="C245" t="s">
        <v>3</v>
      </c>
      <c r="D245" s="2">
        <v>43662</v>
      </c>
      <c r="E245" s="3">
        <v>43662.556250000001</v>
      </c>
      <c r="F245" s="3">
        <v>43662.559719999997</v>
      </c>
      <c r="H245" s="4">
        <v>31.11</v>
      </c>
      <c r="K245">
        <v>9.0900854262205506</v>
      </c>
      <c r="L245">
        <v>-6.3416612370120003E-5</v>
      </c>
    </row>
    <row r="246" spans="1:12" x14ac:dyDescent="0.2">
      <c r="A246" t="s">
        <v>7</v>
      </c>
      <c r="B246">
        <v>4</v>
      </c>
      <c r="C246" t="s">
        <v>2</v>
      </c>
      <c r="D246" s="2">
        <v>43662</v>
      </c>
      <c r="E246" s="3">
        <v>43662.561110000002</v>
      </c>
      <c r="F246" s="3">
        <v>43662.564579999998</v>
      </c>
      <c r="G246" s="4">
        <v>2.1</v>
      </c>
      <c r="H246" s="4">
        <v>31.11</v>
      </c>
      <c r="I246">
        <v>37.799999999999997</v>
      </c>
      <c r="J246">
        <v>0.77</v>
      </c>
      <c r="K246">
        <v>-9.4595381661697395</v>
      </c>
      <c r="L246">
        <v>2.1943599638889601E-4</v>
      </c>
    </row>
    <row r="247" spans="1:12" x14ac:dyDescent="0.2">
      <c r="A247" t="s">
        <v>7</v>
      </c>
      <c r="B247">
        <v>4</v>
      </c>
      <c r="C247" t="s">
        <v>3</v>
      </c>
      <c r="D247" s="2">
        <v>43662</v>
      </c>
      <c r="E247" s="3">
        <v>43662.565970000003</v>
      </c>
      <c r="F247" s="3">
        <v>43662.569439999999</v>
      </c>
      <c r="H247" s="4">
        <v>31.11</v>
      </c>
      <c r="K247">
        <v>12.2332230215811</v>
      </c>
      <c r="L247">
        <v>-1.6450652306623399E-4</v>
      </c>
    </row>
    <row r="248" spans="1:12" x14ac:dyDescent="0.2">
      <c r="A248" t="s">
        <v>7</v>
      </c>
      <c r="B248">
        <v>5</v>
      </c>
      <c r="C248" t="s">
        <v>2</v>
      </c>
      <c r="D248" s="2">
        <v>43662</v>
      </c>
      <c r="E248" s="3">
        <v>43662.570829999997</v>
      </c>
      <c r="F248" s="3">
        <v>43662.574310000004</v>
      </c>
      <c r="G248" s="4">
        <v>4.3</v>
      </c>
      <c r="H248" s="4">
        <v>31.11</v>
      </c>
      <c r="I248">
        <v>42.2</v>
      </c>
      <c r="J248">
        <v>0.76</v>
      </c>
      <c r="K248">
        <v>-10.7153551424014</v>
      </c>
      <c r="L248">
        <v>1.80197088762697E-4</v>
      </c>
    </row>
    <row r="249" spans="1:12" x14ac:dyDescent="0.2">
      <c r="A249" t="s">
        <v>7</v>
      </c>
      <c r="B249">
        <v>5</v>
      </c>
      <c r="C249" t="s">
        <v>3</v>
      </c>
      <c r="D249" s="2">
        <v>43662</v>
      </c>
      <c r="E249" s="3">
        <v>43662.575689999998</v>
      </c>
      <c r="F249" s="3">
        <v>43662.579169999997</v>
      </c>
      <c r="H249" s="4">
        <v>31.11</v>
      </c>
      <c r="K249">
        <v>20.133032188884499</v>
      </c>
      <c r="L249">
        <v>-1.6040141326125799E-4</v>
      </c>
    </row>
    <row r="250" spans="1:12" x14ac:dyDescent="0.2">
      <c r="A250" t="s">
        <v>7</v>
      </c>
      <c r="B250">
        <v>1</v>
      </c>
      <c r="C250" t="s">
        <v>2</v>
      </c>
      <c r="D250" s="2">
        <v>43665</v>
      </c>
      <c r="E250" s="3">
        <v>43665.457640000001</v>
      </c>
      <c r="F250" s="3">
        <v>43665.461109999997</v>
      </c>
      <c r="G250" s="4">
        <v>4.5</v>
      </c>
      <c r="H250" s="4">
        <v>31.11</v>
      </c>
      <c r="I250">
        <v>44.5</v>
      </c>
      <c r="J250">
        <v>0.86</v>
      </c>
      <c r="K250">
        <v>-17.576370671350201</v>
      </c>
      <c r="L250">
        <v>-5.6833864767054604E-4</v>
      </c>
    </row>
    <row r="251" spans="1:12" x14ac:dyDescent="0.2">
      <c r="A251" t="s">
        <v>7</v>
      </c>
      <c r="B251">
        <v>1</v>
      </c>
      <c r="C251" t="s">
        <v>3</v>
      </c>
      <c r="D251" s="2">
        <v>43665</v>
      </c>
      <c r="E251" s="3">
        <v>43665.462500000001</v>
      </c>
      <c r="F251" s="3">
        <v>43665.465969999997</v>
      </c>
      <c r="H251" s="4">
        <v>31.11</v>
      </c>
      <c r="K251">
        <v>9.9921213613012103</v>
      </c>
      <c r="L251">
        <v>-1.36610221893209E-3</v>
      </c>
    </row>
    <row r="252" spans="1:12" x14ac:dyDescent="0.2">
      <c r="A252" t="s">
        <v>7</v>
      </c>
      <c r="B252">
        <v>2</v>
      </c>
      <c r="C252" t="s">
        <v>2</v>
      </c>
      <c r="D252" s="2">
        <v>43665</v>
      </c>
      <c r="E252" s="3">
        <v>43665.467360000002</v>
      </c>
      <c r="F252" s="3">
        <v>43665.470829999998</v>
      </c>
      <c r="G252" s="4">
        <v>6.1</v>
      </c>
      <c r="H252" s="4">
        <v>31.11</v>
      </c>
      <c r="I252">
        <v>52.8</v>
      </c>
      <c r="J252">
        <v>0.85</v>
      </c>
      <c r="K252">
        <v>-15.264912277655</v>
      </c>
      <c r="L252">
        <v>-2.81750183840887E-4</v>
      </c>
    </row>
    <row r="253" spans="1:12" x14ac:dyDescent="0.2">
      <c r="A253" t="s">
        <v>7</v>
      </c>
      <c r="B253">
        <v>2</v>
      </c>
      <c r="C253" t="s">
        <v>3</v>
      </c>
      <c r="D253" s="2">
        <v>43665</v>
      </c>
      <c r="E253" s="3">
        <v>43665.472220000003</v>
      </c>
      <c r="F253" s="3">
        <v>43665.475689999999</v>
      </c>
      <c r="H253" s="4">
        <v>31.11</v>
      </c>
      <c r="K253">
        <v>12.478568217074599</v>
      </c>
      <c r="L253">
        <v>-1.59125611165651E-4</v>
      </c>
    </row>
    <row r="254" spans="1:12" x14ac:dyDescent="0.2">
      <c r="A254" t="s">
        <v>7</v>
      </c>
      <c r="B254">
        <v>3</v>
      </c>
      <c r="C254" t="s">
        <v>2</v>
      </c>
      <c r="D254" s="2">
        <v>43665</v>
      </c>
      <c r="E254" s="3">
        <v>43665.477079999997</v>
      </c>
      <c r="F254" s="3">
        <v>43665.480560000004</v>
      </c>
      <c r="G254" s="4">
        <v>7.9</v>
      </c>
      <c r="H254" s="4">
        <v>31.11</v>
      </c>
      <c r="I254">
        <v>43.4</v>
      </c>
      <c r="J254">
        <v>0.84</v>
      </c>
      <c r="K254">
        <v>-13.2987190780826</v>
      </c>
      <c r="L254">
        <v>-1.6869356147838701E-4</v>
      </c>
    </row>
    <row r="255" spans="1:12" x14ac:dyDescent="0.2">
      <c r="A255" t="s">
        <v>7</v>
      </c>
      <c r="B255">
        <v>3</v>
      </c>
      <c r="C255" t="s">
        <v>3</v>
      </c>
      <c r="D255" s="2">
        <v>43665</v>
      </c>
      <c r="E255" s="3">
        <v>43665.481939999998</v>
      </c>
      <c r="F255" s="3">
        <v>43665.485419999997</v>
      </c>
      <c r="H255" s="4">
        <v>31.11</v>
      </c>
      <c r="K255">
        <v>9.9483853438353194</v>
      </c>
      <c r="L255">
        <v>-2.32917621553064E-2</v>
      </c>
    </row>
    <row r="256" spans="1:12" x14ac:dyDescent="0.2">
      <c r="A256" t="s">
        <v>7</v>
      </c>
      <c r="B256">
        <v>4</v>
      </c>
      <c r="C256" t="s">
        <v>2</v>
      </c>
      <c r="D256" s="2">
        <v>43665</v>
      </c>
      <c r="E256" s="3">
        <v>43665.486810000002</v>
      </c>
      <c r="F256" s="3">
        <v>43665.490279999998</v>
      </c>
      <c r="G256" s="4">
        <v>6.9</v>
      </c>
      <c r="H256" s="4">
        <v>31.11</v>
      </c>
      <c r="I256">
        <v>54.7</v>
      </c>
      <c r="J256">
        <v>0.85</v>
      </c>
      <c r="K256">
        <v>-16.738414846137498</v>
      </c>
      <c r="L256">
        <v>-1.6933009204221399E-7</v>
      </c>
    </row>
    <row r="257" spans="1:12" x14ac:dyDescent="0.2">
      <c r="A257" t="s">
        <v>7</v>
      </c>
      <c r="B257">
        <v>4</v>
      </c>
      <c r="C257" t="s">
        <v>3</v>
      </c>
      <c r="D257" s="2">
        <v>43665</v>
      </c>
      <c r="E257" s="3">
        <v>43665.491670000003</v>
      </c>
      <c r="F257" s="3">
        <v>43665.495139999999</v>
      </c>
      <c r="H257" s="4">
        <v>31.11</v>
      </c>
      <c r="K257">
        <v>9.6483774488240996</v>
      </c>
      <c r="L257">
        <v>1.1425011071661601E-2</v>
      </c>
    </row>
    <row r="258" spans="1:12" x14ac:dyDescent="0.2">
      <c r="A258" t="s">
        <v>7</v>
      </c>
      <c r="B258">
        <v>5</v>
      </c>
      <c r="C258" t="s">
        <v>2</v>
      </c>
      <c r="D258" s="2">
        <v>43665</v>
      </c>
      <c r="E258" s="3">
        <v>43665.496529999997</v>
      </c>
      <c r="F258" s="3">
        <v>43665.5</v>
      </c>
      <c r="G258" s="4">
        <v>3</v>
      </c>
      <c r="H258" s="4">
        <v>31.11</v>
      </c>
      <c r="I258">
        <v>44.8</v>
      </c>
      <c r="J258">
        <v>0.84</v>
      </c>
      <c r="K258">
        <v>-18.241231697030901</v>
      </c>
      <c r="L258">
        <v>-4.7139706637665301E-3</v>
      </c>
    </row>
    <row r="259" spans="1:12" x14ac:dyDescent="0.2">
      <c r="A259" t="s">
        <v>7</v>
      </c>
      <c r="B259">
        <v>5</v>
      </c>
      <c r="C259" t="s">
        <v>3</v>
      </c>
      <c r="D259" s="2">
        <v>43665</v>
      </c>
      <c r="E259" s="3">
        <v>43665.501389999998</v>
      </c>
      <c r="F259" s="3">
        <v>43665.504860000001</v>
      </c>
      <c r="H259" s="4">
        <v>31.11</v>
      </c>
      <c r="K259">
        <v>19.472358418460999</v>
      </c>
      <c r="L259">
        <v>-6.0794964012772096E-3</v>
      </c>
    </row>
    <row r="260" spans="1:12" x14ac:dyDescent="0.2">
      <c r="A260" t="s">
        <v>7</v>
      </c>
      <c r="B260">
        <v>1</v>
      </c>
      <c r="C260" t="s">
        <v>2</v>
      </c>
      <c r="D260" s="2">
        <v>43665</v>
      </c>
      <c r="E260" s="3">
        <v>43665.556940000002</v>
      </c>
      <c r="F260" s="3">
        <v>43665.560420000002</v>
      </c>
      <c r="G260" s="4">
        <v>5.9</v>
      </c>
      <c r="H260" s="4">
        <v>31.11</v>
      </c>
      <c r="I260">
        <v>40</v>
      </c>
      <c r="J260">
        <v>0.85</v>
      </c>
      <c r="K260">
        <v>-13.0419758535502</v>
      </c>
      <c r="L260">
        <v>-5.0289596963903202E-7</v>
      </c>
    </row>
    <row r="261" spans="1:12" x14ac:dyDescent="0.2">
      <c r="A261" t="s">
        <v>7</v>
      </c>
      <c r="B261">
        <v>1</v>
      </c>
      <c r="C261" t="s">
        <v>3</v>
      </c>
      <c r="D261" s="2">
        <v>43665</v>
      </c>
      <c r="E261" s="3">
        <v>43665.561809999999</v>
      </c>
      <c r="F261" s="3">
        <v>43665.565280000003</v>
      </c>
      <c r="H261" s="4">
        <v>31.11</v>
      </c>
      <c r="K261">
        <v>11.1521759586788</v>
      </c>
      <c r="L261">
        <v>4.34455342814495E-7</v>
      </c>
    </row>
    <row r="262" spans="1:12" x14ac:dyDescent="0.2">
      <c r="A262" t="s">
        <v>7</v>
      </c>
      <c r="B262">
        <v>2</v>
      </c>
      <c r="C262" t="s">
        <v>2</v>
      </c>
      <c r="D262" s="2">
        <v>43665</v>
      </c>
      <c r="E262" s="3">
        <v>43665.56667</v>
      </c>
      <c r="F262" s="3">
        <v>43665.570140000003</v>
      </c>
      <c r="G262" s="4">
        <v>6.3</v>
      </c>
      <c r="H262" s="4">
        <v>31.11</v>
      </c>
      <c r="I262">
        <v>49.8</v>
      </c>
      <c r="J262">
        <v>0.85</v>
      </c>
      <c r="K262">
        <v>-14.032867083601801</v>
      </c>
      <c r="L262">
        <v>0.12981399331325999</v>
      </c>
    </row>
    <row r="263" spans="1:12" x14ac:dyDescent="0.2">
      <c r="A263" t="s">
        <v>7</v>
      </c>
      <c r="B263">
        <v>2</v>
      </c>
      <c r="C263" t="s">
        <v>3</v>
      </c>
      <c r="D263" s="2">
        <v>43665</v>
      </c>
      <c r="E263" s="3">
        <v>43665.571530000001</v>
      </c>
      <c r="F263" s="3">
        <v>43665.574999999997</v>
      </c>
      <c r="H263" s="4">
        <v>31.11</v>
      </c>
      <c r="K263">
        <v>13.329129931555499</v>
      </c>
      <c r="L263">
        <v>-1.5397317127181199E-3</v>
      </c>
    </row>
    <row r="264" spans="1:12" x14ac:dyDescent="0.2">
      <c r="A264" t="s">
        <v>7</v>
      </c>
      <c r="B264">
        <v>3</v>
      </c>
      <c r="C264" t="s">
        <v>2</v>
      </c>
      <c r="D264" s="2">
        <v>43665</v>
      </c>
      <c r="E264" s="3">
        <v>43665.576390000002</v>
      </c>
      <c r="F264" s="3">
        <v>43665.579859999998</v>
      </c>
      <c r="G264" s="4">
        <v>7.3</v>
      </c>
      <c r="H264" s="4">
        <v>31.11</v>
      </c>
      <c r="I264">
        <v>45.3</v>
      </c>
      <c r="J264">
        <v>0.85</v>
      </c>
      <c r="K264">
        <v>-10.3512666950495</v>
      </c>
      <c r="L264">
        <v>8.4863770389460305E-4</v>
      </c>
    </row>
    <row r="265" spans="1:12" x14ac:dyDescent="0.2">
      <c r="A265" t="s">
        <v>7</v>
      </c>
      <c r="B265">
        <v>3</v>
      </c>
      <c r="C265" t="s">
        <v>3</v>
      </c>
      <c r="D265" s="2">
        <v>43665</v>
      </c>
      <c r="E265" s="3">
        <v>43665.581250000003</v>
      </c>
      <c r="F265" s="3">
        <v>43665.584719999999</v>
      </c>
      <c r="H265" s="4">
        <v>31.11</v>
      </c>
      <c r="K265">
        <v>6.2838610137357698</v>
      </c>
      <c r="L265">
        <v>1.8204312142255201E-3</v>
      </c>
    </row>
    <row r="266" spans="1:12" x14ac:dyDescent="0.2">
      <c r="A266" t="s">
        <v>7</v>
      </c>
      <c r="B266">
        <v>4</v>
      </c>
      <c r="C266" t="s">
        <v>2</v>
      </c>
      <c r="D266" s="2">
        <v>43665</v>
      </c>
      <c r="E266" s="3">
        <v>43665.586109999997</v>
      </c>
      <c r="F266" s="3">
        <v>43665.58958</v>
      </c>
      <c r="G266" s="4">
        <v>5.6</v>
      </c>
      <c r="H266" s="4">
        <v>31.11</v>
      </c>
      <c r="I266">
        <v>45.8</v>
      </c>
      <c r="J266">
        <v>0.86</v>
      </c>
      <c r="K266">
        <v>-14.405922471141301</v>
      </c>
      <c r="L266">
        <v>1.6187245941077399E-4</v>
      </c>
    </row>
    <row r="267" spans="1:12" x14ac:dyDescent="0.2">
      <c r="A267" t="s">
        <v>7</v>
      </c>
      <c r="B267">
        <v>4</v>
      </c>
      <c r="C267" t="s">
        <v>3</v>
      </c>
      <c r="D267" s="2">
        <v>43665</v>
      </c>
      <c r="E267" s="3">
        <v>43665.590969999997</v>
      </c>
      <c r="F267" s="3">
        <v>43665.594440000001</v>
      </c>
      <c r="H267" s="4">
        <v>31.11</v>
      </c>
      <c r="K267">
        <v>11.598826290597399</v>
      </c>
      <c r="L267">
        <v>-1.6828157468260301E-3</v>
      </c>
    </row>
    <row r="268" spans="1:12" x14ac:dyDescent="0.2">
      <c r="A268" t="s">
        <v>7</v>
      </c>
      <c r="B268">
        <v>5</v>
      </c>
      <c r="C268" t="s">
        <v>2</v>
      </c>
      <c r="D268" s="2">
        <v>43665</v>
      </c>
      <c r="E268" s="3">
        <v>43665.595829999998</v>
      </c>
      <c r="F268" s="3">
        <v>43665.599309999998</v>
      </c>
      <c r="G268" s="4">
        <v>3.8</v>
      </c>
      <c r="H268" s="4">
        <v>31.11</v>
      </c>
      <c r="I268">
        <v>42.3</v>
      </c>
      <c r="J268">
        <v>0.83</v>
      </c>
      <c r="K268">
        <v>-17.174417721695701</v>
      </c>
      <c r="L268">
        <v>1.9921616950334901E-3</v>
      </c>
    </row>
    <row r="269" spans="1:12" x14ac:dyDescent="0.2">
      <c r="A269" t="s">
        <v>7</v>
      </c>
      <c r="B269">
        <v>5</v>
      </c>
      <c r="C269" t="s">
        <v>3</v>
      </c>
      <c r="D269" s="2">
        <v>43665</v>
      </c>
      <c r="E269" s="3">
        <v>43665.600689999999</v>
      </c>
      <c r="F269" s="3">
        <v>43665.604169999999</v>
      </c>
      <c r="H269" s="4">
        <v>31.11</v>
      </c>
      <c r="K269">
        <v>21.581108045746099</v>
      </c>
      <c r="L269">
        <v>2.6289402786731802E-3</v>
      </c>
    </row>
    <row r="270" spans="1:12" x14ac:dyDescent="0.2">
      <c r="A270" t="s">
        <v>7</v>
      </c>
      <c r="B270">
        <v>1</v>
      </c>
      <c r="C270" t="s">
        <v>2</v>
      </c>
      <c r="D270" s="2">
        <v>43675</v>
      </c>
      <c r="E270" s="3">
        <v>43675.465279999997</v>
      </c>
      <c r="F270" s="3">
        <v>43675.46875</v>
      </c>
      <c r="G270" s="4">
        <v>10.9</v>
      </c>
      <c r="H270" s="4">
        <v>27.78</v>
      </c>
      <c r="I270">
        <v>39.6</v>
      </c>
      <c r="J270">
        <v>0.86</v>
      </c>
      <c r="K270">
        <v>-14.7705205732256</v>
      </c>
      <c r="L270">
        <v>-1.12468649890583E-3</v>
      </c>
    </row>
    <row r="271" spans="1:12" x14ac:dyDescent="0.2">
      <c r="A271" t="s">
        <v>7</v>
      </c>
      <c r="B271">
        <v>1</v>
      </c>
      <c r="C271" t="s">
        <v>3</v>
      </c>
      <c r="D271" s="2">
        <v>43675</v>
      </c>
      <c r="E271" s="3">
        <v>43675.470139999998</v>
      </c>
      <c r="F271" s="3">
        <v>43675.473610000001</v>
      </c>
      <c r="H271" s="4">
        <v>27.78</v>
      </c>
      <c r="K271">
        <v>10.7673162245728</v>
      </c>
      <c r="L271">
        <v>-2.4384957607294399E-4</v>
      </c>
    </row>
    <row r="272" spans="1:12" x14ac:dyDescent="0.2">
      <c r="A272" t="s">
        <v>7</v>
      </c>
      <c r="B272">
        <v>2</v>
      </c>
      <c r="C272" t="s">
        <v>2</v>
      </c>
      <c r="D272" s="2">
        <v>43675</v>
      </c>
      <c r="E272" s="3">
        <v>43675.474999999999</v>
      </c>
      <c r="F272" s="3">
        <v>43675.478470000002</v>
      </c>
      <c r="G272" s="4">
        <v>12.2</v>
      </c>
      <c r="H272" s="4">
        <v>27.78</v>
      </c>
      <c r="I272">
        <v>37.5</v>
      </c>
      <c r="J272">
        <v>0.87</v>
      </c>
      <c r="K272">
        <v>-8.2822210635212308</v>
      </c>
      <c r="L272">
        <v>-1.8393549594395201E-4</v>
      </c>
    </row>
    <row r="273" spans="1:12" x14ac:dyDescent="0.2">
      <c r="A273" t="s">
        <v>7</v>
      </c>
      <c r="B273">
        <v>2</v>
      </c>
      <c r="C273" t="s">
        <v>3</v>
      </c>
      <c r="D273" s="2">
        <v>43675</v>
      </c>
      <c r="E273" s="3">
        <v>43675.479859999999</v>
      </c>
      <c r="F273" s="3">
        <v>43675.483330000003</v>
      </c>
      <c r="H273" s="4">
        <v>27.78</v>
      </c>
      <c r="K273">
        <v>26.53057146295</v>
      </c>
      <c r="L273">
        <v>5.5369175046497902E-2</v>
      </c>
    </row>
    <row r="274" spans="1:12" x14ac:dyDescent="0.2">
      <c r="A274" t="s">
        <v>7</v>
      </c>
      <c r="B274">
        <v>3</v>
      </c>
      <c r="C274" t="s">
        <v>2</v>
      </c>
      <c r="D274" s="2">
        <v>43675</v>
      </c>
      <c r="E274" s="3">
        <v>43675.48472</v>
      </c>
      <c r="F274" s="3">
        <v>43675.488189999996</v>
      </c>
      <c r="G274" s="4">
        <v>11.7</v>
      </c>
      <c r="H274" s="4">
        <v>27.78</v>
      </c>
      <c r="I274">
        <v>39.6</v>
      </c>
      <c r="J274">
        <v>0.82</v>
      </c>
      <c r="K274">
        <v>-11.618875737586601</v>
      </c>
      <c r="L274">
        <v>8.2463616174805203E-5</v>
      </c>
    </row>
    <row r="275" spans="1:12" x14ac:dyDescent="0.2">
      <c r="A275" t="s">
        <v>7</v>
      </c>
      <c r="B275">
        <v>3</v>
      </c>
      <c r="C275" t="s">
        <v>3</v>
      </c>
      <c r="D275" s="2">
        <v>43675</v>
      </c>
      <c r="E275" s="3">
        <v>43675.489580000001</v>
      </c>
      <c r="F275" s="3">
        <v>43675.493060000001</v>
      </c>
      <c r="H275" s="4">
        <v>27.78</v>
      </c>
      <c r="K275">
        <v>8.0948656485420898</v>
      </c>
      <c r="L275">
        <v>-9.8248848665451104E-5</v>
      </c>
    </row>
    <row r="276" spans="1:12" x14ac:dyDescent="0.2">
      <c r="A276" t="s">
        <v>7</v>
      </c>
      <c r="B276">
        <v>4</v>
      </c>
      <c r="C276" t="s">
        <v>2</v>
      </c>
      <c r="D276" s="2">
        <v>43675</v>
      </c>
      <c r="E276" s="3">
        <v>43675.494440000002</v>
      </c>
      <c r="F276" s="3">
        <v>43675.497920000002</v>
      </c>
      <c r="G276" s="4">
        <v>6.1</v>
      </c>
      <c r="H276" s="4">
        <v>27.78</v>
      </c>
      <c r="I276">
        <v>38.200000000000003</v>
      </c>
      <c r="J276">
        <v>0.8</v>
      </c>
      <c r="K276">
        <v>-16.046600050532899</v>
      </c>
      <c r="L276">
        <v>-1.13475101748816E-4</v>
      </c>
    </row>
    <row r="277" spans="1:12" x14ac:dyDescent="0.2">
      <c r="A277" t="s">
        <v>7</v>
      </c>
      <c r="B277">
        <v>4</v>
      </c>
      <c r="C277" t="s">
        <v>3</v>
      </c>
      <c r="D277" s="2">
        <v>43675</v>
      </c>
      <c r="E277" s="3">
        <v>43675.499309999999</v>
      </c>
      <c r="F277" s="3">
        <v>43675.502780000003</v>
      </c>
      <c r="H277" s="4">
        <v>27.78</v>
      </c>
      <c r="K277">
        <v>10.1303777479117</v>
      </c>
      <c r="L277">
        <v>-2.45070634575951E-3</v>
      </c>
    </row>
    <row r="278" spans="1:12" x14ac:dyDescent="0.2">
      <c r="A278" t="s">
        <v>7</v>
      </c>
      <c r="B278">
        <v>5</v>
      </c>
      <c r="C278" t="s">
        <v>2</v>
      </c>
      <c r="D278" s="2">
        <v>43675</v>
      </c>
      <c r="E278" s="3">
        <v>43675.50417</v>
      </c>
      <c r="F278" s="3">
        <v>43675.507640000003</v>
      </c>
      <c r="G278" s="4">
        <v>11.2</v>
      </c>
      <c r="H278" s="4">
        <v>27.78</v>
      </c>
      <c r="I278">
        <v>31.7</v>
      </c>
      <c r="J278">
        <v>0.89</v>
      </c>
      <c r="K278">
        <v>-11.578137712941899</v>
      </c>
      <c r="L278">
        <v>1.0367517642842801E-4</v>
      </c>
    </row>
    <row r="279" spans="1:12" x14ac:dyDescent="0.2">
      <c r="A279" t="s">
        <v>7</v>
      </c>
      <c r="B279">
        <v>5</v>
      </c>
      <c r="C279" t="s">
        <v>3</v>
      </c>
      <c r="D279" s="2">
        <v>43675</v>
      </c>
      <c r="E279" s="3">
        <v>43675.509030000001</v>
      </c>
      <c r="F279" s="3">
        <v>43675.512499999997</v>
      </c>
      <c r="H279" s="4">
        <v>27.78</v>
      </c>
      <c r="K279">
        <v>33.016670250997997</v>
      </c>
      <c r="L279">
        <v>-2.3475398593197799E-3</v>
      </c>
    </row>
    <row r="280" spans="1:12" x14ac:dyDescent="0.2">
      <c r="A280" t="s">
        <v>7</v>
      </c>
      <c r="B280">
        <v>1</v>
      </c>
      <c r="C280" t="s">
        <v>2</v>
      </c>
      <c r="D280" s="2">
        <v>43675</v>
      </c>
      <c r="E280" s="3">
        <v>43675.570140000003</v>
      </c>
      <c r="F280" s="3">
        <v>43675.573609999999</v>
      </c>
      <c r="G280" s="4">
        <v>9.1</v>
      </c>
      <c r="H280" s="4">
        <v>31.11</v>
      </c>
      <c r="I280">
        <v>41.1</v>
      </c>
      <c r="J280">
        <v>0.87</v>
      </c>
      <c r="K280">
        <v>-9.5010750451831107</v>
      </c>
      <c r="L280">
        <v>-1.8761451460886299E-4</v>
      </c>
    </row>
    <row r="281" spans="1:12" x14ac:dyDescent="0.2">
      <c r="A281" t="s">
        <v>7</v>
      </c>
      <c r="B281">
        <v>1</v>
      </c>
      <c r="C281" t="s">
        <v>3</v>
      </c>
      <c r="D281" s="2">
        <v>43675</v>
      </c>
      <c r="E281" s="3">
        <v>43675.574999999997</v>
      </c>
      <c r="F281" s="3">
        <v>43675.57847</v>
      </c>
      <c r="H281" s="4">
        <v>31.11</v>
      </c>
      <c r="K281">
        <v>14.0465242009117</v>
      </c>
      <c r="L281">
        <v>-2.6492854119728999E-4</v>
      </c>
    </row>
    <row r="282" spans="1:12" x14ac:dyDescent="0.2">
      <c r="A282" t="s">
        <v>7</v>
      </c>
      <c r="B282">
        <v>2</v>
      </c>
      <c r="C282" t="s">
        <v>2</v>
      </c>
      <c r="D282" s="2">
        <v>43675</v>
      </c>
      <c r="E282" s="3">
        <v>43675.579859999998</v>
      </c>
      <c r="F282" s="3">
        <v>43675.583330000001</v>
      </c>
      <c r="G282" s="4">
        <v>12.1</v>
      </c>
      <c r="H282" s="4">
        <v>31.11</v>
      </c>
      <c r="I282">
        <v>37.299999999999997</v>
      </c>
      <c r="J282">
        <v>0.88</v>
      </c>
      <c r="K282">
        <v>-14.1550144717711</v>
      </c>
      <c r="L282">
        <v>-7.1638583293949199E-7</v>
      </c>
    </row>
    <row r="283" spans="1:12" x14ac:dyDescent="0.2">
      <c r="A283" t="s">
        <v>7</v>
      </c>
      <c r="B283">
        <v>2</v>
      </c>
      <c r="C283" t="s">
        <v>3</v>
      </c>
      <c r="D283" s="2">
        <v>43675</v>
      </c>
      <c r="E283" s="3">
        <v>43675.584719999999</v>
      </c>
      <c r="F283" s="3">
        <v>43675.588190000002</v>
      </c>
      <c r="H283" s="4">
        <v>31.11</v>
      </c>
      <c r="K283">
        <v>16.715688596432098</v>
      </c>
      <c r="L283">
        <v>3.8583020458697602E-6</v>
      </c>
    </row>
    <row r="284" spans="1:12" x14ac:dyDescent="0.2">
      <c r="A284" t="s">
        <v>7</v>
      </c>
      <c r="B284">
        <v>3</v>
      </c>
      <c r="C284" t="s">
        <v>2</v>
      </c>
      <c r="D284" s="2">
        <v>43675</v>
      </c>
      <c r="E284" s="3">
        <v>43675.58958</v>
      </c>
      <c r="F284" s="3">
        <v>43675.593059999999</v>
      </c>
      <c r="G284" s="4">
        <v>7.9</v>
      </c>
      <c r="H284" s="4">
        <v>31.67</v>
      </c>
      <c r="I284">
        <v>40.700000000000003</v>
      </c>
      <c r="J284">
        <v>0.83</v>
      </c>
      <c r="K284">
        <v>-7.97739354893117</v>
      </c>
      <c r="L284">
        <v>7.1439507721926698E-2</v>
      </c>
    </row>
    <row r="285" spans="1:12" x14ac:dyDescent="0.2">
      <c r="A285" t="s">
        <v>7</v>
      </c>
      <c r="B285">
        <v>3</v>
      </c>
      <c r="C285" t="s">
        <v>3</v>
      </c>
      <c r="D285" s="2">
        <v>43675</v>
      </c>
      <c r="E285" s="3">
        <v>43675.594440000001</v>
      </c>
      <c r="F285" s="3">
        <v>43675.59792</v>
      </c>
      <c r="H285" s="4">
        <v>31.67</v>
      </c>
      <c r="K285">
        <v>8.9708158077000792</v>
      </c>
      <c r="L285">
        <v>1.4641178614524201E-3</v>
      </c>
    </row>
    <row r="286" spans="1:12" x14ac:dyDescent="0.2">
      <c r="A286" t="s">
        <v>7</v>
      </c>
      <c r="B286">
        <v>4</v>
      </c>
      <c r="C286" t="s">
        <v>2</v>
      </c>
      <c r="D286" s="2">
        <v>43675</v>
      </c>
      <c r="E286" s="3">
        <v>43675.599309999998</v>
      </c>
      <c r="F286" s="3">
        <v>43675.602780000001</v>
      </c>
      <c r="G286" s="4">
        <v>4.2</v>
      </c>
      <c r="H286" s="4">
        <v>31.67</v>
      </c>
      <c r="I286">
        <v>40.200000000000003</v>
      </c>
      <c r="J286">
        <v>0.84</v>
      </c>
      <c r="K286">
        <v>-9.7967654390555499</v>
      </c>
      <c r="L286">
        <v>3.66884386953972E-4</v>
      </c>
    </row>
    <row r="287" spans="1:12" x14ac:dyDescent="0.2">
      <c r="A287" t="s">
        <v>7</v>
      </c>
      <c r="B287">
        <v>4</v>
      </c>
      <c r="C287" t="s">
        <v>3</v>
      </c>
      <c r="D287" s="2">
        <v>43675</v>
      </c>
      <c r="E287" s="3">
        <v>43675.604169999999</v>
      </c>
      <c r="F287" s="3">
        <v>43675.607640000002</v>
      </c>
      <c r="H287" s="4">
        <v>31.67</v>
      </c>
      <c r="K287">
        <v>11.4058490943624</v>
      </c>
      <c r="L287">
        <v>-3.07756514645212E-3</v>
      </c>
    </row>
    <row r="288" spans="1:12" x14ac:dyDescent="0.2">
      <c r="A288" t="s">
        <v>7</v>
      </c>
      <c r="B288">
        <v>5</v>
      </c>
      <c r="C288" t="s">
        <v>2</v>
      </c>
      <c r="D288" s="2">
        <v>43675</v>
      </c>
      <c r="E288" s="3">
        <v>43675.60903</v>
      </c>
      <c r="F288" s="3">
        <v>43675.612500000003</v>
      </c>
      <c r="G288" s="4">
        <v>9.1999999999999993</v>
      </c>
      <c r="H288" s="4">
        <v>31.67</v>
      </c>
      <c r="I288">
        <v>43.2</v>
      </c>
      <c r="J288">
        <v>0.77</v>
      </c>
      <c r="K288">
        <v>-11.4512820060982</v>
      </c>
    </row>
    <row r="289" spans="1:12" x14ac:dyDescent="0.2">
      <c r="A289" t="s">
        <v>7</v>
      </c>
      <c r="B289">
        <v>5</v>
      </c>
      <c r="C289" t="s">
        <v>3</v>
      </c>
      <c r="D289" s="2">
        <v>43675</v>
      </c>
      <c r="E289" s="3">
        <v>43675.613890000001</v>
      </c>
      <c r="F289" s="3">
        <v>43675.617359999997</v>
      </c>
      <c r="H289" s="4">
        <v>31.67</v>
      </c>
      <c r="K289">
        <v>20.554982058538499</v>
      </c>
    </row>
    <row r="290" spans="1:12" x14ac:dyDescent="0.2">
      <c r="A290" t="s">
        <v>7</v>
      </c>
      <c r="B290">
        <v>1</v>
      </c>
      <c r="C290" t="s">
        <v>2</v>
      </c>
      <c r="D290" s="2">
        <v>43683</v>
      </c>
      <c r="E290" s="3">
        <v>43683.456939999996</v>
      </c>
      <c r="F290" s="3">
        <v>43683.460420000003</v>
      </c>
      <c r="G290" s="4">
        <v>14.1</v>
      </c>
      <c r="H290" s="4">
        <v>24.4</v>
      </c>
      <c r="I290">
        <v>39.9</v>
      </c>
      <c r="J290">
        <v>0.88</v>
      </c>
      <c r="K290">
        <v>-7.9624294431703797</v>
      </c>
      <c r="L290">
        <v>-1.58972264038359E-4</v>
      </c>
    </row>
    <row r="291" spans="1:12" x14ac:dyDescent="0.2">
      <c r="A291" t="s">
        <v>7</v>
      </c>
      <c r="B291">
        <v>1</v>
      </c>
      <c r="C291" t="s">
        <v>3</v>
      </c>
      <c r="D291" s="2">
        <v>43683</v>
      </c>
      <c r="E291" s="3">
        <v>43683.464119999997</v>
      </c>
      <c r="F291" s="3">
        <v>43683.46759</v>
      </c>
      <c r="H291" s="4">
        <v>24.4</v>
      </c>
      <c r="K291">
        <v>8.5035705114722493</v>
      </c>
      <c r="L291">
        <v>-3.4711356026846901E-4</v>
      </c>
    </row>
    <row r="292" spans="1:12" x14ac:dyDescent="0.2">
      <c r="A292" t="s">
        <v>7</v>
      </c>
      <c r="B292">
        <v>2</v>
      </c>
      <c r="C292" t="s">
        <v>2</v>
      </c>
      <c r="D292" s="2">
        <v>43683</v>
      </c>
      <c r="E292" s="3">
        <v>43683.470829999998</v>
      </c>
      <c r="F292" s="3">
        <v>43683.474309999998</v>
      </c>
      <c r="G292" s="4">
        <v>14.8</v>
      </c>
      <c r="H292" s="4">
        <v>25</v>
      </c>
      <c r="I292">
        <v>35.200000000000003</v>
      </c>
      <c r="J292">
        <v>0.86</v>
      </c>
      <c r="K292">
        <v>-12.584792717305</v>
      </c>
      <c r="L292">
        <v>-1.8973066891029899E-4</v>
      </c>
    </row>
    <row r="293" spans="1:12" x14ac:dyDescent="0.2">
      <c r="A293" t="s">
        <v>7</v>
      </c>
      <c r="B293">
        <v>2</v>
      </c>
      <c r="C293" t="s">
        <v>3</v>
      </c>
      <c r="D293" s="2">
        <v>43683</v>
      </c>
      <c r="E293" s="3">
        <v>43683.477079999997</v>
      </c>
      <c r="F293" s="3">
        <v>43683.480560000004</v>
      </c>
      <c r="H293" s="4">
        <v>25</v>
      </c>
      <c r="K293">
        <v>14.596303699394101</v>
      </c>
      <c r="L293">
        <v>-3.2228521499989001E-6</v>
      </c>
    </row>
    <row r="294" spans="1:12" x14ac:dyDescent="0.2">
      <c r="A294" t="s">
        <v>7</v>
      </c>
      <c r="B294">
        <v>3</v>
      </c>
      <c r="C294" t="s">
        <v>2</v>
      </c>
      <c r="D294" s="2">
        <v>43683</v>
      </c>
      <c r="E294" s="3">
        <v>43683.483970000001</v>
      </c>
      <c r="F294" s="3">
        <v>43683.486810000002</v>
      </c>
      <c r="G294" s="4">
        <v>15.3</v>
      </c>
      <c r="H294" s="4">
        <v>25</v>
      </c>
      <c r="I294">
        <v>40.299999999999997</v>
      </c>
      <c r="J294">
        <v>0.86</v>
      </c>
      <c r="K294">
        <v>-11.3648456624981</v>
      </c>
      <c r="L294">
        <v>-4.7561163676746799E-5</v>
      </c>
    </row>
    <row r="295" spans="1:12" x14ac:dyDescent="0.2">
      <c r="A295" t="s">
        <v>7</v>
      </c>
      <c r="B295">
        <v>3</v>
      </c>
      <c r="C295" t="s">
        <v>3</v>
      </c>
      <c r="D295" s="2">
        <v>43683</v>
      </c>
      <c r="E295" s="3">
        <v>43683.490740000001</v>
      </c>
      <c r="F295" s="3">
        <v>43683.493750000001</v>
      </c>
      <c r="H295" s="4">
        <v>25</v>
      </c>
      <c r="K295">
        <v>8.3383328061286797</v>
      </c>
      <c r="L295">
        <v>-1.7082600242142401E-6</v>
      </c>
    </row>
    <row r="296" spans="1:12" x14ac:dyDescent="0.2">
      <c r="A296" t="s">
        <v>7</v>
      </c>
      <c r="B296">
        <v>4</v>
      </c>
      <c r="C296" t="s">
        <v>2</v>
      </c>
      <c r="D296" s="2">
        <v>43683</v>
      </c>
      <c r="E296" s="3">
        <v>43683.498379999997</v>
      </c>
      <c r="F296" s="3">
        <v>43683.501850000001</v>
      </c>
      <c r="G296" s="4">
        <v>9.6999999999999993</v>
      </c>
      <c r="H296" s="4">
        <v>25.56</v>
      </c>
      <c r="I296">
        <v>42.5</v>
      </c>
      <c r="J296">
        <v>0.8</v>
      </c>
      <c r="K296">
        <v>-0.34916422629858201</v>
      </c>
      <c r="L296">
        <v>-3.5433000615976499E-5</v>
      </c>
    </row>
    <row r="297" spans="1:12" x14ac:dyDescent="0.2">
      <c r="A297" t="s">
        <v>7</v>
      </c>
      <c r="B297">
        <v>4</v>
      </c>
      <c r="C297" t="s">
        <v>3</v>
      </c>
      <c r="D297" s="2">
        <v>43683</v>
      </c>
      <c r="E297" s="3">
        <v>43683.505490000003</v>
      </c>
      <c r="F297" s="3">
        <v>43683.508959999999</v>
      </c>
      <c r="H297" s="4">
        <v>25.56</v>
      </c>
      <c r="K297">
        <v>8.0805118502786097</v>
      </c>
      <c r="L297">
        <v>-1.02123370070022E-4</v>
      </c>
    </row>
    <row r="298" spans="1:12" x14ac:dyDescent="0.2">
      <c r="A298" t="s">
        <v>7</v>
      </c>
      <c r="B298">
        <v>5</v>
      </c>
      <c r="C298" t="s">
        <v>2</v>
      </c>
      <c r="D298" s="2">
        <v>43683</v>
      </c>
      <c r="E298" s="3">
        <v>43683.511810000004</v>
      </c>
      <c r="F298" s="3">
        <v>43683.51528</v>
      </c>
      <c r="G298" s="4">
        <v>14.7</v>
      </c>
      <c r="H298" s="4">
        <v>25.56</v>
      </c>
      <c r="I298">
        <v>37.299999999999997</v>
      </c>
      <c r="J298">
        <v>0.78</v>
      </c>
      <c r="K298">
        <v>-3.8325100530682001</v>
      </c>
      <c r="L298">
        <v>-2.0074389534690201E-4</v>
      </c>
    </row>
    <row r="299" spans="1:12" x14ac:dyDescent="0.2">
      <c r="A299" t="s">
        <v>7</v>
      </c>
      <c r="B299">
        <v>5</v>
      </c>
      <c r="C299" t="s">
        <v>3</v>
      </c>
      <c r="D299" s="2">
        <v>43683</v>
      </c>
      <c r="E299" s="3">
        <v>43683.521529999998</v>
      </c>
      <c r="F299" s="3">
        <v>43683.525000000001</v>
      </c>
      <c r="H299" s="4">
        <v>25.56</v>
      </c>
      <c r="K299">
        <v>25.417345082028699</v>
      </c>
      <c r="L299">
        <v>-2.0953859733905401E-4</v>
      </c>
    </row>
    <row r="300" spans="1:12" x14ac:dyDescent="0.2">
      <c r="A300" t="s">
        <v>7</v>
      </c>
      <c r="B300">
        <v>1</v>
      </c>
      <c r="C300" t="s">
        <v>2</v>
      </c>
      <c r="D300" s="2">
        <v>43683</v>
      </c>
      <c r="E300" s="3">
        <v>43683.653469999997</v>
      </c>
      <c r="F300" s="3">
        <v>43683.656940000001</v>
      </c>
      <c r="G300" s="4">
        <v>16.600000000000001</v>
      </c>
      <c r="H300" s="4">
        <v>25</v>
      </c>
      <c r="I300">
        <v>44.6</v>
      </c>
      <c r="J300">
        <v>0.86</v>
      </c>
      <c r="K300">
        <v>-8.5461060472703192</v>
      </c>
      <c r="L300">
        <v>-2.6545781881895999E-4</v>
      </c>
    </row>
    <row r="301" spans="1:12" x14ac:dyDescent="0.2">
      <c r="A301" t="s">
        <v>7</v>
      </c>
      <c r="B301">
        <v>1</v>
      </c>
      <c r="C301" t="s">
        <v>3</v>
      </c>
      <c r="D301" s="2">
        <v>43683</v>
      </c>
      <c r="E301" s="3">
        <v>43683.66042</v>
      </c>
      <c r="F301" s="3">
        <v>43683.663890000003</v>
      </c>
      <c r="H301" s="4">
        <v>25</v>
      </c>
      <c r="K301">
        <v>11.8910133184076</v>
      </c>
      <c r="L301">
        <v>-8.1314859550625095E-5</v>
      </c>
    </row>
    <row r="302" spans="1:12" x14ac:dyDescent="0.2">
      <c r="A302" t="s">
        <v>7</v>
      </c>
      <c r="B302">
        <v>2</v>
      </c>
      <c r="C302" t="s">
        <v>2</v>
      </c>
      <c r="D302" s="2">
        <v>43683</v>
      </c>
      <c r="E302" s="3">
        <v>43683.666669999999</v>
      </c>
      <c r="F302" s="3">
        <v>43683.670140000002</v>
      </c>
      <c r="G302" s="4">
        <v>9.8000000000000007</v>
      </c>
      <c r="H302" s="4">
        <v>25.56</v>
      </c>
      <c r="I302">
        <v>40.6</v>
      </c>
      <c r="J302">
        <v>0.87</v>
      </c>
      <c r="K302">
        <v>-9.7533818391066607</v>
      </c>
      <c r="L302">
        <v>-1.12396403584549E-4</v>
      </c>
    </row>
    <row r="303" spans="1:12" x14ac:dyDescent="0.2">
      <c r="A303" t="s">
        <v>7</v>
      </c>
      <c r="B303">
        <v>2</v>
      </c>
      <c r="C303" t="s">
        <v>3</v>
      </c>
      <c r="D303" s="2">
        <v>43683</v>
      </c>
      <c r="E303" s="3">
        <v>43683.674590000002</v>
      </c>
      <c r="F303" s="3">
        <v>43683.678070000002</v>
      </c>
      <c r="H303" s="4">
        <v>25.56</v>
      </c>
      <c r="K303">
        <v>18.071015070866601</v>
      </c>
      <c r="L303">
        <v>-2.04064746828581E-4</v>
      </c>
    </row>
    <row r="304" spans="1:12" x14ac:dyDescent="0.2">
      <c r="A304" t="s">
        <v>7</v>
      </c>
      <c r="B304">
        <v>3</v>
      </c>
      <c r="C304" t="s">
        <v>2</v>
      </c>
      <c r="D304" s="2">
        <v>43683</v>
      </c>
      <c r="E304" s="3">
        <v>43683.681250000001</v>
      </c>
      <c r="F304" s="3">
        <v>43683.684719999997</v>
      </c>
      <c r="G304" s="4">
        <v>16.3</v>
      </c>
      <c r="H304" s="4">
        <v>25.56</v>
      </c>
      <c r="I304">
        <v>41.1</v>
      </c>
      <c r="J304">
        <v>0.87</v>
      </c>
      <c r="K304">
        <v>-3.2274734271201999</v>
      </c>
      <c r="L304">
        <v>-2.5594077186125099E-4</v>
      </c>
    </row>
    <row r="305" spans="1:12" x14ac:dyDescent="0.2">
      <c r="A305" t="s">
        <v>7</v>
      </c>
      <c r="B305">
        <v>3</v>
      </c>
      <c r="C305" t="s">
        <v>3</v>
      </c>
      <c r="D305" s="2">
        <v>43683</v>
      </c>
      <c r="E305" s="3">
        <v>43683.688190000001</v>
      </c>
      <c r="F305" s="3">
        <v>43683.69167</v>
      </c>
      <c r="H305" s="4">
        <v>25.56</v>
      </c>
      <c r="K305">
        <v>10.2698586278237</v>
      </c>
      <c r="L305">
        <v>-2.4854840697900098E-4</v>
      </c>
    </row>
    <row r="306" spans="1:12" x14ac:dyDescent="0.2">
      <c r="A306" t="s">
        <v>7</v>
      </c>
      <c r="B306">
        <v>4</v>
      </c>
      <c r="C306" t="s">
        <v>2</v>
      </c>
      <c r="D306" s="2">
        <v>43683</v>
      </c>
      <c r="E306" s="3">
        <v>43683.695140000003</v>
      </c>
      <c r="F306" s="3">
        <v>43683.698609999999</v>
      </c>
      <c r="G306" s="4">
        <v>14.5</v>
      </c>
      <c r="H306" s="4">
        <v>25.56</v>
      </c>
      <c r="I306">
        <v>42</v>
      </c>
      <c r="J306">
        <v>0.76</v>
      </c>
      <c r="K306">
        <v>-2.1248610322603398</v>
      </c>
      <c r="L306">
        <v>-2.2116509431341699E-4</v>
      </c>
    </row>
    <row r="307" spans="1:12" x14ac:dyDescent="0.2">
      <c r="A307" t="s">
        <v>7</v>
      </c>
      <c r="B307">
        <v>4</v>
      </c>
      <c r="C307" t="s">
        <v>3</v>
      </c>
      <c r="D307" s="2">
        <v>43683</v>
      </c>
      <c r="E307" s="3">
        <v>43683.701390000002</v>
      </c>
      <c r="F307" s="3">
        <v>43683.704859999998</v>
      </c>
      <c r="H307" s="4">
        <v>25.56</v>
      </c>
      <c r="K307">
        <v>10.9882128026067</v>
      </c>
      <c r="L307">
        <v>-2.1183313436486499E-4</v>
      </c>
    </row>
    <row r="308" spans="1:12" x14ac:dyDescent="0.2">
      <c r="A308" t="s">
        <v>7</v>
      </c>
      <c r="B308">
        <v>5</v>
      </c>
      <c r="C308" t="s">
        <v>2</v>
      </c>
      <c r="D308" s="2">
        <v>43683</v>
      </c>
      <c r="E308" s="3">
        <v>43683.707640000001</v>
      </c>
      <c r="F308" s="3">
        <v>43683.711109999997</v>
      </c>
      <c r="G308" s="4">
        <v>13.1</v>
      </c>
      <c r="H308" s="4">
        <v>25.56</v>
      </c>
      <c r="I308">
        <v>42.4</v>
      </c>
      <c r="J308">
        <v>0.87</v>
      </c>
      <c r="K308">
        <v>1.3491964438847399</v>
      </c>
      <c r="L308">
        <v>-2.7895624132465402E-4</v>
      </c>
    </row>
    <row r="309" spans="1:12" x14ac:dyDescent="0.2">
      <c r="A309" t="s">
        <v>7</v>
      </c>
      <c r="B309">
        <v>5</v>
      </c>
      <c r="C309" t="s">
        <v>3</v>
      </c>
      <c r="D309" s="2">
        <v>43683</v>
      </c>
      <c r="E309" s="3">
        <v>43683.713889999999</v>
      </c>
      <c r="F309" s="3">
        <v>43683.717360000002</v>
      </c>
      <c r="H309" s="4">
        <v>25.56</v>
      </c>
      <c r="K309">
        <v>33.900336008349001</v>
      </c>
      <c r="L309">
        <v>-2.7014878838331198E-4</v>
      </c>
    </row>
    <row r="310" spans="1:12" x14ac:dyDescent="0.2">
      <c r="A310" t="s">
        <v>7</v>
      </c>
      <c r="B310">
        <v>1</v>
      </c>
      <c r="C310" t="s">
        <v>2</v>
      </c>
      <c r="D310" s="2">
        <v>43690</v>
      </c>
      <c r="E310" s="3">
        <v>43690.45347</v>
      </c>
      <c r="F310" s="3">
        <v>43690.456939999996</v>
      </c>
      <c r="G310" s="4">
        <v>10.199999999999999</v>
      </c>
      <c r="H310" s="4">
        <v>23.33</v>
      </c>
      <c r="I310">
        <v>41.8</v>
      </c>
      <c r="K310">
        <v>-1.30914248753994</v>
      </c>
      <c r="L310">
        <v>-4.9520707726229802E-4</v>
      </c>
    </row>
    <row r="311" spans="1:12" x14ac:dyDescent="0.2">
      <c r="A311" t="s">
        <v>7</v>
      </c>
      <c r="B311">
        <v>1</v>
      </c>
      <c r="C311" t="s">
        <v>3</v>
      </c>
      <c r="D311" s="2">
        <v>43690</v>
      </c>
      <c r="E311" s="3">
        <v>43690.460650000001</v>
      </c>
      <c r="F311" s="3">
        <v>43690.464119999997</v>
      </c>
      <c r="H311" s="4">
        <v>23.33</v>
      </c>
      <c r="K311">
        <v>10.6654997231779</v>
      </c>
      <c r="L311">
        <v>-4.23200645574374E-4</v>
      </c>
    </row>
    <row r="312" spans="1:12" x14ac:dyDescent="0.2">
      <c r="A312" t="s">
        <v>7</v>
      </c>
      <c r="B312">
        <v>2</v>
      </c>
      <c r="C312" t="s">
        <v>2</v>
      </c>
      <c r="D312" s="2">
        <v>43690</v>
      </c>
      <c r="E312" s="3">
        <v>43690.467129999997</v>
      </c>
      <c r="F312" s="3">
        <v>43690.470600000001</v>
      </c>
      <c r="G312" s="4">
        <v>5.6</v>
      </c>
      <c r="H312" s="4">
        <v>23.33</v>
      </c>
      <c r="I312">
        <v>40.799999999999997</v>
      </c>
      <c r="K312">
        <v>1.84797835272086</v>
      </c>
      <c r="L312">
        <v>-4.4950835284231899E-4</v>
      </c>
    </row>
    <row r="313" spans="1:12" x14ac:dyDescent="0.2">
      <c r="A313" t="s">
        <v>7</v>
      </c>
      <c r="B313">
        <v>2</v>
      </c>
      <c r="C313" t="s">
        <v>3</v>
      </c>
      <c r="D313" s="2">
        <v>43690</v>
      </c>
      <c r="E313" s="3">
        <v>43690.473550000002</v>
      </c>
      <c r="F313" s="3">
        <v>43690.477030000002</v>
      </c>
      <c r="H313" s="4">
        <v>23.33</v>
      </c>
      <c r="K313">
        <v>18.055439317087799</v>
      </c>
      <c r="L313">
        <v>-5.3398931391173603E-4</v>
      </c>
    </row>
    <row r="314" spans="1:12" x14ac:dyDescent="0.2">
      <c r="A314" t="s">
        <v>7</v>
      </c>
      <c r="B314">
        <v>3</v>
      </c>
      <c r="C314" t="s">
        <v>2</v>
      </c>
      <c r="D314" s="2">
        <v>43690</v>
      </c>
      <c r="E314" s="3">
        <v>43690.479749999999</v>
      </c>
      <c r="F314" s="3">
        <v>43690.483220000002</v>
      </c>
      <c r="G314" s="4">
        <v>4.4000000000000004</v>
      </c>
      <c r="H314" s="4">
        <v>23.33</v>
      </c>
      <c r="I314">
        <v>44.4</v>
      </c>
      <c r="K314">
        <v>7.85556713856597</v>
      </c>
      <c r="L314">
        <v>-3.6740595543224998E-4</v>
      </c>
    </row>
    <row r="315" spans="1:12" x14ac:dyDescent="0.2">
      <c r="A315" t="s">
        <v>7</v>
      </c>
      <c r="B315">
        <v>3</v>
      </c>
      <c r="C315" t="s">
        <v>3</v>
      </c>
      <c r="D315" s="2">
        <v>43690</v>
      </c>
      <c r="E315" s="3">
        <v>43690.485840000001</v>
      </c>
      <c r="F315" s="3">
        <v>43690.489320000001</v>
      </c>
      <c r="H315" s="4">
        <v>23.33</v>
      </c>
      <c r="K315">
        <v>31.6852614279546</v>
      </c>
      <c r="L315">
        <v>-5.4430671763743802E-4</v>
      </c>
    </row>
    <row r="316" spans="1:12" x14ac:dyDescent="0.2">
      <c r="A316" t="s">
        <v>7</v>
      </c>
      <c r="B316">
        <v>4</v>
      </c>
      <c r="C316" t="s">
        <v>2</v>
      </c>
      <c r="D316" s="2">
        <v>43690</v>
      </c>
      <c r="E316" s="3">
        <v>43690.492420000002</v>
      </c>
      <c r="F316" s="3">
        <v>43690.495889999998</v>
      </c>
      <c r="G316" s="4">
        <v>9.5</v>
      </c>
      <c r="H316" s="4">
        <v>23.33</v>
      </c>
      <c r="I316">
        <v>41.1</v>
      </c>
      <c r="K316">
        <v>-5.1812737995770304</v>
      </c>
      <c r="L316">
        <v>-2.60289180993348E-4</v>
      </c>
    </row>
    <row r="317" spans="1:12" x14ac:dyDescent="0.2">
      <c r="A317" t="s">
        <v>7</v>
      </c>
      <c r="B317">
        <v>4</v>
      </c>
      <c r="C317" t="s">
        <v>3</v>
      </c>
      <c r="D317" s="2">
        <v>43690</v>
      </c>
      <c r="E317" s="3">
        <v>43690.498209999998</v>
      </c>
      <c r="F317" s="3">
        <v>43690.501680000001</v>
      </c>
      <c r="H317" s="4">
        <v>23.33</v>
      </c>
      <c r="K317">
        <v>12.4649588577026</v>
      </c>
      <c r="L317">
        <v>-2.9104555485077099E-4</v>
      </c>
    </row>
    <row r="318" spans="1:12" x14ac:dyDescent="0.2">
      <c r="A318" t="s">
        <v>7</v>
      </c>
      <c r="B318">
        <v>5</v>
      </c>
      <c r="C318" t="s">
        <v>2</v>
      </c>
      <c r="D318" s="2">
        <v>43690</v>
      </c>
      <c r="E318" s="3">
        <v>43690.509720000002</v>
      </c>
      <c r="F318" s="3">
        <v>43690.513189999998</v>
      </c>
      <c r="G318" s="4">
        <v>7.9</v>
      </c>
      <c r="H318" s="4">
        <v>23.33</v>
      </c>
      <c r="I318">
        <v>41.9</v>
      </c>
      <c r="K318">
        <v>-6.2317974499707303</v>
      </c>
      <c r="L318">
        <v>-1.3165271670797599E-4</v>
      </c>
    </row>
    <row r="319" spans="1:12" x14ac:dyDescent="0.2">
      <c r="A319" t="s">
        <v>7</v>
      </c>
      <c r="B319">
        <v>5</v>
      </c>
      <c r="C319" t="s">
        <v>3</v>
      </c>
      <c r="D319" s="2">
        <v>43690</v>
      </c>
      <c r="E319" s="3">
        <v>43690.516150000003</v>
      </c>
      <c r="F319" s="3">
        <v>43690.519619999999</v>
      </c>
      <c r="H319" s="4">
        <v>23.33</v>
      </c>
      <c r="K319">
        <v>29.4467972779455</v>
      </c>
      <c r="L319">
        <v>-3.3773337467984298E-4</v>
      </c>
    </row>
    <row r="320" spans="1:12" x14ac:dyDescent="0.2">
      <c r="A320" t="s">
        <v>7</v>
      </c>
      <c r="B320">
        <v>1</v>
      </c>
      <c r="C320" t="s">
        <v>2</v>
      </c>
      <c r="D320" s="2">
        <v>43690</v>
      </c>
      <c r="E320" s="3">
        <v>43690.559719999997</v>
      </c>
      <c r="F320" s="3">
        <v>43690.563190000001</v>
      </c>
      <c r="G320" s="4">
        <v>9.9</v>
      </c>
      <c r="H320" s="4">
        <v>23.33</v>
      </c>
      <c r="I320">
        <v>42.9</v>
      </c>
      <c r="K320">
        <v>-7.6960739499435196</v>
      </c>
      <c r="L320">
        <v>-2.5929359924297801E-4</v>
      </c>
    </row>
    <row r="321" spans="1:12" x14ac:dyDescent="0.2">
      <c r="A321" t="s">
        <v>7</v>
      </c>
      <c r="B321">
        <v>1</v>
      </c>
      <c r="C321" t="s">
        <v>3</v>
      </c>
      <c r="D321" s="2">
        <v>43690</v>
      </c>
      <c r="E321" s="3">
        <v>43690.565450000002</v>
      </c>
      <c r="F321" s="3">
        <v>43690.568919999998</v>
      </c>
      <c r="H321" s="4">
        <v>23.33</v>
      </c>
      <c r="K321">
        <v>11.233474206311501</v>
      </c>
      <c r="L321">
        <v>-3.50327191210552E-4</v>
      </c>
    </row>
    <row r="322" spans="1:12" x14ac:dyDescent="0.2">
      <c r="A322" t="s">
        <v>7</v>
      </c>
      <c r="B322">
        <v>2</v>
      </c>
      <c r="C322" t="s">
        <v>2</v>
      </c>
      <c r="D322" s="2">
        <v>43690</v>
      </c>
      <c r="E322" s="3">
        <v>43690.571120000001</v>
      </c>
      <c r="F322" s="3">
        <v>43690.574589999997</v>
      </c>
      <c r="G322" s="4">
        <v>4.9000000000000004</v>
      </c>
      <c r="H322" s="4">
        <v>23.33</v>
      </c>
      <c r="I322">
        <v>41.9</v>
      </c>
      <c r="K322">
        <v>-4.6458850714353197</v>
      </c>
      <c r="L322">
        <v>-3.1941137962604303E-4</v>
      </c>
    </row>
    <row r="323" spans="1:12" x14ac:dyDescent="0.2">
      <c r="A323" t="s">
        <v>7</v>
      </c>
      <c r="B323">
        <v>2</v>
      </c>
      <c r="C323" t="s">
        <v>3</v>
      </c>
      <c r="D323" s="2">
        <v>43690</v>
      </c>
      <c r="E323" s="3">
        <v>43690.577140000001</v>
      </c>
      <c r="F323" s="3">
        <v>43690.580609999997</v>
      </c>
      <c r="H323" s="4">
        <v>23.33</v>
      </c>
      <c r="K323">
        <v>17.131664661794598</v>
      </c>
      <c r="L323">
        <v>-4.19614775775932E-4</v>
      </c>
    </row>
    <row r="324" spans="1:12" x14ac:dyDescent="0.2">
      <c r="A324" t="s">
        <v>7</v>
      </c>
      <c r="B324">
        <v>3</v>
      </c>
      <c r="C324" t="s">
        <v>2</v>
      </c>
      <c r="D324" s="2">
        <v>43690</v>
      </c>
      <c r="E324" s="3">
        <v>43690.582869999998</v>
      </c>
      <c r="F324" s="3">
        <v>43690.586340000002</v>
      </c>
      <c r="G324" s="4">
        <v>6.5</v>
      </c>
      <c r="H324" s="4">
        <v>25.56</v>
      </c>
      <c r="I324">
        <v>45.3</v>
      </c>
      <c r="K324">
        <v>-6.9659448156295696</v>
      </c>
      <c r="L324">
        <v>-2.7018981170511501E-4</v>
      </c>
    </row>
    <row r="325" spans="1:12" x14ac:dyDescent="0.2">
      <c r="A325" t="s">
        <v>7</v>
      </c>
      <c r="B325">
        <v>3</v>
      </c>
      <c r="C325" t="s">
        <v>3</v>
      </c>
      <c r="D325" s="2">
        <v>43690</v>
      </c>
      <c r="E325" s="3">
        <v>43690.589</v>
      </c>
      <c r="F325" s="3">
        <v>43690.592479999999</v>
      </c>
      <c r="H325" s="4">
        <v>25.56</v>
      </c>
      <c r="K325">
        <v>34.377660718209398</v>
      </c>
      <c r="L325">
        <v>-3.2687417302036301E-4</v>
      </c>
    </row>
    <row r="326" spans="1:12" x14ac:dyDescent="0.2">
      <c r="A326" t="s">
        <v>7</v>
      </c>
      <c r="B326">
        <v>4</v>
      </c>
      <c r="C326" t="s">
        <v>2</v>
      </c>
      <c r="D326" s="2">
        <v>43690</v>
      </c>
      <c r="E326" s="3">
        <v>43690.596060000003</v>
      </c>
      <c r="F326" s="3">
        <v>43690.599540000003</v>
      </c>
      <c r="G326" s="4">
        <v>10.1</v>
      </c>
      <c r="H326" s="4">
        <v>25.56</v>
      </c>
      <c r="I326">
        <v>44.3</v>
      </c>
      <c r="K326">
        <v>-14.2429209786504</v>
      </c>
      <c r="L326">
        <v>-2.49531097806347E-4</v>
      </c>
    </row>
    <row r="327" spans="1:12" x14ac:dyDescent="0.2">
      <c r="A327" t="s">
        <v>7</v>
      </c>
      <c r="B327">
        <v>4</v>
      </c>
      <c r="C327" t="s">
        <v>3</v>
      </c>
      <c r="D327" s="2">
        <v>43690</v>
      </c>
      <c r="E327" s="3">
        <v>43690.602030000002</v>
      </c>
      <c r="F327" s="3">
        <v>43690.605499999998</v>
      </c>
      <c r="H327" s="4">
        <v>25.56</v>
      </c>
      <c r="K327">
        <v>15.2822343844618</v>
      </c>
      <c r="L327">
        <v>-4.2612748891615202E-4</v>
      </c>
    </row>
    <row r="328" spans="1:12" x14ac:dyDescent="0.2">
      <c r="A328" t="s">
        <v>7</v>
      </c>
      <c r="B328">
        <v>5</v>
      </c>
      <c r="C328" t="s">
        <v>2</v>
      </c>
      <c r="D328" s="2">
        <v>43690</v>
      </c>
      <c r="E328" s="3">
        <v>43690.607640000002</v>
      </c>
      <c r="F328" s="3">
        <v>43690.611109999998</v>
      </c>
      <c r="G328" s="4">
        <v>6.3</v>
      </c>
      <c r="H328" s="4">
        <v>25.56</v>
      </c>
      <c r="I328">
        <v>39</v>
      </c>
      <c r="K328">
        <v>-3.9565476698878501</v>
      </c>
      <c r="L328">
        <v>-2.4750411908459999E-4</v>
      </c>
    </row>
    <row r="329" spans="1:12" x14ac:dyDescent="0.2">
      <c r="A329" t="s">
        <v>7</v>
      </c>
      <c r="B329">
        <v>5</v>
      </c>
      <c r="C329" t="s">
        <v>3</v>
      </c>
      <c r="D329" s="2">
        <v>43690</v>
      </c>
      <c r="E329" s="3">
        <v>43690.613720000001</v>
      </c>
      <c r="F329" s="3">
        <v>43690.617189999997</v>
      </c>
      <c r="H329" s="4">
        <v>25.56</v>
      </c>
      <c r="K329">
        <v>39.8037310719657</v>
      </c>
      <c r="L329">
        <v>-4.2991553069916501E-4</v>
      </c>
    </row>
    <row r="330" spans="1:12" x14ac:dyDescent="0.2">
      <c r="A330" t="s">
        <v>7</v>
      </c>
      <c r="B330">
        <v>1</v>
      </c>
      <c r="C330" t="s">
        <v>2</v>
      </c>
      <c r="D330" s="2">
        <v>43698</v>
      </c>
      <c r="E330" s="3">
        <v>43698.444969999997</v>
      </c>
      <c r="F330" s="3">
        <v>43698.451910000003</v>
      </c>
      <c r="G330" s="4">
        <v>23.4</v>
      </c>
      <c r="H330" s="4">
        <v>26.67</v>
      </c>
      <c r="I330">
        <v>42.1</v>
      </c>
      <c r="J330">
        <v>0.86</v>
      </c>
      <c r="K330">
        <v>5.6838233003049803</v>
      </c>
      <c r="L330">
        <v>-4.5355628814071697E-5</v>
      </c>
    </row>
    <row r="331" spans="1:12" x14ac:dyDescent="0.2">
      <c r="A331" t="s">
        <v>7</v>
      </c>
      <c r="B331">
        <v>1</v>
      </c>
      <c r="C331" t="s">
        <v>3</v>
      </c>
      <c r="D331" s="2">
        <v>43698</v>
      </c>
      <c r="E331" s="3">
        <v>43698.450349999999</v>
      </c>
      <c r="F331" s="3">
        <v>43698.453820000002</v>
      </c>
      <c r="H331" s="4">
        <v>26.67</v>
      </c>
      <c r="K331">
        <v>11.1686575027271</v>
      </c>
      <c r="L331">
        <v>6.7603305481832006E-5</v>
      </c>
    </row>
    <row r="332" spans="1:12" x14ac:dyDescent="0.2">
      <c r="A332" t="s">
        <v>7</v>
      </c>
      <c r="B332">
        <v>2</v>
      </c>
      <c r="C332" t="s">
        <v>2</v>
      </c>
      <c r="D332" s="2">
        <v>43698</v>
      </c>
      <c r="E332" s="3">
        <v>43698.455730000001</v>
      </c>
      <c r="F332" s="3">
        <v>43698.459199999998</v>
      </c>
      <c r="G332" s="4">
        <v>19.8</v>
      </c>
      <c r="H332" s="4">
        <v>26.67</v>
      </c>
      <c r="I332">
        <v>42.9</v>
      </c>
      <c r="J332">
        <v>0.88</v>
      </c>
      <c r="K332">
        <v>3.19648598150523</v>
      </c>
      <c r="L332">
        <v>2.6549194918594298E-4</v>
      </c>
    </row>
    <row r="333" spans="1:12" x14ac:dyDescent="0.2">
      <c r="A333" t="s">
        <v>7</v>
      </c>
      <c r="B333">
        <v>2</v>
      </c>
      <c r="C333" t="s">
        <v>3</v>
      </c>
      <c r="D333" s="2">
        <v>43698</v>
      </c>
      <c r="E333" s="3">
        <v>43698.461230000001</v>
      </c>
      <c r="F333" s="3">
        <v>43698.464699999997</v>
      </c>
      <c r="H333" s="4">
        <v>26.67</v>
      </c>
      <c r="K333">
        <v>14.995928135929599</v>
      </c>
      <c r="L333">
        <v>-4.0865906238168903E-4</v>
      </c>
    </row>
    <row r="334" spans="1:12" x14ac:dyDescent="0.2">
      <c r="A334" t="s">
        <v>7</v>
      </c>
      <c r="B334">
        <v>3</v>
      </c>
      <c r="C334" t="s">
        <v>2</v>
      </c>
      <c r="D334" s="2">
        <v>43698</v>
      </c>
      <c r="E334" s="3">
        <v>43698.46701</v>
      </c>
      <c r="F334" s="3">
        <v>43698.47049</v>
      </c>
      <c r="G334" s="4">
        <v>19.600000000000001</v>
      </c>
      <c r="H334" s="4">
        <v>26.67</v>
      </c>
      <c r="I334">
        <v>42.2</v>
      </c>
      <c r="J334">
        <v>0.83</v>
      </c>
      <c r="K334">
        <v>10.7216819380271</v>
      </c>
    </row>
    <row r="335" spans="1:12" x14ac:dyDescent="0.2">
      <c r="A335" t="s">
        <v>7</v>
      </c>
      <c r="B335">
        <v>3</v>
      </c>
      <c r="C335" t="s">
        <v>3</v>
      </c>
      <c r="D335" s="2">
        <v>43698</v>
      </c>
      <c r="E335" s="3">
        <v>43698.47234</v>
      </c>
      <c r="F335" s="3">
        <v>43698.475810000004</v>
      </c>
      <c r="H335" s="4">
        <v>26.67</v>
      </c>
      <c r="K335">
        <v>24.0636710829945</v>
      </c>
    </row>
    <row r="336" spans="1:12" x14ac:dyDescent="0.2">
      <c r="A336" t="s">
        <v>7</v>
      </c>
      <c r="B336">
        <v>4</v>
      </c>
      <c r="C336" t="s">
        <v>2</v>
      </c>
      <c r="D336" s="2">
        <v>43698</v>
      </c>
      <c r="E336" s="3">
        <v>43698.496700000003</v>
      </c>
      <c r="F336" s="3">
        <v>43698.500169999999</v>
      </c>
      <c r="G336" s="4">
        <v>21.5</v>
      </c>
      <c r="H336" s="4">
        <v>26.67</v>
      </c>
      <c r="I336">
        <v>46.4</v>
      </c>
      <c r="J336">
        <v>0.88</v>
      </c>
      <c r="K336">
        <v>-5.0708103252602603</v>
      </c>
      <c r="L336">
        <v>-4.5355628814071697E-5</v>
      </c>
    </row>
    <row r="337" spans="1:12" x14ac:dyDescent="0.2">
      <c r="A337" t="s">
        <v>7</v>
      </c>
      <c r="B337">
        <v>4</v>
      </c>
      <c r="C337" t="s">
        <v>3</v>
      </c>
      <c r="D337" s="2">
        <v>43698</v>
      </c>
      <c r="E337" s="3">
        <v>43698.503470000003</v>
      </c>
      <c r="F337" s="3">
        <v>43698.506939999999</v>
      </c>
      <c r="H337" s="4">
        <v>26.67</v>
      </c>
      <c r="K337">
        <v>21.6997639350875</v>
      </c>
      <c r="L337">
        <v>6.7603305481832006E-5</v>
      </c>
    </row>
    <row r="338" spans="1:12" x14ac:dyDescent="0.2">
      <c r="A338" t="s">
        <v>7</v>
      </c>
      <c r="B338">
        <v>5</v>
      </c>
      <c r="C338" t="s">
        <v>2</v>
      </c>
      <c r="D338" s="2">
        <v>43698</v>
      </c>
      <c r="E338" s="3">
        <v>43698.508800000003</v>
      </c>
      <c r="F338" s="3">
        <v>43698.512269999999</v>
      </c>
      <c r="G338" s="4">
        <v>19.399999999999999</v>
      </c>
      <c r="H338" s="4">
        <v>25</v>
      </c>
      <c r="I338">
        <v>39.9</v>
      </c>
      <c r="J338">
        <v>0.87</v>
      </c>
      <c r="K338">
        <v>-22.4852166823411</v>
      </c>
      <c r="L338">
        <v>2.6549194918594298E-4</v>
      </c>
    </row>
    <row r="339" spans="1:12" x14ac:dyDescent="0.2">
      <c r="A339" t="s">
        <v>7</v>
      </c>
      <c r="B339">
        <v>5</v>
      </c>
      <c r="C339" t="s">
        <v>3</v>
      </c>
      <c r="D339" s="2">
        <v>43698</v>
      </c>
      <c r="E339" s="3">
        <v>43698.52072</v>
      </c>
      <c r="F339" s="3">
        <v>43698.524189999996</v>
      </c>
      <c r="H339" s="4">
        <v>25</v>
      </c>
      <c r="K339">
        <v>84.060499286159896</v>
      </c>
      <c r="L339">
        <v>-4.0865906238168903E-4</v>
      </c>
    </row>
    <row r="340" spans="1:12" x14ac:dyDescent="0.2">
      <c r="A340" t="s">
        <v>7</v>
      </c>
      <c r="B340">
        <v>1</v>
      </c>
      <c r="C340" t="s">
        <v>2</v>
      </c>
      <c r="D340" s="2">
        <v>43698</v>
      </c>
      <c r="E340" s="3">
        <v>43698.586519999997</v>
      </c>
      <c r="F340" s="3">
        <v>43698.590219999998</v>
      </c>
      <c r="G340" s="4">
        <v>22.5</v>
      </c>
      <c r="H340" s="4">
        <v>26.67</v>
      </c>
      <c r="I340">
        <v>38.700000000000003</v>
      </c>
      <c r="J340">
        <v>0.85</v>
      </c>
      <c r="K340">
        <v>-7.6568975049999999</v>
      </c>
      <c r="L340" s="6">
        <v>8.3499999999999997E-5</v>
      </c>
    </row>
    <row r="341" spans="1:12" x14ac:dyDescent="0.2">
      <c r="A341" t="s">
        <v>7</v>
      </c>
      <c r="B341">
        <v>1</v>
      </c>
      <c r="C341" t="s">
        <v>3</v>
      </c>
      <c r="D341" s="2">
        <v>43698</v>
      </c>
      <c r="E341" s="3">
        <v>43698.592129999997</v>
      </c>
      <c r="F341" s="3">
        <v>43698.595600000001</v>
      </c>
      <c r="H341" s="4">
        <v>26.67</v>
      </c>
      <c r="K341">
        <v>10.92465365</v>
      </c>
      <c r="L341" s="6">
        <v>-5.2500000000000002E-5</v>
      </c>
    </row>
    <row r="342" spans="1:12" x14ac:dyDescent="0.2">
      <c r="A342" t="s">
        <v>7</v>
      </c>
      <c r="B342">
        <v>2</v>
      </c>
      <c r="C342" t="s">
        <v>2</v>
      </c>
      <c r="D342" s="2">
        <v>43698</v>
      </c>
      <c r="E342" s="3">
        <v>43698.59792</v>
      </c>
      <c r="F342" s="3">
        <v>43698.601390000003</v>
      </c>
      <c r="G342" s="4">
        <v>20.2</v>
      </c>
      <c r="H342" s="4">
        <v>26.67</v>
      </c>
      <c r="I342">
        <v>32.5</v>
      </c>
      <c r="J342">
        <v>0.87</v>
      </c>
      <c r="K342">
        <v>-4.6938536879999999</v>
      </c>
      <c r="L342">
        <v>-1.7809999999999999E-4</v>
      </c>
    </row>
    <row r="343" spans="1:12" x14ac:dyDescent="0.2">
      <c r="A343" t="s">
        <v>7</v>
      </c>
      <c r="B343">
        <v>2</v>
      </c>
      <c r="C343" t="s">
        <v>3</v>
      </c>
      <c r="D343" s="2">
        <v>43698</v>
      </c>
      <c r="E343" s="3">
        <v>43698.603130000003</v>
      </c>
      <c r="F343" s="3">
        <v>43698.606599999999</v>
      </c>
      <c r="H343" s="4">
        <v>26.67</v>
      </c>
      <c r="K343">
        <v>15.45910439</v>
      </c>
      <c r="L343">
        <v>-1.83425E-4</v>
      </c>
    </row>
    <row r="344" spans="1:12" x14ac:dyDescent="0.2">
      <c r="A344" t="s">
        <v>7</v>
      </c>
      <c r="B344">
        <v>3</v>
      </c>
      <c r="C344" t="s">
        <v>2</v>
      </c>
      <c r="D344" s="2">
        <v>43698</v>
      </c>
      <c r="E344" s="3">
        <v>43698.608390000001</v>
      </c>
      <c r="F344" s="3">
        <v>43698.611859999997</v>
      </c>
      <c r="G344" s="4">
        <v>20.5</v>
      </c>
      <c r="H344" s="4">
        <v>27.22</v>
      </c>
      <c r="I344">
        <v>40.5</v>
      </c>
      <c r="J344">
        <v>0.84</v>
      </c>
      <c r="K344">
        <v>1.87298092</v>
      </c>
      <c r="L344" s="6">
        <v>1.7399999999999999E-5</v>
      </c>
    </row>
    <row r="345" spans="1:12" x14ac:dyDescent="0.2">
      <c r="A345" t="s">
        <v>7</v>
      </c>
      <c r="B345">
        <v>3</v>
      </c>
      <c r="C345" t="s">
        <v>3</v>
      </c>
      <c r="D345" s="2">
        <v>43698</v>
      </c>
      <c r="E345" s="3">
        <v>43698.61464</v>
      </c>
      <c r="F345" s="3">
        <v>43698.618110000003</v>
      </c>
      <c r="H345" s="4">
        <v>27.22</v>
      </c>
      <c r="K345">
        <v>32.28603743</v>
      </c>
      <c r="L345">
        <v>-1.14935E-4</v>
      </c>
    </row>
    <row r="346" spans="1:12" x14ac:dyDescent="0.2">
      <c r="A346" t="s">
        <v>7</v>
      </c>
      <c r="B346">
        <v>4</v>
      </c>
      <c r="C346" t="s">
        <v>2</v>
      </c>
      <c r="D346" s="2">
        <v>43698</v>
      </c>
      <c r="E346" s="3">
        <v>43698.620889999998</v>
      </c>
      <c r="F346" s="3">
        <v>43698.624360000002</v>
      </c>
      <c r="G346" s="4">
        <v>22.4</v>
      </c>
      <c r="H346" s="4">
        <v>27.22</v>
      </c>
      <c r="I346">
        <v>39.5</v>
      </c>
      <c r="J346">
        <v>0.88</v>
      </c>
      <c r="K346">
        <v>-16.929883090000001</v>
      </c>
      <c r="L346" s="6">
        <v>-3.4600000000000001E-5</v>
      </c>
    </row>
    <row r="347" spans="1:12" x14ac:dyDescent="0.2">
      <c r="A347" t="s">
        <v>7</v>
      </c>
      <c r="B347">
        <v>4</v>
      </c>
      <c r="C347" t="s">
        <v>3</v>
      </c>
      <c r="D347" s="2">
        <v>43698</v>
      </c>
      <c r="E347" s="3">
        <v>43698.626680000001</v>
      </c>
      <c r="F347" s="3">
        <v>43698.630149999997</v>
      </c>
      <c r="H347" s="4">
        <v>27.22</v>
      </c>
      <c r="K347">
        <v>13.08228306</v>
      </c>
      <c r="L347" s="6">
        <v>-4.74E-5</v>
      </c>
    </row>
    <row r="348" spans="1:12" x14ac:dyDescent="0.2">
      <c r="A348" t="s">
        <v>7</v>
      </c>
      <c r="B348">
        <v>5</v>
      </c>
      <c r="C348" t="s">
        <v>2</v>
      </c>
      <c r="D348" s="2">
        <v>43698</v>
      </c>
      <c r="E348" s="3">
        <v>43698.639000000003</v>
      </c>
      <c r="F348" s="3">
        <v>43698.642480000002</v>
      </c>
      <c r="G348" s="4">
        <v>20.9</v>
      </c>
      <c r="H348" s="4">
        <v>27.22</v>
      </c>
      <c r="I348">
        <v>36.4</v>
      </c>
      <c r="J348">
        <v>0.87</v>
      </c>
      <c r="K348">
        <v>0.29408647199999999</v>
      </c>
      <c r="L348">
        <v>-1.1121299999999999E-4</v>
      </c>
    </row>
    <row r="349" spans="1:12" x14ac:dyDescent="0.2">
      <c r="A349" t="s">
        <v>7</v>
      </c>
      <c r="B349">
        <v>5</v>
      </c>
      <c r="C349" t="s">
        <v>3</v>
      </c>
      <c r="D349" s="2">
        <v>43698</v>
      </c>
      <c r="E349" s="3">
        <v>43698.64572</v>
      </c>
      <c r="F349" s="3">
        <v>43698.647920000003</v>
      </c>
      <c r="H349" s="4">
        <v>27.22</v>
      </c>
      <c r="K349">
        <v>41.294223770000002</v>
      </c>
      <c r="L349" s="6">
        <v>-4.9799999999999998E-5</v>
      </c>
    </row>
    <row r="350" spans="1:12" x14ac:dyDescent="0.2">
      <c r="A350" t="s">
        <v>7</v>
      </c>
      <c r="B350">
        <v>1</v>
      </c>
      <c r="C350" t="s">
        <v>4</v>
      </c>
      <c r="D350" s="2">
        <v>43705</v>
      </c>
      <c r="E350" s="3">
        <v>43705.426789999998</v>
      </c>
      <c r="F350" s="3">
        <v>43705.430269999997</v>
      </c>
      <c r="G350" s="4">
        <v>14.5</v>
      </c>
      <c r="H350">
        <v>22.78</v>
      </c>
      <c r="I350">
        <v>38.1</v>
      </c>
      <c r="J350">
        <v>0.83</v>
      </c>
      <c r="K350">
        <v>-6.05290135352337</v>
      </c>
      <c r="L350">
        <v>-3.7911093532520701E-5</v>
      </c>
    </row>
    <row r="351" spans="1:12" x14ac:dyDescent="0.2">
      <c r="A351" t="s">
        <v>7</v>
      </c>
      <c r="B351">
        <v>1</v>
      </c>
      <c r="C351" t="s">
        <v>3</v>
      </c>
      <c r="D351" s="2">
        <v>43705</v>
      </c>
      <c r="E351" s="3">
        <v>43705.433040000004</v>
      </c>
      <c r="F351" s="3">
        <v>43705.436520000003</v>
      </c>
      <c r="H351">
        <v>22.78</v>
      </c>
      <c r="K351">
        <v>10.6256742986397</v>
      </c>
      <c r="L351">
        <v>-2.8439640059195101E-5</v>
      </c>
    </row>
    <row r="352" spans="1:12" x14ac:dyDescent="0.2">
      <c r="A352" t="s">
        <v>7</v>
      </c>
      <c r="B352">
        <v>2</v>
      </c>
      <c r="C352" t="s">
        <v>4</v>
      </c>
      <c r="D352" s="2">
        <v>43705</v>
      </c>
      <c r="E352" s="3">
        <v>43705.439469999998</v>
      </c>
      <c r="F352" s="3">
        <v>43705.442940000001</v>
      </c>
      <c r="G352" s="4">
        <v>14.1</v>
      </c>
      <c r="H352">
        <v>22.78</v>
      </c>
      <c r="I352">
        <v>44.8</v>
      </c>
      <c r="J352">
        <v>0.85</v>
      </c>
      <c r="K352">
        <v>-8.4312823455043802</v>
      </c>
      <c r="L352">
        <v>-9.0087148625416099E-5</v>
      </c>
    </row>
    <row r="353" spans="1:12" x14ac:dyDescent="0.2">
      <c r="A353" t="s">
        <v>7</v>
      </c>
      <c r="B353">
        <v>2</v>
      </c>
      <c r="C353" t="s">
        <v>3</v>
      </c>
      <c r="D353" s="2">
        <v>43705</v>
      </c>
      <c r="E353" s="3">
        <v>43705.446120000001</v>
      </c>
      <c r="F353" s="3">
        <v>43705.449589999997</v>
      </c>
      <c r="H353">
        <v>22.78</v>
      </c>
      <c r="K353">
        <v>8.39786463905644</v>
      </c>
      <c r="L353">
        <v>-1.88805234689721E-4</v>
      </c>
    </row>
    <row r="354" spans="1:12" x14ac:dyDescent="0.2">
      <c r="A354" t="s">
        <v>7</v>
      </c>
      <c r="B354">
        <v>3</v>
      </c>
      <c r="C354" t="s">
        <v>4</v>
      </c>
      <c r="D354" s="2">
        <v>43705</v>
      </c>
      <c r="E354" s="3">
        <v>43705.452080000003</v>
      </c>
      <c r="F354" s="3">
        <v>43705.455560000002</v>
      </c>
      <c r="G354" s="4">
        <v>9.6</v>
      </c>
      <c r="H354">
        <v>22.78</v>
      </c>
      <c r="I354">
        <v>36.5</v>
      </c>
      <c r="J354">
        <v>0.83</v>
      </c>
      <c r="K354">
        <v>-5.3534125042087304</v>
      </c>
      <c r="L354">
        <v>-4.5713701022328498E-4</v>
      </c>
    </row>
    <row r="355" spans="1:12" x14ac:dyDescent="0.2">
      <c r="A355" t="s">
        <v>7</v>
      </c>
      <c r="B355">
        <v>3</v>
      </c>
      <c r="C355" t="s">
        <v>3</v>
      </c>
      <c r="D355" s="2">
        <v>43705</v>
      </c>
      <c r="E355" s="3">
        <v>43705.458160000002</v>
      </c>
      <c r="F355" s="3">
        <v>43705.461629999998</v>
      </c>
      <c r="H355">
        <v>22.78</v>
      </c>
      <c r="K355">
        <v>35.557696434983399</v>
      </c>
      <c r="L355">
        <v>-4.8726216350293501E-4</v>
      </c>
    </row>
    <row r="356" spans="1:12" x14ac:dyDescent="0.2">
      <c r="A356" t="s">
        <v>7</v>
      </c>
      <c r="B356">
        <v>4</v>
      </c>
      <c r="C356" t="s">
        <v>4</v>
      </c>
      <c r="D356" s="2">
        <v>43705</v>
      </c>
      <c r="E356" s="3">
        <v>43705.464639999998</v>
      </c>
      <c r="F356" s="3">
        <v>43705.468110000002</v>
      </c>
      <c r="G356" s="4">
        <v>12.5</v>
      </c>
      <c r="H356">
        <v>22.78</v>
      </c>
      <c r="I356">
        <v>46.8</v>
      </c>
      <c r="J356">
        <v>0.83</v>
      </c>
      <c r="K356">
        <v>-5.5800546879274204</v>
      </c>
      <c r="L356">
        <v>-2.81439542595962E-4</v>
      </c>
    </row>
    <row r="357" spans="1:12" x14ac:dyDescent="0.2">
      <c r="A357" t="s">
        <v>7</v>
      </c>
      <c r="B357">
        <v>4</v>
      </c>
      <c r="C357" t="s">
        <v>3</v>
      </c>
      <c r="D357" s="2">
        <v>43705</v>
      </c>
      <c r="E357" s="3">
        <v>43705.471060000003</v>
      </c>
      <c r="F357" s="3">
        <v>43705.474540000003</v>
      </c>
      <c r="H357">
        <v>22.78</v>
      </c>
      <c r="K357">
        <v>7.8337273196502597</v>
      </c>
      <c r="L357">
        <v>-2.3340666848125601E-5</v>
      </c>
    </row>
    <row r="358" spans="1:12" x14ac:dyDescent="0.2">
      <c r="A358" t="s">
        <v>7</v>
      </c>
      <c r="B358">
        <v>5</v>
      </c>
      <c r="C358" t="s">
        <v>4</v>
      </c>
      <c r="D358" s="2">
        <v>43705</v>
      </c>
      <c r="E358" s="3">
        <v>43705.477890000002</v>
      </c>
      <c r="F358" s="3">
        <v>43705.481370000001</v>
      </c>
      <c r="G358" s="4">
        <v>6.5</v>
      </c>
      <c r="H358">
        <v>24.44</v>
      </c>
      <c r="I358">
        <v>36</v>
      </c>
      <c r="J358">
        <v>0.83</v>
      </c>
      <c r="K358">
        <v>-1.79296631737293</v>
      </c>
      <c r="L358">
        <v>-2.6619171224620899E-4</v>
      </c>
    </row>
    <row r="359" spans="1:12" x14ac:dyDescent="0.2">
      <c r="A359" t="s">
        <v>7</v>
      </c>
      <c r="B359">
        <v>5</v>
      </c>
      <c r="C359" t="s">
        <v>3</v>
      </c>
      <c r="D359" s="2">
        <v>43705</v>
      </c>
      <c r="E359" s="3">
        <v>43705.485529999998</v>
      </c>
      <c r="F359" s="3">
        <v>43705.489000000001</v>
      </c>
      <c r="H359">
        <v>24.44</v>
      </c>
      <c r="K359">
        <v>54.990384123072801</v>
      </c>
      <c r="L359">
        <v>-2.4665961119935001E-4</v>
      </c>
    </row>
    <row r="360" spans="1:12" x14ac:dyDescent="0.2">
      <c r="A360" t="s">
        <v>7</v>
      </c>
      <c r="B360">
        <v>1</v>
      </c>
      <c r="C360" t="s">
        <v>4</v>
      </c>
      <c r="D360" s="2">
        <v>43705</v>
      </c>
      <c r="E360" s="3">
        <v>43705.531710000003</v>
      </c>
      <c r="F360" s="3">
        <v>43705.535190000002</v>
      </c>
      <c r="G360" s="4">
        <v>11</v>
      </c>
      <c r="H360">
        <v>26.67</v>
      </c>
      <c r="I360">
        <v>44.2</v>
      </c>
      <c r="J360">
        <v>0.81</v>
      </c>
      <c r="K360">
        <v>-2.2364380119909799</v>
      </c>
      <c r="L360">
        <v>-1.11731E-4</v>
      </c>
    </row>
    <row r="361" spans="1:12" x14ac:dyDescent="0.2">
      <c r="A361" t="s">
        <v>7</v>
      </c>
      <c r="B361">
        <v>1</v>
      </c>
      <c r="C361" t="s">
        <v>3</v>
      </c>
      <c r="D361" s="2">
        <v>43705</v>
      </c>
      <c r="E361" s="3">
        <v>43705.53744</v>
      </c>
      <c r="F361" s="3">
        <v>43705.540910000003</v>
      </c>
      <c r="H361">
        <v>26.67</v>
      </c>
      <c r="K361">
        <v>9.1935241823580505</v>
      </c>
      <c r="L361" s="6">
        <v>8.1600000000000005E-5</v>
      </c>
    </row>
    <row r="362" spans="1:12" x14ac:dyDescent="0.2">
      <c r="A362" t="s">
        <v>7</v>
      </c>
      <c r="B362">
        <v>2</v>
      </c>
      <c r="C362" t="s">
        <v>4</v>
      </c>
      <c r="D362" s="2">
        <v>43705</v>
      </c>
      <c r="E362" s="3">
        <v>43705.543810000003</v>
      </c>
      <c r="F362" s="3">
        <v>43705.547279999999</v>
      </c>
      <c r="G362" s="4">
        <v>11.4</v>
      </c>
      <c r="H362">
        <v>26.67</v>
      </c>
      <c r="I362">
        <v>50.4</v>
      </c>
      <c r="J362">
        <v>0.83</v>
      </c>
      <c r="K362">
        <v>-3.4111691758428502</v>
      </c>
      <c r="L362">
        <v>-2.5106800000000002E-4</v>
      </c>
    </row>
    <row r="363" spans="1:12" x14ac:dyDescent="0.2">
      <c r="A363" t="s">
        <v>7</v>
      </c>
      <c r="B363">
        <v>2</v>
      </c>
      <c r="C363" t="s">
        <v>3</v>
      </c>
      <c r="D363" s="2">
        <v>43705</v>
      </c>
      <c r="E363" s="3">
        <v>43705.550349999998</v>
      </c>
      <c r="F363" s="3">
        <v>43705.553820000001</v>
      </c>
      <c r="H363">
        <v>26.67</v>
      </c>
      <c r="K363">
        <v>10.420969817600801</v>
      </c>
      <c r="L363">
        <v>-1.16171E-4</v>
      </c>
    </row>
    <row r="364" spans="1:12" x14ac:dyDescent="0.2">
      <c r="A364" t="s">
        <v>7</v>
      </c>
      <c r="B364">
        <v>3</v>
      </c>
      <c r="C364" t="s">
        <v>4</v>
      </c>
      <c r="D364" s="2">
        <v>43705</v>
      </c>
      <c r="E364" s="3">
        <v>43705.556020000004</v>
      </c>
      <c r="F364" s="3">
        <v>43705.55949</v>
      </c>
      <c r="G364" s="4">
        <v>8.6999999999999993</v>
      </c>
      <c r="H364">
        <v>28.33</v>
      </c>
      <c r="I364">
        <v>43.1</v>
      </c>
      <c r="J364">
        <v>0.83</v>
      </c>
      <c r="K364">
        <v>-3.1637729554208698</v>
      </c>
      <c r="L364">
        <v>-1.18195E-4</v>
      </c>
    </row>
    <row r="365" spans="1:12" x14ac:dyDescent="0.2">
      <c r="A365" t="s">
        <v>7</v>
      </c>
      <c r="B365">
        <v>3</v>
      </c>
      <c r="C365" t="s">
        <v>3</v>
      </c>
      <c r="D365" s="2">
        <v>43705</v>
      </c>
      <c r="E365" s="3">
        <v>43705.562850000002</v>
      </c>
      <c r="F365" s="3">
        <v>43705.566319999998</v>
      </c>
      <c r="H365">
        <v>28.33</v>
      </c>
      <c r="K365">
        <v>36.116425166779898</v>
      </c>
      <c r="L365">
        <v>-1.5939599999999999E-4</v>
      </c>
    </row>
    <row r="366" spans="1:12" x14ac:dyDescent="0.2">
      <c r="A366" t="s">
        <v>7</v>
      </c>
      <c r="B366">
        <v>4</v>
      </c>
      <c r="C366" t="s">
        <v>4</v>
      </c>
      <c r="D366" s="2">
        <v>43705</v>
      </c>
      <c r="E366" s="3">
        <v>43705.56985</v>
      </c>
      <c r="F366" s="3">
        <v>43705.573320000003</v>
      </c>
      <c r="G366" s="4">
        <v>11.1</v>
      </c>
      <c r="H366">
        <v>28.33</v>
      </c>
      <c r="I366">
        <v>42.3</v>
      </c>
      <c r="J366">
        <v>0.85</v>
      </c>
      <c r="K366">
        <v>-12.0359216635129</v>
      </c>
      <c r="L366">
        <v>-1.83468E-4</v>
      </c>
    </row>
    <row r="367" spans="1:12" x14ac:dyDescent="0.2">
      <c r="A367" t="s">
        <v>7</v>
      </c>
      <c r="B367">
        <v>4</v>
      </c>
      <c r="C367" t="s">
        <v>3</v>
      </c>
      <c r="D367" s="2">
        <v>43705</v>
      </c>
      <c r="E367" s="3">
        <v>43705.57645</v>
      </c>
      <c r="F367" s="3">
        <v>43705.579919999996</v>
      </c>
      <c r="H367">
        <v>28.33</v>
      </c>
      <c r="K367">
        <v>14.360700417056901</v>
      </c>
      <c r="L367">
        <v>-2.0300200000000001E-4</v>
      </c>
    </row>
    <row r="368" spans="1:12" x14ac:dyDescent="0.2">
      <c r="A368" t="s">
        <v>7</v>
      </c>
      <c r="B368">
        <v>5</v>
      </c>
      <c r="C368" t="s">
        <v>4</v>
      </c>
      <c r="D368" s="2">
        <v>43705</v>
      </c>
      <c r="E368" s="3">
        <v>43705.585420000003</v>
      </c>
      <c r="F368" s="3">
        <v>43705.588889999999</v>
      </c>
      <c r="G368" s="4">
        <v>12.8</v>
      </c>
      <c r="H368">
        <v>29.44</v>
      </c>
      <c r="I368">
        <v>41.5</v>
      </c>
      <c r="J368">
        <v>0.82</v>
      </c>
      <c r="K368">
        <v>3.5949630275737499E-2</v>
      </c>
      <c r="L368">
        <v>-2.90065E-4</v>
      </c>
    </row>
    <row r="369" spans="1:12" x14ac:dyDescent="0.2">
      <c r="A369" t="s">
        <v>7</v>
      </c>
      <c r="B369">
        <v>5</v>
      </c>
      <c r="C369" t="s">
        <v>3</v>
      </c>
      <c r="D369" s="2">
        <v>43705</v>
      </c>
      <c r="E369" s="3">
        <v>43705.591899999999</v>
      </c>
      <c r="F369" s="3">
        <v>43705.595370000003</v>
      </c>
      <c r="H369">
        <v>29.44</v>
      </c>
      <c r="K369">
        <v>54.482886799777098</v>
      </c>
      <c r="L369">
        <v>-1.4279599999999999E-4</v>
      </c>
    </row>
    <row r="370" spans="1:12" x14ac:dyDescent="0.2">
      <c r="A370" t="s">
        <v>7</v>
      </c>
      <c r="B370">
        <v>1</v>
      </c>
      <c r="C370" t="s">
        <v>4</v>
      </c>
      <c r="D370" s="2">
        <v>43712</v>
      </c>
      <c r="E370" s="3">
        <v>43712.418290000001</v>
      </c>
      <c r="F370" s="3">
        <v>43712.421759999997</v>
      </c>
      <c r="G370" s="4">
        <v>9.8000000000000007</v>
      </c>
      <c r="H370" s="4">
        <v>22.22</v>
      </c>
      <c r="I370">
        <v>37.5</v>
      </c>
      <c r="J370">
        <v>0.81</v>
      </c>
      <c r="K370">
        <v>0.389626633</v>
      </c>
      <c r="L370" s="6">
        <v>3.4599999999999999E-6</v>
      </c>
    </row>
    <row r="371" spans="1:12" x14ac:dyDescent="0.2">
      <c r="A371" t="s">
        <v>7</v>
      </c>
      <c r="B371">
        <v>1</v>
      </c>
      <c r="C371" t="s">
        <v>3</v>
      </c>
      <c r="D371" s="2">
        <v>43712</v>
      </c>
      <c r="E371" s="3">
        <v>43712.423730000002</v>
      </c>
      <c r="F371" s="3">
        <v>43712.427199999998</v>
      </c>
      <c r="H371" s="4">
        <v>22.22</v>
      </c>
      <c r="K371">
        <v>16.408251809999999</v>
      </c>
      <c r="L371">
        <v>-3.20346E-4</v>
      </c>
    </row>
    <row r="372" spans="1:12" x14ac:dyDescent="0.2">
      <c r="A372" t="s">
        <v>7</v>
      </c>
      <c r="B372">
        <v>2</v>
      </c>
      <c r="C372" t="s">
        <v>4</v>
      </c>
      <c r="D372" s="2">
        <v>43712</v>
      </c>
      <c r="E372" s="3">
        <v>43712.43131</v>
      </c>
      <c r="F372" s="3">
        <v>43712.434780000003</v>
      </c>
      <c r="G372" s="4">
        <v>16.2</v>
      </c>
      <c r="H372" s="4">
        <v>22.22</v>
      </c>
      <c r="I372">
        <v>42</v>
      </c>
      <c r="J372">
        <v>0.84</v>
      </c>
      <c r="K372">
        <v>-3.3051736379999999</v>
      </c>
      <c r="L372" s="6">
        <v>3.6100000000000003E-5</v>
      </c>
    </row>
    <row r="373" spans="1:12" x14ac:dyDescent="0.2">
      <c r="A373" t="s">
        <v>7</v>
      </c>
      <c r="B373">
        <v>2</v>
      </c>
      <c r="C373" t="s">
        <v>3</v>
      </c>
      <c r="D373" s="2">
        <v>43712</v>
      </c>
      <c r="E373" s="3">
        <v>43712.438249999999</v>
      </c>
      <c r="F373" s="3">
        <v>43712.441720000003</v>
      </c>
      <c r="H373" s="4">
        <v>22.22</v>
      </c>
      <c r="K373">
        <v>13.10401055</v>
      </c>
      <c r="L373">
        <v>-3.8511300000000002E-4</v>
      </c>
    </row>
    <row r="374" spans="1:12" x14ac:dyDescent="0.2">
      <c r="A374" t="s">
        <v>7</v>
      </c>
      <c r="B374">
        <v>3</v>
      </c>
      <c r="C374" t="s">
        <v>4</v>
      </c>
      <c r="D374" s="2">
        <v>43712</v>
      </c>
      <c r="E374" s="3">
        <v>43712.445200000002</v>
      </c>
      <c r="F374" s="3">
        <v>43712.448669999998</v>
      </c>
      <c r="G374" s="4">
        <v>12.3</v>
      </c>
      <c r="H374" s="4">
        <v>22.22</v>
      </c>
      <c r="I374">
        <v>37.299999999999997</v>
      </c>
      <c r="J374">
        <v>0.84</v>
      </c>
      <c r="K374">
        <v>-2.5395480680000002</v>
      </c>
      <c r="L374">
        <v>-2.7910000000000001E-4</v>
      </c>
    </row>
    <row r="375" spans="1:12" x14ac:dyDescent="0.2">
      <c r="A375" t="s">
        <v>7</v>
      </c>
      <c r="B375">
        <v>3</v>
      </c>
      <c r="C375" t="s">
        <v>3</v>
      </c>
      <c r="D375" s="2">
        <v>43712</v>
      </c>
      <c r="E375" s="3">
        <v>43712.451789999999</v>
      </c>
      <c r="F375" s="3">
        <v>43712.455269999999</v>
      </c>
      <c r="H375" s="4">
        <v>22.22</v>
      </c>
      <c r="K375">
        <v>18.269560500000001</v>
      </c>
      <c r="L375">
        <v>-2.0136199999999999E-4</v>
      </c>
    </row>
    <row r="376" spans="1:12" x14ac:dyDescent="0.2">
      <c r="A376" t="s">
        <v>7</v>
      </c>
      <c r="B376">
        <v>4</v>
      </c>
      <c r="C376" t="s">
        <v>4</v>
      </c>
      <c r="D376" s="2">
        <v>43712</v>
      </c>
      <c r="E376" s="3">
        <v>43712.459139999999</v>
      </c>
      <c r="F376" s="3">
        <v>43712.462619999998</v>
      </c>
      <c r="G376" s="4">
        <v>13.2</v>
      </c>
      <c r="H376" s="4">
        <v>22.22</v>
      </c>
      <c r="I376">
        <v>37.5</v>
      </c>
      <c r="J376">
        <v>0.81</v>
      </c>
      <c r="K376">
        <v>-15.293359799999999</v>
      </c>
      <c r="L376">
        <v>-1.08916E-4</v>
      </c>
    </row>
    <row r="377" spans="1:12" x14ac:dyDescent="0.2">
      <c r="A377" t="s">
        <v>7</v>
      </c>
      <c r="B377">
        <v>4</v>
      </c>
      <c r="C377" t="s">
        <v>3</v>
      </c>
      <c r="D377" s="2">
        <v>43712</v>
      </c>
      <c r="E377" s="3">
        <v>43712.466719999997</v>
      </c>
      <c r="F377" s="3">
        <v>43712.470200000003</v>
      </c>
      <c r="H377" s="4">
        <v>22.22</v>
      </c>
      <c r="K377">
        <v>12.271332810000001</v>
      </c>
      <c r="L377" s="6">
        <v>-7.1600000000000001E-6</v>
      </c>
    </row>
    <row r="378" spans="1:12" x14ac:dyDescent="0.2">
      <c r="A378" t="s">
        <v>7</v>
      </c>
      <c r="B378">
        <v>5</v>
      </c>
      <c r="C378" t="s">
        <v>4</v>
      </c>
      <c r="D378" s="2">
        <v>43712</v>
      </c>
      <c r="E378" s="3">
        <v>43712.477140000003</v>
      </c>
      <c r="F378" s="3">
        <v>43712.480609999999</v>
      </c>
      <c r="G378" s="4">
        <v>14.8</v>
      </c>
      <c r="H378" s="4">
        <v>24.44</v>
      </c>
      <c r="I378">
        <v>52.8</v>
      </c>
      <c r="J378">
        <v>0.79</v>
      </c>
      <c r="K378">
        <v>-17.846826279999998</v>
      </c>
      <c r="L378">
        <v>-4.5191900000000001E-4</v>
      </c>
    </row>
    <row r="379" spans="1:12" x14ac:dyDescent="0.2">
      <c r="A379" t="s">
        <v>7</v>
      </c>
      <c r="B379">
        <v>5</v>
      </c>
      <c r="C379" t="s">
        <v>3</v>
      </c>
      <c r="D379" s="2">
        <v>43712</v>
      </c>
      <c r="E379" s="3">
        <v>43712.484490000003</v>
      </c>
      <c r="F379" s="3">
        <v>43712.487959999999</v>
      </c>
      <c r="H379" s="4">
        <v>24.44</v>
      </c>
      <c r="K379">
        <v>32.010230720000003</v>
      </c>
      <c r="L379">
        <v>-4.3282299999999999E-4</v>
      </c>
    </row>
    <row r="380" spans="1:12" x14ac:dyDescent="0.2">
      <c r="A380" t="s">
        <v>7</v>
      </c>
      <c r="B380">
        <v>1</v>
      </c>
      <c r="C380" t="s">
        <v>4</v>
      </c>
      <c r="D380" s="2">
        <v>43712</v>
      </c>
      <c r="E380" s="3">
        <v>43712.507060000004</v>
      </c>
      <c r="F380" s="3">
        <v>43712.51053</v>
      </c>
      <c r="G380" s="4">
        <v>5.4</v>
      </c>
      <c r="H380" s="4">
        <v>24.44</v>
      </c>
      <c r="I380">
        <v>36.299999999999997</v>
      </c>
      <c r="J380">
        <v>0.79</v>
      </c>
      <c r="K380">
        <v>-11.537454159999999</v>
      </c>
      <c r="L380">
        <v>-5.57593E-4</v>
      </c>
    </row>
    <row r="381" spans="1:12" x14ac:dyDescent="0.2">
      <c r="A381" t="s">
        <v>7</v>
      </c>
      <c r="B381">
        <v>1</v>
      </c>
      <c r="C381" t="s">
        <v>3</v>
      </c>
      <c r="D381" s="2">
        <v>43712</v>
      </c>
      <c r="E381" s="3">
        <v>43712.515099999997</v>
      </c>
      <c r="F381" s="3">
        <v>43712.518580000004</v>
      </c>
      <c r="H381" s="4">
        <v>24.44</v>
      </c>
      <c r="K381">
        <v>22.798785880000001</v>
      </c>
      <c r="L381">
        <v>-5.1271599999999997E-4</v>
      </c>
    </row>
    <row r="382" spans="1:12" x14ac:dyDescent="0.2">
      <c r="A382" t="s">
        <v>7</v>
      </c>
      <c r="B382">
        <v>2</v>
      </c>
      <c r="C382" t="s">
        <v>4</v>
      </c>
      <c r="D382" s="2">
        <v>43712</v>
      </c>
      <c r="E382" s="3">
        <v>43712.522920000003</v>
      </c>
      <c r="F382" s="3">
        <v>43712.526389999999</v>
      </c>
      <c r="G382" s="4">
        <v>15.2</v>
      </c>
      <c r="H382" s="4">
        <v>24.44</v>
      </c>
      <c r="I382">
        <v>38.9</v>
      </c>
      <c r="J382">
        <v>0.82</v>
      </c>
      <c r="K382">
        <v>-9.1079991450000009</v>
      </c>
      <c r="L382" s="6">
        <v>-2.6299999999999999E-5</v>
      </c>
    </row>
    <row r="383" spans="1:12" x14ac:dyDescent="0.2">
      <c r="A383" t="s">
        <v>7</v>
      </c>
      <c r="B383">
        <v>2</v>
      </c>
      <c r="C383" t="s">
        <v>3</v>
      </c>
      <c r="D383" s="2">
        <v>43712</v>
      </c>
      <c r="E383" s="3">
        <v>43712.530899999998</v>
      </c>
      <c r="F383" s="3">
        <v>43712.534379999997</v>
      </c>
      <c r="H383" s="4">
        <v>24.44</v>
      </c>
      <c r="K383">
        <v>10.064395709999999</v>
      </c>
      <c r="L383">
        <v>-1.8160999999999999E-4</v>
      </c>
    </row>
    <row r="384" spans="1:12" x14ac:dyDescent="0.2">
      <c r="A384" t="s">
        <v>7</v>
      </c>
      <c r="B384">
        <v>3</v>
      </c>
      <c r="C384" t="s">
        <v>4</v>
      </c>
      <c r="D384" s="2">
        <v>43712</v>
      </c>
      <c r="E384" s="3">
        <v>43712.544500000004</v>
      </c>
      <c r="F384" s="3">
        <v>43712.54797</v>
      </c>
      <c r="G384" s="4">
        <v>13.3</v>
      </c>
      <c r="H384" s="4">
        <v>25</v>
      </c>
      <c r="I384">
        <v>32.700000000000003</v>
      </c>
      <c r="J384">
        <v>0.83</v>
      </c>
      <c r="K384">
        <v>-14.640606679999999</v>
      </c>
      <c r="L384">
        <v>3.1259099999999998E-4</v>
      </c>
    </row>
    <row r="385" spans="1:12" x14ac:dyDescent="0.2">
      <c r="A385" t="s">
        <v>7</v>
      </c>
      <c r="B385">
        <v>3</v>
      </c>
      <c r="C385" t="s">
        <v>3</v>
      </c>
      <c r="D385" s="2">
        <v>43712</v>
      </c>
      <c r="E385" s="3">
        <v>43712.55341</v>
      </c>
      <c r="F385" s="3">
        <v>43712.55689</v>
      </c>
      <c r="H385" s="4">
        <v>25</v>
      </c>
      <c r="K385">
        <v>21.57541595</v>
      </c>
      <c r="L385" s="6">
        <v>3.7799999999999997E-5</v>
      </c>
    </row>
    <row r="386" spans="1:12" x14ac:dyDescent="0.2">
      <c r="A386" t="s">
        <v>7</v>
      </c>
      <c r="B386">
        <v>4</v>
      </c>
      <c r="C386" t="s">
        <v>4</v>
      </c>
      <c r="D386" s="2">
        <v>43712</v>
      </c>
      <c r="E386" s="3">
        <v>43712.560469999997</v>
      </c>
      <c r="F386" s="3">
        <v>43712.563950000003</v>
      </c>
      <c r="G386" s="4">
        <v>13</v>
      </c>
      <c r="H386" s="4">
        <v>25</v>
      </c>
      <c r="I386">
        <v>40.6</v>
      </c>
      <c r="J386">
        <v>0.8</v>
      </c>
      <c r="K386">
        <v>-15.306464500000001</v>
      </c>
      <c r="L386">
        <v>-2.9239000000000001E-4</v>
      </c>
    </row>
    <row r="387" spans="1:12" x14ac:dyDescent="0.2">
      <c r="A387" t="s">
        <v>7</v>
      </c>
      <c r="B387">
        <v>4</v>
      </c>
      <c r="C387" t="s">
        <v>3</v>
      </c>
      <c r="D387" s="2">
        <v>43712</v>
      </c>
      <c r="E387" s="3">
        <v>43712.56811</v>
      </c>
      <c r="F387" s="3">
        <v>43712.57159</v>
      </c>
      <c r="H387" s="4">
        <v>25</v>
      </c>
      <c r="K387">
        <v>19.492684189999999</v>
      </c>
      <c r="L387" s="6">
        <v>-5.6499999999999998E-5</v>
      </c>
    </row>
    <row r="388" spans="1:12" x14ac:dyDescent="0.2">
      <c r="A388" t="s">
        <v>7</v>
      </c>
      <c r="B388">
        <v>5</v>
      </c>
      <c r="C388" t="s">
        <v>4</v>
      </c>
      <c r="D388" s="2">
        <v>43712</v>
      </c>
      <c r="E388" s="3">
        <v>43712.574650000002</v>
      </c>
      <c r="F388" s="3">
        <v>43712.578130000002</v>
      </c>
      <c r="G388" s="4">
        <v>10.4</v>
      </c>
      <c r="H388" s="4">
        <v>26.11</v>
      </c>
      <c r="I388">
        <v>46.4</v>
      </c>
      <c r="J388">
        <v>0.82</v>
      </c>
      <c r="K388">
        <v>-35.318486530000001</v>
      </c>
      <c r="L388" s="6">
        <v>-2.3799999999999999E-5</v>
      </c>
    </row>
    <row r="389" spans="1:12" x14ac:dyDescent="0.2">
      <c r="A389" t="s">
        <v>7</v>
      </c>
      <c r="B389">
        <v>5</v>
      </c>
      <c r="C389" t="s">
        <v>3</v>
      </c>
      <c r="D389" s="2">
        <v>43712</v>
      </c>
      <c r="E389" s="3">
        <v>43712.582640000001</v>
      </c>
      <c r="F389" s="3">
        <v>43712.586109999997</v>
      </c>
      <c r="H389" s="4">
        <v>26.11</v>
      </c>
      <c r="K389">
        <v>33.742689339999998</v>
      </c>
      <c r="L389" s="6">
        <v>-3.9100000000000002E-5</v>
      </c>
    </row>
    <row r="390" spans="1:12" x14ac:dyDescent="0.2">
      <c r="A390" t="s">
        <v>7</v>
      </c>
      <c r="B390">
        <v>1</v>
      </c>
      <c r="C390" t="s">
        <v>4</v>
      </c>
      <c r="D390" s="2">
        <v>43721</v>
      </c>
      <c r="E390" s="3">
        <v>43721.4162</v>
      </c>
      <c r="F390" s="3">
        <v>43721.419679999999</v>
      </c>
      <c r="G390" s="4">
        <v>15.6</v>
      </c>
      <c r="H390" s="4">
        <v>15</v>
      </c>
      <c r="I390">
        <v>19.3</v>
      </c>
      <c r="J390">
        <v>0.63</v>
      </c>
      <c r="K390">
        <v>-5.00526980273606</v>
      </c>
      <c r="L390">
        <v>-2.5114700000000001E-4</v>
      </c>
    </row>
    <row r="391" spans="1:12" x14ac:dyDescent="0.2">
      <c r="A391" t="s">
        <v>7</v>
      </c>
      <c r="B391">
        <v>1</v>
      </c>
      <c r="C391" t="s">
        <v>3</v>
      </c>
      <c r="D391" s="2">
        <v>43721</v>
      </c>
      <c r="E391" s="3">
        <v>43721.422449999998</v>
      </c>
      <c r="F391" s="3">
        <v>43721.425929999998</v>
      </c>
      <c r="H391" s="4">
        <v>15</v>
      </c>
      <c r="K391">
        <v>8.9474155836730596</v>
      </c>
      <c r="L391" s="6">
        <v>9.5400000000000001E-5</v>
      </c>
    </row>
    <row r="392" spans="1:12" x14ac:dyDescent="0.2">
      <c r="A392" t="s">
        <v>7</v>
      </c>
      <c r="B392">
        <v>2</v>
      </c>
      <c r="C392" t="s">
        <v>4</v>
      </c>
      <c r="D392" s="2">
        <v>43721</v>
      </c>
      <c r="E392" s="3">
        <v>43721.430269999997</v>
      </c>
      <c r="F392" s="3">
        <v>43721.43374</v>
      </c>
      <c r="G392" s="4">
        <v>20.399999999999999</v>
      </c>
      <c r="H392" s="4">
        <v>15</v>
      </c>
      <c r="I392">
        <v>22</v>
      </c>
      <c r="J392">
        <v>0.66</v>
      </c>
      <c r="K392">
        <v>0.12378980158278099</v>
      </c>
      <c r="L392">
        <v>1.4083499999999999E-4</v>
      </c>
    </row>
    <row r="393" spans="1:12" x14ac:dyDescent="0.2">
      <c r="A393" t="s">
        <v>7</v>
      </c>
      <c r="B393">
        <v>2</v>
      </c>
      <c r="C393" t="s">
        <v>3</v>
      </c>
      <c r="D393" s="2">
        <v>43721</v>
      </c>
      <c r="E393" s="3">
        <v>43721.437619999997</v>
      </c>
      <c r="F393" s="3">
        <v>43721.44109</v>
      </c>
      <c r="H393" s="4">
        <v>15</v>
      </c>
      <c r="K393">
        <v>6.89313369045869</v>
      </c>
      <c r="L393">
        <v>1.5897900000000001E-4</v>
      </c>
    </row>
    <row r="394" spans="1:12" x14ac:dyDescent="0.2">
      <c r="A394" t="s">
        <v>7</v>
      </c>
      <c r="B394">
        <v>3</v>
      </c>
      <c r="C394" t="s">
        <v>4</v>
      </c>
      <c r="D394" s="2">
        <v>43721</v>
      </c>
      <c r="E394" s="3">
        <v>43721.445140000003</v>
      </c>
      <c r="F394" s="3">
        <v>43721.448609999999</v>
      </c>
      <c r="G394" s="4">
        <v>14.7</v>
      </c>
      <c r="H394" s="4">
        <v>15</v>
      </c>
      <c r="I394">
        <v>23.2</v>
      </c>
      <c r="J394">
        <v>0.61</v>
      </c>
      <c r="K394">
        <v>-9.5868648373473597</v>
      </c>
      <c r="L394" s="6">
        <v>-7.7000000000000001E-5</v>
      </c>
    </row>
    <row r="395" spans="1:12" x14ac:dyDescent="0.2">
      <c r="A395" t="s">
        <v>7</v>
      </c>
      <c r="B395">
        <v>3</v>
      </c>
      <c r="C395" t="s">
        <v>3</v>
      </c>
      <c r="D395" s="2">
        <v>43721</v>
      </c>
      <c r="E395" s="3">
        <v>43721.452259999998</v>
      </c>
      <c r="F395" s="3">
        <v>43721.455730000001</v>
      </c>
      <c r="H395" s="4">
        <v>15</v>
      </c>
      <c r="K395">
        <v>13.6838992994051</v>
      </c>
      <c r="L395">
        <v>-5.8655700000000003E-4</v>
      </c>
    </row>
    <row r="396" spans="1:12" x14ac:dyDescent="0.2">
      <c r="A396" t="s">
        <v>7</v>
      </c>
      <c r="B396">
        <v>4</v>
      </c>
      <c r="C396" t="s">
        <v>4</v>
      </c>
      <c r="D396" s="2">
        <v>43721</v>
      </c>
      <c r="E396" s="3">
        <v>43721.460299999999</v>
      </c>
      <c r="F396" s="3">
        <v>43721.463770000002</v>
      </c>
      <c r="G396" s="4">
        <v>14.9</v>
      </c>
      <c r="H396" s="4">
        <v>15</v>
      </c>
      <c r="I396">
        <v>18</v>
      </c>
      <c r="J396">
        <v>0.68</v>
      </c>
      <c r="K396">
        <v>-4.7449123105619799</v>
      </c>
      <c r="L396">
        <v>-3.7500800000000003E-4</v>
      </c>
    </row>
    <row r="397" spans="1:12" x14ac:dyDescent="0.2">
      <c r="A397" t="s">
        <v>7</v>
      </c>
      <c r="B397">
        <v>4</v>
      </c>
      <c r="C397" t="s">
        <v>3</v>
      </c>
      <c r="D397" s="2">
        <v>43721</v>
      </c>
      <c r="E397" s="3">
        <v>43721.468630000003</v>
      </c>
      <c r="F397" s="3">
        <v>43721.472110000002</v>
      </c>
      <c r="H397" s="4">
        <v>15</v>
      </c>
      <c r="K397">
        <v>7.0075157114909699</v>
      </c>
      <c r="L397">
        <v>-3.6338199999999998E-4</v>
      </c>
    </row>
    <row r="398" spans="1:12" x14ac:dyDescent="0.2">
      <c r="A398" t="s">
        <v>7</v>
      </c>
      <c r="B398">
        <v>5</v>
      </c>
      <c r="C398" t="s">
        <v>4</v>
      </c>
      <c r="D398" s="2">
        <v>43721</v>
      </c>
      <c r="E398" s="3">
        <v>43721.476159999998</v>
      </c>
      <c r="F398" s="3">
        <v>43721.479630000002</v>
      </c>
      <c r="G398" s="4">
        <v>15.2</v>
      </c>
      <c r="H398" s="4">
        <v>18.329999999999998</v>
      </c>
      <c r="I398">
        <v>19.2</v>
      </c>
      <c r="J398">
        <v>0.7</v>
      </c>
      <c r="K398">
        <v>-8.0508844010413192</v>
      </c>
      <c r="L398" s="6">
        <v>1.1400000000000001E-6</v>
      </c>
    </row>
    <row r="399" spans="1:12" x14ac:dyDescent="0.2">
      <c r="A399" t="s">
        <v>7</v>
      </c>
      <c r="B399">
        <v>5</v>
      </c>
      <c r="C399" t="s">
        <v>3</v>
      </c>
      <c r="D399" s="2">
        <v>43721</v>
      </c>
      <c r="E399" s="3">
        <v>43721.483220000002</v>
      </c>
      <c r="F399" s="3">
        <v>43721.486689999998</v>
      </c>
      <c r="H399" s="4">
        <v>18.329999999999998</v>
      </c>
      <c r="K399">
        <v>26.475105152152899</v>
      </c>
      <c r="L399" s="6">
        <v>-3.1600000000000002E-5</v>
      </c>
    </row>
    <row r="400" spans="1:12" x14ac:dyDescent="0.2">
      <c r="A400" t="s">
        <v>7</v>
      </c>
      <c r="B400">
        <v>1</v>
      </c>
      <c r="C400" t="s">
        <v>4</v>
      </c>
      <c r="D400" s="2">
        <v>43721</v>
      </c>
      <c r="E400" s="3">
        <v>43721.518580000004</v>
      </c>
      <c r="F400" s="3">
        <v>43721.52205</v>
      </c>
      <c r="G400" s="4">
        <v>14.6</v>
      </c>
      <c r="H400" s="4">
        <v>18.89</v>
      </c>
      <c r="I400">
        <v>17.100000000000001</v>
      </c>
      <c r="J400">
        <v>0.62</v>
      </c>
      <c r="K400">
        <v>1.408862289</v>
      </c>
      <c r="L400">
        <v>-1.206394E-3</v>
      </c>
    </row>
    <row r="401" spans="1:12" x14ac:dyDescent="0.2">
      <c r="A401" t="s">
        <v>7</v>
      </c>
      <c r="B401">
        <v>1</v>
      </c>
      <c r="C401" t="s">
        <v>3</v>
      </c>
      <c r="D401" s="2">
        <v>43721</v>
      </c>
      <c r="E401" s="3">
        <v>43721.524830000002</v>
      </c>
      <c r="F401" s="3">
        <v>43721.528299999998</v>
      </c>
      <c r="H401" s="4">
        <v>18.89</v>
      </c>
      <c r="K401">
        <v>14.132103259999999</v>
      </c>
      <c r="L401">
        <v>-4.5431099999999999E-4</v>
      </c>
    </row>
    <row r="402" spans="1:12" x14ac:dyDescent="0.2">
      <c r="A402" t="s">
        <v>7</v>
      </c>
      <c r="B402">
        <v>2</v>
      </c>
      <c r="C402" t="s">
        <v>4</v>
      </c>
      <c r="D402" s="2">
        <v>43721</v>
      </c>
      <c r="E402" s="3">
        <v>43721.531130000003</v>
      </c>
      <c r="F402" s="3">
        <v>43721.534610000002</v>
      </c>
      <c r="G402" s="4">
        <v>18.399999999999999</v>
      </c>
      <c r="H402" s="4">
        <v>18.89</v>
      </c>
      <c r="I402">
        <v>18.899999999999999</v>
      </c>
      <c r="J402">
        <v>0.67</v>
      </c>
      <c r="K402">
        <v>2.1355846490000001</v>
      </c>
      <c r="L402">
        <v>3.7743999999999999E-4</v>
      </c>
    </row>
    <row r="403" spans="1:12" x14ac:dyDescent="0.2">
      <c r="A403" t="s">
        <v>7</v>
      </c>
      <c r="B403">
        <v>2</v>
      </c>
      <c r="C403" t="s">
        <v>3</v>
      </c>
      <c r="D403" s="2">
        <v>43721</v>
      </c>
      <c r="E403" s="3">
        <v>43721.537850000001</v>
      </c>
      <c r="F403" s="3">
        <v>43721.541550000002</v>
      </c>
      <c r="H403" s="4">
        <v>18.89</v>
      </c>
      <c r="K403">
        <v>8.1523505309999997</v>
      </c>
      <c r="L403">
        <v>-1.6064599999999999E-4</v>
      </c>
    </row>
    <row r="404" spans="1:12" x14ac:dyDescent="0.2">
      <c r="A404" t="s">
        <v>7</v>
      </c>
      <c r="B404">
        <v>3</v>
      </c>
      <c r="C404" t="s">
        <v>4</v>
      </c>
      <c r="D404" s="2">
        <v>43721</v>
      </c>
      <c r="E404" s="3">
        <v>43721.544970000003</v>
      </c>
      <c r="F404" s="3">
        <v>43721.548439999999</v>
      </c>
      <c r="G404" s="4">
        <v>12.9</v>
      </c>
      <c r="H404" s="4">
        <v>18.89</v>
      </c>
      <c r="I404">
        <v>19.3</v>
      </c>
      <c r="J404">
        <v>0.62</v>
      </c>
      <c r="K404">
        <v>-5.0823788079999996</v>
      </c>
      <c r="L404" s="6">
        <v>-7.4499999999999995E-5</v>
      </c>
    </row>
    <row r="405" spans="1:12" x14ac:dyDescent="0.2">
      <c r="A405" t="s">
        <v>7</v>
      </c>
      <c r="B405">
        <v>3</v>
      </c>
      <c r="C405" t="s">
        <v>3</v>
      </c>
      <c r="D405" s="2">
        <v>43721</v>
      </c>
      <c r="E405" s="3">
        <v>43721.551099999997</v>
      </c>
      <c r="F405" s="3">
        <v>43721.55457</v>
      </c>
      <c r="H405" s="4">
        <v>18.89</v>
      </c>
      <c r="K405">
        <v>15.502260830000001</v>
      </c>
      <c r="L405">
        <v>1.4533800000000001E-4</v>
      </c>
    </row>
    <row r="406" spans="1:12" x14ac:dyDescent="0.2">
      <c r="A406" t="s">
        <v>7</v>
      </c>
      <c r="B406">
        <v>4</v>
      </c>
      <c r="C406" t="s">
        <v>4</v>
      </c>
      <c r="D406" s="2">
        <v>43721</v>
      </c>
      <c r="E406" s="3">
        <v>43721.558969999998</v>
      </c>
      <c r="F406" s="3">
        <v>43721.562440000002</v>
      </c>
      <c r="G406" s="4">
        <v>19.600000000000001</v>
      </c>
      <c r="H406" s="4">
        <v>18.89</v>
      </c>
      <c r="I406">
        <v>13</v>
      </c>
      <c r="J406">
        <v>0.66</v>
      </c>
      <c r="K406">
        <v>-0.59799782499999998</v>
      </c>
      <c r="L406" s="6">
        <v>3.41E-6</v>
      </c>
    </row>
    <row r="407" spans="1:12" x14ac:dyDescent="0.2">
      <c r="A407" t="s">
        <v>7</v>
      </c>
      <c r="B407">
        <v>4</v>
      </c>
      <c r="C407" t="s">
        <v>3</v>
      </c>
      <c r="D407" s="2">
        <v>43721</v>
      </c>
      <c r="E407" s="3">
        <v>43721.56568</v>
      </c>
      <c r="F407" s="3">
        <v>43721.569159999999</v>
      </c>
      <c r="H407" s="4">
        <v>18.89</v>
      </c>
      <c r="K407">
        <v>15.80634639</v>
      </c>
      <c r="L407">
        <v>-1.0709600000000001E-4</v>
      </c>
    </row>
    <row r="408" spans="1:12" x14ac:dyDescent="0.2">
      <c r="A408" t="s">
        <v>7</v>
      </c>
      <c r="B408">
        <v>5</v>
      </c>
      <c r="C408" t="s">
        <v>4</v>
      </c>
      <c r="D408" s="2">
        <v>43721</v>
      </c>
      <c r="E408" s="3">
        <v>43721.572339999999</v>
      </c>
      <c r="F408" s="3">
        <v>43721.575810000002</v>
      </c>
      <c r="G408" s="4">
        <v>19.5</v>
      </c>
      <c r="H408" s="4">
        <v>20.56</v>
      </c>
      <c r="I408">
        <v>28.5</v>
      </c>
      <c r="J408">
        <v>0.7</v>
      </c>
      <c r="K408">
        <v>-6.0651559949999996</v>
      </c>
      <c r="L408" s="6">
        <v>-4.9299999999999999E-5</v>
      </c>
    </row>
    <row r="409" spans="1:12" x14ac:dyDescent="0.2">
      <c r="A409" t="s">
        <v>7</v>
      </c>
      <c r="B409">
        <v>5</v>
      </c>
      <c r="C409" t="s">
        <v>3</v>
      </c>
      <c r="D409" s="2">
        <v>43721</v>
      </c>
      <c r="E409" s="3">
        <v>43721.57905</v>
      </c>
      <c r="F409" s="3">
        <v>43721.576269999998</v>
      </c>
      <c r="H409" s="4">
        <v>20.56</v>
      </c>
    </row>
    <row r="410" spans="1:12" x14ac:dyDescent="0.2">
      <c r="A410" t="s">
        <v>7</v>
      </c>
      <c r="B410">
        <v>1</v>
      </c>
      <c r="C410" t="s">
        <v>4</v>
      </c>
      <c r="D410" s="2">
        <v>43727</v>
      </c>
      <c r="E410" s="3">
        <v>43727.442819999997</v>
      </c>
      <c r="F410" s="3">
        <v>43727.446300000003</v>
      </c>
      <c r="G410" s="4">
        <v>11.7</v>
      </c>
      <c r="H410">
        <v>12.78</v>
      </c>
      <c r="I410">
        <v>15.2</v>
      </c>
      <c r="J410">
        <v>0.43</v>
      </c>
      <c r="K410">
        <v>5.6176137478626096</v>
      </c>
      <c r="L410" s="6">
        <v>5.6235466564831901E-5</v>
      </c>
    </row>
    <row r="411" spans="1:12" x14ac:dyDescent="0.2">
      <c r="A411" t="s">
        <v>7</v>
      </c>
      <c r="B411">
        <v>1</v>
      </c>
      <c r="C411" t="s">
        <v>3</v>
      </c>
      <c r="D411" s="2">
        <v>43727</v>
      </c>
      <c r="E411" s="3">
        <v>43727.450870000001</v>
      </c>
      <c r="F411" s="3">
        <v>43727.454339999997</v>
      </c>
      <c r="H411">
        <v>12.78</v>
      </c>
      <c r="K411">
        <v>5.9892209451699898</v>
      </c>
      <c r="L411">
        <v>-1.3668796250930799E-4</v>
      </c>
    </row>
    <row r="412" spans="1:12" x14ac:dyDescent="0.2">
      <c r="A412" t="s">
        <v>7</v>
      </c>
      <c r="B412">
        <v>2</v>
      </c>
      <c r="C412" t="s">
        <v>4</v>
      </c>
      <c r="D412" s="2">
        <v>43727</v>
      </c>
      <c r="E412" s="3">
        <v>43727.457750000001</v>
      </c>
      <c r="F412" s="3">
        <v>43727.461230000001</v>
      </c>
      <c r="G412" s="4">
        <v>16.5</v>
      </c>
      <c r="H412">
        <v>12.78</v>
      </c>
      <c r="I412">
        <v>18</v>
      </c>
      <c r="J412">
        <v>0.5</v>
      </c>
      <c r="K412">
        <v>3.84219659838215</v>
      </c>
      <c r="L412">
        <v>-5.1641553721046404E-4</v>
      </c>
    </row>
    <row r="413" spans="1:12" x14ac:dyDescent="0.2">
      <c r="A413" t="s">
        <v>7</v>
      </c>
      <c r="B413">
        <v>2</v>
      </c>
      <c r="C413" t="s">
        <v>3</v>
      </c>
      <c r="D413" s="2">
        <v>43727</v>
      </c>
      <c r="E413" s="3">
        <v>43727.465279999997</v>
      </c>
      <c r="F413" s="3">
        <v>43727.46875</v>
      </c>
      <c r="H413">
        <v>12.78</v>
      </c>
      <c r="K413">
        <v>5.4068543153191397</v>
      </c>
      <c r="L413">
        <v>-4.44841087714841E-4</v>
      </c>
    </row>
    <row r="414" spans="1:12" x14ac:dyDescent="0.2">
      <c r="A414" t="s">
        <v>7</v>
      </c>
      <c r="B414">
        <v>3</v>
      </c>
      <c r="C414" t="s">
        <v>4</v>
      </c>
      <c r="D414" s="2">
        <v>43727</v>
      </c>
      <c r="E414" s="3">
        <v>43727.473839999999</v>
      </c>
      <c r="F414" s="3">
        <v>43727.477310000002</v>
      </c>
      <c r="G414" s="4">
        <v>11.8</v>
      </c>
      <c r="H414">
        <v>12.78</v>
      </c>
      <c r="I414">
        <v>13.1</v>
      </c>
      <c r="J414">
        <v>0.48</v>
      </c>
      <c r="K414">
        <v>3.85479511896557</v>
      </c>
      <c r="L414">
        <v>-4.6940607200041698E-4</v>
      </c>
    </row>
    <row r="415" spans="1:12" x14ac:dyDescent="0.2">
      <c r="A415" t="s">
        <v>7</v>
      </c>
      <c r="B415">
        <v>3</v>
      </c>
      <c r="C415" t="s">
        <v>3</v>
      </c>
      <c r="D415" s="2">
        <v>43727</v>
      </c>
      <c r="E415" s="3">
        <v>43727.480560000004</v>
      </c>
      <c r="F415" s="3">
        <v>43727.48403</v>
      </c>
      <c r="H415">
        <v>12.78</v>
      </c>
      <c r="K415">
        <v>9.4932990749153099</v>
      </c>
      <c r="L415" s="6">
        <v>3.9516709948954001E-5</v>
      </c>
    </row>
    <row r="416" spans="1:12" x14ac:dyDescent="0.2">
      <c r="A416" t="s">
        <v>7</v>
      </c>
      <c r="B416">
        <v>4</v>
      </c>
      <c r="C416" t="s">
        <v>4</v>
      </c>
      <c r="D416" s="2">
        <v>43727</v>
      </c>
      <c r="E416" s="3">
        <v>43727.488890000001</v>
      </c>
      <c r="F416" s="3">
        <v>43727.492359999997</v>
      </c>
      <c r="G416" s="4">
        <v>13.6</v>
      </c>
      <c r="H416">
        <v>12.78</v>
      </c>
      <c r="I416">
        <v>15.1</v>
      </c>
      <c r="J416">
        <v>0.55000000000000004</v>
      </c>
      <c r="K416">
        <v>3.5918065509075601</v>
      </c>
      <c r="L416" s="6">
        <v>6.5727233115170806E-5</v>
      </c>
    </row>
    <row r="417" spans="1:12" x14ac:dyDescent="0.2">
      <c r="A417" t="s">
        <v>7</v>
      </c>
      <c r="B417">
        <v>4</v>
      </c>
      <c r="C417" t="s">
        <v>3</v>
      </c>
      <c r="D417" s="2">
        <v>43727</v>
      </c>
      <c r="E417" s="3">
        <v>43727.49699</v>
      </c>
      <c r="F417" s="3">
        <v>43727.500460000003</v>
      </c>
      <c r="H417">
        <v>12.78</v>
      </c>
      <c r="K417">
        <v>9.2874916283863307</v>
      </c>
      <c r="L417" s="6">
        <v>-1.8719001399837401E-5</v>
      </c>
    </row>
    <row r="418" spans="1:12" x14ac:dyDescent="0.2">
      <c r="A418" t="s">
        <v>7</v>
      </c>
      <c r="B418">
        <v>5</v>
      </c>
      <c r="C418" t="s">
        <v>4</v>
      </c>
      <c r="D418" s="2">
        <v>43727</v>
      </c>
      <c r="E418" s="3">
        <v>43727.506130000002</v>
      </c>
      <c r="F418" s="3">
        <v>43727.509610000001</v>
      </c>
      <c r="G418" s="4">
        <v>8.4</v>
      </c>
      <c r="H418">
        <v>17.22</v>
      </c>
      <c r="I418">
        <v>26.8</v>
      </c>
      <c r="J418">
        <v>0.49</v>
      </c>
      <c r="K418">
        <v>2.3323102142229399</v>
      </c>
      <c r="L418">
        <v>-2.35293210383984E-4</v>
      </c>
    </row>
    <row r="419" spans="1:12" x14ac:dyDescent="0.2">
      <c r="A419" t="s">
        <v>7</v>
      </c>
      <c r="B419">
        <v>5</v>
      </c>
      <c r="C419" t="s">
        <v>3</v>
      </c>
      <c r="D419" s="2">
        <v>43727</v>
      </c>
      <c r="E419" s="3">
        <v>43727.515050000002</v>
      </c>
      <c r="F419" s="3">
        <v>43727.518519999998</v>
      </c>
      <c r="H419">
        <v>17.22</v>
      </c>
      <c r="K419">
        <v>19.5613035483746</v>
      </c>
      <c r="L419">
        <v>-2.7997916445643602E-4</v>
      </c>
    </row>
    <row r="420" spans="1:12" x14ac:dyDescent="0.2">
      <c r="A420" t="s">
        <v>7</v>
      </c>
      <c r="B420">
        <v>1</v>
      </c>
      <c r="C420" t="s">
        <v>4</v>
      </c>
      <c r="D420" s="2">
        <v>43727</v>
      </c>
      <c r="E420" s="3">
        <v>43727.553240000001</v>
      </c>
      <c r="F420" s="3">
        <v>43727.556709999997</v>
      </c>
      <c r="G420" s="4">
        <v>11.3</v>
      </c>
      <c r="H420">
        <v>17.78</v>
      </c>
      <c r="I420">
        <v>21.9</v>
      </c>
      <c r="J420">
        <v>0.46</v>
      </c>
      <c r="K420">
        <v>7.0045951724593802</v>
      </c>
      <c r="L420" s="6">
        <v>-4.1308383276125201E-6</v>
      </c>
    </row>
    <row r="421" spans="1:12" x14ac:dyDescent="0.2">
      <c r="A421" t="s">
        <v>7</v>
      </c>
      <c r="B421">
        <v>1</v>
      </c>
      <c r="C421" t="s">
        <v>3</v>
      </c>
      <c r="D421" s="2">
        <v>43727</v>
      </c>
      <c r="E421" s="3">
        <v>43727.559430000001</v>
      </c>
      <c r="F421" s="3">
        <v>43727.562910000001</v>
      </c>
      <c r="H421">
        <v>17.78</v>
      </c>
      <c r="K421">
        <v>8.2679835506738701</v>
      </c>
      <c r="L421">
        <v>-3.7979144849257401E-4</v>
      </c>
    </row>
    <row r="422" spans="1:12" x14ac:dyDescent="0.2">
      <c r="A422" t="s">
        <v>7</v>
      </c>
      <c r="B422">
        <v>2</v>
      </c>
      <c r="C422" t="s">
        <v>4</v>
      </c>
      <c r="D422" s="2">
        <v>43727</v>
      </c>
      <c r="E422" s="3">
        <v>43727.566319999998</v>
      </c>
      <c r="F422" s="3">
        <v>43727.569790000001</v>
      </c>
      <c r="G422" s="4">
        <v>15.9</v>
      </c>
      <c r="H422">
        <v>17.78</v>
      </c>
      <c r="I422">
        <v>27.8</v>
      </c>
      <c r="J422">
        <v>0.5</v>
      </c>
      <c r="K422">
        <v>4.35312274232282</v>
      </c>
      <c r="L422" s="6">
        <v>-7.3763190464276897E-5</v>
      </c>
    </row>
    <row r="423" spans="1:12" x14ac:dyDescent="0.2">
      <c r="A423" t="s">
        <v>7</v>
      </c>
      <c r="B423">
        <v>2</v>
      </c>
      <c r="C423" t="s">
        <v>3</v>
      </c>
      <c r="D423" s="2">
        <v>43727</v>
      </c>
      <c r="E423" s="3">
        <v>43727.574540000001</v>
      </c>
      <c r="F423" s="3">
        <v>43727.578009999997</v>
      </c>
      <c r="H423">
        <v>17.78</v>
      </c>
      <c r="K423">
        <v>5.0746177709405398</v>
      </c>
      <c r="L423">
        <v>-7.4131175039941104E-4</v>
      </c>
    </row>
    <row r="424" spans="1:12" x14ac:dyDescent="0.2">
      <c r="A424" t="s">
        <v>7</v>
      </c>
      <c r="B424">
        <v>3</v>
      </c>
      <c r="C424" t="s">
        <v>4</v>
      </c>
      <c r="D424" s="2">
        <v>43727</v>
      </c>
      <c r="E424" s="3">
        <v>43727.584029999998</v>
      </c>
      <c r="F424" s="3">
        <v>43727.587500000001</v>
      </c>
      <c r="G424" s="4">
        <v>9.6</v>
      </c>
      <c r="H424">
        <v>17.78</v>
      </c>
      <c r="I424">
        <v>20.399999999999999</v>
      </c>
      <c r="J424">
        <v>0.52</v>
      </c>
      <c r="K424">
        <v>4.3879321080911504</v>
      </c>
      <c r="L424" s="6">
        <v>-5.4892905981794999E-5</v>
      </c>
    </row>
    <row r="425" spans="1:12" x14ac:dyDescent="0.2">
      <c r="A425" t="s">
        <v>7</v>
      </c>
      <c r="B425">
        <v>3</v>
      </c>
      <c r="C425" t="s">
        <v>3</v>
      </c>
      <c r="D425" s="2">
        <v>43727</v>
      </c>
      <c r="E425" s="3">
        <v>43727.59115</v>
      </c>
      <c r="F425" s="3">
        <v>43727.594620000003</v>
      </c>
      <c r="H425">
        <v>17.78</v>
      </c>
      <c r="K425">
        <v>9.2493572466662997</v>
      </c>
      <c r="L425" s="6">
        <v>-5.6469371199985601E-6</v>
      </c>
    </row>
    <row r="426" spans="1:12" x14ac:dyDescent="0.2">
      <c r="A426" t="s">
        <v>7</v>
      </c>
      <c r="B426">
        <v>4</v>
      </c>
      <c r="C426" t="s">
        <v>4</v>
      </c>
      <c r="D426" s="2">
        <v>43727</v>
      </c>
      <c r="E426" s="3">
        <v>43727.598030000001</v>
      </c>
      <c r="F426" s="3">
        <v>43727.601499999997</v>
      </c>
      <c r="G426" s="4">
        <v>12.9</v>
      </c>
      <c r="H426">
        <v>17.78</v>
      </c>
      <c r="I426">
        <v>16.8</v>
      </c>
      <c r="J426">
        <v>0.53</v>
      </c>
      <c r="K426">
        <v>4.8267576841553499</v>
      </c>
      <c r="L426">
        <v>1.77259492201341E-4</v>
      </c>
    </row>
    <row r="427" spans="1:12" x14ac:dyDescent="0.2">
      <c r="A427" t="s">
        <v>7</v>
      </c>
      <c r="B427">
        <v>4</v>
      </c>
      <c r="C427" t="s">
        <v>3</v>
      </c>
      <c r="D427" s="2">
        <v>43727</v>
      </c>
      <c r="E427" s="3">
        <v>43727.606939999998</v>
      </c>
      <c r="F427" s="3">
        <v>43727.610419999997</v>
      </c>
      <c r="H427">
        <v>17.78</v>
      </c>
      <c r="K427">
        <v>10.253948120374901</v>
      </c>
      <c r="L427" s="6">
        <v>-2.6315329344431201E-5</v>
      </c>
    </row>
    <row r="428" spans="1:12" x14ac:dyDescent="0.2">
      <c r="A428" t="s">
        <v>7</v>
      </c>
      <c r="B428">
        <v>5</v>
      </c>
      <c r="C428" t="s">
        <v>4</v>
      </c>
      <c r="D428" s="2">
        <v>43727</v>
      </c>
      <c r="E428" s="3">
        <v>43727.615279999998</v>
      </c>
      <c r="F428" s="3">
        <v>43727.618750000001</v>
      </c>
      <c r="G428" s="4">
        <v>8.6</v>
      </c>
      <c r="H428">
        <v>21.11</v>
      </c>
      <c r="I428">
        <v>29.9</v>
      </c>
      <c r="J428">
        <v>0.52</v>
      </c>
      <c r="K428">
        <v>3.33950342130397</v>
      </c>
      <c r="L428" s="6">
        <v>7.7149726901536396E-6</v>
      </c>
    </row>
    <row r="429" spans="1:12" x14ac:dyDescent="0.2">
      <c r="A429" t="s">
        <v>7</v>
      </c>
      <c r="B429">
        <v>5</v>
      </c>
      <c r="C429" t="s">
        <v>3</v>
      </c>
      <c r="D429" s="2">
        <v>43727</v>
      </c>
      <c r="E429" s="3">
        <v>43727.6224</v>
      </c>
      <c r="F429" s="3">
        <v>43727.625870000003</v>
      </c>
      <c r="H429">
        <v>21.11</v>
      </c>
      <c r="K429">
        <v>19.2777758186411</v>
      </c>
      <c r="L429" s="6">
        <v>4.2546348540898802E-5</v>
      </c>
    </row>
    <row r="430" spans="1:12" x14ac:dyDescent="0.2">
      <c r="A430" t="s">
        <v>7</v>
      </c>
      <c r="B430">
        <v>1</v>
      </c>
      <c r="C430" t="s">
        <v>4</v>
      </c>
      <c r="D430" s="2">
        <v>43734</v>
      </c>
      <c r="E430" s="3">
        <v>43734.412499999999</v>
      </c>
      <c r="F430" s="3">
        <v>43734.415970000002</v>
      </c>
      <c r="G430" s="4">
        <v>9.8000000000000007</v>
      </c>
      <c r="H430">
        <v>21.67</v>
      </c>
      <c r="I430">
        <v>9.8000000000000007</v>
      </c>
      <c r="J430">
        <v>0.3</v>
      </c>
      <c r="K430">
        <v>3.6213897221948401</v>
      </c>
      <c r="L430">
        <v>9.8746516479803796E-5</v>
      </c>
    </row>
    <row r="431" spans="1:12" x14ac:dyDescent="0.2">
      <c r="A431" t="s">
        <v>7</v>
      </c>
      <c r="B431">
        <v>1</v>
      </c>
      <c r="C431" t="s">
        <v>3</v>
      </c>
      <c r="D431" s="2">
        <v>43734</v>
      </c>
      <c r="E431" s="3">
        <v>43734.421300000002</v>
      </c>
      <c r="F431" s="3">
        <v>43734.424769999998</v>
      </c>
      <c r="H431">
        <v>21.67</v>
      </c>
      <c r="K431">
        <v>3.6176542241798599</v>
      </c>
      <c r="L431">
        <v>-4.7901543937419597E-6</v>
      </c>
    </row>
    <row r="432" spans="1:12" x14ac:dyDescent="0.2">
      <c r="A432" t="s">
        <v>7</v>
      </c>
      <c r="B432">
        <v>2</v>
      </c>
      <c r="C432" t="s">
        <v>4</v>
      </c>
      <c r="D432" s="2">
        <v>43734</v>
      </c>
      <c r="E432" s="3">
        <v>43734.431940000002</v>
      </c>
      <c r="F432" s="3">
        <v>43734.435420000002</v>
      </c>
      <c r="G432" s="4">
        <v>11.4</v>
      </c>
      <c r="H432">
        <v>21.67</v>
      </c>
      <c r="I432">
        <v>23.6</v>
      </c>
      <c r="J432">
        <v>0.38</v>
      </c>
      <c r="K432">
        <v>5.9580539418201699</v>
      </c>
      <c r="L432">
        <v>-1.494039387828E-4</v>
      </c>
    </row>
    <row r="433" spans="1:12" x14ac:dyDescent="0.2">
      <c r="A433" t="s">
        <v>7</v>
      </c>
      <c r="B433">
        <v>2</v>
      </c>
      <c r="C433" t="s">
        <v>3</v>
      </c>
      <c r="D433" s="2">
        <v>43734</v>
      </c>
      <c r="E433" s="3">
        <v>43734.43866</v>
      </c>
      <c r="F433" s="3">
        <v>43734.442130000003</v>
      </c>
      <c r="H433">
        <v>21.67</v>
      </c>
      <c r="K433">
        <v>5.4203918895958401</v>
      </c>
      <c r="L433">
        <v>-1.7594663134808301E-4</v>
      </c>
    </row>
    <row r="434" spans="1:12" x14ac:dyDescent="0.2">
      <c r="A434" t="s">
        <v>7</v>
      </c>
      <c r="B434">
        <v>3</v>
      </c>
      <c r="C434" t="s">
        <v>4</v>
      </c>
      <c r="D434" s="2">
        <v>43734</v>
      </c>
      <c r="E434" s="3">
        <v>43734.444439999999</v>
      </c>
      <c r="F434" s="3">
        <v>43734.447919999999</v>
      </c>
      <c r="G434" s="4">
        <v>7.3</v>
      </c>
      <c r="H434">
        <v>21.67</v>
      </c>
      <c r="I434">
        <v>9.8000000000000007</v>
      </c>
      <c r="J434">
        <v>0.35</v>
      </c>
      <c r="K434">
        <v>3.6285703528023801</v>
      </c>
      <c r="L434">
        <v>-7.9485884646805208E-6</v>
      </c>
    </row>
    <row r="435" spans="1:12" x14ac:dyDescent="0.2">
      <c r="A435" t="s">
        <v>7</v>
      </c>
      <c r="B435">
        <v>3</v>
      </c>
      <c r="C435" t="s">
        <v>3</v>
      </c>
      <c r="D435" s="2">
        <v>43734</v>
      </c>
      <c r="E435" s="3">
        <v>43734.451390000002</v>
      </c>
      <c r="F435" s="3">
        <v>43734.454859999998</v>
      </c>
      <c r="H435">
        <v>21.67</v>
      </c>
      <c r="K435">
        <v>5.6906656538834302</v>
      </c>
      <c r="L435">
        <v>-5.6764622911858402E-4</v>
      </c>
    </row>
    <row r="436" spans="1:12" x14ac:dyDescent="0.2">
      <c r="A436" t="s">
        <v>7</v>
      </c>
      <c r="B436">
        <v>4</v>
      </c>
      <c r="C436" t="s">
        <v>4</v>
      </c>
      <c r="D436" s="2">
        <v>43734</v>
      </c>
      <c r="E436" s="3">
        <v>43734.458330000001</v>
      </c>
      <c r="F436" s="3">
        <v>43734.461810000001</v>
      </c>
      <c r="G436" s="4">
        <v>9.1</v>
      </c>
      <c r="H436">
        <v>22.22</v>
      </c>
      <c r="I436">
        <v>12.7</v>
      </c>
      <c r="J436">
        <v>0.32</v>
      </c>
      <c r="K436">
        <v>2.0987383697165001</v>
      </c>
      <c r="L436">
        <v>-6.5462154174990704E-5</v>
      </c>
    </row>
    <row r="437" spans="1:12" x14ac:dyDescent="0.2">
      <c r="A437" t="s">
        <v>7</v>
      </c>
      <c r="B437">
        <v>4</v>
      </c>
      <c r="C437" t="s">
        <v>3</v>
      </c>
      <c r="D437" s="2">
        <v>43734</v>
      </c>
      <c r="E437" s="3">
        <v>43734.465279999997</v>
      </c>
      <c r="F437" s="3">
        <v>43734.46875</v>
      </c>
      <c r="H437">
        <v>22.22</v>
      </c>
      <c r="K437">
        <v>5.5680424148850101</v>
      </c>
      <c r="L437">
        <v>-4.5112490527495598E-4</v>
      </c>
    </row>
    <row r="438" spans="1:12" x14ac:dyDescent="0.2">
      <c r="A438" t="s">
        <v>7</v>
      </c>
      <c r="B438">
        <v>5</v>
      </c>
      <c r="C438" t="s">
        <v>4</v>
      </c>
      <c r="D438" s="2">
        <v>43734</v>
      </c>
      <c r="E438" s="3">
        <v>43734.474309999998</v>
      </c>
      <c r="F438" s="3">
        <v>43734.477780000001</v>
      </c>
      <c r="G438" s="4">
        <v>5.3</v>
      </c>
      <c r="H438">
        <v>22.22</v>
      </c>
      <c r="I438">
        <v>19.7</v>
      </c>
      <c r="J438">
        <v>0.38</v>
      </c>
      <c r="K438">
        <v>3.1059202322958401</v>
      </c>
      <c r="L438">
        <v>-1.29490281494247E-4</v>
      </c>
    </row>
    <row r="439" spans="1:12" x14ac:dyDescent="0.2">
      <c r="A439" t="s">
        <v>7</v>
      </c>
      <c r="B439">
        <v>5</v>
      </c>
      <c r="C439" t="s">
        <v>3</v>
      </c>
      <c r="D439" s="2">
        <v>43734</v>
      </c>
      <c r="E439" s="3">
        <v>43734.486109999998</v>
      </c>
      <c r="F439" s="3">
        <v>43734.489580000001</v>
      </c>
      <c r="H439">
        <v>22.22</v>
      </c>
      <c r="K439">
        <v>11.056536820462799</v>
      </c>
      <c r="L439">
        <v>-3.7364066612318098E-4</v>
      </c>
    </row>
    <row r="440" spans="1:12" x14ac:dyDescent="0.2">
      <c r="A440" t="s">
        <v>7</v>
      </c>
      <c r="B440">
        <v>1</v>
      </c>
      <c r="C440" t="s">
        <v>4</v>
      </c>
      <c r="D440" s="2">
        <v>43734</v>
      </c>
      <c r="E440" s="3">
        <v>43734.535880000003</v>
      </c>
      <c r="F440" s="3">
        <v>43734.539349999999</v>
      </c>
      <c r="G440" s="4">
        <v>10.8</v>
      </c>
      <c r="H440" s="4">
        <v>21.11</v>
      </c>
      <c r="I440">
        <v>15.8</v>
      </c>
      <c r="J440">
        <v>0.32</v>
      </c>
      <c r="K440">
        <v>5.0796562046149898</v>
      </c>
      <c r="L440">
        <v>-3.3495657528618601E-4</v>
      </c>
    </row>
    <row r="441" spans="1:12" x14ac:dyDescent="0.2">
      <c r="A441" t="s">
        <v>7</v>
      </c>
      <c r="B441">
        <v>1</v>
      </c>
      <c r="C441" t="s">
        <v>3</v>
      </c>
      <c r="D441" s="2">
        <v>43734</v>
      </c>
      <c r="E441" s="3">
        <v>43734.544099999999</v>
      </c>
      <c r="F441" s="3">
        <v>43734.547570000002</v>
      </c>
      <c r="H441" s="4">
        <v>21.11</v>
      </c>
      <c r="K441">
        <v>5.7105456973782696</v>
      </c>
      <c r="L441">
        <v>-3.91152678737804E-4</v>
      </c>
    </row>
    <row r="442" spans="1:12" x14ac:dyDescent="0.2">
      <c r="A442" t="s">
        <v>7</v>
      </c>
      <c r="B442">
        <v>2</v>
      </c>
      <c r="C442" t="s">
        <v>4</v>
      </c>
      <c r="D442" s="2">
        <v>43734</v>
      </c>
      <c r="E442" s="3">
        <v>43734.550689999996</v>
      </c>
      <c r="F442" s="3">
        <v>43734.554170000003</v>
      </c>
      <c r="G442" s="4">
        <v>15.5</v>
      </c>
      <c r="H442" s="4">
        <v>21.11</v>
      </c>
      <c r="I442">
        <v>16.399999999999999</v>
      </c>
      <c r="J442">
        <v>0.32</v>
      </c>
      <c r="K442">
        <v>6.3214004506946102</v>
      </c>
      <c r="L442">
        <v>-4.01262801010207E-4</v>
      </c>
    </row>
    <row r="443" spans="1:12" x14ac:dyDescent="0.2">
      <c r="A443" t="s">
        <v>7</v>
      </c>
      <c r="B443">
        <v>2</v>
      </c>
      <c r="C443" t="s">
        <v>3</v>
      </c>
      <c r="D443" s="2">
        <v>43734</v>
      </c>
      <c r="E443" s="3">
        <v>43734.557639999999</v>
      </c>
      <c r="F443" s="3">
        <v>43734.561110000002</v>
      </c>
      <c r="H443" s="4">
        <v>21.11</v>
      </c>
      <c r="K443">
        <v>7.1028495917201697</v>
      </c>
      <c r="L443">
        <v>-2.1439949236411399E-4</v>
      </c>
    </row>
    <row r="444" spans="1:12" x14ac:dyDescent="0.2">
      <c r="A444" t="s">
        <v>7</v>
      </c>
      <c r="B444">
        <v>3</v>
      </c>
      <c r="C444" t="s">
        <v>4</v>
      </c>
      <c r="D444" s="2">
        <v>43734</v>
      </c>
      <c r="E444" s="3">
        <v>43734.564579999998</v>
      </c>
      <c r="F444" s="3">
        <v>43734.568059999998</v>
      </c>
      <c r="G444" s="4">
        <v>6.3</v>
      </c>
      <c r="H444" s="4">
        <v>20</v>
      </c>
      <c r="I444">
        <v>14.9</v>
      </c>
      <c r="J444">
        <v>0.39</v>
      </c>
      <c r="K444">
        <v>6.7270796556560102</v>
      </c>
      <c r="L444">
        <v>-3.6374377464263902E-4</v>
      </c>
    </row>
    <row r="445" spans="1:12" x14ac:dyDescent="0.2">
      <c r="A445" t="s">
        <v>7</v>
      </c>
      <c r="B445">
        <v>3</v>
      </c>
      <c r="C445" t="s">
        <v>3</v>
      </c>
      <c r="D445" s="2">
        <v>43734</v>
      </c>
      <c r="E445" s="3">
        <v>43734.572220000002</v>
      </c>
      <c r="F445" s="3">
        <v>43734.575689999998</v>
      </c>
      <c r="H445" s="4">
        <v>20</v>
      </c>
      <c r="K445">
        <v>6.7386880366500899</v>
      </c>
      <c r="L445">
        <v>-1.8974073828077699E-4</v>
      </c>
    </row>
    <row r="446" spans="1:12" x14ac:dyDescent="0.2">
      <c r="A446" t="s">
        <v>7</v>
      </c>
      <c r="B446">
        <v>1</v>
      </c>
      <c r="C446" t="s">
        <v>4</v>
      </c>
      <c r="D446" s="2">
        <v>43741</v>
      </c>
      <c r="E446" s="3">
        <v>43741.417359999999</v>
      </c>
      <c r="F446" s="3">
        <v>43741.420830000003</v>
      </c>
      <c r="G446" s="4">
        <v>16.899999999999999</v>
      </c>
      <c r="H446" s="4">
        <v>8.89</v>
      </c>
      <c r="I446">
        <v>13.1</v>
      </c>
      <c r="J446">
        <v>0.25</v>
      </c>
      <c r="K446">
        <v>5.3518524460621002</v>
      </c>
      <c r="L446">
        <v>-5.6469817005605602E-5</v>
      </c>
    </row>
    <row r="447" spans="1:12" x14ac:dyDescent="0.2">
      <c r="A447" t="s">
        <v>7</v>
      </c>
      <c r="B447">
        <v>1</v>
      </c>
      <c r="C447" t="s">
        <v>3</v>
      </c>
      <c r="D447" s="2">
        <v>43741</v>
      </c>
      <c r="E447" s="3">
        <v>43741.423609999998</v>
      </c>
      <c r="F447" s="3">
        <v>43741.427080000001</v>
      </c>
      <c r="H447" s="4">
        <v>8.89</v>
      </c>
      <c r="K447">
        <v>4.9523837430186397</v>
      </c>
      <c r="L447">
        <v>-1.20483429667645E-4</v>
      </c>
    </row>
    <row r="448" spans="1:12" x14ac:dyDescent="0.2">
      <c r="A448" t="s">
        <v>7</v>
      </c>
      <c r="B448">
        <v>2</v>
      </c>
      <c r="C448" t="s">
        <v>4</v>
      </c>
      <c r="D448" s="2">
        <v>43741</v>
      </c>
      <c r="E448" s="3">
        <v>43741.430560000001</v>
      </c>
      <c r="F448" s="3">
        <v>43741.434029999997</v>
      </c>
      <c r="G448" s="4">
        <v>20.9</v>
      </c>
      <c r="H448" s="4">
        <v>8.89</v>
      </c>
      <c r="I448">
        <v>9.8000000000000007</v>
      </c>
      <c r="J448">
        <v>0.34</v>
      </c>
      <c r="K448">
        <v>3.3409023616062501</v>
      </c>
      <c r="L448">
        <v>-4.1739624292375101E-5</v>
      </c>
    </row>
    <row r="449" spans="1:12" x14ac:dyDescent="0.2">
      <c r="A449" t="s">
        <v>7</v>
      </c>
      <c r="B449">
        <v>2</v>
      </c>
      <c r="C449" t="s">
        <v>3</v>
      </c>
      <c r="D449" s="2">
        <v>43741</v>
      </c>
      <c r="E449" s="3">
        <v>43741.4375</v>
      </c>
      <c r="F449" s="3">
        <v>43741.440970000003</v>
      </c>
      <c r="H449" s="4">
        <v>8.89</v>
      </c>
      <c r="K449">
        <v>3.5845874360023999</v>
      </c>
      <c r="L449">
        <v>-2.9206335970142099E-5</v>
      </c>
    </row>
    <row r="450" spans="1:12" x14ac:dyDescent="0.2">
      <c r="A450" t="s">
        <v>7</v>
      </c>
      <c r="B450">
        <v>3</v>
      </c>
      <c r="C450" t="s">
        <v>4</v>
      </c>
      <c r="D450" s="2">
        <v>43741</v>
      </c>
      <c r="E450" s="3">
        <v>43741.444439999999</v>
      </c>
      <c r="F450" s="3">
        <v>43741.447919999999</v>
      </c>
      <c r="G450" s="4">
        <v>18.100000000000001</v>
      </c>
      <c r="H450" s="4">
        <v>8.89</v>
      </c>
      <c r="I450">
        <v>24</v>
      </c>
      <c r="J450">
        <v>0.28999999999999998</v>
      </c>
      <c r="K450">
        <v>3.7691814254204701</v>
      </c>
      <c r="L450">
        <v>-1.29274849967286E-4</v>
      </c>
    </row>
    <row r="451" spans="1:12" x14ac:dyDescent="0.2">
      <c r="A451" t="s">
        <v>7</v>
      </c>
      <c r="B451">
        <v>3</v>
      </c>
      <c r="C451" t="s">
        <v>3</v>
      </c>
      <c r="D451" s="2">
        <v>43741</v>
      </c>
      <c r="E451" s="3">
        <v>43741.451390000002</v>
      </c>
      <c r="F451" s="3">
        <v>43741.454859999998</v>
      </c>
      <c r="H451" s="4">
        <v>8.89</v>
      </c>
      <c r="K451">
        <v>4.6133717505975804</v>
      </c>
      <c r="L451">
        <v>-1.05475528507041E-4</v>
      </c>
    </row>
    <row r="452" spans="1:12" x14ac:dyDescent="0.2">
      <c r="A452" t="s">
        <v>7</v>
      </c>
      <c r="B452">
        <v>4</v>
      </c>
      <c r="C452" t="s">
        <v>4</v>
      </c>
      <c r="D452" s="2">
        <v>43741</v>
      </c>
      <c r="E452" s="3">
        <v>43741.458330000001</v>
      </c>
      <c r="F452" s="3">
        <v>43741.461810000001</v>
      </c>
      <c r="G452" s="4">
        <v>21.4</v>
      </c>
      <c r="H452" s="4">
        <v>9.44</v>
      </c>
      <c r="I452">
        <v>12.8</v>
      </c>
      <c r="J452">
        <v>0.28999999999999998</v>
      </c>
      <c r="K452">
        <v>2.8510226855768601</v>
      </c>
      <c r="L452">
        <v>-1.3517293701374101E-4</v>
      </c>
    </row>
    <row r="453" spans="1:12" x14ac:dyDescent="0.2">
      <c r="A453" t="s">
        <v>7</v>
      </c>
      <c r="B453">
        <v>4</v>
      </c>
      <c r="C453" t="s">
        <v>3</v>
      </c>
      <c r="D453" s="2">
        <v>43741</v>
      </c>
      <c r="E453" s="3">
        <v>43741.46458</v>
      </c>
      <c r="F453" s="3">
        <v>43741.468059999999</v>
      </c>
      <c r="H453" s="4">
        <v>9.44</v>
      </c>
      <c r="K453">
        <v>3.43015971735587</v>
      </c>
      <c r="L453">
        <v>-8.8972586166011794E-5</v>
      </c>
    </row>
    <row r="454" spans="1:12" x14ac:dyDescent="0.2">
      <c r="A454" t="s">
        <v>7</v>
      </c>
      <c r="B454">
        <v>5</v>
      </c>
      <c r="C454" t="s">
        <v>4</v>
      </c>
      <c r="D454" s="2">
        <v>43741</v>
      </c>
      <c r="E454" s="3">
        <v>43741.471530000003</v>
      </c>
      <c r="F454" s="3">
        <v>43741.474999999999</v>
      </c>
      <c r="G454" s="4">
        <v>18.5</v>
      </c>
      <c r="H454" s="4">
        <v>9.44</v>
      </c>
      <c r="I454">
        <v>24.4</v>
      </c>
      <c r="J454">
        <v>0.34</v>
      </c>
      <c r="K454">
        <v>4.3448734001302398</v>
      </c>
      <c r="L454">
        <v>-2.6307084402414399E-4</v>
      </c>
    </row>
    <row r="455" spans="1:12" x14ac:dyDescent="0.2">
      <c r="A455" t="s">
        <v>7</v>
      </c>
      <c r="B455">
        <v>5</v>
      </c>
      <c r="C455" t="s">
        <v>3</v>
      </c>
      <c r="D455" s="2">
        <v>43741</v>
      </c>
      <c r="E455" s="3">
        <v>43741.478470000002</v>
      </c>
      <c r="F455" s="3">
        <v>43741.482640000002</v>
      </c>
      <c r="H455" s="4">
        <v>9.44</v>
      </c>
      <c r="K455">
        <v>5.6274408886251202</v>
      </c>
      <c r="L455">
        <v>-3.06160745455766E-4</v>
      </c>
    </row>
    <row r="456" spans="1:12" x14ac:dyDescent="0.2">
      <c r="A456" t="s">
        <v>7</v>
      </c>
      <c r="B456">
        <v>1</v>
      </c>
      <c r="C456" t="s">
        <v>4</v>
      </c>
      <c r="D456" s="2">
        <v>43741</v>
      </c>
      <c r="E456" s="3">
        <v>43741.503470000003</v>
      </c>
      <c r="F456" s="3">
        <v>43741.506939999999</v>
      </c>
      <c r="G456" s="4">
        <v>19.3</v>
      </c>
      <c r="H456">
        <v>9.44</v>
      </c>
      <c r="I456">
        <v>24.8</v>
      </c>
      <c r="J456">
        <v>0.24</v>
      </c>
      <c r="K456">
        <v>5.3396049268839301</v>
      </c>
      <c r="L456" s="6">
        <v>-8.5799999999999998E-5</v>
      </c>
    </row>
    <row r="457" spans="1:12" x14ac:dyDescent="0.2">
      <c r="A457" t="s">
        <v>7</v>
      </c>
      <c r="B457">
        <v>1</v>
      </c>
      <c r="C457" t="s">
        <v>3</v>
      </c>
      <c r="D457" s="2">
        <v>43741</v>
      </c>
      <c r="E457" s="3">
        <v>43741.510419999999</v>
      </c>
      <c r="F457" s="3">
        <v>43741.513890000002</v>
      </c>
      <c r="H457">
        <v>9.44</v>
      </c>
      <c r="K457">
        <v>5.1247330188174001</v>
      </c>
      <c r="L457" s="6">
        <v>-4.1100000000000003E-5</v>
      </c>
    </row>
    <row r="458" spans="1:12" x14ac:dyDescent="0.2">
      <c r="A458" t="s">
        <v>7</v>
      </c>
      <c r="B458">
        <v>2</v>
      </c>
      <c r="C458" t="s">
        <v>4</v>
      </c>
      <c r="D458" s="2">
        <v>43741</v>
      </c>
      <c r="E458" s="3">
        <v>43741.51597</v>
      </c>
      <c r="F458" s="3">
        <v>43741.519439999996</v>
      </c>
      <c r="G458" s="4">
        <v>27.3</v>
      </c>
      <c r="H458">
        <v>9.44</v>
      </c>
      <c r="I458">
        <v>12.3</v>
      </c>
      <c r="J458">
        <v>0.34</v>
      </c>
      <c r="K458">
        <v>4.0906906848503999</v>
      </c>
      <c r="L458" s="6">
        <v>-4.0299999999999997E-5</v>
      </c>
    </row>
    <row r="459" spans="1:12" x14ac:dyDescent="0.2">
      <c r="A459" t="s">
        <v>7</v>
      </c>
      <c r="B459">
        <v>2</v>
      </c>
      <c r="C459" t="s">
        <v>3</v>
      </c>
      <c r="D459" s="2">
        <v>43741</v>
      </c>
      <c r="E459" s="3">
        <v>43741.522920000003</v>
      </c>
      <c r="F459" s="3">
        <v>43741.526389999999</v>
      </c>
      <c r="H459">
        <v>9.44</v>
      </c>
      <c r="K459">
        <v>4.4717378581566098</v>
      </c>
      <c r="L459" s="6">
        <v>-2.69E-5</v>
      </c>
    </row>
    <row r="460" spans="1:12" x14ac:dyDescent="0.2">
      <c r="A460" t="s">
        <v>7</v>
      </c>
      <c r="B460">
        <v>3</v>
      </c>
      <c r="C460" t="s">
        <v>4</v>
      </c>
      <c r="D460" s="2">
        <v>43741</v>
      </c>
      <c r="E460" s="3">
        <v>43741.530559999999</v>
      </c>
      <c r="F460" s="3">
        <v>43741.534030000003</v>
      </c>
      <c r="G460" s="4">
        <v>20.399999999999999</v>
      </c>
      <c r="H460">
        <v>9.44</v>
      </c>
      <c r="I460">
        <v>17.399999999999999</v>
      </c>
      <c r="J460">
        <v>0.36</v>
      </c>
      <c r="K460">
        <v>4.3383513100665603</v>
      </c>
      <c r="L460">
        <v>-1.08837E-4</v>
      </c>
    </row>
    <row r="461" spans="1:12" x14ac:dyDescent="0.2">
      <c r="A461" t="s">
        <v>7</v>
      </c>
      <c r="B461">
        <v>3</v>
      </c>
      <c r="C461" t="s">
        <v>3</v>
      </c>
      <c r="D461" s="2">
        <v>43741</v>
      </c>
      <c r="E461" s="3">
        <v>43741.537499999999</v>
      </c>
      <c r="F461" s="3">
        <v>43741.540970000002</v>
      </c>
      <c r="H461">
        <v>9.44</v>
      </c>
      <c r="K461">
        <v>5.02035339773379</v>
      </c>
      <c r="L461">
        <v>-1.38956E-4</v>
      </c>
    </row>
    <row r="462" spans="1:12" x14ac:dyDescent="0.2">
      <c r="A462" t="s">
        <v>7</v>
      </c>
      <c r="B462">
        <v>4</v>
      </c>
      <c r="C462" t="s">
        <v>4</v>
      </c>
      <c r="D462" s="2">
        <v>43741</v>
      </c>
      <c r="E462" s="3">
        <v>43741.543060000004</v>
      </c>
      <c r="F462" s="3">
        <v>43741.54653</v>
      </c>
      <c r="G462" s="4">
        <v>17.399999999999999</v>
      </c>
      <c r="H462">
        <v>9.44</v>
      </c>
      <c r="I462">
        <v>9.6</v>
      </c>
      <c r="J462">
        <v>0.24</v>
      </c>
      <c r="K462">
        <v>3.4899942547945502</v>
      </c>
      <c r="L462">
        <v>-1.07241E-4</v>
      </c>
    </row>
    <row r="463" spans="1:12" x14ac:dyDescent="0.2">
      <c r="A463" t="s">
        <v>7</v>
      </c>
      <c r="B463">
        <v>4</v>
      </c>
      <c r="C463" t="s">
        <v>3</v>
      </c>
      <c r="D463" s="2">
        <v>43741</v>
      </c>
      <c r="E463" s="3">
        <v>43741.55</v>
      </c>
      <c r="F463" s="3">
        <v>43741.553469999999</v>
      </c>
      <c r="H463">
        <v>9.44</v>
      </c>
      <c r="K463">
        <v>3.6623672678213102</v>
      </c>
      <c r="L463" s="6">
        <v>-9.4699999999999998E-5</v>
      </c>
    </row>
    <row r="464" spans="1:12" x14ac:dyDescent="0.2">
      <c r="A464" t="s">
        <v>7</v>
      </c>
      <c r="B464">
        <v>5</v>
      </c>
      <c r="C464" t="s">
        <v>4</v>
      </c>
      <c r="D464" s="2">
        <v>43741</v>
      </c>
      <c r="E464" s="3">
        <v>43741.557639999999</v>
      </c>
      <c r="F464" s="3">
        <v>43741.561110000002</v>
      </c>
      <c r="G464" s="4">
        <v>22.22</v>
      </c>
      <c r="H464">
        <v>8.89</v>
      </c>
      <c r="I464">
        <v>15</v>
      </c>
      <c r="J464">
        <v>0.36</v>
      </c>
      <c r="K464">
        <v>5.29181682442041</v>
      </c>
      <c r="L464">
        <v>-2.3320400000000001E-4</v>
      </c>
    </row>
    <row r="465" spans="1:12" x14ac:dyDescent="0.2">
      <c r="A465" t="s">
        <v>7</v>
      </c>
      <c r="B465">
        <v>5</v>
      </c>
      <c r="C465" t="s">
        <v>3</v>
      </c>
      <c r="D465" s="2">
        <v>43741</v>
      </c>
      <c r="E465" s="3">
        <v>43741.564579999998</v>
      </c>
      <c r="F465" s="3">
        <v>43741.568059999998</v>
      </c>
      <c r="H465">
        <v>8.89</v>
      </c>
      <c r="K465">
        <v>6.2918386337345096</v>
      </c>
      <c r="L465">
        <v>-3.0626900000000002E-4</v>
      </c>
    </row>
    <row r="466" spans="1:12" x14ac:dyDescent="0.2">
      <c r="A466" t="s">
        <v>7</v>
      </c>
      <c r="B466">
        <v>1</v>
      </c>
      <c r="C466" t="s">
        <v>4</v>
      </c>
      <c r="D466" s="2">
        <v>43746</v>
      </c>
      <c r="E466" s="3">
        <v>43746.424769999998</v>
      </c>
      <c r="F466" s="3">
        <v>43746.428240000001</v>
      </c>
      <c r="G466" s="4">
        <v>24.2</v>
      </c>
      <c r="H466">
        <v>14.44</v>
      </c>
      <c r="J466">
        <v>0.27</v>
      </c>
      <c r="K466">
        <v>6.1546347674413102</v>
      </c>
      <c r="L466">
        <v>-1.33450302768823E-4</v>
      </c>
    </row>
    <row r="467" spans="1:12" x14ac:dyDescent="0.2">
      <c r="A467" t="s">
        <v>7</v>
      </c>
      <c r="B467">
        <v>1</v>
      </c>
      <c r="C467" t="s">
        <v>3</v>
      </c>
      <c r="D467" s="2">
        <v>43746</v>
      </c>
      <c r="E467" s="3">
        <v>43746.430209999999</v>
      </c>
      <c r="F467" s="3">
        <v>43746.433680000002</v>
      </c>
      <c r="H467">
        <v>14.44</v>
      </c>
      <c r="K467">
        <v>5.5161455248688096</v>
      </c>
      <c r="L467" s="6">
        <v>-8.8502343186962803E-5</v>
      </c>
    </row>
    <row r="468" spans="1:12" x14ac:dyDescent="0.2">
      <c r="A468" t="s">
        <v>7</v>
      </c>
      <c r="B468">
        <v>2</v>
      </c>
      <c r="C468" t="s">
        <v>4</v>
      </c>
      <c r="D468" s="2">
        <v>43746</v>
      </c>
      <c r="E468" s="3">
        <v>43746.435420000002</v>
      </c>
      <c r="F468" s="3">
        <v>43746.438889999998</v>
      </c>
      <c r="G468" s="4">
        <v>26.1</v>
      </c>
      <c r="H468">
        <v>14.44</v>
      </c>
      <c r="J468">
        <v>0.3</v>
      </c>
      <c r="K468">
        <v>4.7530975464591201</v>
      </c>
      <c r="L468" s="6">
        <v>2.9454208833159098E-5</v>
      </c>
    </row>
    <row r="469" spans="1:12" x14ac:dyDescent="0.2">
      <c r="A469" t="s">
        <v>7</v>
      </c>
      <c r="B469">
        <v>2</v>
      </c>
      <c r="C469" t="s">
        <v>3</v>
      </c>
      <c r="D469" s="2">
        <v>43746</v>
      </c>
      <c r="E469" s="3">
        <v>43746.445140000003</v>
      </c>
      <c r="F469" s="3">
        <v>43746.448609999999</v>
      </c>
      <c r="H469">
        <v>14.44</v>
      </c>
      <c r="K469">
        <v>4.11397856910098</v>
      </c>
      <c r="L469" s="6">
        <v>2.2456826413262499E-5</v>
      </c>
    </row>
    <row r="470" spans="1:12" x14ac:dyDescent="0.2">
      <c r="A470" t="s">
        <v>7</v>
      </c>
      <c r="B470">
        <v>3</v>
      </c>
      <c r="C470" t="s">
        <v>4</v>
      </c>
      <c r="D470" s="2">
        <v>43746</v>
      </c>
      <c r="E470" s="3">
        <v>43746.452080000003</v>
      </c>
      <c r="F470" s="3">
        <v>43746.455560000002</v>
      </c>
      <c r="G470" s="4">
        <v>18.100000000000001</v>
      </c>
      <c r="H470">
        <v>16.11</v>
      </c>
      <c r="J470">
        <v>0.24</v>
      </c>
      <c r="K470">
        <v>10.170701126748799</v>
      </c>
      <c r="L470" s="6">
        <v>5.4360329386851902E-5</v>
      </c>
    </row>
    <row r="471" spans="1:12" x14ac:dyDescent="0.2">
      <c r="A471" t="s">
        <v>7</v>
      </c>
      <c r="B471">
        <v>3</v>
      </c>
      <c r="C471" t="s">
        <v>3</v>
      </c>
      <c r="D471" s="2">
        <v>43746</v>
      </c>
      <c r="E471" s="3">
        <v>43746.457640000001</v>
      </c>
      <c r="F471" s="3">
        <v>43746.461109999997</v>
      </c>
      <c r="H471">
        <v>16.11</v>
      </c>
      <c r="K471">
        <v>9.7161153339506008</v>
      </c>
      <c r="L471" s="6">
        <v>-8.8744326900458904E-6</v>
      </c>
    </row>
    <row r="472" spans="1:12" x14ac:dyDescent="0.2">
      <c r="A472" t="s">
        <v>7</v>
      </c>
      <c r="B472">
        <v>4</v>
      </c>
      <c r="C472" t="s">
        <v>4</v>
      </c>
      <c r="D472" s="2">
        <v>43746</v>
      </c>
      <c r="E472" s="3">
        <v>43746.463889999999</v>
      </c>
      <c r="F472" s="3">
        <v>43746.467360000002</v>
      </c>
      <c r="G472" s="4">
        <v>24.7</v>
      </c>
      <c r="H472">
        <v>16.670000000000002</v>
      </c>
      <c r="J472">
        <v>0.28000000000000003</v>
      </c>
      <c r="K472">
        <v>5.70042926192765</v>
      </c>
      <c r="L472" s="6">
        <v>4.6477493678786398E-5</v>
      </c>
    </row>
    <row r="473" spans="1:12" x14ac:dyDescent="0.2">
      <c r="A473" t="s">
        <v>7</v>
      </c>
      <c r="B473">
        <v>4</v>
      </c>
      <c r="C473" t="s">
        <v>3</v>
      </c>
      <c r="D473" s="2">
        <v>43746</v>
      </c>
      <c r="E473" s="3">
        <v>43746.470139999998</v>
      </c>
      <c r="F473" s="3">
        <v>43746.473610000001</v>
      </c>
      <c r="H473">
        <v>16.670000000000002</v>
      </c>
      <c r="K473">
        <v>4.5855846705129197</v>
      </c>
      <c r="L473" s="6">
        <v>7.8628507182292102E-5</v>
      </c>
    </row>
    <row r="474" spans="1:12" x14ac:dyDescent="0.2">
      <c r="A474" t="s">
        <v>7</v>
      </c>
      <c r="B474">
        <v>5</v>
      </c>
      <c r="C474" t="s">
        <v>4</v>
      </c>
      <c r="D474" s="2">
        <v>43746</v>
      </c>
      <c r="E474" s="3">
        <v>43746.476390000003</v>
      </c>
      <c r="F474" s="3">
        <v>43746.479859999999</v>
      </c>
      <c r="G474" s="4">
        <v>25.4</v>
      </c>
      <c r="H474">
        <v>16.670000000000002</v>
      </c>
      <c r="J474">
        <v>0.31</v>
      </c>
      <c r="K474">
        <v>7.4457158608367404</v>
      </c>
      <c r="L474" s="6">
        <v>-3.3056196170081003E-5</v>
      </c>
    </row>
    <row r="475" spans="1:12" x14ac:dyDescent="0.2">
      <c r="A475" t="s">
        <v>7</v>
      </c>
      <c r="B475">
        <v>5</v>
      </c>
      <c r="C475" t="s">
        <v>3</v>
      </c>
      <c r="D475" s="2">
        <v>43746</v>
      </c>
      <c r="E475" s="3">
        <v>43746.482640000002</v>
      </c>
      <c r="F475" s="3">
        <v>43746.486109999998</v>
      </c>
      <c r="H475">
        <v>16.670000000000002</v>
      </c>
      <c r="K475">
        <v>8.0298146855749604</v>
      </c>
      <c r="L475" s="6">
        <v>-6.2516638616109398E-5</v>
      </c>
    </row>
    <row r="476" spans="1:12" x14ac:dyDescent="0.2">
      <c r="A476" t="s">
        <v>7</v>
      </c>
      <c r="B476">
        <v>1</v>
      </c>
      <c r="C476" t="s">
        <v>4</v>
      </c>
      <c r="D476" s="2">
        <v>43746</v>
      </c>
      <c r="E476" s="3">
        <v>43746.534720000003</v>
      </c>
      <c r="F476" s="3">
        <v>43746.538189999999</v>
      </c>
      <c r="G476" s="4">
        <v>21.1</v>
      </c>
      <c r="H476">
        <v>17.78</v>
      </c>
      <c r="J476">
        <v>0.26</v>
      </c>
      <c r="K476">
        <v>7.621157964</v>
      </c>
      <c r="L476" s="6">
        <v>3.5528352241369003E-5</v>
      </c>
    </row>
    <row r="477" spans="1:12" x14ac:dyDescent="0.2">
      <c r="A477" t="s">
        <v>7</v>
      </c>
      <c r="B477">
        <v>1</v>
      </c>
      <c r="C477" t="s">
        <v>3</v>
      </c>
      <c r="D477" s="2">
        <v>43746</v>
      </c>
      <c r="E477" s="3">
        <v>43746.541669999999</v>
      </c>
      <c r="F477" s="3">
        <v>43746.545140000002</v>
      </c>
      <c r="H477">
        <v>17.78</v>
      </c>
      <c r="K477">
        <v>5.955077942</v>
      </c>
      <c r="L477">
        <v>1.5799141945049299E-4</v>
      </c>
    </row>
    <row r="478" spans="1:12" x14ac:dyDescent="0.2">
      <c r="A478" t="s">
        <v>7</v>
      </c>
      <c r="B478">
        <v>2</v>
      </c>
      <c r="C478" t="s">
        <v>4</v>
      </c>
      <c r="D478" s="2">
        <v>43746</v>
      </c>
      <c r="E478" s="3">
        <v>43746.54722</v>
      </c>
      <c r="F478" s="3">
        <v>43746.550689999996</v>
      </c>
      <c r="G478" s="4">
        <v>22.5</v>
      </c>
      <c r="H478">
        <v>17.78</v>
      </c>
      <c r="J478">
        <v>0.27</v>
      </c>
      <c r="K478">
        <v>5.9530348630000001</v>
      </c>
      <c r="L478" s="6">
        <v>-4.02993618862216E-5</v>
      </c>
    </row>
    <row r="479" spans="1:12" x14ac:dyDescent="0.2">
      <c r="A479" t="s">
        <v>7</v>
      </c>
      <c r="B479">
        <v>2</v>
      </c>
      <c r="C479" t="s">
        <v>3</v>
      </c>
      <c r="D479" s="2">
        <v>43746</v>
      </c>
      <c r="E479" s="3">
        <v>43746.552779999998</v>
      </c>
      <c r="F479" s="3">
        <v>43746.556250000001</v>
      </c>
      <c r="H479">
        <v>17.78</v>
      </c>
      <c r="K479">
        <v>5.435713861</v>
      </c>
      <c r="L479" s="6">
        <v>-8.6461678835824207E-5</v>
      </c>
    </row>
    <row r="480" spans="1:12" x14ac:dyDescent="0.2">
      <c r="A480" t="s">
        <v>7</v>
      </c>
      <c r="B480">
        <v>3</v>
      </c>
      <c r="C480" t="s">
        <v>4</v>
      </c>
      <c r="D480" s="2">
        <v>43746</v>
      </c>
      <c r="E480" s="3">
        <v>43746.559029999997</v>
      </c>
      <c r="F480" s="3">
        <v>43746.5625</v>
      </c>
      <c r="G480" s="4">
        <v>24.9</v>
      </c>
      <c r="H480">
        <v>17.78</v>
      </c>
      <c r="J480">
        <v>0.28999999999999998</v>
      </c>
      <c r="K480">
        <v>7.26755292</v>
      </c>
      <c r="L480">
        <v>-1.0387580456688199E-4</v>
      </c>
    </row>
    <row r="481" spans="1:12" x14ac:dyDescent="0.2">
      <c r="A481" t="s">
        <v>7</v>
      </c>
      <c r="B481">
        <v>3</v>
      </c>
      <c r="C481" t="s">
        <v>3</v>
      </c>
      <c r="D481" s="2">
        <v>43746</v>
      </c>
      <c r="E481" s="3">
        <v>43746.564579999998</v>
      </c>
      <c r="F481" s="3">
        <v>43746.568059999998</v>
      </c>
      <c r="H481">
        <v>17.78</v>
      </c>
      <c r="K481">
        <v>6.0724737549999999</v>
      </c>
      <c r="L481" s="6">
        <v>-1.08638228694333E-5</v>
      </c>
    </row>
    <row r="482" spans="1:12" x14ac:dyDescent="0.2">
      <c r="A482" t="s">
        <v>7</v>
      </c>
      <c r="B482">
        <v>4</v>
      </c>
      <c r="C482" t="s">
        <v>4</v>
      </c>
      <c r="D482" s="2">
        <v>43746</v>
      </c>
      <c r="E482" s="3">
        <v>43746.570140000003</v>
      </c>
      <c r="F482" s="3">
        <v>43746.573609999999</v>
      </c>
      <c r="G482" s="4">
        <v>23.6</v>
      </c>
      <c r="H482">
        <v>17.78</v>
      </c>
      <c r="J482">
        <v>0.28999999999999998</v>
      </c>
      <c r="K482">
        <v>4.6387407019999998</v>
      </c>
      <c r="L482">
        <v>-1.1346998502907E-4</v>
      </c>
    </row>
    <row r="483" spans="1:12" x14ac:dyDescent="0.2">
      <c r="A483" t="s">
        <v>7</v>
      </c>
      <c r="B483">
        <v>4</v>
      </c>
      <c r="C483" t="s">
        <v>3</v>
      </c>
      <c r="D483" s="2">
        <v>43746</v>
      </c>
      <c r="E483" s="3">
        <v>43746.575689999998</v>
      </c>
      <c r="F483" s="3">
        <v>43746.579169999997</v>
      </c>
      <c r="H483">
        <v>17.78</v>
      </c>
      <c r="K483">
        <v>3.8443702869999998</v>
      </c>
      <c r="L483">
        <v>-1.4310128682456201E-4</v>
      </c>
    </row>
    <row r="484" spans="1:12" x14ac:dyDescent="0.2">
      <c r="A484" t="s">
        <v>7</v>
      </c>
      <c r="B484">
        <v>5</v>
      </c>
      <c r="C484" t="s">
        <v>4</v>
      </c>
      <c r="D484" s="2">
        <v>43746</v>
      </c>
      <c r="E484" s="3">
        <v>43746.581250000003</v>
      </c>
      <c r="F484" s="3">
        <v>43746.584719999999</v>
      </c>
      <c r="G484" s="4">
        <v>22.4</v>
      </c>
      <c r="H484">
        <v>18.329999999999998</v>
      </c>
      <c r="J484">
        <v>0.3</v>
      </c>
      <c r="K484">
        <v>4.9985844019999996</v>
      </c>
      <c r="L484">
        <v>-1.7875824541355401E-4</v>
      </c>
    </row>
    <row r="485" spans="1:12" x14ac:dyDescent="0.2">
      <c r="A485" t="s">
        <v>7</v>
      </c>
      <c r="B485">
        <v>5</v>
      </c>
      <c r="C485" t="s">
        <v>3</v>
      </c>
      <c r="D485" s="2">
        <v>43746</v>
      </c>
      <c r="E485" s="3">
        <v>43746.587959999997</v>
      </c>
      <c r="F485" s="3">
        <v>43746.591439999997</v>
      </c>
      <c r="H485">
        <v>18.329999999999998</v>
      </c>
      <c r="K485">
        <v>6.3557562799999996</v>
      </c>
      <c r="L485" s="6">
        <v>-8.3185344152981596E-5</v>
      </c>
    </row>
    <row r="486" spans="1:12" x14ac:dyDescent="0.2">
      <c r="A486" t="s">
        <v>7</v>
      </c>
      <c r="B486">
        <v>1</v>
      </c>
      <c r="C486" t="s">
        <v>4</v>
      </c>
      <c r="D486" s="2">
        <v>43753</v>
      </c>
      <c r="E486" s="3">
        <v>43753.396990000001</v>
      </c>
      <c r="F486" s="3">
        <v>43753.400459999997</v>
      </c>
      <c r="G486" s="4">
        <v>16.100000000000001</v>
      </c>
      <c r="H486">
        <v>7.78</v>
      </c>
      <c r="J486">
        <v>0.21</v>
      </c>
      <c r="K486">
        <v>2.9492746206593199</v>
      </c>
      <c r="L486">
        <v>-1.2456937971431001E-4</v>
      </c>
    </row>
    <row r="487" spans="1:12" x14ac:dyDescent="0.2">
      <c r="A487" t="s">
        <v>7</v>
      </c>
      <c r="B487">
        <v>1</v>
      </c>
      <c r="C487" t="s">
        <v>3</v>
      </c>
      <c r="D487" s="2">
        <v>43753</v>
      </c>
      <c r="E487" s="3">
        <v>43753.402779999997</v>
      </c>
      <c r="F487" s="3">
        <v>43753.40625</v>
      </c>
      <c r="H487">
        <v>7.78</v>
      </c>
      <c r="K487">
        <v>2.6846627464247699</v>
      </c>
      <c r="L487">
        <v>-1.5316802318981099E-4</v>
      </c>
    </row>
    <row r="488" spans="1:12" x14ac:dyDescent="0.2">
      <c r="A488" t="s">
        <v>7</v>
      </c>
      <c r="B488">
        <v>2</v>
      </c>
      <c r="C488" t="s">
        <v>4</v>
      </c>
      <c r="D488" s="2">
        <v>43753</v>
      </c>
      <c r="E488" s="3">
        <v>43753.409030000003</v>
      </c>
      <c r="F488" s="3">
        <v>43753.412499999999</v>
      </c>
      <c r="G488" s="4">
        <v>22.3</v>
      </c>
      <c r="H488">
        <v>7.78</v>
      </c>
      <c r="J488">
        <v>0.24</v>
      </c>
      <c r="K488">
        <v>2.39418772711843</v>
      </c>
      <c r="L488">
        <v>-2.0995632521333599E-4</v>
      </c>
    </row>
    <row r="489" spans="1:12" x14ac:dyDescent="0.2">
      <c r="A489" t="s">
        <v>7</v>
      </c>
      <c r="B489">
        <v>2</v>
      </c>
      <c r="C489" t="s">
        <v>3</v>
      </c>
      <c r="D489" s="2">
        <v>43753</v>
      </c>
      <c r="E489" s="3">
        <v>43753.415280000001</v>
      </c>
      <c r="F489" s="3">
        <v>43753.418749999997</v>
      </c>
      <c r="H489">
        <v>7.78</v>
      </c>
      <c r="K489">
        <v>2.1164548811794099</v>
      </c>
      <c r="L489" s="6">
        <v>-7.7690806019420204E-5</v>
      </c>
    </row>
    <row r="490" spans="1:12" x14ac:dyDescent="0.2">
      <c r="A490" t="s">
        <v>7</v>
      </c>
      <c r="B490">
        <v>3</v>
      </c>
      <c r="C490" t="s">
        <v>4</v>
      </c>
      <c r="D490" s="2">
        <v>43753</v>
      </c>
      <c r="E490" s="3">
        <v>43753.422919999997</v>
      </c>
      <c r="F490" s="3">
        <v>43753.426390000001</v>
      </c>
      <c r="G490" s="4">
        <v>16.600000000000001</v>
      </c>
      <c r="H490">
        <v>7.78</v>
      </c>
      <c r="J490">
        <v>0.26</v>
      </c>
      <c r="K490">
        <v>2.6216618652642301</v>
      </c>
      <c r="L490">
        <v>-1.9486802373475199E-4</v>
      </c>
    </row>
    <row r="491" spans="1:12" x14ac:dyDescent="0.2">
      <c r="A491" t="s">
        <v>7</v>
      </c>
      <c r="B491">
        <v>3</v>
      </c>
      <c r="C491" t="s">
        <v>3</v>
      </c>
      <c r="D491" s="2">
        <v>43753</v>
      </c>
      <c r="E491" s="3">
        <v>43753.429170000003</v>
      </c>
      <c r="F491" s="3">
        <v>43753.432639999999</v>
      </c>
      <c r="H491">
        <v>7.78</v>
      </c>
      <c r="K491">
        <v>2.3637026448426899</v>
      </c>
      <c r="L491">
        <v>-1.890129878145E-4</v>
      </c>
    </row>
    <row r="492" spans="1:12" x14ac:dyDescent="0.2">
      <c r="A492" t="s">
        <v>7</v>
      </c>
      <c r="B492">
        <v>4</v>
      </c>
      <c r="C492" t="s">
        <v>4</v>
      </c>
      <c r="D492" s="2">
        <v>43753</v>
      </c>
      <c r="E492" s="3">
        <v>43753.4375</v>
      </c>
      <c r="F492" s="3">
        <v>43753.440970000003</v>
      </c>
      <c r="G492" s="4">
        <v>16.7</v>
      </c>
      <c r="H492">
        <v>7.78</v>
      </c>
      <c r="J492">
        <v>0.21</v>
      </c>
      <c r="K492">
        <v>2.0092276113029701</v>
      </c>
      <c r="L492" s="6">
        <v>-3.7664908979541698E-5</v>
      </c>
    </row>
    <row r="493" spans="1:12" x14ac:dyDescent="0.2">
      <c r="A493" t="s">
        <v>7</v>
      </c>
      <c r="B493">
        <v>4</v>
      </c>
      <c r="C493" t="s">
        <v>3</v>
      </c>
      <c r="D493" s="2">
        <v>43753</v>
      </c>
      <c r="E493" s="3">
        <v>43753.443059999998</v>
      </c>
      <c r="F493" s="3">
        <v>43753.446530000001</v>
      </c>
      <c r="H493">
        <v>7.78</v>
      </c>
      <c r="K493">
        <v>1.9445801387933801</v>
      </c>
      <c r="L493">
        <v>-1.62802366588177E-4</v>
      </c>
    </row>
    <row r="494" spans="1:12" x14ac:dyDescent="0.2">
      <c r="A494" t="s">
        <v>7</v>
      </c>
      <c r="B494">
        <v>5</v>
      </c>
      <c r="C494" t="s">
        <v>4</v>
      </c>
      <c r="D494" s="2">
        <v>43753</v>
      </c>
      <c r="E494" s="3">
        <v>43753.449310000004</v>
      </c>
      <c r="F494" s="3">
        <v>43753.45278</v>
      </c>
      <c r="G494" s="4">
        <v>15.7</v>
      </c>
      <c r="H494">
        <v>11.67</v>
      </c>
      <c r="J494">
        <v>0.21</v>
      </c>
      <c r="K494">
        <v>3.10837966088399</v>
      </c>
      <c r="L494">
        <v>-2.28907866017137E-4</v>
      </c>
    </row>
    <row r="495" spans="1:12" x14ac:dyDescent="0.2">
      <c r="A495" t="s">
        <v>7</v>
      </c>
      <c r="B495">
        <v>5</v>
      </c>
      <c r="C495" t="s">
        <v>3</v>
      </c>
      <c r="D495" s="2">
        <v>43753</v>
      </c>
      <c r="E495" s="3">
        <v>43753.456939999996</v>
      </c>
      <c r="F495" s="3">
        <v>43753.460420000003</v>
      </c>
      <c r="H495">
        <v>11.67</v>
      </c>
      <c r="K495">
        <v>3.6928601223302602</v>
      </c>
      <c r="L495">
        <v>-3.3897749230685302E-4</v>
      </c>
    </row>
    <row r="496" spans="1:12" x14ac:dyDescent="0.2">
      <c r="A496" t="s">
        <v>7</v>
      </c>
      <c r="B496">
        <v>1</v>
      </c>
      <c r="C496" t="s">
        <v>4</v>
      </c>
      <c r="D496" s="2">
        <v>43753</v>
      </c>
      <c r="E496" s="3">
        <v>43753.497689999997</v>
      </c>
      <c r="F496" s="3">
        <v>43753.50116</v>
      </c>
      <c r="G496" s="4">
        <v>17</v>
      </c>
      <c r="H496">
        <v>12.78</v>
      </c>
      <c r="J496">
        <v>0.2</v>
      </c>
      <c r="K496">
        <v>3.4026681639028298</v>
      </c>
      <c r="L496">
        <v>-1.0296061460880699E-4</v>
      </c>
    </row>
    <row r="497" spans="1:12" x14ac:dyDescent="0.2">
      <c r="A497" t="s">
        <v>7</v>
      </c>
      <c r="B497">
        <v>1</v>
      </c>
      <c r="C497" t="s">
        <v>3</v>
      </c>
      <c r="D497" s="2">
        <v>43753</v>
      </c>
      <c r="E497" s="3">
        <v>43753.50417</v>
      </c>
      <c r="F497" s="3">
        <v>43753.507640000003</v>
      </c>
      <c r="H497">
        <v>12.78</v>
      </c>
      <c r="K497">
        <v>2.85569829626878</v>
      </c>
      <c r="L497" s="6">
        <v>-9.3724050586742503E-5</v>
      </c>
    </row>
    <row r="498" spans="1:12" x14ac:dyDescent="0.2">
      <c r="A498" t="s">
        <v>7</v>
      </c>
      <c r="B498">
        <v>2</v>
      </c>
      <c r="C498" t="s">
        <v>4</v>
      </c>
      <c r="D498" s="2">
        <v>43753</v>
      </c>
      <c r="E498" s="3">
        <v>43753.510419999999</v>
      </c>
      <c r="F498" s="3">
        <v>43753.513890000002</v>
      </c>
      <c r="G498" s="4">
        <v>17.600000000000001</v>
      </c>
      <c r="H498">
        <v>12.78</v>
      </c>
      <c r="J498">
        <v>0.22</v>
      </c>
      <c r="K498">
        <v>2.6262768286896301</v>
      </c>
      <c r="L498" s="6">
        <v>-3.5639790067684E-5</v>
      </c>
    </row>
    <row r="499" spans="1:12" x14ac:dyDescent="0.2">
      <c r="A499" t="s">
        <v>7</v>
      </c>
      <c r="B499">
        <v>2</v>
      </c>
      <c r="C499" t="s">
        <v>3</v>
      </c>
      <c r="D499" s="2">
        <v>43753</v>
      </c>
      <c r="E499" s="3">
        <v>43753.51597</v>
      </c>
      <c r="F499" s="3">
        <v>43753.519439999996</v>
      </c>
      <c r="H499">
        <v>12.78</v>
      </c>
      <c r="K499">
        <v>2.6689421580517698</v>
      </c>
      <c r="L499">
        <v>-1.01914269272874E-4</v>
      </c>
    </row>
    <row r="500" spans="1:12" x14ac:dyDescent="0.2">
      <c r="A500" t="s">
        <v>7</v>
      </c>
      <c r="B500">
        <v>3</v>
      </c>
      <c r="C500" t="s">
        <v>4</v>
      </c>
      <c r="D500" s="2">
        <v>43753</v>
      </c>
      <c r="E500" s="3">
        <v>43753.521529999998</v>
      </c>
      <c r="F500" s="3">
        <v>43753.525000000001</v>
      </c>
      <c r="G500" s="4">
        <v>15.2</v>
      </c>
      <c r="H500">
        <v>12.78</v>
      </c>
      <c r="J500">
        <v>0.21</v>
      </c>
      <c r="K500">
        <v>2.4926676884503598</v>
      </c>
      <c r="L500">
        <v>-1.4080723720916901E-4</v>
      </c>
    </row>
    <row r="501" spans="1:12" x14ac:dyDescent="0.2">
      <c r="A501" t="s">
        <v>7</v>
      </c>
      <c r="B501">
        <v>3</v>
      </c>
      <c r="C501" t="s">
        <v>3</v>
      </c>
      <c r="D501" s="2">
        <v>43753</v>
      </c>
      <c r="E501" s="3">
        <v>43753.527779999997</v>
      </c>
      <c r="F501" s="3">
        <v>43753.53125</v>
      </c>
      <c r="H501">
        <v>12.78</v>
      </c>
      <c r="K501">
        <v>2.7253033555160702</v>
      </c>
      <c r="L501">
        <v>-2.1378985027687499E-4</v>
      </c>
    </row>
    <row r="502" spans="1:12" x14ac:dyDescent="0.2">
      <c r="A502" t="s">
        <v>7</v>
      </c>
      <c r="B502">
        <v>4</v>
      </c>
      <c r="C502" t="s">
        <v>4</v>
      </c>
      <c r="D502" s="2">
        <v>43753</v>
      </c>
      <c r="E502" s="3">
        <v>43753.534030000003</v>
      </c>
      <c r="F502" s="3">
        <v>43753.537499999999</v>
      </c>
      <c r="G502" s="4">
        <v>18.7</v>
      </c>
      <c r="H502">
        <v>12.78</v>
      </c>
      <c r="J502">
        <v>0.21</v>
      </c>
      <c r="K502">
        <v>2.06001946711502</v>
      </c>
      <c r="L502">
        <v>-1.6202820030535801E-4</v>
      </c>
    </row>
    <row r="503" spans="1:12" x14ac:dyDescent="0.2">
      <c r="A503" t="s">
        <v>7</v>
      </c>
      <c r="B503">
        <v>4</v>
      </c>
      <c r="C503" t="s">
        <v>3</v>
      </c>
      <c r="D503" s="2">
        <v>43753</v>
      </c>
      <c r="E503" s="3">
        <v>43753.539579999997</v>
      </c>
      <c r="F503" s="3">
        <v>43753.543060000004</v>
      </c>
      <c r="H503">
        <v>12.78</v>
      </c>
      <c r="K503">
        <v>2.2430115147504699</v>
      </c>
      <c r="L503">
        <v>-1.12488001938625E-4</v>
      </c>
    </row>
    <row r="504" spans="1:12" x14ac:dyDescent="0.2">
      <c r="A504" t="s">
        <v>7</v>
      </c>
      <c r="B504">
        <v>5</v>
      </c>
      <c r="C504" t="s">
        <v>4</v>
      </c>
      <c r="D504" s="2">
        <v>43753</v>
      </c>
      <c r="E504" s="3">
        <v>43753.54722</v>
      </c>
      <c r="F504" s="3">
        <v>43753.550689999996</v>
      </c>
      <c r="G504" s="4">
        <v>13.6</v>
      </c>
      <c r="H504">
        <v>14.44</v>
      </c>
      <c r="J504">
        <v>0.21</v>
      </c>
      <c r="K504">
        <v>3.8918879414051402</v>
      </c>
      <c r="L504">
        <v>-2.08737828024275E-4</v>
      </c>
    </row>
    <row r="505" spans="1:12" x14ac:dyDescent="0.2">
      <c r="A505" t="s">
        <v>7</v>
      </c>
      <c r="B505">
        <v>5</v>
      </c>
      <c r="C505" t="s">
        <v>3</v>
      </c>
      <c r="D505" s="2">
        <v>43753</v>
      </c>
      <c r="E505" s="3">
        <v>43753.553469999999</v>
      </c>
      <c r="F505" s="3">
        <v>43753.556940000002</v>
      </c>
      <c r="H505">
        <v>14.44</v>
      </c>
      <c r="K505">
        <v>4.44893742401515</v>
      </c>
      <c r="L505">
        <v>-1.45614947158564E-4</v>
      </c>
    </row>
    <row r="506" spans="1:12" x14ac:dyDescent="0.2">
      <c r="A506" t="s">
        <v>7</v>
      </c>
      <c r="B506">
        <v>1</v>
      </c>
      <c r="C506" t="s">
        <v>4</v>
      </c>
      <c r="D506" s="2">
        <v>43762</v>
      </c>
      <c r="E506" s="3">
        <v>43762.440970000003</v>
      </c>
      <c r="F506" s="3">
        <v>43762.444439999999</v>
      </c>
      <c r="G506" s="4">
        <v>21.1</v>
      </c>
      <c r="H506">
        <v>12.78</v>
      </c>
      <c r="J506">
        <v>0.17</v>
      </c>
      <c r="K506">
        <v>2.3123210232628</v>
      </c>
      <c r="L506">
        <v>5.6204300000000003E-4</v>
      </c>
    </row>
    <row r="507" spans="1:12" x14ac:dyDescent="0.2">
      <c r="A507" t="s">
        <v>7</v>
      </c>
      <c r="B507">
        <v>1</v>
      </c>
      <c r="C507" t="s">
        <v>3</v>
      </c>
      <c r="D507" s="2">
        <v>43762</v>
      </c>
      <c r="E507" s="3">
        <v>43762.446880000003</v>
      </c>
      <c r="F507" s="3">
        <v>43762.450349999999</v>
      </c>
      <c r="H507">
        <v>12.78</v>
      </c>
      <c r="K507">
        <v>2.3736379351647798</v>
      </c>
      <c r="L507" s="6">
        <v>9.87E-5</v>
      </c>
    </row>
    <row r="508" spans="1:12" x14ac:dyDescent="0.2">
      <c r="A508" t="s">
        <v>7</v>
      </c>
      <c r="B508">
        <v>2</v>
      </c>
      <c r="C508" t="s">
        <v>4</v>
      </c>
      <c r="D508" s="2">
        <v>43762</v>
      </c>
      <c r="E508" s="3">
        <v>43762.45347</v>
      </c>
      <c r="F508" s="3">
        <v>43762.456939999996</v>
      </c>
      <c r="G508" s="4">
        <v>21.4</v>
      </c>
      <c r="H508">
        <v>12.78</v>
      </c>
      <c r="J508">
        <v>0.2</v>
      </c>
      <c r="K508">
        <v>1.9401552639450701</v>
      </c>
      <c r="L508">
        <v>-4.8476299999999998E-4</v>
      </c>
    </row>
    <row r="509" spans="1:12" x14ac:dyDescent="0.2">
      <c r="A509" t="s">
        <v>7</v>
      </c>
      <c r="B509">
        <v>2</v>
      </c>
      <c r="C509" t="s">
        <v>3</v>
      </c>
      <c r="D509" s="2">
        <v>43762</v>
      </c>
      <c r="E509" s="3">
        <v>43762.45938</v>
      </c>
      <c r="F509" s="3">
        <v>43762.462850000004</v>
      </c>
      <c r="H509">
        <v>12.78</v>
      </c>
      <c r="K509">
        <v>2.2790286680048899</v>
      </c>
      <c r="L509">
        <v>-2.6592299999999999E-4</v>
      </c>
    </row>
    <row r="510" spans="1:12" x14ac:dyDescent="0.2">
      <c r="A510" t="s">
        <v>7</v>
      </c>
      <c r="B510">
        <v>3</v>
      </c>
      <c r="C510" t="s">
        <v>4</v>
      </c>
      <c r="D510" s="2">
        <v>43762</v>
      </c>
      <c r="E510" s="3">
        <v>43762.465279999997</v>
      </c>
      <c r="F510" s="3">
        <v>43762.46875</v>
      </c>
      <c r="G510" s="4">
        <v>20.6</v>
      </c>
      <c r="H510">
        <v>12.78</v>
      </c>
      <c r="J510">
        <v>0.2</v>
      </c>
      <c r="K510">
        <v>2.2806892465333402</v>
      </c>
      <c r="L510">
        <v>-1.5546599999999999E-4</v>
      </c>
    </row>
    <row r="511" spans="1:12" x14ac:dyDescent="0.2">
      <c r="A511" t="s">
        <v>7</v>
      </c>
      <c r="B511">
        <v>3</v>
      </c>
      <c r="C511" t="s">
        <v>3</v>
      </c>
      <c r="D511" s="2">
        <v>43762</v>
      </c>
      <c r="E511" s="3">
        <v>43762.471530000003</v>
      </c>
      <c r="F511" s="3">
        <v>43762.474999999999</v>
      </c>
      <c r="H511">
        <v>12.78</v>
      </c>
      <c r="K511">
        <v>1.9744280832015899</v>
      </c>
      <c r="L511" s="6">
        <v>-3.9700000000000003E-5</v>
      </c>
    </row>
    <row r="512" spans="1:12" x14ac:dyDescent="0.2">
      <c r="A512" t="s">
        <v>7</v>
      </c>
      <c r="B512">
        <v>4</v>
      </c>
      <c r="C512" t="s">
        <v>4</v>
      </c>
      <c r="D512" s="2">
        <v>43762</v>
      </c>
      <c r="E512" s="3">
        <v>43762.477079999997</v>
      </c>
      <c r="F512" s="3">
        <v>43762.480560000004</v>
      </c>
      <c r="G512" s="4">
        <v>21.9</v>
      </c>
      <c r="H512">
        <v>12.78</v>
      </c>
      <c r="J512">
        <v>0.2</v>
      </c>
      <c r="K512">
        <v>1.54573413579531</v>
      </c>
      <c r="L512">
        <v>1.3428600000000001E-4</v>
      </c>
    </row>
    <row r="513" spans="1:12" x14ac:dyDescent="0.2">
      <c r="A513" t="s">
        <v>7</v>
      </c>
      <c r="B513">
        <v>4</v>
      </c>
      <c r="C513" t="s">
        <v>3</v>
      </c>
      <c r="D513" s="2">
        <v>43762</v>
      </c>
      <c r="E513" s="3">
        <v>43762.481939999998</v>
      </c>
      <c r="F513" s="3">
        <v>43762.485419999997</v>
      </c>
      <c r="H513">
        <v>12.78</v>
      </c>
      <c r="K513">
        <v>1.2382918584953799</v>
      </c>
      <c r="L513" s="6">
        <v>2.8900000000000001E-5</v>
      </c>
    </row>
    <row r="514" spans="1:12" x14ac:dyDescent="0.2">
      <c r="A514" t="s">
        <v>7</v>
      </c>
      <c r="B514">
        <v>5</v>
      </c>
      <c r="C514" t="s">
        <v>4</v>
      </c>
      <c r="D514" s="2">
        <v>43762</v>
      </c>
      <c r="E514" s="3">
        <v>43762.488189999996</v>
      </c>
      <c r="F514" s="3">
        <v>43762.491670000003</v>
      </c>
      <c r="G514" s="4">
        <v>23.7</v>
      </c>
      <c r="H514">
        <v>15</v>
      </c>
      <c r="J514">
        <v>0.19</v>
      </c>
      <c r="K514">
        <v>3.5820449716950602</v>
      </c>
      <c r="L514">
        <v>-1.2131E-4</v>
      </c>
    </row>
    <row r="515" spans="1:12" x14ac:dyDescent="0.2">
      <c r="A515" t="s">
        <v>7</v>
      </c>
      <c r="B515">
        <v>5</v>
      </c>
      <c r="C515" t="s">
        <v>3</v>
      </c>
      <c r="D515" s="2">
        <v>43762</v>
      </c>
      <c r="E515" s="3">
        <v>43762.494440000002</v>
      </c>
      <c r="F515" s="3">
        <v>43762.497920000002</v>
      </c>
      <c r="H515">
        <v>15</v>
      </c>
      <c r="K515">
        <v>3.0437061342343301</v>
      </c>
      <c r="L515">
        <v>-1.4125100000000001E-4</v>
      </c>
    </row>
    <row r="516" spans="1:12" x14ac:dyDescent="0.2">
      <c r="A516" t="s">
        <v>7</v>
      </c>
      <c r="B516">
        <v>1</v>
      </c>
      <c r="C516" t="s">
        <v>4</v>
      </c>
      <c r="D516" s="2">
        <v>43762</v>
      </c>
      <c r="E516" s="3">
        <v>43762.512849999999</v>
      </c>
      <c r="F516" s="3">
        <v>43762.516320000002</v>
      </c>
      <c r="G516" s="4">
        <v>22.3</v>
      </c>
      <c r="H516">
        <v>15.56</v>
      </c>
      <c r="J516">
        <v>0.2</v>
      </c>
      <c r="K516">
        <v>2.8297321823959098</v>
      </c>
      <c r="L516" s="6">
        <v>-2.7823270534699798E-6</v>
      </c>
    </row>
    <row r="517" spans="1:12" x14ac:dyDescent="0.2">
      <c r="A517" t="s">
        <v>7</v>
      </c>
      <c r="B517">
        <v>1</v>
      </c>
      <c r="C517" t="s">
        <v>3</v>
      </c>
      <c r="D517" s="2">
        <v>43762</v>
      </c>
      <c r="E517" s="3">
        <v>43762.518400000001</v>
      </c>
      <c r="F517" s="3">
        <v>43762.52188</v>
      </c>
      <c r="H517">
        <v>15.56</v>
      </c>
      <c r="K517">
        <v>2.86818535450749</v>
      </c>
      <c r="L517" s="6">
        <v>-8.4283078927766696E-6</v>
      </c>
    </row>
    <row r="518" spans="1:12" x14ac:dyDescent="0.2">
      <c r="A518" t="s">
        <v>7</v>
      </c>
      <c r="B518">
        <v>2</v>
      </c>
      <c r="C518" t="s">
        <v>4</v>
      </c>
      <c r="D518" s="2">
        <v>43762</v>
      </c>
      <c r="E518" s="3">
        <v>43762.523609999997</v>
      </c>
      <c r="F518" s="3">
        <v>43762.52708</v>
      </c>
      <c r="G518" s="4">
        <v>20.9</v>
      </c>
      <c r="H518">
        <v>15.56</v>
      </c>
      <c r="J518">
        <v>0.19</v>
      </c>
      <c r="K518">
        <v>2.3549537736297901</v>
      </c>
      <c r="L518">
        <v>2.3388825145203199E-4</v>
      </c>
    </row>
    <row r="519" spans="1:12" x14ac:dyDescent="0.2">
      <c r="A519" t="s">
        <v>7</v>
      </c>
      <c r="B519">
        <v>2</v>
      </c>
      <c r="C519" t="s">
        <v>3</v>
      </c>
      <c r="D519" s="2">
        <v>43762</v>
      </c>
      <c r="E519" s="3">
        <v>43762.52951</v>
      </c>
      <c r="F519" s="3">
        <v>43762.53299</v>
      </c>
      <c r="H519">
        <v>15.56</v>
      </c>
      <c r="K519">
        <v>1.85569617810795</v>
      </c>
      <c r="L519" s="6">
        <v>9.2805327069889798E-5</v>
      </c>
    </row>
    <row r="520" spans="1:12" x14ac:dyDescent="0.2">
      <c r="A520" t="s">
        <v>7</v>
      </c>
      <c r="B520">
        <v>3</v>
      </c>
      <c r="C520" t="s">
        <v>4</v>
      </c>
      <c r="D520" s="2">
        <v>43762</v>
      </c>
      <c r="E520" s="3">
        <v>43762.535759999999</v>
      </c>
      <c r="F520" s="3">
        <v>43762.539239999998</v>
      </c>
      <c r="G520" s="4">
        <v>20.2</v>
      </c>
      <c r="H520">
        <v>15.56</v>
      </c>
      <c r="J520">
        <v>0.18</v>
      </c>
      <c r="K520">
        <v>2.5736415181821002</v>
      </c>
      <c r="L520">
        <v>2.02601565682139E-4</v>
      </c>
    </row>
    <row r="521" spans="1:12" x14ac:dyDescent="0.2">
      <c r="A521" t="s">
        <v>7</v>
      </c>
      <c r="B521">
        <v>3</v>
      </c>
      <c r="C521" t="s">
        <v>3</v>
      </c>
      <c r="D521" s="2">
        <v>43762</v>
      </c>
      <c r="E521" s="3">
        <v>43762.541319999997</v>
      </c>
      <c r="F521" s="3">
        <v>43762.54479</v>
      </c>
      <c r="H521">
        <v>15.56</v>
      </c>
      <c r="K521">
        <v>1.96130120030404</v>
      </c>
      <c r="L521" s="6">
        <v>7.5769347921579594E-5</v>
      </c>
    </row>
    <row r="522" spans="1:12" x14ac:dyDescent="0.2">
      <c r="A522" t="s">
        <v>7</v>
      </c>
      <c r="B522">
        <v>4</v>
      </c>
      <c r="C522" t="s">
        <v>4</v>
      </c>
      <c r="D522" s="2">
        <v>43762</v>
      </c>
      <c r="E522" s="3">
        <v>43762.54722</v>
      </c>
      <c r="F522" s="3">
        <v>43762.550689999996</v>
      </c>
      <c r="G522" s="4">
        <v>22.8</v>
      </c>
      <c r="H522">
        <v>15.56</v>
      </c>
      <c r="J522">
        <v>0.2</v>
      </c>
      <c r="K522">
        <v>1.5370366640814399</v>
      </c>
      <c r="L522">
        <v>1.04062867532674E-4</v>
      </c>
    </row>
    <row r="523" spans="1:12" x14ac:dyDescent="0.2">
      <c r="A523" t="s">
        <v>7</v>
      </c>
      <c r="B523">
        <v>4</v>
      </c>
      <c r="C523" t="s">
        <v>3</v>
      </c>
      <c r="D523" s="2">
        <v>43762</v>
      </c>
      <c r="E523" s="3">
        <v>43762.552779999998</v>
      </c>
      <c r="F523" s="3">
        <v>43762.556250000001</v>
      </c>
      <c r="H523">
        <v>15.56</v>
      </c>
      <c r="K523">
        <v>1.5347508349982599</v>
      </c>
      <c r="L523" s="6">
        <v>-2.2029024006965499E-6</v>
      </c>
    </row>
    <row r="524" spans="1:12" x14ac:dyDescent="0.2">
      <c r="A524" t="s">
        <v>7</v>
      </c>
      <c r="B524">
        <v>5</v>
      </c>
      <c r="C524" t="s">
        <v>4</v>
      </c>
      <c r="D524" s="2">
        <v>43762</v>
      </c>
      <c r="E524" s="3">
        <v>43762.559029999997</v>
      </c>
      <c r="F524" s="3">
        <v>43762.5625</v>
      </c>
      <c r="G524" s="4">
        <v>20.7</v>
      </c>
      <c r="H524">
        <v>16.670000000000002</v>
      </c>
      <c r="J524">
        <v>0.17</v>
      </c>
      <c r="K524">
        <v>3.7718052576538801</v>
      </c>
      <c r="L524">
        <v>1.0556983448371199E-4</v>
      </c>
    </row>
    <row r="525" spans="1:12" x14ac:dyDescent="0.2">
      <c r="A525" t="s">
        <v>7</v>
      </c>
      <c r="B525">
        <v>5</v>
      </c>
      <c r="C525" t="s">
        <v>3</v>
      </c>
      <c r="D525" s="2">
        <v>43762</v>
      </c>
      <c r="E525" s="3">
        <v>43762.565280000003</v>
      </c>
      <c r="F525" s="3">
        <v>43762.568749999999</v>
      </c>
      <c r="H525">
        <v>16.670000000000002</v>
      </c>
      <c r="K525">
        <v>3.62190242533819</v>
      </c>
      <c r="L525" s="6">
        <v>-2.2891017082479401E-5</v>
      </c>
    </row>
    <row r="526" spans="1:12" x14ac:dyDescent="0.2">
      <c r="A526" t="s">
        <v>7</v>
      </c>
      <c r="B526">
        <v>1</v>
      </c>
      <c r="C526" t="s">
        <v>4</v>
      </c>
      <c r="D526" s="2">
        <v>43767</v>
      </c>
      <c r="E526" s="3">
        <v>43767.431250000001</v>
      </c>
      <c r="F526" s="3">
        <v>43767.434719999997</v>
      </c>
      <c r="G526" s="4">
        <v>22.6</v>
      </c>
      <c r="H526">
        <v>14.44</v>
      </c>
      <c r="J526">
        <v>0.18</v>
      </c>
      <c r="K526">
        <v>2.6694735009446702</v>
      </c>
      <c r="L526" s="6">
        <v>-9.3227360770519003E-5</v>
      </c>
    </row>
    <row r="527" spans="1:12" x14ac:dyDescent="0.2">
      <c r="A527" t="s">
        <v>7</v>
      </c>
      <c r="B527">
        <v>1</v>
      </c>
      <c r="C527" t="s">
        <v>3</v>
      </c>
      <c r="D527" s="2">
        <v>43767</v>
      </c>
      <c r="E527" s="3">
        <v>43767.436809999999</v>
      </c>
      <c r="F527" s="3">
        <v>43767.440280000003</v>
      </c>
      <c r="H527">
        <v>14.44</v>
      </c>
      <c r="K527">
        <v>2.71899683882762</v>
      </c>
      <c r="L527">
        <v>-1.3537122739318999E-4</v>
      </c>
    </row>
    <row r="528" spans="1:12" x14ac:dyDescent="0.2">
      <c r="A528" t="s">
        <v>7</v>
      </c>
      <c r="B528">
        <v>2</v>
      </c>
      <c r="C528" t="s">
        <v>4</v>
      </c>
      <c r="D528" s="2">
        <v>43767</v>
      </c>
      <c r="E528" s="3">
        <v>43767.442360000001</v>
      </c>
      <c r="F528" s="3">
        <v>43767.445829999997</v>
      </c>
      <c r="G528" s="4">
        <v>22.1</v>
      </c>
      <c r="H528">
        <v>14.44</v>
      </c>
      <c r="J528">
        <v>0.19</v>
      </c>
      <c r="K528">
        <v>2.6540558459736698</v>
      </c>
      <c r="L528">
        <v>-1.11668382388117E-4</v>
      </c>
    </row>
    <row r="529" spans="1:12" x14ac:dyDescent="0.2">
      <c r="A529" t="s">
        <v>7</v>
      </c>
      <c r="B529">
        <v>2</v>
      </c>
      <c r="C529" t="s">
        <v>3</v>
      </c>
      <c r="D529" s="2">
        <v>43767</v>
      </c>
      <c r="E529" s="3">
        <v>43767.449310000004</v>
      </c>
      <c r="F529" s="3">
        <v>43767.45278</v>
      </c>
      <c r="H529">
        <v>14.44</v>
      </c>
      <c r="K529">
        <v>2.2954148090012501</v>
      </c>
      <c r="L529">
        <v>-1.06214625114467E-4</v>
      </c>
    </row>
    <row r="530" spans="1:12" x14ac:dyDescent="0.2">
      <c r="A530" t="s">
        <v>7</v>
      </c>
      <c r="B530">
        <v>3</v>
      </c>
      <c r="C530" t="s">
        <v>4</v>
      </c>
      <c r="D530" s="2">
        <v>43767</v>
      </c>
      <c r="E530" s="3">
        <v>43767.456250000003</v>
      </c>
      <c r="F530" s="3">
        <v>43767.459719999999</v>
      </c>
      <c r="G530" s="4">
        <v>22.1</v>
      </c>
      <c r="H530">
        <v>14.44</v>
      </c>
      <c r="J530">
        <v>0.17</v>
      </c>
      <c r="K530">
        <v>2.6835397480356198</v>
      </c>
      <c r="L530">
        <v>-1.8738195088947E-4</v>
      </c>
    </row>
    <row r="531" spans="1:12" x14ac:dyDescent="0.2">
      <c r="A531" t="s">
        <v>7</v>
      </c>
      <c r="B531">
        <v>3</v>
      </c>
      <c r="C531" t="s">
        <v>3</v>
      </c>
      <c r="D531" s="2">
        <v>43767</v>
      </c>
      <c r="E531" s="3">
        <v>43767.461810000001</v>
      </c>
      <c r="F531" s="3">
        <v>43767.465279999997</v>
      </c>
      <c r="H531">
        <v>14.44</v>
      </c>
      <c r="K531">
        <v>2.58434242959328</v>
      </c>
      <c r="L531">
        <v>-1.60384585200361E-4</v>
      </c>
    </row>
    <row r="532" spans="1:12" x14ac:dyDescent="0.2">
      <c r="A532" t="s">
        <v>7</v>
      </c>
      <c r="B532">
        <v>4</v>
      </c>
      <c r="C532" t="s">
        <v>4</v>
      </c>
      <c r="D532" s="2">
        <v>43767</v>
      </c>
      <c r="E532" s="3">
        <v>43767.467709999997</v>
      </c>
      <c r="F532" s="3">
        <v>43767.47118</v>
      </c>
      <c r="G532" s="4">
        <v>25.1</v>
      </c>
      <c r="H532">
        <v>14.44</v>
      </c>
      <c r="J532">
        <v>0.19</v>
      </c>
      <c r="K532">
        <v>1.7591687457451</v>
      </c>
      <c r="L532">
        <v>-1.34353197593417E-4</v>
      </c>
    </row>
    <row r="533" spans="1:12" x14ac:dyDescent="0.2">
      <c r="A533" t="s">
        <v>7</v>
      </c>
      <c r="B533">
        <v>4</v>
      </c>
      <c r="C533" t="s">
        <v>3</v>
      </c>
      <c r="D533" s="2">
        <v>43767</v>
      </c>
      <c r="E533" s="3">
        <v>43767.473259999999</v>
      </c>
      <c r="F533" s="3">
        <v>43767.476739999998</v>
      </c>
      <c r="H533">
        <v>14.44</v>
      </c>
      <c r="K533">
        <v>1.5531954133555601</v>
      </c>
      <c r="L533">
        <v>-1.10268332372926E-4</v>
      </c>
    </row>
    <row r="534" spans="1:12" x14ac:dyDescent="0.2">
      <c r="A534" t="s">
        <v>7</v>
      </c>
      <c r="B534">
        <v>5</v>
      </c>
      <c r="C534" t="s">
        <v>4</v>
      </c>
      <c r="D534" s="2">
        <v>43767</v>
      </c>
      <c r="E534" s="3">
        <v>43767.479169999999</v>
      </c>
      <c r="F534" s="3">
        <v>43767.482640000002</v>
      </c>
      <c r="G534" s="4">
        <v>23.4</v>
      </c>
      <c r="H534">
        <v>14.44</v>
      </c>
      <c r="J534">
        <v>0.18</v>
      </c>
      <c r="K534">
        <v>3.1490734019950302</v>
      </c>
      <c r="L534">
        <v>-1.6977283065154299E-4</v>
      </c>
    </row>
    <row r="535" spans="1:12" x14ac:dyDescent="0.2">
      <c r="A535" t="s">
        <v>7</v>
      </c>
      <c r="B535">
        <v>5</v>
      </c>
      <c r="C535" t="s">
        <v>3</v>
      </c>
      <c r="D535" s="2">
        <v>43767</v>
      </c>
      <c r="E535" s="3">
        <v>43767.486109999998</v>
      </c>
      <c r="F535" s="3">
        <v>43767.489580000001</v>
      </c>
      <c r="H535">
        <v>14.44</v>
      </c>
      <c r="K535">
        <v>3.1367322982266899</v>
      </c>
      <c r="L535">
        <v>-1.7587677034876199E-4</v>
      </c>
    </row>
    <row r="536" spans="1:12" x14ac:dyDescent="0.2">
      <c r="A536" t="s">
        <v>7</v>
      </c>
      <c r="B536">
        <v>1</v>
      </c>
      <c r="C536" t="s">
        <v>4</v>
      </c>
      <c r="D536" s="2">
        <v>43767</v>
      </c>
      <c r="E536" s="3">
        <v>43767.533329999998</v>
      </c>
      <c r="F536" s="3">
        <v>43767.536809999998</v>
      </c>
      <c r="G536" s="4">
        <v>21.8</v>
      </c>
      <c r="H536">
        <v>15</v>
      </c>
      <c r="J536">
        <v>0.18</v>
      </c>
      <c r="K536">
        <v>2.542718378</v>
      </c>
      <c r="L536">
        <v>-1.0363646847249601E-4</v>
      </c>
    </row>
    <row r="537" spans="1:12" x14ac:dyDescent="0.2">
      <c r="A537" t="s">
        <v>7</v>
      </c>
      <c r="B537">
        <v>1</v>
      </c>
      <c r="C537" t="s">
        <v>3</v>
      </c>
      <c r="D537" s="2">
        <v>43767</v>
      </c>
      <c r="E537" s="3">
        <v>43767.539579999997</v>
      </c>
      <c r="F537" s="3">
        <v>43767.543060000004</v>
      </c>
      <c r="H537">
        <v>15</v>
      </c>
      <c r="K537">
        <v>2.2802505100000001</v>
      </c>
      <c r="L537">
        <v>-1.12025640541344E-4</v>
      </c>
    </row>
    <row r="538" spans="1:12" x14ac:dyDescent="0.2">
      <c r="A538" t="s">
        <v>7</v>
      </c>
      <c r="B538">
        <v>2</v>
      </c>
      <c r="C538" t="s">
        <v>4</v>
      </c>
      <c r="D538" s="2">
        <v>43767</v>
      </c>
      <c r="E538" s="3">
        <v>43767.545830000003</v>
      </c>
      <c r="F538" s="3">
        <v>43767.549310000002</v>
      </c>
      <c r="G538" s="4">
        <v>21.4</v>
      </c>
      <c r="H538">
        <v>15.56</v>
      </c>
      <c r="J538">
        <v>0.18</v>
      </c>
      <c r="K538">
        <v>2.3990151210000001</v>
      </c>
      <c r="L538" s="6">
        <v>5.50261698377441E-5</v>
      </c>
    </row>
    <row r="539" spans="1:12" x14ac:dyDescent="0.2">
      <c r="A539" t="s">
        <v>7</v>
      </c>
      <c r="B539">
        <v>2</v>
      </c>
      <c r="C539" t="s">
        <v>3</v>
      </c>
      <c r="D539" s="2">
        <v>43767</v>
      </c>
      <c r="E539" s="3">
        <v>43767.551390000001</v>
      </c>
      <c r="F539" s="3">
        <v>43767.554859999997</v>
      </c>
      <c r="H539">
        <v>15.56</v>
      </c>
      <c r="K539">
        <v>2.42708827</v>
      </c>
      <c r="L539" s="6">
        <v>-6.6486709778196097E-5</v>
      </c>
    </row>
    <row r="540" spans="1:12" x14ac:dyDescent="0.2">
      <c r="A540" t="s">
        <v>7</v>
      </c>
      <c r="B540">
        <v>3</v>
      </c>
      <c r="C540" t="s">
        <v>4</v>
      </c>
      <c r="D540" s="2">
        <v>43767</v>
      </c>
      <c r="E540" s="3">
        <v>43767.55747</v>
      </c>
      <c r="F540" s="3">
        <v>43767.560940000003</v>
      </c>
      <c r="G540" s="4">
        <v>23.1</v>
      </c>
      <c r="H540">
        <v>15.56</v>
      </c>
      <c r="J540">
        <v>0.18</v>
      </c>
      <c r="K540">
        <v>2.7471800599999998</v>
      </c>
      <c r="L540">
        <v>-1.3126803270395099E-4</v>
      </c>
    </row>
    <row r="541" spans="1:12" x14ac:dyDescent="0.2">
      <c r="A541" t="s">
        <v>7</v>
      </c>
      <c r="B541">
        <v>3</v>
      </c>
      <c r="C541" t="s">
        <v>3</v>
      </c>
      <c r="D541" s="2">
        <v>43767</v>
      </c>
      <c r="E541" s="3">
        <v>43767.564579999998</v>
      </c>
      <c r="F541" s="3">
        <v>43767.568059999998</v>
      </c>
      <c r="H541">
        <v>15.56</v>
      </c>
      <c r="K541">
        <v>2.5212448049999998</v>
      </c>
      <c r="L541" s="6">
        <v>-8.5633318908037197E-5</v>
      </c>
    </row>
    <row r="542" spans="1:12" x14ac:dyDescent="0.2">
      <c r="A542" t="s">
        <v>7</v>
      </c>
      <c r="B542">
        <v>4</v>
      </c>
      <c r="C542" t="s">
        <v>4</v>
      </c>
      <c r="D542" s="2">
        <v>43767</v>
      </c>
      <c r="E542" s="3">
        <v>43767.572220000002</v>
      </c>
      <c r="F542" s="3">
        <v>43767.575689999998</v>
      </c>
      <c r="G542" s="4">
        <v>23.9</v>
      </c>
      <c r="H542">
        <v>15.56</v>
      </c>
      <c r="J542">
        <v>0.19</v>
      </c>
      <c r="K542">
        <v>1.8319513359999999</v>
      </c>
      <c r="L542" s="6">
        <v>6.0028949428136296E-7</v>
      </c>
    </row>
    <row r="543" spans="1:12" x14ac:dyDescent="0.2">
      <c r="A543" t="s">
        <v>7</v>
      </c>
      <c r="B543">
        <v>4</v>
      </c>
      <c r="C543" t="s">
        <v>3</v>
      </c>
      <c r="D543" s="2">
        <v>43767</v>
      </c>
      <c r="E543" s="3">
        <v>43767.57847</v>
      </c>
      <c r="F543" s="3">
        <v>43767.581939999996</v>
      </c>
      <c r="H543">
        <v>15.56</v>
      </c>
      <c r="K543">
        <v>1.8861754829999999</v>
      </c>
      <c r="L543" s="6">
        <v>-6.2172755940186099E-5</v>
      </c>
    </row>
    <row r="544" spans="1:12" x14ac:dyDescent="0.2">
      <c r="A544" t="s">
        <v>7</v>
      </c>
      <c r="B544">
        <v>5</v>
      </c>
      <c r="C544" t="s">
        <v>4</v>
      </c>
      <c r="D544" s="2">
        <v>43767</v>
      </c>
      <c r="E544" s="3">
        <v>43767.585070000001</v>
      </c>
      <c r="F544" s="3">
        <v>43767.588539999997</v>
      </c>
      <c r="G544" s="4">
        <v>21.8</v>
      </c>
      <c r="H544">
        <v>15.56</v>
      </c>
      <c r="J544">
        <v>0.19</v>
      </c>
      <c r="K544">
        <v>3.5444779830000002</v>
      </c>
      <c r="L544">
        <v>-1.31045328312019E-4</v>
      </c>
    </row>
    <row r="545" spans="1:12" x14ac:dyDescent="0.2">
      <c r="A545" t="s">
        <v>7</v>
      </c>
      <c r="B545">
        <v>5</v>
      </c>
      <c r="C545" t="s">
        <v>3</v>
      </c>
      <c r="D545" s="2">
        <v>43767</v>
      </c>
      <c r="E545" s="3">
        <v>43767.59132</v>
      </c>
      <c r="F545" s="3">
        <v>43767.594790000003</v>
      </c>
      <c r="H545">
        <v>15.56</v>
      </c>
      <c r="K545">
        <v>3.8047410670000001</v>
      </c>
      <c r="L545">
        <v>-1.6526972310747099E-4</v>
      </c>
    </row>
    <row r="546" spans="1:12" x14ac:dyDescent="0.2">
      <c r="A546" t="s">
        <v>7</v>
      </c>
      <c r="B546">
        <v>1</v>
      </c>
      <c r="C546" t="s">
        <v>4</v>
      </c>
      <c r="D546" s="2">
        <v>43774</v>
      </c>
      <c r="E546" s="3">
        <v>43774.425000000003</v>
      </c>
      <c r="F546" s="3">
        <v>43774.428469999999</v>
      </c>
      <c r="G546" s="4">
        <v>20.3</v>
      </c>
      <c r="H546">
        <v>12.78</v>
      </c>
      <c r="J546">
        <v>0.17</v>
      </c>
      <c r="K546">
        <v>1.7455075840976499</v>
      </c>
      <c r="L546">
        <v>-2.6321257483929999E-4</v>
      </c>
    </row>
    <row r="547" spans="1:12" x14ac:dyDescent="0.2">
      <c r="A547" t="s">
        <v>7</v>
      </c>
      <c r="B547">
        <v>1</v>
      </c>
      <c r="C547" t="s">
        <v>3</v>
      </c>
      <c r="D547" s="2">
        <v>43774</v>
      </c>
      <c r="E547" s="3">
        <v>43774.431250000001</v>
      </c>
      <c r="F547" s="3">
        <v>43774.434719999997</v>
      </c>
      <c r="H547">
        <v>12.78</v>
      </c>
      <c r="K547">
        <v>1.4913119541467601</v>
      </c>
      <c r="L547">
        <v>-1.1886212271210099E-4</v>
      </c>
    </row>
    <row r="548" spans="1:12" x14ac:dyDescent="0.2">
      <c r="A548" t="s">
        <v>7</v>
      </c>
      <c r="B548">
        <v>2</v>
      </c>
      <c r="C548" t="s">
        <v>4</v>
      </c>
      <c r="D548" s="2">
        <v>43774</v>
      </c>
      <c r="E548" s="3">
        <v>43774.436809999999</v>
      </c>
      <c r="F548" s="3">
        <v>43774.440280000003</v>
      </c>
      <c r="G548" s="4">
        <v>20.399999999999999</v>
      </c>
      <c r="H548">
        <v>12.78</v>
      </c>
      <c r="J548">
        <v>0.18</v>
      </c>
      <c r="K548">
        <v>1.4635994730385</v>
      </c>
      <c r="L548">
        <v>-1.4145613138599199E-4</v>
      </c>
    </row>
    <row r="549" spans="1:12" x14ac:dyDescent="0.2">
      <c r="A549" t="s">
        <v>7</v>
      </c>
      <c r="B549">
        <v>2</v>
      </c>
      <c r="C549" t="s">
        <v>3</v>
      </c>
      <c r="D549" s="2">
        <v>43774</v>
      </c>
      <c r="E549" s="3">
        <v>43774.443059999998</v>
      </c>
      <c r="F549" s="3">
        <v>43774.446530000001</v>
      </c>
      <c r="H549">
        <v>12.78</v>
      </c>
      <c r="K549">
        <v>1.3881778089980801</v>
      </c>
      <c r="L549">
        <v>-2.1934979183630001E-4</v>
      </c>
    </row>
    <row r="550" spans="1:12" x14ac:dyDescent="0.2">
      <c r="A550" t="s">
        <v>7</v>
      </c>
      <c r="B550">
        <v>3</v>
      </c>
      <c r="C550" t="s">
        <v>4</v>
      </c>
      <c r="D550" s="2">
        <v>43774</v>
      </c>
      <c r="E550" s="3">
        <v>43774.448609999999</v>
      </c>
      <c r="F550" s="3">
        <v>43774.452080000003</v>
      </c>
      <c r="G550" s="4">
        <v>22.4</v>
      </c>
      <c r="H550">
        <v>12.78</v>
      </c>
      <c r="J550">
        <v>0.19</v>
      </c>
      <c r="K550">
        <v>1.69144876432663</v>
      </c>
      <c r="L550">
        <v>-1.9990385003053801E-4</v>
      </c>
    </row>
    <row r="551" spans="1:12" x14ac:dyDescent="0.2">
      <c r="A551" t="s">
        <v>7</v>
      </c>
      <c r="B551">
        <v>3</v>
      </c>
      <c r="C551" t="s">
        <v>3</v>
      </c>
      <c r="D551" s="2">
        <v>43774</v>
      </c>
      <c r="E551" s="3">
        <v>43774.454169999997</v>
      </c>
      <c r="F551" s="3">
        <v>43774.457640000001</v>
      </c>
      <c r="H551">
        <v>12.78</v>
      </c>
      <c r="K551">
        <v>1.1742892764562201</v>
      </c>
      <c r="L551">
        <v>-1.63466743764249E-4</v>
      </c>
    </row>
    <row r="552" spans="1:12" x14ac:dyDescent="0.2">
      <c r="A552" t="s">
        <v>7</v>
      </c>
      <c r="B552">
        <v>4</v>
      </c>
      <c r="C552" t="s">
        <v>4</v>
      </c>
      <c r="D552" s="2">
        <v>43774</v>
      </c>
      <c r="E552" s="3">
        <v>43774.460420000003</v>
      </c>
      <c r="F552" s="3">
        <v>43774.463889999999</v>
      </c>
      <c r="G552" s="4">
        <v>20.9</v>
      </c>
      <c r="H552">
        <v>12.78</v>
      </c>
      <c r="J552">
        <v>0.18</v>
      </c>
      <c r="K552">
        <v>1.1822812599502901</v>
      </c>
      <c r="L552">
        <v>-1.2590448762315101E-4</v>
      </c>
    </row>
    <row r="553" spans="1:12" x14ac:dyDescent="0.2">
      <c r="A553" t="s">
        <v>7</v>
      </c>
      <c r="B553">
        <v>4</v>
      </c>
      <c r="C553" t="s">
        <v>3</v>
      </c>
      <c r="D553" s="2">
        <v>43774</v>
      </c>
      <c r="E553" s="3">
        <v>43774.466670000002</v>
      </c>
      <c r="F553" s="3">
        <v>43774.470139999998</v>
      </c>
      <c r="H553">
        <v>12.78</v>
      </c>
      <c r="K553">
        <v>1.1907052760988199</v>
      </c>
      <c r="L553">
        <v>-1.58011718937912E-4</v>
      </c>
    </row>
    <row r="554" spans="1:12" x14ac:dyDescent="0.2">
      <c r="A554" t="s">
        <v>7</v>
      </c>
      <c r="B554">
        <v>5</v>
      </c>
      <c r="C554" t="s">
        <v>4</v>
      </c>
      <c r="D554" s="2">
        <v>43774</v>
      </c>
      <c r="E554" s="3">
        <v>43774.473960000003</v>
      </c>
      <c r="F554" s="3">
        <v>43774.477079999997</v>
      </c>
      <c r="G554" s="4">
        <v>15.2</v>
      </c>
      <c r="H554">
        <v>12.78</v>
      </c>
      <c r="J554">
        <v>0.18</v>
      </c>
      <c r="K554">
        <v>1.9481127329697601</v>
      </c>
      <c r="L554">
        <v>-2.20452649613753E-4</v>
      </c>
    </row>
    <row r="555" spans="1:12" x14ac:dyDescent="0.2">
      <c r="A555" t="s">
        <v>7</v>
      </c>
      <c r="B555">
        <v>5</v>
      </c>
      <c r="C555" t="s">
        <v>3</v>
      </c>
      <c r="D555" s="2">
        <v>43774</v>
      </c>
      <c r="E555" s="3">
        <v>43774.480560000004</v>
      </c>
      <c r="F555" s="3">
        <v>43774.48403</v>
      </c>
      <c r="H555">
        <v>12.78</v>
      </c>
      <c r="K555">
        <v>1.9502749376466799</v>
      </c>
      <c r="L555">
        <v>-2.2253414668097201E-4</v>
      </c>
    </row>
  </sheetData>
  <phoneticPr fontId="2" type="noConversion"/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0AB29-D963-40AB-ABC1-23F53BC12E63}">
  <sheetPr codeName="Sheet2"/>
  <dimension ref="A1:L555"/>
  <sheetViews>
    <sheetView workbookViewId="0">
      <pane ySplit="1" topLeftCell="A176" activePane="bottomLeft" state="frozen"/>
      <selection pane="bottomLeft"/>
    </sheetView>
  </sheetViews>
  <sheetFormatPr baseColWidth="10" defaultColWidth="8.83203125" defaultRowHeight="15" x14ac:dyDescent="0.2"/>
  <cols>
    <col min="3" max="3" width="13.5" customWidth="1"/>
    <col min="4" max="4" width="11" customWidth="1"/>
    <col min="5" max="5" width="18" customWidth="1"/>
    <col min="6" max="6" width="14.6640625" customWidth="1"/>
    <col min="7" max="7" width="19.6640625" customWidth="1"/>
    <col min="8" max="8" width="21.6640625" customWidth="1"/>
    <col min="9" max="9" width="18.5" customWidth="1"/>
    <col min="10" max="10" width="25.6640625" customWidth="1"/>
    <col min="11" max="11" width="34.1640625" customWidth="1"/>
    <col min="12" max="12" width="38.5" customWidth="1"/>
    <col min="13" max="13" width="23.6640625" customWidth="1"/>
  </cols>
  <sheetData>
    <row r="1" spans="1:12" ht="42" customHeight="1" x14ac:dyDescent="0.35">
      <c r="A1" s="1" t="s">
        <v>22</v>
      </c>
      <c r="B1" s="1" t="s">
        <v>0</v>
      </c>
      <c r="C1" s="1" t="s">
        <v>1</v>
      </c>
      <c r="D1" s="8" t="s">
        <v>13</v>
      </c>
      <c r="E1" s="8" t="s">
        <v>14</v>
      </c>
      <c r="F1" s="1" t="s">
        <v>15</v>
      </c>
      <c r="G1" s="5" t="s">
        <v>23</v>
      </c>
      <c r="H1" s="5" t="s">
        <v>17</v>
      </c>
      <c r="I1" s="1" t="s">
        <v>18</v>
      </c>
      <c r="J1" s="1" t="s">
        <v>19</v>
      </c>
      <c r="K1" s="1" t="s">
        <v>21</v>
      </c>
      <c r="L1" s="1" t="s">
        <v>20</v>
      </c>
    </row>
    <row r="2" spans="1:12" x14ac:dyDescent="0.2">
      <c r="A2" t="s">
        <v>5</v>
      </c>
      <c r="B2">
        <v>1</v>
      </c>
      <c r="C2" t="s">
        <v>4</v>
      </c>
      <c r="D2" s="2">
        <v>43572</v>
      </c>
      <c r="E2" s="3">
        <v>43572.395140000001</v>
      </c>
      <c r="F2" s="3">
        <v>43572.398609999997</v>
      </c>
      <c r="G2">
        <v>18.7</v>
      </c>
      <c r="H2">
        <v>10</v>
      </c>
      <c r="K2">
        <v>0.911315833724056</v>
      </c>
      <c r="L2">
        <v>2.5384906934557502E-4</v>
      </c>
    </row>
    <row r="3" spans="1:12" x14ac:dyDescent="0.2">
      <c r="A3" t="s">
        <v>5</v>
      </c>
      <c r="B3">
        <v>1</v>
      </c>
      <c r="C3" t="s">
        <v>6</v>
      </c>
      <c r="D3" s="2">
        <v>43572</v>
      </c>
      <c r="E3" s="3">
        <v>43572.4</v>
      </c>
      <c r="F3" s="3">
        <v>43572.403469999997</v>
      </c>
      <c r="H3">
        <v>10</v>
      </c>
      <c r="K3">
        <v>0.66200187478622696</v>
      </c>
      <c r="L3" s="6">
        <v>6.88761313439549E-5</v>
      </c>
    </row>
    <row r="4" spans="1:12" x14ac:dyDescent="0.2">
      <c r="A4" t="s">
        <v>5</v>
      </c>
      <c r="B4">
        <v>2</v>
      </c>
      <c r="C4" t="s">
        <v>4</v>
      </c>
      <c r="D4" s="2">
        <v>43572</v>
      </c>
      <c r="E4" s="3">
        <v>43572.404860000002</v>
      </c>
      <c r="F4" s="3">
        <v>43572.408329999998</v>
      </c>
      <c r="G4">
        <v>15.7</v>
      </c>
      <c r="H4">
        <v>10</v>
      </c>
      <c r="K4">
        <v>0.78547813237230901</v>
      </c>
      <c r="L4">
        <v>1.35074243053334E-4</v>
      </c>
    </row>
    <row r="5" spans="1:12" x14ac:dyDescent="0.2">
      <c r="A5" t="s">
        <v>5</v>
      </c>
      <c r="B5">
        <v>2</v>
      </c>
      <c r="C5" t="s">
        <v>6</v>
      </c>
      <c r="D5" s="2">
        <v>43572</v>
      </c>
      <c r="E5" s="3">
        <v>43572.409720000003</v>
      </c>
      <c r="F5" s="3">
        <v>43572.413189999999</v>
      </c>
      <c r="H5">
        <v>10</v>
      </c>
      <c r="K5">
        <v>0.81458634203361902</v>
      </c>
      <c r="L5" s="6">
        <v>8.4562434934297299E-5</v>
      </c>
    </row>
    <row r="6" spans="1:12" x14ac:dyDescent="0.2">
      <c r="A6" t="s">
        <v>5</v>
      </c>
      <c r="B6">
        <v>3</v>
      </c>
      <c r="C6" t="s">
        <v>4</v>
      </c>
      <c r="D6" s="2">
        <v>43572</v>
      </c>
      <c r="E6" s="3">
        <v>43572.414579999997</v>
      </c>
      <c r="F6" s="3">
        <v>43572.418060000004</v>
      </c>
      <c r="G6">
        <v>17.5</v>
      </c>
      <c r="H6">
        <v>10</v>
      </c>
      <c r="K6">
        <v>0.67871053454308805</v>
      </c>
      <c r="L6">
        <v>1.5695819940636201E-4</v>
      </c>
    </row>
    <row r="7" spans="1:12" x14ac:dyDescent="0.2">
      <c r="A7" t="s">
        <v>5</v>
      </c>
      <c r="B7">
        <v>3</v>
      </c>
      <c r="C7" t="s">
        <v>6</v>
      </c>
      <c r="D7" s="2">
        <v>43572</v>
      </c>
      <c r="E7" s="3">
        <v>43572.419439999998</v>
      </c>
      <c r="F7" s="3">
        <v>43572.422919999997</v>
      </c>
      <c r="H7">
        <v>10</v>
      </c>
      <c r="K7">
        <v>0.57536162788712697</v>
      </c>
      <c r="L7" s="6">
        <v>5.4506644463828701E-5</v>
      </c>
    </row>
    <row r="8" spans="1:12" x14ac:dyDescent="0.2">
      <c r="A8" t="s">
        <v>5</v>
      </c>
      <c r="B8">
        <v>4</v>
      </c>
      <c r="C8" t="s">
        <v>4</v>
      </c>
      <c r="D8" s="2">
        <v>43572</v>
      </c>
      <c r="E8" s="3">
        <v>43572.424310000002</v>
      </c>
      <c r="F8" s="3">
        <v>43572.427779999998</v>
      </c>
      <c r="G8">
        <v>22</v>
      </c>
      <c r="H8">
        <v>10</v>
      </c>
      <c r="K8">
        <v>0.73831015129967104</v>
      </c>
      <c r="L8" s="6">
        <v>5.2699867010925197E-5</v>
      </c>
    </row>
    <row r="9" spans="1:12" x14ac:dyDescent="0.2">
      <c r="A9" t="s">
        <v>5</v>
      </c>
      <c r="B9">
        <v>4</v>
      </c>
      <c r="C9" t="s">
        <v>6</v>
      </c>
      <c r="D9" s="2">
        <v>43572</v>
      </c>
      <c r="E9" s="3">
        <v>43572.429170000003</v>
      </c>
      <c r="F9" s="3">
        <v>43572.432639999999</v>
      </c>
      <c r="H9">
        <v>10</v>
      </c>
      <c r="K9">
        <v>0.76740824744501202</v>
      </c>
      <c r="L9" s="6">
        <v>1.9729246760641099E-5</v>
      </c>
    </row>
    <row r="10" spans="1:12" x14ac:dyDescent="0.2">
      <c r="A10" t="s">
        <v>5</v>
      </c>
      <c r="B10">
        <v>5</v>
      </c>
      <c r="C10" t="s">
        <v>4</v>
      </c>
      <c r="D10" s="2">
        <v>43572</v>
      </c>
      <c r="E10" s="3">
        <v>43572.434029999997</v>
      </c>
      <c r="F10" s="3">
        <v>43572.4375</v>
      </c>
      <c r="G10">
        <v>17.5</v>
      </c>
      <c r="H10">
        <v>10</v>
      </c>
      <c r="K10">
        <v>0.55061672907727799</v>
      </c>
      <c r="L10">
        <v>1.25734921077252E-4</v>
      </c>
    </row>
    <row r="11" spans="1:12" x14ac:dyDescent="0.2">
      <c r="A11" t="s">
        <v>5</v>
      </c>
      <c r="B11">
        <v>5</v>
      </c>
      <c r="C11" t="s">
        <v>6</v>
      </c>
      <c r="D11" s="2">
        <v>43572</v>
      </c>
      <c r="E11" s="3">
        <v>43572.438889999998</v>
      </c>
      <c r="F11" s="3">
        <v>43572.442360000001</v>
      </c>
      <c r="H11">
        <v>10</v>
      </c>
      <c r="K11">
        <v>0.540340701241798</v>
      </c>
      <c r="L11" s="6">
        <v>-2.0285000903676398E-5</v>
      </c>
    </row>
    <row r="12" spans="1:12" x14ac:dyDescent="0.2">
      <c r="A12" t="s">
        <v>5</v>
      </c>
      <c r="B12">
        <v>1</v>
      </c>
      <c r="C12" t="s">
        <v>4</v>
      </c>
      <c r="D12" s="2">
        <v>43572</v>
      </c>
      <c r="E12" s="3">
        <v>43572.644560000001</v>
      </c>
      <c r="F12" s="3">
        <v>43572.648029999997</v>
      </c>
      <c r="G12">
        <v>17.600000000000001</v>
      </c>
      <c r="H12">
        <v>11.11</v>
      </c>
      <c r="K12">
        <v>1.0711056637885601</v>
      </c>
      <c r="L12">
        <v>4.32148140889698E-4</v>
      </c>
    </row>
    <row r="13" spans="1:12" x14ac:dyDescent="0.2">
      <c r="A13" t="s">
        <v>5</v>
      </c>
      <c r="B13">
        <v>1</v>
      </c>
      <c r="C13" t="s">
        <v>6</v>
      </c>
      <c r="D13" s="2">
        <v>43572</v>
      </c>
      <c r="E13" s="3">
        <v>43572.649420000002</v>
      </c>
      <c r="F13" s="3">
        <v>43572.652889999998</v>
      </c>
      <c r="H13">
        <v>11.11</v>
      </c>
      <c r="K13">
        <v>0.80473814388368803</v>
      </c>
      <c r="L13" s="6">
        <v>9.9462334192036895E-5</v>
      </c>
    </row>
    <row r="14" spans="1:12" x14ac:dyDescent="0.2">
      <c r="A14" t="s">
        <v>5</v>
      </c>
      <c r="B14">
        <v>2</v>
      </c>
      <c r="C14" t="s">
        <v>4</v>
      </c>
      <c r="D14" s="2">
        <v>43572</v>
      </c>
      <c r="E14" s="3">
        <v>43572.654280000002</v>
      </c>
      <c r="F14" s="3">
        <v>43572.657749999998</v>
      </c>
      <c r="G14">
        <v>13.2</v>
      </c>
      <c r="H14">
        <v>11.11</v>
      </c>
      <c r="K14">
        <v>1.15777078901055</v>
      </c>
      <c r="L14">
        <v>2.1428382463999399E-4</v>
      </c>
    </row>
    <row r="15" spans="1:12" x14ac:dyDescent="0.2">
      <c r="A15" t="s">
        <v>5</v>
      </c>
      <c r="B15">
        <v>2</v>
      </c>
      <c r="C15" t="s">
        <v>6</v>
      </c>
      <c r="D15" s="2">
        <v>43572</v>
      </c>
      <c r="E15" s="3">
        <v>43572.659140000003</v>
      </c>
      <c r="F15" s="3">
        <v>43572.662620000003</v>
      </c>
      <c r="H15">
        <v>11.11</v>
      </c>
      <c r="K15">
        <v>1.0783789079338</v>
      </c>
      <c r="L15">
        <v>1.79165711689262E-4</v>
      </c>
    </row>
    <row r="16" spans="1:12" x14ac:dyDescent="0.2">
      <c r="A16" t="s">
        <v>5</v>
      </c>
      <c r="B16">
        <v>3</v>
      </c>
      <c r="C16" t="s">
        <v>4</v>
      </c>
      <c r="D16" s="2">
        <v>43572</v>
      </c>
      <c r="E16" s="3">
        <v>43572.663999999997</v>
      </c>
      <c r="F16" s="3">
        <v>43572.667479999996</v>
      </c>
      <c r="G16">
        <v>16.399999999999999</v>
      </c>
      <c r="H16">
        <v>11.11</v>
      </c>
      <c r="K16">
        <v>1.19205603357853</v>
      </c>
      <c r="L16">
        <v>3.2696569826931501E-4</v>
      </c>
    </row>
    <row r="17" spans="1:12" x14ac:dyDescent="0.2">
      <c r="A17" t="s">
        <v>5</v>
      </c>
      <c r="B17">
        <v>3</v>
      </c>
      <c r="C17" t="s">
        <v>6</v>
      </c>
      <c r="D17" s="2">
        <v>43572</v>
      </c>
      <c r="E17" s="3">
        <v>43572.668870000001</v>
      </c>
      <c r="F17" s="3">
        <v>43572.672339999997</v>
      </c>
      <c r="H17">
        <v>11.11</v>
      </c>
      <c r="K17">
        <v>0.95040165672656696</v>
      </c>
      <c r="L17">
        <v>2.34514400869137E-4</v>
      </c>
    </row>
    <row r="18" spans="1:12" x14ac:dyDescent="0.2">
      <c r="A18" t="s">
        <v>5</v>
      </c>
      <c r="B18">
        <v>4</v>
      </c>
      <c r="C18" t="s">
        <v>4</v>
      </c>
      <c r="D18" s="2">
        <v>43572</v>
      </c>
      <c r="E18" s="3">
        <v>43572.673730000002</v>
      </c>
      <c r="F18" s="3">
        <v>43572.677199999998</v>
      </c>
      <c r="G18">
        <v>19.899999999999999</v>
      </c>
      <c r="H18">
        <v>11.11</v>
      </c>
      <c r="K18">
        <v>1.1435324312775701</v>
      </c>
      <c r="L18">
        <v>3.19438315976922E-4</v>
      </c>
    </row>
    <row r="19" spans="1:12" x14ac:dyDescent="0.2">
      <c r="A19" t="s">
        <v>5</v>
      </c>
      <c r="B19">
        <v>4</v>
      </c>
      <c r="C19" t="s">
        <v>6</v>
      </c>
      <c r="D19" s="2">
        <v>43572</v>
      </c>
      <c r="E19" s="3">
        <v>43572.678590000003</v>
      </c>
      <c r="F19" s="3">
        <v>43572.682059999999</v>
      </c>
      <c r="H19">
        <v>11.11</v>
      </c>
      <c r="K19">
        <v>1.1357701199664201</v>
      </c>
      <c r="L19">
        <v>2.3483531771366001E-4</v>
      </c>
    </row>
    <row r="20" spans="1:12" x14ac:dyDescent="0.2">
      <c r="A20" t="s">
        <v>5</v>
      </c>
      <c r="B20">
        <v>5</v>
      </c>
      <c r="C20" t="s">
        <v>4</v>
      </c>
      <c r="D20" s="2">
        <v>43572</v>
      </c>
      <c r="E20" s="3">
        <v>43572.683449999997</v>
      </c>
      <c r="F20" s="3">
        <v>43572.68692</v>
      </c>
      <c r="G20">
        <v>20.399999999999999</v>
      </c>
      <c r="H20">
        <v>11.11</v>
      </c>
      <c r="K20">
        <v>1.00503281758478</v>
      </c>
      <c r="L20">
        <v>2.78680679162751E-4</v>
      </c>
    </row>
    <row r="21" spans="1:12" x14ac:dyDescent="0.2">
      <c r="A21" t="s">
        <v>5</v>
      </c>
      <c r="B21">
        <v>5</v>
      </c>
      <c r="C21" t="s">
        <v>6</v>
      </c>
      <c r="D21" s="2">
        <v>43572</v>
      </c>
      <c r="E21" s="3">
        <v>43572.688309999998</v>
      </c>
      <c r="F21" s="3">
        <v>43572.691780000001</v>
      </c>
      <c r="H21">
        <v>11.11</v>
      </c>
      <c r="K21">
        <v>1.06877678775839</v>
      </c>
      <c r="L21">
        <v>2.0480364144827499E-4</v>
      </c>
    </row>
    <row r="22" spans="1:12" x14ac:dyDescent="0.2">
      <c r="A22" t="s">
        <v>5</v>
      </c>
      <c r="B22">
        <v>1</v>
      </c>
      <c r="C22" t="s">
        <v>4</v>
      </c>
      <c r="D22" s="2">
        <v>43578</v>
      </c>
      <c r="E22" s="3">
        <v>43578.356249999997</v>
      </c>
      <c r="F22" s="3">
        <v>43578.35972</v>
      </c>
      <c r="G22">
        <v>17.8</v>
      </c>
      <c r="H22">
        <v>14.44</v>
      </c>
      <c r="K22">
        <v>0.80684409448010597</v>
      </c>
      <c r="L22" s="6">
        <v>-8.2418582431553097E-5</v>
      </c>
    </row>
    <row r="23" spans="1:12" x14ac:dyDescent="0.2">
      <c r="A23" t="s">
        <v>5</v>
      </c>
      <c r="B23">
        <v>1</v>
      </c>
      <c r="C23" t="s">
        <v>6</v>
      </c>
      <c r="D23" s="2">
        <v>43578</v>
      </c>
      <c r="E23" s="3">
        <v>43578.361109999998</v>
      </c>
      <c r="F23" s="3">
        <v>43578.364580000001</v>
      </c>
      <c r="H23">
        <v>14.44</v>
      </c>
      <c r="K23">
        <v>0.71065298808210597</v>
      </c>
      <c r="L23" s="6">
        <v>3.6571223240249799E-5</v>
      </c>
    </row>
    <row r="24" spans="1:12" x14ac:dyDescent="0.2">
      <c r="A24" t="s">
        <v>5</v>
      </c>
      <c r="B24">
        <v>2</v>
      </c>
      <c r="C24" t="s">
        <v>4</v>
      </c>
      <c r="D24" s="2">
        <v>43578</v>
      </c>
      <c r="E24" s="3">
        <v>43578.365969999999</v>
      </c>
      <c r="F24" s="3">
        <v>43578.369440000002</v>
      </c>
      <c r="G24">
        <v>16.100000000000001</v>
      </c>
      <c r="H24">
        <v>14.44</v>
      </c>
      <c r="K24">
        <v>0.86190363539596404</v>
      </c>
      <c r="L24">
        <v>1.3908506401593001E-4</v>
      </c>
    </row>
    <row r="25" spans="1:12" x14ac:dyDescent="0.2">
      <c r="A25" t="s">
        <v>5</v>
      </c>
      <c r="B25">
        <v>2</v>
      </c>
      <c r="C25" t="s">
        <v>6</v>
      </c>
      <c r="D25" s="2">
        <v>43578</v>
      </c>
      <c r="E25" s="3">
        <v>43578.37083</v>
      </c>
      <c r="F25" s="3">
        <v>43578.374309999999</v>
      </c>
      <c r="H25">
        <v>14.44</v>
      </c>
      <c r="K25">
        <v>0.96062014448567001</v>
      </c>
      <c r="L25" s="6">
        <v>4.5746558812763301E-5</v>
      </c>
    </row>
    <row r="26" spans="1:12" x14ac:dyDescent="0.2">
      <c r="A26" t="s">
        <v>5</v>
      </c>
      <c r="B26">
        <v>3</v>
      </c>
      <c r="C26" t="s">
        <v>4</v>
      </c>
      <c r="D26" s="2">
        <v>43578</v>
      </c>
      <c r="E26" s="3">
        <v>43578.375690000001</v>
      </c>
      <c r="F26" s="3">
        <v>43578.37917</v>
      </c>
      <c r="G26">
        <v>17.2</v>
      </c>
      <c r="H26">
        <v>14.44</v>
      </c>
      <c r="K26">
        <v>0.58909640907968397</v>
      </c>
      <c r="L26" s="6">
        <v>4.9749370935023197E-5</v>
      </c>
    </row>
    <row r="27" spans="1:12" x14ac:dyDescent="0.2">
      <c r="A27" t="s">
        <v>5</v>
      </c>
      <c r="B27">
        <v>3</v>
      </c>
      <c r="C27" t="s">
        <v>6</v>
      </c>
      <c r="D27" s="2">
        <v>43578</v>
      </c>
      <c r="E27" s="3">
        <v>43578.380559999998</v>
      </c>
      <c r="F27" s="3">
        <v>43578.384030000001</v>
      </c>
      <c r="H27">
        <v>14.44</v>
      </c>
      <c r="K27">
        <v>0.83268024154377196</v>
      </c>
      <c r="L27" s="6">
        <v>-5.7767964144636603E-5</v>
      </c>
    </row>
    <row r="28" spans="1:12" x14ac:dyDescent="0.2">
      <c r="A28" t="s">
        <v>5</v>
      </c>
      <c r="B28">
        <v>4</v>
      </c>
      <c r="C28" t="s">
        <v>4</v>
      </c>
      <c r="D28" s="2">
        <v>43578</v>
      </c>
      <c r="E28" s="3">
        <v>43578.385419999999</v>
      </c>
      <c r="F28" s="3">
        <v>43578.388890000002</v>
      </c>
      <c r="G28">
        <v>19.600000000000001</v>
      </c>
      <c r="H28">
        <v>14.44</v>
      </c>
      <c r="K28">
        <v>1.07306455494214</v>
      </c>
      <c r="L28" s="6">
        <v>-7.9277244811327196E-5</v>
      </c>
    </row>
    <row r="29" spans="1:12" x14ac:dyDescent="0.2">
      <c r="A29" t="s">
        <v>5</v>
      </c>
      <c r="B29">
        <v>4</v>
      </c>
      <c r="C29" t="s">
        <v>6</v>
      </c>
      <c r="D29" s="2">
        <v>43578</v>
      </c>
      <c r="E29" s="3">
        <v>43578.39028</v>
      </c>
      <c r="F29" s="3">
        <v>43578.393750000003</v>
      </c>
      <c r="H29">
        <v>14.44</v>
      </c>
      <c r="K29">
        <v>1.2419035542111401</v>
      </c>
      <c r="L29" s="6">
        <v>-4.4971542578339503E-5</v>
      </c>
    </row>
    <row r="30" spans="1:12" x14ac:dyDescent="0.2">
      <c r="A30" t="s">
        <v>5</v>
      </c>
      <c r="B30">
        <v>5</v>
      </c>
      <c r="C30" t="s">
        <v>4</v>
      </c>
      <c r="D30" s="2">
        <v>43578</v>
      </c>
      <c r="E30" s="3">
        <v>43578.395140000001</v>
      </c>
      <c r="F30" s="3">
        <v>43578.398609999997</v>
      </c>
      <c r="G30">
        <v>21.1</v>
      </c>
      <c r="H30">
        <v>14.44</v>
      </c>
      <c r="K30">
        <v>0.79821664996008901</v>
      </c>
      <c r="L30">
        <v>1.08652130452546E-4</v>
      </c>
    </row>
    <row r="31" spans="1:12" x14ac:dyDescent="0.2">
      <c r="A31" t="s">
        <v>5</v>
      </c>
      <c r="B31">
        <v>5</v>
      </c>
      <c r="C31" t="s">
        <v>6</v>
      </c>
      <c r="D31" s="2">
        <v>43578</v>
      </c>
      <c r="E31" s="3">
        <v>43578.400000000001</v>
      </c>
      <c r="F31" s="3">
        <v>43578.403469999997</v>
      </c>
      <c r="H31">
        <v>14.44</v>
      </c>
      <c r="K31">
        <v>0.82101216193195004</v>
      </c>
      <c r="L31" s="6">
        <v>-2.9618608023032201E-5</v>
      </c>
    </row>
    <row r="32" spans="1:12" x14ac:dyDescent="0.2">
      <c r="A32" t="s">
        <v>5</v>
      </c>
      <c r="B32">
        <v>1</v>
      </c>
      <c r="C32" t="s">
        <v>4</v>
      </c>
      <c r="D32" s="2">
        <v>43578</v>
      </c>
      <c r="E32" s="3">
        <v>43578.48762</v>
      </c>
      <c r="F32" s="3">
        <v>43578.491090000003</v>
      </c>
      <c r="G32">
        <v>15.9</v>
      </c>
      <c r="H32">
        <v>20.56</v>
      </c>
      <c r="K32">
        <v>1.37136122299344</v>
      </c>
      <c r="L32">
        <v>1.4340960687297201E-4</v>
      </c>
    </row>
    <row r="33" spans="1:12" x14ac:dyDescent="0.2">
      <c r="A33" t="s">
        <v>5</v>
      </c>
      <c r="B33">
        <v>1</v>
      </c>
      <c r="C33" t="s">
        <v>6</v>
      </c>
      <c r="D33" s="2">
        <v>43578</v>
      </c>
      <c r="E33" s="3">
        <v>43578.492480000001</v>
      </c>
      <c r="F33" s="3">
        <v>43578.495949999997</v>
      </c>
      <c r="H33">
        <v>20.56</v>
      </c>
      <c r="K33">
        <v>0.77692420213961999</v>
      </c>
      <c r="L33" s="6">
        <v>-1.7347220092554501E-5</v>
      </c>
    </row>
    <row r="34" spans="1:12" x14ac:dyDescent="0.2">
      <c r="A34" t="s">
        <v>5</v>
      </c>
      <c r="B34">
        <v>2</v>
      </c>
      <c r="C34" t="s">
        <v>4</v>
      </c>
      <c r="D34" s="2">
        <v>43578</v>
      </c>
      <c r="E34" s="3">
        <v>43578.497340000002</v>
      </c>
      <c r="F34" s="3">
        <v>43578.500809999998</v>
      </c>
      <c r="G34">
        <v>15.8</v>
      </c>
      <c r="H34">
        <v>20.56</v>
      </c>
      <c r="K34">
        <v>1.5434389776537101</v>
      </c>
      <c r="L34">
        <v>2.97215949779515E-4</v>
      </c>
    </row>
    <row r="35" spans="1:12" x14ac:dyDescent="0.2">
      <c r="A35" t="s">
        <v>5</v>
      </c>
      <c r="B35">
        <v>2</v>
      </c>
      <c r="C35" t="s">
        <v>6</v>
      </c>
      <c r="D35" s="2">
        <v>43578</v>
      </c>
      <c r="E35" s="3">
        <v>43578.502200000003</v>
      </c>
      <c r="F35" s="3">
        <v>43578.505669999999</v>
      </c>
      <c r="H35">
        <v>20.56</v>
      </c>
      <c r="K35">
        <v>1.3895444322241499</v>
      </c>
      <c r="L35">
        <v>2.1054504703142999E-4</v>
      </c>
    </row>
    <row r="36" spans="1:12" x14ac:dyDescent="0.2">
      <c r="A36" t="s">
        <v>5</v>
      </c>
      <c r="B36">
        <v>3</v>
      </c>
      <c r="C36" t="s">
        <v>4</v>
      </c>
      <c r="D36" s="2">
        <v>43578</v>
      </c>
      <c r="E36" s="3">
        <v>43578.507060000004</v>
      </c>
      <c r="F36" s="3">
        <v>43578.51053</v>
      </c>
      <c r="G36">
        <v>13.3</v>
      </c>
      <c r="H36">
        <v>20.56</v>
      </c>
      <c r="K36">
        <v>1.44704754722546</v>
      </c>
      <c r="L36">
        <v>3.6464704131878602E-4</v>
      </c>
    </row>
    <row r="37" spans="1:12" x14ac:dyDescent="0.2">
      <c r="A37" t="s">
        <v>5</v>
      </c>
      <c r="B37">
        <v>3</v>
      </c>
      <c r="C37" t="s">
        <v>6</v>
      </c>
      <c r="D37" s="2">
        <v>43578</v>
      </c>
      <c r="E37" s="3">
        <v>43578.511919999997</v>
      </c>
      <c r="F37" s="3">
        <v>43578.51539</v>
      </c>
      <c r="H37">
        <v>20.56</v>
      </c>
      <c r="K37">
        <v>1.1617472723084901</v>
      </c>
      <c r="L37">
        <v>2.6253603216269401E-4</v>
      </c>
    </row>
    <row r="38" spans="1:12" x14ac:dyDescent="0.2">
      <c r="A38" t="s">
        <v>5</v>
      </c>
      <c r="B38">
        <v>4</v>
      </c>
      <c r="C38" t="s">
        <v>4</v>
      </c>
      <c r="D38" s="2">
        <v>43578</v>
      </c>
      <c r="E38" s="3">
        <v>43578.516779999998</v>
      </c>
      <c r="F38" s="3">
        <v>43578.520250000001</v>
      </c>
      <c r="G38">
        <v>20.399999999999999</v>
      </c>
      <c r="H38">
        <v>20.56</v>
      </c>
      <c r="K38">
        <v>1.55328015517852</v>
      </c>
      <c r="L38">
        <v>1.73637129706822E-4</v>
      </c>
    </row>
    <row r="39" spans="1:12" x14ac:dyDescent="0.2">
      <c r="A39" t="s">
        <v>5</v>
      </c>
      <c r="B39">
        <v>4</v>
      </c>
      <c r="C39" t="s">
        <v>6</v>
      </c>
      <c r="D39" s="2">
        <v>43578</v>
      </c>
      <c r="E39" s="3">
        <v>43578.521639999999</v>
      </c>
      <c r="F39" s="3">
        <v>43578.525119999998</v>
      </c>
      <c r="H39">
        <v>20.56</v>
      </c>
      <c r="K39">
        <v>1.5506499695503</v>
      </c>
      <c r="L39" s="6">
        <v>-7.3187417045876595E-5</v>
      </c>
    </row>
    <row r="40" spans="1:12" x14ac:dyDescent="0.2">
      <c r="A40" t="s">
        <v>5</v>
      </c>
      <c r="B40">
        <v>5</v>
      </c>
      <c r="C40" t="s">
        <v>4</v>
      </c>
      <c r="D40" s="2">
        <v>43578</v>
      </c>
      <c r="E40" s="3">
        <v>43578.5265</v>
      </c>
      <c r="F40" s="3">
        <v>43578.529979999999</v>
      </c>
      <c r="G40">
        <v>18.5</v>
      </c>
      <c r="H40">
        <v>20.56</v>
      </c>
      <c r="K40">
        <v>1.0223413682368601</v>
      </c>
      <c r="L40">
        <v>1.6233391835297501E-4</v>
      </c>
    </row>
    <row r="41" spans="1:12" x14ac:dyDescent="0.2">
      <c r="A41" t="s">
        <v>5</v>
      </c>
      <c r="B41">
        <v>5</v>
      </c>
      <c r="C41" t="s">
        <v>6</v>
      </c>
      <c r="D41" s="2">
        <v>43578</v>
      </c>
      <c r="E41" s="3">
        <v>43578.531369999997</v>
      </c>
      <c r="F41" s="3">
        <v>43578.53484</v>
      </c>
      <c r="H41">
        <v>20.56</v>
      </c>
      <c r="K41">
        <v>1.04641514115895</v>
      </c>
      <c r="L41" s="6">
        <v>-3.6665686738370599E-5</v>
      </c>
    </row>
    <row r="42" spans="1:12" x14ac:dyDescent="0.2">
      <c r="A42" t="s">
        <v>5</v>
      </c>
      <c r="B42">
        <v>1</v>
      </c>
      <c r="C42" t="s">
        <v>4</v>
      </c>
      <c r="D42" s="2">
        <v>43587</v>
      </c>
      <c r="E42" s="3">
        <v>43587.377780000003</v>
      </c>
      <c r="F42" s="3">
        <v>43587.381249999999</v>
      </c>
      <c r="G42">
        <v>16.399999999999999</v>
      </c>
      <c r="H42">
        <v>12.22</v>
      </c>
      <c r="K42">
        <v>0.57814412279324601</v>
      </c>
      <c r="L42">
        <v>1.5579594747900299E-4</v>
      </c>
    </row>
    <row r="43" spans="1:12" x14ac:dyDescent="0.2">
      <c r="A43" t="s">
        <v>5</v>
      </c>
      <c r="B43">
        <v>1</v>
      </c>
      <c r="C43" t="s">
        <v>6</v>
      </c>
      <c r="D43" s="2">
        <v>43587</v>
      </c>
      <c r="E43" s="3">
        <v>43587.382640000003</v>
      </c>
      <c r="F43" s="3">
        <v>43587.386109999999</v>
      </c>
      <c r="H43">
        <v>12.22</v>
      </c>
      <c r="K43">
        <v>0.76194662758613896</v>
      </c>
      <c r="L43">
        <v>-1.4672271492505501E-4</v>
      </c>
    </row>
    <row r="44" spans="1:12" x14ac:dyDescent="0.2">
      <c r="A44" t="s">
        <v>5</v>
      </c>
      <c r="B44">
        <v>2</v>
      </c>
      <c r="C44" t="s">
        <v>4</v>
      </c>
      <c r="D44" s="2">
        <v>43587</v>
      </c>
      <c r="E44" s="3">
        <v>43587.387499999997</v>
      </c>
      <c r="F44" s="3">
        <v>43587.39097</v>
      </c>
      <c r="G44">
        <v>18.3</v>
      </c>
      <c r="H44">
        <v>12.22</v>
      </c>
      <c r="K44">
        <v>0.585562899407296</v>
      </c>
      <c r="L44" s="6">
        <v>-7.0837739150119406E-5</v>
      </c>
    </row>
    <row r="45" spans="1:12" x14ac:dyDescent="0.2">
      <c r="A45" t="s">
        <v>5</v>
      </c>
      <c r="B45">
        <v>2</v>
      </c>
      <c r="C45" t="s">
        <v>6</v>
      </c>
      <c r="D45" s="2">
        <v>43587</v>
      </c>
      <c r="E45" s="3">
        <v>43587.392359999998</v>
      </c>
      <c r="F45" s="3">
        <v>43587.395830000001</v>
      </c>
      <c r="H45">
        <v>12.22</v>
      </c>
      <c r="K45">
        <v>0.83349577344508996</v>
      </c>
      <c r="L45" s="6">
        <v>-6.4124954918127398E-5</v>
      </c>
    </row>
    <row r="46" spans="1:12" x14ac:dyDescent="0.2">
      <c r="A46" t="s">
        <v>5</v>
      </c>
      <c r="B46">
        <v>3</v>
      </c>
      <c r="C46" t="s">
        <v>4</v>
      </c>
      <c r="D46" s="2">
        <v>43587</v>
      </c>
      <c r="E46" s="3">
        <v>43587.397219999999</v>
      </c>
      <c r="F46" s="3">
        <v>43587.400690000002</v>
      </c>
      <c r="G46">
        <v>19</v>
      </c>
      <c r="H46">
        <v>12.22</v>
      </c>
      <c r="K46">
        <v>0.69221166775893594</v>
      </c>
      <c r="L46" s="6">
        <v>-5.1545968986629103E-5</v>
      </c>
    </row>
    <row r="47" spans="1:12" x14ac:dyDescent="0.2">
      <c r="A47" t="s">
        <v>5</v>
      </c>
      <c r="B47">
        <v>3</v>
      </c>
      <c r="C47" t="s">
        <v>6</v>
      </c>
      <c r="D47" s="2">
        <v>43587</v>
      </c>
      <c r="E47" s="3">
        <v>43587.40208</v>
      </c>
      <c r="F47" s="3">
        <v>43587.405559999999</v>
      </c>
      <c r="H47">
        <v>12.22</v>
      </c>
      <c r="K47">
        <v>0.97202758273175904</v>
      </c>
      <c r="L47">
        <v>-1.6772854319025299E-4</v>
      </c>
    </row>
    <row r="48" spans="1:12" x14ac:dyDescent="0.2">
      <c r="A48" t="s">
        <v>5</v>
      </c>
      <c r="B48">
        <v>4</v>
      </c>
      <c r="C48" t="s">
        <v>4</v>
      </c>
      <c r="D48" s="2">
        <v>43587</v>
      </c>
      <c r="E48" s="3">
        <v>43587.406940000001</v>
      </c>
      <c r="F48" s="3">
        <v>43587.41042</v>
      </c>
      <c r="G48">
        <v>21.5</v>
      </c>
      <c r="H48">
        <v>12.22</v>
      </c>
      <c r="K48">
        <v>1.0061744009842399</v>
      </c>
      <c r="L48">
        <v>-1.7775246000972201E-4</v>
      </c>
    </row>
    <row r="49" spans="1:12" x14ac:dyDescent="0.2">
      <c r="A49" t="s">
        <v>5</v>
      </c>
      <c r="B49">
        <v>4</v>
      </c>
      <c r="C49" t="s">
        <v>6</v>
      </c>
      <c r="D49" s="2">
        <v>43587</v>
      </c>
      <c r="E49" s="3">
        <v>43587.411809999998</v>
      </c>
      <c r="F49" s="3">
        <v>43587.415280000001</v>
      </c>
      <c r="H49">
        <v>12.22</v>
      </c>
      <c r="K49">
        <v>1.1025526621055399</v>
      </c>
      <c r="L49" s="6">
        <v>-3.4562894080868198E-5</v>
      </c>
    </row>
    <row r="50" spans="1:12" x14ac:dyDescent="0.2">
      <c r="A50" t="s">
        <v>5</v>
      </c>
      <c r="B50">
        <v>5</v>
      </c>
      <c r="C50" t="s">
        <v>4</v>
      </c>
      <c r="D50" s="2">
        <v>43587</v>
      </c>
      <c r="E50" s="3">
        <v>43587.416669999999</v>
      </c>
      <c r="F50" s="3">
        <v>43587.420140000002</v>
      </c>
      <c r="G50">
        <v>16.8</v>
      </c>
      <c r="H50">
        <v>12.22</v>
      </c>
      <c r="K50">
        <v>0.57889422750561104</v>
      </c>
      <c r="L50" s="6">
        <v>3.2065727336789801E-5</v>
      </c>
    </row>
    <row r="51" spans="1:12" x14ac:dyDescent="0.2">
      <c r="A51" t="s">
        <v>5</v>
      </c>
      <c r="B51">
        <v>5</v>
      </c>
      <c r="C51" t="s">
        <v>6</v>
      </c>
      <c r="D51" s="2">
        <v>43587</v>
      </c>
      <c r="E51" s="3">
        <v>43587.42153</v>
      </c>
      <c r="F51" s="3">
        <v>43587.425000000003</v>
      </c>
      <c r="H51">
        <v>12.22</v>
      </c>
      <c r="K51">
        <v>0.514307043515013</v>
      </c>
      <c r="L51" s="6">
        <v>-3.8822964640021197E-5</v>
      </c>
    </row>
    <row r="52" spans="1:12" x14ac:dyDescent="0.2">
      <c r="A52" t="s">
        <v>5</v>
      </c>
      <c r="B52">
        <v>1</v>
      </c>
      <c r="C52" t="s">
        <v>4</v>
      </c>
      <c r="D52" s="2">
        <v>43587</v>
      </c>
      <c r="E52" s="3">
        <v>43587.49826</v>
      </c>
      <c r="F52" s="3">
        <v>43587.50174</v>
      </c>
      <c r="G52">
        <v>14.9</v>
      </c>
      <c r="H52">
        <v>12.78</v>
      </c>
      <c r="K52">
        <v>0.72912518007152305</v>
      </c>
      <c r="L52">
        <v>-2.1790109643981601E-4</v>
      </c>
    </row>
    <row r="53" spans="1:12" x14ac:dyDescent="0.2">
      <c r="A53" t="s">
        <v>5</v>
      </c>
      <c r="B53">
        <v>1</v>
      </c>
      <c r="C53" t="s">
        <v>6</v>
      </c>
      <c r="D53" s="2">
        <v>43587</v>
      </c>
      <c r="E53" s="3">
        <v>43587.503129999997</v>
      </c>
      <c r="F53" s="3">
        <v>43587.506600000001</v>
      </c>
      <c r="H53">
        <v>12.78</v>
      </c>
      <c r="K53">
        <v>1.02799753978513</v>
      </c>
      <c r="L53" s="6">
        <v>-8.8679648770845703E-5</v>
      </c>
    </row>
    <row r="54" spans="1:12" x14ac:dyDescent="0.2">
      <c r="A54" t="s">
        <v>5</v>
      </c>
      <c r="B54">
        <v>2</v>
      </c>
      <c r="C54" t="s">
        <v>4</v>
      </c>
      <c r="D54" s="2">
        <v>43587</v>
      </c>
      <c r="E54" s="3">
        <v>43587.507989999998</v>
      </c>
      <c r="F54" s="3">
        <v>43587.511460000002</v>
      </c>
      <c r="G54">
        <v>18.899999999999999</v>
      </c>
      <c r="H54">
        <v>12.78</v>
      </c>
      <c r="K54">
        <v>0.90807321281575304</v>
      </c>
      <c r="L54">
        <v>-1.25364054629671E-4</v>
      </c>
    </row>
    <row r="55" spans="1:12" x14ac:dyDescent="0.2">
      <c r="A55" t="s">
        <v>5</v>
      </c>
      <c r="B55">
        <v>2</v>
      </c>
      <c r="C55" t="s">
        <v>6</v>
      </c>
      <c r="D55" s="2">
        <v>43587</v>
      </c>
      <c r="E55" s="3">
        <v>43587.512150000002</v>
      </c>
      <c r="F55" s="3">
        <v>43587.515630000002</v>
      </c>
      <c r="H55">
        <v>12.78</v>
      </c>
      <c r="K55">
        <v>0.978018862635472</v>
      </c>
      <c r="L55">
        <v>-1.4887960581282399E-4</v>
      </c>
    </row>
    <row r="56" spans="1:12" x14ac:dyDescent="0.2">
      <c r="A56" t="s">
        <v>5</v>
      </c>
      <c r="B56">
        <v>3</v>
      </c>
      <c r="C56" t="s">
        <v>4</v>
      </c>
      <c r="D56" s="2">
        <v>43587</v>
      </c>
      <c r="E56" s="3">
        <v>43587.516320000002</v>
      </c>
      <c r="F56" s="3">
        <v>43587.519789999998</v>
      </c>
      <c r="G56">
        <v>17.899999999999999</v>
      </c>
      <c r="H56">
        <v>12.78</v>
      </c>
      <c r="K56">
        <v>0.48219702813999699</v>
      </c>
      <c r="L56">
        <v>-1.4117837738486099E-4</v>
      </c>
    </row>
    <row r="57" spans="1:12" x14ac:dyDescent="0.2">
      <c r="A57" t="s">
        <v>5</v>
      </c>
      <c r="B57">
        <v>3</v>
      </c>
      <c r="C57" t="s">
        <v>6</v>
      </c>
      <c r="D57" s="2">
        <v>43587</v>
      </c>
      <c r="E57" s="3">
        <v>43587.520490000003</v>
      </c>
      <c r="F57" s="3">
        <v>43587.523959999999</v>
      </c>
      <c r="H57">
        <v>12.78</v>
      </c>
      <c r="K57">
        <v>0.64417314734291298</v>
      </c>
      <c r="L57" s="6">
        <v>-5.5940857381477701E-5</v>
      </c>
    </row>
    <row r="58" spans="1:12" x14ac:dyDescent="0.2">
      <c r="A58" t="s">
        <v>5</v>
      </c>
      <c r="B58">
        <v>4</v>
      </c>
      <c r="C58" t="s">
        <v>4</v>
      </c>
      <c r="D58" s="2">
        <v>43587</v>
      </c>
      <c r="E58" s="3">
        <v>43587.524649999999</v>
      </c>
      <c r="F58" s="3">
        <v>43587.528129999999</v>
      </c>
      <c r="G58">
        <v>21.5</v>
      </c>
      <c r="H58">
        <v>12.78</v>
      </c>
      <c r="K58">
        <v>1.36292758231388</v>
      </c>
      <c r="L58">
        <v>-1.3760955334831499E-4</v>
      </c>
    </row>
    <row r="59" spans="1:12" x14ac:dyDescent="0.2">
      <c r="A59" t="s">
        <v>5</v>
      </c>
      <c r="B59">
        <v>4</v>
      </c>
      <c r="C59" t="s">
        <v>6</v>
      </c>
      <c r="D59" s="2">
        <v>43587</v>
      </c>
      <c r="E59" s="3">
        <v>43587.52882</v>
      </c>
      <c r="F59" s="3">
        <v>43587.532290000003</v>
      </c>
      <c r="H59">
        <v>12.78</v>
      </c>
      <c r="K59">
        <v>1.27828658300681</v>
      </c>
      <c r="L59" s="6">
        <v>-9.9750683403802704E-5</v>
      </c>
    </row>
    <row r="60" spans="1:12" x14ac:dyDescent="0.2">
      <c r="A60" t="s">
        <v>5</v>
      </c>
      <c r="B60">
        <v>5</v>
      </c>
      <c r="C60" t="s">
        <v>4</v>
      </c>
      <c r="D60" s="2">
        <v>43587</v>
      </c>
      <c r="E60" s="3">
        <v>43587.53299</v>
      </c>
      <c r="F60" s="3">
        <v>43587.536460000003</v>
      </c>
      <c r="G60">
        <v>19.100000000000001</v>
      </c>
      <c r="H60">
        <v>12.78</v>
      </c>
      <c r="K60">
        <v>0.58511614081726604</v>
      </c>
      <c r="L60" s="6">
        <v>-4.9681239852096098E-5</v>
      </c>
    </row>
    <row r="61" spans="1:12" x14ac:dyDescent="0.2">
      <c r="A61" t="s">
        <v>5</v>
      </c>
      <c r="B61">
        <v>5</v>
      </c>
      <c r="C61" t="s">
        <v>6</v>
      </c>
      <c r="D61" s="2">
        <v>43587</v>
      </c>
      <c r="E61" s="3">
        <v>43587.537149999996</v>
      </c>
      <c r="F61" s="3">
        <v>43587.540630000003</v>
      </c>
      <c r="H61">
        <v>12.78</v>
      </c>
      <c r="K61">
        <v>0.67819214395684302</v>
      </c>
      <c r="L61" s="6">
        <v>-3.9184815890619303E-5</v>
      </c>
    </row>
    <row r="62" spans="1:12" x14ac:dyDescent="0.2">
      <c r="A62" t="s">
        <v>5</v>
      </c>
      <c r="B62">
        <v>1</v>
      </c>
      <c r="C62" t="s">
        <v>4</v>
      </c>
      <c r="D62" s="2">
        <v>43607</v>
      </c>
      <c r="E62" s="3">
        <v>43607.40799</v>
      </c>
      <c r="F62" s="3">
        <v>43607.411460000003</v>
      </c>
      <c r="G62">
        <v>14.9</v>
      </c>
      <c r="H62">
        <v>18.3</v>
      </c>
      <c r="K62">
        <v>-1.21545745518115E-4</v>
      </c>
      <c r="L62">
        <v>-8.3670299999999995E-4</v>
      </c>
    </row>
    <row r="63" spans="1:12" x14ac:dyDescent="0.2">
      <c r="A63" t="s">
        <v>5</v>
      </c>
      <c r="B63">
        <v>1</v>
      </c>
      <c r="C63" t="s">
        <v>6</v>
      </c>
      <c r="D63" s="2">
        <v>43607</v>
      </c>
      <c r="E63" s="3">
        <v>43607.412850000001</v>
      </c>
      <c r="F63" s="3">
        <v>43607.416319999997</v>
      </c>
      <c r="H63">
        <v>18.3</v>
      </c>
      <c r="K63">
        <v>-3.1020531742369798E-4</v>
      </c>
      <c r="L63">
        <v>-1.259942E-3</v>
      </c>
    </row>
    <row r="64" spans="1:12" x14ac:dyDescent="0.2">
      <c r="A64" t="s">
        <v>5</v>
      </c>
      <c r="B64">
        <v>2</v>
      </c>
      <c r="C64" t="s">
        <v>4</v>
      </c>
      <c r="D64" s="2">
        <v>43607</v>
      </c>
      <c r="E64" s="3">
        <v>43607.417710000002</v>
      </c>
      <c r="F64" s="3">
        <v>43607.421179999998</v>
      </c>
      <c r="G64">
        <v>12.2</v>
      </c>
      <c r="H64">
        <v>18.3</v>
      </c>
      <c r="K64">
        <v>-3.5269943018955698E-4</v>
      </c>
      <c r="L64" s="6">
        <v>6.7299999999999996E-5</v>
      </c>
    </row>
    <row r="65" spans="1:12" x14ac:dyDescent="0.2">
      <c r="A65" t="s">
        <v>5</v>
      </c>
      <c r="B65">
        <v>2</v>
      </c>
      <c r="C65" t="s">
        <v>6</v>
      </c>
      <c r="D65" s="2">
        <v>43607</v>
      </c>
      <c r="E65" s="3">
        <v>43607.422570000002</v>
      </c>
      <c r="F65" s="3">
        <v>43607.426039999998</v>
      </c>
      <c r="H65">
        <v>18.3</v>
      </c>
      <c r="K65">
        <v>6.4384329144877598E-4</v>
      </c>
      <c r="L65" s="6">
        <v>-1.73E-6</v>
      </c>
    </row>
    <row r="66" spans="1:12" x14ac:dyDescent="0.2">
      <c r="A66" t="s">
        <v>5</v>
      </c>
      <c r="B66">
        <v>3</v>
      </c>
      <c r="C66" t="s">
        <v>4</v>
      </c>
      <c r="D66" s="2">
        <v>43607</v>
      </c>
      <c r="E66" s="3">
        <v>43607.427430000003</v>
      </c>
      <c r="F66" s="3">
        <v>43607.430899999999</v>
      </c>
      <c r="G66">
        <v>15.8</v>
      </c>
      <c r="H66">
        <v>18.3</v>
      </c>
      <c r="K66">
        <v>-1.42316908133751E-3</v>
      </c>
      <c r="L66" s="6">
        <v>-7.9099999999999998E-5</v>
      </c>
    </row>
    <row r="67" spans="1:12" x14ac:dyDescent="0.2">
      <c r="A67" t="s">
        <v>5</v>
      </c>
      <c r="B67">
        <v>3</v>
      </c>
      <c r="C67" t="s">
        <v>6</v>
      </c>
      <c r="D67" s="2">
        <v>43607</v>
      </c>
      <c r="E67" s="3">
        <v>43607.432289999997</v>
      </c>
      <c r="F67" s="3">
        <v>43607.43576</v>
      </c>
      <c r="H67">
        <v>18.3</v>
      </c>
      <c r="K67">
        <v>-4.6699805733004997E-3</v>
      </c>
      <c r="L67" s="6">
        <v>5.8799999999999999E-5</v>
      </c>
    </row>
    <row r="68" spans="1:12" x14ac:dyDescent="0.2">
      <c r="A68" t="s">
        <v>5</v>
      </c>
      <c r="B68">
        <v>4</v>
      </c>
      <c r="C68" t="s">
        <v>4</v>
      </c>
      <c r="D68" s="2">
        <v>43607</v>
      </c>
      <c r="E68" s="3">
        <v>43607.437149999998</v>
      </c>
      <c r="F68" s="3">
        <v>43607.440629999997</v>
      </c>
      <c r="G68">
        <v>16.5</v>
      </c>
      <c r="H68">
        <v>18.3</v>
      </c>
      <c r="K68">
        <v>4.7368394742879999E-4</v>
      </c>
      <c r="L68" s="6">
        <v>-2.5299999999999998E-5</v>
      </c>
    </row>
    <row r="69" spans="1:12" x14ac:dyDescent="0.2">
      <c r="A69" t="s">
        <v>5</v>
      </c>
      <c r="B69">
        <v>4</v>
      </c>
      <c r="C69" t="s">
        <v>6</v>
      </c>
      <c r="D69" s="2">
        <v>43607</v>
      </c>
      <c r="E69" s="3">
        <v>43607.442009999999</v>
      </c>
      <c r="F69" s="3">
        <v>43607.445489999998</v>
      </c>
      <c r="H69">
        <v>18.3</v>
      </c>
      <c r="K69" s="6">
        <v>-5.4782133095120603E-5</v>
      </c>
      <c r="L69">
        <v>-4.45897E-4</v>
      </c>
    </row>
    <row r="70" spans="1:12" x14ac:dyDescent="0.2">
      <c r="A70" t="s">
        <v>5</v>
      </c>
      <c r="B70">
        <v>5</v>
      </c>
      <c r="C70" t="s">
        <v>4</v>
      </c>
      <c r="D70" s="2">
        <v>43607</v>
      </c>
      <c r="E70" s="3">
        <v>43607.446880000003</v>
      </c>
      <c r="F70" s="3">
        <v>43607.450349999999</v>
      </c>
      <c r="G70">
        <v>17.100000000000001</v>
      </c>
      <c r="H70">
        <v>18.3</v>
      </c>
      <c r="K70">
        <v>-2.6794130386313301E-4</v>
      </c>
      <c r="L70">
        <v>-1.6421599999999999E-4</v>
      </c>
    </row>
    <row r="71" spans="1:12" x14ac:dyDescent="0.2">
      <c r="A71" t="s">
        <v>5</v>
      </c>
      <c r="B71">
        <v>5</v>
      </c>
      <c r="C71" t="s">
        <v>6</v>
      </c>
      <c r="D71" s="2">
        <v>43607</v>
      </c>
      <c r="E71" s="3">
        <v>43607.451739999997</v>
      </c>
      <c r="F71" s="3">
        <v>43607.45521</v>
      </c>
      <c r="H71">
        <v>18.3</v>
      </c>
      <c r="K71">
        <v>-3.8340931274232902E-4</v>
      </c>
      <c r="L71">
        <v>-1.9787099999999999E-4</v>
      </c>
    </row>
    <row r="72" spans="1:12" x14ac:dyDescent="0.2">
      <c r="A72" t="s">
        <v>5</v>
      </c>
      <c r="B72">
        <v>1</v>
      </c>
      <c r="C72" t="s">
        <v>4</v>
      </c>
      <c r="D72" s="2">
        <v>43607</v>
      </c>
      <c r="E72" s="3">
        <v>43607.509720000002</v>
      </c>
      <c r="F72" s="3">
        <v>43607.513189999998</v>
      </c>
      <c r="G72">
        <v>14.4</v>
      </c>
      <c r="H72">
        <v>21.67</v>
      </c>
      <c r="K72">
        <v>1.397622809824</v>
      </c>
      <c r="L72">
        <v>-1.21545745518115E-4</v>
      </c>
    </row>
    <row r="73" spans="1:12" x14ac:dyDescent="0.2">
      <c r="A73" t="s">
        <v>5</v>
      </c>
      <c r="B73">
        <v>1</v>
      </c>
      <c r="C73" t="s">
        <v>6</v>
      </c>
      <c r="D73" s="2">
        <v>43607</v>
      </c>
      <c r="E73" s="3">
        <v>43607.514580000003</v>
      </c>
      <c r="F73" s="3">
        <v>43607.518060000002</v>
      </c>
      <c r="H73">
        <v>21.67</v>
      </c>
      <c r="K73">
        <v>-7.65808180714254E-3</v>
      </c>
      <c r="L73">
        <v>-3.1020531742369798E-4</v>
      </c>
    </row>
    <row r="74" spans="1:12" x14ac:dyDescent="0.2">
      <c r="A74" t="s">
        <v>5</v>
      </c>
      <c r="B74">
        <v>2</v>
      </c>
      <c r="C74" t="s">
        <v>4</v>
      </c>
      <c r="D74" s="2">
        <v>43607</v>
      </c>
      <c r="E74" s="3">
        <v>43607.519439999996</v>
      </c>
      <c r="F74" s="3">
        <v>43607.522920000003</v>
      </c>
      <c r="G74">
        <v>10.8</v>
      </c>
      <c r="H74">
        <v>21.67</v>
      </c>
      <c r="K74">
        <v>0.56414660351692802</v>
      </c>
      <c r="L74">
        <v>-3.5269943018955698E-4</v>
      </c>
    </row>
    <row r="75" spans="1:12" x14ac:dyDescent="0.2">
      <c r="A75" t="s">
        <v>5</v>
      </c>
      <c r="B75">
        <v>2</v>
      </c>
      <c r="C75" t="s">
        <v>6</v>
      </c>
      <c r="D75" s="2">
        <v>43607</v>
      </c>
      <c r="E75" s="3">
        <v>43607.524310000001</v>
      </c>
      <c r="F75" s="3">
        <v>43607.527779999997</v>
      </c>
      <c r="H75">
        <v>21.67</v>
      </c>
      <c r="K75">
        <v>-2.1938621326257399</v>
      </c>
      <c r="L75">
        <v>6.4384329144877598E-4</v>
      </c>
    </row>
    <row r="76" spans="1:12" x14ac:dyDescent="0.2">
      <c r="A76" t="s">
        <v>5</v>
      </c>
      <c r="B76">
        <v>3</v>
      </c>
      <c r="C76" t="s">
        <v>4</v>
      </c>
      <c r="D76" s="2">
        <v>43607</v>
      </c>
      <c r="E76" s="3">
        <v>43607.529170000002</v>
      </c>
      <c r="F76" s="3">
        <v>43607.532639999998</v>
      </c>
      <c r="G76">
        <v>13.9</v>
      </c>
      <c r="H76">
        <v>21.67</v>
      </c>
      <c r="K76">
        <v>2.0447639492286802</v>
      </c>
      <c r="L76">
        <v>-1.42316908133751E-3</v>
      </c>
    </row>
    <row r="77" spans="1:12" x14ac:dyDescent="0.2">
      <c r="A77" t="s">
        <v>5</v>
      </c>
      <c r="B77">
        <v>3</v>
      </c>
      <c r="C77" t="s">
        <v>6</v>
      </c>
      <c r="D77" s="2">
        <v>43607</v>
      </c>
      <c r="E77" s="3">
        <v>43607.534030000003</v>
      </c>
      <c r="F77" s="3">
        <v>43607.537499999999</v>
      </c>
      <c r="H77">
        <v>21.67</v>
      </c>
      <c r="K77">
        <v>-2.33210465266033</v>
      </c>
      <c r="L77">
        <v>-4.6699805733004997E-3</v>
      </c>
    </row>
    <row r="78" spans="1:12" x14ac:dyDescent="0.2">
      <c r="A78" t="s">
        <v>5</v>
      </c>
      <c r="B78">
        <v>4</v>
      </c>
      <c r="C78" t="s">
        <v>4</v>
      </c>
      <c r="D78" s="2">
        <v>43607</v>
      </c>
      <c r="E78" s="3">
        <v>43607.538890000003</v>
      </c>
      <c r="F78" s="3">
        <v>43607.542359999999</v>
      </c>
      <c r="G78">
        <v>18.5</v>
      </c>
      <c r="H78">
        <v>21.67</v>
      </c>
      <c r="K78">
        <v>1.13875710240955</v>
      </c>
      <c r="L78">
        <v>4.7368394742879999E-4</v>
      </c>
    </row>
    <row r="79" spans="1:12" x14ac:dyDescent="0.2">
      <c r="A79" t="s">
        <v>5</v>
      </c>
      <c r="B79">
        <v>4</v>
      </c>
      <c r="C79" t="s">
        <v>6</v>
      </c>
      <c r="D79" s="2">
        <v>43607</v>
      </c>
      <c r="E79" s="3">
        <v>43607.543749999997</v>
      </c>
      <c r="F79" s="3">
        <v>43607.54722</v>
      </c>
      <c r="H79">
        <v>21.67</v>
      </c>
      <c r="K79">
        <v>0.24485326112236699</v>
      </c>
      <c r="L79" s="6">
        <v>-5.4782133095120603E-5</v>
      </c>
    </row>
    <row r="80" spans="1:12" x14ac:dyDescent="0.2">
      <c r="A80" t="s">
        <v>5</v>
      </c>
      <c r="B80">
        <v>5</v>
      </c>
      <c r="C80" t="s">
        <v>4</v>
      </c>
      <c r="D80" s="2">
        <v>43607</v>
      </c>
      <c r="E80" s="3">
        <v>43607.548609999998</v>
      </c>
      <c r="F80" s="3">
        <v>43607.552080000001</v>
      </c>
      <c r="G80">
        <v>16.2</v>
      </c>
      <c r="H80">
        <v>21.67</v>
      </c>
      <c r="K80">
        <v>0.88115577523572997</v>
      </c>
      <c r="L80">
        <v>-2.6794130386313301E-4</v>
      </c>
    </row>
    <row r="81" spans="1:12" x14ac:dyDescent="0.2">
      <c r="A81" t="s">
        <v>5</v>
      </c>
      <c r="B81">
        <v>5</v>
      </c>
      <c r="C81" t="s">
        <v>6</v>
      </c>
      <c r="D81" s="2">
        <v>43607</v>
      </c>
      <c r="E81" s="3">
        <v>43607.553469999999</v>
      </c>
      <c r="F81" s="3">
        <v>43607.556940000002</v>
      </c>
      <c r="H81">
        <v>21.67</v>
      </c>
      <c r="K81">
        <v>1.2737016622089199</v>
      </c>
      <c r="L81">
        <v>-3.8340931274232902E-4</v>
      </c>
    </row>
    <row r="82" spans="1:12" x14ac:dyDescent="0.2">
      <c r="A82" t="s">
        <v>5</v>
      </c>
      <c r="B82">
        <v>1</v>
      </c>
      <c r="C82" t="s">
        <v>4</v>
      </c>
      <c r="D82" s="2">
        <v>43615</v>
      </c>
      <c r="E82" s="3">
        <v>43615.454169999997</v>
      </c>
      <c r="F82" s="3">
        <v>43615.457640000001</v>
      </c>
      <c r="G82">
        <v>26.4</v>
      </c>
      <c r="H82">
        <v>20</v>
      </c>
      <c r="K82">
        <v>1.92421591380126</v>
      </c>
      <c r="L82">
        <v>6.1407653713160804E-4</v>
      </c>
    </row>
    <row r="83" spans="1:12" x14ac:dyDescent="0.2">
      <c r="A83" t="s">
        <v>5</v>
      </c>
      <c r="B83">
        <v>1</v>
      </c>
      <c r="C83" t="s">
        <v>6</v>
      </c>
      <c r="D83" s="2">
        <v>43615</v>
      </c>
      <c r="E83" s="3">
        <v>43615.459029999998</v>
      </c>
      <c r="F83" s="3">
        <v>43615.462500000001</v>
      </c>
      <c r="H83">
        <v>20</v>
      </c>
      <c r="K83">
        <v>1.7814338015237099</v>
      </c>
      <c r="L83">
        <v>3.7440727028493597E-4</v>
      </c>
    </row>
    <row r="84" spans="1:12" x14ac:dyDescent="0.2">
      <c r="A84" t="s">
        <v>5</v>
      </c>
      <c r="B84">
        <v>2</v>
      </c>
      <c r="C84" t="s">
        <v>4</v>
      </c>
      <c r="D84" s="2">
        <v>43615</v>
      </c>
      <c r="E84" s="3">
        <v>43615.463889999999</v>
      </c>
      <c r="F84" s="3">
        <v>43615.467360000002</v>
      </c>
      <c r="G84">
        <v>26.1</v>
      </c>
      <c r="H84">
        <v>20</v>
      </c>
      <c r="K84">
        <v>0.57118011446241101</v>
      </c>
      <c r="L84">
        <v>2.41577981047689E-4</v>
      </c>
    </row>
    <row r="85" spans="1:12" x14ac:dyDescent="0.2">
      <c r="A85" t="s">
        <v>5</v>
      </c>
      <c r="B85">
        <v>2</v>
      </c>
      <c r="C85" t="s">
        <v>6</v>
      </c>
      <c r="D85" s="2">
        <v>43615</v>
      </c>
      <c r="E85" s="3">
        <v>43615.46875</v>
      </c>
      <c r="F85" s="3">
        <v>43615.472220000003</v>
      </c>
      <c r="H85">
        <v>20</v>
      </c>
      <c r="K85">
        <v>1.3493817169423401</v>
      </c>
      <c r="L85">
        <v>4.3503668531710799E-4</v>
      </c>
    </row>
    <row r="86" spans="1:12" x14ac:dyDescent="0.2">
      <c r="A86" t="s">
        <v>5</v>
      </c>
      <c r="B86">
        <v>3</v>
      </c>
      <c r="C86" t="s">
        <v>4</v>
      </c>
      <c r="D86" s="2">
        <v>43615</v>
      </c>
      <c r="E86" s="3">
        <v>43615.473610000001</v>
      </c>
      <c r="F86" s="3">
        <v>43615.477079999997</v>
      </c>
      <c r="G86">
        <v>18.600000000000001</v>
      </c>
      <c r="H86">
        <v>20</v>
      </c>
      <c r="K86">
        <v>1.36763037742751</v>
      </c>
      <c r="L86">
        <v>3.95925761786134E-4</v>
      </c>
    </row>
    <row r="87" spans="1:12" x14ac:dyDescent="0.2">
      <c r="A87" t="s">
        <v>5</v>
      </c>
      <c r="B87">
        <v>3</v>
      </c>
      <c r="C87" t="s">
        <v>6</v>
      </c>
      <c r="D87" s="2">
        <v>43615</v>
      </c>
      <c r="E87" s="3">
        <v>43615.478470000002</v>
      </c>
      <c r="F87" s="3">
        <v>43615.481939999998</v>
      </c>
      <c r="H87">
        <v>20</v>
      </c>
      <c r="K87">
        <v>1.6942422361832501</v>
      </c>
      <c r="L87">
        <v>3.3000847067357202E-4</v>
      </c>
    </row>
    <row r="88" spans="1:12" x14ac:dyDescent="0.2">
      <c r="A88" t="s">
        <v>5</v>
      </c>
      <c r="B88">
        <v>4</v>
      </c>
      <c r="C88" t="s">
        <v>4</v>
      </c>
      <c r="D88" s="2">
        <v>43615</v>
      </c>
      <c r="E88" s="3">
        <v>43615.483330000003</v>
      </c>
      <c r="F88" s="3">
        <v>43615.486810000002</v>
      </c>
      <c r="G88">
        <v>26</v>
      </c>
      <c r="H88">
        <v>20</v>
      </c>
      <c r="K88">
        <v>1.34194372404926</v>
      </c>
      <c r="L88">
        <v>7.1379266933537596E-4</v>
      </c>
    </row>
    <row r="89" spans="1:12" x14ac:dyDescent="0.2">
      <c r="A89" t="s">
        <v>5</v>
      </c>
      <c r="B89">
        <v>4</v>
      </c>
      <c r="C89" t="s">
        <v>6</v>
      </c>
      <c r="D89" s="2">
        <v>43615</v>
      </c>
      <c r="E89" s="3">
        <v>43615.488189999996</v>
      </c>
      <c r="F89" s="3">
        <v>43615.491670000003</v>
      </c>
      <c r="H89">
        <v>20</v>
      </c>
      <c r="K89">
        <v>1.5521372103878099</v>
      </c>
      <c r="L89">
        <v>4.7942249005806999E-4</v>
      </c>
    </row>
    <row r="90" spans="1:12" x14ac:dyDescent="0.2">
      <c r="A90" t="s">
        <v>5</v>
      </c>
      <c r="B90">
        <v>5</v>
      </c>
      <c r="C90" t="s">
        <v>4</v>
      </c>
      <c r="D90" s="2">
        <v>43615</v>
      </c>
      <c r="E90" s="3">
        <v>43615.493060000001</v>
      </c>
      <c r="F90" s="3">
        <v>43615.496529999997</v>
      </c>
      <c r="G90">
        <v>20.3</v>
      </c>
      <c r="H90">
        <v>20</v>
      </c>
      <c r="K90">
        <v>1.7634588568084599</v>
      </c>
      <c r="L90">
        <v>5.1187908588529001E-4</v>
      </c>
    </row>
    <row r="91" spans="1:12" x14ac:dyDescent="0.2">
      <c r="A91" t="s">
        <v>5</v>
      </c>
      <c r="B91">
        <v>5</v>
      </c>
      <c r="C91" t="s">
        <v>6</v>
      </c>
      <c r="D91" s="2">
        <v>43615</v>
      </c>
      <c r="E91" s="3">
        <v>43615.497920000002</v>
      </c>
      <c r="F91" s="3">
        <v>43615.501389999998</v>
      </c>
      <c r="H91">
        <v>20</v>
      </c>
      <c r="K91">
        <v>1.5548576209985201</v>
      </c>
      <c r="L91">
        <v>2.8594216010717803E-4</v>
      </c>
    </row>
    <row r="92" spans="1:12" x14ac:dyDescent="0.2">
      <c r="A92" t="s">
        <v>5</v>
      </c>
      <c r="B92">
        <v>1</v>
      </c>
      <c r="C92" t="s">
        <v>4</v>
      </c>
      <c r="D92" s="2">
        <v>43615</v>
      </c>
      <c r="E92" s="3">
        <v>43615.520830000001</v>
      </c>
      <c r="F92" s="3">
        <v>43615.524310000001</v>
      </c>
      <c r="G92">
        <v>20.7</v>
      </c>
      <c r="H92">
        <v>20.56</v>
      </c>
      <c r="K92">
        <v>2.0804033202996499</v>
      </c>
      <c r="L92">
        <v>6.7638146905755602E-4</v>
      </c>
    </row>
    <row r="93" spans="1:12" x14ac:dyDescent="0.2">
      <c r="A93" t="s">
        <v>5</v>
      </c>
      <c r="B93">
        <v>1</v>
      </c>
      <c r="C93" t="s">
        <v>6</v>
      </c>
      <c r="D93" s="2">
        <v>43615</v>
      </c>
      <c r="E93" s="3">
        <v>43615.525690000002</v>
      </c>
      <c r="F93" s="3">
        <v>43615.529170000002</v>
      </c>
      <c r="H93">
        <v>20.56</v>
      </c>
      <c r="K93">
        <v>1.8419263306258</v>
      </c>
      <c r="L93">
        <v>4.1522989338019602E-4</v>
      </c>
    </row>
    <row r="94" spans="1:12" x14ac:dyDescent="0.2">
      <c r="A94" t="s">
        <v>5</v>
      </c>
      <c r="B94">
        <v>2</v>
      </c>
      <c r="C94" t="s">
        <v>4</v>
      </c>
      <c r="D94" s="2">
        <v>43615</v>
      </c>
      <c r="E94" s="3">
        <v>43615.530559999999</v>
      </c>
      <c r="F94" s="3">
        <v>43615.534030000003</v>
      </c>
      <c r="G94">
        <v>20.399999999999999</v>
      </c>
      <c r="H94">
        <v>20.56</v>
      </c>
      <c r="K94">
        <v>1.6644459653083299</v>
      </c>
      <c r="L94">
        <v>5.6412518262783295E-4</v>
      </c>
    </row>
    <row r="95" spans="1:12" x14ac:dyDescent="0.2">
      <c r="A95" t="s">
        <v>5</v>
      </c>
      <c r="B95">
        <v>2</v>
      </c>
      <c r="C95" t="s">
        <v>6</v>
      </c>
      <c r="D95" s="2">
        <v>43615</v>
      </c>
      <c r="E95" s="3">
        <v>43615.53542</v>
      </c>
      <c r="F95" s="3">
        <v>43615.538890000003</v>
      </c>
      <c r="H95">
        <v>20.56</v>
      </c>
      <c r="K95">
        <v>0.21141282534307301</v>
      </c>
      <c r="L95">
        <v>-1.2447218604347499E-4</v>
      </c>
    </row>
    <row r="96" spans="1:12" x14ac:dyDescent="0.2">
      <c r="A96" t="s">
        <v>5</v>
      </c>
      <c r="B96">
        <v>3</v>
      </c>
      <c r="C96" t="s">
        <v>4</v>
      </c>
      <c r="D96" s="2">
        <v>43615</v>
      </c>
      <c r="E96" s="3">
        <v>43615.540280000001</v>
      </c>
      <c r="F96" s="3">
        <v>43615.543749999997</v>
      </c>
      <c r="G96">
        <v>15.6</v>
      </c>
      <c r="H96">
        <v>20.56</v>
      </c>
      <c r="K96">
        <v>1.06611061416366</v>
      </c>
      <c r="L96">
        <v>2.9165886207668503E-4</v>
      </c>
    </row>
    <row r="97" spans="1:12" x14ac:dyDescent="0.2">
      <c r="A97" t="s">
        <v>5</v>
      </c>
      <c r="B97">
        <v>3</v>
      </c>
      <c r="C97" t="s">
        <v>6</v>
      </c>
      <c r="D97" s="2">
        <v>43615</v>
      </c>
      <c r="E97" s="3">
        <v>43615.545140000002</v>
      </c>
      <c r="F97" s="3">
        <v>43615.548609999998</v>
      </c>
      <c r="H97">
        <v>20.56</v>
      </c>
      <c r="K97">
        <v>1.42198534526105</v>
      </c>
      <c r="L97" s="6">
        <v>9.9278945273163395E-5</v>
      </c>
    </row>
    <row r="98" spans="1:12" x14ac:dyDescent="0.2">
      <c r="A98" t="s">
        <v>5</v>
      </c>
      <c r="B98">
        <v>4</v>
      </c>
      <c r="C98" t="s">
        <v>4</v>
      </c>
      <c r="D98" s="2">
        <v>43615</v>
      </c>
      <c r="E98" s="3">
        <v>43615.55</v>
      </c>
      <c r="F98" s="3">
        <v>43615.553469999999</v>
      </c>
      <c r="G98">
        <v>22.7</v>
      </c>
      <c r="H98">
        <v>20.56</v>
      </c>
      <c r="K98">
        <v>1.0408945276294299</v>
      </c>
      <c r="L98">
        <v>1.6497787515663999E-4</v>
      </c>
    </row>
    <row r="99" spans="1:12" x14ac:dyDescent="0.2">
      <c r="A99" t="s">
        <v>5</v>
      </c>
      <c r="B99">
        <v>4</v>
      </c>
      <c r="C99" t="s">
        <v>6</v>
      </c>
      <c r="D99" s="2">
        <v>43615</v>
      </c>
      <c r="E99" s="3">
        <v>43615.554859999997</v>
      </c>
      <c r="F99" s="3">
        <v>43615.55833</v>
      </c>
      <c r="H99">
        <v>20.56</v>
      </c>
      <c r="K99">
        <v>1.17526072322395</v>
      </c>
      <c r="L99" s="6">
        <v>1.9496208677425601E-5</v>
      </c>
    </row>
    <row r="100" spans="1:12" x14ac:dyDescent="0.2">
      <c r="A100" t="s">
        <v>5</v>
      </c>
      <c r="B100">
        <v>5</v>
      </c>
      <c r="C100" t="s">
        <v>4</v>
      </c>
      <c r="D100" s="2">
        <v>43615</v>
      </c>
      <c r="E100" s="3">
        <v>43615.559719999997</v>
      </c>
      <c r="F100" s="3">
        <v>43615.563190000001</v>
      </c>
      <c r="G100">
        <v>20.8</v>
      </c>
      <c r="H100">
        <v>20.56</v>
      </c>
      <c r="K100">
        <v>1.2968749181797701</v>
      </c>
      <c r="L100">
        <v>5.5027640961047102E-4</v>
      </c>
    </row>
    <row r="101" spans="1:12" x14ac:dyDescent="0.2">
      <c r="A101" t="s">
        <v>5</v>
      </c>
      <c r="B101">
        <v>5</v>
      </c>
      <c r="C101" t="s">
        <v>6</v>
      </c>
      <c r="D101" s="2">
        <v>43615</v>
      </c>
      <c r="E101" s="3">
        <v>43615.564579999998</v>
      </c>
      <c r="F101" s="3">
        <v>43615.568059999998</v>
      </c>
      <c r="H101">
        <v>20.56</v>
      </c>
      <c r="K101">
        <v>1.4188742572433699</v>
      </c>
      <c r="L101">
        <v>2.8943569543361098E-4</v>
      </c>
    </row>
    <row r="102" spans="1:12" x14ac:dyDescent="0.2">
      <c r="A102" t="s">
        <v>5</v>
      </c>
      <c r="B102">
        <v>1</v>
      </c>
      <c r="C102" t="s">
        <v>4</v>
      </c>
      <c r="D102" s="2">
        <v>43619</v>
      </c>
      <c r="E102" s="3">
        <v>43619.403469999997</v>
      </c>
      <c r="F102" s="3">
        <v>43619.406940000001</v>
      </c>
      <c r="G102">
        <v>15.6</v>
      </c>
      <c r="H102">
        <v>18.329999999999998</v>
      </c>
      <c r="K102">
        <v>1.5642544298529799</v>
      </c>
      <c r="L102" s="6">
        <v>-4.0326768689024101E-7</v>
      </c>
    </row>
    <row r="103" spans="1:12" x14ac:dyDescent="0.2">
      <c r="A103" t="s">
        <v>5</v>
      </c>
      <c r="B103">
        <v>1</v>
      </c>
      <c r="C103" t="s">
        <v>6</v>
      </c>
      <c r="D103" s="2">
        <v>43619</v>
      </c>
      <c r="E103" s="3">
        <v>43619.408329999998</v>
      </c>
      <c r="F103" s="3">
        <v>43619.411809999998</v>
      </c>
      <c r="H103">
        <v>18.329999999999998</v>
      </c>
      <c r="K103">
        <v>1.5706694645969801</v>
      </c>
      <c r="L103" s="6">
        <v>-3.8933427251222898E-7</v>
      </c>
    </row>
    <row r="104" spans="1:12" x14ac:dyDescent="0.2">
      <c r="A104" t="s">
        <v>5</v>
      </c>
      <c r="B104">
        <v>2</v>
      </c>
      <c r="C104" t="s">
        <v>4</v>
      </c>
      <c r="D104" s="2">
        <v>43619</v>
      </c>
      <c r="E104" s="3">
        <v>43619.413189999999</v>
      </c>
      <c r="F104" s="3">
        <v>43619.416669999999</v>
      </c>
      <c r="G104">
        <v>11.7</v>
      </c>
      <c r="H104">
        <v>18.329999999999998</v>
      </c>
      <c r="K104">
        <v>0.64953702069447405</v>
      </c>
      <c r="L104" s="6">
        <v>-2.0607795572794101E-7</v>
      </c>
    </row>
    <row r="105" spans="1:12" x14ac:dyDescent="0.2">
      <c r="A105" t="s">
        <v>5</v>
      </c>
      <c r="B105">
        <v>2</v>
      </c>
      <c r="C105" t="s">
        <v>6</v>
      </c>
      <c r="D105" s="2">
        <v>43619</v>
      </c>
      <c r="E105" s="3">
        <v>43619.418060000004</v>
      </c>
      <c r="F105" s="3">
        <v>43619.42153</v>
      </c>
      <c r="H105">
        <v>18.329999999999998</v>
      </c>
      <c r="K105">
        <v>1.5510372133957699</v>
      </c>
      <c r="L105" s="6">
        <v>-3.8662651499078902E-7</v>
      </c>
    </row>
    <row r="106" spans="1:12" x14ac:dyDescent="0.2">
      <c r="A106" t="s">
        <v>5</v>
      </c>
      <c r="B106">
        <v>3</v>
      </c>
      <c r="C106" t="s">
        <v>4</v>
      </c>
      <c r="D106" s="2">
        <v>43619</v>
      </c>
      <c r="E106" s="3">
        <v>43619.422919999997</v>
      </c>
      <c r="F106" s="3">
        <v>43619.426390000001</v>
      </c>
      <c r="G106">
        <v>9.5</v>
      </c>
      <c r="H106">
        <v>18.329999999999998</v>
      </c>
      <c r="K106">
        <v>1.46935880723686</v>
      </c>
      <c r="L106" s="6">
        <v>-3.8408542993696702E-7</v>
      </c>
    </row>
    <row r="107" spans="1:12" x14ac:dyDescent="0.2">
      <c r="A107" t="s">
        <v>5</v>
      </c>
      <c r="B107">
        <v>3</v>
      </c>
      <c r="C107" t="s">
        <v>6</v>
      </c>
      <c r="D107" s="2">
        <v>43619</v>
      </c>
      <c r="E107" s="3">
        <v>43619.427779999998</v>
      </c>
      <c r="F107" s="3">
        <v>43619.431250000001</v>
      </c>
      <c r="H107">
        <v>18.329999999999998</v>
      </c>
      <c r="K107">
        <v>1.62114341996427</v>
      </c>
      <c r="L107" s="6">
        <v>-3.8091571452799001E-7</v>
      </c>
    </row>
    <row r="108" spans="1:12" x14ac:dyDescent="0.2">
      <c r="A108" t="s">
        <v>5</v>
      </c>
      <c r="B108">
        <v>4</v>
      </c>
      <c r="C108" t="s">
        <v>4</v>
      </c>
      <c r="D108" s="2">
        <v>43619</v>
      </c>
      <c r="E108" s="3">
        <v>43619.432639999999</v>
      </c>
      <c r="F108" s="3">
        <v>43619.436110000002</v>
      </c>
      <c r="G108">
        <v>13.9</v>
      </c>
      <c r="H108">
        <v>21.67</v>
      </c>
      <c r="K108">
        <v>1.5630819049584901</v>
      </c>
      <c r="L108" s="6">
        <v>-3.7671299438540798E-7</v>
      </c>
    </row>
    <row r="109" spans="1:12" x14ac:dyDescent="0.2">
      <c r="A109" t="s">
        <v>5</v>
      </c>
      <c r="B109">
        <v>4</v>
      </c>
      <c r="C109" t="s">
        <v>6</v>
      </c>
      <c r="D109" s="2">
        <v>43619</v>
      </c>
      <c r="E109" s="3">
        <v>43619.4375</v>
      </c>
      <c r="F109" s="3">
        <v>43619.440970000003</v>
      </c>
      <c r="H109">
        <v>21.67</v>
      </c>
      <c r="K109">
        <v>1.3505467936762401</v>
      </c>
      <c r="L109" s="6">
        <v>-3.0212104811314301E-7</v>
      </c>
    </row>
    <row r="110" spans="1:12" x14ac:dyDescent="0.2">
      <c r="A110" t="s">
        <v>5</v>
      </c>
      <c r="B110">
        <v>5</v>
      </c>
      <c r="C110" t="s">
        <v>4</v>
      </c>
      <c r="D110" s="2">
        <v>43619</v>
      </c>
      <c r="E110" s="3">
        <v>43619.442360000001</v>
      </c>
      <c r="F110" s="3">
        <v>43619.445829999997</v>
      </c>
      <c r="G110">
        <v>15.8</v>
      </c>
      <c r="H110">
        <v>21.67</v>
      </c>
      <c r="K110">
        <v>-0.200829057514194</v>
      </c>
      <c r="L110" s="6">
        <v>4.9383944351460403E-8</v>
      </c>
    </row>
    <row r="111" spans="1:12" x14ac:dyDescent="0.2">
      <c r="A111" t="s">
        <v>5</v>
      </c>
      <c r="B111">
        <v>5</v>
      </c>
      <c r="C111" t="s">
        <v>6</v>
      </c>
      <c r="D111" s="2">
        <v>43619</v>
      </c>
      <c r="E111" s="3">
        <v>43619.447220000002</v>
      </c>
      <c r="F111" s="3">
        <v>43619.450689999998</v>
      </c>
      <c r="H111">
        <v>21.67</v>
      </c>
      <c r="K111">
        <v>1.48648838003135</v>
      </c>
      <c r="L111" s="6">
        <v>-3.3788621444876202E-7</v>
      </c>
    </row>
    <row r="112" spans="1:12" x14ac:dyDescent="0.2">
      <c r="A112" t="s">
        <v>5</v>
      </c>
      <c r="B112">
        <v>1</v>
      </c>
      <c r="C112" t="s">
        <v>4</v>
      </c>
      <c r="D112" s="2">
        <v>43619</v>
      </c>
      <c r="E112" s="3">
        <v>43619.50417</v>
      </c>
      <c r="F112" s="3">
        <v>43619.507640000003</v>
      </c>
      <c r="G112">
        <v>8.1</v>
      </c>
      <c r="H112">
        <v>23.89</v>
      </c>
      <c r="K112">
        <v>2.7578583246626498</v>
      </c>
      <c r="L112" s="6">
        <v>-6.4840219128327303E-7</v>
      </c>
    </row>
    <row r="113" spans="1:12" x14ac:dyDescent="0.2">
      <c r="A113" t="s">
        <v>5</v>
      </c>
      <c r="B113">
        <v>1</v>
      </c>
      <c r="C113" t="s">
        <v>6</v>
      </c>
      <c r="D113" s="2">
        <v>43619</v>
      </c>
      <c r="E113" s="3">
        <v>43619.509030000001</v>
      </c>
      <c r="F113" s="3">
        <v>43619.512499999997</v>
      </c>
      <c r="H113">
        <v>23.89</v>
      </c>
      <c r="K113">
        <v>1.95819047180419</v>
      </c>
      <c r="L113" s="6">
        <v>-3.6499136264077799E-7</v>
      </c>
    </row>
    <row r="114" spans="1:12" x14ac:dyDescent="0.2">
      <c r="A114" t="s">
        <v>5</v>
      </c>
      <c r="B114">
        <v>2</v>
      </c>
      <c r="C114" t="s">
        <v>4</v>
      </c>
      <c r="D114" s="2">
        <v>43619</v>
      </c>
      <c r="E114" s="3">
        <v>43619.513890000002</v>
      </c>
      <c r="F114" s="3">
        <v>43619.517359999998</v>
      </c>
      <c r="G114">
        <v>11.3</v>
      </c>
      <c r="H114">
        <v>23.89</v>
      </c>
      <c r="K114">
        <v>0.75510845517843195</v>
      </c>
      <c r="L114" s="6">
        <v>-1.7361616845597299E-7</v>
      </c>
    </row>
    <row r="115" spans="1:12" x14ac:dyDescent="0.2">
      <c r="A115" t="s">
        <v>5</v>
      </c>
      <c r="B115">
        <v>2</v>
      </c>
      <c r="C115" t="s">
        <v>6</v>
      </c>
      <c r="D115" s="2">
        <v>43619</v>
      </c>
      <c r="E115" s="3">
        <v>43619.518750000003</v>
      </c>
      <c r="F115" s="3">
        <v>43619.522219999999</v>
      </c>
      <c r="H115">
        <v>23.89</v>
      </c>
      <c r="K115">
        <v>1.29450489248411</v>
      </c>
      <c r="L115" s="6">
        <v>-2.9900805639235103E-7</v>
      </c>
    </row>
    <row r="116" spans="1:12" x14ac:dyDescent="0.2">
      <c r="A116" t="s">
        <v>5</v>
      </c>
      <c r="B116">
        <v>3</v>
      </c>
      <c r="C116" t="s">
        <v>4</v>
      </c>
      <c r="D116" s="2">
        <v>43619</v>
      </c>
      <c r="E116" s="3">
        <v>43619.523609999997</v>
      </c>
      <c r="F116" s="3">
        <v>43619.52708</v>
      </c>
      <c r="G116">
        <v>8.1</v>
      </c>
      <c r="H116">
        <v>23.89</v>
      </c>
      <c r="K116">
        <v>1.49755540710627</v>
      </c>
      <c r="L116" s="6">
        <v>-3.1991378025691702E-7</v>
      </c>
    </row>
    <row r="117" spans="1:12" x14ac:dyDescent="0.2">
      <c r="A117" t="s">
        <v>5</v>
      </c>
      <c r="B117">
        <v>3</v>
      </c>
      <c r="C117" t="s">
        <v>6</v>
      </c>
      <c r="D117" s="2">
        <v>43619</v>
      </c>
      <c r="E117" s="3">
        <v>43619.528469999997</v>
      </c>
      <c r="F117" s="3">
        <v>43619.531940000001</v>
      </c>
      <c r="H117">
        <v>23.89</v>
      </c>
      <c r="K117">
        <v>1.3941380191738699</v>
      </c>
      <c r="L117" s="6">
        <v>-2.3888592288669597E-7</v>
      </c>
    </row>
    <row r="118" spans="1:12" x14ac:dyDescent="0.2">
      <c r="A118" t="s">
        <v>5</v>
      </c>
      <c r="B118">
        <v>4</v>
      </c>
      <c r="C118" t="s">
        <v>4</v>
      </c>
      <c r="D118" s="2">
        <v>43619</v>
      </c>
      <c r="E118" s="3">
        <v>43619.533329999998</v>
      </c>
      <c r="F118" s="3">
        <v>43619.536809999998</v>
      </c>
      <c r="G118">
        <v>12.4</v>
      </c>
      <c r="H118">
        <v>23.89</v>
      </c>
      <c r="K118">
        <v>3.0281359853180598</v>
      </c>
      <c r="L118" s="6">
        <v>-6.3185191287007996E-7</v>
      </c>
    </row>
    <row r="119" spans="1:12" x14ac:dyDescent="0.2">
      <c r="A119" t="s">
        <v>5</v>
      </c>
      <c r="B119">
        <v>4</v>
      </c>
      <c r="C119" t="s">
        <v>6</v>
      </c>
      <c r="D119" s="2">
        <v>43619</v>
      </c>
      <c r="E119" s="3">
        <v>43619.538189999999</v>
      </c>
      <c r="F119" s="3">
        <v>43619.541669999999</v>
      </c>
      <c r="H119">
        <v>23.89</v>
      </c>
      <c r="K119">
        <v>3.1024756762219301</v>
      </c>
      <c r="L119" s="6">
        <v>-5.84957816466122E-7</v>
      </c>
    </row>
    <row r="120" spans="1:12" x14ac:dyDescent="0.2">
      <c r="A120" t="s">
        <v>5</v>
      </c>
      <c r="B120">
        <v>5</v>
      </c>
      <c r="C120" t="s">
        <v>4</v>
      </c>
      <c r="D120" s="2">
        <v>43619</v>
      </c>
      <c r="E120" s="3">
        <v>43619.543060000004</v>
      </c>
      <c r="F120" s="3">
        <v>43619.54653</v>
      </c>
      <c r="G120">
        <v>10.9</v>
      </c>
      <c r="H120">
        <v>23.89</v>
      </c>
      <c r="K120">
        <v>2.55690406172653</v>
      </c>
      <c r="L120" s="6">
        <v>-5.1354503394131197E-7</v>
      </c>
    </row>
    <row r="121" spans="1:12" x14ac:dyDescent="0.2">
      <c r="A121" t="s">
        <v>5</v>
      </c>
      <c r="B121">
        <v>5</v>
      </c>
      <c r="C121" t="s">
        <v>6</v>
      </c>
      <c r="D121" s="2">
        <v>43619</v>
      </c>
      <c r="E121" s="3">
        <v>43619.547919999997</v>
      </c>
      <c r="F121" s="3">
        <v>43619.551390000001</v>
      </c>
      <c r="H121">
        <v>23.89</v>
      </c>
      <c r="K121">
        <v>2.3827467662872901</v>
      </c>
      <c r="L121" s="6">
        <v>-4.5447947394993E-7</v>
      </c>
    </row>
    <row r="122" spans="1:12" x14ac:dyDescent="0.2">
      <c r="A122" t="s">
        <v>5</v>
      </c>
      <c r="B122">
        <v>1</v>
      </c>
      <c r="C122" t="s">
        <v>4</v>
      </c>
      <c r="D122" s="2">
        <v>43628</v>
      </c>
      <c r="E122" s="3">
        <v>43628.431250000001</v>
      </c>
      <c r="F122" s="3">
        <v>43628.434719999997</v>
      </c>
      <c r="G122">
        <v>17.5</v>
      </c>
      <c r="H122">
        <v>20.56</v>
      </c>
      <c r="K122">
        <v>2.6500147717507101</v>
      </c>
      <c r="L122" s="6">
        <v>5.9420590588279199E-5</v>
      </c>
    </row>
    <row r="123" spans="1:12" x14ac:dyDescent="0.2">
      <c r="A123" t="s">
        <v>5</v>
      </c>
      <c r="B123">
        <v>1</v>
      </c>
      <c r="C123" t="s">
        <v>6</v>
      </c>
      <c r="D123" s="2">
        <v>43628</v>
      </c>
      <c r="E123" s="3">
        <v>43628.436110000002</v>
      </c>
      <c r="F123" s="3">
        <v>43628.439579999998</v>
      </c>
      <c r="H123">
        <v>20.56</v>
      </c>
      <c r="K123">
        <v>2.6757370913115901</v>
      </c>
      <c r="L123">
        <v>-1.20051212430965E-4</v>
      </c>
    </row>
    <row r="124" spans="1:12" x14ac:dyDescent="0.2">
      <c r="A124" t="s">
        <v>5</v>
      </c>
      <c r="B124">
        <v>2</v>
      </c>
      <c r="C124" t="s">
        <v>4</v>
      </c>
      <c r="D124" s="2">
        <v>43628</v>
      </c>
      <c r="E124" s="3">
        <v>43628.440970000003</v>
      </c>
      <c r="F124" s="3">
        <v>43628.444439999999</v>
      </c>
      <c r="G124">
        <v>15.6</v>
      </c>
      <c r="H124">
        <v>20.56</v>
      </c>
      <c r="K124">
        <v>-1.21915095724513</v>
      </c>
      <c r="L124" s="6">
        <v>1.07361665842544E-5</v>
      </c>
    </row>
    <row r="125" spans="1:12" x14ac:dyDescent="0.2">
      <c r="A125" t="s">
        <v>5</v>
      </c>
      <c r="B125">
        <v>2</v>
      </c>
      <c r="C125" t="s">
        <v>6</v>
      </c>
      <c r="D125" s="2">
        <v>43628</v>
      </c>
      <c r="E125" s="3">
        <v>43628.445829999997</v>
      </c>
      <c r="F125" s="3">
        <v>43628.449310000004</v>
      </c>
      <c r="H125">
        <v>20.56</v>
      </c>
      <c r="K125">
        <v>2.9512285652323298</v>
      </c>
      <c r="L125" s="6">
        <v>6.6734671230753205E-5</v>
      </c>
    </row>
    <row r="126" spans="1:12" x14ac:dyDescent="0.2">
      <c r="A126" t="s">
        <v>5</v>
      </c>
      <c r="B126">
        <v>3</v>
      </c>
      <c r="C126" t="s">
        <v>4</v>
      </c>
      <c r="D126" s="2">
        <v>43628</v>
      </c>
      <c r="E126" s="3">
        <v>43628.450689999998</v>
      </c>
      <c r="F126" s="3">
        <v>43628.454169999997</v>
      </c>
      <c r="G126">
        <v>15.9</v>
      </c>
      <c r="H126">
        <v>20.56</v>
      </c>
      <c r="K126">
        <v>2.5328920818305201</v>
      </c>
      <c r="L126">
        <v>2.3536841909975199E-4</v>
      </c>
    </row>
    <row r="127" spans="1:12" x14ac:dyDescent="0.2">
      <c r="A127" t="s">
        <v>5</v>
      </c>
      <c r="B127">
        <v>3</v>
      </c>
      <c r="C127" t="s">
        <v>6</v>
      </c>
      <c r="D127" s="2">
        <v>43628</v>
      </c>
      <c r="E127" s="3">
        <v>43628.455560000002</v>
      </c>
      <c r="F127" s="3">
        <v>43628.459029999998</v>
      </c>
      <c r="H127">
        <v>20.56</v>
      </c>
      <c r="K127">
        <v>2.6857262979572898</v>
      </c>
      <c r="L127">
        <v>1.5656499231745701E-4</v>
      </c>
    </row>
    <row r="128" spans="1:12" x14ac:dyDescent="0.2">
      <c r="A128" t="s">
        <v>5</v>
      </c>
      <c r="B128">
        <v>4</v>
      </c>
      <c r="C128" t="s">
        <v>4</v>
      </c>
      <c r="D128" s="2">
        <v>43628</v>
      </c>
      <c r="E128" s="3">
        <v>43628.460420000003</v>
      </c>
      <c r="F128" s="3">
        <v>43628.463889999999</v>
      </c>
      <c r="G128">
        <v>15.8</v>
      </c>
      <c r="H128">
        <v>20.56</v>
      </c>
      <c r="K128">
        <v>2.6951723746226199</v>
      </c>
      <c r="L128">
        <v>2.6041311713171001E-4</v>
      </c>
    </row>
    <row r="129" spans="1:12" x14ac:dyDescent="0.2">
      <c r="A129" t="s">
        <v>5</v>
      </c>
      <c r="B129">
        <v>4</v>
      </c>
      <c r="C129" t="s">
        <v>6</v>
      </c>
      <c r="D129" s="2">
        <v>43628</v>
      </c>
      <c r="E129" s="3">
        <v>43628.465279999997</v>
      </c>
      <c r="F129" s="3">
        <v>43628.46875</v>
      </c>
      <c r="H129">
        <v>20.56</v>
      </c>
      <c r="K129">
        <v>3.3968324230095002</v>
      </c>
      <c r="L129" s="6">
        <v>2.5636873377042501E-5</v>
      </c>
    </row>
    <row r="130" spans="1:12" x14ac:dyDescent="0.2">
      <c r="A130" t="s">
        <v>5</v>
      </c>
      <c r="B130">
        <v>5</v>
      </c>
      <c r="C130" t="s">
        <v>4</v>
      </c>
      <c r="D130" s="2">
        <v>43628</v>
      </c>
      <c r="E130" s="3">
        <v>43628.470139999998</v>
      </c>
      <c r="F130" s="3">
        <v>43628.473610000001</v>
      </c>
      <c r="G130">
        <v>14.8</v>
      </c>
      <c r="H130">
        <v>20.56</v>
      </c>
      <c r="K130">
        <v>2.5707924294207198</v>
      </c>
      <c r="L130" s="6">
        <v>5.1308662851752298E-5</v>
      </c>
    </row>
    <row r="131" spans="1:12" x14ac:dyDescent="0.2">
      <c r="A131" t="s">
        <v>5</v>
      </c>
      <c r="B131">
        <v>5</v>
      </c>
      <c r="C131" t="s">
        <v>6</v>
      </c>
      <c r="D131" s="2">
        <v>43628</v>
      </c>
      <c r="E131" s="3">
        <v>43628.474999999999</v>
      </c>
      <c r="F131" s="3">
        <v>43628.478470000002</v>
      </c>
      <c r="H131">
        <v>20.56</v>
      </c>
      <c r="K131">
        <v>2.4330886446309501</v>
      </c>
      <c r="L131">
        <v>-1.4424197107566601E-4</v>
      </c>
    </row>
    <row r="132" spans="1:12" x14ac:dyDescent="0.2">
      <c r="A132" t="s">
        <v>5</v>
      </c>
      <c r="B132">
        <v>1</v>
      </c>
      <c r="C132" t="s">
        <v>4</v>
      </c>
      <c r="D132" s="2">
        <v>43628</v>
      </c>
      <c r="E132" s="3">
        <v>43628.514580000003</v>
      </c>
      <c r="F132" s="3">
        <v>43628.518060000002</v>
      </c>
      <c r="G132">
        <v>14.4</v>
      </c>
      <c r="H132">
        <v>23.33</v>
      </c>
      <c r="K132">
        <v>3.1371016852491298</v>
      </c>
      <c r="L132" s="6">
        <v>-3.3928608777458997E-5</v>
      </c>
    </row>
    <row r="133" spans="1:12" x14ac:dyDescent="0.2">
      <c r="A133" t="s">
        <v>5</v>
      </c>
      <c r="B133">
        <v>1</v>
      </c>
      <c r="C133" t="s">
        <v>6</v>
      </c>
      <c r="D133" s="2">
        <v>43628</v>
      </c>
      <c r="E133" s="3">
        <v>43628.519439999996</v>
      </c>
      <c r="F133" s="3">
        <v>43628.522920000003</v>
      </c>
      <c r="H133">
        <v>23.33</v>
      </c>
      <c r="K133">
        <v>2.8350451823087899</v>
      </c>
      <c r="L133" s="6">
        <v>-5.2835552838582799E-5</v>
      </c>
    </row>
    <row r="134" spans="1:12" x14ac:dyDescent="0.2">
      <c r="A134" t="s">
        <v>5</v>
      </c>
      <c r="B134">
        <v>2</v>
      </c>
      <c r="C134" t="s">
        <v>4</v>
      </c>
      <c r="D134" s="2">
        <v>43628</v>
      </c>
      <c r="E134" s="3">
        <v>43628.524310000001</v>
      </c>
      <c r="F134" s="3">
        <v>43628.527779999997</v>
      </c>
      <c r="G134">
        <v>14.6</v>
      </c>
      <c r="H134">
        <v>23.33</v>
      </c>
      <c r="K134">
        <v>-0.931481752609156</v>
      </c>
      <c r="L134" s="6">
        <v>-7.4512583247780606E-5</v>
      </c>
    </row>
    <row r="135" spans="1:12" x14ac:dyDescent="0.2">
      <c r="A135" t="s">
        <v>5</v>
      </c>
      <c r="B135">
        <v>2</v>
      </c>
      <c r="C135" t="s">
        <v>6</v>
      </c>
      <c r="D135" s="2">
        <v>43628</v>
      </c>
      <c r="E135" s="3">
        <v>43628.529170000002</v>
      </c>
      <c r="F135" s="3">
        <v>43628.532639999998</v>
      </c>
      <c r="H135">
        <v>23.33</v>
      </c>
      <c r="K135">
        <v>3.7817155345314899</v>
      </c>
      <c r="L135" s="6">
        <v>4.93910720007457E-5</v>
      </c>
    </row>
    <row r="136" spans="1:12" x14ac:dyDescent="0.2">
      <c r="A136" t="s">
        <v>5</v>
      </c>
      <c r="B136">
        <v>3</v>
      </c>
      <c r="C136" t="s">
        <v>4</v>
      </c>
      <c r="D136" s="2">
        <v>43628</v>
      </c>
      <c r="E136" s="3">
        <v>43628.534030000003</v>
      </c>
      <c r="F136" s="3">
        <v>43628.537499999999</v>
      </c>
      <c r="G136">
        <v>14.7</v>
      </c>
      <c r="H136">
        <v>23.33</v>
      </c>
      <c r="K136">
        <v>3.0337382688639098</v>
      </c>
      <c r="L136" s="6">
        <v>6.3392316855608705E-5</v>
      </c>
    </row>
    <row r="137" spans="1:12" x14ac:dyDescent="0.2">
      <c r="A137" t="s">
        <v>5</v>
      </c>
      <c r="B137">
        <v>3</v>
      </c>
      <c r="C137" t="s">
        <v>6</v>
      </c>
      <c r="D137" s="2">
        <v>43628</v>
      </c>
      <c r="E137" s="3">
        <v>43628.538890000003</v>
      </c>
      <c r="F137" s="3">
        <v>43628.542359999999</v>
      </c>
      <c r="H137">
        <v>23.33</v>
      </c>
      <c r="K137">
        <v>3.0513663723580602</v>
      </c>
      <c r="L137">
        <v>-4.0373803606397798E-4</v>
      </c>
    </row>
    <row r="138" spans="1:12" x14ac:dyDescent="0.2">
      <c r="A138" t="s">
        <v>5</v>
      </c>
      <c r="B138">
        <v>4</v>
      </c>
      <c r="C138" t="s">
        <v>4</v>
      </c>
      <c r="D138" s="2">
        <v>43628</v>
      </c>
      <c r="E138" s="3">
        <v>43628.543749999997</v>
      </c>
      <c r="F138" s="3">
        <v>43628.54722</v>
      </c>
      <c r="G138">
        <v>15.6</v>
      </c>
      <c r="H138">
        <v>23.33</v>
      </c>
      <c r="K138">
        <v>2.9396794740970802</v>
      </c>
      <c r="L138">
        <v>4.8224806989092102E-4</v>
      </c>
    </row>
    <row r="139" spans="1:12" x14ac:dyDescent="0.2">
      <c r="A139" t="s">
        <v>5</v>
      </c>
      <c r="B139">
        <v>4</v>
      </c>
      <c r="C139" t="s">
        <v>6</v>
      </c>
      <c r="D139" s="2">
        <v>43628</v>
      </c>
      <c r="E139" s="3">
        <v>43628.548609999998</v>
      </c>
      <c r="F139" s="3">
        <v>43628.552080000001</v>
      </c>
      <c r="H139">
        <v>23.33</v>
      </c>
      <c r="K139">
        <v>3.1497670429993501</v>
      </c>
      <c r="L139">
        <v>2.4149000043927101E-4</v>
      </c>
    </row>
    <row r="140" spans="1:12" x14ac:dyDescent="0.2">
      <c r="A140" t="s">
        <v>5</v>
      </c>
      <c r="B140">
        <v>5</v>
      </c>
      <c r="C140" t="s">
        <v>4</v>
      </c>
      <c r="D140" s="2">
        <v>43628</v>
      </c>
      <c r="E140" s="3">
        <v>43628.553469999999</v>
      </c>
      <c r="F140" s="3">
        <v>43628.556940000002</v>
      </c>
      <c r="G140">
        <v>17.899999999999999</v>
      </c>
      <c r="H140">
        <v>23.33</v>
      </c>
      <c r="K140">
        <v>3.0718411163730899</v>
      </c>
      <c r="L140">
        <v>3.1732052125227101E-4</v>
      </c>
    </row>
    <row r="141" spans="1:12" x14ac:dyDescent="0.2">
      <c r="A141" t="s">
        <v>5</v>
      </c>
      <c r="B141">
        <v>5</v>
      </c>
      <c r="C141" t="s">
        <v>6</v>
      </c>
      <c r="D141" s="2">
        <v>43628</v>
      </c>
      <c r="E141" s="3">
        <v>43628.55833</v>
      </c>
      <c r="F141" s="3">
        <v>43628.561809999999</v>
      </c>
      <c r="H141">
        <v>23.33</v>
      </c>
      <c r="K141">
        <v>2.9135837995326699</v>
      </c>
      <c r="L141">
        <v>3.02269780729328E-4</v>
      </c>
    </row>
    <row r="142" spans="1:12" x14ac:dyDescent="0.2">
      <c r="A142" t="s">
        <v>5</v>
      </c>
      <c r="B142">
        <v>1</v>
      </c>
      <c r="C142" t="s">
        <v>4</v>
      </c>
      <c r="D142" s="2">
        <v>43640</v>
      </c>
      <c r="E142" s="3">
        <v>43640.415280000001</v>
      </c>
      <c r="F142" s="3">
        <v>43640.418749999997</v>
      </c>
      <c r="G142">
        <v>14.9</v>
      </c>
      <c r="H142">
        <v>21.67</v>
      </c>
      <c r="K142">
        <v>1.7329797544193699</v>
      </c>
      <c r="L142">
        <v>1.20882546971765E-2</v>
      </c>
    </row>
    <row r="143" spans="1:12" x14ac:dyDescent="0.2">
      <c r="A143" t="s">
        <v>5</v>
      </c>
      <c r="B143">
        <v>1</v>
      </c>
      <c r="C143" t="s">
        <v>6</v>
      </c>
      <c r="D143" s="2">
        <v>43640</v>
      </c>
      <c r="E143" s="3">
        <v>43640.420140000002</v>
      </c>
      <c r="F143" s="3">
        <v>43640.423609999998</v>
      </c>
      <c r="H143">
        <v>21.67</v>
      </c>
      <c r="K143">
        <v>1.66992595428059</v>
      </c>
      <c r="L143">
        <v>1.01009735672131E-2</v>
      </c>
    </row>
    <row r="144" spans="1:12" x14ac:dyDescent="0.2">
      <c r="A144" t="s">
        <v>5</v>
      </c>
      <c r="B144">
        <v>2</v>
      </c>
      <c r="C144" t="s">
        <v>4</v>
      </c>
      <c r="D144" s="2">
        <v>43640</v>
      </c>
      <c r="E144" s="3">
        <v>43640.425000000003</v>
      </c>
      <c r="F144" s="3">
        <v>43640.428469999999</v>
      </c>
      <c r="G144">
        <v>13.2</v>
      </c>
      <c r="H144">
        <v>21.67</v>
      </c>
      <c r="K144">
        <v>-7.7099690143758197</v>
      </c>
      <c r="L144">
        <v>2.49865913950446E-2</v>
      </c>
    </row>
    <row r="145" spans="1:12" x14ac:dyDescent="0.2">
      <c r="A145" t="s">
        <v>5</v>
      </c>
      <c r="B145">
        <v>2</v>
      </c>
      <c r="C145" t="s">
        <v>6</v>
      </c>
      <c r="D145" s="2">
        <v>43640</v>
      </c>
      <c r="E145" s="3">
        <v>43640.429859999997</v>
      </c>
      <c r="F145" s="3">
        <v>43640.43333</v>
      </c>
      <c r="H145">
        <v>21.67</v>
      </c>
      <c r="K145">
        <v>3.9770616108335699</v>
      </c>
      <c r="L145">
        <v>1.28979518726945E-3</v>
      </c>
    </row>
    <row r="146" spans="1:12" x14ac:dyDescent="0.2">
      <c r="A146" t="s">
        <v>5</v>
      </c>
      <c r="B146">
        <v>3</v>
      </c>
      <c r="C146" t="s">
        <v>4</v>
      </c>
      <c r="D146" s="2">
        <v>43640</v>
      </c>
      <c r="E146" s="3">
        <v>43640.434719999997</v>
      </c>
      <c r="F146" s="3">
        <v>43640.438190000001</v>
      </c>
      <c r="G146">
        <v>10</v>
      </c>
      <c r="H146">
        <v>21.67</v>
      </c>
      <c r="K146">
        <v>1.7912197556929199</v>
      </c>
      <c r="L146">
        <v>1.6727051840775001E-2</v>
      </c>
    </row>
    <row r="147" spans="1:12" x14ac:dyDescent="0.2">
      <c r="A147" t="s">
        <v>5</v>
      </c>
      <c r="B147">
        <v>3</v>
      </c>
      <c r="C147" t="s">
        <v>6</v>
      </c>
      <c r="D147" s="2">
        <v>43640</v>
      </c>
      <c r="E147" s="3">
        <v>43640.439579999998</v>
      </c>
      <c r="F147" s="3">
        <v>43640.443059999998</v>
      </c>
      <c r="H147">
        <v>21.67</v>
      </c>
      <c r="K147">
        <v>1.67747054824004</v>
      </c>
      <c r="L147">
        <v>1.13618881767041E-2</v>
      </c>
    </row>
    <row r="148" spans="1:12" x14ac:dyDescent="0.2">
      <c r="A148" t="s">
        <v>5</v>
      </c>
      <c r="B148">
        <v>4</v>
      </c>
      <c r="C148" t="s">
        <v>4</v>
      </c>
      <c r="D148" s="2">
        <v>43640</v>
      </c>
      <c r="E148" s="3">
        <v>43640.444439999999</v>
      </c>
      <c r="F148" s="3">
        <v>43640.447919999999</v>
      </c>
      <c r="G148">
        <v>15.2</v>
      </c>
      <c r="H148">
        <v>21.67</v>
      </c>
      <c r="K148">
        <v>0.30958007834530699</v>
      </c>
      <c r="L148">
        <v>2.00840343826529E-2</v>
      </c>
    </row>
    <row r="149" spans="1:12" x14ac:dyDescent="0.2">
      <c r="A149" t="s">
        <v>5</v>
      </c>
      <c r="B149">
        <v>4</v>
      </c>
      <c r="C149" t="s">
        <v>6</v>
      </c>
      <c r="D149" s="2">
        <v>43640</v>
      </c>
      <c r="E149" s="3">
        <v>43640.449310000004</v>
      </c>
      <c r="F149" s="3">
        <v>43640.45278</v>
      </c>
      <c r="H149">
        <v>21.67</v>
      </c>
      <c r="K149">
        <v>2.3928205110565601</v>
      </c>
      <c r="L149">
        <v>1.44804592372124E-2</v>
      </c>
    </row>
    <row r="150" spans="1:12" x14ac:dyDescent="0.2">
      <c r="A150" t="s">
        <v>5</v>
      </c>
      <c r="B150">
        <v>5</v>
      </c>
      <c r="C150" t="s">
        <v>4</v>
      </c>
      <c r="D150" s="2">
        <v>43640</v>
      </c>
      <c r="E150" s="3">
        <v>43640.454169999997</v>
      </c>
      <c r="F150" s="3">
        <v>43640.457640000001</v>
      </c>
      <c r="G150">
        <v>14.4</v>
      </c>
      <c r="H150">
        <v>21.67</v>
      </c>
      <c r="K150">
        <v>1.91247639442786</v>
      </c>
      <c r="L150">
        <v>2.0805261625220901E-2</v>
      </c>
    </row>
    <row r="151" spans="1:12" x14ac:dyDescent="0.2">
      <c r="A151" t="s">
        <v>5</v>
      </c>
      <c r="B151">
        <v>5</v>
      </c>
      <c r="C151" t="s">
        <v>6</v>
      </c>
      <c r="D151" s="2">
        <v>43640</v>
      </c>
      <c r="E151" s="3">
        <v>43640.459029999998</v>
      </c>
      <c r="F151" s="3">
        <v>43640.462500000001</v>
      </c>
      <c r="H151">
        <v>21.67</v>
      </c>
      <c r="K151">
        <v>2.0138267991861598</v>
      </c>
      <c r="L151">
        <v>1.16879763521801E-2</v>
      </c>
    </row>
    <row r="152" spans="1:12" x14ac:dyDescent="0.2">
      <c r="A152" t="s">
        <v>5</v>
      </c>
      <c r="B152">
        <v>1</v>
      </c>
      <c r="C152" t="s">
        <v>4</v>
      </c>
      <c r="D152" s="2">
        <v>43640</v>
      </c>
      <c r="E152" s="3">
        <v>43640.548609999998</v>
      </c>
      <c r="F152" s="3">
        <v>43640.552080000001</v>
      </c>
      <c r="G152">
        <v>14.9</v>
      </c>
      <c r="H152">
        <v>27.78</v>
      </c>
      <c r="K152">
        <v>3.1767891381263</v>
      </c>
      <c r="L152">
        <v>7.0227240000000002E-3</v>
      </c>
    </row>
    <row r="153" spans="1:12" x14ac:dyDescent="0.2">
      <c r="A153" t="s">
        <v>5</v>
      </c>
      <c r="B153">
        <v>1</v>
      </c>
      <c r="C153" t="s">
        <v>6</v>
      </c>
      <c r="D153" s="2">
        <v>43640</v>
      </c>
      <c r="E153" s="3">
        <v>43640.553469999999</v>
      </c>
      <c r="F153" s="3">
        <v>43640.556940000002</v>
      </c>
      <c r="H153">
        <v>27.78</v>
      </c>
      <c r="K153">
        <v>2.89410183263367</v>
      </c>
      <c r="L153" s="6">
        <v>-1.7099999999999999E-5</v>
      </c>
    </row>
    <row r="154" spans="1:12" x14ac:dyDescent="0.2">
      <c r="A154" t="s">
        <v>5</v>
      </c>
      <c r="B154">
        <v>2</v>
      </c>
      <c r="C154" t="s">
        <v>4</v>
      </c>
      <c r="D154" s="2">
        <v>43640</v>
      </c>
      <c r="E154" s="3">
        <v>43640.55833</v>
      </c>
      <c r="F154" s="3">
        <v>43640.561809999999</v>
      </c>
      <c r="G154">
        <v>9.9</v>
      </c>
      <c r="H154">
        <v>27.78</v>
      </c>
      <c r="K154">
        <v>-6.0030436258829498</v>
      </c>
      <c r="L154" s="6">
        <v>1.7499999999999999E-7</v>
      </c>
    </row>
    <row r="155" spans="1:12" x14ac:dyDescent="0.2">
      <c r="A155" t="s">
        <v>5</v>
      </c>
      <c r="B155">
        <v>2</v>
      </c>
      <c r="C155" t="s">
        <v>6</v>
      </c>
      <c r="D155" s="2">
        <v>43640</v>
      </c>
      <c r="E155" s="3">
        <v>43640.563190000001</v>
      </c>
      <c r="F155" s="3">
        <v>43640.56667</v>
      </c>
      <c r="H155">
        <v>27.78</v>
      </c>
      <c r="K155">
        <v>5.1126486664920403</v>
      </c>
      <c r="L155" s="6">
        <v>-1.3400000000000001E-7</v>
      </c>
    </row>
    <row r="156" spans="1:12" x14ac:dyDescent="0.2">
      <c r="A156" t="s">
        <v>5</v>
      </c>
      <c r="B156">
        <v>3</v>
      </c>
      <c r="C156" t="s">
        <v>4</v>
      </c>
      <c r="D156" s="2">
        <v>43640</v>
      </c>
      <c r="E156" s="3">
        <v>43640.568059999998</v>
      </c>
      <c r="F156" s="3">
        <v>43640.571530000001</v>
      </c>
      <c r="G156">
        <v>8.5</v>
      </c>
      <c r="H156">
        <v>27.78</v>
      </c>
      <c r="K156">
        <v>2.8677634070829199</v>
      </c>
      <c r="L156" s="6">
        <v>-2.33E-8</v>
      </c>
    </row>
    <row r="157" spans="1:12" x14ac:dyDescent="0.2">
      <c r="A157" t="s">
        <v>5</v>
      </c>
      <c r="B157">
        <v>3</v>
      </c>
      <c r="C157" t="s">
        <v>6</v>
      </c>
      <c r="D157" s="2">
        <v>43640</v>
      </c>
      <c r="E157" s="3">
        <v>43640.572919999999</v>
      </c>
      <c r="F157" s="3">
        <v>43640.576390000002</v>
      </c>
      <c r="H157">
        <v>27.78</v>
      </c>
      <c r="K157">
        <v>2.7140714936706098</v>
      </c>
      <c r="L157" s="6">
        <v>1.04E-7</v>
      </c>
    </row>
    <row r="158" spans="1:12" x14ac:dyDescent="0.2">
      <c r="A158" t="s">
        <v>5</v>
      </c>
      <c r="B158">
        <v>4</v>
      </c>
      <c r="C158" t="s">
        <v>4</v>
      </c>
      <c r="D158" s="2">
        <v>43640</v>
      </c>
      <c r="E158" s="3">
        <v>43640.57778</v>
      </c>
      <c r="F158" s="3">
        <v>43640.581250000003</v>
      </c>
      <c r="G158">
        <v>13.7</v>
      </c>
      <c r="H158">
        <v>27.78</v>
      </c>
      <c r="K158">
        <v>0.52282869429961998</v>
      </c>
      <c r="L158" s="6">
        <v>-1.7E-8</v>
      </c>
    </row>
    <row r="159" spans="1:12" x14ac:dyDescent="0.2">
      <c r="A159" t="s">
        <v>5</v>
      </c>
      <c r="B159">
        <v>4</v>
      </c>
      <c r="C159" t="s">
        <v>6</v>
      </c>
      <c r="D159" s="2">
        <v>43640</v>
      </c>
      <c r="E159" s="3">
        <v>43640.582640000001</v>
      </c>
      <c r="F159" s="3">
        <v>43640.586109999997</v>
      </c>
      <c r="H159">
        <v>27.78</v>
      </c>
      <c r="K159">
        <v>3.2315142803371502</v>
      </c>
      <c r="L159" s="6">
        <v>1.44E-8</v>
      </c>
    </row>
    <row r="160" spans="1:12" x14ac:dyDescent="0.2">
      <c r="A160" t="s">
        <v>5</v>
      </c>
      <c r="B160">
        <v>5</v>
      </c>
      <c r="C160" t="s">
        <v>4</v>
      </c>
      <c r="D160" s="2">
        <v>43640</v>
      </c>
      <c r="E160" s="3">
        <v>43640.587500000001</v>
      </c>
      <c r="F160" s="3">
        <v>43640.590969999997</v>
      </c>
      <c r="G160">
        <v>13.4</v>
      </c>
      <c r="H160">
        <v>27.78</v>
      </c>
      <c r="K160">
        <v>2.0832193966586501</v>
      </c>
      <c r="L160" s="6">
        <v>-6.6500000000000007E-8</v>
      </c>
    </row>
    <row r="161" spans="1:12" x14ac:dyDescent="0.2">
      <c r="A161" t="s">
        <v>5</v>
      </c>
      <c r="B161">
        <v>5</v>
      </c>
      <c r="C161" t="s">
        <v>6</v>
      </c>
      <c r="D161" s="2">
        <v>43640</v>
      </c>
      <c r="E161" s="3">
        <v>43640.592360000002</v>
      </c>
      <c r="F161" s="3">
        <v>43640.595829999998</v>
      </c>
      <c r="H161">
        <v>27.78</v>
      </c>
      <c r="K161">
        <v>2.8394482893661199</v>
      </c>
      <c r="L161" s="6">
        <v>-1.04E-7</v>
      </c>
    </row>
    <row r="162" spans="1:12" x14ac:dyDescent="0.2">
      <c r="A162" t="s">
        <v>5</v>
      </c>
      <c r="B162">
        <v>1</v>
      </c>
      <c r="C162" t="s">
        <v>4</v>
      </c>
      <c r="D162" s="2">
        <v>43655</v>
      </c>
      <c r="E162" s="3">
        <v>43655.480560000004</v>
      </c>
      <c r="F162" s="3">
        <v>43655.48403</v>
      </c>
      <c r="G162">
        <v>14.5</v>
      </c>
      <c r="H162">
        <v>23.89</v>
      </c>
      <c r="K162">
        <v>3.46870502130849</v>
      </c>
      <c r="L162" s="6">
        <v>-6.6670342875345395E-5</v>
      </c>
    </row>
    <row r="163" spans="1:12" x14ac:dyDescent="0.2">
      <c r="A163" t="s">
        <v>5</v>
      </c>
      <c r="B163">
        <v>1</v>
      </c>
      <c r="C163" t="s">
        <v>6</v>
      </c>
      <c r="D163" s="2">
        <v>43655</v>
      </c>
      <c r="E163" s="3">
        <v>43655.485419999997</v>
      </c>
      <c r="F163" s="3">
        <v>43655.488890000001</v>
      </c>
      <c r="H163">
        <v>23.89</v>
      </c>
      <c r="K163">
        <v>4.7651745490486999</v>
      </c>
      <c r="L163">
        <v>-4.51388022245987E-4</v>
      </c>
    </row>
    <row r="164" spans="1:12" x14ac:dyDescent="0.2">
      <c r="A164" t="s">
        <v>5</v>
      </c>
      <c r="B164">
        <v>2</v>
      </c>
      <c r="C164" t="s">
        <v>4</v>
      </c>
      <c r="D164" s="2">
        <v>43655</v>
      </c>
      <c r="E164" s="3">
        <v>43655.490279999998</v>
      </c>
      <c r="F164" s="3">
        <v>43655.493750000001</v>
      </c>
      <c r="G164">
        <v>6.5</v>
      </c>
      <c r="H164">
        <v>23.89</v>
      </c>
      <c r="K164">
        <v>-15.0860426628753</v>
      </c>
      <c r="L164" s="6">
        <v>1.74198367470682E-5</v>
      </c>
    </row>
    <row r="165" spans="1:12" x14ac:dyDescent="0.2">
      <c r="A165" t="s">
        <v>5</v>
      </c>
      <c r="B165">
        <v>2</v>
      </c>
      <c r="C165" t="s">
        <v>6</v>
      </c>
      <c r="D165" s="2">
        <v>43655</v>
      </c>
      <c r="E165" s="3">
        <v>43655.495139999999</v>
      </c>
      <c r="F165" s="3">
        <v>43655.498610000002</v>
      </c>
      <c r="H165">
        <v>23.89</v>
      </c>
      <c r="K165">
        <v>19.865299980404</v>
      </c>
      <c r="L165">
        <v>-2.6405640930450498E-4</v>
      </c>
    </row>
    <row r="166" spans="1:12" x14ac:dyDescent="0.2">
      <c r="A166" t="s">
        <v>5</v>
      </c>
      <c r="B166">
        <v>3</v>
      </c>
      <c r="C166" t="s">
        <v>4</v>
      </c>
      <c r="D166" s="2">
        <v>43655</v>
      </c>
      <c r="E166" s="3">
        <v>43655.5</v>
      </c>
      <c r="F166" s="3">
        <v>43655.503470000003</v>
      </c>
      <c r="G166">
        <v>6</v>
      </c>
      <c r="H166">
        <v>23.89</v>
      </c>
      <c r="K166">
        <v>4.1636985273705296</v>
      </c>
      <c r="L166">
        <v>-2.5778286399397599E-4</v>
      </c>
    </row>
    <row r="167" spans="1:12" x14ac:dyDescent="0.2">
      <c r="A167" t="s">
        <v>5</v>
      </c>
      <c r="B167">
        <v>3</v>
      </c>
      <c r="C167" t="s">
        <v>6</v>
      </c>
      <c r="D167" s="2">
        <v>43655</v>
      </c>
      <c r="E167" s="3">
        <v>43655.504860000001</v>
      </c>
      <c r="F167" s="3">
        <v>43655.508329999997</v>
      </c>
      <c r="H167">
        <v>23.89</v>
      </c>
      <c r="K167">
        <v>4.2385029750273899</v>
      </c>
      <c r="L167" s="6">
        <v>3.3156094327304098E-5</v>
      </c>
    </row>
    <row r="168" spans="1:12" x14ac:dyDescent="0.2">
      <c r="A168" t="s">
        <v>5</v>
      </c>
      <c r="B168">
        <v>4</v>
      </c>
      <c r="C168" t="s">
        <v>4</v>
      </c>
      <c r="D168" s="2">
        <v>43655</v>
      </c>
      <c r="E168" s="3">
        <v>43655.509720000002</v>
      </c>
      <c r="F168" s="3">
        <v>43655.513189999998</v>
      </c>
      <c r="G168">
        <v>5.3</v>
      </c>
      <c r="H168">
        <v>23.89</v>
      </c>
      <c r="K168">
        <v>-3.0970812717814402</v>
      </c>
      <c r="L168">
        <v>2.5952860136737102E-4</v>
      </c>
    </row>
    <row r="169" spans="1:12" x14ac:dyDescent="0.2">
      <c r="A169" t="s">
        <v>5</v>
      </c>
      <c r="B169">
        <v>4</v>
      </c>
      <c r="C169" t="s">
        <v>6</v>
      </c>
      <c r="D169" s="2">
        <v>43655</v>
      </c>
      <c r="E169" s="3">
        <v>43655.514580000003</v>
      </c>
      <c r="F169" s="3">
        <v>43655.518060000002</v>
      </c>
      <c r="H169">
        <v>23.89</v>
      </c>
      <c r="K169">
        <v>13.576979847452201</v>
      </c>
      <c r="L169">
        <v>-1.1084547956391201E-4</v>
      </c>
    </row>
    <row r="170" spans="1:12" x14ac:dyDescent="0.2">
      <c r="A170" t="s">
        <v>5</v>
      </c>
      <c r="B170">
        <v>5</v>
      </c>
      <c r="C170" t="s">
        <v>4</v>
      </c>
      <c r="D170" s="2">
        <v>43655</v>
      </c>
      <c r="E170" s="3">
        <v>43655.519439999996</v>
      </c>
      <c r="F170" s="3">
        <v>43655.522920000003</v>
      </c>
      <c r="G170">
        <v>9.1999999999999993</v>
      </c>
      <c r="H170">
        <v>23.89</v>
      </c>
      <c r="K170">
        <v>5.0753129004236399</v>
      </c>
      <c r="L170" s="6">
        <v>-5.98363709165398E-5</v>
      </c>
    </row>
    <row r="171" spans="1:12" x14ac:dyDescent="0.2">
      <c r="A171" t="s">
        <v>5</v>
      </c>
      <c r="B171">
        <v>5</v>
      </c>
      <c r="C171" t="s">
        <v>6</v>
      </c>
      <c r="D171" s="2">
        <v>43655</v>
      </c>
      <c r="E171" s="3">
        <v>43655.524310000001</v>
      </c>
      <c r="F171" s="3">
        <v>43655.527779999997</v>
      </c>
      <c r="H171">
        <v>23.89</v>
      </c>
      <c r="K171">
        <v>5.6401490097104503</v>
      </c>
      <c r="L171">
        <v>2.33043991617192E-4</v>
      </c>
    </row>
    <row r="172" spans="1:12" x14ac:dyDescent="0.2">
      <c r="A172" t="s">
        <v>5</v>
      </c>
      <c r="B172">
        <v>1</v>
      </c>
      <c r="C172" t="s">
        <v>4</v>
      </c>
      <c r="D172" s="2">
        <v>43655</v>
      </c>
      <c r="E172" s="3">
        <v>43655.572220000002</v>
      </c>
      <c r="F172" s="3">
        <v>43655.575689999998</v>
      </c>
      <c r="G172">
        <v>13.3</v>
      </c>
      <c r="H172">
        <v>28.33</v>
      </c>
      <c r="K172">
        <v>2.3909972139673599</v>
      </c>
      <c r="L172">
        <v>4.96985967036359E-4</v>
      </c>
    </row>
    <row r="173" spans="1:12" x14ac:dyDescent="0.2">
      <c r="A173" t="s">
        <v>5</v>
      </c>
      <c r="B173">
        <v>1</v>
      </c>
      <c r="C173" t="s">
        <v>6</v>
      </c>
      <c r="D173" s="2">
        <v>43655</v>
      </c>
      <c r="E173" s="3">
        <v>43655.577080000003</v>
      </c>
      <c r="F173" s="3">
        <v>43655.580560000002</v>
      </c>
      <c r="H173">
        <v>28.33</v>
      </c>
      <c r="K173">
        <v>3.1074498403465598</v>
      </c>
      <c r="L173">
        <v>3.7039294755690402E-4</v>
      </c>
    </row>
    <row r="174" spans="1:12" x14ac:dyDescent="0.2">
      <c r="A174" t="s">
        <v>5</v>
      </c>
      <c r="B174">
        <v>2</v>
      </c>
      <c r="C174" t="s">
        <v>4</v>
      </c>
      <c r="D174" s="2">
        <v>43655</v>
      </c>
      <c r="E174" s="3">
        <v>43655.581939999996</v>
      </c>
      <c r="F174" s="3">
        <v>43655.585420000003</v>
      </c>
      <c r="G174">
        <v>5.6</v>
      </c>
      <c r="H174">
        <v>28.33</v>
      </c>
      <c r="K174">
        <v>-12.9543534208336</v>
      </c>
      <c r="L174">
        <v>2.6231417555296901E-4</v>
      </c>
    </row>
    <row r="175" spans="1:12" x14ac:dyDescent="0.2">
      <c r="A175" t="s">
        <v>5</v>
      </c>
      <c r="B175">
        <v>2</v>
      </c>
      <c r="C175" t="s">
        <v>6</v>
      </c>
      <c r="D175" s="2">
        <v>43655</v>
      </c>
      <c r="E175" s="3">
        <v>43655.586810000001</v>
      </c>
      <c r="F175" s="3">
        <v>43655.590279999997</v>
      </c>
      <c r="H175">
        <v>28.33</v>
      </c>
      <c r="K175">
        <v>16.694259196573999</v>
      </c>
      <c r="L175" s="6">
        <v>-6.8644656574763703E-5</v>
      </c>
    </row>
    <row r="176" spans="1:12" x14ac:dyDescent="0.2">
      <c r="A176" t="s">
        <v>5</v>
      </c>
      <c r="B176">
        <v>3</v>
      </c>
      <c r="C176" t="s">
        <v>4</v>
      </c>
      <c r="D176" s="2">
        <v>43655</v>
      </c>
      <c r="E176" s="3">
        <v>43655.591670000002</v>
      </c>
      <c r="F176" s="3">
        <v>43655.595139999998</v>
      </c>
      <c r="G176">
        <v>4.3</v>
      </c>
      <c r="H176">
        <v>28.33</v>
      </c>
      <c r="K176">
        <v>4.3770475109014502</v>
      </c>
      <c r="L176">
        <v>-1.72039514696353E-4</v>
      </c>
    </row>
    <row r="177" spans="1:12" x14ac:dyDescent="0.2">
      <c r="A177" t="s">
        <v>5</v>
      </c>
      <c r="B177">
        <v>3</v>
      </c>
      <c r="C177" t="s">
        <v>6</v>
      </c>
      <c r="D177" s="2">
        <v>43655</v>
      </c>
      <c r="E177" s="3">
        <v>43655.596530000003</v>
      </c>
      <c r="F177" s="3">
        <v>43655.6</v>
      </c>
      <c r="H177">
        <v>28.33</v>
      </c>
      <c r="K177">
        <v>3.6436265275208202</v>
      </c>
      <c r="L177">
        <v>1.08665021292746E-4</v>
      </c>
    </row>
    <row r="178" spans="1:12" x14ac:dyDescent="0.2">
      <c r="A178" t="s">
        <v>5</v>
      </c>
      <c r="B178">
        <v>4</v>
      </c>
      <c r="C178" t="s">
        <v>4</v>
      </c>
      <c r="D178" s="2">
        <v>43655</v>
      </c>
      <c r="E178" s="3">
        <v>43655.601390000003</v>
      </c>
      <c r="F178" s="3">
        <v>43655.604859999999</v>
      </c>
      <c r="G178">
        <v>5.3</v>
      </c>
      <c r="H178">
        <v>28.33</v>
      </c>
      <c r="K178">
        <v>-1.99162749826056</v>
      </c>
      <c r="L178">
        <v>5.4372238001839605E-4</v>
      </c>
    </row>
    <row r="179" spans="1:12" x14ac:dyDescent="0.2">
      <c r="A179" t="s">
        <v>5</v>
      </c>
      <c r="B179">
        <v>4</v>
      </c>
      <c r="C179" t="s">
        <v>6</v>
      </c>
      <c r="D179" s="2">
        <v>43655</v>
      </c>
      <c r="E179" s="3">
        <v>43655.606249999997</v>
      </c>
      <c r="F179" s="3">
        <v>43655.60972</v>
      </c>
      <c r="H179">
        <v>28.33</v>
      </c>
      <c r="K179">
        <v>7.5733219056368997</v>
      </c>
      <c r="L179">
        <v>2.8506846566921399E-4</v>
      </c>
    </row>
    <row r="180" spans="1:12" x14ac:dyDescent="0.2">
      <c r="A180" t="s">
        <v>5</v>
      </c>
      <c r="B180">
        <v>5</v>
      </c>
      <c r="C180" t="s">
        <v>4</v>
      </c>
      <c r="D180" s="2">
        <v>43655</v>
      </c>
      <c r="E180" s="3">
        <v>43655.611109999998</v>
      </c>
      <c r="F180" s="3">
        <v>43655.614580000001</v>
      </c>
      <c r="G180">
        <v>9.9</v>
      </c>
      <c r="H180">
        <v>28.33</v>
      </c>
      <c r="K180">
        <v>3.0119287188225301</v>
      </c>
      <c r="L180">
        <v>2.35673013981434E-4</v>
      </c>
    </row>
    <row r="181" spans="1:12" x14ac:dyDescent="0.2">
      <c r="A181" t="s">
        <v>5</v>
      </c>
      <c r="B181">
        <v>5</v>
      </c>
      <c r="C181" t="s">
        <v>6</v>
      </c>
      <c r="D181" s="2">
        <v>43655</v>
      </c>
      <c r="E181" s="3">
        <v>43655.615969999999</v>
      </c>
      <c r="F181" s="3">
        <v>43655.619440000002</v>
      </c>
      <c r="H181">
        <v>28.33</v>
      </c>
      <c r="K181">
        <v>2.9839986925205402</v>
      </c>
      <c r="L181" s="6">
        <v>9.7724967201875395E-5</v>
      </c>
    </row>
    <row r="182" spans="1:12" x14ac:dyDescent="0.2">
      <c r="A182" t="s">
        <v>5</v>
      </c>
      <c r="B182">
        <v>1</v>
      </c>
      <c r="C182" t="s">
        <v>4</v>
      </c>
      <c r="D182" s="2">
        <v>43672</v>
      </c>
      <c r="E182" s="3">
        <v>43672.44167</v>
      </c>
      <c r="F182" s="3">
        <v>43672.445140000003</v>
      </c>
      <c r="G182">
        <v>10.9</v>
      </c>
      <c r="H182">
        <v>26.11</v>
      </c>
      <c r="I182">
        <v>33</v>
      </c>
      <c r="J182">
        <v>0.69</v>
      </c>
      <c r="K182">
        <v>-8.6928212560388199E-2</v>
      </c>
      <c r="L182">
        <v>-1.9874773943638499E-4</v>
      </c>
    </row>
    <row r="183" spans="1:12" x14ac:dyDescent="0.2">
      <c r="A183" t="s">
        <v>5</v>
      </c>
      <c r="B183">
        <v>1</v>
      </c>
      <c r="C183" t="s">
        <v>6</v>
      </c>
      <c r="D183" s="2">
        <v>43672</v>
      </c>
      <c r="E183" s="3">
        <v>43672.446530000001</v>
      </c>
      <c r="F183" s="3">
        <v>43672.45</v>
      </c>
      <c r="H183">
        <v>26.11</v>
      </c>
      <c r="K183">
        <v>4.5682034430920302</v>
      </c>
      <c r="L183">
        <v>3.7558890555254901E-4</v>
      </c>
    </row>
    <row r="184" spans="1:12" x14ac:dyDescent="0.2">
      <c r="A184" t="s">
        <v>5</v>
      </c>
      <c r="B184">
        <v>2</v>
      </c>
      <c r="C184" t="s">
        <v>4</v>
      </c>
      <c r="D184" s="2">
        <v>43672</v>
      </c>
      <c r="E184" s="3">
        <v>43672.451390000002</v>
      </c>
      <c r="F184" s="3">
        <v>43672.454859999998</v>
      </c>
      <c r="G184">
        <v>7.8</v>
      </c>
      <c r="H184">
        <v>26.11</v>
      </c>
      <c r="I184">
        <v>37.299999999999997</v>
      </c>
      <c r="J184">
        <v>0.7</v>
      </c>
      <c r="K184">
        <v>-21.818206808723701</v>
      </c>
      <c r="L184">
        <v>5.8412688117890396E-4</v>
      </c>
    </row>
    <row r="185" spans="1:12" x14ac:dyDescent="0.2">
      <c r="A185" t="s">
        <v>5</v>
      </c>
      <c r="B185">
        <v>2</v>
      </c>
      <c r="C185" t="s">
        <v>6</v>
      </c>
      <c r="D185" s="2">
        <v>43672</v>
      </c>
      <c r="E185" s="3">
        <v>43672.456250000003</v>
      </c>
      <c r="F185" s="3">
        <v>43672.459719999999</v>
      </c>
      <c r="H185">
        <v>26.11</v>
      </c>
      <c r="K185">
        <v>23.5011559660262</v>
      </c>
      <c r="L185" s="6">
        <v>2.6954071223693701E-5</v>
      </c>
    </row>
    <row r="186" spans="1:12" x14ac:dyDescent="0.2">
      <c r="A186" t="s">
        <v>5</v>
      </c>
      <c r="B186">
        <v>3</v>
      </c>
      <c r="C186" t="s">
        <v>4</v>
      </c>
      <c r="D186" s="2">
        <v>43672</v>
      </c>
      <c r="E186" s="3">
        <v>43672.461109999997</v>
      </c>
      <c r="F186" s="3">
        <v>43672.46458</v>
      </c>
      <c r="G186">
        <v>14.9</v>
      </c>
      <c r="H186">
        <v>26.11</v>
      </c>
      <c r="I186">
        <v>34.799999999999997</v>
      </c>
      <c r="J186">
        <v>0.49</v>
      </c>
      <c r="K186">
        <v>-20.1204463210025</v>
      </c>
      <c r="L186">
        <v>-2.7447021651585301E-4</v>
      </c>
    </row>
    <row r="187" spans="1:12" x14ac:dyDescent="0.2">
      <c r="A187" t="s">
        <v>5</v>
      </c>
      <c r="B187">
        <v>3</v>
      </c>
      <c r="C187" t="s">
        <v>6</v>
      </c>
      <c r="D187" s="2">
        <v>43672</v>
      </c>
      <c r="E187" s="3">
        <v>43672.465969999997</v>
      </c>
      <c r="F187" s="3">
        <v>43672.469440000001</v>
      </c>
      <c r="H187">
        <v>26.11</v>
      </c>
      <c r="K187">
        <v>17.0909439436169</v>
      </c>
      <c r="L187">
        <v>-2.6686374240546501E-4</v>
      </c>
    </row>
    <row r="188" spans="1:12" x14ac:dyDescent="0.2">
      <c r="A188" t="s">
        <v>5</v>
      </c>
      <c r="B188">
        <v>4</v>
      </c>
      <c r="C188" t="s">
        <v>4</v>
      </c>
      <c r="D188" s="2">
        <v>43672</v>
      </c>
      <c r="E188" s="3">
        <v>43672.471469999997</v>
      </c>
      <c r="F188" s="3">
        <v>43672.47494</v>
      </c>
      <c r="G188">
        <v>12.9</v>
      </c>
      <c r="H188">
        <v>26.11</v>
      </c>
      <c r="I188">
        <v>41.3</v>
      </c>
      <c r="J188">
        <v>0.78</v>
      </c>
      <c r="K188">
        <v>-9.48326059482131</v>
      </c>
      <c r="L188">
        <v>-1.13221467644879E-4</v>
      </c>
    </row>
    <row r="189" spans="1:12" x14ac:dyDescent="0.2">
      <c r="A189" t="s">
        <v>5</v>
      </c>
      <c r="B189">
        <v>4</v>
      </c>
      <c r="C189" t="s">
        <v>6</v>
      </c>
      <c r="D189" s="2">
        <v>43672</v>
      </c>
      <c r="E189" s="3">
        <v>43672.476329999998</v>
      </c>
      <c r="F189" s="3">
        <v>43672.479800000001</v>
      </c>
      <c r="H189">
        <v>26.11</v>
      </c>
      <c r="K189">
        <v>10.526307855372201</v>
      </c>
      <c r="L189">
        <v>-1.6546996515405001E-4</v>
      </c>
    </row>
    <row r="190" spans="1:12" x14ac:dyDescent="0.2">
      <c r="A190" t="s">
        <v>5</v>
      </c>
      <c r="B190">
        <v>5</v>
      </c>
      <c r="C190" t="s">
        <v>4</v>
      </c>
      <c r="D190" s="2">
        <v>43672</v>
      </c>
      <c r="E190" s="3">
        <v>43672.481189999999</v>
      </c>
      <c r="F190" s="3">
        <v>43672.484660000002</v>
      </c>
      <c r="G190">
        <v>15.3</v>
      </c>
      <c r="H190">
        <v>26.11</v>
      </c>
      <c r="I190">
        <v>40.700000000000003</v>
      </c>
      <c r="J190">
        <v>0.55000000000000004</v>
      </c>
      <c r="K190">
        <v>-15.4504338969743</v>
      </c>
      <c r="L190" s="6">
        <v>6.0784090954816703E-5</v>
      </c>
    </row>
    <row r="191" spans="1:12" x14ac:dyDescent="0.2">
      <c r="A191" t="s">
        <v>5</v>
      </c>
      <c r="B191">
        <v>5</v>
      </c>
      <c r="C191" t="s">
        <v>6</v>
      </c>
      <c r="D191" s="2">
        <v>43672</v>
      </c>
      <c r="E191" s="3">
        <v>43672.48605</v>
      </c>
      <c r="F191" s="3">
        <v>43672.489529999999</v>
      </c>
      <c r="H191">
        <v>26.11</v>
      </c>
      <c r="K191">
        <v>16.941184276545801</v>
      </c>
      <c r="L191" s="6">
        <v>5.0318432726382499E-5</v>
      </c>
    </row>
    <row r="192" spans="1:12" x14ac:dyDescent="0.2">
      <c r="A192" t="s">
        <v>5</v>
      </c>
      <c r="B192">
        <v>1</v>
      </c>
      <c r="C192" t="s">
        <v>4</v>
      </c>
      <c r="D192" s="2">
        <v>43676</v>
      </c>
      <c r="E192" s="3">
        <v>43676.392359999998</v>
      </c>
      <c r="F192" s="3">
        <v>43676.395830000001</v>
      </c>
      <c r="G192">
        <v>2.9</v>
      </c>
      <c r="H192">
        <v>28.33</v>
      </c>
      <c r="I192">
        <v>32</v>
      </c>
      <c r="J192">
        <v>0.83</v>
      </c>
      <c r="K192">
        <v>-9.06709166639207</v>
      </c>
      <c r="L192">
        <v>-7.1397400000000003E-4</v>
      </c>
    </row>
    <row r="193" spans="1:12" x14ac:dyDescent="0.2">
      <c r="A193" t="s">
        <v>5</v>
      </c>
      <c r="B193">
        <v>1</v>
      </c>
      <c r="C193" t="s">
        <v>6</v>
      </c>
      <c r="D193" s="2">
        <v>43676</v>
      </c>
      <c r="E193" s="3">
        <v>43676.397219999999</v>
      </c>
      <c r="F193" s="3">
        <v>43676.400690000002</v>
      </c>
      <c r="H193">
        <v>28.33</v>
      </c>
      <c r="K193">
        <v>8.9969798646176393</v>
      </c>
      <c r="L193">
        <v>3.1303339999999998E-3</v>
      </c>
    </row>
    <row r="194" spans="1:12" x14ac:dyDescent="0.2">
      <c r="A194" t="s">
        <v>5</v>
      </c>
      <c r="B194">
        <v>2</v>
      </c>
      <c r="C194" t="s">
        <v>4</v>
      </c>
      <c r="D194" s="2">
        <v>43676</v>
      </c>
      <c r="E194" s="3">
        <v>43676.40208</v>
      </c>
      <c r="F194" s="3">
        <v>43676.405559999999</v>
      </c>
      <c r="G194">
        <v>3.1</v>
      </c>
      <c r="H194">
        <v>28.33</v>
      </c>
      <c r="I194">
        <v>42.1</v>
      </c>
      <c r="J194">
        <v>0.84</v>
      </c>
      <c r="K194">
        <v>-14.547253613423599</v>
      </c>
      <c r="L194" s="6">
        <v>3.4400000000000003E-5</v>
      </c>
    </row>
    <row r="195" spans="1:12" x14ac:dyDescent="0.2">
      <c r="A195" t="s">
        <v>5</v>
      </c>
      <c r="B195">
        <v>2</v>
      </c>
      <c r="C195" t="s">
        <v>6</v>
      </c>
      <c r="D195" s="2">
        <v>43676</v>
      </c>
      <c r="E195" s="3">
        <v>43676.406940000001</v>
      </c>
      <c r="F195" s="3">
        <v>43676.41042</v>
      </c>
      <c r="H195">
        <v>28.33</v>
      </c>
      <c r="K195">
        <v>0.62963455086900799</v>
      </c>
      <c r="L195">
        <v>7.5722400000000003E-4</v>
      </c>
    </row>
    <row r="196" spans="1:12" x14ac:dyDescent="0.2">
      <c r="A196" t="s">
        <v>5</v>
      </c>
      <c r="B196">
        <v>3</v>
      </c>
      <c r="C196" t="s">
        <v>4</v>
      </c>
      <c r="D196" s="2">
        <v>43676</v>
      </c>
      <c r="E196" s="3">
        <v>43676.411809999998</v>
      </c>
      <c r="F196" s="3">
        <v>43676.415280000001</v>
      </c>
      <c r="G196">
        <v>4.2</v>
      </c>
      <c r="H196">
        <v>28.33</v>
      </c>
      <c r="I196">
        <v>36.9</v>
      </c>
      <c r="J196">
        <v>0.83</v>
      </c>
      <c r="K196">
        <v>-13.670085845968201</v>
      </c>
      <c r="L196">
        <v>-2.3670900000000001E-4</v>
      </c>
    </row>
    <row r="197" spans="1:12" x14ac:dyDescent="0.2">
      <c r="A197" t="s">
        <v>5</v>
      </c>
      <c r="B197">
        <v>3</v>
      </c>
      <c r="C197" t="s">
        <v>6</v>
      </c>
      <c r="D197" s="2">
        <v>43676</v>
      </c>
      <c r="E197" s="3">
        <v>43676.416669999999</v>
      </c>
      <c r="F197" s="3">
        <v>43676.420140000002</v>
      </c>
      <c r="H197">
        <v>28.33</v>
      </c>
      <c r="K197">
        <v>31.533559706363199</v>
      </c>
      <c r="L197">
        <v>-1.4768499999999999E-4</v>
      </c>
    </row>
    <row r="198" spans="1:12" x14ac:dyDescent="0.2">
      <c r="A198" t="s">
        <v>5</v>
      </c>
      <c r="B198">
        <v>4</v>
      </c>
      <c r="C198" t="s">
        <v>4</v>
      </c>
      <c r="D198" s="2">
        <v>43676</v>
      </c>
      <c r="E198" s="3">
        <v>43676.42153</v>
      </c>
      <c r="F198" s="3">
        <v>43676.425000000003</v>
      </c>
      <c r="G198">
        <v>4.0999999999999996</v>
      </c>
      <c r="H198">
        <v>28.33</v>
      </c>
      <c r="I198">
        <v>34.299999999999997</v>
      </c>
      <c r="J198">
        <v>0.85</v>
      </c>
      <c r="K198">
        <v>-11.771412094589801</v>
      </c>
      <c r="L198" s="6">
        <v>-4.6900000000000002E-5</v>
      </c>
    </row>
    <row r="199" spans="1:12" x14ac:dyDescent="0.2">
      <c r="A199" t="s">
        <v>5</v>
      </c>
      <c r="B199">
        <v>4</v>
      </c>
      <c r="C199" t="s">
        <v>6</v>
      </c>
      <c r="D199" s="2">
        <v>43676</v>
      </c>
      <c r="E199" s="3">
        <v>43676.426390000001</v>
      </c>
      <c r="F199" s="3">
        <v>43676.429859999997</v>
      </c>
      <c r="H199">
        <v>28.33</v>
      </c>
      <c r="K199">
        <v>8.7980573074863209</v>
      </c>
      <c r="L199" s="6">
        <v>-5.1799999999999999E-5</v>
      </c>
    </row>
    <row r="200" spans="1:12" x14ac:dyDescent="0.2">
      <c r="A200" t="s">
        <v>5</v>
      </c>
      <c r="B200">
        <v>5</v>
      </c>
      <c r="C200" t="s">
        <v>4</v>
      </c>
      <c r="D200" s="2">
        <v>43676</v>
      </c>
      <c r="E200" s="3">
        <v>43676.431250000001</v>
      </c>
      <c r="F200" s="3">
        <v>43676.434719999997</v>
      </c>
      <c r="G200">
        <v>5.7</v>
      </c>
      <c r="H200">
        <v>28.33</v>
      </c>
      <c r="I200">
        <v>39.4</v>
      </c>
      <c r="J200">
        <v>0.76</v>
      </c>
      <c r="K200">
        <v>-12.166529318540301</v>
      </c>
      <c r="L200" s="6">
        <v>1.2E-5</v>
      </c>
    </row>
    <row r="201" spans="1:12" x14ac:dyDescent="0.2">
      <c r="A201" t="s">
        <v>5</v>
      </c>
      <c r="B201">
        <v>5</v>
      </c>
      <c r="C201" t="s">
        <v>6</v>
      </c>
      <c r="D201" s="2">
        <v>43676</v>
      </c>
      <c r="E201" s="3">
        <v>43676.436110000002</v>
      </c>
      <c r="F201" s="3">
        <v>43676.439579999998</v>
      </c>
      <c r="H201">
        <v>28.33</v>
      </c>
      <c r="K201">
        <v>9.2753198863164492</v>
      </c>
      <c r="L201">
        <v>1.68089E-3</v>
      </c>
    </row>
    <row r="202" spans="1:12" x14ac:dyDescent="0.2">
      <c r="A202" t="s">
        <v>5</v>
      </c>
      <c r="B202">
        <v>1</v>
      </c>
      <c r="C202" t="s">
        <v>4</v>
      </c>
      <c r="D202" s="2">
        <v>43676</v>
      </c>
      <c r="E202" s="3">
        <v>43676.592360000002</v>
      </c>
      <c r="F202" s="3">
        <v>43676.595829999998</v>
      </c>
      <c r="G202">
        <v>2.7</v>
      </c>
      <c r="H202">
        <v>31.67</v>
      </c>
      <c r="I202">
        <v>42.1</v>
      </c>
      <c r="J202">
        <v>0.79</v>
      </c>
      <c r="K202">
        <v>-10.1591803600607</v>
      </c>
      <c r="L202">
        <v>-1.10314E-4</v>
      </c>
    </row>
    <row r="203" spans="1:12" x14ac:dyDescent="0.2">
      <c r="A203" t="s">
        <v>5</v>
      </c>
      <c r="B203">
        <v>1</v>
      </c>
      <c r="C203" t="s">
        <v>6</v>
      </c>
      <c r="D203" s="2">
        <v>43676</v>
      </c>
      <c r="E203" s="3">
        <v>43676.597220000003</v>
      </c>
      <c r="F203" s="3">
        <v>43676.600689999999</v>
      </c>
      <c r="H203">
        <v>32.78</v>
      </c>
      <c r="K203">
        <v>18.974667096833901</v>
      </c>
      <c r="L203" s="6">
        <v>5.7000000000000003E-5</v>
      </c>
    </row>
    <row r="204" spans="1:12" x14ac:dyDescent="0.2">
      <c r="A204" t="s">
        <v>5</v>
      </c>
      <c r="B204">
        <v>2</v>
      </c>
      <c r="C204" t="s">
        <v>4</v>
      </c>
      <c r="D204" s="2">
        <v>43676</v>
      </c>
      <c r="E204" s="3">
        <v>43676.602079999997</v>
      </c>
      <c r="F204" s="3">
        <v>43676.605560000004</v>
      </c>
      <c r="G204">
        <v>1.9</v>
      </c>
      <c r="H204">
        <v>32.78</v>
      </c>
      <c r="I204">
        <v>36.9</v>
      </c>
      <c r="J204">
        <v>0.79</v>
      </c>
      <c r="K204">
        <v>-6.2010424550988104</v>
      </c>
      <c r="L204">
        <v>-2.3713200000000001E-4</v>
      </c>
    </row>
    <row r="205" spans="1:12" x14ac:dyDescent="0.2">
      <c r="A205" t="s">
        <v>5</v>
      </c>
      <c r="B205">
        <v>2</v>
      </c>
      <c r="C205" t="s">
        <v>6</v>
      </c>
      <c r="D205" s="2">
        <v>43676</v>
      </c>
      <c r="E205" s="3">
        <v>43676.606939999998</v>
      </c>
      <c r="F205" s="3">
        <v>43676.610419999997</v>
      </c>
      <c r="H205">
        <v>32.78</v>
      </c>
      <c r="K205">
        <v>22.879279729536801</v>
      </c>
      <c r="L205" s="6">
        <v>-3.82E-5</v>
      </c>
    </row>
    <row r="206" spans="1:12" x14ac:dyDescent="0.2">
      <c r="A206" t="s">
        <v>5</v>
      </c>
      <c r="B206">
        <v>3</v>
      </c>
      <c r="C206" t="s">
        <v>4</v>
      </c>
      <c r="D206" s="2">
        <v>43676</v>
      </c>
      <c r="E206" s="3">
        <v>43676.611810000002</v>
      </c>
      <c r="F206" s="3">
        <v>43676.615279999998</v>
      </c>
      <c r="G206">
        <v>3.9</v>
      </c>
      <c r="H206">
        <v>32.78</v>
      </c>
      <c r="I206">
        <v>32.5</v>
      </c>
      <c r="J206">
        <v>0.79</v>
      </c>
      <c r="K206">
        <v>-15.0709546552528</v>
      </c>
      <c r="L206">
        <v>3.3042829999999999E-3</v>
      </c>
    </row>
    <row r="207" spans="1:12" x14ac:dyDescent="0.2">
      <c r="A207" t="s">
        <v>5</v>
      </c>
      <c r="B207">
        <v>3</v>
      </c>
      <c r="C207" t="s">
        <v>6</v>
      </c>
      <c r="D207" s="2">
        <v>43676</v>
      </c>
      <c r="E207" s="3">
        <v>43676.616670000003</v>
      </c>
      <c r="F207" s="3">
        <v>43676.620139999999</v>
      </c>
      <c r="H207">
        <v>32.78</v>
      </c>
      <c r="K207">
        <v>13.6488800746887</v>
      </c>
      <c r="L207">
        <v>3.400106E-3</v>
      </c>
    </row>
    <row r="208" spans="1:12" x14ac:dyDescent="0.2">
      <c r="A208" t="s">
        <v>5</v>
      </c>
      <c r="B208">
        <v>4</v>
      </c>
      <c r="C208" t="s">
        <v>4</v>
      </c>
      <c r="D208" s="2">
        <v>43676</v>
      </c>
      <c r="E208" s="3">
        <v>43676.621529999997</v>
      </c>
      <c r="F208" s="3">
        <v>43676.625</v>
      </c>
      <c r="G208">
        <v>2</v>
      </c>
      <c r="H208">
        <v>32.78</v>
      </c>
      <c r="I208">
        <v>37</v>
      </c>
      <c r="J208">
        <v>0.82</v>
      </c>
      <c r="K208">
        <v>-0.47641688327447601</v>
      </c>
      <c r="L208">
        <v>1.8750700000000001E-4</v>
      </c>
    </row>
    <row r="209" spans="1:12" x14ac:dyDescent="0.2">
      <c r="A209" t="s">
        <v>5</v>
      </c>
      <c r="B209">
        <v>4</v>
      </c>
      <c r="C209" t="s">
        <v>6</v>
      </c>
      <c r="D209" s="2">
        <v>43676</v>
      </c>
      <c r="E209" s="3">
        <v>43676.626389999998</v>
      </c>
      <c r="F209" s="3">
        <v>43676.629860000001</v>
      </c>
      <c r="H209">
        <v>32.78</v>
      </c>
      <c r="K209">
        <v>5.4662838206201201</v>
      </c>
      <c r="L209">
        <v>1.41302E-4</v>
      </c>
    </row>
    <row r="210" spans="1:12" x14ac:dyDescent="0.2">
      <c r="A210" t="s">
        <v>5</v>
      </c>
      <c r="B210">
        <v>5</v>
      </c>
      <c r="C210" t="s">
        <v>4</v>
      </c>
      <c r="D210" s="2">
        <v>43676</v>
      </c>
      <c r="E210" s="3">
        <v>43676.631249999999</v>
      </c>
      <c r="F210" s="3">
        <v>43676.634720000002</v>
      </c>
      <c r="G210">
        <v>0.8</v>
      </c>
      <c r="H210">
        <v>32.78</v>
      </c>
      <c r="I210">
        <v>39.5</v>
      </c>
      <c r="J210">
        <v>0.7</v>
      </c>
      <c r="K210">
        <v>-7.2803970136722098</v>
      </c>
      <c r="L210">
        <v>7.0629500000000001E-4</v>
      </c>
    </row>
    <row r="211" spans="1:12" x14ac:dyDescent="0.2">
      <c r="A211" t="s">
        <v>5</v>
      </c>
      <c r="B211">
        <v>5</v>
      </c>
      <c r="C211" t="s">
        <v>6</v>
      </c>
      <c r="D211" s="2">
        <v>43676</v>
      </c>
      <c r="E211" s="3">
        <v>43676.636109999999</v>
      </c>
      <c r="F211" s="3">
        <v>43676.639580000003</v>
      </c>
      <c r="H211">
        <v>32.78</v>
      </c>
      <c r="K211">
        <v>11.3627034457982</v>
      </c>
      <c r="L211">
        <v>3.6533148000000001E-2</v>
      </c>
    </row>
    <row r="212" spans="1:12" x14ac:dyDescent="0.2">
      <c r="A212" t="s">
        <v>5</v>
      </c>
      <c r="B212">
        <v>1</v>
      </c>
      <c r="C212" t="s">
        <v>4</v>
      </c>
      <c r="D212" s="2">
        <v>43684</v>
      </c>
      <c r="E212" s="3">
        <v>43684.434719999997</v>
      </c>
      <c r="F212" s="3">
        <v>43684.438190000001</v>
      </c>
      <c r="G212">
        <v>3.2</v>
      </c>
      <c r="H212">
        <v>25.56</v>
      </c>
      <c r="I212">
        <v>36.1</v>
      </c>
      <c r="J212">
        <v>0.84</v>
      </c>
      <c r="K212">
        <v>-11.55094534</v>
      </c>
      <c r="L212">
        <v>-1.4078533969754E-4</v>
      </c>
    </row>
    <row r="213" spans="1:12" x14ac:dyDescent="0.2">
      <c r="A213" t="s">
        <v>5</v>
      </c>
      <c r="B213">
        <v>1</v>
      </c>
      <c r="C213" t="s">
        <v>6</v>
      </c>
      <c r="D213" s="2">
        <v>43684</v>
      </c>
      <c r="E213" s="3">
        <v>43684.440909999998</v>
      </c>
      <c r="F213" s="3">
        <v>43684.444389999997</v>
      </c>
      <c r="H213">
        <v>25.56</v>
      </c>
      <c r="K213">
        <v>29.74967406</v>
      </c>
      <c r="L213">
        <v>-5.1838068877268996E-4</v>
      </c>
    </row>
    <row r="214" spans="1:12" x14ac:dyDescent="0.2">
      <c r="A214" t="s">
        <v>5</v>
      </c>
      <c r="B214">
        <v>2</v>
      </c>
      <c r="C214" t="s">
        <v>4</v>
      </c>
      <c r="D214" s="2">
        <v>43684</v>
      </c>
      <c r="E214" s="3">
        <v>43684.446819999997</v>
      </c>
      <c r="F214" s="3">
        <v>43684.450290000001</v>
      </c>
      <c r="G214">
        <v>4.7</v>
      </c>
      <c r="H214">
        <v>25.56</v>
      </c>
      <c r="I214">
        <v>40.299999999999997</v>
      </c>
      <c r="J214">
        <v>0.83</v>
      </c>
      <c r="K214">
        <v>-10.86525003</v>
      </c>
      <c r="L214">
        <v>-5.3260419271857905E-4</v>
      </c>
    </row>
    <row r="215" spans="1:12" x14ac:dyDescent="0.2">
      <c r="A215" t="s">
        <v>5</v>
      </c>
      <c r="B215">
        <v>2</v>
      </c>
      <c r="C215" t="s">
        <v>6</v>
      </c>
      <c r="D215" s="2">
        <v>43684</v>
      </c>
      <c r="E215" s="3">
        <v>43684.453130000002</v>
      </c>
      <c r="F215" s="3">
        <v>43684.456599999998</v>
      </c>
      <c r="H215">
        <v>25.56</v>
      </c>
      <c r="K215">
        <v>35.662731389999998</v>
      </c>
      <c r="L215">
        <v>-3.68135266780737E-4</v>
      </c>
    </row>
    <row r="216" spans="1:12" x14ac:dyDescent="0.2">
      <c r="A216" t="s">
        <v>5</v>
      </c>
      <c r="B216">
        <v>3</v>
      </c>
      <c r="C216" t="s">
        <v>4</v>
      </c>
      <c r="D216" s="2">
        <v>43684</v>
      </c>
      <c r="E216" s="3">
        <v>43684.459560000003</v>
      </c>
      <c r="F216" s="3">
        <v>43684.463029999999</v>
      </c>
      <c r="G216">
        <v>7.7</v>
      </c>
      <c r="H216">
        <v>25.56</v>
      </c>
      <c r="I216">
        <v>35.9</v>
      </c>
      <c r="J216">
        <v>0.83</v>
      </c>
      <c r="K216">
        <v>-5.0602860859999996</v>
      </c>
      <c r="L216">
        <v>-2.1667038971766699E-4</v>
      </c>
    </row>
    <row r="217" spans="1:12" x14ac:dyDescent="0.2">
      <c r="A217" t="s">
        <v>5</v>
      </c>
      <c r="B217">
        <v>3</v>
      </c>
      <c r="C217" t="s">
        <v>6</v>
      </c>
      <c r="D217" s="2">
        <v>43684</v>
      </c>
      <c r="E217" s="3">
        <v>43684.466489999999</v>
      </c>
      <c r="F217" s="3">
        <v>43684.469969999998</v>
      </c>
      <c r="H217">
        <v>25.56</v>
      </c>
      <c r="K217">
        <v>49.679934799999998</v>
      </c>
      <c r="L217">
        <v>-1.4445588037288601E-4</v>
      </c>
    </row>
    <row r="218" spans="1:12" x14ac:dyDescent="0.2">
      <c r="A218" t="s">
        <v>5</v>
      </c>
      <c r="B218">
        <v>4</v>
      </c>
      <c r="C218" t="s">
        <v>4</v>
      </c>
      <c r="D218" s="2">
        <v>43684</v>
      </c>
      <c r="E218" s="3">
        <v>43684.473030000001</v>
      </c>
      <c r="F218" s="3">
        <v>43684.476499999997</v>
      </c>
      <c r="G218">
        <v>5.2</v>
      </c>
      <c r="H218">
        <v>25.56</v>
      </c>
      <c r="I218">
        <v>44.9</v>
      </c>
      <c r="J218">
        <v>0.82</v>
      </c>
      <c r="K218">
        <v>-6.7156368459999998</v>
      </c>
      <c r="L218" s="6">
        <v>-8.4027305343072401E-5</v>
      </c>
    </row>
    <row r="219" spans="1:12" x14ac:dyDescent="0.2">
      <c r="A219" t="s">
        <v>5</v>
      </c>
      <c r="B219">
        <v>4</v>
      </c>
      <c r="C219" t="s">
        <v>6</v>
      </c>
      <c r="D219" s="2">
        <v>43684</v>
      </c>
      <c r="E219" s="3">
        <v>43684.479859999999</v>
      </c>
      <c r="F219" s="3">
        <v>43684.483330000003</v>
      </c>
      <c r="H219">
        <v>25.56</v>
      </c>
      <c r="K219">
        <v>17.213794400000001</v>
      </c>
      <c r="L219">
        <v>-2.9164924987336598E-4</v>
      </c>
    </row>
    <row r="220" spans="1:12" x14ac:dyDescent="0.2">
      <c r="A220" t="s">
        <v>5</v>
      </c>
      <c r="B220">
        <v>5</v>
      </c>
      <c r="C220" t="s">
        <v>4</v>
      </c>
      <c r="D220" s="2">
        <v>43684</v>
      </c>
      <c r="E220" s="3">
        <v>43684.486620000003</v>
      </c>
      <c r="F220" s="3">
        <v>43684.490089999999</v>
      </c>
      <c r="G220">
        <v>3.5</v>
      </c>
      <c r="H220">
        <v>26.67</v>
      </c>
      <c r="I220">
        <v>41.3</v>
      </c>
      <c r="J220">
        <v>0.84</v>
      </c>
      <c r="K220">
        <v>-5.9018980990000003</v>
      </c>
      <c r="L220">
        <v>-2.2523216825322099E-4</v>
      </c>
    </row>
    <row r="221" spans="1:12" x14ac:dyDescent="0.2">
      <c r="A221" t="s">
        <v>5</v>
      </c>
      <c r="B221">
        <v>5</v>
      </c>
      <c r="C221" t="s">
        <v>6</v>
      </c>
      <c r="D221" s="2">
        <v>43684</v>
      </c>
      <c r="E221" s="3">
        <v>43684.493060000001</v>
      </c>
      <c r="F221" s="3">
        <v>43684.496529999997</v>
      </c>
      <c r="H221">
        <v>26.67</v>
      </c>
      <c r="K221">
        <v>24.109396799999999</v>
      </c>
      <c r="L221">
        <v>-2.4822949837057602E-4</v>
      </c>
    </row>
    <row r="222" spans="1:12" x14ac:dyDescent="0.2">
      <c r="A222" t="s">
        <v>5</v>
      </c>
      <c r="B222">
        <v>1</v>
      </c>
      <c r="C222" t="s">
        <v>4</v>
      </c>
      <c r="D222" s="2">
        <v>43684</v>
      </c>
      <c r="E222" s="3">
        <v>43684.55661</v>
      </c>
      <c r="F222" s="3">
        <v>43684.560080000003</v>
      </c>
      <c r="G222">
        <v>2.2999999999999998</v>
      </c>
      <c r="H222">
        <v>27.78</v>
      </c>
      <c r="I222">
        <v>43.7</v>
      </c>
      <c r="J222">
        <v>0.75</v>
      </c>
      <c r="K222">
        <v>-6.0011252749491399</v>
      </c>
      <c r="L222" s="6">
        <v>-2.9499999999999999E-5</v>
      </c>
    </row>
    <row r="223" spans="1:12" x14ac:dyDescent="0.2">
      <c r="A223" t="s">
        <v>5</v>
      </c>
      <c r="B223">
        <v>1</v>
      </c>
      <c r="C223" t="s">
        <v>6</v>
      </c>
      <c r="D223" s="2">
        <v>43684</v>
      </c>
      <c r="E223" s="3">
        <v>43684.562189999997</v>
      </c>
      <c r="F223" s="3">
        <v>43684.56566</v>
      </c>
      <c r="H223">
        <v>27.78</v>
      </c>
      <c r="K223">
        <v>29.838820601966599</v>
      </c>
      <c r="L223">
        <v>-2.8870499999999999E-4</v>
      </c>
    </row>
    <row r="224" spans="1:12" x14ac:dyDescent="0.2">
      <c r="A224" t="s">
        <v>5</v>
      </c>
      <c r="B224">
        <v>2</v>
      </c>
      <c r="C224" t="s">
        <v>4</v>
      </c>
      <c r="D224" s="2">
        <v>43684</v>
      </c>
      <c r="E224" s="3">
        <v>43684.568059999998</v>
      </c>
      <c r="F224" s="3">
        <v>43684.571530000001</v>
      </c>
      <c r="G224">
        <v>2.2999999999999998</v>
      </c>
      <c r="H224">
        <v>27.78</v>
      </c>
      <c r="I224">
        <v>40.299999999999997</v>
      </c>
      <c r="J224">
        <v>0.75</v>
      </c>
      <c r="K224">
        <v>-4.0152110405527699</v>
      </c>
      <c r="L224">
        <v>-2.0147599999999999E-4</v>
      </c>
    </row>
    <row r="225" spans="1:12" x14ac:dyDescent="0.2">
      <c r="A225" t="s">
        <v>5</v>
      </c>
      <c r="B225">
        <v>2</v>
      </c>
      <c r="C225" t="s">
        <v>6</v>
      </c>
      <c r="D225" s="2">
        <v>43684</v>
      </c>
      <c r="E225" s="3">
        <v>43684.574630000003</v>
      </c>
      <c r="F225" s="3">
        <v>43684.578099999999</v>
      </c>
      <c r="H225">
        <v>27.78</v>
      </c>
      <c r="K225">
        <v>30.526116590412499</v>
      </c>
      <c r="L225">
        <v>7.0503600000000003E-3</v>
      </c>
    </row>
    <row r="226" spans="1:12" x14ac:dyDescent="0.2">
      <c r="A226" t="s">
        <v>5</v>
      </c>
      <c r="B226">
        <v>3</v>
      </c>
      <c r="C226" t="s">
        <v>4</v>
      </c>
      <c r="D226" s="2">
        <v>43684</v>
      </c>
      <c r="E226" s="3">
        <v>43684.580950000003</v>
      </c>
      <c r="F226" s="3">
        <v>43684.584419999999</v>
      </c>
      <c r="G226">
        <v>7.7</v>
      </c>
      <c r="H226">
        <v>27.78</v>
      </c>
      <c r="I226">
        <v>37.700000000000003</v>
      </c>
      <c r="J226">
        <v>0.81</v>
      </c>
      <c r="K226">
        <v>-7.7665341065816298</v>
      </c>
      <c r="L226">
        <v>-2.84075E-3</v>
      </c>
    </row>
    <row r="227" spans="1:12" x14ac:dyDescent="0.2">
      <c r="A227" t="s">
        <v>5</v>
      </c>
      <c r="B227">
        <v>3</v>
      </c>
      <c r="C227" t="s">
        <v>6</v>
      </c>
      <c r="D227" s="2">
        <v>43684</v>
      </c>
      <c r="E227" s="3">
        <v>43684.587359999998</v>
      </c>
      <c r="F227" s="3">
        <v>43684.590830000001</v>
      </c>
      <c r="H227">
        <v>27.78</v>
      </c>
      <c r="K227">
        <v>40.198948508238502</v>
      </c>
      <c r="L227" s="6">
        <v>2.05E-7</v>
      </c>
    </row>
    <row r="228" spans="1:12" x14ac:dyDescent="0.2">
      <c r="A228" t="s">
        <v>5</v>
      </c>
      <c r="B228">
        <v>4</v>
      </c>
      <c r="C228" t="s">
        <v>4</v>
      </c>
      <c r="D228" s="2">
        <v>43684</v>
      </c>
      <c r="E228" s="3">
        <v>43684.593480000003</v>
      </c>
      <c r="F228" s="3">
        <v>43684.596960000003</v>
      </c>
      <c r="G228">
        <v>3.9</v>
      </c>
      <c r="H228">
        <v>28.89</v>
      </c>
      <c r="I228">
        <v>49.6</v>
      </c>
      <c r="J228">
        <v>0.81</v>
      </c>
      <c r="K228">
        <v>-4.5973835595273496</v>
      </c>
      <c r="L228" s="6">
        <v>-4.07E-8</v>
      </c>
    </row>
    <row r="229" spans="1:12" x14ac:dyDescent="0.2">
      <c r="A229" t="s">
        <v>5</v>
      </c>
      <c r="B229">
        <v>4</v>
      </c>
      <c r="C229" t="s">
        <v>6</v>
      </c>
      <c r="D229" s="2">
        <v>43684</v>
      </c>
      <c r="E229" s="3">
        <v>43684.599829999999</v>
      </c>
      <c r="F229" s="3">
        <v>43684.603300000002</v>
      </c>
      <c r="H229">
        <v>28.89</v>
      </c>
      <c r="K229">
        <v>15.946684783885001</v>
      </c>
      <c r="L229" s="6">
        <v>3.9700000000000002E-7</v>
      </c>
    </row>
    <row r="230" spans="1:12" x14ac:dyDescent="0.2">
      <c r="A230" t="s">
        <v>5</v>
      </c>
      <c r="B230">
        <v>5</v>
      </c>
      <c r="C230" t="s">
        <v>4</v>
      </c>
      <c r="D230" s="2">
        <v>43684</v>
      </c>
      <c r="E230" s="3">
        <v>43684.60613</v>
      </c>
      <c r="F230" s="3">
        <v>43684.60961</v>
      </c>
      <c r="G230">
        <v>0.9</v>
      </c>
      <c r="H230">
        <v>28.89</v>
      </c>
      <c r="I230">
        <v>42.5</v>
      </c>
      <c r="J230">
        <v>0.76</v>
      </c>
      <c r="K230">
        <v>-6.0937826280620904</v>
      </c>
      <c r="L230" s="6">
        <v>7.6300000000000002E-8</v>
      </c>
    </row>
    <row r="231" spans="1:12" x14ac:dyDescent="0.2">
      <c r="A231" t="s">
        <v>5</v>
      </c>
      <c r="B231">
        <v>5</v>
      </c>
      <c r="C231" t="s">
        <v>6</v>
      </c>
      <c r="D231" s="2">
        <v>43684</v>
      </c>
      <c r="E231" s="3">
        <v>43684.612500000003</v>
      </c>
      <c r="F231" s="3">
        <v>43684.615969999999</v>
      </c>
      <c r="H231">
        <v>28.89</v>
      </c>
      <c r="K231">
        <v>24.659175066951299</v>
      </c>
      <c r="L231" s="6">
        <v>1.6400000000000001E-8</v>
      </c>
    </row>
    <row r="232" spans="1:12" x14ac:dyDescent="0.2">
      <c r="A232" t="s">
        <v>5</v>
      </c>
      <c r="B232">
        <v>1</v>
      </c>
      <c r="C232" t="s">
        <v>4</v>
      </c>
      <c r="D232" s="2">
        <v>43689</v>
      </c>
      <c r="E232" s="3">
        <v>43689.440629999997</v>
      </c>
      <c r="F232" s="3">
        <v>43689.444100000001</v>
      </c>
      <c r="G232">
        <v>2.2999999999999998</v>
      </c>
      <c r="H232">
        <v>22.22</v>
      </c>
      <c r="I232">
        <v>34.700000000000003</v>
      </c>
      <c r="J232">
        <v>0.67</v>
      </c>
      <c r="K232">
        <v>3.8178373613970198</v>
      </c>
      <c r="L232">
        <v>-3.43641E-4</v>
      </c>
    </row>
    <row r="233" spans="1:12" x14ac:dyDescent="0.2">
      <c r="A233" t="s">
        <v>5</v>
      </c>
      <c r="B233">
        <v>1</v>
      </c>
      <c r="C233" t="s">
        <v>6</v>
      </c>
      <c r="D233" s="2">
        <v>43689</v>
      </c>
      <c r="E233" s="3">
        <v>43689.4467</v>
      </c>
      <c r="F233" s="3">
        <v>43689.450169999996</v>
      </c>
      <c r="H233">
        <v>22.22</v>
      </c>
      <c r="K233">
        <v>24.628849142218701</v>
      </c>
      <c r="L233">
        <v>-2.2737899999999999E-4</v>
      </c>
    </row>
    <row r="234" spans="1:12" x14ac:dyDescent="0.2">
      <c r="A234" t="s">
        <v>5</v>
      </c>
      <c r="B234">
        <v>2</v>
      </c>
      <c r="C234" t="s">
        <v>4</v>
      </c>
      <c r="D234" s="2">
        <v>43689</v>
      </c>
      <c r="E234" s="3">
        <v>43689.45347</v>
      </c>
      <c r="F234" s="3">
        <v>43689.456939999996</v>
      </c>
      <c r="G234">
        <v>2.2999999999999998</v>
      </c>
      <c r="H234">
        <v>22.22</v>
      </c>
      <c r="I234">
        <v>42</v>
      </c>
      <c r="J234">
        <v>0.76</v>
      </c>
      <c r="K234">
        <v>3.9425131469966002</v>
      </c>
      <c r="L234">
        <v>-1.3715900000000001E-4</v>
      </c>
    </row>
    <row r="235" spans="1:12" x14ac:dyDescent="0.2">
      <c r="A235" t="s">
        <v>5</v>
      </c>
      <c r="B235">
        <v>2</v>
      </c>
      <c r="C235" t="s">
        <v>6</v>
      </c>
      <c r="D235" s="2">
        <v>43689</v>
      </c>
      <c r="E235" s="3">
        <v>43689.460800000001</v>
      </c>
      <c r="F235" s="3">
        <v>43689.464269999997</v>
      </c>
      <c r="H235">
        <v>22.22</v>
      </c>
      <c r="K235">
        <v>31.032681325649399</v>
      </c>
      <c r="L235">
        <v>-3.5870800000000001E-4</v>
      </c>
    </row>
    <row r="236" spans="1:12" x14ac:dyDescent="0.2">
      <c r="A236" t="s">
        <v>5</v>
      </c>
      <c r="B236">
        <v>3</v>
      </c>
      <c r="C236" t="s">
        <v>4</v>
      </c>
      <c r="D236" s="2">
        <v>43689</v>
      </c>
      <c r="E236" s="3">
        <v>43689.469100000002</v>
      </c>
      <c r="F236" s="3">
        <v>43689.472569999998</v>
      </c>
      <c r="G236">
        <v>2.7</v>
      </c>
      <c r="H236">
        <v>26.11</v>
      </c>
      <c r="I236">
        <v>39.200000000000003</v>
      </c>
      <c r="J236">
        <v>0.77</v>
      </c>
      <c r="K236">
        <v>9.7513825330575905</v>
      </c>
      <c r="L236">
        <v>-3.1439199999999998E-4</v>
      </c>
    </row>
    <row r="237" spans="1:12" x14ac:dyDescent="0.2">
      <c r="A237" t="s">
        <v>5</v>
      </c>
      <c r="B237">
        <v>3</v>
      </c>
      <c r="C237" t="s">
        <v>6</v>
      </c>
      <c r="D237" s="2">
        <v>43689</v>
      </c>
      <c r="E237" s="3">
        <v>43689.476569999999</v>
      </c>
      <c r="F237" s="3">
        <v>43689.480049999998</v>
      </c>
      <c r="H237">
        <v>26.11</v>
      </c>
      <c r="K237">
        <v>51.876571489484</v>
      </c>
      <c r="L237">
        <v>-2.3324000000000001E-4</v>
      </c>
    </row>
    <row r="238" spans="1:12" x14ac:dyDescent="0.2">
      <c r="A238" t="s">
        <v>5</v>
      </c>
      <c r="B238">
        <v>4</v>
      </c>
      <c r="C238" t="s">
        <v>4</v>
      </c>
      <c r="D238" s="2">
        <v>43689</v>
      </c>
      <c r="E238" s="3">
        <v>43689.484400000001</v>
      </c>
      <c r="F238" s="3">
        <v>43689.487500000003</v>
      </c>
      <c r="G238">
        <v>2.2999999999999998</v>
      </c>
      <c r="H238">
        <v>26.11</v>
      </c>
      <c r="I238">
        <v>37.1</v>
      </c>
      <c r="J238">
        <v>0.67</v>
      </c>
      <c r="K238">
        <v>0.961975802050968</v>
      </c>
      <c r="L238">
        <v>-1.10822E-4</v>
      </c>
    </row>
    <row r="239" spans="1:12" x14ac:dyDescent="0.2">
      <c r="A239" t="s">
        <v>5</v>
      </c>
      <c r="B239">
        <v>4</v>
      </c>
      <c r="C239" t="s">
        <v>6</v>
      </c>
      <c r="D239" s="2">
        <v>43689</v>
      </c>
      <c r="E239" s="3">
        <v>43689.49106</v>
      </c>
      <c r="F239" s="3">
        <v>43689.49454</v>
      </c>
      <c r="H239">
        <v>26.11</v>
      </c>
      <c r="K239">
        <v>10.2836190175361</v>
      </c>
      <c r="L239">
        <v>-1.6071799999999999E-4</v>
      </c>
    </row>
    <row r="240" spans="1:12" x14ac:dyDescent="0.2">
      <c r="A240" t="s">
        <v>5</v>
      </c>
      <c r="B240">
        <v>5</v>
      </c>
      <c r="C240" t="s">
        <v>4</v>
      </c>
      <c r="D240" s="2">
        <v>43689</v>
      </c>
      <c r="E240" s="3">
        <v>43689.498460000003</v>
      </c>
      <c r="F240" s="3">
        <v>43689.501929999999</v>
      </c>
      <c r="G240">
        <v>0.4</v>
      </c>
      <c r="H240">
        <v>26.11</v>
      </c>
      <c r="I240">
        <v>41.8</v>
      </c>
      <c r="J240">
        <v>0.74</v>
      </c>
      <c r="K240">
        <v>2.71415422318699</v>
      </c>
      <c r="L240" s="6">
        <v>-8.8900000000000006E-5</v>
      </c>
    </row>
    <row r="241" spans="1:12" x14ac:dyDescent="0.2">
      <c r="A241" t="s">
        <v>5</v>
      </c>
      <c r="B241">
        <v>5</v>
      </c>
      <c r="C241" t="s">
        <v>6</v>
      </c>
      <c r="D241" s="2">
        <v>43689</v>
      </c>
      <c r="E241" s="3">
        <v>43689.506419999998</v>
      </c>
      <c r="F241" s="3">
        <v>43689.509899999997</v>
      </c>
      <c r="H241">
        <v>26.11</v>
      </c>
      <c r="K241">
        <v>21.9727332661584</v>
      </c>
      <c r="L241">
        <v>-2.07238E-4</v>
      </c>
    </row>
    <row r="242" spans="1:12" x14ac:dyDescent="0.2">
      <c r="A242" t="s">
        <v>5</v>
      </c>
      <c r="B242">
        <v>1</v>
      </c>
      <c r="C242" t="s">
        <v>4</v>
      </c>
      <c r="D242" s="2">
        <v>43689</v>
      </c>
      <c r="E242" s="3">
        <v>43689.568579999999</v>
      </c>
      <c r="F242" s="3">
        <v>43689.572050000002</v>
      </c>
      <c r="G242">
        <v>1.3</v>
      </c>
      <c r="H242">
        <v>28.33</v>
      </c>
      <c r="I242">
        <v>41.1</v>
      </c>
      <c r="J242">
        <v>0.66</v>
      </c>
      <c r="K242">
        <v>7.3649887720000002</v>
      </c>
      <c r="L242">
        <v>-1.9052199999999999E-4</v>
      </c>
    </row>
    <row r="243" spans="1:12" x14ac:dyDescent="0.2">
      <c r="A243" t="s">
        <v>5</v>
      </c>
      <c r="B243">
        <v>1</v>
      </c>
      <c r="C243" t="s">
        <v>6</v>
      </c>
      <c r="D243" s="2">
        <v>43689</v>
      </c>
      <c r="E243" s="3">
        <v>43689.57546</v>
      </c>
      <c r="F243" s="3">
        <v>43689.578939999999</v>
      </c>
      <c r="H243">
        <v>28.33</v>
      </c>
      <c r="K243">
        <v>23.25149923</v>
      </c>
      <c r="L243">
        <v>-2.5638400000000002E-4</v>
      </c>
    </row>
    <row r="244" spans="1:12" x14ac:dyDescent="0.2">
      <c r="A244" t="s">
        <v>5</v>
      </c>
      <c r="B244">
        <v>2</v>
      </c>
      <c r="C244" t="s">
        <v>4</v>
      </c>
      <c r="D244" s="2">
        <v>43689</v>
      </c>
      <c r="E244" s="3">
        <v>43689.58294</v>
      </c>
      <c r="F244" s="3">
        <v>43689.586410000004</v>
      </c>
      <c r="G244">
        <v>1.4</v>
      </c>
      <c r="H244">
        <v>28.33</v>
      </c>
      <c r="I244">
        <v>39.299999999999997</v>
      </c>
      <c r="J244">
        <v>0.75</v>
      </c>
      <c r="K244">
        <v>6.2397755239999997</v>
      </c>
      <c r="L244">
        <v>-2.18889E-4</v>
      </c>
    </row>
    <row r="245" spans="1:12" x14ac:dyDescent="0.2">
      <c r="A245" t="s">
        <v>5</v>
      </c>
      <c r="B245">
        <v>2</v>
      </c>
      <c r="C245" t="s">
        <v>6</v>
      </c>
      <c r="D245" s="2">
        <v>43689</v>
      </c>
      <c r="E245" s="3">
        <v>43689.590969999997</v>
      </c>
      <c r="F245" s="3">
        <v>43689.594440000001</v>
      </c>
      <c r="H245">
        <v>28.33</v>
      </c>
      <c r="K245">
        <v>37.2419692</v>
      </c>
      <c r="L245">
        <v>-4.42781E-4</v>
      </c>
    </row>
    <row r="246" spans="1:12" x14ac:dyDescent="0.2">
      <c r="A246" t="s">
        <v>5</v>
      </c>
      <c r="B246">
        <v>3</v>
      </c>
      <c r="C246" t="s">
        <v>4</v>
      </c>
      <c r="D246" s="2">
        <v>43689</v>
      </c>
      <c r="E246" s="3">
        <v>43689.59878</v>
      </c>
      <c r="F246" s="3">
        <v>43689.60226</v>
      </c>
      <c r="G246">
        <v>4.3</v>
      </c>
      <c r="H246">
        <v>29.44</v>
      </c>
      <c r="I246">
        <v>37.6</v>
      </c>
      <c r="J246">
        <v>0.72</v>
      </c>
      <c r="K246">
        <v>11.2515553</v>
      </c>
      <c r="L246">
        <v>-3.4172800000000002E-4</v>
      </c>
    </row>
    <row r="247" spans="1:12" x14ac:dyDescent="0.2">
      <c r="A247" t="s">
        <v>5</v>
      </c>
      <c r="B247">
        <v>3</v>
      </c>
      <c r="C247" t="s">
        <v>6</v>
      </c>
      <c r="D247" s="2">
        <v>43689</v>
      </c>
      <c r="E247" s="3">
        <v>43689.60656</v>
      </c>
      <c r="F247" s="3">
        <v>43689.610030000003</v>
      </c>
      <c r="H247">
        <v>29.44</v>
      </c>
      <c r="K247">
        <v>51.773815880000001</v>
      </c>
      <c r="L247">
        <v>-2.5520300000000002E-4</v>
      </c>
    </row>
    <row r="248" spans="1:12" x14ac:dyDescent="0.2">
      <c r="A248" t="s">
        <v>5</v>
      </c>
      <c r="B248">
        <v>4</v>
      </c>
      <c r="C248" t="s">
        <v>4</v>
      </c>
      <c r="D248" s="2">
        <v>43689</v>
      </c>
      <c r="E248" s="3">
        <v>43689.613239999999</v>
      </c>
      <c r="F248" s="3">
        <v>43689.616710000002</v>
      </c>
      <c r="G248">
        <v>1.9</v>
      </c>
      <c r="H248">
        <v>29.44</v>
      </c>
      <c r="I248">
        <v>39.200000000000003</v>
      </c>
      <c r="J248">
        <v>0.71</v>
      </c>
      <c r="K248">
        <v>1.9186605080000001</v>
      </c>
      <c r="L248">
        <v>-1.6006399999999999E-4</v>
      </c>
    </row>
    <row r="249" spans="1:12" x14ac:dyDescent="0.2">
      <c r="A249" t="s">
        <v>5</v>
      </c>
      <c r="B249">
        <v>4</v>
      </c>
      <c r="C249" t="s">
        <v>6</v>
      </c>
      <c r="D249" s="2">
        <v>43689</v>
      </c>
      <c r="E249" s="3">
        <v>43689.619440000002</v>
      </c>
      <c r="F249" s="3">
        <v>43689.622920000002</v>
      </c>
      <c r="H249">
        <v>29.44</v>
      </c>
      <c r="K249">
        <v>10.13095023</v>
      </c>
      <c r="L249">
        <v>-2.07853E-4</v>
      </c>
    </row>
    <row r="250" spans="1:12" x14ac:dyDescent="0.2">
      <c r="A250" t="s">
        <v>5</v>
      </c>
      <c r="B250">
        <v>5</v>
      </c>
      <c r="C250" t="s">
        <v>4</v>
      </c>
      <c r="D250" s="2">
        <v>43689</v>
      </c>
      <c r="E250" s="3">
        <v>43689.626080000002</v>
      </c>
      <c r="F250" s="3">
        <v>43689.629549999998</v>
      </c>
      <c r="G250">
        <v>3.1</v>
      </c>
      <c r="H250">
        <v>29.44</v>
      </c>
      <c r="I250">
        <v>38.5</v>
      </c>
      <c r="J250">
        <v>0.74</v>
      </c>
      <c r="K250">
        <v>-0.55774502299999995</v>
      </c>
      <c r="L250" s="6">
        <v>-2.69E-5</v>
      </c>
    </row>
    <row r="251" spans="1:12" x14ac:dyDescent="0.2">
      <c r="A251" t="s">
        <v>5</v>
      </c>
      <c r="B251">
        <v>5</v>
      </c>
      <c r="C251" t="s">
        <v>6</v>
      </c>
      <c r="D251" s="2">
        <v>43689</v>
      </c>
      <c r="E251" s="3">
        <v>43689.63306</v>
      </c>
      <c r="F251" s="3">
        <v>43689.636530000003</v>
      </c>
      <c r="H251">
        <v>29.44</v>
      </c>
      <c r="K251">
        <v>18.12815187</v>
      </c>
      <c r="L251">
        <v>-1.76548E-4</v>
      </c>
    </row>
    <row r="252" spans="1:12" x14ac:dyDescent="0.2">
      <c r="A252" t="s">
        <v>5</v>
      </c>
      <c r="B252">
        <v>1</v>
      </c>
      <c r="C252" t="s">
        <v>4</v>
      </c>
      <c r="D252" s="2">
        <v>43693</v>
      </c>
      <c r="E252" s="3">
        <v>43693.5265</v>
      </c>
      <c r="F252" s="3">
        <v>43693.529979999999</v>
      </c>
      <c r="G252">
        <v>2</v>
      </c>
      <c r="H252">
        <v>25</v>
      </c>
      <c r="I252">
        <v>44.4</v>
      </c>
      <c r="J252">
        <v>0.73</v>
      </c>
      <c r="K252">
        <v>-0.95211265776332499</v>
      </c>
      <c r="L252" s="6">
        <v>-7.8287875451922196E-5</v>
      </c>
    </row>
    <row r="253" spans="1:12" x14ac:dyDescent="0.2">
      <c r="A253" t="s">
        <v>5</v>
      </c>
      <c r="B253">
        <v>1</v>
      </c>
      <c r="C253" t="s">
        <v>6</v>
      </c>
      <c r="D253" s="2">
        <v>43693</v>
      </c>
      <c r="E253" s="3">
        <v>43693.531419999999</v>
      </c>
      <c r="F253" s="3">
        <v>43693.534899999999</v>
      </c>
      <c r="H253">
        <v>25</v>
      </c>
      <c r="K253">
        <v>22.199886513472201</v>
      </c>
      <c r="L253">
        <v>-4.35224883955791E-4</v>
      </c>
    </row>
    <row r="254" spans="1:12" x14ac:dyDescent="0.2">
      <c r="A254" t="s">
        <v>5</v>
      </c>
      <c r="B254">
        <v>2</v>
      </c>
      <c r="C254" t="s">
        <v>4</v>
      </c>
      <c r="D254" s="2">
        <v>43693</v>
      </c>
      <c r="E254" s="3">
        <v>43693.53686</v>
      </c>
      <c r="F254" s="3">
        <v>43693.54034</v>
      </c>
      <c r="G254">
        <v>2.9</v>
      </c>
      <c r="H254">
        <v>25</v>
      </c>
      <c r="I254">
        <v>41.4</v>
      </c>
      <c r="J254">
        <v>0.71</v>
      </c>
      <c r="K254">
        <v>2.5696687816874202</v>
      </c>
      <c r="L254">
        <v>-3.21976805227636E-4</v>
      </c>
    </row>
    <row r="255" spans="1:12" x14ac:dyDescent="0.2">
      <c r="A255" t="s">
        <v>5</v>
      </c>
      <c r="B255">
        <v>2</v>
      </c>
      <c r="C255" t="s">
        <v>6</v>
      </c>
      <c r="D255" s="2">
        <v>43693</v>
      </c>
      <c r="E255" s="3">
        <v>43693.541960000002</v>
      </c>
      <c r="F255" s="3">
        <v>43693.545429999998</v>
      </c>
      <c r="H255">
        <v>25</v>
      </c>
      <c r="K255">
        <v>27.371432810179101</v>
      </c>
      <c r="L255">
        <v>-2.2668220904701399E-4</v>
      </c>
    </row>
    <row r="256" spans="1:12" x14ac:dyDescent="0.2">
      <c r="A256" t="s">
        <v>5</v>
      </c>
      <c r="B256">
        <v>3</v>
      </c>
      <c r="C256" t="s">
        <v>4</v>
      </c>
      <c r="D256" s="2">
        <v>43693</v>
      </c>
      <c r="E256" s="3">
        <v>43693.547050000001</v>
      </c>
      <c r="F256" s="3">
        <v>43693.550519999997</v>
      </c>
      <c r="G256">
        <v>2.2000000000000002</v>
      </c>
      <c r="H256">
        <v>25</v>
      </c>
      <c r="I256">
        <v>42.5</v>
      </c>
      <c r="J256">
        <v>0.71</v>
      </c>
      <c r="K256">
        <v>3.2857712378822699</v>
      </c>
      <c r="L256">
        <v>-2.72380814163273E-4</v>
      </c>
    </row>
    <row r="257" spans="1:12" x14ac:dyDescent="0.2">
      <c r="A257" t="s">
        <v>5</v>
      </c>
      <c r="B257">
        <v>3</v>
      </c>
      <c r="C257" t="s">
        <v>6</v>
      </c>
      <c r="D257" s="2">
        <v>43693</v>
      </c>
      <c r="E257" s="3">
        <v>43693.551910000002</v>
      </c>
      <c r="F257" s="3">
        <v>43693.555379999998</v>
      </c>
      <c r="H257">
        <v>25</v>
      </c>
      <c r="K257">
        <v>40.2021090529989</v>
      </c>
      <c r="L257" s="6">
        <v>-4.24624719624299E-5</v>
      </c>
    </row>
    <row r="258" spans="1:12" x14ac:dyDescent="0.2">
      <c r="A258" t="s">
        <v>5</v>
      </c>
      <c r="B258">
        <v>4</v>
      </c>
      <c r="C258" t="s">
        <v>4</v>
      </c>
      <c r="D258" s="2">
        <v>43693</v>
      </c>
      <c r="E258" s="3">
        <v>43693.557289999997</v>
      </c>
      <c r="F258" s="3">
        <v>43693.56076</v>
      </c>
      <c r="G258">
        <v>4.3</v>
      </c>
      <c r="H258">
        <v>25</v>
      </c>
      <c r="I258">
        <v>41.9</v>
      </c>
      <c r="J258">
        <v>0.78</v>
      </c>
      <c r="K258">
        <v>-1.00949939884317</v>
      </c>
      <c r="L258" s="6">
        <v>-4.1247149851961901E-5</v>
      </c>
    </row>
    <row r="259" spans="1:12" x14ac:dyDescent="0.2">
      <c r="A259" t="s">
        <v>5</v>
      </c>
      <c r="B259">
        <v>4</v>
      </c>
      <c r="C259" t="s">
        <v>6</v>
      </c>
      <c r="D259" s="2">
        <v>43693</v>
      </c>
      <c r="E259" s="3">
        <v>43693.562149999998</v>
      </c>
      <c r="F259" s="3">
        <v>43693.565629999997</v>
      </c>
      <c r="H259">
        <v>25</v>
      </c>
      <c r="K259">
        <v>9.8973562452043993</v>
      </c>
      <c r="L259" s="6">
        <v>2.7453027943480002E-5</v>
      </c>
    </row>
    <row r="260" spans="1:12" x14ac:dyDescent="0.2">
      <c r="A260" t="s">
        <v>5</v>
      </c>
      <c r="B260">
        <v>5</v>
      </c>
      <c r="C260" t="s">
        <v>4</v>
      </c>
      <c r="D260" s="2">
        <v>43693</v>
      </c>
      <c r="E260" s="3">
        <v>43693.56667</v>
      </c>
      <c r="F260" s="3">
        <v>43693.570140000003</v>
      </c>
      <c r="G260">
        <v>3.2</v>
      </c>
      <c r="H260">
        <v>26.11</v>
      </c>
      <c r="I260">
        <v>44</v>
      </c>
      <c r="J260">
        <v>0.68</v>
      </c>
      <c r="K260">
        <v>-3.0400976927450798</v>
      </c>
      <c r="L260">
        <v>1.7302057249841699E-4</v>
      </c>
    </row>
    <row r="261" spans="1:12" x14ac:dyDescent="0.2">
      <c r="A261" t="s">
        <v>5</v>
      </c>
      <c r="B261">
        <v>5</v>
      </c>
      <c r="C261" t="s">
        <v>6</v>
      </c>
      <c r="D261" s="2">
        <v>43693</v>
      </c>
      <c r="E261" s="3">
        <v>43693.571759999999</v>
      </c>
      <c r="F261" s="3">
        <v>43693.575230000002</v>
      </c>
      <c r="H261">
        <v>26.11</v>
      </c>
      <c r="K261">
        <v>18.016869135634501</v>
      </c>
      <c r="L261" s="6">
        <v>-7.3611569768397905E-5</v>
      </c>
    </row>
    <row r="262" spans="1:12" x14ac:dyDescent="0.2">
      <c r="A262" t="s">
        <v>5</v>
      </c>
      <c r="B262">
        <v>1</v>
      </c>
      <c r="C262" t="s">
        <v>4</v>
      </c>
      <c r="D262" s="2">
        <v>43693</v>
      </c>
      <c r="E262" s="3">
        <v>43693.615149999998</v>
      </c>
      <c r="F262" s="3">
        <v>43693.618620000001</v>
      </c>
      <c r="G262">
        <v>3.9</v>
      </c>
      <c r="H262">
        <v>26.67</v>
      </c>
      <c r="I262">
        <v>42.3</v>
      </c>
      <c r="J262">
        <v>0.74</v>
      </c>
      <c r="K262">
        <v>-1.2291192935136599</v>
      </c>
      <c r="L262">
        <v>-1.9753956327653199E-4</v>
      </c>
    </row>
    <row r="263" spans="1:12" x14ac:dyDescent="0.2">
      <c r="A263" t="s">
        <v>5</v>
      </c>
      <c r="B263">
        <v>1</v>
      </c>
      <c r="C263" t="s">
        <v>6</v>
      </c>
      <c r="D263" s="2">
        <v>43693</v>
      </c>
      <c r="E263" s="3">
        <v>43693.623209999998</v>
      </c>
      <c r="F263" s="3">
        <v>43693.626680000001</v>
      </c>
      <c r="H263">
        <v>26.67</v>
      </c>
      <c r="K263">
        <v>15.601741367958301</v>
      </c>
      <c r="L263" s="6">
        <v>-3.7615512864046402E-5</v>
      </c>
    </row>
    <row r="264" spans="1:12" x14ac:dyDescent="0.2">
      <c r="A264" t="s">
        <v>5</v>
      </c>
      <c r="B264">
        <v>2</v>
      </c>
      <c r="C264" t="s">
        <v>4</v>
      </c>
      <c r="D264" s="2">
        <v>43693</v>
      </c>
      <c r="E264" s="3">
        <v>43693.628299999997</v>
      </c>
      <c r="F264" s="3">
        <v>43693.63177</v>
      </c>
      <c r="G264">
        <v>3.1</v>
      </c>
      <c r="H264">
        <v>26.67</v>
      </c>
      <c r="I264">
        <v>42.1</v>
      </c>
      <c r="J264">
        <v>0.73</v>
      </c>
      <c r="K264">
        <v>3.3093660837491901</v>
      </c>
      <c r="L264" s="6">
        <v>-8.5359467017712202E-5</v>
      </c>
    </row>
    <row r="265" spans="1:12" x14ac:dyDescent="0.2">
      <c r="A265" t="s">
        <v>5</v>
      </c>
      <c r="B265">
        <v>2</v>
      </c>
      <c r="C265" t="s">
        <v>6</v>
      </c>
      <c r="D265" s="2">
        <v>43693</v>
      </c>
      <c r="E265" s="3">
        <v>43693.633450000001</v>
      </c>
      <c r="F265" s="3">
        <v>43693.636919999997</v>
      </c>
      <c r="H265">
        <v>26.67</v>
      </c>
      <c r="K265">
        <v>21.281817162693098</v>
      </c>
      <c r="L265" s="6">
        <v>-4.5496489935444502E-5</v>
      </c>
    </row>
    <row r="266" spans="1:12" x14ac:dyDescent="0.2">
      <c r="A266" t="s">
        <v>5</v>
      </c>
      <c r="B266">
        <v>3</v>
      </c>
      <c r="C266" t="s">
        <v>4</v>
      </c>
      <c r="D266" s="2">
        <v>43693</v>
      </c>
      <c r="E266" s="3">
        <v>43693.63854</v>
      </c>
      <c r="F266" s="3">
        <v>43693.642010000003</v>
      </c>
      <c r="G266">
        <v>4.7</v>
      </c>
      <c r="H266">
        <v>26.67</v>
      </c>
      <c r="I266">
        <v>44.1</v>
      </c>
      <c r="J266">
        <v>0.74</v>
      </c>
      <c r="K266">
        <v>0.60623462697721398</v>
      </c>
      <c r="L266" s="6">
        <v>6.6997112230268206E-5</v>
      </c>
    </row>
    <row r="267" spans="1:12" x14ac:dyDescent="0.2">
      <c r="A267" t="s">
        <v>5</v>
      </c>
      <c r="B267">
        <v>3</v>
      </c>
      <c r="C267" t="s">
        <v>6</v>
      </c>
      <c r="D267" s="2">
        <v>43693</v>
      </c>
      <c r="E267" s="3">
        <v>43693.643629999999</v>
      </c>
      <c r="F267" s="3">
        <v>43693.647109999998</v>
      </c>
      <c r="H267">
        <v>26.67</v>
      </c>
      <c r="K267">
        <v>26.355275843693502</v>
      </c>
      <c r="L267">
        <v>1.3305772215711E-4</v>
      </c>
    </row>
    <row r="268" spans="1:12" x14ac:dyDescent="0.2">
      <c r="A268" t="s">
        <v>5</v>
      </c>
      <c r="B268">
        <v>4</v>
      </c>
      <c r="C268" t="s">
        <v>4</v>
      </c>
      <c r="D268" s="2">
        <v>43693</v>
      </c>
      <c r="E268" s="3">
        <v>43693.648379999999</v>
      </c>
      <c r="F268" s="3">
        <v>43693.651850000002</v>
      </c>
      <c r="G268">
        <v>3.9</v>
      </c>
      <c r="H268">
        <v>27.78</v>
      </c>
      <c r="I268">
        <v>39.799999999999997</v>
      </c>
      <c r="J268">
        <v>0.79</v>
      </c>
      <c r="K268">
        <v>-2.8885200750920599</v>
      </c>
      <c r="L268" s="6">
        <v>2.63984353931506E-5</v>
      </c>
    </row>
    <row r="269" spans="1:12" x14ac:dyDescent="0.2">
      <c r="A269" t="s">
        <v>5</v>
      </c>
      <c r="B269">
        <v>4</v>
      </c>
      <c r="C269" t="s">
        <v>6</v>
      </c>
      <c r="D269" s="2">
        <v>43693</v>
      </c>
      <c r="E269" s="3">
        <v>43693.653989999999</v>
      </c>
      <c r="F269" s="3">
        <v>43693.657469999998</v>
      </c>
      <c r="H269">
        <v>27.78</v>
      </c>
      <c r="K269">
        <v>7.4719514863961098</v>
      </c>
      <c r="L269" s="6">
        <v>-8.8843471763801895E-5</v>
      </c>
    </row>
    <row r="270" spans="1:12" x14ac:dyDescent="0.2">
      <c r="A270" t="s">
        <v>5</v>
      </c>
      <c r="B270">
        <v>5</v>
      </c>
      <c r="C270" t="s">
        <v>4</v>
      </c>
      <c r="D270" s="2">
        <v>43693</v>
      </c>
      <c r="E270" s="3">
        <v>43693.658159999999</v>
      </c>
      <c r="F270" s="3">
        <v>43693.661630000002</v>
      </c>
      <c r="G270">
        <v>3.9</v>
      </c>
      <c r="H270">
        <v>27.78</v>
      </c>
      <c r="I270">
        <v>43.7</v>
      </c>
      <c r="J270">
        <v>0.69</v>
      </c>
      <c r="K270">
        <v>-1.9230938977546399</v>
      </c>
      <c r="L270">
        <v>-1.10887780471113E-4</v>
      </c>
    </row>
    <row r="271" spans="1:12" x14ac:dyDescent="0.2">
      <c r="A271" t="s">
        <v>5</v>
      </c>
      <c r="B271">
        <v>5</v>
      </c>
      <c r="C271" t="s">
        <v>6</v>
      </c>
      <c r="D271" s="2">
        <v>43693</v>
      </c>
      <c r="E271" s="3">
        <v>43693.662669999998</v>
      </c>
      <c r="F271" s="3">
        <v>43693.666149999997</v>
      </c>
      <c r="H271">
        <v>27.78</v>
      </c>
      <c r="K271">
        <v>15.6332075592737</v>
      </c>
      <c r="L271">
        <v>-1.20064417566567E-4</v>
      </c>
    </row>
    <row r="272" spans="1:12" x14ac:dyDescent="0.2">
      <c r="A272" t="s">
        <v>5</v>
      </c>
      <c r="B272">
        <v>1</v>
      </c>
      <c r="C272" t="s">
        <v>4</v>
      </c>
      <c r="D272" s="2">
        <v>43696</v>
      </c>
      <c r="E272" s="3">
        <v>43696.502489999999</v>
      </c>
      <c r="F272" s="3">
        <v>43696.505960000002</v>
      </c>
      <c r="G272">
        <v>14.7</v>
      </c>
      <c r="H272">
        <v>28.33</v>
      </c>
      <c r="I272">
        <v>42.3</v>
      </c>
      <c r="J272">
        <v>0.83</v>
      </c>
      <c r="K272">
        <v>-10.7719596073501</v>
      </c>
      <c r="L272" s="6">
        <v>-9.1387026380695396E-5</v>
      </c>
    </row>
    <row r="273" spans="1:12" x14ac:dyDescent="0.2">
      <c r="A273" t="s">
        <v>5</v>
      </c>
      <c r="B273">
        <v>1</v>
      </c>
      <c r="C273" t="s">
        <v>6</v>
      </c>
      <c r="D273" s="2">
        <v>43696</v>
      </c>
      <c r="E273" s="3">
        <v>43696.508739999997</v>
      </c>
      <c r="F273" s="3">
        <v>43696.512210000001</v>
      </c>
      <c r="H273">
        <v>28.33</v>
      </c>
      <c r="K273">
        <v>37.229219802055503</v>
      </c>
      <c r="L273">
        <v>-1.2523843731701201E-4</v>
      </c>
    </row>
    <row r="274" spans="1:12" x14ac:dyDescent="0.2">
      <c r="A274" t="s">
        <v>5</v>
      </c>
      <c r="B274">
        <v>2</v>
      </c>
      <c r="C274" t="s">
        <v>4</v>
      </c>
      <c r="D274" s="2">
        <v>43696</v>
      </c>
      <c r="E274" s="3">
        <v>43696.514410000003</v>
      </c>
      <c r="F274" s="3">
        <v>43696.517879999999</v>
      </c>
      <c r="G274">
        <v>18.7</v>
      </c>
      <c r="H274">
        <v>28.33</v>
      </c>
      <c r="I274">
        <v>35.799999999999997</v>
      </c>
      <c r="J274">
        <v>0.83</v>
      </c>
      <c r="K274">
        <v>-9.6689057344957092</v>
      </c>
      <c r="L274">
        <v>-1.08913387676708E-4</v>
      </c>
    </row>
    <row r="275" spans="1:12" x14ac:dyDescent="0.2">
      <c r="A275" t="s">
        <v>5</v>
      </c>
      <c r="B275">
        <v>2</v>
      </c>
      <c r="C275" t="s">
        <v>6</v>
      </c>
      <c r="D275" s="2">
        <v>43696</v>
      </c>
      <c r="E275" s="3">
        <v>43696.520140000001</v>
      </c>
      <c r="F275" s="3">
        <v>43696.523609999997</v>
      </c>
      <c r="H275">
        <v>28.33</v>
      </c>
      <c r="K275">
        <v>38.043379995329801</v>
      </c>
      <c r="L275">
        <v>-1.44827177957467E-4</v>
      </c>
    </row>
    <row r="276" spans="1:12" x14ac:dyDescent="0.2">
      <c r="A276" t="s">
        <v>5</v>
      </c>
      <c r="B276">
        <v>3</v>
      </c>
      <c r="C276" t="s">
        <v>4</v>
      </c>
      <c r="D276" s="2">
        <v>43696</v>
      </c>
      <c r="E276" s="3">
        <v>43696.525459999997</v>
      </c>
      <c r="F276" s="3">
        <v>43696.528939999997</v>
      </c>
      <c r="G276">
        <v>12.9</v>
      </c>
      <c r="H276">
        <v>28.33</v>
      </c>
      <c r="I276">
        <v>46</v>
      </c>
      <c r="J276">
        <v>0.81</v>
      </c>
      <c r="K276">
        <v>-4.1043253153247603</v>
      </c>
      <c r="L276">
        <v>1.4183579678924999E-4</v>
      </c>
    </row>
    <row r="277" spans="1:12" x14ac:dyDescent="0.2">
      <c r="A277" t="s">
        <v>5</v>
      </c>
      <c r="B277">
        <v>3</v>
      </c>
      <c r="C277" t="s">
        <v>6</v>
      </c>
      <c r="D277" s="2">
        <v>43696</v>
      </c>
      <c r="E277" s="3">
        <v>43696.53183</v>
      </c>
      <c r="F277" s="3">
        <v>43696.535300000003</v>
      </c>
      <c r="H277">
        <v>28.33</v>
      </c>
      <c r="K277">
        <v>49.172763377248103</v>
      </c>
      <c r="L277" s="6">
        <v>5.4071806650331903E-5</v>
      </c>
    </row>
    <row r="278" spans="1:12" x14ac:dyDescent="0.2">
      <c r="A278" t="s">
        <v>5</v>
      </c>
      <c r="B278">
        <v>4</v>
      </c>
      <c r="C278" t="s">
        <v>4</v>
      </c>
      <c r="D278" s="2">
        <v>43696</v>
      </c>
      <c r="E278" s="3">
        <v>43696.537380000002</v>
      </c>
      <c r="F278" s="3">
        <v>43696.540860000001</v>
      </c>
      <c r="G278">
        <v>16.3</v>
      </c>
      <c r="H278">
        <v>28.33</v>
      </c>
      <c r="I278">
        <v>43.4</v>
      </c>
      <c r="J278">
        <v>0.84</v>
      </c>
      <c r="K278">
        <v>-6.8608071547852996</v>
      </c>
      <c r="L278">
        <v>1.13368194214694E-4</v>
      </c>
    </row>
    <row r="279" spans="1:12" x14ac:dyDescent="0.2">
      <c r="A279" t="s">
        <v>5</v>
      </c>
      <c r="B279">
        <v>4</v>
      </c>
      <c r="C279" t="s">
        <v>6</v>
      </c>
      <c r="D279" s="2">
        <v>43696</v>
      </c>
      <c r="E279" s="3">
        <v>43696.543060000004</v>
      </c>
      <c r="F279" s="3">
        <v>43696.54653</v>
      </c>
      <c r="H279">
        <v>28.33</v>
      </c>
      <c r="K279">
        <v>12.667914665633401</v>
      </c>
      <c r="L279" s="6">
        <v>1.70037780878857E-5</v>
      </c>
    </row>
    <row r="280" spans="1:12" x14ac:dyDescent="0.2">
      <c r="A280" t="s">
        <v>5</v>
      </c>
      <c r="B280">
        <v>5</v>
      </c>
      <c r="C280" t="s">
        <v>4</v>
      </c>
      <c r="D280" s="2">
        <v>43696</v>
      </c>
      <c r="E280" s="3">
        <v>43696.548900000002</v>
      </c>
      <c r="F280" s="3">
        <v>43696.552369999998</v>
      </c>
      <c r="G280">
        <v>16.7</v>
      </c>
      <c r="H280">
        <v>29.44</v>
      </c>
      <c r="I280">
        <v>41.2</v>
      </c>
      <c r="J280">
        <v>0.78</v>
      </c>
      <c r="K280">
        <v>-5.7954610285615802</v>
      </c>
      <c r="L280">
        <v>-1.27067670451677E-4</v>
      </c>
    </row>
    <row r="281" spans="1:12" x14ac:dyDescent="0.2">
      <c r="A281" t="s">
        <v>5</v>
      </c>
      <c r="B281">
        <v>5</v>
      </c>
      <c r="C281" t="s">
        <v>6</v>
      </c>
      <c r="D281" s="2">
        <v>43696</v>
      </c>
      <c r="E281" s="3">
        <v>43696.554279999997</v>
      </c>
      <c r="F281" s="3">
        <v>43696.55775</v>
      </c>
      <c r="H281">
        <v>29.44</v>
      </c>
      <c r="K281">
        <v>28.4446436107519</v>
      </c>
      <c r="L281">
        <v>-1.8065554915972699E-4</v>
      </c>
    </row>
    <row r="282" spans="1:12" x14ac:dyDescent="0.2">
      <c r="A282" t="s">
        <v>5</v>
      </c>
      <c r="B282">
        <v>1</v>
      </c>
      <c r="C282" t="s">
        <v>4</v>
      </c>
      <c r="D282" s="2">
        <v>43696</v>
      </c>
      <c r="E282" s="3">
        <v>43696.618459999998</v>
      </c>
      <c r="F282" s="3">
        <v>43696.621930000001</v>
      </c>
      <c r="G282">
        <v>14.7</v>
      </c>
      <c r="H282">
        <v>30.56</v>
      </c>
      <c r="I282">
        <v>42.7</v>
      </c>
      <c r="J282">
        <v>0.87</v>
      </c>
      <c r="K282">
        <v>-3.90524198376737</v>
      </c>
      <c r="L282">
        <v>-2.7936066974572501E-4</v>
      </c>
    </row>
    <row r="283" spans="1:12" x14ac:dyDescent="0.2">
      <c r="A283" t="s">
        <v>5</v>
      </c>
      <c r="B283">
        <v>1</v>
      </c>
      <c r="C283" t="s">
        <v>6</v>
      </c>
      <c r="D283" s="2">
        <v>43696</v>
      </c>
      <c r="E283" s="3">
        <v>43696.623379999997</v>
      </c>
      <c r="F283" s="3">
        <v>43696.626850000001</v>
      </c>
      <c r="H283">
        <v>30.56</v>
      </c>
      <c r="K283">
        <v>27.3535437298268</v>
      </c>
      <c r="L283">
        <v>2.0286848184678999E-4</v>
      </c>
    </row>
    <row r="284" spans="1:12" x14ac:dyDescent="0.2">
      <c r="A284" t="s">
        <v>5</v>
      </c>
      <c r="B284">
        <v>2</v>
      </c>
      <c r="C284" t="s">
        <v>4</v>
      </c>
      <c r="D284" s="2">
        <v>43696</v>
      </c>
      <c r="E284" s="3">
        <v>43696.627950000002</v>
      </c>
      <c r="F284" s="3">
        <v>43696.631419999998</v>
      </c>
      <c r="G284">
        <v>20.7</v>
      </c>
      <c r="H284">
        <v>30.56</v>
      </c>
      <c r="I284">
        <v>43.9</v>
      </c>
      <c r="J284">
        <v>0.86</v>
      </c>
      <c r="K284">
        <v>-9.7409399700470498</v>
      </c>
      <c r="L284">
        <v>-1.89530072934902E-4</v>
      </c>
    </row>
    <row r="285" spans="1:12" x14ac:dyDescent="0.2">
      <c r="A285" t="s">
        <v>5</v>
      </c>
      <c r="B285">
        <v>2</v>
      </c>
      <c r="C285" t="s">
        <v>6</v>
      </c>
      <c r="D285" s="2">
        <v>43696</v>
      </c>
      <c r="E285" s="3">
        <v>43696.632469999997</v>
      </c>
      <c r="F285" s="3">
        <v>43696.63594</v>
      </c>
      <c r="H285">
        <v>30.56</v>
      </c>
      <c r="K285">
        <v>34.436464491574199</v>
      </c>
      <c r="L285" s="6">
        <v>-7.5262520302016205E-5</v>
      </c>
    </row>
    <row r="286" spans="1:12" x14ac:dyDescent="0.2">
      <c r="A286" t="s">
        <v>5</v>
      </c>
      <c r="B286">
        <v>3</v>
      </c>
      <c r="C286" t="s">
        <v>4</v>
      </c>
      <c r="D286" s="2">
        <v>43696</v>
      </c>
      <c r="E286" s="3">
        <v>43696.636980000003</v>
      </c>
      <c r="F286" s="3">
        <v>43696.641150000003</v>
      </c>
      <c r="G286">
        <v>14.3</v>
      </c>
      <c r="H286">
        <v>30.56</v>
      </c>
      <c r="I286">
        <v>35</v>
      </c>
      <c r="J286">
        <v>0.86</v>
      </c>
      <c r="K286">
        <v>-5.0155227479078501</v>
      </c>
      <c r="L286" s="6">
        <v>-4.82821563476002E-5</v>
      </c>
    </row>
    <row r="287" spans="1:12" x14ac:dyDescent="0.2">
      <c r="A287" t="s">
        <v>5</v>
      </c>
      <c r="B287">
        <v>3</v>
      </c>
      <c r="C287" t="s">
        <v>6</v>
      </c>
      <c r="D287" s="2">
        <v>43696</v>
      </c>
      <c r="E287" s="3">
        <v>43696.642070000002</v>
      </c>
      <c r="F287" s="3">
        <v>43696.645539999998</v>
      </c>
      <c r="H287">
        <v>30.56</v>
      </c>
      <c r="K287">
        <v>38.8880903771799</v>
      </c>
      <c r="L287" s="6">
        <v>2.6241735898450001E-5</v>
      </c>
    </row>
    <row r="288" spans="1:12" x14ac:dyDescent="0.2">
      <c r="A288" t="s">
        <v>5</v>
      </c>
      <c r="B288">
        <v>4</v>
      </c>
      <c r="C288" t="s">
        <v>4</v>
      </c>
      <c r="D288" s="2">
        <v>43696</v>
      </c>
      <c r="E288" s="3">
        <v>43696.64688</v>
      </c>
      <c r="F288" s="3">
        <v>43696.650350000004</v>
      </c>
      <c r="G288">
        <v>19.7</v>
      </c>
      <c r="H288">
        <v>30.56</v>
      </c>
      <c r="I288">
        <v>39.1</v>
      </c>
      <c r="J288">
        <v>0.87</v>
      </c>
      <c r="K288">
        <v>-2.7299970408309702</v>
      </c>
      <c r="L288" s="6">
        <v>-1.7785282837198601E-5</v>
      </c>
    </row>
    <row r="289" spans="1:12" x14ac:dyDescent="0.2">
      <c r="A289" t="s">
        <v>5</v>
      </c>
      <c r="B289">
        <v>4</v>
      </c>
      <c r="C289" t="s">
        <v>6</v>
      </c>
      <c r="D289" s="2">
        <v>43696</v>
      </c>
      <c r="E289" s="3">
        <v>43696.651559999998</v>
      </c>
      <c r="F289" s="3">
        <v>43696.655030000002</v>
      </c>
      <c r="H289">
        <v>30.56</v>
      </c>
      <c r="K289">
        <v>8.9494919432834497</v>
      </c>
      <c r="L289" s="6">
        <v>-4.9487462813438698E-5</v>
      </c>
    </row>
    <row r="290" spans="1:12" x14ac:dyDescent="0.2">
      <c r="A290" t="s">
        <v>5</v>
      </c>
      <c r="B290">
        <v>5</v>
      </c>
      <c r="C290" t="s">
        <v>4</v>
      </c>
      <c r="D290" s="2">
        <v>43696</v>
      </c>
      <c r="E290" s="3">
        <v>43696.656770000001</v>
      </c>
      <c r="F290" s="3">
        <v>43696.660239999997</v>
      </c>
      <c r="G290">
        <v>18.100000000000001</v>
      </c>
      <c r="H290">
        <v>30.56</v>
      </c>
      <c r="I290">
        <v>46.6</v>
      </c>
      <c r="J290">
        <v>0.82</v>
      </c>
      <c r="K290">
        <v>-6.4556159180199302</v>
      </c>
      <c r="L290">
        <v>-1.4457159515075401E-4</v>
      </c>
    </row>
    <row r="291" spans="1:12" x14ac:dyDescent="0.2">
      <c r="A291" t="s">
        <v>5</v>
      </c>
      <c r="B291">
        <v>5</v>
      </c>
      <c r="C291" t="s">
        <v>6</v>
      </c>
      <c r="D291" s="2">
        <v>43696</v>
      </c>
      <c r="E291" s="3">
        <v>43696.662329999999</v>
      </c>
      <c r="F291" s="3">
        <v>43696.665800000002</v>
      </c>
      <c r="H291">
        <v>30.56</v>
      </c>
      <c r="K291">
        <v>25.694958850203999</v>
      </c>
      <c r="L291">
        <v>-1.5863699142743901E-4</v>
      </c>
    </row>
    <row r="292" spans="1:12" x14ac:dyDescent="0.2">
      <c r="A292" t="s">
        <v>5</v>
      </c>
      <c r="B292">
        <v>1</v>
      </c>
      <c r="C292" t="s">
        <v>4</v>
      </c>
      <c r="D292" s="2">
        <v>43707</v>
      </c>
      <c r="E292" s="3">
        <v>43707.375350000002</v>
      </c>
      <c r="F292" s="3">
        <v>43707.378819999998</v>
      </c>
      <c r="G292">
        <v>11.4</v>
      </c>
      <c r="H292">
        <v>21.67</v>
      </c>
      <c r="I292">
        <v>38.799999999999997</v>
      </c>
      <c r="J292">
        <v>0.81</v>
      </c>
      <c r="K292">
        <v>-15.1722307049092</v>
      </c>
      <c r="L292">
        <v>-3.4591038828031198E-4</v>
      </c>
    </row>
    <row r="293" spans="1:12" x14ac:dyDescent="0.2">
      <c r="A293" t="s">
        <v>5</v>
      </c>
      <c r="B293">
        <v>1</v>
      </c>
      <c r="C293" t="s">
        <v>6</v>
      </c>
      <c r="D293" s="2">
        <v>43707</v>
      </c>
      <c r="E293" s="3">
        <v>43707.383329999997</v>
      </c>
      <c r="F293" s="3">
        <v>43707.386810000004</v>
      </c>
      <c r="H293">
        <v>21.67</v>
      </c>
      <c r="K293">
        <v>20.511058168664501</v>
      </c>
      <c r="L293">
        <v>-2.85054980490449E-4</v>
      </c>
    </row>
    <row r="294" spans="1:12" x14ac:dyDescent="0.2">
      <c r="A294" t="s">
        <v>5</v>
      </c>
      <c r="B294">
        <v>2</v>
      </c>
      <c r="C294" t="s">
        <v>4</v>
      </c>
      <c r="D294" s="2">
        <v>43707</v>
      </c>
      <c r="E294" s="3">
        <v>43707.389810000001</v>
      </c>
      <c r="F294" s="3">
        <v>43707.39329</v>
      </c>
      <c r="G294">
        <v>4.0999999999999996</v>
      </c>
      <c r="H294">
        <v>22.78</v>
      </c>
      <c r="I294">
        <v>38.200000000000003</v>
      </c>
      <c r="J294">
        <v>0.84</v>
      </c>
      <c r="K294">
        <v>-10.286312380394801</v>
      </c>
      <c r="L294">
        <v>-3.3795610274166E-4</v>
      </c>
    </row>
    <row r="295" spans="1:12" x14ac:dyDescent="0.2">
      <c r="A295" t="s">
        <v>5</v>
      </c>
      <c r="B295">
        <v>2</v>
      </c>
      <c r="C295" t="s">
        <v>6</v>
      </c>
      <c r="D295" s="2">
        <v>43707</v>
      </c>
      <c r="E295" s="3">
        <v>43707.396699999998</v>
      </c>
      <c r="F295" s="3">
        <v>43707.400170000001</v>
      </c>
      <c r="H295">
        <v>22.78</v>
      </c>
      <c r="K295">
        <v>20.8115256442881</v>
      </c>
      <c r="L295">
        <v>-1.90492813431865E-4</v>
      </c>
    </row>
    <row r="296" spans="1:12" x14ac:dyDescent="0.2">
      <c r="A296" t="s">
        <v>5</v>
      </c>
      <c r="B296">
        <v>3</v>
      </c>
      <c r="C296" t="s">
        <v>4</v>
      </c>
      <c r="D296" s="2">
        <v>43707</v>
      </c>
      <c r="E296" s="3">
        <v>43707.402779999997</v>
      </c>
      <c r="F296" s="3">
        <v>43707.40625</v>
      </c>
      <c r="G296">
        <v>3.9</v>
      </c>
      <c r="H296">
        <v>22.78</v>
      </c>
      <c r="I296">
        <v>43.2</v>
      </c>
      <c r="J296">
        <v>0.81</v>
      </c>
      <c r="K296">
        <v>-10.4937825744594</v>
      </c>
      <c r="L296" s="6">
        <v>-7.0368768745373905E-5</v>
      </c>
    </row>
    <row r="297" spans="1:12" x14ac:dyDescent="0.2">
      <c r="A297" t="s">
        <v>5</v>
      </c>
      <c r="B297">
        <v>3</v>
      </c>
      <c r="C297" t="s">
        <v>6</v>
      </c>
      <c r="D297" s="2">
        <v>43707</v>
      </c>
      <c r="E297" s="3">
        <v>43707.410230000001</v>
      </c>
      <c r="F297" s="3">
        <v>43707.413699999997</v>
      </c>
      <c r="H297">
        <v>22.78</v>
      </c>
      <c r="K297">
        <v>34.826501996779697</v>
      </c>
      <c r="L297">
        <v>-1.6618227714894099E-4</v>
      </c>
    </row>
    <row r="298" spans="1:12" x14ac:dyDescent="0.2">
      <c r="A298" t="s">
        <v>5</v>
      </c>
      <c r="B298">
        <v>4</v>
      </c>
      <c r="C298" t="s">
        <v>4</v>
      </c>
      <c r="D298" s="2">
        <v>43707</v>
      </c>
      <c r="E298" s="3">
        <v>43707.417359999999</v>
      </c>
      <c r="F298" s="3">
        <v>43707.420830000003</v>
      </c>
      <c r="G298">
        <v>2.7</v>
      </c>
      <c r="H298">
        <v>22.78</v>
      </c>
      <c r="I298">
        <v>41.6</v>
      </c>
      <c r="J298">
        <v>0.82</v>
      </c>
      <c r="K298">
        <v>-7.5252278630075002</v>
      </c>
      <c r="L298" s="6">
        <v>3.3136609912461203E-5</v>
      </c>
    </row>
    <row r="299" spans="1:12" x14ac:dyDescent="0.2">
      <c r="A299" t="s">
        <v>5</v>
      </c>
      <c r="B299">
        <v>4</v>
      </c>
      <c r="C299" t="s">
        <v>6</v>
      </c>
      <c r="D299" s="2">
        <v>43707</v>
      </c>
      <c r="E299" s="3">
        <v>43707.425000000003</v>
      </c>
      <c r="F299" s="3">
        <v>43707.428469999999</v>
      </c>
      <c r="H299">
        <v>22.78</v>
      </c>
      <c r="K299">
        <v>17.448349672498001</v>
      </c>
      <c r="L299" s="6">
        <v>-1.5865634956658302E-5</v>
      </c>
    </row>
    <row r="300" spans="1:12" x14ac:dyDescent="0.2">
      <c r="A300" t="s">
        <v>5</v>
      </c>
      <c r="B300">
        <v>5</v>
      </c>
      <c r="C300" t="s">
        <v>4</v>
      </c>
      <c r="D300" s="2">
        <v>43707</v>
      </c>
      <c r="E300" s="3">
        <v>43707.431660000002</v>
      </c>
      <c r="F300" s="3">
        <v>43707.435129999998</v>
      </c>
      <c r="G300">
        <v>1.5</v>
      </c>
      <c r="H300">
        <v>22.78</v>
      </c>
      <c r="I300">
        <v>38</v>
      </c>
      <c r="J300">
        <v>0.8</v>
      </c>
      <c r="K300">
        <v>-6.45330021367075</v>
      </c>
      <c r="L300" s="6">
        <v>-3.9437137478048702E-5</v>
      </c>
    </row>
    <row r="301" spans="1:12" x14ac:dyDescent="0.2">
      <c r="A301" t="s">
        <v>5</v>
      </c>
      <c r="B301">
        <v>5</v>
      </c>
      <c r="C301" t="s">
        <v>6</v>
      </c>
      <c r="D301" s="2">
        <v>43707</v>
      </c>
      <c r="E301" s="3">
        <v>43707.438889999998</v>
      </c>
      <c r="F301" s="3">
        <v>43707.442360000001</v>
      </c>
      <c r="H301">
        <v>22.78</v>
      </c>
      <c r="K301">
        <v>17.021012613917001</v>
      </c>
      <c r="L301">
        <v>-1.2566586029552E-4</v>
      </c>
    </row>
    <row r="302" spans="1:12" x14ac:dyDescent="0.2">
      <c r="A302" t="s">
        <v>5</v>
      </c>
      <c r="B302">
        <v>1</v>
      </c>
      <c r="C302" t="s">
        <v>4</v>
      </c>
      <c r="D302" s="2">
        <v>43707</v>
      </c>
      <c r="E302" s="3">
        <v>43707.502469999999</v>
      </c>
      <c r="F302" s="3">
        <v>43707.505940000003</v>
      </c>
      <c r="G302">
        <v>6.3</v>
      </c>
      <c r="H302">
        <v>23.89</v>
      </c>
      <c r="I302">
        <v>40.4</v>
      </c>
      <c r="J302">
        <v>0.75</v>
      </c>
      <c r="K302">
        <v>-3.0239491678034902</v>
      </c>
      <c r="L302">
        <v>1.1492274144144099E-4</v>
      </c>
    </row>
    <row r="303" spans="1:12" x14ac:dyDescent="0.2">
      <c r="A303" t="s">
        <v>5</v>
      </c>
      <c r="B303">
        <v>1</v>
      </c>
      <c r="C303" t="s">
        <v>6</v>
      </c>
      <c r="D303" s="2">
        <v>43707</v>
      </c>
      <c r="E303" s="3">
        <v>43707.509380000003</v>
      </c>
      <c r="F303" s="3">
        <v>43707.512849999999</v>
      </c>
      <c r="H303">
        <v>23.89</v>
      </c>
      <c r="K303">
        <v>29.305449875209799</v>
      </c>
      <c r="L303">
        <v>-2.3227937047449299E-4</v>
      </c>
    </row>
    <row r="304" spans="1:12" x14ac:dyDescent="0.2">
      <c r="A304" t="s">
        <v>5</v>
      </c>
      <c r="B304">
        <v>2</v>
      </c>
      <c r="C304" t="s">
        <v>4</v>
      </c>
      <c r="D304" s="2">
        <v>43707</v>
      </c>
      <c r="E304" s="3">
        <v>43707.51597</v>
      </c>
      <c r="F304" s="3">
        <v>43707.519439999996</v>
      </c>
      <c r="G304">
        <v>5.3</v>
      </c>
      <c r="H304">
        <v>25.56</v>
      </c>
      <c r="I304">
        <v>40.700000000000003</v>
      </c>
      <c r="J304">
        <v>0.76</v>
      </c>
      <c r="K304">
        <v>-6.7292700850670197</v>
      </c>
      <c r="L304">
        <v>-1.25988127438191E-4</v>
      </c>
    </row>
    <row r="305" spans="1:12" x14ac:dyDescent="0.2">
      <c r="A305" t="s">
        <v>5</v>
      </c>
      <c r="B305">
        <v>2</v>
      </c>
      <c r="C305" t="s">
        <v>6</v>
      </c>
      <c r="D305" s="2">
        <v>43707</v>
      </c>
      <c r="E305" s="3">
        <v>43707.523090000002</v>
      </c>
      <c r="F305" s="3">
        <v>43707.526559999998</v>
      </c>
      <c r="H305">
        <v>25.56</v>
      </c>
      <c r="K305">
        <v>33.495009642104598</v>
      </c>
      <c r="L305">
        <v>-2.48979719511352E-4</v>
      </c>
    </row>
    <row r="306" spans="1:12" x14ac:dyDescent="0.2">
      <c r="A306" t="s">
        <v>5</v>
      </c>
      <c r="B306">
        <v>3</v>
      </c>
      <c r="C306" t="s">
        <v>4</v>
      </c>
      <c r="D306" s="2">
        <v>43707</v>
      </c>
      <c r="E306" s="3">
        <v>43707.530209999997</v>
      </c>
      <c r="F306" s="3">
        <v>43707.53368</v>
      </c>
      <c r="G306">
        <v>4.5999999999999996</v>
      </c>
      <c r="H306">
        <v>26.67</v>
      </c>
      <c r="I306">
        <v>42.8</v>
      </c>
      <c r="J306">
        <v>0.79</v>
      </c>
      <c r="K306">
        <v>3.3724221164708799</v>
      </c>
      <c r="L306">
        <v>-2.12434569302047E-4</v>
      </c>
    </row>
    <row r="307" spans="1:12" x14ac:dyDescent="0.2">
      <c r="A307" t="s">
        <v>5</v>
      </c>
      <c r="B307">
        <v>3</v>
      </c>
      <c r="C307" t="s">
        <v>6</v>
      </c>
      <c r="D307" s="2">
        <v>43707</v>
      </c>
      <c r="E307" s="3">
        <v>43707.537089999998</v>
      </c>
      <c r="F307" s="3">
        <v>43707.540569999997</v>
      </c>
      <c r="H307">
        <v>26.67</v>
      </c>
      <c r="K307">
        <v>37.8249157306524</v>
      </c>
      <c r="L307">
        <v>1.15943899716672E-4</v>
      </c>
    </row>
    <row r="308" spans="1:12" x14ac:dyDescent="0.2">
      <c r="A308" t="s">
        <v>5</v>
      </c>
      <c r="B308">
        <v>4</v>
      </c>
      <c r="C308" t="s">
        <v>4</v>
      </c>
      <c r="D308" s="2">
        <v>43707</v>
      </c>
      <c r="E308" s="3">
        <v>43707.544099999999</v>
      </c>
      <c r="F308" s="3">
        <v>43707.547570000002</v>
      </c>
      <c r="G308">
        <v>4.9000000000000004</v>
      </c>
      <c r="H308">
        <v>26.67</v>
      </c>
      <c r="I308">
        <v>44.5</v>
      </c>
      <c r="J308">
        <v>0.7</v>
      </c>
      <c r="K308">
        <v>-2.08209983019808</v>
      </c>
      <c r="L308" s="6">
        <v>-6.3058177316887998E-5</v>
      </c>
    </row>
    <row r="309" spans="1:12" x14ac:dyDescent="0.2">
      <c r="A309" t="s">
        <v>5</v>
      </c>
      <c r="B309">
        <v>4</v>
      </c>
      <c r="C309" t="s">
        <v>6</v>
      </c>
      <c r="D309" s="2">
        <v>43707</v>
      </c>
      <c r="E309" s="3">
        <v>43707.55</v>
      </c>
      <c r="F309" s="3">
        <v>43707.553469999999</v>
      </c>
      <c r="H309">
        <v>26.67</v>
      </c>
      <c r="K309">
        <v>17.0061552481598</v>
      </c>
      <c r="L309">
        <v>1.6385538800181199E-4</v>
      </c>
    </row>
    <row r="310" spans="1:12" x14ac:dyDescent="0.2">
      <c r="A310" t="s">
        <v>5</v>
      </c>
      <c r="B310">
        <v>5</v>
      </c>
      <c r="C310" t="s">
        <v>4</v>
      </c>
      <c r="D310" s="2">
        <v>43707</v>
      </c>
      <c r="E310" s="3">
        <v>43707.556250000001</v>
      </c>
      <c r="F310" s="3">
        <v>43707.559719999997</v>
      </c>
      <c r="G310">
        <v>4.2</v>
      </c>
      <c r="H310">
        <v>26.67</v>
      </c>
      <c r="I310">
        <v>37</v>
      </c>
      <c r="J310">
        <v>0.69</v>
      </c>
      <c r="K310">
        <v>-2.26485517807293</v>
      </c>
      <c r="L310" s="6">
        <v>-8.2334937598235299E-5</v>
      </c>
    </row>
    <row r="311" spans="1:12" x14ac:dyDescent="0.2">
      <c r="A311" t="s">
        <v>5</v>
      </c>
      <c r="B311">
        <v>5</v>
      </c>
      <c r="C311" t="s">
        <v>6</v>
      </c>
      <c r="D311" s="2">
        <v>43707</v>
      </c>
      <c r="E311" s="3">
        <v>43707.562850000002</v>
      </c>
      <c r="F311" s="3">
        <v>43707.566319999998</v>
      </c>
      <c r="H311">
        <v>26.67</v>
      </c>
      <c r="K311">
        <v>13.5642789701767</v>
      </c>
      <c r="L311" s="6">
        <v>-9.7229741583624397E-5</v>
      </c>
    </row>
    <row r="312" spans="1:12" x14ac:dyDescent="0.2">
      <c r="A312" t="s">
        <v>5</v>
      </c>
      <c r="B312">
        <v>1</v>
      </c>
      <c r="C312" t="s">
        <v>4</v>
      </c>
      <c r="D312" s="2">
        <v>43713</v>
      </c>
      <c r="E312" s="3">
        <v>43713.42211</v>
      </c>
      <c r="F312" s="3">
        <v>43713.425580000003</v>
      </c>
      <c r="G312">
        <v>7.1</v>
      </c>
      <c r="H312">
        <v>17.78</v>
      </c>
      <c r="I312">
        <v>43.4</v>
      </c>
      <c r="J312">
        <v>0.8</v>
      </c>
      <c r="K312">
        <v>-25.120791500074599</v>
      </c>
      <c r="L312">
        <v>4.6147469010327202E-4</v>
      </c>
    </row>
    <row r="313" spans="1:12" x14ac:dyDescent="0.2">
      <c r="A313" t="s">
        <v>5</v>
      </c>
      <c r="B313">
        <v>1</v>
      </c>
      <c r="C313" t="s">
        <v>6</v>
      </c>
      <c r="D313" s="2">
        <v>43713</v>
      </c>
      <c r="E313" s="3">
        <v>43713.429219999998</v>
      </c>
      <c r="F313" s="3">
        <v>43713.432699999998</v>
      </c>
      <c r="H313">
        <v>17.78</v>
      </c>
      <c r="K313">
        <v>16.592558599691898</v>
      </c>
      <c r="L313" s="6">
        <v>-7.9434871846912101E-5</v>
      </c>
    </row>
    <row r="314" spans="1:12" x14ac:dyDescent="0.2">
      <c r="A314" t="s">
        <v>5</v>
      </c>
      <c r="B314">
        <v>2</v>
      </c>
      <c r="C314" t="s">
        <v>4</v>
      </c>
      <c r="D314" s="2">
        <v>43713</v>
      </c>
      <c r="E314" s="3">
        <v>43713.436520000003</v>
      </c>
      <c r="F314" s="3">
        <v>43713.439989999999</v>
      </c>
      <c r="G314">
        <v>4.4000000000000004</v>
      </c>
      <c r="H314">
        <v>17.78</v>
      </c>
      <c r="I314">
        <v>41.8</v>
      </c>
      <c r="J314">
        <v>0.78</v>
      </c>
      <c r="K314">
        <v>-23.620773467147</v>
      </c>
      <c r="L314">
        <v>-1.89027387532447E-4</v>
      </c>
    </row>
    <row r="315" spans="1:12" x14ac:dyDescent="0.2">
      <c r="A315" t="s">
        <v>5</v>
      </c>
      <c r="B315">
        <v>2</v>
      </c>
      <c r="C315" t="s">
        <v>6</v>
      </c>
      <c r="D315" s="2">
        <v>43713</v>
      </c>
      <c r="E315" s="3">
        <v>43713.44427</v>
      </c>
      <c r="F315" s="3">
        <v>43713.447740000003</v>
      </c>
      <c r="H315">
        <v>17.78</v>
      </c>
      <c r="K315">
        <v>17.567979878285801</v>
      </c>
      <c r="L315">
        <v>-2.7843738488933203E-4</v>
      </c>
    </row>
    <row r="316" spans="1:12" x14ac:dyDescent="0.2">
      <c r="A316" t="s">
        <v>5</v>
      </c>
      <c r="B316">
        <v>3</v>
      </c>
      <c r="C316" t="s">
        <v>4</v>
      </c>
      <c r="D316" s="2">
        <v>43713</v>
      </c>
      <c r="E316" s="3">
        <v>43713.450980000001</v>
      </c>
      <c r="F316" s="3">
        <v>43713.454460000001</v>
      </c>
      <c r="G316">
        <v>6.4</v>
      </c>
      <c r="H316">
        <v>17.78</v>
      </c>
      <c r="I316">
        <v>45.3</v>
      </c>
      <c r="J316">
        <v>0.78</v>
      </c>
      <c r="K316">
        <v>-24.972260513036499</v>
      </c>
      <c r="L316" s="6">
        <v>-8.1354085509613801E-5</v>
      </c>
    </row>
    <row r="317" spans="1:12" x14ac:dyDescent="0.2">
      <c r="A317" t="s">
        <v>5</v>
      </c>
      <c r="B317">
        <v>3</v>
      </c>
      <c r="C317" t="s">
        <v>6</v>
      </c>
      <c r="D317" s="2">
        <v>43713</v>
      </c>
      <c r="E317" s="3">
        <v>43713.458619999998</v>
      </c>
      <c r="F317" s="3">
        <v>43713.462090000001</v>
      </c>
      <c r="H317">
        <v>17.78</v>
      </c>
      <c r="K317">
        <v>25.018710112477201</v>
      </c>
      <c r="L317">
        <v>-1.23626343786743E-4</v>
      </c>
    </row>
    <row r="318" spans="1:12" x14ac:dyDescent="0.2">
      <c r="A318" t="s">
        <v>5</v>
      </c>
      <c r="B318">
        <v>4</v>
      </c>
      <c r="C318" t="s">
        <v>4</v>
      </c>
      <c r="D318" s="2">
        <v>43713</v>
      </c>
      <c r="E318" s="3">
        <v>43713.466840000001</v>
      </c>
      <c r="F318" s="3">
        <v>43713.470309999997</v>
      </c>
      <c r="G318">
        <v>6.4</v>
      </c>
      <c r="H318">
        <v>17.78</v>
      </c>
      <c r="I318">
        <v>49.5</v>
      </c>
      <c r="J318">
        <v>0.83</v>
      </c>
      <c r="K318">
        <v>-26.606519155232899</v>
      </c>
      <c r="L318">
        <v>-2.20725657176518E-4</v>
      </c>
    </row>
    <row r="319" spans="1:12" x14ac:dyDescent="0.2">
      <c r="A319" t="s">
        <v>5</v>
      </c>
      <c r="B319">
        <v>4</v>
      </c>
      <c r="C319" t="s">
        <v>6</v>
      </c>
      <c r="D319" s="2">
        <v>43713</v>
      </c>
      <c r="E319" s="3">
        <v>43713.473669999999</v>
      </c>
      <c r="F319" s="3">
        <v>43713.477140000003</v>
      </c>
      <c r="H319">
        <v>17.78</v>
      </c>
      <c r="K319">
        <v>16.941803256753399</v>
      </c>
      <c r="L319" s="6">
        <v>-3.3273835137792998E-5</v>
      </c>
    </row>
    <row r="320" spans="1:12" x14ac:dyDescent="0.2">
      <c r="A320" t="s">
        <v>5</v>
      </c>
      <c r="B320">
        <v>5</v>
      </c>
      <c r="C320" t="s">
        <v>4</v>
      </c>
      <c r="D320" s="2">
        <v>43713</v>
      </c>
      <c r="E320" s="3">
        <v>43713.481079999998</v>
      </c>
      <c r="F320" s="3">
        <v>43713.484550000001</v>
      </c>
      <c r="G320">
        <v>3.8</v>
      </c>
      <c r="H320">
        <v>18.89</v>
      </c>
      <c r="I320">
        <v>40.200000000000003</v>
      </c>
      <c r="J320">
        <v>0.71</v>
      </c>
      <c r="K320">
        <v>-9.2155943521925305</v>
      </c>
      <c r="L320">
        <v>-1.9009737758963501E-4</v>
      </c>
    </row>
    <row r="321" spans="1:12" x14ac:dyDescent="0.2">
      <c r="A321" t="s">
        <v>5</v>
      </c>
      <c r="B321">
        <v>5</v>
      </c>
      <c r="C321" t="s">
        <v>6</v>
      </c>
      <c r="D321" s="2">
        <v>43713</v>
      </c>
      <c r="E321" s="3">
        <v>43713.487330000004</v>
      </c>
      <c r="F321" s="3">
        <v>43713.4908</v>
      </c>
      <c r="H321">
        <v>18.89</v>
      </c>
      <c r="K321">
        <v>14.176707162504901</v>
      </c>
      <c r="L321" s="6">
        <v>4.0893192971495103E-5</v>
      </c>
    </row>
    <row r="322" spans="1:12" x14ac:dyDescent="0.2">
      <c r="A322" t="s">
        <v>5</v>
      </c>
      <c r="B322">
        <v>1</v>
      </c>
      <c r="C322" t="s">
        <v>4</v>
      </c>
      <c r="D322" s="2">
        <v>43713</v>
      </c>
      <c r="E322" s="3">
        <v>43713.516089999997</v>
      </c>
      <c r="F322" s="3">
        <v>43713.519560000001</v>
      </c>
      <c r="G322">
        <v>4.3</v>
      </c>
      <c r="H322">
        <v>19.440000000000001</v>
      </c>
      <c r="I322">
        <v>46.4</v>
      </c>
      <c r="J322">
        <v>0.77</v>
      </c>
      <c r="K322">
        <v>-26.422364917126199</v>
      </c>
      <c r="L322">
        <v>-1.4409502760429001E-4</v>
      </c>
    </row>
    <row r="323" spans="1:12" x14ac:dyDescent="0.2">
      <c r="A323" t="s">
        <v>5</v>
      </c>
      <c r="B323">
        <v>1</v>
      </c>
      <c r="C323" t="s">
        <v>6</v>
      </c>
      <c r="D323" s="2">
        <v>43713</v>
      </c>
      <c r="E323" s="3">
        <v>43713.523609999997</v>
      </c>
      <c r="F323" s="3">
        <v>43713.52708</v>
      </c>
      <c r="H323">
        <v>19.440000000000001</v>
      </c>
      <c r="K323">
        <v>21.616868187713902</v>
      </c>
      <c r="L323">
        <v>-2.0861793656207499E-4</v>
      </c>
    </row>
    <row r="324" spans="1:12" x14ac:dyDescent="0.2">
      <c r="A324" t="s">
        <v>5</v>
      </c>
      <c r="B324">
        <v>2</v>
      </c>
      <c r="C324" t="s">
        <v>4</v>
      </c>
      <c r="D324" s="2">
        <v>43713</v>
      </c>
      <c r="E324" s="3">
        <v>43713.529860000002</v>
      </c>
      <c r="F324" s="3">
        <v>43713.533329999998</v>
      </c>
      <c r="G324">
        <v>3.8</v>
      </c>
      <c r="H324">
        <v>19.440000000000001</v>
      </c>
      <c r="I324">
        <v>41.2</v>
      </c>
      <c r="J324">
        <v>0.72</v>
      </c>
      <c r="K324">
        <v>-18.575390189854701</v>
      </c>
      <c r="L324">
        <v>-2.4105406755835199E-4</v>
      </c>
    </row>
    <row r="325" spans="1:12" x14ac:dyDescent="0.2">
      <c r="A325" t="s">
        <v>5</v>
      </c>
      <c r="B325">
        <v>2</v>
      </c>
      <c r="C325" t="s">
        <v>6</v>
      </c>
      <c r="D325" s="2">
        <v>43713</v>
      </c>
      <c r="E325" s="3">
        <v>43713.536460000003</v>
      </c>
      <c r="F325" s="3">
        <v>43713.539929999999</v>
      </c>
      <c r="H325">
        <v>19.440000000000001</v>
      </c>
      <c r="K325">
        <v>24.880646541010499</v>
      </c>
      <c r="L325">
        <v>-4.2871011766949102E-4</v>
      </c>
    </row>
    <row r="326" spans="1:12" x14ac:dyDescent="0.2">
      <c r="A326" t="s">
        <v>5</v>
      </c>
      <c r="B326">
        <v>3</v>
      </c>
      <c r="C326" t="s">
        <v>4</v>
      </c>
      <c r="D326" s="2">
        <v>43713</v>
      </c>
      <c r="E326" s="3">
        <v>43713.542939999999</v>
      </c>
      <c r="F326" s="3">
        <v>43713.546410000003</v>
      </c>
      <c r="G326">
        <v>4.7</v>
      </c>
      <c r="H326">
        <v>19.440000000000001</v>
      </c>
      <c r="I326">
        <v>48.7</v>
      </c>
      <c r="J326">
        <v>0.73</v>
      </c>
      <c r="K326">
        <v>-19.2925864094695</v>
      </c>
      <c r="L326">
        <v>-3.6730606061432001E-4</v>
      </c>
    </row>
    <row r="327" spans="1:12" x14ac:dyDescent="0.2">
      <c r="A327" t="s">
        <v>5</v>
      </c>
      <c r="B327">
        <v>3</v>
      </c>
      <c r="C327" t="s">
        <v>6</v>
      </c>
      <c r="D327" s="2">
        <v>43713</v>
      </c>
      <c r="E327" s="3">
        <v>43713.550580000003</v>
      </c>
      <c r="F327" s="3">
        <v>43713.554049999999</v>
      </c>
      <c r="H327">
        <v>19.440000000000001</v>
      </c>
      <c r="K327">
        <v>25.511229883242699</v>
      </c>
      <c r="L327" s="6">
        <v>-8.05953415756271E-5</v>
      </c>
    </row>
    <row r="328" spans="1:12" x14ac:dyDescent="0.2">
      <c r="A328" t="s">
        <v>5</v>
      </c>
      <c r="B328">
        <v>4</v>
      </c>
      <c r="C328" t="s">
        <v>4</v>
      </c>
      <c r="D328" s="2">
        <v>43713</v>
      </c>
      <c r="E328" s="3">
        <v>43713.559840000002</v>
      </c>
      <c r="F328" s="3">
        <v>43713.563309999998</v>
      </c>
      <c r="G328">
        <v>6.1</v>
      </c>
      <c r="H328">
        <v>19.440000000000001</v>
      </c>
      <c r="I328">
        <v>47.1</v>
      </c>
      <c r="J328">
        <v>0.8</v>
      </c>
      <c r="K328">
        <v>-24.571131252294499</v>
      </c>
      <c r="L328" s="6">
        <v>-2.1696030309447301E-5</v>
      </c>
    </row>
    <row r="329" spans="1:12" x14ac:dyDescent="0.2">
      <c r="A329" t="s">
        <v>5</v>
      </c>
      <c r="B329">
        <v>4</v>
      </c>
      <c r="C329" t="s">
        <v>6</v>
      </c>
      <c r="D329" s="2">
        <v>43713</v>
      </c>
      <c r="E329" s="3">
        <v>43713.567710000003</v>
      </c>
      <c r="F329" s="3">
        <v>43713.571179999999</v>
      </c>
      <c r="H329">
        <v>19.440000000000001</v>
      </c>
      <c r="K329">
        <v>21.095589059151902</v>
      </c>
      <c r="L329" s="6">
        <v>-7.5366813909632802E-5</v>
      </c>
    </row>
    <row r="330" spans="1:12" x14ac:dyDescent="0.2">
      <c r="A330" t="s">
        <v>5</v>
      </c>
      <c r="B330">
        <v>5</v>
      </c>
      <c r="C330" t="s">
        <v>4</v>
      </c>
      <c r="D330" s="2">
        <v>43713</v>
      </c>
      <c r="E330" s="3">
        <v>43713.575290000001</v>
      </c>
      <c r="F330" s="3">
        <v>43713.578759999997</v>
      </c>
      <c r="G330">
        <v>3.5</v>
      </c>
      <c r="H330">
        <v>21.67</v>
      </c>
      <c r="I330">
        <v>35.5</v>
      </c>
      <c r="J330">
        <v>0.64</v>
      </c>
      <c r="K330">
        <v>-5.4180129115497602</v>
      </c>
      <c r="L330">
        <v>2.9120794126456502E-4</v>
      </c>
    </row>
    <row r="331" spans="1:12" x14ac:dyDescent="0.2">
      <c r="A331" t="s">
        <v>5</v>
      </c>
      <c r="B331">
        <v>5</v>
      </c>
      <c r="C331" t="s">
        <v>6</v>
      </c>
      <c r="D331" s="2">
        <v>43713</v>
      </c>
      <c r="E331" s="3">
        <v>43713.582179999998</v>
      </c>
      <c r="F331" s="3">
        <v>43713.585650000001</v>
      </c>
      <c r="H331">
        <v>21.67</v>
      </c>
      <c r="K331">
        <v>17.873416358034699</v>
      </c>
      <c r="L331">
        <v>-1.08185511931413E-4</v>
      </c>
    </row>
    <row r="332" spans="1:12" x14ac:dyDescent="0.2">
      <c r="A332" t="s">
        <v>5</v>
      </c>
      <c r="B332">
        <v>1</v>
      </c>
      <c r="C332" t="s">
        <v>4</v>
      </c>
      <c r="D332" s="2">
        <v>43724</v>
      </c>
      <c r="E332" s="3">
        <v>43724.391380000001</v>
      </c>
      <c r="F332" s="3">
        <v>43724.394849999997</v>
      </c>
      <c r="G332">
        <v>9.8000000000000007</v>
      </c>
      <c r="H332">
        <v>15.56</v>
      </c>
      <c r="I332">
        <v>31.1</v>
      </c>
      <c r="J332">
        <v>0.69</v>
      </c>
      <c r="K332">
        <v>-1.311761884784</v>
      </c>
      <c r="L332">
        <v>3.4284171343644499E-4</v>
      </c>
    </row>
    <row r="333" spans="1:12" x14ac:dyDescent="0.2">
      <c r="A333" t="s">
        <v>5</v>
      </c>
      <c r="B333">
        <v>1</v>
      </c>
      <c r="C333" t="s">
        <v>6</v>
      </c>
      <c r="D333" s="2">
        <v>43724</v>
      </c>
      <c r="E333" s="3">
        <v>43724.397109999998</v>
      </c>
      <c r="F333" s="3">
        <v>43724.400580000001</v>
      </c>
      <c r="H333">
        <v>15.56</v>
      </c>
      <c r="K333">
        <v>10.072969030952899</v>
      </c>
      <c r="L333" s="6">
        <v>-8.3135869854091097E-5</v>
      </c>
    </row>
    <row r="334" spans="1:12" x14ac:dyDescent="0.2">
      <c r="A334" t="s">
        <v>5</v>
      </c>
      <c r="B334">
        <v>2</v>
      </c>
      <c r="C334" t="s">
        <v>4</v>
      </c>
      <c r="D334" s="2">
        <v>43724</v>
      </c>
      <c r="E334" s="3">
        <v>43724.403989999999</v>
      </c>
      <c r="F334" s="3">
        <v>43724.407469999998</v>
      </c>
      <c r="G334">
        <v>5.9</v>
      </c>
      <c r="H334">
        <v>15.56</v>
      </c>
      <c r="I334">
        <v>14.3</v>
      </c>
      <c r="J334">
        <v>0.62</v>
      </c>
      <c r="K334">
        <v>1.14305140668269</v>
      </c>
      <c r="L334" s="6">
        <v>-8.7172859986850095E-5</v>
      </c>
    </row>
    <row r="335" spans="1:12" x14ac:dyDescent="0.2">
      <c r="A335" t="s">
        <v>5</v>
      </c>
      <c r="B335">
        <v>2</v>
      </c>
      <c r="C335" t="s">
        <v>6</v>
      </c>
      <c r="D335" s="2">
        <v>43724</v>
      </c>
      <c r="E335" s="3">
        <v>43724.409899999999</v>
      </c>
      <c r="F335" s="3">
        <v>43724.413370000002</v>
      </c>
      <c r="H335">
        <v>15.56</v>
      </c>
      <c r="K335">
        <v>9.3187465826857991</v>
      </c>
      <c r="L335" s="6">
        <v>-7.2802107519415895E-5</v>
      </c>
    </row>
    <row r="336" spans="1:12" x14ac:dyDescent="0.2">
      <c r="A336" t="s">
        <v>5</v>
      </c>
      <c r="B336">
        <v>3</v>
      </c>
      <c r="C336" t="s">
        <v>4</v>
      </c>
      <c r="D336" s="2">
        <v>43724</v>
      </c>
      <c r="E336" s="3">
        <v>43724.416089999999</v>
      </c>
      <c r="F336" s="3">
        <v>43724.419560000002</v>
      </c>
      <c r="G336">
        <v>7.5</v>
      </c>
      <c r="H336">
        <v>15.56</v>
      </c>
      <c r="I336">
        <v>14.2</v>
      </c>
      <c r="J336">
        <v>0.56000000000000005</v>
      </c>
      <c r="K336">
        <v>-8.2533550930239894</v>
      </c>
      <c r="L336" s="6">
        <v>-5.8954934871993497E-5</v>
      </c>
    </row>
    <row r="337" spans="1:12" x14ac:dyDescent="0.2">
      <c r="A337" t="s">
        <v>5</v>
      </c>
      <c r="B337">
        <v>3</v>
      </c>
      <c r="C337" t="s">
        <v>6</v>
      </c>
      <c r="D337" s="2">
        <v>43724</v>
      </c>
      <c r="E337" s="3">
        <v>43724.422050000001</v>
      </c>
      <c r="F337" s="3">
        <v>43724.425519999997</v>
      </c>
      <c r="H337">
        <v>15.56</v>
      </c>
      <c r="K337">
        <v>12.9499860203338</v>
      </c>
      <c r="L337">
        <v>-1.1208069727233699E-4</v>
      </c>
    </row>
    <row r="338" spans="1:12" x14ac:dyDescent="0.2">
      <c r="A338" t="s">
        <v>5</v>
      </c>
      <c r="B338">
        <v>4</v>
      </c>
      <c r="C338" t="s">
        <v>4</v>
      </c>
      <c r="D338" s="2">
        <v>43724</v>
      </c>
      <c r="E338" s="3">
        <v>43724.428650000002</v>
      </c>
      <c r="F338" s="3">
        <v>43724.432119999998</v>
      </c>
      <c r="G338">
        <v>10.9</v>
      </c>
      <c r="H338">
        <v>15.56</v>
      </c>
      <c r="I338">
        <v>7.5</v>
      </c>
      <c r="J338">
        <v>0.72</v>
      </c>
      <c r="K338">
        <v>-10.2744261779567</v>
      </c>
      <c r="L338">
        <v>1.34430256092606E-4</v>
      </c>
    </row>
    <row r="339" spans="1:12" x14ac:dyDescent="0.2">
      <c r="A339" t="s">
        <v>5</v>
      </c>
      <c r="B339">
        <v>4</v>
      </c>
      <c r="C339" t="s">
        <v>6</v>
      </c>
      <c r="D339" s="2">
        <v>43724</v>
      </c>
      <c r="E339" s="3">
        <v>43724.434659999999</v>
      </c>
      <c r="F339" s="3">
        <v>43724.438139999998</v>
      </c>
      <c r="H339">
        <v>15.56</v>
      </c>
      <c r="K339">
        <v>9.7340228405261602</v>
      </c>
      <c r="L339" s="6">
        <v>3.61339257440058E-5</v>
      </c>
    </row>
    <row r="340" spans="1:12" x14ac:dyDescent="0.2">
      <c r="A340" t="s">
        <v>5</v>
      </c>
      <c r="B340">
        <v>5</v>
      </c>
      <c r="C340" t="s">
        <v>4</v>
      </c>
      <c r="D340" s="2">
        <v>43724</v>
      </c>
      <c r="E340" s="3">
        <v>43724.44109</v>
      </c>
      <c r="F340" s="3">
        <v>43724.444560000004</v>
      </c>
      <c r="G340">
        <v>9.1999999999999993</v>
      </c>
      <c r="H340">
        <v>17.78</v>
      </c>
      <c r="I340">
        <v>17</v>
      </c>
      <c r="J340">
        <v>0.68</v>
      </c>
      <c r="K340">
        <v>-5.0255565989190796</v>
      </c>
      <c r="L340" s="6">
        <v>-2.3080746600069998E-5</v>
      </c>
    </row>
    <row r="341" spans="1:12" x14ac:dyDescent="0.2">
      <c r="A341" t="s">
        <v>5</v>
      </c>
      <c r="B341">
        <v>5</v>
      </c>
      <c r="C341" t="s">
        <v>6</v>
      </c>
      <c r="D341" s="2">
        <v>43724</v>
      </c>
      <c r="E341" s="3">
        <v>43724.448779999999</v>
      </c>
      <c r="F341" s="3">
        <v>43724.452259999998</v>
      </c>
      <c r="H341">
        <v>17.78</v>
      </c>
      <c r="K341">
        <v>12.0525400719548</v>
      </c>
      <c r="L341" s="6">
        <v>-1.31033983286974E-5</v>
      </c>
    </row>
    <row r="342" spans="1:12" x14ac:dyDescent="0.2">
      <c r="A342" t="s">
        <v>5</v>
      </c>
      <c r="B342">
        <v>1</v>
      </c>
      <c r="C342" t="s">
        <v>4</v>
      </c>
      <c r="D342" s="2">
        <v>43724</v>
      </c>
      <c r="E342" s="3">
        <v>43724.463949999998</v>
      </c>
      <c r="F342" s="3">
        <v>43724.47436</v>
      </c>
      <c r="G342">
        <v>10.4</v>
      </c>
      <c r="H342">
        <v>18.89</v>
      </c>
      <c r="I342">
        <v>24.3</v>
      </c>
      <c r="J342">
        <v>0.62</v>
      </c>
      <c r="K342">
        <v>-13.217589213114</v>
      </c>
      <c r="L342" s="6">
        <v>-4.70426140640226E-5</v>
      </c>
    </row>
    <row r="343" spans="1:12" x14ac:dyDescent="0.2">
      <c r="A343" t="s">
        <v>5</v>
      </c>
      <c r="B343">
        <v>1</v>
      </c>
      <c r="C343" t="s">
        <v>6</v>
      </c>
      <c r="D343" s="2">
        <v>43724</v>
      </c>
      <c r="E343" s="3">
        <v>43724.477310000002</v>
      </c>
      <c r="F343" s="3">
        <v>43724.480790000001</v>
      </c>
      <c r="H343">
        <v>18.89</v>
      </c>
      <c r="K343">
        <v>18.8444665423979</v>
      </c>
      <c r="L343">
        <v>-1.7215303489595801E-4</v>
      </c>
    </row>
    <row r="344" spans="1:12" x14ac:dyDescent="0.2">
      <c r="A344" t="s">
        <v>5</v>
      </c>
      <c r="B344">
        <v>2</v>
      </c>
      <c r="C344" t="s">
        <v>4</v>
      </c>
      <c r="D344" s="2">
        <v>43724</v>
      </c>
      <c r="E344" s="3">
        <v>43724.484380000002</v>
      </c>
      <c r="F344" s="3">
        <v>43724.487849999998</v>
      </c>
      <c r="G344">
        <v>6.5</v>
      </c>
      <c r="H344">
        <v>18.89</v>
      </c>
      <c r="I344">
        <v>15</v>
      </c>
      <c r="J344">
        <v>0.54</v>
      </c>
      <c r="K344">
        <v>-4.8698897137873702</v>
      </c>
      <c r="L344">
        <v>-1.8637049996789501E-4</v>
      </c>
    </row>
    <row r="345" spans="1:12" x14ac:dyDescent="0.2">
      <c r="A345" t="s">
        <v>5</v>
      </c>
      <c r="B345">
        <v>2</v>
      </c>
      <c r="C345" t="s">
        <v>6</v>
      </c>
      <c r="D345" s="2">
        <v>43724</v>
      </c>
      <c r="E345" s="3">
        <v>43724.491199999997</v>
      </c>
      <c r="F345" s="3">
        <v>43724.494680000003</v>
      </c>
      <c r="H345">
        <v>18.89</v>
      </c>
      <c r="K345">
        <v>16.753944296102599</v>
      </c>
      <c r="L345">
        <v>-1.7349843801957001E-4</v>
      </c>
    </row>
    <row r="346" spans="1:12" x14ac:dyDescent="0.2">
      <c r="A346" t="s">
        <v>5</v>
      </c>
      <c r="B346">
        <v>3</v>
      </c>
      <c r="C346" t="s">
        <v>4</v>
      </c>
      <c r="D346" s="2">
        <v>43724</v>
      </c>
      <c r="E346" s="3">
        <v>43724.497510000001</v>
      </c>
      <c r="F346" s="3">
        <v>43724.500979999997</v>
      </c>
      <c r="G346">
        <v>6.5</v>
      </c>
      <c r="H346">
        <v>18.89</v>
      </c>
      <c r="I346">
        <v>16.600000000000001</v>
      </c>
      <c r="J346">
        <v>0.48</v>
      </c>
      <c r="K346">
        <v>-15.4520377920791</v>
      </c>
      <c r="L346">
        <v>-4.0339725992323203E-4</v>
      </c>
    </row>
    <row r="347" spans="1:12" x14ac:dyDescent="0.2">
      <c r="A347" t="s">
        <v>5</v>
      </c>
      <c r="B347">
        <v>3</v>
      </c>
      <c r="C347" t="s">
        <v>6</v>
      </c>
      <c r="D347" s="2">
        <v>43724</v>
      </c>
      <c r="E347" s="3">
        <v>43724.503940000002</v>
      </c>
      <c r="F347" s="3">
        <v>43724.507409999998</v>
      </c>
      <c r="H347">
        <v>18.89</v>
      </c>
      <c r="K347">
        <v>28.0460344626593</v>
      </c>
      <c r="L347">
        <v>-2.0019252581350599E-4</v>
      </c>
    </row>
    <row r="348" spans="1:12" x14ac:dyDescent="0.2">
      <c r="A348" t="s">
        <v>5</v>
      </c>
      <c r="B348">
        <v>4</v>
      </c>
      <c r="C348" t="s">
        <v>4</v>
      </c>
      <c r="D348" s="2">
        <v>43724</v>
      </c>
      <c r="E348" s="3">
        <v>43724.511810000004</v>
      </c>
      <c r="F348" s="3">
        <v>43724.51528</v>
      </c>
      <c r="G348">
        <v>10.9</v>
      </c>
      <c r="H348">
        <v>18.89</v>
      </c>
      <c r="I348">
        <v>14.6</v>
      </c>
      <c r="J348">
        <v>0.66</v>
      </c>
      <c r="K348">
        <v>-8.8217447472348294</v>
      </c>
      <c r="L348" s="6">
        <v>-6.3687837481470907E-5</v>
      </c>
    </row>
    <row r="349" spans="1:12" x14ac:dyDescent="0.2">
      <c r="A349" t="s">
        <v>5</v>
      </c>
      <c r="B349">
        <v>4</v>
      </c>
      <c r="C349" t="s">
        <v>6</v>
      </c>
      <c r="D349" s="2">
        <v>43724</v>
      </c>
      <c r="E349" s="3">
        <v>43724.518580000004</v>
      </c>
      <c r="F349" s="3">
        <v>43724.52205</v>
      </c>
      <c r="H349">
        <v>18.89</v>
      </c>
      <c r="K349">
        <v>21.776172812555199</v>
      </c>
      <c r="L349">
        <v>1.10328808910275E-4</v>
      </c>
    </row>
    <row r="350" spans="1:12" x14ac:dyDescent="0.2">
      <c r="A350" t="s">
        <v>5</v>
      </c>
      <c r="B350">
        <v>5</v>
      </c>
      <c r="C350" t="s">
        <v>4</v>
      </c>
      <c r="D350" s="2">
        <v>43724</v>
      </c>
      <c r="E350" s="3">
        <v>43724.526039999997</v>
      </c>
      <c r="F350" s="3">
        <v>43724.52951</v>
      </c>
      <c r="G350">
        <v>9.6999999999999993</v>
      </c>
      <c r="H350">
        <v>20.56</v>
      </c>
      <c r="I350">
        <v>15.3</v>
      </c>
      <c r="J350">
        <v>0.69</v>
      </c>
      <c r="K350">
        <v>3.4394572629861702</v>
      </c>
      <c r="L350">
        <v>-1.24736041928549E-4</v>
      </c>
    </row>
    <row r="351" spans="1:12" x14ac:dyDescent="0.2">
      <c r="A351" t="s">
        <v>5</v>
      </c>
      <c r="B351">
        <v>5</v>
      </c>
      <c r="C351" t="s">
        <v>6</v>
      </c>
      <c r="D351" s="2">
        <v>43724</v>
      </c>
      <c r="E351" s="3">
        <v>43724.532870000003</v>
      </c>
      <c r="F351" s="3">
        <v>43724.536339999999</v>
      </c>
      <c r="H351">
        <v>20.56</v>
      </c>
      <c r="K351">
        <v>21.3003982950306</v>
      </c>
      <c r="L351">
        <v>1.0528128009359E-4</v>
      </c>
    </row>
    <row r="352" spans="1:12" x14ac:dyDescent="0.2">
      <c r="A352" t="s">
        <v>5</v>
      </c>
      <c r="B352">
        <v>1</v>
      </c>
      <c r="C352" t="s">
        <v>4</v>
      </c>
      <c r="D352" s="2">
        <v>43735</v>
      </c>
      <c r="E352" s="3">
        <v>43735.395830000001</v>
      </c>
      <c r="F352" s="3">
        <v>43735.399310000001</v>
      </c>
      <c r="G352">
        <v>11.1</v>
      </c>
      <c r="H352">
        <v>16.11</v>
      </c>
      <c r="I352">
        <v>13.6</v>
      </c>
      <c r="J352">
        <v>0.25</v>
      </c>
      <c r="K352">
        <v>6.2133387226072703</v>
      </c>
      <c r="L352">
        <v>-2.8138456877137101E-4</v>
      </c>
    </row>
    <row r="353" spans="1:12" x14ac:dyDescent="0.2">
      <c r="A353" t="s">
        <v>5</v>
      </c>
      <c r="B353">
        <v>1</v>
      </c>
      <c r="C353" t="s">
        <v>6</v>
      </c>
      <c r="D353" s="2">
        <v>43735</v>
      </c>
      <c r="E353" s="3">
        <v>43735.402779999997</v>
      </c>
      <c r="F353" s="3">
        <v>43735.40625</v>
      </c>
      <c r="H353">
        <v>16.11</v>
      </c>
      <c r="K353">
        <v>6.84452652440942</v>
      </c>
      <c r="L353">
        <v>-2.83016441402752E-4</v>
      </c>
    </row>
    <row r="354" spans="1:12" x14ac:dyDescent="0.2">
      <c r="A354" t="s">
        <v>5</v>
      </c>
      <c r="B354">
        <v>2</v>
      </c>
      <c r="C354" t="s">
        <v>4</v>
      </c>
      <c r="D354" s="2">
        <v>43735</v>
      </c>
      <c r="E354" s="3">
        <v>43735.409720000003</v>
      </c>
      <c r="F354" s="3">
        <v>43735.413189999999</v>
      </c>
      <c r="G354">
        <v>9.1</v>
      </c>
      <c r="H354">
        <v>16.11</v>
      </c>
      <c r="I354">
        <v>8.9</v>
      </c>
      <c r="J354">
        <v>0.21</v>
      </c>
      <c r="K354">
        <v>7.7101290042062196</v>
      </c>
      <c r="L354">
        <v>-3.0994321030781199E-4</v>
      </c>
    </row>
    <row r="355" spans="1:12" x14ac:dyDescent="0.2">
      <c r="A355" t="s">
        <v>5</v>
      </c>
      <c r="B355">
        <v>2</v>
      </c>
      <c r="C355" t="s">
        <v>6</v>
      </c>
      <c r="D355" s="2">
        <v>43735</v>
      </c>
      <c r="E355" s="3">
        <v>43735.415970000002</v>
      </c>
      <c r="F355" s="3">
        <v>43735.419439999998</v>
      </c>
      <c r="H355">
        <v>16.11</v>
      </c>
      <c r="K355">
        <v>6.6157234513654597</v>
      </c>
      <c r="L355">
        <v>-3.4186630619705298E-4</v>
      </c>
    </row>
    <row r="356" spans="1:12" x14ac:dyDescent="0.2">
      <c r="A356" t="s">
        <v>5</v>
      </c>
      <c r="B356">
        <v>3</v>
      </c>
      <c r="C356" t="s">
        <v>4</v>
      </c>
      <c r="D356" s="2">
        <v>43735</v>
      </c>
      <c r="E356" s="3">
        <v>43735.423609999998</v>
      </c>
      <c r="F356" s="3">
        <v>43735.427080000001</v>
      </c>
      <c r="G356">
        <v>6.2</v>
      </c>
      <c r="H356">
        <v>16.11</v>
      </c>
      <c r="I356">
        <v>8.6999999999999993</v>
      </c>
      <c r="J356">
        <v>0.25</v>
      </c>
      <c r="K356">
        <v>9.1649978739307407</v>
      </c>
      <c r="L356">
        <v>-3.53858026757399E-4</v>
      </c>
    </row>
    <row r="357" spans="1:12" x14ac:dyDescent="0.2">
      <c r="A357" t="s">
        <v>5</v>
      </c>
      <c r="B357">
        <v>3</v>
      </c>
      <c r="C357" t="s">
        <v>6</v>
      </c>
      <c r="D357" s="2">
        <v>43735</v>
      </c>
      <c r="E357" s="3">
        <v>43735.434029999997</v>
      </c>
      <c r="F357" s="3">
        <v>43735.4375</v>
      </c>
      <c r="H357">
        <v>16.11</v>
      </c>
      <c r="K357">
        <v>9.8033797144448904</v>
      </c>
      <c r="L357">
        <v>-3.9050687229041703E-4</v>
      </c>
    </row>
    <row r="358" spans="1:12" x14ac:dyDescent="0.2">
      <c r="A358" t="s">
        <v>5</v>
      </c>
      <c r="B358">
        <v>4</v>
      </c>
      <c r="C358" t="s">
        <v>4</v>
      </c>
      <c r="D358" s="2">
        <v>43735</v>
      </c>
      <c r="E358" s="3">
        <v>43735.444439999999</v>
      </c>
      <c r="F358" s="3">
        <v>43735.447919999999</v>
      </c>
      <c r="G358">
        <v>11.8</v>
      </c>
      <c r="H358">
        <v>16.11</v>
      </c>
      <c r="I358">
        <v>7.8</v>
      </c>
      <c r="J358">
        <v>0.25</v>
      </c>
      <c r="K358">
        <v>5.4831507277609202</v>
      </c>
      <c r="L358" s="6">
        <v>-3.7989345041561097E-5</v>
      </c>
    </row>
    <row r="359" spans="1:12" x14ac:dyDescent="0.2">
      <c r="A359" t="s">
        <v>5</v>
      </c>
      <c r="B359">
        <v>4</v>
      </c>
      <c r="C359" t="s">
        <v>6</v>
      </c>
      <c r="D359" s="2">
        <v>43735</v>
      </c>
      <c r="E359" s="3">
        <v>43735.451390000002</v>
      </c>
      <c r="F359" s="3">
        <v>43735.454859999998</v>
      </c>
      <c r="H359">
        <v>16.11</v>
      </c>
      <c r="K359">
        <v>7.1797229330660199</v>
      </c>
      <c r="L359">
        <v>-1.23262327931116E-4</v>
      </c>
    </row>
    <row r="360" spans="1:12" x14ac:dyDescent="0.2">
      <c r="A360" t="s">
        <v>5</v>
      </c>
      <c r="B360">
        <v>5</v>
      </c>
      <c r="C360" t="s">
        <v>4</v>
      </c>
      <c r="D360" s="2">
        <v>43735</v>
      </c>
      <c r="E360" s="3">
        <v>43735.459029999998</v>
      </c>
      <c r="F360" s="3">
        <v>43735.462500000001</v>
      </c>
      <c r="G360">
        <v>10.4</v>
      </c>
      <c r="H360">
        <v>18.329999999999998</v>
      </c>
      <c r="I360">
        <v>3.1</v>
      </c>
      <c r="J360">
        <v>0.27</v>
      </c>
      <c r="K360">
        <v>9.7788884994169898</v>
      </c>
      <c r="L360" s="6">
        <v>-1.8670444253391299E-5</v>
      </c>
    </row>
    <row r="361" spans="1:12" x14ac:dyDescent="0.2">
      <c r="A361" t="s">
        <v>5</v>
      </c>
      <c r="B361">
        <v>5</v>
      </c>
      <c r="C361" t="s">
        <v>6</v>
      </c>
      <c r="D361" s="2">
        <v>43735</v>
      </c>
      <c r="E361" s="3">
        <v>43735.465969999997</v>
      </c>
      <c r="F361" s="3">
        <v>43735.469440000001</v>
      </c>
      <c r="H361">
        <v>18.329999999999998</v>
      </c>
      <c r="K361">
        <v>8.7796853336676808</v>
      </c>
      <c r="L361" s="6">
        <v>6.1946538057454104E-6</v>
      </c>
    </row>
    <row r="362" spans="1:12" x14ac:dyDescent="0.2">
      <c r="A362" t="s">
        <v>5</v>
      </c>
      <c r="B362">
        <v>1</v>
      </c>
      <c r="C362" t="s">
        <v>4</v>
      </c>
      <c r="D362" s="2">
        <v>43735</v>
      </c>
      <c r="E362" s="3">
        <v>43735.502079999998</v>
      </c>
      <c r="F362" s="3">
        <v>43735.505559999998</v>
      </c>
      <c r="G362">
        <v>8.6999999999999993</v>
      </c>
      <c r="H362">
        <v>18.89</v>
      </c>
      <c r="I362">
        <v>7.8</v>
      </c>
      <c r="J362">
        <v>0.25</v>
      </c>
      <c r="K362">
        <v>8.5387611029495201</v>
      </c>
      <c r="L362">
        <v>-1.7880301511944099E-4</v>
      </c>
    </row>
    <row r="363" spans="1:12" x14ac:dyDescent="0.2">
      <c r="A363" t="s">
        <v>5</v>
      </c>
      <c r="B363">
        <v>1</v>
      </c>
      <c r="C363" t="s">
        <v>6</v>
      </c>
      <c r="D363" s="2">
        <v>43735</v>
      </c>
      <c r="E363" s="3">
        <v>43735.507290000001</v>
      </c>
      <c r="F363" s="3">
        <v>43735.510759999997</v>
      </c>
      <c r="H363">
        <v>18.89</v>
      </c>
      <c r="K363">
        <v>8.6554175106653997</v>
      </c>
      <c r="L363">
        <v>-1.2485313238769E-4</v>
      </c>
    </row>
    <row r="364" spans="1:12" x14ac:dyDescent="0.2">
      <c r="A364" t="s">
        <v>5</v>
      </c>
      <c r="B364">
        <v>2</v>
      </c>
      <c r="C364" t="s">
        <v>4</v>
      </c>
      <c r="D364" s="2">
        <v>43735</v>
      </c>
      <c r="E364" s="3">
        <v>43735.513890000002</v>
      </c>
      <c r="F364" s="3">
        <v>43735.517359999998</v>
      </c>
      <c r="G364">
        <v>7.4</v>
      </c>
      <c r="H364">
        <v>18.89</v>
      </c>
      <c r="I364">
        <v>20.100000000000001</v>
      </c>
      <c r="J364">
        <v>0.25</v>
      </c>
      <c r="K364">
        <v>8.5252060523847604</v>
      </c>
      <c r="L364">
        <v>-2.1465605538952399E-4</v>
      </c>
    </row>
    <row r="365" spans="1:12" x14ac:dyDescent="0.2">
      <c r="A365" t="s">
        <v>5</v>
      </c>
      <c r="B365">
        <v>2</v>
      </c>
      <c r="C365" t="s">
        <v>6</v>
      </c>
      <c r="D365" s="2">
        <v>43735</v>
      </c>
      <c r="E365" s="3">
        <v>43735.519439999996</v>
      </c>
      <c r="F365" s="3">
        <v>43735.520830000001</v>
      </c>
      <c r="H365">
        <v>18.89</v>
      </c>
      <c r="K365">
        <v>7.8995670468623702</v>
      </c>
      <c r="L365">
        <v>-1.44024675464404E-4</v>
      </c>
    </row>
    <row r="366" spans="1:12" x14ac:dyDescent="0.2">
      <c r="A366" t="s">
        <v>5</v>
      </c>
      <c r="B366">
        <v>3</v>
      </c>
      <c r="C366" t="s">
        <v>4</v>
      </c>
      <c r="D366" s="2">
        <v>43735</v>
      </c>
      <c r="E366" s="3">
        <v>43735.525000000001</v>
      </c>
      <c r="F366" s="3">
        <v>43735.528469999997</v>
      </c>
      <c r="G366">
        <v>7</v>
      </c>
      <c r="H366">
        <v>18.89</v>
      </c>
      <c r="I366">
        <v>8.1999999999999993</v>
      </c>
      <c r="J366">
        <v>0.24</v>
      </c>
      <c r="K366">
        <v>10.5299526372788</v>
      </c>
      <c r="L366">
        <v>-2.5200837826748799E-4</v>
      </c>
    </row>
    <row r="367" spans="1:12" x14ac:dyDescent="0.2">
      <c r="A367" t="s">
        <v>5</v>
      </c>
      <c r="B367">
        <v>3</v>
      </c>
      <c r="C367" t="s">
        <v>6</v>
      </c>
      <c r="D367" s="2">
        <v>43735</v>
      </c>
      <c r="E367" s="3">
        <v>43735.530559999999</v>
      </c>
      <c r="F367" s="3">
        <v>43735.534030000003</v>
      </c>
      <c r="H367">
        <v>18.89</v>
      </c>
      <c r="K367">
        <v>10.872408184069</v>
      </c>
      <c r="L367">
        <v>-2.32698839784571E-4</v>
      </c>
    </row>
    <row r="368" spans="1:12" x14ac:dyDescent="0.2">
      <c r="A368" t="s">
        <v>5</v>
      </c>
      <c r="B368">
        <v>4</v>
      </c>
      <c r="C368" t="s">
        <v>4</v>
      </c>
      <c r="D368" s="2">
        <v>43735</v>
      </c>
      <c r="E368" s="3">
        <v>43735.536809999998</v>
      </c>
      <c r="F368" s="3">
        <v>43735.540280000001</v>
      </c>
      <c r="G368">
        <v>11.1</v>
      </c>
      <c r="H368">
        <v>18.89</v>
      </c>
      <c r="I368">
        <v>9.8000000000000007</v>
      </c>
      <c r="J368">
        <v>0.24</v>
      </c>
      <c r="K368">
        <v>5.8532230086190999</v>
      </c>
      <c r="L368">
        <v>-1.44866952732625E-4</v>
      </c>
    </row>
    <row r="369" spans="1:12" x14ac:dyDescent="0.2">
      <c r="A369" t="s">
        <v>5</v>
      </c>
      <c r="B369">
        <v>4</v>
      </c>
      <c r="C369" t="s">
        <v>6</v>
      </c>
      <c r="D369" s="2">
        <v>43735</v>
      </c>
      <c r="E369" s="3">
        <v>43735.542359999999</v>
      </c>
      <c r="F369" s="3">
        <v>43735.545830000003</v>
      </c>
      <c r="H369">
        <v>18.89</v>
      </c>
      <c r="K369">
        <v>7.3723364445299602</v>
      </c>
      <c r="L369">
        <v>-1.3916033979632499E-4</v>
      </c>
    </row>
    <row r="370" spans="1:12" x14ac:dyDescent="0.2">
      <c r="A370" t="s">
        <v>5</v>
      </c>
      <c r="B370">
        <v>5</v>
      </c>
      <c r="C370" t="s">
        <v>4</v>
      </c>
      <c r="D370" s="2">
        <v>43735</v>
      </c>
      <c r="E370" s="3">
        <v>43735.548609999998</v>
      </c>
      <c r="F370" s="3">
        <v>43735.552080000001</v>
      </c>
      <c r="G370">
        <v>9.6999999999999993</v>
      </c>
      <c r="H370">
        <v>20.56</v>
      </c>
      <c r="I370">
        <v>4.5</v>
      </c>
      <c r="J370">
        <v>0.26</v>
      </c>
      <c r="K370">
        <v>8.3396638026933001</v>
      </c>
      <c r="L370" s="6">
        <v>-6.8682981915240798E-5</v>
      </c>
    </row>
    <row r="371" spans="1:12" x14ac:dyDescent="0.2">
      <c r="A371" t="s">
        <v>5</v>
      </c>
      <c r="B371">
        <v>5</v>
      </c>
      <c r="C371" t="s">
        <v>6</v>
      </c>
      <c r="D371" s="2">
        <v>43735</v>
      </c>
      <c r="E371" s="3">
        <v>43735.556250000001</v>
      </c>
      <c r="F371" s="3">
        <v>43735.559719999997</v>
      </c>
      <c r="H371">
        <v>20.56</v>
      </c>
      <c r="K371">
        <v>9.4876236416503001</v>
      </c>
      <c r="L371" s="6">
        <v>-7.0145720586874905E-5</v>
      </c>
    </row>
    <row r="372" spans="1:12" x14ac:dyDescent="0.2">
      <c r="A372" t="s">
        <v>5</v>
      </c>
      <c r="B372">
        <v>1</v>
      </c>
      <c r="C372" t="s">
        <v>4</v>
      </c>
      <c r="D372" s="2">
        <v>43740</v>
      </c>
      <c r="E372" s="3">
        <v>43740.491670000003</v>
      </c>
      <c r="F372" s="3">
        <v>43740.495139999999</v>
      </c>
      <c r="G372">
        <v>10.199999999999999</v>
      </c>
      <c r="H372">
        <v>26.11</v>
      </c>
      <c r="I372">
        <v>7.2</v>
      </c>
      <c r="J372">
        <v>0.21</v>
      </c>
      <c r="K372">
        <v>6.0713701289999999</v>
      </c>
      <c r="L372" s="6">
        <v>-7.6637568380828695E-5</v>
      </c>
    </row>
    <row r="373" spans="1:12" x14ac:dyDescent="0.2">
      <c r="A373" t="s">
        <v>5</v>
      </c>
      <c r="B373">
        <v>1</v>
      </c>
      <c r="C373" t="s">
        <v>6</v>
      </c>
      <c r="D373" s="2">
        <v>43740</v>
      </c>
      <c r="E373" s="3">
        <v>43740.49757</v>
      </c>
      <c r="F373" s="3">
        <v>43740.501040000003</v>
      </c>
      <c r="H373">
        <v>26.11</v>
      </c>
      <c r="K373">
        <v>4.0963989119999997</v>
      </c>
      <c r="L373" s="6">
        <v>7.13730731320307E-5</v>
      </c>
    </row>
    <row r="374" spans="1:12" x14ac:dyDescent="0.2">
      <c r="A374" t="s">
        <v>5</v>
      </c>
      <c r="B374">
        <v>2</v>
      </c>
      <c r="C374" t="s">
        <v>4</v>
      </c>
      <c r="D374" s="2">
        <v>43740</v>
      </c>
      <c r="E374" s="3">
        <v>43740.540280000001</v>
      </c>
      <c r="F374" s="3">
        <v>43740.543749999997</v>
      </c>
      <c r="G374">
        <v>8.4</v>
      </c>
      <c r="H374">
        <v>26.11</v>
      </c>
      <c r="I374">
        <v>6.2</v>
      </c>
      <c r="J374">
        <v>0.21</v>
      </c>
      <c r="K374">
        <v>5.8762278620000004</v>
      </c>
      <c r="L374">
        <v>-2.2075383639005001E-4</v>
      </c>
    </row>
    <row r="375" spans="1:12" x14ac:dyDescent="0.2">
      <c r="A375" t="s">
        <v>5</v>
      </c>
      <c r="B375">
        <v>2</v>
      </c>
      <c r="C375" t="s">
        <v>6</v>
      </c>
      <c r="D375" s="2">
        <v>43740</v>
      </c>
      <c r="E375" s="3">
        <v>43740.54653</v>
      </c>
      <c r="F375" s="3">
        <v>43740.55</v>
      </c>
      <c r="H375">
        <v>26.11</v>
      </c>
      <c r="L375" s="6">
        <v>-8.8071028071651101E-5</v>
      </c>
    </row>
    <row r="376" spans="1:12" x14ac:dyDescent="0.2">
      <c r="A376" t="s">
        <v>5</v>
      </c>
      <c r="B376">
        <v>3</v>
      </c>
      <c r="C376" t="s">
        <v>4</v>
      </c>
      <c r="D376" s="2">
        <v>43740</v>
      </c>
      <c r="E376" s="3">
        <v>43740.552779999998</v>
      </c>
      <c r="F376" s="3">
        <v>43740.556250000001</v>
      </c>
      <c r="G376">
        <v>7.3</v>
      </c>
      <c r="H376">
        <v>26.11</v>
      </c>
      <c r="I376">
        <v>20.100000000000001</v>
      </c>
      <c r="J376">
        <v>0.22</v>
      </c>
      <c r="L376">
        <v>1.06483502444899E-4</v>
      </c>
    </row>
    <row r="377" spans="1:12" x14ac:dyDescent="0.2">
      <c r="A377" t="s">
        <v>5</v>
      </c>
      <c r="B377">
        <v>3</v>
      </c>
      <c r="C377" t="s">
        <v>6</v>
      </c>
      <c r="D377" s="2">
        <v>43740</v>
      </c>
      <c r="E377" s="3">
        <v>43740.610419999997</v>
      </c>
      <c r="F377" s="3">
        <v>43740.613890000001</v>
      </c>
      <c r="H377">
        <v>23.33</v>
      </c>
      <c r="K377">
        <v>4.1568341632748202</v>
      </c>
      <c r="L377" s="6">
        <v>7.4900817706710494E-5</v>
      </c>
    </row>
    <row r="378" spans="1:12" x14ac:dyDescent="0.2">
      <c r="A378" t="s">
        <v>5</v>
      </c>
      <c r="B378">
        <v>4</v>
      </c>
      <c r="C378" t="s">
        <v>4</v>
      </c>
      <c r="D378" s="2">
        <v>43740</v>
      </c>
      <c r="E378" s="3">
        <v>43740.616670000003</v>
      </c>
      <c r="F378" s="3">
        <v>43740.620139999999</v>
      </c>
      <c r="G378">
        <v>11.3</v>
      </c>
      <c r="H378">
        <v>23.33</v>
      </c>
      <c r="I378">
        <v>7.5</v>
      </c>
      <c r="J378">
        <v>0.22</v>
      </c>
      <c r="K378">
        <v>3.6104483360017201</v>
      </c>
      <c r="L378">
        <v>3.0174016335317901E-4</v>
      </c>
    </row>
    <row r="379" spans="1:12" x14ac:dyDescent="0.2">
      <c r="A379" t="s">
        <v>5</v>
      </c>
      <c r="B379">
        <v>4</v>
      </c>
      <c r="C379" t="s">
        <v>6</v>
      </c>
      <c r="D379" s="2">
        <v>43740</v>
      </c>
      <c r="E379" s="3">
        <v>43740.622219999997</v>
      </c>
      <c r="F379" s="3">
        <v>43740.625690000001</v>
      </c>
      <c r="H379">
        <v>23.33</v>
      </c>
      <c r="K379">
        <v>4.0353584302716303</v>
      </c>
      <c r="L379" s="6">
        <v>-8.72449968604297E-5</v>
      </c>
    </row>
    <row r="380" spans="1:12" x14ac:dyDescent="0.2">
      <c r="A380" t="s">
        <v>5</v>
      </c>
      <c r="B380">
        <v>5</v>
      </c>
      <c r="C380" t="s">
        <v>4</v>
      </c>
      <c r="D380" s="2">
        <v>43740</v>
      </c>
      <c r="E380" s="3">
        <v>43740.62743</v>
      </c>
      <c r="F380" s="3">
        <v>43740.630899999996</v>
      </c>
      <c r="G380">
        <v>10.7</v>
      </c>
      <c r="H380">
        <v>23.33</v>
      </c>
      <c r="I380">
        <v>2.6</v>
      </c>
      <c r="J380">
        <v>0.22</v>
      </c>
      <c r="K380">
        <v>4.3844347537110897</v>
      </c>
      <c r="L380">
        <v>1.4279103222192201E-4</v>
      </c>
    </row>
    <row r="381" spans="1:12" x14ac:dyDescent="0.2">
      <c r="A381" t="s">
        <v>5</v>
      </c>
      <c r="B381">
        <v>5</v>
      </c>
      <c r="C381" t="s">
        <v>6</v>
      </c>
      <c r="D381" s="2">
        <v>43740</v>
      </c>
      <c r="E381" s="3">
        <v>43740.633679999999</v>
      </c>
      <c r="F381" s="3">
        <v>43740.637150000002</v>
      </c>
      <c r="H381">
        <v>23.33</v>
      </c>
      <c r="K381">
        <v>3.6890092880952499</v>
      </c>
      <c r="L381" s="6">
        <v>-7.7182581165402702E-5</v>
      </c>
    </row>
    <row r="382" spans="1:12" x14ac:dyDescent="0.2">
      <c r="A382" t="s">
        <v>5</v>
      </c>
      <c r="B382">
        <v>1</v>
      </c>
      <c r="C382" t="s">
        <v>4</v>
      </c>
      <c r="D382" s="2">
        <v>43747</v>
      </c>
      <c r="E382" s="3">
        <v>43747.469440000001</v>
      </c>
      <c r="F382" s="3">
        <v>43747.47292</v>
      </c>
      <c r="G382">
        <v>17.399999999999999</v>
      </c>
      <c r="H382">
        <v>13.33</v>
      </c>
      <c r="J382">
        <v>0.19</v>
      </c>
      <c r="K382">
        <v>2.2902475507700699</v>
      </c>
      <c r="L382">
        <v>-1.4007411528481201E-4</v>
      </c>
    </row>
    <row r="383" spans="1:12" x14ac:dyDescent="0.2">
      <c r="A383" t="s">
        <v>5</v>
      </c>
      <c r="B383">
        <v>1</v>
      </c>
      <c r="C383" t="s">
        <v>6</v>
      </c>
      <c r="D383" s="2">
        <v>43747</v>
      </c>
      <c r="E383" s="3">
        <v>43747.476390000003</v>
      </c>
      <c r="F383" s="3">
        <v>43747.479859999999</v>
      </c>
      <c r="H383">
        <v>13.33</v>
      </c>
      <c r="K383">
        <v>1.9797710289927299</v>
      </c>
      <c r="L383" s="6">
        <v>-8.2371465142553897E-5</v>
      </c>
    </row>
    <row r="384" spans="1:12" x14ac:dyDescent="0.2">
      <c r="A384" t="s">
        <v>5</v>
      </c>
      <c r="B384">
        <v>2</v>
      </c>
      <c r="C384" t="s">
        <v>4</v>
      </c>
      <c r="D384" s="2">
        <v>43747</v>
      </c>
      <c r="E384" s="3">
        <v>43747.483330000003</v>
      </c>
      <c r="F384" s="3">
        <v>43747.486810000002</v>
      </c>
      <c r="G384">
        <v>18.899999999999999</v>
      </c>
      <c r="H384">
        <v>13.33</v>
      </c>
      <c r="J384">
        <v>0.19</v>
      </c>
      <c r="K384">
        <v>2.1809402300370699</v>
      </c>
      <c r="L384">
        <v>-1.3409769282779599E-4</v>
      </c>
    </row>
    <row r="385" spans="1:12" x14ac:dyDescent="0.2">
      <c r="A385" t="s">
        <v>5</v>
      </c>
      <c r="B385">
        <v>2</v>
      </c>
      <c r="C385" t="s">
        <v>6</v>
      </c>
      <c r="D385" s="2">
        <v>43747</v>
      </c>
      <c r="E385" s="3">
        <v>43747.493750000001</v>
      </c>
      <c r="F385" s="3">
        <v>43747.497219999997</v>
      </c>
      <c r="H385">
        <v>13.33</v>
      </c>
      <c r="K385">
        <v>1.6071422199246399</v>
      </c>
      <c r="L385">
        <v>-1.03938351609003E-4</v>
      </c>
    </row>
    <row r="386" spans="1:12" x14ac:dyDescent="0.2">
      <c r="A386" t="s">
        <v>5</v>
      </c>
      <c r="B386">
        <v>4</v>
      </c>
      <c r="C386" t="s">
        <v>4</v>
      </c>
      <c r="D386" s="2">
        <v>43747</v>
      </c>
      <c r="E386" s="3">
        <v>43747.5</v>
      </c>
      <c r="F386" s="3">
        <v>43747.503470000003</v>
      </c>
      <c r="G386">
        <v>17.5</v>
      </c>
      <c r="H386">
        <v>13.33</v>
      </c>
      <c r="J386">
        <v>0.19</v>
      </c>
      <c r="K386">
        <v>1.99871366742593</v>
      </c>
      <c r="L386" s="6">
        <v>-4.09950636124875E-5</v>
      </c>
    </row>
    <row r="387" spans="1:12" x14ac:dyDescent="0.2">
      <c r="A387" t="s">
        <v>5</v>
      </c>
      <c r="B387">
        <v>4</v>
      </c>
      <c r="C387" t="s">
        <v>6</v>
      </c>
      <c r="D387" s="2">
        <v>43747</v>
      </c>
      <c r="E387" s="3">
        <v>43747.507640000003</v>
      </c>
      <c r="F387" s="3">
        <v>43747.511109999999</v>
      </c>
      <c r="H387">
        <v>13.33</v>
      </c>
      <c r="K387">
        <v>1.74768156642394</v>
      </c>
      <c r="L387" s="6">
        <v>-6.5589079132736603E-5</v>
      </c>
    </row>
    <row r="388" spans="1:12" x14ac:dyDescent="0.2">
      <c r="A388" t="s">
        <v>5</v>
      </c>
      <c r="B388">
        <v>5</v>
      </c>
      <c r="C388" t="s">
        <v>4</v>
      </c>
      <c r="D388" s="2">
        <v>43747</v>
      </c>
      <c r="E388" s="3">
        <v>43747.514580000003</v>
      </c>
      <c r="F388" s="3">
        <v>43747.518060000002</v>
      </c>
      <c r="G388">
        <v>18.399999999999999</v>
      </c>
      <c r="H388">
        <v>13.89</v>
      </c>
      <c r="J388">
        <v>0.2</v>
      </c>
      <c r="K388">
        <v>3.1007073357240098</v>
      </c>
      <c r="L388" s="6">
        <v>7.8169580994385404E-5</v>
      </c>
    </row>
    <row r="389" spans="1:12" x14ac:dyDescent="0.2">
      <c r="A389" t="s">
        <v>5</v>
      </c>
      <c r="B389">
        <v>5</v>
      </c>
      <c r="C389" t="s">
        <v>6</v>
      </c>
      <c r="D389" s="2">
        <v>43747</v>
      </c>
      <c r="E389" s="3">
        <v>43747.521529999998</v>
      </c>
      <c r="F389" s="3">
        <v>43747.525000000001</v>
      </c>
      <c r="H389">
        <v>13.89</v>
      </c>
      <c r="K389">
        <v>2.0273242445137298</v>
      </c>
      <c r="L389" s="6">
        <v>-3.3413474359342998E-5</v>
      </c>
    </row>
    <row r="390" spans="1:12" x14ac:dyDescent="0.2">
      <c r="A390" t="s">
        <v>5</v>
      </c>
      <c r="B390">
        <v>1</v>
      </c>
      <c r="C390" t="s">
        <v>4</v>
      </c>
      <c r="D390" s="2">
        <v>43747</v>
      </c>
      <c r="E390" s="3">
        <v>43747.557639999999</v>
      </c>
      <c r="F390" s="3">
        <v>43747.561110000002</v>
      </c>
      <c r="G390">
        <v>17.899999999999999</v>
      </c>
      <c r="H390">
        <v>14.44</v>
      </c>
      <c r="J390">
        <v>0.2</v>
      </c>
      <c r="K390">
        <v>3.08851405840106</v>
      </c>
      <c r="L390" s="6">
        <v>7.9264160332106301E-6</v>
      </c>
    </row>
    <row r="391" spans="1:12" x14ac:dyDescent="0.2">
      <c r="A391" t="s">
        <v>5</v>
      </c>
      <c r="B391">
        <v>1</v>
      </c>
      <c r="C391" t="s">
        <v>6</v>
      </c>
      <c r="D391" s="2">
        <v>43747</v>
      </c>
      <c r="E391" s="3">
        <v>43747.563889999998</v>
      </c>
      <c r="F391" s="3">
        <v>43747.567360000001</v>
      </c>
      <c r="H391">
        <v>14.44</v>
      </c>
      <c r="K391">
        <v>2.7363618850095701</v>
      </c>
      <c r="L391" s="6">
        <v>-5.1563052433334002E-5</v>
      </c>
    </row>
    <row r="392" spans="1:12" x14ac:dyDescent="0.2">
      <c r="A392" t="s">
        <v>5</v>
      </c>
      <c r="B392">
        <v>2</v>
      </c>
      <c r="C392" t="s">
        <v>4</v>
      </c>
      <c r="D392" s="2">
        <v>43747</v>
      </c>
      <c r="E392" s="3">
        <v>43747.570829999997</v>
      </c>
      <c r="F392" s="3">
        <v>43747.574310000004</v>
      </c>
      <c r="G392">
        <v>18.899999999999999</v>
      </c>
      <c r="H392">
        <v>14.44</v>
      </c>
      <c r="J392">
        <v>0.17</v>
      </c>
      <c r="K392">
        <v>2.1144236929266098</v>
      </c>
      <c r="L392" s="6">
        <v>3.5747646377187501E-5</v>
      </c>
    </row>
    <row r="393" spans="1:12" x14ac:dyDescent="0.2">
      <c r="A393" t="s">
        <v>5</v>
      </c>
      <c r="B393">
        <v>2</v>
      </c>
      <c r="C393" t="s">
        <v>6</v>
      </c>
      <c r="D393" s="2">
        <v>43747</v>
      </c>
      <c r="E393" s="3">
        <v>43747.57847</v>
      </c>
      <c r="F393" s="3">
        <v>43747.581939999996</v>
      </c>
      <c r="H393">
        <v>14.44</v>
      </c>
      <c r="K393">
        <v>2.1116868934145101</v>
      </c>
      <c r="L393" s="6">
        <v>-1.4476590361816001E-5</v>
      </c>
    </row>
    <row r="394" spans="1:12" x14ac:dyDescent="0.2">
      <c r="A394" t="s">
        <v>5</v>
      </c>
      <c r="B394">
        <v>4</v>
      </c>
      <c r="C394" t="s">
        <v>4</v>
      </c>
      <c r="D394" s="2">
        <v>43747</v>
      </c>
      <c r="E394" s="3">
        <v>43747.585420000003</v>
      </c>
      <c r="F394" s="3">
        <v>43747.588889999999</v>
      </c>
      <c r="G394">
        <v>19.5</v>
      </c>
      <c r="H394">
        <v>14.44</v>
      </c>
      <c r="J394">
        <v>0.2</v>
      </c>
      <c r="K394">
        <v>2.2829467920287199</v>
      </c>
      <c r="L394" s="6">
        <v>6.2862152098147007E-5</v>
      </c>
    </row>
    <row r="395" spans="1:12" x14ac:dyDescent="0.2">
      <c r="A395" t="s">
        <v>5</v>
      </c>
      <c r="B395">
        <v>4</v>
      </c>
      <c r="C395" t="s">
        <v>6</v>
      </c>
      <c r="D395" s="2">
        <v>43747</v>
      </c>
      <c r="E395" s="3">
        <v>43747.592360000002</v>
      </c>
      <c r="F395" s="3">
        <v>43747.595829999998</v>
      </c>
      <c r="H395">
        <v>14.44</v>
      </c>
      <c r="K395">
        <v>2.0540669719752498</v>
      </c>
      <c r="L395" s="6">
        <v>5.4036326362283402E-6</v>
      </c>
    </row>
    <row r="396" spans="1:12" x14ac:dyDescent="0.2">
      <c r="A396" t="s">
        <v>5</v>
      </c>
      <c r="B396">
        <v>5</v>
      </c>
      <c r="C396" t="s">
        <v>4</v>
      </c>
      <c r="D396" s="2">
        <v>43747</v>
      </c>
      <c r="E396" s="3">
        <v>43747.599309999998</v>
      </c>
      <c r="F396" s="3">
        <v>43747.602780000001</v>
      </c>
      <c r="G396">
        <v>21.2</v>
      </c>
      <c r="H396">
        <v>15.56</v>
      </c>
      <c r="J396">
        <v>0.2</v>
      </c>
      <c r="K396">
        <v>2.7955187067040099</v>
      </c>
      <c r="L396" s="6">
        <v>9.3526181661785504E-6</v>
      </c>
    </row>
    <row r="397" spans="1:12" x14ac:dyDescent="0.2">
      <c r="A397" t="s">
        <v>5</v>
      </c>
      <c r="B397">
        <v>5</v>
      </c>
      <c r="C397" t="s">
        <v>6</v>
      </c>
      <c r="D397" s="2">
        <v>43747</v>
      </c>
      <c r="E397" s="3">
        <v>43747.606249999997</v>
      </c>
      <c r="F397" s="3">
        <v>43747.60972</v>
      </c>
      <c r="H397">
        <v>15.56</v>
      </c>
      <c r="K397">
        <v>2.1688820250224801</v>
      </c>
      <c r="L397">
        <v>1.2745547099255101E-4</v>
      </c>
    </row>
    <row r="398" spans="1:12" x14ac:dyDescent="0.2">
      <c r="A398" t="s">
        <v>5</v>
      </c>
      <c r="B398">
        <v>1</v>
      </c>
      <c r="C398" t="s">
        <v>4</v>
      </c>
      <c r="D398" s="2">
        <v>43754</v>
      </c>
      <c r="E398" s="3">
        <v>43754.434719999997</v>
      </c>
      <c r="F398" s="3">
        <v>43754.438190000001</v>
      </c>
      <c r="G398">
        <v>15.4</v>
      </c>
      <c r="H398">
        <v>12.22</v>
      </c>
      <c r="J398">
        <v>0.19</v>
      </c>
      <c r="K398">
        <v>1.8772451621772199</v>
      </c>
      <c r="L398">
        <v>-1.81926286829702E-4</v>
      </c>
    </row>
    <row r="399" spans="1:12" x14ac:dyDescent="0.2">
      <c r="A399" t="s">
        <v>5</v>
      </c>
      <c r="B399">
        <v>1</v>
      </c>
      <c r="C399" t="s">
        <v>6</v>
      </c>
      <c r="D399" s="2">
        <v>43754</v>
      </c>
      <c r="E399" s="3">
        <v>43754.440280000003</v>
      </c>
      <c r="F399" s="3">
        <v>43754.443749999999</v>
      </c>
      <c r="H399">
        <v>12.22</v>
      </c>
      <c r="K399">
        <v>1.5949057878901101</v>
      </c>
      <c r="L399">
        <v>-1.09279860873472E-4</v>
      </c>
    </row>
    <row r="400" spans="1:12" x14ac:dyDescent="0.2">
      <c r="A400" t="s">
        <v>5</v>
      </c>
      <c r="B400">
        <v>2</v>
      </c>
      <c r="C400" t="s">
        <v>4</v>
      </c>
      <c r="D400" s="2">
        <v>43754</v>
      </c>
      <c r="E400" s="3">
        <v>43754.446530000001</v>
      </c>
      <c r="F400" s="3">
        <v>43754.45</v>
      </c>
      <c r="G400">
        <v>13.7</v>
      </c>
      <c r="H400">
        <v>12.22</v>
      </c>
      <c r="J400">
        <v>0.17</v>
      </c>
      <c r="K400">
        <v>1.58861524373368</v>
      </c>
      <c r="L400">
        <v>-1.1803904438124E-4</v>
      </c>
    </row>
    <row r="401" spans="1:12" x14ac:dyDescent="0.2">
      <c r="A401" t="s">
        <v>5</v>
      </c>
      <c r="B401">
        <v>2</v>
      </c>
      <c r="C401" t="s">
        <v>6</v>
      </c>
      <c r="D401" s="2">
        <v>43754</v>
      </c>
      <c r="E401" s="3">
        <v>43754.454169999997</v>
      </c>
      <c r="F401" s="3">
        <v>43754.457640000001</v>
      </c>
      <c r="H401">
        <v>12.22</v>
      </c>
      <c r="K401">
        <v>0.91102612984286402</v>
      </c>
      <c r="L401">
        <v>-1.15759716533359E-4</v>
      </c>
    </row>
    <row r="402" spans="1:12" x14ac:dyDescent="0.2">
      <c r="A402" t="s">
        <v>5</v>
      </c>
      <c r="B402">
        <v>3</v>
      </c>
      <c r="C402" t="s">
        <v>4</v>
      </c>
      <c r="D402" s="2">
        <v>43754</v>
      </c>
      <c r="E402" s="3">
        <v>43754.461109999997</v>
      </c>
      <c r="F402" s="3">
        <v>43754.465279999997</v>
      </c>
      <c r="G402">
        <v>14</v>
      </c>
      <c r="H402">
        <v>12.22</v>
      </c>
      <c r="J402">
        <v>0.18</v>
      </c>
      <c r="K402">
        <v>1.7140384749559701</v>
      </c>
      <c r="L402">
        <v>-1.08585522663916E-4</v>
      </c>
    </row>
    <row r="403" spans="1:12" x14ac:dyDescent="0.2">
      <c r="A403" t="s">
        <v>5</v>
      </c>
      <c r="B403">
        <v>3</v>
      </c>
      <c r="C403" t="s">
        <v>6</v>
      </c>
      <c r="D403" s="2">
        <v>43754</v>
      </c>
      <c r="E403" s="3">
        <v>43754.470829999998</v>
      </c>
      <c r="F403" s="3">
        <v>43754.474309999998</v>
      </c>
      <c r="H403">
        <v>12.22</v>
      </c>
      <c r="K403">
        <v>1.4612496777374899</v>
      </c>
      <c r="L403">
        <v>-1.7507105992391501E-4</v>
      </c>
    </row>
    <row r="404" spans="1:12" x14ac:dyDescent="0.2">
      <c r="A404" t="s">
        <v>5</v>
      </c>
      <c r="B404">
        <v>4</v>
      </c>
      <c r="C404" t="s">
        <v>4</v>
      </c>
      <c r="D404" s="2">
        <v>43754</v>
      </c>
      <c r="E404" s="3">
        <v>43754.479169999999</v>
      </c>
      <c r="F404" s="3">
        <v>43754.482640000002</v>
      </c>
      <c r="G404">
        <v>13.9</v>
      </c>
      <c r="H404">
        <v>12.22</v>
      </c>
      <c r="J404">
        <v>0.17</v>
      </c>
      <c r="K404">
        <v>1.3862186320779399</v>
      </c>
      <c r="L404" s="6">
        <v>-3.74843786346221E-6</v>
      </c>
    </row>
    <row r="405" spans="1:12" x14ac:dyDescent="0.2">
      <c r="A405" t="s">
        <v>5</v>
      </c>
      <c r="B405">
        <v>4</v>
      </c>
      <c r="C405" t="s">
        <v>6</v>
      </c>
      <c r="D405" s="2">
        <v>43754</v>
      </c>
      <c r="E405" s="3">
        <v>43754.485760000003</v>
      </c>
      <c r="F405" s="3">
        <v>43754.489240000003</v>
      </c>
      <c r="H405">
        <v>12.22</v>
      </c>
      <c r="K405">
        <v>1.3427707763676699</v>
      </c>
      <c r="L405" s="6">
        <v>-9.4989967370461698E-5</v>
      </c>
    </row>
    <row r="406" spans="1:12" x14ac:dyDescent="0.2">
      <c r="A406" t="s">
        <v>5</v>
      </c>
      <c r="B406">
        <v>5</v>
      </c>
      <c r="C406" t="s">
        <v>4</v>
      </c>
      <c r="D406" s="2">
        <v>43754</v>
      </c>
      <c r="E406" s="3">
        <v>43754.492359999997</v>
      </c>
      <c r="F406" s="3">
        <v>43754.49583</v>
      </c>
      <c r="G406">
        <v>16.100000000000001</v>
      </c>
      <c r="H406">
        <v>14.44</v>
      </c>
      <c r="J406">
        <v>0.18</v>
      </c>
      <c r="K406">
        <v>1.90497139691797</v>
      </c>
      <c r="L406" s="6">
        <v>-4.4762593820810201E-5</v>
      </c>
    </row>
    <row r="407" spans="1:12" x14ac:dyDescent="0.2">
      <c r="A407" t="s">
        <v>5</v>
      </c>
      <c r="B407">
        <v>5</v>
      </c>
      <c r="C407" t="s">
        <v>6</v>
      </c>
      <c r="D407" s="2">
        <v>43754</v>
      </c>
      <c r="E407" s="3">
        <v>43754.505559999998</v>
      </c>
      <c r="F407" s="3">
        <v>43754.509030000001</v>
      </c>
      <c r="H407">
        <v>14.44</v>
      </c>
      <c r="K407">
        <v>1.76528277618704</v>
      </c>
      <c r="L407">
        <v>-1.00576369535749E-4</v>
      </c>
    </row>
    <row r="408" spans="1:12" x14ac:dyDescent="0.2">
      <c r="A408" t="s">
        <v>5</v>
      </c>
      <c r="B408">
        <v>1</v>
      </c>
      <c r="C408" t="s">
        <v>4</v>
      </c>
      <c r="D408" s="2">
        <v>43754</v>
      </c>
      <c r="E408" s="3">
        <v>43754.519439999996</v>
      </c>
      <c r="F408" s="3">
        <v>43754.522920000003</v>
      </c>
      <c r="G408">
        <v>13.7</v>
      </c>
      <c r="H408">
        <v>20</v>
      </c>
      <c r="J408">
        <v>0.18</v>
      </c>
      <c r="K408">
        <v>1.6428395501848401</v>
      </c>
      <c r="L408">
        <v>-1.3576859796179001E-4</v>
      </c>
    </row>
    <row r="409" spans="1:12" x14ac:dyDescent="0.2">
      <c r="A409" t="s">
        <v>5</v>
      </c>
      <c r="B409">
        <v>1</v>
      </c>
      <c r="C409" t="s">
        <v>6</v>
      </c>
      <c r="D409" s="2">
        <v>43754</v>
      </c>
      <c r="E409" s="3">
        <v>43754.526389999999</v>
      </c>
      <c r="F409" s="3">
        <v>43754.529860000002</v>
      </c>
      <c r="H409">
        <v>20</v>
      </c>
      <c r="K409">
        <v>1.66282339598369</v>
      </c>
      <c r="L409">
        <v>-1.1079109570186699E-4</v>
      </c>
    </row>
    <row r="410" spans="1:12" x14ac:dyDescent="0.2">
      <c r="A410" t="s">
        <v>5</v>
      </c>
      <c r="B410">
        <v>2</v>
      </c>
      <c r="C410" t="s">
        <v>4</v>
      </c>
      <c r="D410" s="2">
        <v>43754</v>
      </c>
      <c r="E410" s="3">
        <v>43754.536110000001</v>
      </c>
      <c r="F410" s="3">
        <v>43754.539579999997</v>
      </c>
      <c r="G410">
        <v>13.7</v>
      </c>
      <c r="H410">
        <v>20</v>
      </c>
      <c r="J410">
        <v>0.17</v>
      </c>
      <c r="K410">
        <v>1.1210262303637999</v>
      </c>
      <c r="L410" s="6">
        <v>-7.6433986299856096E-5</v>
      </c>
    </row>
    <row r="411" spans="1:12" x14ac:dyDescent="0.2">
      <c r="A411" t="s">
        <v>5</v>
      </c>
      <c r="B411">
        <v>2</v>
      </c>
      <c r="C411" t="s">
        <v>6</v>
      </c>
      <c r="D411" s="2">
        <v>43754</v>
      </c>
      <c r="E411" s="3">
        <v>43754.543060000004</v>
      </c>
      <c r="F411" s="3">
        <v>43754.54653</v>
      </c>
      <c r="H411">
        <v>20</v>
      </c>
      <c r="K411">
        <v>0.97619292100260902</v>
      </c>
      <c r="L411">
        <v>-1.0064590018357199E-4</v>
      </c>
    </row>
    <row r="412" spans="1:12" x14ac:dyDescent="0.2">
      <c r="A412" t="s">
        <v>5</v>
      </c>
      <c r="B412">
        <v>3</v>
      </c>
      <c r="C412" t="s">
        <v>4</v>
      </c>
      <c r="D412" s="2">
        <v>43754</v>
      </c>
      <c r="E412" s="3">
        <v>43754.55</v>
      </c>
      <c r="F412" s="3">
        <v>43754.553469999999</v>
      </c>
      <c r="G412">
        <v>13.7</v>
      </c>
      <c r="H412">
        <v>20</v>
      </c>
      <c r="J412">
        <v>0.14000000000000001</v>
      </c>
      <c r="K412">
        <v>1.39915631051807</v>
      </c>
      <c r="L412" s="6">
        <v>-8.1544362181616096E-5</v>
      </c>
    </row>
    <row r="413" spans="1:12" x14ac:dyDescent="0.2">
      <c r="A413" t="s">
        <v>5</v>
      </c>
      <c r="B413">
        <v>3</v>
      </c>
      <c r="C413" t="s">
        <v>6</v>
      </c>
      <c r="D413" s="2">
        <v>43754</v>
      </c>
      <c r="E413" s="3">
        <v>43754.557639999999</v>
      </c>
      <c r="F413" s="3">
        <v>43754.561110000002</v>
      </c>
      <c r="H413">
        <v>20</v>
      </c>
      <c r="K413">
        <v>1.3696204509557299</v>
      </c>
      <c r="L413">
        <v>-1.0647616869288999E-4</v>
      </c>
    </row>
    <row r="414" spans="1:12" x14ac:dyDescent="0.2">
      <c r="A414" t="s">
        <v>5</v>
      </c>
      <c r="B414">
        <v>4</v>
      </c>
      <c r="C414" t="s">
        <v>4</v>
      </c>
      <c r="D414" s="2">
        <v>43754</v>
      </c>
      <c r="E414" s="3">
        <v>43754.565280000003</v>
      </c>
      <c r="F414" s="3">
        <v>43754.568749999999</v>
      </c>
      <c r="G414">
        <v>12.9</v>
      </c>
      <c r="H414">
        <v>20</v>
      </c>
      <c r="J414">
        <v>0.17</v>
      </c>
      <c r="K414">
        <v>1.29243405822445</v>
      </c>
      <c r="L414" s="6">
        <v>-6.78333336765719E-5</v>
      </c>
    </row>
    <row r="415" spans="1:12" x14ac:dyDescent="0.2">
      <c r="A415" t="s">
        <v>5</v>
      </c>
      <c r="B415">
        <v>4</v>
      </c>
      <c r="C415" t="s">
        <v>6</v>
      </c>
      <c r="D415" s="2">
        <v>43754</v>
      </c>
      <c r="E415" s="3">
        <v>43754.571880000003</v>
      </c>
      <c r="F415" s="3">
        <v>43754.575349999999</v>
      </c>
      <c r="H415">
        <v>20</v>
      </c>
      <c r="K415">
        <v>1.2476840154430699</v>
      </c>
      <c r="L415" s="6">
        <v>-6.9981369393000298E-5</v>
      </c>
    </row>
    <row r="416" spans="1:12" x14ac:dyDescent="0.2">
      <c r="A416" t="s">
        <v>5</v>
      </c>
      <c r="B416">
        <v>5</v>
      </c>
      <c r="C416" t="s">
        <v>4</v>
      </c>
      <c r="D416" s="2">
        <v>43754</v>
      </c>
      <c r="E416" s="3">
        <v>43754.57847</v>
      </c>
      <c r="F416" s="3">
        <v>43754.581939999996</v>
      </c>
      <c r="G416">
        <v>16.5</v>
      </c>
      <c r="H416">
        <v>19.440000000000001</v>
      </c>
      <c r="J416">
        <v>0.17</v>
      </c>
      <c r="K416">
        <v>1.63083198165674</v>
      </c>
      <c r="L416" s="6">
        <v>-3.0023735888234599E-5</v>
      </c>
    </row>
    <row r="417" spans="1:12" x14ac:dyDescent="0.2">
      <c r="A417" t="s">
        <v>5</v>
      </c>
      <c r="B417">
        <v>5</v>
      </c>
      <c r="C417" t="s">
        <v>6</v>
      </c>
      <c r="D417" s="2">
        <v>43754</v>
      </c>
      <c r="E417" s="3">
        <v>43754.586810000001</v>
      </c>
      <c r="F417" s="3">
        <v>43754.590279999997</v>
      </c>
      <c r="H417">
        <v>19.440000000000001</v>
      </c>
      <c r="K417">
        <v>1.3861755780631899</v>
      </c>
      <c r="L417" s="6">
        <v>-5.8312140042247303E-5</v>
      </c>
    </row>
    <row r="418" spans="1:12" x14ac:dyDescent="0.2">
      <c r="A418" t="s">
        <v>5</v>
      </c>
      <c r="B418">
        <v>1</v>
      </c>
      <c r="C418" t="s">
        <v>4</v>
      </c>
      <c r="D418" s="2">
        <v>43762</v>
      </c>
      <c r="E418" s="3">
        <v>43762.632640000003</v>
      </c>
      <c r="F418" s="3">
        <v>43762.636109999999</v>
      </c>
      <c r="G418">
        <v>15.6</v>
      </c>
      <c r="H418">
        <v>20.56</v>
      </c>
      <c r="J418">
        <v>0.17</v>
      </c>
      <c r="K418">
        <v>2.38366757947328</v>
      </c>
      <c r="L418" s="6">
        <v>6.5099999999999997E-5</v>
      </c>
    </row>
    <row r="419" spans="1:12" x14ac:dyDescent="0.2">
      <c r="A419" t="s">
        <v>5</v>
      </c>
      <c r="B419">
        <v>1</v>
      </c>
      <c r="C419" t="s">
        <v>6</v>
      </c>
      <c r="D419" s="2">
        <v>43762</v>
      </c>
      <c r="E419" s="3">
        <v>43762.638189999998</v>
      </c>
      <c r="F419" s="3">
        <v>43762.641669999997</v>
      </c>
      <c r="H419">
        <v>20.56</v>
      </c>
      <c r="K419">
        <v>2.0263456685983701</v>
      </c>
      <c r="L419" s="6">
        <v>-2.2799999999999999E-5</v>
      </c>
    </row>
    <row r="420" spans="1:12" x14ac:dyDescent="0.2">
      <c r="A420" t="s">
        <v>5</v>
      </c>
      <c r="B420">
        <v>2</v>
      </c>
      <c r="C420" t="s">
        <v>4</v>
      </c>
      <c r="D420" s="2">
        <v>43762</v>
      </c>
      <c r="E420" s="3">
        <v>43762.643400000001</v>
      </c>
      <c r="F420" s="3">
        <v>43762.64688</v>
      </c>
      <c r="G420">
        <v>19.7</v>
      </c>
      <c r="H420">
        <v>20.56</v>
      </c>
      <c r="J420">
        <v>0.17</v>
      </c>
      <c r="K420">
        <v>1.68617387518856</v>
      </c>
      <c r="L420">
        <v>1.1589799999999999E-4</v>
      </c>
    </row>
    <row r="421" spans="1:12" x14ac:dyDescent="0.2">
      <c r="A421" t="s">
        <v>5</v>
      </c>
      <c r="B421">
        <v>2</v>
      </c>
      <c r="C421" t="s">
        <v>6</v>
      </c>
      <c r="D421" s="2">
        <v>43762</v>
      </c>
      <c r="E421" s="3">
        <v>43762.648959999999</v>
      </c>
      <c r="F421" s="3">
        <v>43762.652430000002</v>
      </c>
      <c r="H421">
        <v>20.56</v>
      </c>
      <c r="K421">
        <v>1.33616641237821</v>
      </c>
      <c r="L421" s="6">
        <v>-9.0099999999999995E-5</v>
      </c>
    </row>
    <row r="422" spans="1:12" x14ac:dyDescent="0.2">
      <c r="A422" t="s">
        <v>5</v>
      </c>
      <c r="B422">
        <v>3</v>
      </c>
      <c r="C422" t="s">
        <v>4</v>
      </c>
      <c r="D422" s="2">
        <v>43762</v>
      </c>
      <c r="E422" s="3">
        <v>43762.654860000002</v>
      </c>
      <c r="F422" s="3">
        <v>43762.658329999998</v>
      </c>
      <c r="G422">
        <v>17.399999999999999</v>
      </c>
      <c r="H422">
        <v>20.56</v>
      </c>
      <c r="J422">
        <v>0.18</v>
      </c>
      <c r="K422">
        <v>2.3692511878832598</v>
      </c>
      <c r="L422" s="6">
        <v>-7.3899999999999994E-5</v>
      </c>
    </row>
    <row r="423" spans="1:12" x14ac:dyDescent="0.2">
      <c r="A423" t="s">
        <v>5</v>
      </c>
      <c r="B423">
        <v>3</v>
      </c>
      <c r="C423" t="s">
        <v>6</v>
      </c>
      <c r="D423" s="2">
        <v>43762</v>
      </c>
      <c r="E423" s="3">
        <v>43762.66042</v>
      </c>
      <c r="F423" s="3">
        <v>43762.663890000003</v>
      </c>
      <c r="H423">
        <v>20.56</v>
      </c>
      <c r="K423">
        <v>2.0653065441662801</v>
      </c>
      <c r="L423" s="6">
        <v>-4.9299999999999999E-5</v>
      </c>
    </row>
    <row r="424" spans="1:12" x14ac:dyDescent="0.2">
      <c r="A424" t="s">
        <v>5</v>
      </c>
      <c r="B424">
        <v>4</v>
      </c>
      <c r="C424" t="s">
        <v>4</v>
      </c>
      <c r="D424" s="2">
        <v>43762</v>
      </c>
      <c r="E424" s="3">
        <v>43762.666669999999</v>
      </c>
      <c r="F424" s="3">
        <v>43762.670140000002</v>
      </c>
      <c r="G424">
        <v>20.6</v>
      </c>
      <c r="H424">
        <v>20.56</v>
      </c>
      <c r="J424">
        <v>0.18</v>
      </c>
      <c r="K424">
        <v>1.40011847609594</v>
      </c>
      <c r="L424" s="6">
        <v>6.0999999999999999E-5</v>
      </c>
    </row>
    <row r="425" spans="1:12" x14ac:dyDescent="0.2">
      <c r="A425" t="s">
        <v>5</v>
      </c>
      <c r="B425">
        <v>4</v>
      </c>
      <c r="C425" t="s">
        <v>6</v>
      </c>
      <c r="D425" s="2">
        <v>43762</v>
      </c>
      <c r="E425" s="3">
        <v>43762.672570000002</v>
      </c>
      <c r="F425" s="3">
        <v>43762.676039999998</v>
      </c>
      <c r="H425">
        <v>20.56</v>
      </c>
      <c r="K425">
        <v>1.52298687093617</v>
      </c>
      <c r="L425" s="6">
        <v>-3.2700000000000002E-5</v>
      </c>
    </row>
    <row r="426" spans="1:12" x14ac:dyDescent="0.2">
      <c r="A426" t="s">
        <v>5</v>
      </c>
      <c r="B426">
        <v>5</v>
      </c>
      <c r="C426" t="s">
        <v>4</v>
      </c>
      <c r="D426" s="2">
        <v>43762</v>
      </c>
      <c r="E426" s="3">
        <v>43762.67813</v>
      </c>
      <c r="F426" s="3">
        <v>43762.681600000004</v>
      </c>
      <c r="G426">
        <v>20.2</v>
      </c>
      <c r="H426">
        <v>20</v>
      </c>
      <c r="J426">
        <v>0.17</v>
      </c>
      <c r="K426">
        <v>1.7068901537302901</v>
      </c>
      <c r="L426" s="6">
        <v>1.2500000000000001E-5</v>
      </c>
    </row>
    <row r="427" spans="1:12" x14ac:dyDescent="0.2">
      <c r="A427" t="s">
        <v>5</v>
      </c>
      <c r="B427">
        <v>5</v>
      </c>
      <c r="C427" t="s">
        <v>6</v>
      </c>
      <c r="D427" s="2">
        <v>43762</v>
      </c>
      <c r="E427" s="3">
        <v>43762.684379999999</v>
      </c>
      <c r="F427" s="3">
        <v>43762.687850000002</v>
      </c>
      <c r="H427">
        <v>20</v>
      </c>
      <c r="K427">
        <v>1.59168545322191</v>
      </c>
      <c r="L427" s="6">
        <v>-4.1900000000000002E-5</v>
      </c>
    </row>
    <row r="428" spans="1:12" x14ac:dyDescent="0.2">
      <c r="A428" t="s">
        <v>5</v>
      </c>
      <c r="B428">
        <v>1</v>
      </c>
      <c r="C428" t="s">
        <v>4</v>
      </c>
      <c r="D428" s="2">
        <v>43762</v>
      </c>
      <c r="E428" s="3">
        <v>43762.700230000002</v>
      </c>
      <c r="F428" s="3">
        <v>43762.703699999998</v>
      </c>
      <c r="G428">
        <v>14.6</v>
      </c>
      <c r="H428">
        <v>20</v>
      </c>
      <c r="J428">
        <v>0.17</v>
      </c>
      <c r="K428">
        <v>2.0605727000812002</v>
      </c>
      <c r="L428" s="6">
        <v>-6.5044444814805699E-5</v>
      </c>
    </row>
    <row r="429" spans="1:12" x14ac:dyDescent="0.2">
      <c r="A429" t="s">
        <v>5</v>
      </c>
      <c r="B429">
        <v>1</v>
      </c>
      <c r="C429" t="s">
        <v>6</v>
      </c>
      <c r="D429" s="2">
        <v>43762</v>
      </c>
      <c r="E429" s="3">
        <v>43762.70521</v>
      </c>
      <c r="F429" s="3">
        <v>43762.708680000003</v>
      </c>
      <c r="H429">
        <v>20</v>
      </c>
      <c r="K429">
        <v>1.6521645736758199</v>
      </c>
      <c r="L429" s="6">
        <v>-2.2989067724420001E-5</v>
      </c>
    </row>
    <row r="430" spans="1:12" x14ac:dyDescent="0.2">
      <c r="A430" t="s">
        <v>5</v>
      </c>
      <c r="B430">
        <v>2</v>
      </c>
      <c r="C430" t="s">
        <v>4</v>
      </c>
      <c r="D430" s="2">
        <v>43762</v>
      </c>
      <c r="E430" s="3">
        <v>43762.710420000003</v>
      </c>
      <c r="F430" s="3">
        <v>43762.713889999999</v>
      </c>
      <c r="G430">
        <v>19.100000000000001</v>
      </c>
      <c r="H430">
        <v>20</v>
      </c>
      <c r="J430">
        <v>0.16</v>
      </c>
      <c r="K430">
        <v>1.15604355291854</v>
      </c>
      <c r="L430" s="6">
        <v>8.4516554325793799E-6</v>
      </c>
    </row>
    <row r="431" spans="1:12" x14ac:dyDescent="0.2">
      <c r="A431" t="s">
        <v>5</v>
      </c>
      <c r="B431">
        <v>2</v>
      </c>
      <c r="C431" t="s">
        <v>6</v>
      </c>
      <c r="D431" s="2">
        <v>43762</v>
      </c>
      <c r="E431" s="3">
        <v>43762.715629999999</v>
      </c>
      <c r="F431" s="3">
        <v>43762.719100000002</v>
      </c>
      <c r="H431">
        <v>20</v>
      </c>
      <c r="K431">
        <v>1.1281896736586901</v>
      </c>
      <c r="L431" s="6">
        <v>3.2230448327923297E-5</v>
      </c>
    </row>
    <row r="432" spans="1:12" x14ac:dyDescent="0.2">
      <c r="A432" t="s">
        <v>5</v>
      </c>
      <c r="B432">
        <v>3</v>
      </c>
      <c r="C432" t="s">
        <v>4</v>
      </c>
      <c r="D432" s="2">
        <v>43762</v>
      </c>
      <c r="E432" s="3">
        <v>43762.721879999997</v>
      </c>
      <c r="F432" s="3">
        <v>43762.725350000001</v>
      </c>
      <c r="G432">
        <v>17.2</v>
      </c>
      <c r="H432">
        <v>20</v>
      </c>
      <c r="J432">
        <v>0.16</v>
      </c>
      <c r="K432">
        <v>1.7131338892549299</v>
      </c>
      <c r="L432" s="6">
        <v>-3.79668128518625E-6</v>
      </c>
    </row>
    <row r="433" spans="1:12" x14ac:dyDescent="0.2">
      <c r="A433" t="s">
        <v>5</v>
      </c>
      <c r="B433">
        <v>3</v>
      </c>
      <c r="C433" t="s">
        <v>6</v>
      </c>
      <c r="D433" s="2">
        <v>43762</v>
      </c>
      <c r="E433" s="3">
        <v>43762.728130000003</v>
      </c>
      <c r="F433" s="3">
        <v>43762.731249999997</v>
      </c>
      <c r="H433">
        <v>20</v>
      </c>
      <c r="K433">
        <v>1.5777434769007399</v>
      </c>
      <c r="L433" s="6">
        <v>2.6868589972208098E-5</v>
      </c>
    </row>
    <row r="434" spans="1:12" x14ac:dyDescent="0.2">
      <c r="A434" t="s">
        <v>5</v>
      </c>
      <c r="B434">
        <v>4</v>
      </c>
      <c r="C434" t="s">
        <v>4</v>
      </c>
      <c r="D434" s="2">
        <v>43762</v>
      </c>
      <c r="E434" s="3">
        <v>43762.73403</v>
      </c>
      <c r="F434" s="3">
        <v>43762.737500000003</v>
      </c>
      <c r="G434">
        <v>20</v>
      </c>
      <c r="H434">
        <v>20</v>
      </c>
      <c r="J434">
        <v>0.16</v>
      </c>
      <c r="K434">
        <v>1.20066078301944</v>
      </c>
      <c r="L434" s="6">
        <v>3.0076790507079498E-5</v>
      </c>
    </row>
    <row r="435" spans="1:12" x14ac:dyDescent="0.2">
      <c r="A435" t="s">
        <v>5</v>
      </c>
      <c r="B435">
        <v>4</v>
      </c>
      <c r="C435" t="s">
        <v>6</v>
      </c>
      <c r="D435" s="2">
        <v>43762</v>
      </c>
      <c r="E435" s="3">
        <v>43762.739580000001</v>
      </c>
      <c r="F435" s="3">
        <v>43762.743060000001</v>
      </c>
      <c r="H435">
        <v>20</v>
      </c>
      <c r="K435">
        <v>1.2404430609796999</v>
      </c>
      <c r="L435" s="6">
        <v>-1.5102497100964799E-5</v>
      </c>
    </row>
    <row r="436" spans="1:12" x14ac:dyDescent="0.2">
      <c r="A436" t="s">
        <v>5</v>
      </c>
      <c r="B436">
        <v>5</v>
      </c>
      <c r="C436" t="s">
        <v>4</v>
      </c>
      <c r="D436" s="2">
        <v>43762</v>
      </c>
      <c r="E436" s="3">
        <v>43762.745139999999</v>
      </c>
      <c r="F436" s="3">
        <v>43762.748610000002</v>
      </c>
      <c r="G436">
        <v>19.8</v>
      </c>
      <c r="H436">
        <v>19.440000000000001</v>
      </c>
      <c r="J436">
        <v>0.16</v>
      </c>
      <c r="K436">
        <v>1.4026911184312001</v>
      </c>
      <c r="L436" s="6">
        <v>4.1974149035487403E-5</v>
      </c>
    </row>
    <row r="437" spans="1:12" x14ac:dyDescent="0.2">
      <c r="A437" t="s">
        <v>5</v>
      </c>
      <c r="B437">
        <v>5</v>
      </c>
      <c r="C437" t="s">
        <v>6</v>
      </c>
      <c r="D437" s="2">
        <v>43762</v>
      </c>
      <c r="E437" s="3">
        <v>43762.750690000001</v>
      </c>
      <c r="F437" s="3">
        <v>43762.75417</v>
      </c>
      <c r="H437">
        <v>19.440000000000001</v>
      </c>
      <c r="K437">
        <v>1.52703242440722</v>
      </c>
      <c r="L437" s="6">
        <v>-1.9142904842304501E-5</v>
      </c>
    </row>
    <row r="438" spans="1:12" x14ac:dyDescent="0.2">
      <c r="A438" t="s">
        <v>5</v>
      </c>
      <c r="B438">
        <v>1</v>
      </c>
      <c r="C438" t="s">
        <v>4</v>
      </c>
      <c r="D438" s="2">
        <v>43768</v>
      </c>
      <c r="E438" s="3">
        <v>43768.398609999997</v>
      </c>
      <c r="F438" s="3">
        <v>43768.40208</v>
      </c>
      <c r="G438">
        <v>18</v>
      </c>
      <c r="H438">
        <v>13.89</v>
      </c>
      <c r="J438">
        <v>0.17</v>
      </c>
      <c r="K438">
        <v>1.84367773359989</v>
      </c>
      <c r="L438" s="6">
        <v>5.0450111851712503E-5</v>
      </c>
    </row>
    <row r="439" spans="1:12" x14ac:dyDescent="0.2">
      <c r="A439" t="s">
        <v>5</v>
      </c>
      <c r="B439">
        <v>1</v>
      </c>
      <c r="C439" t="s">
        <v>6</v>
      </c>
      <c r="D439" s="2">
        <v>43768</v>
      </c>
      <c r="E439" s="3">
        <v>43768.40451</v>
      </c>
      <c r="F439" s="3">
        <v>43768.40799</v>
      </c>
      <c r="H439">
        <v>13.89</v>
      </c>
      <c r="K439">
        <v>1.76240805145274</v>
      </c>
      <c r="L439" s="6">
        <v>-1.6130537006855999E-5</v>
      </c>
    </row>
    <row r="440" spans="1:12" x14ac:dyDescent="0.2">
      <c r="A440" t="s">
        <v>5</v>
      </c>
      <c r="B440">
        <v>2</v>
      </c>
      <c r="C440" t="s">
        <v>4</v>
      </c>
      <c r="D440" s="2">
        <v>43768</v>
      </c>
      <c r="E440" s="3">
        <v>43768.411110000001</v>
      </c>
      <c r="F440" s="3">
        <v>43768.414579999997</v>
      </c>
      <c r="G440">
        <v>21</v>
      </c>
      <c r="H440">
        <v>13.89</v>
      </c>
      <c r="J440">
        <v>0.16</v>
      </c>
      <c r="K440">
        <v>1.56686687223294</v>
      </c>
      <c r="L440" s="6">
        <v>-2.9031685465581499E-5</v>
      </c>
    </row>
    <row r="441" spans="1:12" x14ac:dyDescent="0.2">
      <c r="A441" t="s">
        <v>5</v>
      </c>
      <c r="B441">
        <v>2</v>
      </c>
      <c r="C441" t="s">
        <v>6</v>
      </c>
      <c r="D441" s="2">
        <v>43768</v>
      </c>
      <c r="E441" s="3">
        <v>43768.416669999999</v>
      </c>
      <c r="F441" s="3">
        <v>43768.420140000002</v>
      </c>
      <c r="H441">
        <v>13.89</v>
      </c>
      <c r="K441">
        <v>1.60081785328738</v>
      </c>
      <c r="L441" s="6">
        <v>-7.1264270102265804E-5</v>
      </c>
    </row>
    <row r="442" spans="1:12" x14ac:dyDescent="0.2">
      <c r="A442" t="s">
        <v>5</v>
      </c>
      <c r="B442">
        <v>3</v>
      </c>
      <c r="C442" t="s">
        <v>4</v>
      </c>
      <c r="D442" s="2">
        <v>43768</v>
      </c>
      <c r="E442" s="3">
        <v>43768.422570000002</v>
      </c>
      <c r="F442" s="3">
        <v>43768.426039999998</v>
      </c>
      <c r="G442">
        <v>20.9</v>
      </c>
      <c r="H442">
        <v>13.89</v>
      </c>
      <c r="J442">
        <v>0.17</v>
      </c>
      <c r="K442">
        <v>2.4947169529098701</v>
      </c>
      <c r="L442" s="6">
        <v>-7.7913856618816202E-5</v>
      </c>
    </row>
    <row r="443" spans="1:12" x14ac:dyDescent="0.2">
      <c r="A443" t="s">
        <v>5</v>
      </c>
      <c r="B443">
        <v>3</v>
      </c>
      <c r="C443" t="s">
        <v>6</v>
      </c>
      <c r="D443" s="2">
        <v>43768</v>
      </c>
      <c r="E443" s="3">
        <v>43768.428240000001</v>
      </c>
      <c r="F443" s="3">
        <v>43768.431709999997</v>
      </c>
      <c r="H443">
        <v>13.89</v>
      </c>
      <c r="K443">
        <v>2.13720758646333</v>
      </c>
      <c r="L443" s="6">
        <v>-8.8057604445248696E-5</v>
      </c>
    </row>
    <row r="444" spans="1:12" x14ac:dyDescent="0.2">
      <c r="A444" t="s">
        <v>5</v>
      </c>
      <c r="B444">
        <v>4</v>
      </c>
      <c r="C444" t="s">
        <v>4</v>
      </c>
      <c r="D444" s="2">
        <v>43768</v>
      </c>
      <c r="E444" s="3">
        <v>43768.434379999999</v>
      </c>
      <c r="F444" s="3">
        <v>43768.437850000002</v>
      </c>
      <c r="G444">
        <v>21.5</v>
      </c>
      <c r="H444">
        <v>13.89</v>
      </c>
      <c r="J444">
        <v>0.15</v>
      </c>
      <c r="K444">
        <v>1.90748414293996</v>
      </c>
      <c r="L444" s="6">
        <v>-2.0344368610475599E-5</v>
      </c>
    </row>
    <row r="445" spans="1:12" x14ac:dyDescent="0.2">
      <c r="A445" t="s">
        <v>5</v>
      </c>
      <c r="B445">
        <v>4</v>
      </c>
      <c r="C445" t="s">
        <v>6</v>
      </c>
      <c r="D445" s="2">
        <v>43768</v>
      </c>
      <c r="E445" s="3">
        <v>43768.43993</v>
      </c>
      <c r="F445" s="3">
        <v>43768.443399999996</v>
      </c>
      <c r="H445">
        <v>13.89</v>
      </c>
      <c r="K445">
        <v>1.2774395756360299</v>
      </c>
      <c r="L445" s="6">
        <v>-2.72754112643786E-5</v>
      </c>
    </row>
    <row r="446" spans="1:12" x14ac:dyDescent="0.2">
      <c r="A446" t="s">
        <v>5</v>
      </c>
      <c r="B446">
        <v>5</v>
      </c>
      <c r="C446" t="s">
        <v>4</v>
      </c>
      <c r="D446" s="2">
        <v>43768</v>
      </c>
      <c r="E446" s="3">
        <v>43768.447050000002</v>
      </c>
      <c r="F446" s="3">
        <v>43768.450519999999</v>
      </c>
      <c r="G446">
        <v>20.8</v>
      </c>
      <c r="H446">
        <v>15.56</v>
      </c>
      <c r="J446">
        <v>0.18</v>
      </c>
      <c r="K446">
        <v>1.6107045141066101</v>
      </c>
      <c r="L446" s="6">
        <v>5.2055434131796999E-6</v>
      </c>
    </row>
    <row r="447" spans="1:12" x14ac:dyDescent="0.2">
      <c r="A447" t="s">
        <v>5</v>
      </c>
      <c r="B447">
        <v>5</v>
      </c>
      <c r="C447" t="s">
        <v>6</v>
      </c>
      <c r="D447" s="2">
        <v>43768</v>
      </c>
      <c r="E447" s="3">
        <v>43768.45278</v>
      </c>
      <c r="F447" s="3">
        <v>43768.456250000003</v>
      </c>
      <c r="H447">
        <v>15.56</v>
      </c>
      <c r="K447">
        <v>1.2878762763990701</v>
      </c>
      <c r="L447" s="6">
        <v>-1.7321530194471499E-5</v>
      </c>
    </row>
    <row r="448" spans="1:12" x14ac:dyDescent="0.2">
      <c r="A448" t="s">
        <v>5</v>
      </c>
      <c r="B448">
        <v>1</v>
      </c>
      <c r="C448" t="s">
        <v>4</v>
      </c>
      <c r="D448" s="2">
        <v>43768</v>
      </c>
      <c r="E448" s="3">
        <v>43768.475689999999</v>
      </c>
      <c r="F448" s="3">
        <v>43768.479169999999</v>
      </c>
      <c r="G448">
        <v>19.7</v>
      </c>
      <c r="H448">
        <v>15.56</v>
      </c>
      <c r="J448">
        <v>0.17</v>
      </c>
      <c r="K448">
        <v>1.78894633596663</v>
      </c>
      <c r="L448" s="6">
        <v>-1.8078148212885299E-5</v>
      </c>
    </row>
    <row r="449" spans="1:12" x14ac:dyDescent="0.2">
      <c r="A449" t="s">
        <v>5</v>
      </c>
      <c r="B449">
        <v>1</v>
      </c>
      <c r="C449" t="s">
        <v>6</v>
      </c>
      <c r="D449" s="2">
        <v>43768</v>
      </c>
      <c r="E449" s="3">
        <v>43768.481599999999</v>
      </c>
      <c r="F449" s="3">
        <v>43768.485070000002</v>
      </c>
      <c r="H449">
        <v>15.56</v>
      </c>
      <c r="K449">
        <v>1.53378520984447</v>
      </c>
      <c r="L449" s="6">
        <v>3.37769392332136E-5</v>
      </c>
    </row>
    <row r="450" spans="1:12" x14ac:dyDescent="0.2">
      <c r="A450" t="s">
        <v>5</v>
      </c>
      <c r="B450">
        <v>2</v>
      </c>
      <c r="C450" t="s">
        <v>4</v>
      </c>
      <c r="D450" s="2">
        <v>43768</v>
      </c>
      <c r="E450" s="3">
        <v>43768.488189999996</v>
      </c>
      <c r="F450" s="3">
        <v>43768.491670000003</v>
      </c>
      <c r="G450">
        <v>19.600000000000001</v>
      </c>
      <c r="H450">
        <v>15.56</v>
      </c>
      <c r="J450">
        <v>0.14000000000000001</v>
      </c>
      <c r="K450">
        <v>1.84681964806293</v>
      </c>
      <c r="L450" s="6">
        <v>-1.8314027769991799E-5</v>
      </c>
    </row>
    <row r="451" spans="1:12" x14ac:dyDescent="0.2">
      <c r="A451" t="s">
        <v>5</v>
      </c>
      <c r="B451">
        <v>2</v>
      </c>
      <c r="C451" t="s">
        <v>6</v>
      </c>
      <c r="D451" s="2">
        <v>43768</v>
      </c>
      <c r="E451" s="3">
        <v>43768.494789999997</v>
      </c>
      <c r="F451" s="3">
        <v>43768.49826</v>
      </c>
      <c r="H451">
        <v>15.56</v>
      </c>
      <c r="K451">
        <v>1.5109315288627201</v>
      </c>
      <c r="L451" s="6">
        <v>-2.9874139243360198E-5</v>
      </c>
    </row>
    <row r="452" spans="1:12" x14ac:dyDescent="0.2">
      <c r="A452" t="s">
        <v>5</v>
      </c>
      <c r="B452">
        <v>3</v>
      </c>
      <c r="C452" t="s">
        <v>4</v>
      </c>
      <c r="D452" s="2">
        <v>43768</v>
      </c>
      <c r="E452" s="3">
        <v>43768.500690000001</v>
      </c>
      <c r="F452" s="3">
        <v>43768.50417</v>
      </c>
      <c r="G452">
        <v>21.1</v>
      </c>
      <c r="H452">
        <v>15.56</v>
      </c>
      <c r="J452">
        <v>0.16</v>
      </c>
      <c r="K452">
        <v>2.4525037918666301</v>
      </c>
      <c r="L452" s="6">
        <v>-3.8226560761543499E-5</v>
      </c>
    </row>
    <row r="453" spans="1:12" x14ac:dyDescent="0.2">
      <c r="A453" t="s">
        <v>5</v>
      </c>
      <c r="B453">
        <v>3</v>
      </c>
      <c r="C453" t="s">
        <v>6</v>
      </c>
      <c r="D453" s="2">
        <v>43768</v>
      </c>
      <c r="E453" s="3">
        <v>43768.506249999999</v>
      </c>
      <c r="F453" s="3">
        <v>43768.509720000002</v>
      </c>
      <c r="H453">
        <v>15.56</v>
      </c>
      <c r="K453">
        <v>2.72336121189185</v>
      </c>
      <c r="L453">
        <v>-1.5607768085813099E-4</v>
      </c>
    </row>
    <row r="454" spans="1:12" x14ac:dyDescent="0.2">
      <c r="A454" t="s">
        <v>5</v>
      </c>
      <c r="B454">
        <v>4</v>
      </c>
      <c r="C454" t="s">
        <v>4</v>
      </c>
      <c r="D454" s="2">
        <v>43768</v>
      </c>
      <c r="E454" s="3">
        <v>43768.512499999997</v>
      </c>
      <c r="F454" s="3">
        <v>43768.51597</v>
      </c>
      <c r="G454">
        <v>24.4</v>
      </c>
      <c r="H454">
        <v>15.56</v>
      </c>
      <c r="J454">
        <v>0.16</v>
      </c>
      <c r="K454">
        <v>1.3886943379965899</v>
      </c>
      <c r="L454" s="6">
        <v>8.5599200603249295E-5</v>
      </c>
    </row>
    <row r="455" spans="1:12" x14ac:dyDescent="0.2">
      <c r="A455" t="s">
        <v>5</v>
      </c>
      <c r="B455">
        <v>4</v>
      </c>
      <c r="C455" t="s">
        <v>6</v>
      </c>
      <c r="D455" s="2">
        <v>43768</v>
      </c>
      <c r="E455" s="3">
        <v>43768.525520000003</v>
      </c>
      <c r="F455" s="3">
        <v>43768.528989999999</v>
      </c>
      <c r="H455">
        <v>15.56</v>
      </c>
      <c r="K455">
        <v>1.5369946324141599</v>
      </c>
      <c r="L455" s="6">
        <v>4.48801331787017E-5</v>
      </c>
    </row>
    <row r="456" spans="1:12" x14ac:dyDescent="0.2">
      <c r="A456" t="s">
        <v>5</v>
      </c>
      <c r="B456">
        <v>5</v>
      </c>
      <c r="C456" t="s">
        <v>4</v>
      </c>
      <c r="D456" s="2">
        <v>43768</v>
      </c>
      <c r="E456" s="3">
        <v>43768.525520000003</v>
      </c>
      <c r="F456" s="3">
        <v>43768.528989999999</v>
      </c>
      <c r="G456">
        <v>19.8</v>
      </c>
      <c r="H456">
        <v>15.56</v>
      </c>
      <c r="J456">
        <v>0.17</v>
      </c>
      <c r="K456">
        <v>1.5369946324141599</v>
      </c>
      <c r="L456" s="6">
        <v>4.48801331787017E-5</v>
      </c>
    </row>
    <row r="457" spans="1:12" x14ac:dyDescent="0.2">
      <c r="A457" t="s">
        <v>5</v>
      </c>
      <c r="B457">
        <v>5</v>
      </c>
      <c r="C457" t="s">
        <v>6</v>
      </c>
      <c r="D457" s="2">
        <v>43768</v>
      </c>
      <c r="E457" s="3">
        <v>43768.532639999998</v>
      </c>
      <c r="F457" s="3">
        <v>43768.536110000001</v>
      </c>
      <c r="H457">
        <v>15.56</v>
      </c>
      <c r="K457">
        <v>1.3476180904130699</v>
      </c>
      <c r="L457" s="6">
        <v>8.4036687239836795E-6</v>
      </c>
    </row>
    <row r="458" spans="1:12" x14ac:dyDescent="0.2">
      <c r="A458" t="s">
        <v>5</v>
      </c>
    </row>
    <row r="459" spans="1:12" x14ac:dyDescent="0.2">
      <c r="A459" t="s">
        <v>5</v>
      </c>
    </row>
    <row r="460" spans="1:12" x14ac:dyDescent="0.2">
      <c r="A460" t="s">
        <v>5</v>
      </c>
    </row>
    <row r="461" spans="1:12" x14ac:dyDescent="0.2">
      <c r="A461" t="s">
        <v>5</v>
      </c>
    </row>
    <row r="462" spans="1:12" x14ac:dyDescent="0.2">
      <c r="A462" t="s">
        <v>5</v>
      </c>
    </row>
    <row r="463" spans="1:12" x14ac:dyDescent="0.2">
      <c r="A463" t="s">
        <v>5</v>
      </c>
    </row>
    <row r="464" spans="1:12" x14ac:dyDescent="0.2">
      <c r="A464" t="s">
        <v>5</v>
      </c>
    </row>
    <row r="465" spans="1:1" x14ac:dyDescent="0.2">
      <c r="A465" t="s">
        <v>5</v>
      </c>
    </row>
    <row r="466" spans="1:1" x14ac:dyDescent="0.2">
      <c r="A466" t="s">
        <v>5</v>
      </c>
    </row>
    <row r="467" spans="1:1" x14ac:dyDescent="0.2">
      <c r="A467" t="s">
        <v>5</v>
      </c>
    </row>
    <row r="468" spans="1:1" x14ac:dyDescent="0.2">
      <c r="A468" t="s">
        <v>5</v>
      </c>
    </row>
    <row r="469" spans="1:1" x14ac:dyDescent="0.2">
      <c r="A469" t="s">
        <v>5</v>
      </c>
    </row>
    <row r="470" spans="1:1" x14ac:dyDescent="0.2">
      <c r="A470" t="s">
        <v>5</v>
      </c>
    </row>
    <row r="471" spans="1:1" x14ac:dyDescent="0.2">
      <c r="A471" t="s">
        <v>5</v>
      </c>
    </row>
    <row r="472" spans="1:1" x14ac:dyDescent="0.2">
      <c r="A472" t="s">
        <v>5</v>
      </c>
    </row>
    <row r="473" spans="1:1" x14ac:dyDescent="0.2">
      <c r="A473" t="s">
        <v>5</v>
      </c>
    </row>
    <row r="474" spans="1:1" x14ac:dyDescent="0.2">
      <c r="A474" t="s">
        <v>5</v>
      </c>
    </row>
    <row r="475" spans="1:1" x14ac:dyDescent="0.2">
      <c r="A475" t="s">
        <v>5</v>
      </c>
    </row>
    <row r="476" spans="1:1" x14ac:dyDescent="0.2">
      <c r="A476" t="s">
        <v>5</v>
      </c>
    </row>
    <row r="477" spans="1:1" x14ac:dyDescent="0.2">
      <c r="A477" t="s">
        <v>5</v>
      </c>
    </row>
    <row r="478" spans="1:1" x14ac:dyDescent="0.2">
      <c r="A478" t="s">
        <v>5</v>
      </c>
    </row>
    <row r="479" spans="1:1" x14ac:dyDescent="0.2">
      <c r="A479" t="s">
        <v>5</v>
      </c>
    </row>
    <row r="480" spans="1:1" x14ac:dyDescent="0.2">
      <c r="A480" t="s">
        <v>5</v>
      </c>
    </row>
    <row r="481" spans="1:1" x14ac:dyDescent="0.2">
      <c r="A481" t="s">
        <v>5</v>
      </c>
    </row>
    <row r="482" spans="1:1" x14ac:dyDescent="0.2">
      <c r="A482" t="s">
        <v>5</v>
      </c>
    </row>
    <row r="483" spans="1:1" x14ac:dyDescent="0.2">
      <c r="A483" t="s">
        <v>5</v>
      </c>
    </row>
    <row r="484" spans="1:1" x14ac:dyDescent="0.2">
      <c r="A484" t="s">
        <v>5</v>
      </c>
    </row>
    <row r="485" spans="1:1" x14ac:dyDescent="0.2">
      <c r="A485" t="s">
        <v>5</v>
      </c>
    </row>
    <row r="486" spans="1:1" x14ac:dyDescent="0.2">
      <c r="A486" t="s">
        <v>5</v>
      </c>
    </row>
    <row r="487" spans="1:1" x14ac:dyDescent="0.2">
      <c r="A487" t="s">
        <v>5</v>
      </c>
    </row>
    <row r="488" spans="1:1" x14ac:dyDescent="0.2">
      <c r="A488" t="s">
        <v>5</v>
      </c>
    </row>
    <row r="489" spans="1:1" x14ac:dyDescent="0.2">
      <c r="A489" t="s">
        <v>5</v>
      </c>
    </row>
    <row r="490" spans="1:1" x14ac:dyDescent="0.2">
      <c r="A490" t="s">
        <v>5</v>
      </c>
    </row>
    <row r="491" spans="1:1" x14ac:dyDescent="0.2">
      <c r="A491" t="s">
        <v>5</v>
      </c>
    </row>
    <row r="492" spans="1:1" x14ac:dyDescent="0.2">
      <c r="A492" t="s">
        <v>5</v>
      </c>
    </row>
    <row r="493" spans="1:1" x14ac:dyDescent="0.2">
      <c r="A493" t="s">
        <v>5</v>
      </c>
    </row>
    <row r="494" spans="1:1" x14ac:dyDescent="0.2">
      <c r="A494" t="s">
        <v>5</v>
      </c>
    </row>
    <row r="495" spans="1:1" x14ac:dyDescent="0.2">
      <c r="A495" t="s">
        <v>5</v>
      </c>
    </row>
    <row r="496" spans="1:1" x14ac:dyDescent="0.2">
      <c r="A496" t="s">
        <v>5</v>
      </c>
    </row>
    <row r="497" spans="1:1" x14ac:dyDescent="0.2">
      <c r="A497" t="s">
        <v>5</v>
      </c>
    </row>
    <row r="498" spans="1:1" x14ac:dyDescent="0.2">
      <c r="A498" t="s">
        <v>5</v>
      </c>
    </row>
    <row r="499" spans="1:1" x14ac:dyDescent="0.2">
      <c r="A499" t="s">
        <v>5</v>
      </c>
    </row>
    <row r="500" spans="1:1" x14ac:dyDescent="0.2">
      <c r="A500" t="s">
        <v>5</v>
      </c>
    </row>
    <row r="501" spans="1:1" x14ac:dyDescent="0.2">
      <c r="A501" t="s">
        <v>5</v>
      </c>
    </row>
    <row r="502" spans="1:1" x14ac:dyDescent="0.2">
      <c r="A502" t="s">
        <v>5</v>
      </c>
    </row>
    <row r="503" spans="1:1" x14ac:dyDescent="0.2">
      <c r="A503" t="s">
        <v>5</v>
      </c>
    </row>
    <row r="504" spans="1:1" x14ac:dyDescent="0.2">
      <c r="A504" t="s">
        <v>5</v>
      </c>
    </row>
    <row r="505" spans="1:1" x14ac:dyDescent="0.2">
      <c r="A505" t="s">
        <v>5</v>
      </c>
    </row>
    <row r="506" spans="1:1" x14ac:dyDescent="0.2">
      <c r="A506" t="s">
        <v>5</v>
      </c>
    </row>
    <row r="507" spans="1:1" x14ac:dyDescent="0.2">
      <c r="A507" t="s">
        <v>5</v>
      </c>
    </row>
    <row r="508" spans="1:1" x14ac:dyDescent="0.2">
      <c r="A508" t="s">
        <v>5</v>
      </c>
    </row>
    <row r="509" spans="1:1" x14ac:dyDescent="0.2">
      <c r="A509" t="s">
        <v>5</v>
      </c>
    </row>
    <row r="510" spans="1:1" x14ac:dyDescent="0.2">
      <c r="A510" t="s">
        <v>5</v>
      </c>
    </row>
    <row r="511" spans="1:1" x14ac:dyDescent="0.2">
      <c r="A511" t="s">
        <v>5</v>
      </c>
    </row>
    <row r="512" spans="1:1" x14ac:dyDescent="0.2">
      <c r="A512" t="s">
        <v>5</v>
      </c>
    </row>
    <row r="513" spans="1:1" x14ac:dyDescent="0.2">
      <c r="A513" t="s">
        <v>5</v>
      </c>
    </row>
    <row r="514" spans="1:1" x14ac:dyDescent="0.2">
      <c r="A514" t="s">
        <v>5</v>
      </c>
    </row>
    <row r="515" spans="1:1" x14ac:dyDescent="0.2">
      <c r="A515" t="s">
        <v>5</v>
      </c>
    </row>
    <row r="516" spans="1:1" x14ac:dyDescent="0.2">
      <c r="A516" t="s">
        <v>5</v>
      </c>
    </row>
    <row r="517" spans="1:1" x14ac:dyDescent="0.2">
      <c r="A517" t="s">
        <v>5</v>
      </c>
    </row>
    <row r="518" spans="1:1" x14ac:dyDescent="0.2">
      <c r="A518" t="s">
        <v>5</v>
      </c>
    </row>
    <row r="519" spans="1:1" x14ac:dyDescent="0.2">
      <c r="A519" t="s">
        <v>5</v>
      </c>
    </row>
    <row r="520" spans="1:1" x14ac:dyDescent="0.2">
      <c r="A520" t="s">
        <v>5</v>
      </c>
    </row>
    <row r="521" spans="1:1" x14ac:dyDescent="0.2">
      <c r="A521" t="s">
        <v>5</v>
      </c>
    </row>
    <row r="522" spans="1:1" x14ac:dyDescent="0.2">
      <c r="A522" t="s">
        <v>5</v>
      </c>
    </row>
    <row r="523" spans="1:1" x14ac:dyDescent="0.2">
      <c r="A523" t="s">
        <v>5</v>
      </c>
    </row>
    <row r="524" spans="1:1" x14ac:dyDescent="0.2">
      <c r="A524" t="s">
        <v>5</v>
      </c>
    </row>
    <row r="525" spans="1:1" x14ac:dyDescent="0.2">
      <c r="A525" t="s">
        <v>5</v>
      </c>
    </row>
    <row r="526" spans="1:1" x14ac:dyDescent="0.2">
      <c r="A526" t="s">
        <v>5</v>
      </c>
    </row>
    <row r="527" spans="1:1" x14ac:dyDescent="0.2">
      <c r="A527" t="s">
        <v>5</v>
      </c>
    </row>
    <row r="528" spans="1:1" x14ac:dyDescent="0.2">
      <c r="A528" t="s">
        <v>5</v>
      </c>
    </row>
    <row r="529" spans="1:1" x14ac:dyDescent="0.2">
      <c r="A529" t="s">
        <v>5</v>
      </c>
    </row>
    <row r="530" spans="1:1" x14ac:dyDescent="0.2">
      <c r="A530" t="s">
        <v>5</v>
      </c>
    </row>
    <row r="531" spans="1:1" x14ac:dyDescent="0.2">
      <c r="A531" t="s">
        <v>5</v>
      </c>
    </row>
    <row r="532" spans="1:1" x14ac:dyDescent="0.2">
      <c r="A532" t="s">
        <v>5</v>
      </c>
    </row>
    <row r="533" spans="1:1" x14ac:dyDescent="0.2">
      <c r="A533" t="s">
        <v>5</v>
      </c>
    </row>
    <row r="534" spans="1:1" x14ac:dyDescent="0.2">
      <c r="A534" t="s">
        <v>5</v>
      </c>
    </row>
    <row r="535" spans="1:1" x14ac:dyDescent="0.2">
      <c r="A535" t="s">
        <v>5</v>
      </c>
    </row>
    <row r="536" spans="1:1" x14ac:dyDescent="0.2">
      <c r="A536" t="s">
        <v>5</v>
      </c>
    </row>
    <row r="537" spans="1:1" x14ac:dyDescent="0.2">
      <c r="A537" t="s">
        <v>5</v>
      </c>
    </row>
    <row r="538" spans="1:1" x14ac:dyDescent="0.2">
      <c r="A538" t="s">
        <v>5</v>
      </c>
    </row>
    <row r="539" spans="1:1" x14ac:dyDescent="0.2">
      <c r="A539" t="s">
        <v>5</v>
      </c>
    </row>
    <row r="540" spans="1:1" x14ac:dyDescent="0.2">
      <c r="A540" t="s">
        <v>5</v>
      </c>
    </row>
    <row r="541" spans="1:1" x14ac:dyDescent="0.2">
      <c r="A541" t="s">
        <v>5</v>
      </c>
    </row>
    <row r="542" spans="1:1" x14ac:dyDescent="0.2">
      <c r="A542" t="s">
        <v>5</v>
      </c>
    </row>
    <row r="543" spans="1:1" x14ac:dyDescent="0.2">
      <c r="A543" t="s">
        <v>5</v>
      </c>
    </row>
    <row r="544" spans="1:1" x14ac:dyDescent="0.2">
      <c r="A544" t="s">
        <v>5</v>
      </c>
    </row>
    <row r="545" spans="1:1" x14ac:dyDescent="0.2">
      <c r="A545" t="s">
        <v>5</v>
      </c>
    </row>
    <row r="546" spans="1:1" x14ac:dyDescent="0.2">
      <c r="A546" t="s">
        <v>5</v>
      </c>
    </row>
    <row r="547" spans="1:1" x14ac:dyDescent="0.2">
      <c r="A547" t="s">
        <v>5</v>
      </c>
    </row>
    <row r="548" spans="1:1" x14ac:dyDescent="0.2">
      <c r="A548" t="s">
        <v>5</v>
      </c>
    </row>
    <row r="549" spans="1:1" x14ac:dyDescent="0.2">
      <c r="A549" t="s">
        <v>5</v>
      </c>
    </row>
    <row r="550" spans="1:1" x14ac:dyDescent="0.2">
      <c r="A550" t="s">
        <v>5</v>
      </c>
    </row>
    <row r="551" spans="1:1" x14ac:dyDescent="0.2">
      <c r="A551" t="s">
        <v>5</v>
      </c>
    </row>
    <row r="552" spans="1:1" x14ac:dyDescent="0.2">
      <c r="A552" t="s">
        <v>5</v>
      </c>
    </row>
    <row r="553" spans="1:1" x14ac:dyDescent="0.2">
      <c r="A553" t="s">
        <v>5</v>
      </c>
    </row>
    <row r="554" spans="1:1" x14ac:dyDescent="0.2">
      <c r="A554" t="s">
        <v>5</v>
      </c>
    </row>
    <row r="555" spans="1:1" x14ac:dyDescent="0.2">
      <c r="A555" t="s">
        <v>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A4B41-AA98-4B43-94B5-1407B9478BD6}">
  <sheetPr codeName="Sheet3"/>
  <dimension ref="A1:L467"/>
  <sheetViews>
    <sheetView workbookViewId="0">
      <pane ySplit="1" topLeftCell="A77" activePane="bottomLeft" state="frozen"/>
      <selection pane="bottomLeft" activeCell="A85" sqref="A85:XFD85"/>
    </sheetView>
  </sheetViews>
  <sheetFormatPr baseColWidth="10" defaultColWidth="8.83203125" defaultRowHeight="15" x14ac:dyDescent="0.2"/>
  <cols>
    <col min="3" max="3" width="14.5" customWidth="1"/>
    <col min="4" max="4" width="10.6640625" bestFit="1" customWidth="1"/>
    <col min="5" max="5" width="13.83203125" customWidth="1"/>
    <col min="6" max="6" width="13.1640625" customWidth="1"/>
    <col min="7" max="7" width="19.5" customWidth="1"/>
    <col min="8" max="8" width="21.1640625" customWidth="1"/>
    <col min="9" max="9" width="20.33203125" customWidth="1"/>
    <col min="10" max="10" width="24.6640625" customWidth="1"/>
    <col min="11" max="11" width="40.5" customWidth="1"/>
    <col min="12" max="12" width="42.6640625" customWidth="1"/>
  </cols>
  <sheetData>
    <row r="1" spans="1:12" ht="42" customHeight="1" x14ac:dyDescent="0.35">
      <c r="A1" s="1" t="s">
        <v>22</v>
      </c>
      <c r="B1" s="1" t="s">
        <v>0</v>
      </c>
      <c r="C1" s="1" t="s">
        <v>1</v>
      </c>
      <c r="D1" s="8" t="s">
        <v>13</v>
      </c>
      <c r="E1" s="8" t="s">
        <v>14</v>
      </c>
      <c r="F1" s="1" t="s">
        <v>15</v>
      </c>
      <c r="G1" s="5" t="s">
        <v>23</v>
      </c>
      <c r="H1" s="5" t="s">
        <v>17</v>
      </c>
      <c r="I1" s="1" t="s">
        <v>18</v>
      </c>
      <c r="J1" s="1" t="s">
        <v>19</v>
      </c>
      <c r="K1" s="1" t="s">
        <v>21</v>
      </c>
      <c r="L1" s="1" t="s">
        <v>20</v>
      </c>
    </row>
    <row r="2" spans="1:12" x14ac:dyDescent="0.2">
      <c r="A2" t="s">
        <v>8</v>
      </c>
      <c r="B2">
        <v>1</v>
      </c>
      <c r="C2" t="s">
        <v>2</v>
      </c>
      <c r="D2" s="2">
        <v>43572</v>
      </c>
      <c r="E2" s="3">
        <v>43572.470229999999</v>
      </c>
      <c r="F2" s="3">
        <v>43572.473700000002</v>
      </c>
      <c r="G2">
        <v>15.1</v>
      </c>
      <c r="H2">
        <v>11.66</v>
      </c>
      <c r="K2">
        <v>1.4279731899960799</v>
      </c>
      <c r="L2">
        <v>1.1363312124703899E-4</v>
      </c>
    </row>
    <row r="3" spans="1:12" x14ac:dyDescent="0.2">
      <c r="A3" t="s">
        <v>8</v>
      </c>
      <c r="B3">
        <v>1</v>
      </c>
      <c r="C3" t="s">
        <v>6</v>
      </c>
      <c r="D3" s="2">
        <v>43572</v>
      </c>
      <c r="E3" s="3">
        <v>43572.47509</v>
      </c>
      <c r="F3" s="3">
        <v>43572.478560000003</v>
      </c>
      <c r="H3">
        <v>11.66</v>
      </c>
      <c r="K3">
        <v>1.98259157482675</v>
      </c>
      <c r="L3" s="6">
        <v>2.8497492823910199E-5</v>
      </c>
    </row>
    <row r="4" spans="1:12" x14ac:dyDescent="0.2">
      <c r="A4" t="s">
        <v>8</v>
      </c>
      <c r="B4">
        <v>2</v>
      </c>
      <c r="C4" t="s">
        <v>2</v>
      </c>
      <c r="D4" s="2">
        <v>43572</v>
      </c>
      <c r="E4" s="3">
        <v>43572.479950000001</v>
      </c>
      <c r="F4" s="3">
        <v>43572.48343</v>
      </c>
      <c r="G4">
        <v>10.9</v>
      </c>
      <c r="H4">
        <v>11.66</v>
      </c>
      <c r="K4">
        <v>1.7536964639772199</v>
      </c>
      <c r="L4">
        <v>1.65218465491532E-4</v>
      </c>
    </row>
    <row r="5" spans="1:12" x14ac:dyDescent="0.2">
      <c r="A5" t="s">
        <v>8</v>
      </c>
      <c r="B5">
        <v>2</v>
      </c>
      <c r="C5" t="s">
        <v>6</v>
      </c>
      <c r="D5" s="2">
        <v>43572</v>
      </c>
      <c r="E5" s="3">
        <v>43572.484810000002</v>
      </c>
      <c r="F5" s="3">
        <v>43572.488290000001</v>
      </c>
      <c r="H5">
        <v>11.66</v>
      </c>
      <c r="K5">
        <v>1.46333382960861</v>
      </c>
      <c r="L5" s="6">
        <v>5.3540049479714697E-5</v>
      </c>
    </row>
    <row r="6" spans="1:12" x14ac:dyDescent="0.2">
      <c r="A6" t="s">
        <v>8</v>
      </c>
      <c r="B6">
        <v>3</v>
      </c>
      <c r="C6" t="s">
        <v>2</v>
      </c>
      <c r="D6" s="2">
        <v>43572</v>
      </c>
      <c r="E6" s="3">
        <v>43572.489679999999</v>
      </c>
      <c r="F6" s="3">
        <v>43572.493150000002</v>
      </c>
      <c r="G6">
        <v>15.4</v>
      </c>
      <c r="H6">
        <v>11.66</v>
      </c>
      <c r="K6">
        <v>-8.5567719472586798</v>
      </c>
      <c r="L6">
        <v>3.2670897996063102E-4</v>
      </c>
    </row>
    <row r="7" spans="1:12" x14ac:dyDescent="0.2">
      <c r="A7" t="s">
        <v>8</v>
      </c>
      <c r="B7">
        <v>3</v>
      </c>
      <c r="C7" t="s">
        <v>6</v>
      </c>
      <c r="D7" s="2">
        <v>43572</v>
      </c>
      <c r="E7" s="3">
        <v>43572.49454</v>
      </c>
      <c r="F7" s="3">
        <v>43572.498010000003</v>
      </c>
      <c r="H7">
        <v>11.66</v>
      </c>
      <c r="K7">
        <v>3.4809091195195299</v>
      </c>
      <c r="L7">
        <v>-1.6393646053433999E-4</v>
      </c>
    </row>
    <row r="8" spans="1:12" x14ac:dyDescent="0.2">
      <c r="A8" t="s">
        <v>8</v>
      </c>
      <c r="B8">
        <v>4</v>
      </c>
      <c r="C8" t="s">
        <v>2</v>
      </c>
      <c r="D8" s="2">
        <v>43572</v>
      </c>
      <c r="E8" s="3">
        <v>43572.499400000001</v>
      </c>
      <c r="F8" s="3">
        <v>43572.502869999997</v>
      </c>
      <c r="G8">
        <v>17.8</v>
      </c>
      <c r="H8">
        <v>11.66</v>
      </c>
      <c r="K8">
        <v>2.3947302666588901</v>
      </c>
      <c r="L8">
        <v>1.2294375781120301E-4</v>
      </c>
    </row>
    <row r="9" spans="1:12" x14ac:dyDescent="0.2">
      <c r="A9" t="s">
        <v>8</v>
      </c>
      <c r="B9">
        <v>4</v>
      </c>
      <c r="C9" t="s">
        <v>6</v>
      </c>
      <c r="D9" s="2">
        <v>43572</v>
      </c>
      <c r="E9" s="3">
        <v>43572.504260000002</v>
      </c>
      <c r="F9" s="3">
        <v>43572.507729999998</v>
      </c>
      <c r="H9">
        <v>11.66</v>
      </c>
      <c r="K9">
        <v>2.4929816008390899</v>
      </c>
      <c r="L9">
        <v>-1.81072216734704E-4</v>
      </c>
    </row>
    <row r="10" spans="1:12" x14ac:dyDescent="0.2">
      <c r="A10" t="s">
        <v>8</v>
      </c>
      <c r="B10">
        <v>5</v>
      </c>
      <c r="C10" t="s">
        <v>2</v>
      </c>
      <c r="D10" s="2">
        <v>43572</v>
      </c>
      <c r="E10" s="3">
        <v>43572.509120000002</v>
      </c>
      <c r="F10" s="3">
        <v>43572.512589999998</v>
      </c>
      <c r="G10">
        <v>17.399999999999999</v>
      </c>
      <c r="H10">
        <v>11.66</v>
      </c>
      <c r="K10">
        <v>-0.106549872916211</v>
      </c>
      <c r="L10">
        <v>1.53978370296494E-3</v>
      </c>
    </row>
    <row r="11" spans="1:12" x14ac:dyDescent="0.2">
      <c r="A11" t="s">
        <v>8</v>
      </c>
      <c r="B11">
        <v>5</v>
      </c>
      <c r="C11" t="s">
        <v>6</v>
      </c>
      <c r="D11" s="2">
        <v>43572</v>
      </c>
      <c r="E11" s="3">
        <v>43572.513980000003</v>
      </c>
      <c r="F11" s="3">
        <v>43572.517449999999</v>
      </c>
      <c r="H11">
        <v>11.66</v>
      </c>
      <c r="K11">
        <v>0.44579928210847403</v>
      </c>
      <c r="L11">
        <v>4.5176226589795901E-4</v>
      </c>
    </row>
    <row r="12" spans="1:12" x14ac:dyDescent="0.2">
      <c r="A12" t="s">
        <v>8</v>
      </c>
      <c r="B12">
        <v>1</v>
      </c>
      <c r="C12" t="s">
        <v>2</v>
      </c>
      <c r="D12" s="2">
        <v>43578</v>
      </c>
      <c r="E12" s="3">
        <v>43578.421820000003</v>
      </c>
      <c r="F12" s="3">
        <v>43578.425289999999</v>
      </c>
      <c r="G12">
        <v>11.3</v>
      </c>
      <c r="H12">
        <v>18.329999999999998</v>
      </c>
      <c r="K12">
        <v>1.02861591865318</v>
      </c>
      <c r="L12">
        <v>-1.01446258103334E-4</v>
      </c>
    </row>
    <row r="13" spans="1:12" x14ac:dyDescent="0.2">
      <c r="A13" t="s">
        <v>8</v>
      </c>
      <c r="B13">
        <v>1</v>
      </c>
      <c r="C13" t="s">
        <v>6</v>
      </c>
      <c r="D13" s="2">
        <v>43578</v>
      </c>
      <c r="E13" s="3">
        <v>43578.426679999997</v>
      </c>
      <c r="F13" s="3">
        <v>43578.43015</v>
      </c>
      <c r="H13">
        <v>18.329999999999998</v>
      </c>
      <c r="K13">
        <v>2.90363360603931</v>
      </c>
      <c r="L13">
        <v>-2.3643373225966399E-4</v>
      </c>
    </row>
    <row r="14" spans="1:12" x14ac:dyDescent="0.2">
      <c r="A14" t="s">
        <v>8</v>
      </c>
      <c r="B14">
        <v>2</v>
      </c>
      <c r="C14" t="s">
        <v>2</v>
      </c>
      <c r="D14" s="2">
        <v>43578</v>
      </c>
      <c r="E14" s="3">
        <v>43578.431539999998</v>
      </c>
      <c r="F14" s="3">
        <v>43578.435010000001</v>
      </c>
      <c r="G14">
        <v>15.8</v>
      </c>
      <c r="H14">
        <v>18.329999999999998</v>
      </c>
      <c r="K14">
        <v>1.26878683000953</v>
      </c>
      <c r="L14" s="6">
        <v>-4.85426745777092E-5</v>
      </c>
    </row>
    <row r="15" spans="1:12" x14ac:dyDescent="0.2">
      <c r="A15" t="s">
        <v>8</v>
      </c>
      <c r="B15">
        <v>2</v>
      </c>
      <c r="C15" t="s">
        <v>6</v>
      </c>
      <c r="D15" s="2">
        <v>43578</v>
      </c>
      <c r="E15" s="3">
        <v>43578.436399999999</v>
      </c>
      <c r="F15" s="3">
        <v>43578.439870000002</v>
      </c>
      <c r="H15">
        <v>18.329999999999998</v>
      </c>
      <c r="K15">
        <v>2.4973486927694002</v>
      </c>
      <c r="L15">
        <v>-1.1311900470414101E-4</v>
      </c>
    </row>
    <row r="16" spans="1:12" x14ac:dyDescent="0.2">
      <c r="A16" t="s">
        <v>8</v>
      </c>
      <c r="B16">
        <v>3</v>
      </c>
      <c r="C16" t="s">
        <v>2</v>
      </c>
      <c r="D16" s="2">
        <v>43578</v>
      </c>
      <c r="E16" s="3">
        <v>43578.44126</v>
      </c>
      <c r="F16" s="3">
        <v>43578.444730000003</v>
      </c>
      <c r="G16">
        <v>14.2</v>
      </c>
      <c r="H16">
        <v>18.329999999999998</v>
      </c>
      <c r="K16">
        <v>-17.221998676169001</v>
      </c>
      <c r="L16" s="6">
        <v>-1.2500943629060099E-5</v>
      </c>
    </row>
    <row r="17" spans="1:12" x14ac:dyDescent="0.2">
      <c r="A17" t="s">
        <v>8</v>
      </c>
      <c r="B17">
        <v>3</v>
      </c>
      <c r="C17" t="s">
        <v>6</v>
      </c>
      <c r="D17" s="2">
        <v>43578</v>
      </c>
      <c r="E17" s="3">
        <v>43578.446120000001</v>
      </c>
      <c r="F17" s="3">
        <v>43578.449589999997</v>
      </c>
      <c r="H17">
        <v>18.329999999999998</v>
      </c>
      <c r="K17">
        <v>8.3469320275513006</v>
      </c>
      <c r="L17" s="6">
        <v>-8.6042533201104702E-5</v>
      </c>
    </row>
    <row r="18" spans="1:12" x14ac:dyDescent="0.2">
      <c r="A18" t="s">
        <v>8</v>
      </c>
      <c r="B18">
        <v>4</v>
      </c>
      <c r="C18" t="s">
        <v>2</v>
      </c>
      <c r="D18" s="2">
        <v>43578</v>
      </c>
      <c r="E18" s="3">
        <v>43578.450980000001</v>
      </c>
      <c r="F18" s="3">
        <v>43578.454460000001</v>
      </c>
      <c r="G18">
        <v>13.8</v>
      </c>
      <c r="H18">
        <v>18.329999999999998</v>
      </c>
      <c r="K18">
        <v>2.2905917757990499</v>
      </c>
      <c r="L18" s="6">
        <v>-2.6198793496305499E-5</v>
      </c>
    </row>
    <row r="19" spans="1:12" x14ac:dyDescent="0.2">
      <c r="A19" t="s">
        <v>8</v>
      </c>
      <c r="B19">
        <v>4</v>
      </c>
      <c r="C19" t="s">
        <v>6</v>
      </c>
      <c r="D19" s="2">
        <v>43578</v>
      </c>
      <c r="E19" s="3">
        <v>43578.455840000002</v>
      </c>
      <c r="F19" s="3">
        <v>43578.459320000002</v>
      </c>
      <c r="H19">
        <v>18.329999999999998</v>
      </c>
      <c r="K19">
        <v>3.9023555021729099</v>
      </c>
      <c r="L19" s="6">
        <v>-6.6724165717316206E-5</v>
      </c>
    </row>
    <row r="20" spans="1:12" x14ac:dyDescent="0.2">
      <c r="A20" t="s">
        <v>8</v>
      </c>
      <c r="B20">
        <v>5</v>
      </c>
      <c r="C20" t="s">
        <v>2</v>
      </c>
      <c r="D20" s="2">
        <v>43578</v>
      </c>
      <c r="E20" s="3">
        <v>43578.460709999999</v>
      </c>
      <c r="F20" s="3">
        <v>43578.464180000003</v>
      </c>
      <c r="G20">
        <v>17.5</v>
      </c>
      <c r="H20">
        <v>18.329999999999998</v>
      </c>
      <c r="K20">
        <v>-0.68332844438013396</v>
      </c>
      <c r="L20" s="6">
        <v>5.2562314599701998E-5</v>
      </c>
    </row>
    <row r="21" spans="1:12" x14ac:dyDescent="0.2">
      <c r="A21" t="s">
        <v>8</v>
      </c>
      <c r="B21">
        <v>5</v>
      </c>
      <c r="C21" t="s">
        <v>6</v>
      </c>
      <c r="D21" s="2">
        <v>43578</v>
      </c>
      <c r="E21" s="3">
        <v>43578.46557</v>
      </c>
      <c r="F21" s="3">
        <v>43578.469040000004</v>
      </c>
      <c r="H21">
        <v>18.329999999999998</v>
      </c>
      <c r="K21">
        <v>3.31914530814581</v>
      </c>
      <c r="L21" s="6">
        <v>8.4841821696643503E-5</v>
      </c>
    </row>
    <row r="22" spans="1:12" x14ac:dyDescent="0.2">
      <c r="A22" t="s">
        <v>8</v>
      </c>
      <c r="B22">
        <v>1</v>
      </c>
      <c r="C22" t="s">
        <v>2</v>
      </c>
      <c r="D22" s="2">
        <v>43578</v>
      </c>
      <c r="E22" s="3">
        <v>43578.549420000003</v>
      </c>
      <c r="F22" s="3">
        <v>43578.552889999999</v>
      </c>
      <c r="G22">
        <v>10.1</v>
      </c>
      <c r="H22">
        <v>21.67</v>
      </c>
      <c r="K22">
        <v>2.3336606410695602</v>
      </c>
      <c r="L22">
        <v>2.0657886359723101E-4</v>
      </c>
    </row>
    <row r="23" spans="1:12" x14ac:dyDescent="0.2">
      <c r="A23" t="s">
        <v>8</v>
      </c>
      <c r="B23">
        <v>1</v>
      </c>
      <c r="C23" t="s">
        <v>6</v>
      </c>
      <c r="D23" s="2">
        <v>43578</v>
      </c>
      <c r="E23" s="3">
        <v>43578.553590000003</v>
      </c>
      <c r="F23" s="3">
        <v>43578.557059999999</v>
      </c>
      <c r="H23">
        <v>21.67</v>
      </c>
      <c r="K23">
        <v>3.9432630979060601</v>
      </c>
      <c r="L23">
        <v>1.65642097020283E-4</v>
      </c>
    </row>
    <row r="24" spans="1:12" x14ac:dyDescent="0.2">
      <c r="A24" t="s">
        <v>8</v>
      </c>
      <c r="B24">
        <v>2</v>
      </c>
      <c r="C24" t="s">
        <v>2</v>
      </c>
      <c r="D24" s="2">
        <v>43578</v>
      </c>
      <c r="E24" s="3">
        <v>43578.55775</v>
      </c>
      <c r="F24" s="3">
        <v>43578.561229999999</v>
      </c>
      <c r="G24">
        <v>15.4</v>
      </c>
      <c r="H24">
        <v>21.67</v>
      </c>
      <c r="K24">
        <v>2.8015560254331699</v>
      </c>
      <c r="L24">
        <v>2.9808611958566199E-4</v>
      </c>
    </row>
    <row r="25" spans="1:12" x14ac:dyDescent="0.2">
      <c r="A25" t="s">
        <v>8</v>
      </c>
      <c r="B25">
        <v>2</v>
      </c>
      <c r="C25" t="s">
        <v>6</v>
      </c>
      <c r="D25" s="2">
        <v>43578</v>
      </c>
      <c r="E25" s="3">
        <v>43578.56192</v>
      </c>
      <c r="F25" s="3">
        <v>43578.565390000003</v>
      </c>
      <c r="H25">
        <v>21.67</v>
      </c>
      <c r="K25">
        <v>2.7180716972980101</v>
      </c>
      <c r="L25">
        <v>-1.3423461281806799E-4</v>
      </c>
    </row>
    <row r="26" spans="1:12" x14ac:dyDescent="0.2">
      <c r="A26" t="s">
        <v>8</v>
      </c>
      <c r="B26">
        <v>3</v>
      </c>
      <c r="C26" t="s">
        <v>2</v>
      </c>
      <c r="D26" s="2">
        <v>43578</v>
      </c>
      <c r="E26" s="3">
        <v>43578.56609</v>
      </c>
      <c r="F26" s="3">
        <v>43578.569560000004</v>
      </c>
      <c r="G26">
        <v>16.2</v>
      </c>
      <c r="H26">
        <v>21.67</v>
      </c>
      <c r="K26">
        <v>-14.6462087720189</v>
      </c>
      <c r="L26">
        <v>2.0661273949034199E-4</v>
      </c>
    </row>
    <row r="27" spans="1:12" x14ac:dyDescent="0.2">
      <c r="A27" t="s">
        <v>8</v>
      </c>
      <c r="B27">
        <v>3</v>
      </c>
      <c r="C27" t="s">
        <v>6</v>
      </c>
      <c r="D27" s="2">
        <v>43578</v>
      </c>
      <c r="E27" s="3">
        <v>43578.570249999997</v>
      </c>
      <c r="F27" s="3">
        <v>43578.573729999996</v>
      </c>
      <c r="H27">
        <v>21.67</v>
      </c>
      <c r="K27">
        <v>13.598074151788101</v>
      </c>
      <c r="L27" s="6">
        <v>-9.4033984758392004E-5</v>
      </c>
    </row>
    <row r="28" spans="1:12" x14ac:dyDescent="0.2">
      <c r="A28" t="s">
        <v>8</v>
      </c>
      <c r="B28">
        <v>4</v>
      </c>
      <c r="C28" t="s">
        <v>2</v>
      </c>
      <c r="D28" s="2">
        <v>43578</v>
      </c>
      <c r="E28" s="3">
        <v>43578.574419999997</v>
      </c>
      <c r="F28" s="3">
        <v>43578.57789</v>
      </c>
      <c r="G28">
        <v>13.8</v>
      </c>
      <c r="H28">
        <v>21.67</v>
      </c>
      <c r="K28">
        <v>1.66518791952039</v>
      </c>
      <c r="L28" s="6">
        <v>5.4296976697736499E-5</v>
      </c>
    </row>
    <row r="29" spans="1:12" x14ac:dyDescent="0.2">
      <c r="A29" t="s">
        <v>8</v>
      </c>
      <c r="B29">
        <v>4</v>
      </c>
      <c r="C29" t="s">
        <v>6</v>
      </c>
      <c r="D29" s="2">
        <v>43578</v>
      </c>
      <c r="E29" s="3">
        <v>43578.578589999997</v>
      </c>
      <c r="F29" s="3">
        <v>43578.582060000001</v>
      </c>
      <c r="H29">
        <v>21.67</v>
      </c>
      <c r="K29">
        <v>4.8462366185966701</v>
      </c>
      <c r="L29">
        <v>-1.7725091221930701E-4</v>
      </c>
    </row>
    <row r="30" spans="1:12" x14ac:dyDescent="0.2">
      <c r="A30" t="s">
        <v>8</v>
      </c>
      <c r="B30">
        <v>5</v>
      </c>
      <c r="C30" t="s">
        <v>2</v>
      </c>
      <c r="D30" s="2">
        <v>43578</v>
      </c>
      <c r="E30" s="3">
        <v>43578.582750000001</v>
      </c>
      <c r="F30" s="3">
        <v>43578.586230000001</v>
      </c>
      <c r="G30">
        <v>8.6</v>
      </c>
      <c r="H30">
        <v>21.67</v>
      </c>
      <c r="K30">
        <v>-0.13376776751226499</v>
      </c>
      <c r="L30" s="6">
        <v>-9.1419732662350196E-5</v>
      </c>
    </row>
    <row r="31" spans="1:12" x14ac:dyDescent="0.2">
      <c r="A31" t="s">
        <v>8</v>
      </c>
      <c r="B31">
        <v>5</v>
      </c>
      <c r="C31" t="s">
        <v>6</v>
      </c>
      <c r="D31" s="2">
        <v>43578</v>
      </c>
      <c r="E31" s="3">
        <v>43578.586920000002</v>
      </c>
      <c r="F31" s="3">
        <v>43578.590389999998</v>
      </c>
      <c r="H31">
        <v>21.67</v>
      </c>
      <c r="K31">
        <v>4.4448793152384196</v>
      </c>
      <c r="L31">
        <v>-1.7483995447325701E-4</v>
      </c>
    </row>
    <row r="32" spans="1:12" x14ac:dyDescent="0.2">
      <c r="A32" t="s">
        <v>8</v>
      </c>
      <c r="B32">
        <v>1</v>
      </c>
      <c r="C32" t="s">
        <v>2</v>
      </c>
      <c r="D32" s="2">
        <v>43586</v>
      </c>
      <c r="E32" s="3">
        <v>43586.409509999998</v>
      </c>
      <c r="F32" s="3">
        <v>43586.412989999997</v>
      </c>
      <c r="G32">
        <v>18.8</v>
      </c>
      <c r="H32">
        <v>10</v>
      </c>
      <c r="K32">
        <v>0.45414535351825602</v>
      </c>
      <c r="L32">
        <v>9.7930938676686505E-6</v>
      </c>
    </row>
    <row r="33" spans="1:12" x14ac:dyDescent="0.2">
      <c r="A33" t="s">
        <v>8</v>
      </c>
      <c r="B33">
        <v>1</v>
      </c>
      <c r="C33" t="s">
        <v>6</v>
      </c>
      <c r="D33" s="2">
        <v>43586</v>
      </c>
      <c r="E33" s="3">
        <v>43586.414380000002</v>
      </c>
      <c r="F33" s="3">
        <v>43586.418539999999</v>
      </c>
      <c r="H33">
        <v>10</v>
      </c>
      <c r="K33">
        <v>1.49670752383398</v>
      </c>
      <c r="L33">
        <v>-1.12689693350162E-4</v>
      </c>
    </row>
    <row r="34" spans="1:12" x14ac:dyDescent="0.2">
      <c r="A34" t="s">
        <v>8</v>
      </c>
      <c r="B34">
        <v>2</v>
      </c>
      <c r="C34" t="s">
        <v>2</v>
      </c>
      <c r="D34" s="2">
        <v>43586</v>
      </c>
      <c r="E34" s="3">
        <v>43586.419240000003</v>
      </c>
      <c r="F34" s="3">
        <v>43586.424099999997</v>
      </c>
      <c r="G34">
        <v>11.9</v>
      </c>
      <c r="H34">
        <v>10</v>
      </c>
      <c r="K34">
        <v>0.65474175657029898</v>
      </c>
      <c r="L34">
        <v>-1.11650444141523E-4</v>
      </c>
    </row>
    <row r="35" spans="1:12" x14ac:dyDescent="0.2">
      <c r="A35" t="s">
        <v>8</v>
      </c>
      <c r="B35">
        <v>2</v>
      </c>
      <c r="C35" t="s">
        <v>6</v>
      </c>
      <c r="D35" s="2">
        <v>43586</v>
      </c>
      <c r="E35" s="3">
        <v>43586.424099999997</v>
      </c>
      <c r="F35" s="3">
        <v>43586.429649999998</v>
      </c>
      <c r="H35">
        <v>10</v>
      </c>
      <c r="K35">
        <v>0.31808307919753598</v>
      </c>
      <c r="L35">
        <v>-2.2547596787918001E-4</v>
      </c>
    </row>
    <row r="36" spans="1:12" x14ac:dyDescent="0.2">
      <c r="A36" t="s">
        <v>8</v>
      </c>
      <c r="B36">
        <v>3</v>
      </c>
      <c r="C36" t="s">
        <v>2</v>
      </c>
      <c r="D36" s="2">
        <v>43586</v>
      </c>
      <c r="E36" s="3">
        <v>43586.428959999997</v>
      </c>
      <c r="F36" s="3">
        <v>43586.435210000003</v>
      </c>
      <c r="G36">
        <v>13.5</v>
      </c>
      <c r="H36">
        <v>10</v>
      </c>
      <c r="K36">
        <v>0.13349925319606601</v>
      </c>
      <c r="L36">
        <v>9.4032149648194905E-6</v>
      </c>
    </row>
    <row r="37" spans="1:12" x14ac:dyDescent="0.2">
      <c r="A37" t="s">
        <v>8</v>
      </c>
      <c r="B37">
        <v>3</v>
      </c>
      <c r="C37" t="s">
        <v>6</v>
      </c>
      <c r="D37" s="2">
        <v>43586</v>
      </c>
      <c r="E37" s="3">
        <v>43586.433819999998</v>
      </c>
      <c r="F37" s="3">
        <v>43586.440759999998</v>
      </c>
      <c r="H37">
        <v>10</v>
      </c>
      <c r="K37">
        <v>-0.46531825887796002</v>
      </c>
      <c r="L37">
        <v>4.1628251860669998E-4</v>
      </c>
    </row>
    <row r="38" spans="1:12" x14ac:dyDescent="0.2">
      <c r="A38" t="s">
        <v>8</v>
      </c>
      <c r="B38">
        <v>4</v>
      </c>
      <c r="C38" t="s">
        <v>2</v>
      </c>
      <c r="D38" s="2">
        <v>43586</v>
      </c>
      <c r="E38" s="3">
        <v>43586.438679999999</v>
      </c>
      <c r="F38" s="3">
        <v>43586.446320000003</v>
      </c>
      <c r="G38">
        <v>12.6</v>
      </c>
      <c r="H38">
        <v>10</v>
      </c>
      <c r="K38">
        <v>0.632312750030112</v>
      </c>
      <c r="L38">
        <v>-4.7274436552667901E-4</v>
      </c>
    </row>
    <row r="39" spans="1:12" x14ac:dyDescent="0.2">
      <c r="A39" t="s">
        <v>8</v>
      </c>
      <c r="B39">
        <v>4</v>
      </c>
      <c r="C39" t="s">
        <v>6</v>
      </c>
      <c r="D39" s="2">
        <v>43586</v>
      </c>
      <c r="E39" s="3">
        <v>43586.44354</v>
      </c>
      <c r="F39" s="3">
        <v>43586.451880000001</v>
      </c>
      <c r="H39">
        <v>10</v>
      </c>
      <c r="K39">
        <v>-1.01469109229793</v>
      </c>
      <c r="L39">
        <v>-1.7179896433873601E-4</v>
      </c>
    </row>
    <row r="40" spans="1:12" x14ac:dyDescent="0.2">
      <c r="A40" t="s">
        <v>8</v>
      </c>
      <c r="B40">
        <v>5</v>
      </c>
      <c r="C40" t="s">
        <v>2</v>
      </c>
      <c r="D40" s="2">
        <v>43586</v>
      </c>
      <c r="E40" s="3">
        <v>43586.448400000001</v>
      </c>
      <c r="F40" s="3">
        <v>43586.457430000002</v>
      </c>
      <c r="G40">
        <v>21.2</v>
      </c>
      <c r="H40">
        <v>10</v>
      </c>
      <c r="K40">
        <v>0.77386562927148606</v>
      </c>
      <c r="L40">
        <v>-6.54900663102846E-5</v>
      </c>
    </row>
    <row r="41" spans="1:12" x14ac:dyDescent="0.2">
      <c r="A41" t="s">
        <v>8</v>
      </c>
      <c r="B41">
        <v>5</v>
      </c>
      <c r="C41" t="s">
        <v>6</v>
      </c>
      <c r="D41" s="2">
        <v>43586</v>
      </c>
      <c r="E41" s="3">
        <v>43586.453260000002</v>
      </c>
      <c r="F41" s="3">
        <v>43586.46299</v>
      </c>
      <c r="H41">
        <v>10</v>
      </c>
      <c r="K41">
        <v>1.6802195634778601</v>
      </c>
      <c r="L41">
        <v>-1.5513953105191001E-5</v>
      </c>
    </row>
    <row r="42" spans="1:12" x14ac:dyDescent="0.2">
      <c r="A42" t="s">
        <v>8</v>
      </c>
      <c r="B42">
        <v>1</v>
      </c>
      <c r="C42" t="s">
        <v>2</v>
      </c>
      <c r="D42" s="2">
        <v>43586</v>
      </c>
      <c r="E42" s="3">
        <v>43586.508840000002</v>
      </c>
      <c r="F42" s="3">
        <v>43586.512309999998</v>
      </c>
      <c r="G42">
        <v>17.7</v>
      </c>
      <c r="H42">
        <v>13.33</v>
      </c>
      <c r="K42">
        <v>-0.496543671127393</v>
      </c>
      <c r="L42">
        <v>-3.19327E-4</v>
      </c>
    </row>
    <row r="43" spans="1:12" x14ac:dyDescent="0.2">
      <c r="A43" t="s">
        <v>8</v>
      </c>
      <c r="B43">
        <v>1</v>
      </c>
      <c r="C43" t="s">
        <v>6</v>
      </c>
      <c r="D43" s="2">
        <v>43586</v>
      </c>
      <c r="E43" s="3">
        <v>43586.513700000003</v>
      </c>
      <c r="F43" s="3">
        <v>43586.517180000003</v>
      </c>
      <c r="H43">
        <v>13.33</v>
      </c>
      <c r="K43">
        <v>1.9819930453778301</v>
      </c>
      <c r="L43">
        <v>-3.0110599999999999E-4</v>
      </c>
    </row>
    <row r="44" spans="1:12" x14ac:dyDescent="0.2">
      <c r="A44" t="s">
        <v>8</v>
      </c>
      <c r="B44">
        <v>2</v>
      </c>
      <c r="C44" t="s">
        <v>2</v>
      </c>
      <c r="D44" s="2">
        <v>43586</v>
      </c>
      <c r="E44" s="3">
        <v>43586.518559999997</v>
      </c>
      <c r="F44" s="3">
        <v>43586.522040000003</v>
      </c>
      <c r="G44">
        <v>13.7</v>
      </c>
      <c r="H44">
        <v>13.33</v>
      </c>
      <c r="K44">
        <v>4.0027644049837302E-2</v>
      </c>
      <c r="L44">
        <v>-1.75417E-4</v>
      </c>
    </row>
    <row r="45" spans="1:12" x14ac:dyDescent="0.2">
      <c r="A45" t="s">
        <v>8</v>
      </c>
      <c r="B45">
        <v>2</v>
      </c>
      <c r="C45" t="s">
        <v>6</v>
      </c>
      <c r="D45" s="2">
        <v>43586</v>
      </c>
      <c r="E45" s="3">
        <v>43586.523430000001</v>
      </c>
      <c r="F45" s="3">
        <v>43586.526899999997</v>
      </c>
      <c r="H45">
        <v>13.33</v>
      </c>
      <c r="K45">
        <v>1.81916907792444</v>
      </c>
      <c r="L45" s="6">
        <v>-7.8800000000000004E-5</v>
      </c>
    </row>
    <row r="46" spans="1:12" x14ac:dyDescent="0.2">
      <c r="A46" t="s">
        <v>8</v>
      </c>
      <c r="B46">
        <v>3</v>
      </c>
      <c r="C46" t="s">
        <v>2</v>
      </c>
      <c r="D46" s="2">
        <v>43586</v>
      </c>
      <c r="E46" s="3">
        <v>43586.528290000002</v>
      </c>
      <c r="F46" s="3">
        <v>43586.531759999998</v>
      </c>
      <c r="G46">
        <v>17.7</v>
      </c>
      <c r="H46">
        <v>13.33</v>
      </c>
      <c r="K46">
        <v>-14.5051212499841</v>
      </c>
      <c r="L46" s="6">
        <v>-5.0399999999999999E-5</v>
      </c>
    </row>
    <row r="47" spans="1:12" x14ac:dyDescent="0.2">
      <c r="A47" t="s">
        <v>8</v>
      </c>
      <c r="B47">
        <v>3</v>
      </c>
      <c r="C47" t="s">
        <v>6</v>
      </c>
      <c r="D47" s="2">
        <v>43586</v>
      </c>
      <c r="E47" s="3">
        <v>43586.533150000003</v>
      </c>
      <c r="F47" s="3">
        <v>43586.536619999999</v>
      </c>
      <c r="H47">
        <v>13.33</v>
      </c>
      <c r="K47">
        <v>3.9742353669292201</v>
      </c>
      <c r="L47" s="6">
        <v>-7.7100000000000004E-5</v>
      </c>
    </row>
    <row r="48" spans="1:12" x14ac:dyDescent="0.2">
      <c r="A48" t="s">
        <v>8</v>
      </c>
      <c r="B48">
        <v>4</v>
      </c>
      <c r="C48" t="s">
        <v>2</v>
      </c>
      <c r="D48" s="2">
        <v>43586</v>
      </c>
      <c r="E48" s="3">
        <v>43586.538009999997</v>
      </c>
      <c r="F48" s="3">
        <v>43586.54148</v>
      </c>
      <c r="G48">
        <v>18.3</v>
      </c>
      <c r="H48">
        <v>13.33</v>
      </c>
      <c r="K48">
        <v>1.2731351011571701</v>
      </c>
      <c r="L48">
        <v>-1.2679400000000001E-4</v>
      </c>
    </row>
    <row r="49" spans="1:12" x14ac:dyDescent="0.2">
      <c r="A49" t="s">
        <v>8</v>
      </c>
      <c r="B49">
        <v>4</v>
      </c>
      <c r="C49" t="s">
        <v>6</v>
      </c>
      <c r="D49" s="2">
        <v>43586</v>
      </c>
      <c r="E49" s="3">
        <v>43586.542869999997</v>
      </c>
      <c r="F49" s="3">
        <v>43586.546340000001</v>
      </c>
      <c r="H49">
        <v>13.33</v>
      </c>
      <c r="K49">
        <v>2.2899019023784102</v>
      </c>
      <c r="L49" s="6">
        <v>-5.94E-5</v>
      </c>
    </row>
    <row r="50" spans="1:12" x14ac:dyDescent="0.2">
      <c r="A50" t="s">
        <v>8</v>
      </c>
      <c r="B50">
        <v>5</v>
      </c>
      <c r="C50" t="s">
        <v>2</v>
      </c>
      <c r="D50" s="2">
        <v>43586</v>
      </c>
      <c r="E50" s="3">
        <v>43586.547729999998</v>
      </c>
      <c r="F50" s="3">
        <v>43586.551200000002</v>
      </c>
      <c r="G50">
        <v>15.8</v>
      </c>
      <c r="H50">
        <v>13.33</v>
      </c>
      <c r="K50">
        <v>-2.30822694583857</v>
      </c>
      <c r="L50">
        <v>2.0516600000000001E-4</v>
      </c>
    </row>
    <row r="51" spans="1:12" x14ac:dyDescent="0.2">
      <c r="A51" t="s">
        <v>8</v>
      </c>
      <c r="B51">
        <v>5</v>
      </c>
      <c r="C51" t="s">
        <v>6</v>
      </c>
      <c r="D51" s="2">
        <v>43586</v>
      </c>
      <c r="E51" s="3">
        <v>43586.552589999999</v>
      </c>
      <c r="F51" s="3">
        <v>43586.556060000003</v>
      </c>
      <c r="H51">
        <v>13.33</v>
      </c>
      <c r="K51">
        <v>2.2567080227978802</v>
      </c>
      <c r="L51">
        <v>-1.3313999999999999E-4</v>
      </c>
    </row>
    <row r="52" spans="1:12" x14ac:dyDescent="0.2">
      <c r="A52" t="s">
        <v>8</v>
      </c>
      <c r="B52">
        <v>1</v>
      </c>
      <c r="C52" t="s">
        <v>2</v>
      </c>
      <c r="D52" s="2">
        <v>43600</v>
      </c>
      <c r="E52" s="3">
        <v>43600.383560000002</v>
      </c>
      <c r="F52" s="3">
        <v>43600.387040000001</v>
      </c>
      <c r="G52">
        <v>17.399999999999999</v>
      </c>
      <c r="H52">
        <v>10</v>
      </c>
      <c r="K52">
        <v>-1.54183379206222</v>
      </c>
    </row>
    <row r="53" spans="1:12" x14ac:dyDescent="0.2">
      <c r="A53" t="s">
        <v>8</v>
      </c>
      <c r="B53">
        <v>1</v>
      </c>
      <c r="C53" t="s">
        <v>6</v>
      </c>
      <c r="D53" s="2">
        <v>43600</v>
      </c>
      <c r="E53" s="3">
        <v>43600.388429999999</v>
      </c>
      <c r="F53" s="3">
        <v>43600.391900000002</v>
      </c>
      <c r="H53">
        <v>10</v>
      </c>
      <c r="K53">
        <v>1.6769448367084001</v>
      </c>
    </row>
    <row r="54" spans="1:12" x14ac:dyDescent="0.2">
      <c r="A54" t="s">
        <v>8</v>
      </c>
      <c r="B54">
        <v>2</v>
      </c>
      <c r="C54" t="s">
        <v>2</v>
      </c>
      <c r="D54" s="2">
        <v>43600</v>
      </c>
      <c r="E54" s="3">
        <v>43600.39329</v>
      </c>
      <c r="F54" s="3">
        <v>43600.396760000003</v>
      </c>
      <c r="G54">
        <v>17.3</v>
      </c>
      <c r="H54">
        <v>10</v>
      </c>
      <c r="K54">
        <v>-0.51517665731138995</v>
      </c>
    </row>
    <row r="55" spans="1:12" x14ac:dyDescent="0.2">
      <c r="A55" t="s">
        <v>8</v>
      </c>
      <c r="B55">
        <v>2</v>
      </c>
      <c r="C55" t="s">
        <v>6</v>
      </c>
      <c r="D55" s="2">
        <v>43600</v>
      </c>
      <c r="E55" s="3">
        <v>43600.398150000001</v>
      </c>
      <c r="F55" s="3">
        <v>43600.401619999997</v>
      </c>
      <c r="H55">
        <v>10</v>
      </c>
      <c r="K55">
        <v>1.0174318960247</v>
      </c>
    </row>
    <row r="56" spans="1:12" x14ac:dyDescent="0.2">
      <c r="A56" t="s">
        <v>8</v>
      </c>
      <c r="B56">
        <v>3</v>
      </c>
      <c r="C56" t="s">
        <v>2</v>
      </c>
      <c r="D56" s="2">
        <v>43600</v>
      </c>
      <c r="E56" s="3">
        <v>43600.403010000002</v>
      </c>
      <c r="F56" s="3">
        <v>43600.406479999998</v>
      </c>
      <c r="G56">
        <v>23.9</v>
      </c>
      <c r="H56">
        <v>10</v>
      </c>
      <c r="K56">
        <v>-14.393895863902801</v>
      </c>
    </row>
    <row r="57" spans="1:12" x14ac:dyDescent="0.2">
      <c r="A57" t="s">
        <v>8</v>
      </c>
      <c r="B57">
        <v>3</v>
      </c>
      <c r="C57" t="s">
        <v>6</v>
      </c>
      <c r="D57" s="2">
        <v>43600</v>
      </c>
      <c r="E57" s="3">
        <v>43600.407870000003</v>
      </c>
      <c r="F57" s="3">
        <v>43600.411339999999</v>
      </c>
      <c r="H57">
        <v>10</v>
      </c>
      <c r="K57">
        <v>6.87215548629813</v>
      </c>
    </row>
    <row r="58" spans="1:12" x14ac:dyDescent="0.2">
      <c r="A58" t="s">
        <v>8</v>
      </c>
      <c r="B58">
        <v>4</v>
      </c>
      <c r="C58" t="s">
        <v>2</v>
      </c>
      <c r="D58" s="2">
        <v>43600</v>
      </c>
      <c r="E58" s="3">
        <v>43600.412729999996</v>
      </c>
      <c r="F58" s="3">
        <v>43600.4162</v>
      </c>
      <c r="G58">
        <v>23.6</v>
      </c>
      <c r="H58">
        <v>10</v>
      </c>
      <c r="K58">
        <v>-10.611133293389599</v>
      </c>
    </row>
    <row r="59" spans="1:12" x14ac:dyDescent="0.2">
      <c r="A59" t="s">
        <v>8</v>
      </c>
      <c r="B59">
        <v>4</v>
      </c>
      <c r="C59" t="s">
        <v>6</v>
      </c>
      <c r="D59" s="2">
        <v>43600</v>
      </c>
      <c r="E59" s="3">
        <v>43600.417589999997</v>
      </c>
      <c r="F59" s="3">
        <v>43600.421060000001</v>
      </c>
      <c r="H59">
        <v>10</v>
      </c>
      <c r="K59">
        <v>6.4513281772075599</v>
      </c>
    </row>
    <row r="60" spans="1:12" x14ac:dyDescent="0.2">
      <c r="A60" t="s">
        <v>8</v>
      </c>
      <c r="B60">
        <v>5</v>
      </c>
      <c r="C60" t="s">
        <v>2</v>
      </c>
      <c r="D60" s="2">
        <v>43600</v>
      </c>
      <c r="E60" s="3">
        <v>43600.422449999998</v>
      </c>
      <c r="F60" s="3">
        <v>43600.425929999998</v>
      </c>
      <c r="G60">
        <v>16</v>
      </c>
      <c r="H60">
        <v>10</v>
      </c>
      <c r="K60">
        <v>-5.3062922403500696</v>
      </c>
    </row>
    <row r="61" spans="1:12" x14ac:dyDescent="0.2">
      <c r="A61" t="s">
        <v>8</v>
      </c>
      <c r="B61">
        <v>5</v>
      </c>
      <c r="C61" t="s">
        <v>6</v>
      </c>
      <c r="D61" s="2">
        <v>43600</v>
      </c>
      <c r="E61" s="3">
        <v>43600.427309999999</v>
      </c>
      <c r="F61" s="3">
        <v>43600.430789999999</v>
      </c>
      <c r="H61">
        <v>10</v>
      </c>
      <c r="K61">
        <v>3.1877562512992998</v>
      </c>
    </row>
    <row r="62" spans="1:12" x14ac:dyDescent="0.2">
      <c r="A62" t="s">
        <v>8</v>
      </c>
      <c r="B62">
        <v>1</v>
      </c>
      <c r="C62" t="s">
        <v>2</v>
      </c>
      <c r="D62" s="2">
        <v>43600</v>
      </c>
      <c r="E62" s="3">
        <v>43600.501709999997</v>
      </c>
      <c r="F62" s="3">
        <v>43600.505190000003</v>
      </c>
      <c r="G62">
        <v>15.6</v>
      </c>
      <c r="H62">
        <v>15.56</v>
      </c>
      <c r="K62">
        <v>-1.4515190219296199</v>
      </c>
      <c r="L62">
        <v>-6.6109213443926805E-4</v>
      </c>
    </row>
    <row r="63" spans="1:12" x14ac:dyDescent="0.2">
      <c r="A63" t="s">
        <v>8</v>
      </c>
      <c r="B63">
        <v>1</v>
      </c>
      <c r="C63" t="s">
        <v>6</v>
      </c>
      <c r="D63" s="2">
        <v>43600</v>
      </c>
      <c r="E63" s="3">
        <v>43600.506569999998</v>
      </c>
      <c r="F63" s="3">
        <v>43600.510049999997</v>
      </c>
      <c r="H63">
        <v>15.56</v>
      </c>
      <c r="K63">
        <v>2.4918023031591301</v>
      </c>
      <c r="L63">
        <v>2.5871419303220101E-4</v>
      </c>
    </row>
    <row r="64" spans="1:12" x14ac:dyDescent="0.2">
      <c r="A64" t="s">
        <v>8</v>
      </c>
      <c r="B64">
        <v>2</v>
      </c>
      <c r="C64" t="s">
        <v>2</v>
      </c>
      <c r="D64" s="2">
        <v>43600</v>
      </c>
      <c r="E64" s="3">
        <v>43600.511440000002</v>
      </c>
      <c r="F64" s="3">
        <v>43600.514909999998</v>
      </c>
      <c r="G64">
        <v>15.5</v>
      </c>
      <c r="H64">
        <v>15.56</v>
      </c>
      <c r="K64">
        <v>-2.1271294377721599</v>
      </c>
      <c r="L64" s="6">
        <v>-9.8111155047298998E-5</v>
      </c>
    </row>
    <row r="65" spans="1:12" x14ac:dyDescent="0.2">
      <c r="A65" t="s">
        <v>8</v>
      </c>
      <c r="B65">
        <v>2</v>
      </c>
      <c r="C65" t="s">
        <v>6</v>
      </c>
      <c r="D65" s="2">
        <v>43600</v>
      </c>
      <c r="E65" s="3">
        <v>43600.516300000003</v>
      </c>
      <c r="F65" s="3">
        <v>43600.519769999999</v>
      </c>
      <c r="H65">
        <v>15.56</v>
      </c>
      <c r="K65">
        <v>2.2286604848690801</v>
      </c>
      <c r="L65">
        <v>3.6104799219251801E-4</v>
      </c>
    </row>
    <row r="66" spans="1:12" x14ac:dyDescent="0.2">
      <c r="A66" t="s">
        <v>8</v>
      </c>
      <c r="B66">
        <v>3</v>
      </c>
      <c r="C66" t="s">
        <v>2</v>
      </c>
      <c r="D66" s="2">
        <v>43600</v>
      </c>
      <c r="E66" s="3">
        <v>43600.521159999997</v>
      </c>
      <c r="F66" s="3">
        <v>43600.52463</v>
      </c>
      <c r="G66">
        <v>17.100000000000001</v>
      </c>
      <c r="H66">
        <v>15.56</v>
      </c>
      <c r="K66">
        <v>-14.101237569476</v>
      </c>
      <c r="L66">
        <v>4.6823309089782499E-4</v>
      </c>
    </row>
    <row r="67" spans="1:12" x14ac:dyDescent="0.2">
      <c r="A67" t="s">
        <v>8</v>
      </c>
      <c r="B67">
        <v>3</v>
      </c>
      <c r="C67" t="s">
        <v>6</v>
      </c>
      <c r="D67" s="2">
        <v>43600</v>
      </c>
      <c r="E67" s="3">
        <v>43600.526019999998</v>
      </c>
      <c r="F67" s="3">
        <v>43600.529490000001</v>
      </c>
      <c r="H67">
        <v>15.56</v>
      </c>
      <c r="K67">
        <v>10.3996789791575</v>
      </c>
      <c r="L67" s="6">
        <v>-5.97346074352375E-5</v>
      </c>
    </row>
    <row r="68" spans="1:12" x14ac:dyDescent="0.2">
      <c r="A68" t="s">
        <v>8</v>
      </c>
      <c r="B68">
        <v>4</v>
      </c>
      <c r="C68" t="s">
        <v>2</v>
      </c>
      <c r="D68" s="2">
        <v>43600</v>
      </c>
      <c r="E68" s="3">
        <v>43600.530879999998</v>
      </c>
      <c r="F68" s="3">
        <v>43600.534350000002</v>
      </c>
      <c r="G68">
        <v>24.1</v>
      </c>
      <c r="H68">
        <v>15.56</v>
      </c>
      <c r="K68">
        <v>-13.8867150480252</v>
      </c>
      <c r="L68">
        <v>-1.7676624763044999E-4</v>
      </c>
    </row>
    <row r="69" spans="1:12" x14ac:dyDescent="0.2">
      <c r="A69" t="s">
        <v>8</v>
      </c>
      <c r="B69">
        <v>4</v>
      </c>
      <c r="C69" t="s">
        <v>6</v>
      </c>
      <c r="D69" s="2">
        <v>43600</v>
      </c>
      <c r="E69" s="3">
        <v>43600.535739999999</v>
      </c>
      <c r="F69" s="3">
        <v>43600.539210000003</v>
      </c>
      <c r="H69">
        <v>15.56</v>
      </c>
      <c r="K69">
        <v>6.3956451829866499</v>
      </c>
      <c r="L69">
        <v>2.2997375731536701E-4</v>
      </c>
    </row>
    <row r="70" spans="1:12" x14ac:dyDescent="0.2">
      <c r="A70" t="s">
        <v>8</v>
      </c>
      <c r="B70">
        <v>5</v>
      </c>
      <c r="C70" t="s">
        <v>2</v>
      </c>
      <c r="D70" s="2">
        <v>43600</v>
      </c>
      <c r="E70" s="3">
        <v>43600.5406</v>
      </c>
      <c r="F70" s="3">
        <v>43600.544070000004</v>
      </c>
      <c r="G70">
        <v>16.7</v>
      </c>
      <c r="H70">
        <v>15.56</v>
      </c>
      <c r="K70">
        <v>-6.6934288761262604</v>
      </c>
      <c r="L70" s="6">
        <v>-9.6401376128944303E-5</v>
      </c>
    </row>
    <row r="71" spans="1:12" x14ac:dyDescent="0.2">
      <c r="A71" t="s">
        <v>8</v>
      </c>
      <c r="B71">
        <v>5</v>
      </c>
      <c r="C71" t="s">
        <v>6</v>
      </c>
      <c r="D71" s="2">
        <v>43600</v>
      </c>
      <c r="E71" s="3">
        <v>43600.545460000001</v>
      </c>
      <c r="F71" s="3">
        <v>43600.548940000001</v>
      </c>
      <c r="H71">
        <v>15.56</v>
      </c>
      <c r="K71">
        <v>5.6322341979304102</v>
      </c>
      <c r="L71">
        <v>-7.32611139464972E-4</v>
      </c>
    </row>
    <row r="72" spans="1:12" x14ac:dyDescent="0.2">
      <c r="A72" t="s">
        <v>8</v>
      </c>
      <c r="B72">
        <v>1</v>
      </c>
      <c r="C72" t="s">
        <v>2</v>
      </c>
      <c r="D72" s="2">
        <v>43627</v>
      </c>
      <c r="E72" s="3">
        <v>43627.424310000002</v>
      </c>
      <c r="F72" s="3">
        <v>43627.427779999998</v>
      </c>
      <c r="G72">
        <v>13</v>
      </c>
      <c r="H72">
        <v>18.88</v>
      </c>
      <c r="K72">
        <v>-3.0008719732725799</v>
      </c>
      <c r="L72">
        <v>2.5884555781203301E-4</v>
      </c>
    </row>
    <row r="73" spans="1:12" x14ac:dyDescent="0.2">
      <c r="A73" t="s">
        <v>8</v>
      </c>
      <c r="B73">
        <v>1</v>
      </c>
      <c r="C73" t="s">
        <v>6</v>
      </c>
      <c r="D73" s="2">
        <v>43627</v>
      </c>
      <c r="E73" s="3">
        <v>43627.429170000003</v>
      </c>
      <c r="F73" s="3">
        <v>43627.432639999999</v>
      </c>
      <c r="H73">
        <v>18.88</v>
      </c>
      <c r="K73">
        <v>9.6680054283210808</v>
      </c>
      <c r="L73">
        <v>3.22357491387526E-4</v>
      </c>
    </row>
    <row r="74" spans="1:12" x14ac:dyDescent="0.2">
      <c r="A74" t="s">
        <v>8</v>
      </c>
      <c r="B74">
        <v>2</v>
      </c>
      <c r="C74" t="s">
        <v>2</v>
      </c>
      <c r="D74" s="2">
        <v>43627</v>
      </c>
      <c r="E74" s="3">
        <v>43627.434029999997</v>
      </c>
      <c r="F74" s="3">
        <v>43627.4375</v>
      </c>
      <c r="G74">
        <v>5.9</v>
      </c>
      <c r="H74">
        <v>18.88</v>
      </c>
      <c r="K74">
        <v>-0.560028632863387</v>
      </c>
      <c r="L74" s="6">
        <v>-7.3024303074370096E-5</v>
      </c>
    </row>
    <row r="75" spans="1:12" x14ac:dyDescent="0.2">
      <c r="A75" t="s">
        <v>8</v>
      </c>
      <c r="B75">
        <v>2</v>
      </c>
      <c r="C75" t="s">
        <v>6</v>
      </c>
      <c r="D75" s="2">
        <v>43627</v>
      </c>
      <c r="E75" s="3">
        <v>43627.438889999998</v>
      </c>
      <c r="F75" s="3">
        <v>43627.442360000001</v>
      </c>
      <c r="H75">
        <v>18.88</v>
      </c>
      <c r="K75">
        <v>11.797502274779101</v>
      </c>
      <c r="L75">
        <v>1.15557369395058E-4</v>
      </c>
    </row>
    <row r="76" spans="1:12" x14ac:dyDescent="0.2">
      <c r="A76" t="s">
        <v>8</v>
      </c>
      <c r="B76">
        <v>3</v>
      </c>
      <c r="C76" t="s">
        <v>2</v>
      </c>
      <c r="D76" s="2">
        <v>43627</v>
      </c>
      <c r="E76" s="3">
        <v>43627.443749999999</v>
      </c>
      <c r="F76" s="3">
        <v>43627.447220000002</v>
      </c>
      <c r="G76">
        <v>6.2</v>
      </c>
      <c r="H76">
        <v>18.88</v>
      </c>
      <c r="K76">
        <v>-1.6674925112451</v>
      </c>
      <c r="L76">
        <v>-1.8350487934995499E-4</v>
      </c>
    </row>
    <row r="77" spans="1:12" x14ac:dyDescent="0.2">
      <c r="A77" t="s">
        <v>8</v>
      </c>
      <c r="B77">
        <v>3</v>
      </c>
      <c r="C77" t="s">
        <v>6</v>
      </c>
      <c r="D77" s="2">
        <v>43627</v>
      </c>
      <c r="E77" s="3">
        <v>43627.448609999999</v>
      </c>
      <c r="F77" s="3">
        <v>43627.452080000003</v>
      </c>
      <c r="H77">
        <v>18.88</v>
      </c>
      <c r="K77">
        <v>13.9238108595012</v>
      </c>
      <c r="L77">
        <v>1.06082366366215E-3</v>
      </c>
    </row>
    <row r="78" spans="1:12" x14ac:dyDescent="0.2">
      <c r="A78" t="s">
        <v>8</v>
      </c>
      <c r="B78">
        <v>4</v>
      </c>
      <c r="C78" t="s">
        <v>2</v>
      </c>
      <c r="D78" s="2">
        <v>43627</v>
      </c>
      <c r="E78" s="3">
        <v>43627.45347</v>
      </c>
      <c r="F78" s="3">
        <v>43627.456939999996</v>
      </c>
      <c r="G78">
        <v>8.5</v>
      </c>
      <c r="H78">
        <v>18.88</v>
      </c>
      <c r="K78">
        <v>-8.1004298266811805</v>
      </c>
      <c r="L78">
        <v>1.3586961081831401E-2</v>
      </c>
    </row>
    <row r="79" spans="1:12" x14ac:dyDescent="0.2">
      <c r="A79" t="s">
        <v>8</v>
      </c>
      <c r="B79">
        <v>4</v>
      </c>
      <c r="C79" t="s">
        <v>6</v>
      </c>
      <c r="D79" s="2">
        <v>43627</v>
      </c>
      <c r="E79" s="3">
        <v>43627.458330000001</v>
      </c>
      <c r="F79" s="3">
        <v>43627.461810000001</v>
      </c>
      <c r="H79">
        <v>18.88</v>
      </c>
      <c r="K79">
        <v>7.7718859082822904</v>
      </c>
      <c r="L79">
        <v>-5.6414212220320904E-3</v>
      </c>
    </row>
    <row r="80" spans="1:12" x14ac:dyDescent="0.2">
      <c r="A80" t="s">
        <v>8</v>
      </c>
      <c r="B80">
        <v>5</v>
      </c>
      <c r="C80" t="s">
        <v>2</v>
      </c>
      <c r="D80" s="2">
        <v>43627</v>
      </c>
      <c r="E80" s="3">
        <v>43627.463190000002</v>
      </c>
      <c r="F80" s="3">
        <v>43627.466670000002</v>
      </c>
      <c r="G80">
        <v>4.8</v>
      </c>
      <c r="H80">
        <v>18.88</v>
      </c>
      <c r="K80">
        <v>-8.5149328006963891</v>
      </c>
      <c r="L80">
        <v>-1.15762615635496E-2</v>
      </c>
    </row>
    <row r="81" spans="1:12" x14ac:dyDescent="0.2">
      <c r="A81" t="s">
        <v>8</v>
      </c>
      <c r="B81">
        <v>5</v>
      </c>
      <c r="C81" t="s">
        <v>6</v>
      </c>
      <c r="D81" s="2">
        <v>43627</v>
      </c>
      <c r="E81" s="3">
        <v>43627.468059999999</v>
      </c>
      <c r="F81" s="3">
        <v>43627.471530000003</v>
      </c>
      <c r="H81">
        <v>18.88</v>
      </c>
      <c r="K81">
        <v>8.2959849892347304</v>
      </c>
      <c r="L81">
        <v>2.3278445930268502E-3</v>
      </c>
    </row>
    <row r="82" spans="1:12" x14ac:dyDescent="0.2">
      <c r="A82" t="s">
        <v>8</v>
      </c>
      <c r="B82">
        <v>1</v>
      </c>
      <c r="C82" t="s">
        <v>2</v>
      </c>
      <c r="D82" s="2">
        <v>43627</v>
      </c>
      <c r="E82" s="3">
        <v>43627.534720000003</v>
      </c>
      <c r="F82" s="3">
        <v>43627.538189999999</v>
      </c>
      <c r="G82">
        <v>4.9000000000000004</v>
      </c>
      <c r="H82">
        <v>18.88</v>
      </c>
      <c r="K82">
        <v>-469903.43151798</v>
      </c>
      <c r="L82">
        <v>14.6816743009713</v>
      </c>
    </row>
    <row r="83" spans="1:12" x14ac:dyDescent="0.2">
      <c r="A83" t="s">
        <v>8</v>
      </c>
      <c r="B83">
        <v>1</v>
      </c>
      <c r="C83" t="s">
        <v>6</v>
      </c>
      <c r="D83" s="2">
        <v>43627</v>
      </c>
      <c r="E83" s="3">
        <v>43627.539579999997</v>
      </c>
      <c r="F83" s="3">
        <v>43627.543060000004</v>
      </c>
      <c r="H83">
        <v>18.88</v>
      </c>
      <c r="K83">
        <v>13.508838263762501</v>
      </c>
      <c r="L83">
        <v>3.8420440481724198E-4</v>
      </c>
    </row>
    <row r="84" spans="1:12" x14ac:dyDescent="0.2">
      <c r="A84" t="s">
        <v>8</v>
      </c>
      <c r="B84">
        <v>2</v>
      </c>
      <c r="C84" t="s">
        <v>2</v>
      </c>
      <c r="D84" s="2">
        <v>43627</v>
      </c>
      <c r="E84" s="3">
        <v>43627.544439999998</v>
      </c>
      <c r="F84" s="3">
        <v>43627.547919999997</v>
      </c>
      <c r="G84">
        <v>3.2</v>
      </c>
      <c r="H84">
        <v>18.88</v>
      </c>
      <c r="K84">
        <v>-2.1728655030342199</v>
      </c>
      <c r="L84">
        <v>-8.6511322266904502E-4</v>
      </c>
    </row>
    <row r="85" spans="1:12" x14ac:dyDescent="0.2">
      <c r="A85" t="s">
        <v>8</v>
      </c>
      <c r="B85">
        <v>2</v>
      </c>
      <c r="C85" t="s">
        <v>6</v>
      </c>
      <c r="D85" s="2">
        <v>43627</v>
      </c>
      <c r="E85" s="3">
        <v>43627.549310000002</v>
      </c>
      <c r="F85" s="3">
        <v>43627.552779999998</v>
      </c>
      <c r="H85">
        <v>18.88</v>
      </c>
      <c r="K85">
        <v>275111.39981306402</v>
      </c>
      <c r="L85">
        <v>2820.1731326982099</v>
      </c>
    </row>
    <row r="86" spans="1:12" x14ac:dyDescent="0.2">
      <c r="A86" t="s">
        <v>8</v>
      </c>
      <c r="B86">
        <v>3</v>
      </c>
      <c r="C86" t="s">
        <v>2</v>
      </c>
      <c r="D86" s="2">
        <v>43627</v>
      </c>
      <c r="E86" s="3">
        <v>43627.554170000003</v>
      </c>
      <c r="F86" s="3">
        <v>43627.557639999999</v>
      </c>
      <c r="G86">
        <v>5.4</v>
      </c>
      <c r="H86">
        <v>18.88</v>
      </c>
      <c r="K86">
        <v>-0.52940780567147105</v>
      </c>
      <c r="L86">
        <v>-4.6595223710627803E-4</v>
      </c>
    </row>
    <row r="87" spans="1:12" x14ac:dyDescent="0.2">
      <c r="A87" t="s">
        <v>8</v>
      </c>
      <c r="B87">
        <v>3</v>
      </c>
      <c r="C87" t="s">
        <v>6</v>
      </c>
      <c r="D87" s="2">
        <v>43627</v>
      </c>
      <c r="E87" s="3">
        <v>43627.559029999997</v>
      </c>
      <c r="F87" s="3">
        <v>43627.5625</v>
      </c>
      <c r="H87">
        <v>18.88</v>
      </c>
      <c r="K87">
        <v>9.0289339130856998</v>
      </c>
      <c r="L87">
        <v>-3.6737386450499401E-4</v>
      </c>
    </row>
    <row r="88" spans="1:12" x14ac:dyDescent="0.2">
      <c r="A88" t="s">
        <v>8</v>
      </c>
      <c r="B88">
        <v>4</v>
      </c>
      <c r="C88" t="s">
        <v>2</v>
      </c>
      <c r="D88" s="2">
        <v>43627</v>
      </c>
      <c r="E88" s="3">
        <v>43627.563889999998</v>
      </c>
      <c r="F88" s="3">
        <v>43627.567360000001</v>
      </c>
      <c r="G88">
        <v>6.8</v>
      </c>
      <c r="H88">
        <v>18.88</v>
      </c>
      <c r="K88">
        <v>-4.4955917193875603</v>
      </c>
      <c r="L88">
        <v>-5.88854514453391E-4</v>
      </c>
    </row>
    <row r="89" spans="1:12" x14ac:dyDescent="0.2">
      <c r="A89" t="s">
        <v>8</v>
      </c>
      <c r="B89">
        <v>4</v>
      </c>
      <c r="C89" t="s">
        <v>6</v>
      </c>
      <c r="D89" s="2">
        <v>43627</v>
      </c>
      <c r="E89" s="3">
        <v>43627.568749999999</v>
      </c>
      <c r="F89" s="3">
        <v>43627.572220000002</v>
      </c>
      <c r="H89">
        <v>18.88</v>
      </c>
      <c r="K89">
        <v>9.4768949674218508</v>
      </c>
      <c r="L89">
        <v>-2.1775463657104299E-4</v>
      </c>
    </row>
    <row r="90" spans="1:12" x14ac:dyDescent="0.2">
      <c r="A90" t="s">
        <v>8</v>
      </c>
      <c r="B90">
        <v>5</v>
      </c>
      <c r="C90" t="s">
        <v>2</v>
      </c>
      <c r="D90" s="2">
        <v>43627</v>
      </c>
      <c r="E90" s="3">
        <v>43627.573609999999</v>
      </c>
      <c r="F90" s="3">
        <v>43627.577080000003</v>
      </c>
      <c r="G90">
        <v>5.8</v>
      </c>
      <c r="H90">
        <v>18.88</v>
      </c>
      <c r="K90">
        <v>-6.0452552088237397</v>
      </c>
      <c r="L90">
        <v>-2.7373277967039102E-4</v>
      </c>
    </row>
    <row r="91" spans="1:12" x14ac:dyDescent="0.2">
      <c r="A91" t="s">
        <v>8</v>
      </c>
      <c r="B91">
        <v>5</v>
      </c>
      <c r="C91" t="s">
        <v>6</v>
      </c>
      <c r="D91" s="2">
        <v>43627</v>
      </c>
      <c r="E91" s="3">
        <v>43627.57847</v>
      </c>
      <c r="F91" s="3">
        <v>43627.581939999996</v>
      </c>
      <c r="H91">
        <v>18.88</v>
      </c>
      <c r="K91">
        <v>8.2670145980123504</v>
      </c>
      <c r="L91">
        <v>3.9713901354164E-4</v>
      </c>
    </row>
    <row r="92" spans="1:12" x14ac:dyDescent="0.2">
      <c r="A92" t="s">
        <v>8</v>
      </c>
      <c r="B92">
        <v>1</v>
      </c>
      <c r="C92" t="s">
        <v>2</v>
      </c>
      <c r="D92" s="2">
        <v>43635</v>
      </c>
      <c r="E92" s="3">
        <v>43635.431940000002</v>
      </c>
      <c r="F92" s="3">
        <v>43635.435420000002</v>
      </c>
      <c r="G92">
        <v>10.9</v>
      </c>
      <c r="H92">
        <v>21.67</v>
      </c>
      <c r="K92">
        <v>1.86551235241707</v>
      </c>
      <c r="L92">
        <v>-1.3933711983573501E-3</v>
      </c>
    </row>
    <row r="93" spans="1:12" x14ac:dyDescent="0.2">
      <c r="A93" t="s">
        <v>8</v>
      </c>
      <c r="B93">
        <v>1</v>
      </c>
      <c r="C93" t="s">
        <v>6</v>
      </c>
      <c r="D93" s="2">
        <v>43635</v>
      </c>
      <c r="E93" s="3">
        <v>43635.436809999999</v>
      </c>
      <c r="F93" s="3">
        <v>43635.440280000003</v>
      </c>
      <c r="H93">
        <v>21.67</v>
      </c>
      <c r="K93">
        <v>6.5859383993486604</v>
      </c>
      <c r="L93">
        <v>3.7642772383858302E-4</v>
      </c>
    </row>
    <row r="94" spans="1:12" x14ac:dyDescent="0.2">
      <c r="A94" t="s">
        <v>8</v>
      </c>
      <c r="B94">
        <v>2</v>
      </c>
      <c r="C94" t="s">
        <v>2</v>
      </c>
      <c r="D94" s="2">
        <v>43635</v>
      </c>
      <c r="E94" s="3">
        <v>43635.44167</v>
      </c>
      <c r="F94" s="3">
        <v>43635.445140000003</v>
      </c>
      <c r="G94">
        <v>7.9</v>
      </c>
      <c r="H94">
        <v>21.67</v>
      </c>
      <c r="K94">
        <v>1.3728178607036701</v>
      </c>
      <c r="L94">
        <v>-3.9238465836710897E-3</v>
      </c>
    </row>
    <row r="95" spans="1:12" x14ac:dyDescent="0.2">
      <c r="A95" t="s">
        <v>8</v>
      </c>
      <c r="B95">
        <v>2</v>
      </c>
      <c r="C95" t="s">
        <v>6</v>
      </c>
      <c r="D95" s="2">
        <v>43635</v>
      </c>
      <c r="E95" s="3">
        <v>43635.446530000001</v>
      </c>
      <c r="F95" s="3">
        <v>43635.45</v>
      </c>
      <c r="H95">
        <v>21.67</v>
      </c>
      <c r="K95">
        <v>9.8841946630500708</v>
      </c>
      <c r="L95">
        <v>-6.4401400664260502E-4</v>
      </c>
    </row>
    <row r="96" spans="1:12" x14ac:dyDescent="0.2">
      <c r="A96" t="s">
        <v>8</v>
      </c>
      <c r="B96">
        <v>3</v>
      </c>
      <c r="C96" t="s">
        <v>2</v>
      </c>
      <c r="D96" s="2">
        <v>43635</v>
      </c>
      <c r="E96" s="3">
        <v>43635.451390000002</v>
      </c>
      <c r="F96" s="3">
        <v>43635.454859999998</v>
      </c>
      <c r="G96">
        <v>12.9</v>
      </c>
      <c r="H96">
        <v>21.67</v>
      </c>
      <c r="K96">
        <v>87.530577523342998</v>
      </c>
      <c r="L96">
        <v>-0.20396815526864701</v>
      </c>
    </row>
    <row r="97" spans="1:12" x14ac:dyDescent="0.2">
      <c r="A97" t="s">
        <v>8</v>
      </c>
      <c r="B97">
        <v>3</v>
      </c>
      <c r="C97" t="s">
        <v>6</v>
      </c>
      <c r="D97" s="2">
        <v>43635</v>
      </c>
      <c r="E97" s="3">
        <v>43635.456250000003</v>
      </c>
      <c r="F97" s="3">
        <v>43635.459719999999</v>
      </c>
      <c r="H97">
        <v>21.67</v>
      </c>
      <c r="K97">
        <v>759570.80769934005</v>
      </c>
      <c r="L97">
        <v>-15.550214813373699</v>
      </c>
    </row>
    <row r="98" spans="1:12" x14ac:dyDescent="0.2">
      <c r="A98" t="s">
        <v>8</v>
      </c>
      <c r="B98">
        <v>4</v>
      </c>
      <c r="C98" t="s">
        <v>2</v>
      </c>
      <c r="D98" s="2">
        <v>43635</v>
      </c>
      <c r="E98" s="3">
        <v>43635.461109999997</v>
      </c>
      <c r="F98" s="3">
        <v>43635.46458</v>
      </c>
      <c r="G98">
        <v>10.6</v>
      </c>
      <c r="H98">
        <v>21.67</v>
      </c>
      <c r="K98">
        <v>2.8476193913077599</v>
      </c>
      <c r="L98" s="6">
        <v>-2.98388595021658E-6</v>
      </c>
    </row>
    <row r="99" spans="1:12" x14ac:dyDescent="0.2">
      <c r="A99" t="s">
        <v>8</v>
      </c>
      <c r="B99">
        <v>4</v>
      </c>
      <c r="C99" t="s">
        <v>6</v>
      </c>
      <c r="D99" s="2">
        <v>43635</v>
      </c>
      <c r="E99" s="3">
        <v>43635.465969999997</v>
      </c>
      <c r="F99" s="3">
        <v>43635.469440000001</v>
      </c>
      <c r="H99">
        <v>21.67</v>
      </c>
      <c r="K99">
        <v>7.5966921950879103</v>
      </c>
      <c r="L99">
        <v>3.2103617630763602E-2</v>
      </c>
    </row>
    <row r="100" spans="1:12" x14ac:dyDescent="0.2">
      <c r="A100" t="s">
        <v>8</v>
      </c>
      <c r="B100">
        <v>5</v>
      </c>
      <c r="C100" t="s">
        <v>2</v>
      </c>
      <c r="D100" s="2">
        <v>43635</v>
      </c>
      <c r="E100" s="3">
        <v>43635.470829999998</v>
      </c>
      <c r="F100" s="3">
        <v>43635.474309999998</v>
      </c>
      <c r="G100">
        <v>11.2</v>
      </c>
      <c r="H100">
        <v>21.67</v>
      </c>
      <c r="K100">
        <v>-1.71699817831852</v>
      </c>
      <c r="L100">
        <v>-7.3190894412492102E-2</v>
      </c>
    </row>
    <row r="101" spans="1:12" x14ac:dyDescent="0.2">
      <c r="A101" t="s">
        <v>8</v>
      </c>
      <c r="B101">
        <v>5</v>
      </c>
      <c r="C101" t="s">
        <v>6</v>
      </c>
      <c r="D101" s="2">
        <v>43635</v>
      </c>
      <c r="E101" s="3">
        <v>43635.475689999999</v>
      </c>
      <c r="F101" s="3">
        <v>43635.479169999999</v>
      </c>
      <c r="H101">
        <v>21.67</v>
      </c>
      <c r="K101">
        <v>8.9229245851077206</v>
      </c>
      <c r="L101">
        <v>-6.09776182745548E-2</v>
      </c>
    </row>
    <row r="102" spans="1:12" x14ac:dyDescent="0.2">
      <c r="A102" t="s">
        <v>8</v>
      </c>
      <c r="B102">
        <v>1</v>
      </c>
      <c r="C102" t="s">
        <v>2</v>
      </c>
      <c r="D102" s="2">
        <v>43635</v>
      </c>
      <c r="E102" s="3">
        <v>43635.518060000002</v>
      </c>
      <c r="F102" s="3">
        <v>43635.521529999998</v>
      </c>
      <c r="G102">
        <v>5.5</v>
      </c>
      <c r="H102">
        <v>22.78</v>
      </c>
      <c r="K102">
        <v>2.5232002916359502</v>
      </c>
      <c r="L102" s="6">
        <v>-5.0354894711786497E-5</v>
      </c>
    </row>
    <row r="103" spans="1:12" x14ac:dyDescent="0.2">
      <c r="A103" t="s">
        <v>8</v>
      </c>
      <c r="B103">
        <v>1</v>
      </c>
      <c r="C103" t="s">
        <v>6</v>
      </c>
      <c r="D103" s="2">
        <v>43635</v>
      </c>
      <c r="E103" s="3">
        <v>43635.522920000003</v>
      </c>
      <c r="F103" s="3">
        <v>43635.526389999999</v>
      </c>
      <c r="H103">
        <v>22.78</v>
      </c>
      <c r="K103">
        <v>9.7191451306776298</v>
      </c>
      <c r="L103" s="6">
        <v>-4.0565016743781202E-5</v>
      </c>
    </row>
    <row r="104" spans="1:12" x14ac:dyDescent="0.2">
      <c r="A104" t="s">
        <v>8</v>
      </c>
      <c r="B104">
        <v>2</v>
      </c>
      <c r="C104" t="s">
        <v>2</v>
      </c>
      <c r="D104" s="2">
        <v>43635</v>
      </c>
      <c r="E104" s="3">
        <v>43635.527779999997</v>
      </c>
      <c r="F104" s="3">
        <v>43635.53125</v>
      </c>
      <c r="G104">
        <v>9.4</v>
      </c>
      <c r="H104">
        <v>22.78</v>
      </c>
      <c r="K104">
        <v>3.1471196824438001</v>
      </c>
      <c r="L104" s="6">
        <v>7.9850660699565705E-7</v>
      </c>
    </row>
    <row r="105" spans="1:12" x14ac:dyDescent="0.2">
      <c r="A105" t="s">
        <v>8</v>
      </c>
      <c r="B105">
        <v>2</v>
      </c>
      <c r="C105" t="s">
        <v>6</v>
      </c>
      <c r="D105" s="2">
        <v>43635</v>
      </c>
      <c r="E105" s="3">
        <v>43635.532639999998</v>
      </c>
      <c r="F105" s="3">
        <v>43635.536110000001</v>
      </c>
      <c r="H105">
        <v>22.78</v>
      </c>
      <c r="K105">
        <v>9.7388500773984195</v>
      </c>
    </row>
    <row r="106" spans="1:12" x14ac:dyDescent="0.2">
      <c r="A106" t="s">
        <v>8</v>
      </c>
      <c r="B106">
        <v>3</v>
      </c>
      <c r="C106" t="s">
        <v>2</v>
      </c>
      <c r="D106" s="2">
        <v>43635</v>
      </c>
      <c r="E106" s="3">
        <v>43635.537499999999</v>
      </c>
      <c r="F106" s="3">
        <v>43635.540970000002</v>
      </c>
      <c r="G106">
        <v>16.7</v>
      </c>
      <c r="H106">
        <v>22.78</v>
      </c>
      <c r="K106">
        <v>-0.28767392804400699</v>
      </c>
    </row>
    <row r="107" spans="1:12" x14ac:dyDescent="0.2">
      <c r="A107" t="s">
        <v>8</v>
      </c>
      <c r="B107">
        <v>3</v>
      </c>
      <c r="C107" t="s">
        <v>6</v>
      </c>
      <c r="D107" s="2">
        <v>43635</v>
      </c>
      <c r="E107" s="3">
        <v>43635.542359999999</v>
      </c>
      <c r="F107" s="3">
        <v>43635.545830000003</v>
      </c>
      <c r="H107">
        <v>22.78</v>
      </c>
      <c r="K107">
        <v>6.0004450669193803</v>
      </c>
    </row>
    <row r="108" spans="1:12" x14ac:dyDescent="0.2">
      <c r="A108" t="s">
        <v>8</v>
      </c>
      <c r="B108">
        <v>4</v>
      </c>
      <c r="C108" t="s">
        <v>2</v>
      </c>
      <c r="D108" s="2">
        <v>43635</v>
      </c>
      <c r="E108" s="3">
        <v>43635.54722</v>
      </c>
      <c r="F108" s="3">
        <v>43635.550689999996</v>
      </c>
      <c r="G108">
        <v>11.3</v>
      </c>
      <c r="H108">
        <v>22.78</v>
      </c>
      <c r="K108">
        <v>5.4718989970108396</v>
      </c>
    </row>
    <row r="109" spans="1:12" x14ac:dyDescent="0.2">
      <c r="A109" t="s">
        <v>8</v>
      </c>
      <c r="B109">
        <v>4</v>
      </c>
      <c r="C109" t="s">
        <v>6</v>
      </c>
      <c r="D109" s="2">
        <v>43635</v>
      </c>
      <c r="E109" s="3">
        <v>43635.552080000001</v>
      </c>
      <c r="F109" s="3">
        <v>43635.555560000001</v>
      </c>
      <c r="H109">
        <v>22.78</v>
      </c>
      <c r="K109">
        <v>-0.43989161957963102</v>
      </c>
    </row>
    <row r="110" spans="1:12" x14ac:dyDescent="0.2">
      <c r="A110" t="s">
        <v>8</v>
      </c>
      <c r="B110">
        <v>5</v>
      </c>
      <c r="C110" t="s">
        <v>2</v>
      </c>
      <c r="D110" s="2">
        <v>43635</v>
      </c>
      <c r="E110" s="3">
        <v>43635.556940000002</v>
      </c>
      <c r="F110" s="3">
        <v>43635.560420000002</v>
      </c>
      <c r="G110">
        <v>5.0999999999999996</v>
      </c>
      <c r="H110">
        <v>22.78</v>
      </c>
      <c r="K110">
        <v>0.33972686167538302</v>
      </c>
    </row>
    <row r="111" spans="1:12" x14ac:dyDescent="0.2">
      <c r="A111" t="s">
        <v>8</v>
      </c>
      <c r="B111">
        <v>5</v>
      </c>
      <c r="C111" t="s">
        <v>6</v>
      </c>
      <c r="D111" s="2">
        <v>43635</v>
      </c>
      <c r="E111" s="3">
        <v>43635.561809999999</v>
      </c>
      <c r="F111" s="3">
        <v>43635.565280000003</v>
      </c>
      <c r="H111">
        <v>22.78</v>
      </c>
      <c r="K111">
        <v>9.7290904892500301</v>
      </c>
    </row>
    <row r="112" spans="1:12" x14ac:dyDescent="0.2">
      <c r="A112" t="s">
        <v>8</v>
      </c>
      <c r="B112">
        <v>1</v>
      </c>
      <c r="C112" t="s">
        <v>2</v>
      </c>
      <c r="D112" s="2">
        <v>43647</v>
      </c>
      <c r="E112" s="3">
        <v>43647.429859999997</v>
      </c>
      <c r="F112" s="3">
        <v>43647.43333</v>
      </c>
      <c r="G112">
        <v>4.9000000000000004</v>
      </c>
      <c r="H112">
        <v>21.67</v>
      </c>
      <c r="K112">
        <v>-6.2250351904934202</v>
      </c>
      <c r="L112">
        <v>6.1207269705547602E-4</v>
      </c>
    </row>
    <row r="113" spans="1:12" x14ac:dyDescent="0.2">
      <c r="A113" t="s">
        <v>8</v>
      </c>
      <c r="B113">
        <v>1</v>
      </c>
      <c r="C113" t="s">
        <v>6</v>
      </c>
      <c r="D113" s="2">
        <v>43647</v>
      </c>
      <c r="E113" s="3">
        <v>43647.434719999997</v>
      </c>
      <c r="F113" s="3">
        <v>43647.438190000001</v>
      </c>
      <c r="H113">
        <v>21.67</v>
      </c>
      <c r="K113">
        <v>8.5422350847211792</v>
      </c>
      <c r="L113">
        <v>7.6871470949258999E-4</v>
      </c>
    </row>
    <row r="114" spans="1:12" x14ac:dyDescent="0.2">
      <c r="A114" t="s">
        <v>8</v>
      </c>
      <c r="B114">
        <v>2</v>
      </c>
      <c r="C114" t="s">
        <v>2</v>
      </c>
      <c r="D114" s="2">
        <v>43647</v>
      </c>
      <c r="E114" s="3">
        <v>43647.439579999998</v>
      </c>
      <c r="F114" s="3">
        <v>43647.443059999998</v>
      </c>
      <c r="G114">
        <v>4.7</v>
      </c>
      <c r="H114">
        <v>21.67</v>
      </c>
      <c r="K114">
        <v>-5.5655149480562098</v>
      </c>
      <c r="L114">
        <v>1.63997427887084E-3</v>
      </c>
    </row>
    <row r="115" spans="1:12" x14ac:dyDescent="0.2">
      <c r="A115" t="s">
        <v>8</v>
      </c>
      <c r="B115">
        <v>2</v>
      </c>
      <c r="C115" t="s">
        <v>6</v>
      </c>
      <c r="D115" s="2">
        <v>43647</v>
      </c>
      <c r="E115" s="3">
        <v>43647.444439999999</v>
      </c>
      <c r="F115" s="3">
        <v>43647.447919999999</v>
      </c>
      <c r="H115">
        <v>21.67</v>
      </c>
      <c r="K115">
        <v>8.9706367073193505</v>
      </c>
      <c r="L115">
        <v>1.1732928230153701E-3</v>
      </c>
    </row>
    <row r="116" spans="1:12" x14ac:dyDescent="0.2">
      <c r="A116" t="s">
        <v>8</v>
      </c>
      <c r="B116">
        <v>3</v>
      </c>
      <c r="C116" t="s">
        <v>2</v>
      </c>
      <c r="D116" s="2">
        <v>43647</v>
      </c>
      <c r="E116" s="3">
        <v>43647.449310000004</v>
      </c>
      <c r="F116" s="3">
        <v>43647.45278</v>
      </c>
      <c r="G116">
        <v>3.5</v>
      </c>
      <c r="H116">
        <v>21.67</v>
      </c>
      <c r="K116">
        <v>-7.6984300542847599</v>
      </c>
      <c r="L116">
        <v>8.4999074886723701E-4</v>
      </c>
    </row>
    <row r="117" spans="1:12" x14ac:dyDescent="0.2">
      <c r="A117" t="s">
        <v>8</v>
      </c>
      <c r="B117">
        <v>3</v>
      </c>
      <c r="C117" t="s">
        <v>6</v>
      </c>
      <c r="D117" s="2">
        <v>43647</v>
      </c>
      <c r="E117" s="3">
        <v>43647.454169999997</v>
      </c>
      <c r="F117" s="3">
        <v>43647.457640000001</v>
      </c>
      <c r="H117">
        <v>21.67</v>
      </c>
      <c r="K117">
        <v>7.95861938090124</v>
      </c>
      <c r="L117">
        <v>7.2599608336201902E-4</v>
      </c>
    </row>
    <row r="118" spans="1:12" x14ac:dyDescent="0.2">
      <c r="A118" t="s">
        <v>8</v>
      </c>
      <c r="B118">
        <v>4</v>
      </c>
      <c r="C118" t="s">
        <v>2</v>
      </c>
      <c r="D118" s="2">
        <v>43647</v>
      </c>
      <c r="E118" s="3">
        <v>43647.459029999998</v>
      </c>
      <c r="F118" s="3">
        <v>43647.462500000001</v>
      </c>
      <c r="G118">
        <v>9.1999999999999993</v>
      </c>
      <c r="H118">
        <v>21.67</v>
      </c>
      <c r="K118">
        <v>-6.95685485887428</v>
      </c>
      <c r="L118">
        <v>1.0340744855602501E-3</v>
      </c>
    </row>
    <row r="119" spans="1:12" x14ac:dyDescent="0.2">
      <c r="A119" t="s">
        <v>8</v>
      </c>
      <c r="B119">
        <v>4</v>
      </c>
      <c r="C119" t="s">
        <v>6</v>
      </c>
      <c r="D119" s="2">
        <v>43647</v>
      </c>
      <c r="E119" s="3">
        <v>43647.463889999999</v>
      </c>
      <c r="F119" s="3">
        <v>43647.467360000002</v>
      </c>
      <c r="H119">
        <v>21.67</v>
      </c>
      <c r="K119">
        <v>7.9756183963596401</v>
      </c>
      <c r="L119">
        <v>1.4289101372567901E-4</v>
      </c>
    </row>
    <row r="120" spans="1:12" x14ac:dyDescent="0.2">
      <c r="A120" t="s">
        <v>8</v>
      </c>
      <c r="B120">
        <v>5</v>
      </c>
      <c r="C120" t="s">
        <v>2</v>
      </c>
      <c r="D120" s="2">
        <v>43647</v>
      </c>
      <c r="E120" s="3">
        <v>43647.46875</v>
      </c>
      <c r="F120" s="3">
        <v>43647.472220000003</v>
      </c>
      <c r="G120">
        <v>2.8</v>
      </c>
      <c r="H120">
        <v>21.67</v>
      </c>
      <c r="K120">
        <v>-8.6069649318766608</v>
      </c>
      <c r="L120">
        <v>2.6466554811735698E-4</v>
      </c>
    </row>
    <row r="121" spans="1:12" x14ac:dyDescent="0.2">
      <c r="A121" t="s">
        <v>8</v>
      </c>
      <c r="B121">
        <v>5</v>
      </c>
      <c r="C121" t="s">
        <v>6</v>
      </c>
      <c r="D121" s="2">
        <v>43647</v>
      </c>
      <c r="E121" s="3">
        <v>43647.473610000001</v>
      </c>
      <c r="F121" s="3">
        <v>43647.477079999997</v>
      </c>
      <c r="H121">
        <v>21.67</v>
      </c>
      <c r="K121">
        <v>7.4388622325415099</v>
      </c>
      <c r="L121">
        <v>3.27492731796538E-4</v>
      </c>
    </row>
    <row r="122" spans="1:12" x14ac:dyDescent="0.2">
      <c r="A122" t="s">
        <v>8</v>
      </c>
      <c r="B122">
        <v>1</v>
      </c>
      <c r="C122" t="s">
        <v>2</v>
      </c>
      <c r="D122" s="2">
        <v>43647</v>
      </c>
      <c r="E122" s="3">
        <v>43647.518060000002</v>
      </c>
      <c r="F122" s="3">
        <v>43647.521529999998</v>
      </c>
      <c r="G122">
        <v>4.3</v>
      </c>
      <c r="H122">
        <v>26.11</v>
      </c>
      <c r="K122">
        <v>-4.61959101098034</v>
      </c>
      <c r="L122">
        <v>1.8152869344345999E-3</v>
      </c>
    </row>
    <row r="123" spans="1:12" x14ac:dyDescent="0.2">
      <c r="A123" t="s">
        <v>8</v>
      </c>
      <c r="B123">
        <v>1</v>
      </c>
      <c r="C123" t="s">
        <v>6</v>
      </c>
      <c r="D123" s="2">
        <v>43647</v>
      </c>
      <c r="E123" s="3">
        <v>43647.522920000003</v>
      </c>
      <c r="F123" s="3">
        <v>43647.526389999999</v>
      </c>
      <c r="H123">
        <v>26.11</v>
      </c>
      <c r="K123">
        <v>6.67406151366347</v>
      </c>
      <c r="L123">
        <v>5.3768389118287105E-4</v>
      </c>
    </row>
    <row r="124" spans="1:12" x14ac:dyDescent="0.2">
      <c r="A124" t="s">
        <v>8</v>
      </c>
      <c r="B124">
        <v>2</v>
      </c>
      <c r="C124" t="s">
        <v>2</v>
      </c>
      <c r="D124" s="2">
        <v>43647</v>
      </c>
      <c r="E124" s="3">
        <v>43647.527779999997</v>
      </c>
      <c r="F124" s="3">
        <v>43647.53125</v>
      </c>
      <c r="G124">
        <v>3</v>
      </c>
      <c r="H124">
        <v>26.11</v>
      </c>
      <c r="K124">
        <v>-2.0674172124005499</v>
      </c>
      <c r="L124">
        <v>-2.6705725863532498E-4</v>
      </c>
    </row>
    <row r="125" spans="1:12" x14ac:dyDescent="0.2">
      <c r="A125" t="s">
        <v>8</v>
      </c>
      <c r="B125">
        <v>2</v>
      </c>
      <c r="C125" t="s">
        <v>6</v>
      </c>
      <c r="D125" s="2">
        <v>43647</v>
      </c>
      <c r="E125" s="3">
        <v>43647.532639999998</v>
      </c>
      <c r="F125" s="3">
        <v>43647.536110000001</v>
      </c>
      <c r="H125">
        <v>26.11</v>
      </c>
      <c r="K125">
        <v>10.1844936477682</v>
      </c>
      <c r="L125">
        <v>3.38013633787025E-4</v>
      </c>
    </row>
    <row r="126" spans="1:12" x14ac:dyDescent="0.2">
      <c r="A126" t="s">
        <v>8</v>
      </c>
      <c r="B126">
        <v>3</v>
      </c>
      <c r="C126" t="s">
        <v>2</v>
      </c>
      <c r="D126" s="2">
        <v>43647</v>
      </c>
      <c r="E126" s="3">
        <v>43647.537499999999</v>
      </c>
      <c r="F126" s="3">
        <v>43647.540970000002</v>
      </c>
      <c r="G126">
        <v>3.6</v>
      </c>
      <c r="H126">
        <v>26.11</v>
      </c>
      <c r="K126">
        <v>-5.1764811367723196</v>
      </c>
      <c r="L126">
        <v>7.81618834270406E-4</v>
      </c>
    </row>
    <row r="127" spans="1:12" x14ac:dyDescent="0.2">
      <c r="A127" t="s">
        <v>8</v>
      </c>
      <c r="B127">
        <v>3</v>
      </c>
      <c r="C127" t="s">
        <v>6</v>
      </c>
      <c r="D127" s="2">
        <v>43647</v>
      </c>
      <c r="E127" s="3">
        <v>43647.542359999999</v>
      </c>
      <c r="F127" s="3">
        <v>43647.545830000003</v>
      </c>
      <c r="H127">
        <v>26.11</v>
      </c>
      <c r="K127">
        <v>8.1113759936486893</v>
      </c>
      <c r="L127">
        <v>1.8495927611475399E-3</v>
      </c>
    </row>
    <row r="128" spans="1:12" x14ac:dyDescent="0.2">
      <c r="A128" t="s">
        <v>8</v>
      </c>
      <c r="B128">
        <v>4</v>
      </c>
      <c r="C128" t="s">
        <v>2</v>
      </c>
      <c r="D128" s="2">
        <v>43647</v>
      </c>
      <c r="E128" s="3">
        <v>43647.54722</v>
      </c>
      <c r="F128" s="3">
        <v>43647.550689999996</v>
      </c>
      <c r="G128">
        <v>7</v>
      </c>
      <c r="H128">
        <v>26.11</v>
      </c>
      <c r="K128">
        <v>-4.7226886881039398</v>
      </c>
      <c r="L128">
        <v>2.1660737891797299E-4</v>
      </c>
    </row>
    <row r="129" spans="1:12" x14ac:dyDescent="0.2">
      <c r="A129" t="s">
        <v>8</v>
      </c>
      <c r="B129">
        <v>4</v>
      </c>
      <c r="C129" t="s">
        <v>6</v>
      </c>
      <c r="D129" s="2">
        <v>43647</v>
      </c>
      <c r="E129" s="3">
        <v>43647.552080000001</v>
      </c>
      <c r="F129" s="3">
        <v>43647.555560000001</v>
      </c>
      <c r="H129">
        <v>26.11</v>
      </c>
      <c r="K129">
        <v>7.6539558947474298</v>
      </c>
      <c r="L129">
        <v>1.0684220546302999E-3</v>
      </c>
    </row>
    <row r="130" spans="1:12" x14ac:dyDescent="0.2">
      <c r="A130" t="s">
        <v>8</v>
      </c>
      <c r="B130">
        <v>5</v>
      </c>
      <c r="C130" t="s">
        <v>2</v>
      </c>
      <c r="D130" s="2">
        <v>43647</v>
      </c>
      <c r="E130" s="3">
        <v>43647.556940000002</v>
      </c>
      <c r="F130" s="3">
        <v>43647.560420000002</v>
      </c>
      <c r="G130">
        <v>5.8</v>
      </c>
      <c r="H130">
        <v>26.11</v>
      </c>
      <c r="K130">
        <v>-5.7221527645472099</v>
      </c>
      <c r="L130">
        <v>2.5714475764649399E-4</v>
      </c>
    </row>
    <row r="131" spans="1:12" x14ac:dyDescent="0.2">
      <c r="A131" t="s">
        <v>8</v>
      </c>
      <c r="B131">
        <v>5</v>
      </c>
      <c r="C131" t="s">
        <v>6</v>
      </c>
      <c r="D131" s="2">
        <v>43647</v>
      </c>
      <c r="E131" s="3">
        <v>43647.561809999999</v>
      </c>
      <c r="F131" s="3">
        <v>43647.565280000003</v>
      </c>
      <c r="H131">
        <v>26.11</v>
      </c>
      <c r="K131">
        <v>9.3247597945248195</v>
      </c>
      <c r="L131">
        <v>1.0456992472464501E-3</v>
      </c>
    </row>
    <row r="132" spans="1:12" x14ac:dyDescent="0.2">
      <c r="A132" t="s">
        <v>8</v>
      </c>
      <c r="B132">
        <v>1</v>
      </c>
      <c r="C132" t="s">
        <v>2</v>
      </c>
      <c r="D132" s="2">
        <v>43649</v>
      </c>
      <c r="E132" s="3">
        <v>43649.350689999999</v>
      </c>
      <c r="F132" s="3">
        <v>43649.354169999999</v>
      </c>
      <c r="G132">
        <v>1.6</v>
      </c>
      <c r="H132">
        <v>26.67</v>
      </c>
      <c r="K132">
        <v>-9.3327105760855602</v>
      </c>
      <c r="L132">
        <v>2.6751492754744899E-3</v>
      </c>
    </row>
    <row r="133" spans="1:12" x14ac:dyDescent="0.2">
      <c r="A133" t="s">
        <v>8</v>
      </c>
      <c r="B133">
        <v>1</v>
      </c>
      <c r="C133" t="s">
        <v>6</v>
      </c>
      <c r="D133" s="2">
        <v>43649</v>
      </c>
      <c r="E133" s="3">
        <v>43649.355560000004</v>
      </c>
      <c r="F133" s="3">
        <v>43649.35903</v>
      </c>
      <c r="H133">
        <v>26.67</v>
      </c>
      <c r="K133">
        <v>4.3179067363471502</v>
      </c>
      <c r="L133">
        <v>-5.4319536010634904E-4</v>
      </c>
    </row>
    <row r="134" spans="1:12" x14ac:dyDescent="0.2">
      <c r="A134" t="s">
        <v>8</v>
      </c>
      <c r="B134">
        <v>2</v>
      </c>
      <c r="C134" t="s">
        <v>2</v>
      </c>
      <c r="D134" s="2">
        <v>43649</v>
      </c>
      <c r="E134" s="3">
        <v>43649.360419999997</v>
      </c>
      <c r="F134" s="3">
        <v>43649.363890000001</v>
      </c>
      <c r="G134">
        <v>1.1000000000000001</v>
      </c>
      <c r="H134">
        <v>26.67</v>
      </c>
      <c r="K134">
        <v>-7.4782465007524301</v>
      </c>
      <c r="L134">
        <v>3.0596623284458902E-3</v>
      </c>
    </row>
    <row r="135" spans="1:12" x14ac:dyDescent="0.2">
      <c r="A135" t="s">
        <v>8</v>
      </c>
      <c r="B135">
        <v>2</v>
      </c>
      <c r="C135" t="s">
        <v>6</v>
      </c>
      <c r="D135" s="2">
        <v>43649</v>
      </c>
      <c r="E135" s="3">
        <v>43649.365279999998</v>
      </c>
      <c r="F135" s="3">
        <v>43649.368750000001</v>
      </c>
      <c r="H135">
        <v>26.67</v>
      </c>
      <c r="K135">
        <v>5.9438215463418</v>
      </c>
      <c r="L135">
        <v>5.8581669940673301E-4</v>
      </c>
    </row>
    <row r="136" spans="1:12" x14ac:dyDescent="0.2">
      <c r="A136" t="s">
        <v>8</v>
      </c>
      <c r="B136">
        <v>3</v>
      </c>
      <c r="C136" t="s">
        <v>2</v>
      </c>
      <c r="D136" s="2">
        <v>43649</v>
      </c>
      <c r="E136" s="3">
        <v>43649.370139999999</v>
      </c>
      <c r="F136" s="3">
        <v>43649.373610000002</v>
      </c>
      <c r="G136">
        <v>1.1000000000000001</v>
      </c>
      <c r="H136">
        <v>26.67</v>
      </c>
      <c r="K136">
        <v>-8.8197931019626701</v>
      </c>
      <c r="L136">
        <v>3.3611543705857698E-3</v>
      </c>
    </row>
    <row r="137" spans="1:12" x14ac:dyDescent="0.2">
      <c r="A137" t="s">
        <v>8</v>
      </c>
      <c r="B137">
        <v>3</v>
      </c>
      <c r="C137" t="s">
        <v>6</v>
      </c>
      <c r="D137" s="2">
        <v>43649</v>
      </c>
      <c r="E137" s="3">
        <v>43649.375</v>
      </c>
      <c r="F137" s="3">
        <v>43649.378470000003</v>
      </c>
      <c r="H137">
        <v>26.67</v>
      </c>
      <c r="K137">
        <v>5.4737468480507898</v>
      </c>
      <c r="L137">
        <v>3.4617866247114998E-4</v>
      </c>
    </row>
    <row r="138" spans="1:12" x14ac:dyDescent="0.2">
      <c r="A138" t="s">
        <v>8</v>
      </c>
      <c r="B138">
        <v>4</v>
      </c>
      <c r="C138" t="s">
        <v>2</v>
      </c>
      <c r="D138" s="2">
        <v>43649</v>
      </c>
      <c r="E138" s="3">
        <v>43649.379860000001</v>
      </c>
      <c r="F138" s="3">
        <v>43649.383329999997</v>
      </c>
      <c r="G138">
        <v>3.7</v>
      </c>
      <c r="H138">
        <v>26.67</v>
      </c>
      <c r="K138">
        <v>-10.143488636549501</v>
      </c>
      <c r="L138">
        <v>8.2185361679952096E-4</v>
      </c>
    </row>
    <row r="139" spans="1:12" x14ac:dyDescent="0.2">
      <c r="A139" t="s">
        <v>8</v>
      </c>
      <c r="B139">
        <v>4</v>
      </c>
      <c r="C139" t="s">
        <v>6</v>
      </c>
      <c r="D139" s="2">
        <v>43649</v>
      </c>
      <c r="E139" s="3">
        <v>43649.384720000002</v>
      </c>
      <c r="F139" s="3">
        <v>43649.388189999998</v>
      </c>
      <c r="H139">
        <v>26.67</v>
      </c>
      <c r="K139">
        <v>5.6221499584037602</v>
      </c>
      <c r="L139">
        <v>-5.9786777463704502E-4</v>
      </c>
    </row>
    <row r="140" spans="1:12" x14ac:dyDescent="0.2">
      <c r="A140" t="s">
        <v>8</v>
      </c>
      <c r="B140">
        <v>5</v>
      </c>
      <c r="C140" t="s">
        <v>2</v>
      </c>
      <c r="D140" s="2">
        <v>43649</v>
      </c>
      <c r="E140" s="3">
        <v>43649.389580000003</v>
      </c>
      <c r="F140" s="3">
        <v>43649.393060000002</v>
      </c>
      <c r="G140">
        <v>2.5</v>
      </c>
      <c r="H140">
        <v>26.67</v>
      </c>
      <c r="K140">
        <v>-8.9977538677554207</v>
      </c>
      <c r="L140">
        <v>-4.69928851904704E-4</v>
      </c>
    </row>
    <row r="141" spans="1:12" x14ac:dyDescent="0.2">
      <c r="A141" t="s">
        <v>8</v>
      </c>
      <c r="B141">
        <v>5</v>
      </c>
      <c r="C141" t="s">
        <v>6</v>
      </c>
      <c r="D141" s="2">
        <v>43649</v>
      </c>
      <c r="E141" s="3">
        <v>43649.394439999996</v>
      </c>
      <c r="F141" s="3">
        <v>43649.397920000003</v>
      </c>
      <c r="H141">
        <v>26.67</v>
      </c>
      <c r="K141">
        <v>6.5068288005422801</v>
      </c>
      <c r="L141">
        <v>1.39908488704408E-3</v>
      </c>
    </row>
    <row r="142" spans="1:12" x14ac:dyDescent="0.2">
      <c r="A142" t="s">
        <v>8</v>
      </c>
      <c r="B142">
        <v>1</v>
      </c>
      <c r="C142" t="s">
        <v>2</v>
      </c>
      <c r="D142" s="2">
        <v>43649</v>
      </c>
      <c r="E142" s="3">
        <v>43649.47292</v>
      </c>
      <c r="F142" s="3">
        <v>43649.476390000003</v>
      </c>
      <c r="G142">
        <v>3.3</v>
      </c>
      <c r="H142">
        <v>27.22</v>
      </c>
      <c r="K142">
        <v>-5.5092051668949997</v>
      </c>
      <c r="L142">
        <v>-2.2251970437966499E-4</v>
      </c>
    </row>
    <row r="143" spans="1:12" x14ac:dyDescent="0.2">
      <c r="A143" t="s">
        <v>8</v>
      </c>
      <c r="B143">
        <v>1</v>
      </c>
      <c r="C143" t="s">
        <v>6</v>
      </c>
      <c r="D143" s="2">
        <v>43649</v>
      </c>
      <c r="E143" s="3">
        <v>43649.477780000001</v>
      </c>
      <c r="F143" s="3">
        <v>43649.481249999997</v>
      </c>
      <c r="H143">
        <v>27.22</v>
      </c>
      <c r="K143">
        <v>5.4096370556358302</v>
      </c>
      <c r="L143">
        <v>2.42918474275299E-4</v>
      </c>
    </row>
    <row r="144" spans="1:12" x14ac:dyDescent="0.2">
      <c r="A144" t="s">
        <v>8</v>
      </c>
      <c r="B144">
        <v>2</v>
      </c>
      <c r="C144" t="s">
        <v>2</v>
      </c>
      <c r="D144" s="2">
        <v>43649</v>
      </c>
      <c r="E144" s="3">
        <v>43649.482640000002</v>
      </c>
      <c r="F144" s="3">
        <v>43649.486109999998</v>
      </c>
      <c r="G144">
        <v>3.3</v>
      </c>
      <c r="H144">
        <v>27.22</v>
      </c>
      <c r="K144">
        <v>-1.6936792758669501</v>
      </c>
      <c r="L144">
        <v>-5.0252669706412397E-4</v>
      </c>
    </row>
    <row r="145" spans="1:12" x14ac:dyDescent="0.2">
      <c r="A145" t="s">
        <v>8</v>
      </c>
      <c r="B145">
        <v>2</v>
      </c>
      <c r="C145" t="s">
        <v>6</v>
      </c>
      <c r="D145" s="2">
        <v>43649</v>
      </c>
      <c r="E145" s="3">
        <v>43649.487500000003</v>
      </c>
      <c r="F145" s="3">
        <v>43649.490969999999</v>
      </c>
      <c r="H145">
        <v>27.22</v>
      </c>
      <c r="K145">
        <v>7.6512866653488398</v>
      </c>
      <c r="L145">
        <v>-1.8620599513068401E-3</v>
      </c>
    </row>
    <row r="146" spans="1:12" x14ac:dyDescent="0.2">
      <c r="A146" t="s">
        <v>8</v>
      </c>
      <c r="B146">
        <v>3</v>
      </c>
      <c r="C146" t="s">
        <v>2</v>
      </c>
      <c r="D146" s="2">
        <v>43649</v>
      </c>
      <c r="E146" s="3">
        <v>43649.492359999997</v>
      </c>
      <c r="F146" s="3">
        <v>43649.49583</v>
      </c>
      <c r="G146">
        <v>7.3</v>
      </c>
      <c r="H146">
        <v>27.22</v>
      </c>
      <c r="K146">
        <v>-5.7617391317099997</v>
      </c>
      <c r="L146">
        <v>-1.07387489316883E-3</v>
      </c>
    </row>
    <row r="147" spans="1:12" x14ac:dyDescent="0.2">
      <c r="A147" t="s">
        <v>8</v>
      </c>
      <c r="B147">
        <v>3</v>
      </c>
      <c r="C147" t="s">
        <v>6</v>
      </c>
      <c r="D147" s="2">
        <v>43649</v>
      </c>
      <c r="E147" s="3">
        <v>43649.497219999997</v>
      </c>
      <c r="F147" s="3">
        <v>43649.500690000001</v>
      </c>
      <c r="H147">
        <v>27.22</v>
      </c>
      <c r="K147">
        <v>6.8547961174604897</v>
      </c>
      <c r="L147">
        <v>1.7224682976557E-3</v>
      </c>
    </row>
    <row r="148" spans="1:12" x14ac:dyDescent="0.2">
      <c r="A148" t="s">
        <v>8</v>
      </c>
      <c r="B148">
        <v>4</v>
      </c>
      <c r="C148" t="s">
        <v>2</v>
      </c>
      <c r="D148" s="2">
        <v>43649</v>
      </c>
      <c r="E148" s="3">
        <v>43649.502079999998</v>
      </c>
      <c r="F148" s="3">
        <v>43649.505559999998</v>
      </c>
      <c r="G148">
        <v>5.7</v>
      </c>
      <c r="H148">
        <v>27.22</v>
      </c>
      <c r="K148">
        <v>-5.0341537249953197</v>
      </c>
      <c r="L148" s="6">
        <v>2.6491284543416201E-5</v>
      </c>
    </row>
    <row r="149" spans="1:12" x14ac:dyDescent="0.2">
      <c r="A149" t="s">
        <v>8</v>
      </c>
      <c r="B149">
        <v>4</v>
      </c>
      <c r="C149" t="s">
        <v>6</v>
      </c>
      <c r="D149" s="2">
        <v>43649</v>
      </c>
      <c r="E149" s="3">
        <v>43649.506939999999</v>
      </c>
      <c r="F149" s="3">
        <v>43649.510419999999</v>
      </c>
      <c r="H149">
        <v>27.22</v>
      </c>
      <c r="K149">
        <v>9.0693569550967794</v>
      </c>
      <c r="L149">
        <v>-1.31170537924125E-3</v>
      </c>
    </row>
    <row r="150" spans="1:12" x14ac:dyDescent="0.2">
      <c r="A150" t="s">
        <v>8</v>
      </c>
      <c r="B150">
        <v>5</v>
      </c>
      <c r="C150" t="s">
        <v>2</v>
      </c>
      <c r="D150" s="2">
        <v>43649</v>
      </c>
      <c r="E150" s="3">
        <v>43649.511810000004</v>
      </c>
      <c r="F150" s="3">
        <v>43649.51528</v>
      </c>
      <c r="G150">
        <v>2.2999999999999998</v>
      </c>
      <c r="H150">
        <v>27.22</v>
      </c>
      <c r="K150">
        <v>-4.6198403190594401</v>
      </c>
      <c r="L150">
        <v>1.4123801298387699E-3</v>
      </c>
    </row>
    <row r="151" spans="1:12" x14ac:dyDescent="0.2">
      <c r="A151" t="s">
        <v>8</v>
      </c>
      <c r="B151">
        <v>5</v>
      </c>
      <c r="C151" t="s">
        <v>6</v>
      </c>
      <c r="D151" s="2">
        <v>43649</v>
      </c>
      <c r="E151" s="3">
        <v>43649.516669999997</v>
      </c>
      <c r="F151" s="3">
        <v>43649.520140000001</v>
      </c>
      <c r="H151">
        <v>27.22</v>
      </c>
      <c r="K151">
        <v>7.31056130340321</v>
      </c>
      <c r="L151">
        <v>-3.2719384402908102E-3</v>
      </c>
    </row>
    <row r="152" spans="1:12" x14ac:dyDescent="0.2">
      <c r="A152" t="s">
        <v>8</v>
      </c>
      <c r="B152">
        <v>1</v>
      </c>
      <c r="C152" t="s">
        <v>2</v>
      </c>
      <c r="D152" s="2">
        <v>43656</v>
      </c>
      <c r="E152" s="3">
        <v>43656.428469999999</v>
      </c>
      <c r="F152" s="3">
        <v>43656.431940000002</v>
      </c>
      <c r="G152">
        <v>3.3</v>
      </c>
      <c r="H152">
        <v>23.33</v>
      </c>
      <c r="K152">
        <v>-8.4671707103243197</v>
      </c>
      <c r="L152">
        <v>-5.3892562295065601E-4</v>
      </c>
    </row>
    <row r="153" spans="1:12" x14ac:dyDescent="0.2">
      <c r="A153" t="s">
        <v>8</v>
      </c>
      <c r="B153">
        <v>1</v>
      </c>
      <c r="C153" t="s">
        <v>6</v>
      </c>
      <c r="D153" s="2">
        <v>43656</v>
      </c>
      <c r="E153" s="3">
        <v>43656.43333</v>
      </c>
      <c r="F153" s="3">
        <v>43656.436809999999</v>
      </c>
      <c r="H153">
        <v>23.33</v>
      </c>
      <c r="K153">
        <v>9.0072032524384191</v>
      </c>
      <c r="L153">
        <v>-1.2056532377528001E-4</v>
      </c>
    </row>
    <row r="154" spans="1:12" x14ac:dyDescent="0.2">
      <c r="A154" t="s">
        <v>8</v>
      </c>
      <c r="B154">
        <v>2</v>
      </c>
      <c r="C154" t="s">
        <v>2</v>
      </c>
      <c r="D154" s="2">
        <v>43656</v>
      </c>
      <c r="E154" s="3">
        <v>43656.438190000001</v>
      </c>
      <c r="F154" s="3">
        <v>43656.44167</v>
      </c>
      <c r="G154">
        <v>1.9</v>
      </c>
      <c r="H154">
        <v>23.33</v>
      </c>
      <c r="K154">
        <v>-7.2486599236612701</v>
      </c>
      <c r="L154">
        <v>-3.5210965518610001E-4</v>
      </c>
    </row>
    <row r="155" spans="1:12" x14ac:dyDescent="0.2">
      <c r="A155" t="s">
        <v>8</v>
      </c>
      <c r="B155">
        <v>2</v>
      </c>
      <c r="C155" t="s">
        <v>6</v>
      </c>
      <c r="D155" s="2">
        <v>43656</v>
      </c>
      <c r="E155" s="3">
        <v>43656.443059999998</v>
      </c>
      <c r="F155" s="3">
        <v>43656.446530000001</v>
      </c>
      <c r="H155">
        <v>23.33</v>
      </c>
      <c r="K155">
        <v>8.0749165973480199</v>
      </c>
      <c r="L155">
        <v>-5.5691905035012805E-4</v>
      </c>
    </row>
    <row r="156" spans="1:12" x14ac:dyDescent="0.2">
      <c r="A156" t="s">
        <v>8</v>
      </c>
      <c r="B156">
        <v>3</v>
      </c>
      <c r="C156" t="s">
        <v>2</v>
      </c>
      <c r="D156" s="2">
        <v>43656</v>
      </c>
      <c r="E156" s="3">
        <v>43656.447919999999</v>
      </c>
      <c r="F156" s="3">
        <v>43656.451390000002</v>
      </c>
      <c r="G156">
        <v>4.0999999999999996</v>
      </c>
      <c r="H156">
        <v>23.33</v>
      </c>
      <c r="K156">
        <v>-10.163715917123101</v>
      </c>
      <c r="L156">
        <v>-4.3452771446819498E-4</v>
      </c>
    </row>
    <row r="157" spans="1:12" x14ac:dyDescent="0.2">
      <c r="A157" t="s">
        <v>8</v>
      </c>
      <c r="B157">
        <v>3</v>
      </c>
      <c r="C157" t="s">
        <v>6</v>
      </c>
      <c r="D157" s="2">
        <v>43656</v>
      </c>
      <c r="E157" s="3">
        <v>43656.45278</v>
      </c>
      <c r="F157" s="3">
        <v>43656.456250000003</v>
      </c>
      <c r="H157">
        <v>23.33</v>
      </c>
      <c r="K157">
        <v>8.8404009841581193</v>
      </c>
      <c r="L157">
        <v>-2.88786679580725E-4</v>
      </c>
    </row>
    <row r="158" spans="1:12" x14ac:dyDescent="0.2">
      <c r="A158" t="s">
        <v>8</v>
      </c>
      <c r="B158">
        <v>4</v>
      </c>
      <c r="C158" t="s">
        <v>2</v>
      </c>
      <c r="D158" s="2">
        <v>43656</v>
      </c>
      <c r="E158" s="3">
        <v>43656.457640000001</v>
      </c>
      <c r="F158" s="3">
        <v>43656.461109999997</v>
      </c>
      <c r="G158">
        <v>3</v>
      </c>
      <c r="H158">
        <v>23.33</v>
      </c>
      <c r="K158">
        <v>-10.4935713813448</v>
      </c>
      <c r="L158">
        <v>-4.2120536699866802E-4</v>
      </c>
    </row>
    <row r="159" spans="1:12" x14ac:dyDescent="0.2">
      <c r="A159" t="s">
        <v>8</v>
      </c>
      <c r="B159">
        <v>4</v>
      </c>
      <c r="C159" t="s">
        <v>6</v>
      </c>
      <c r="D159" s="2">
        <v>43656</v>
      </c>
      <c r="E159" s="3">
        <v>43656.462500000001</v>
      </c>
      <c r="F159" s="3">
        <v>43656.465969999997</v>
      </c>
      <c r="H159">
        <v>23.33</v>
      </c>
      <c r="K159">
        <v>9.54150753773032</v>
      </c>
      <c r="L159">
        <v>-3.2500249804785498E-4</v>
      </c>
    </row>
    <row r="160" spans="1:12" x14ac:dyDescent="0.2">
      <c r="A160" t="s">
        <v>8</v>
      </c>
      <c r="B160">
        <v>5</v>
      </c>
      <c r="C160" t="s">
        <v>2</v>
      </c>
      <c r="D160" s="2">
        <v>43656</v>
      </c>
      <c r="E160" s="3">
        <v>43656.467360000002</v>
      </c>
      <c r="F160" s="3">
        <v>43656.470829999998</v>
      </c>
      <c r="G160">
        <v>4.4000000000000004</v>
      </c>
      <c r="H160">
        <v>23.33</v>
      </c>
      <c r="K160">
        <v>-6.6216539694655197</v>
      </c>
      <c r="L160">
        <v>-1.7731159563384599E-4</v>
      </c>
    </row>
    <row r="161" spans="1:12" x14ac:dyDescent="0.2">
      <c r="A161" t="s">
        <v>8</v>
      </c>
      <c r="B161">
        <v>5</v>
      </c>
      <c r="C161" t="s">
        <v>6</v>
      </c>
      <c r="D161" s="2">
        <v>43656</v>
      </c>
      <c r="E161" s="3">
        <v>43656.472220000003</v>
      </c>
      <c r="F161" s="3">
        <v>43656.475689999999</v>
      </c>
      <c r="H161">
        <v>23.33</v>
      </c>
      <c r="K161">
        <v>9.9412342381397991</v>
      </c>
      <c r="L161">
        <v>-1.9013979567640899E-4</v>
      </c>
    </row>
    <row r="162" spans="1:12" x14ac:dyDescent="0.2">
      <c r="A162" t="s">
        <v>8</v>
      </c>
      <c r="B162">
        <v>1</v>
      </c>
      <c r="C162" t="s">
        <v>2</v>
      </c>
      <c r="D162" s="2">
        <v>43656</v>
      </c>
      <c r="E162" s="3">
        <v>43656.525000000001</v>
      </c>
      <c r="F162" s="3">
        <v>43656.528469999997</v>
      </c>
      <c r="G162">
        <v>2.5</v>
      </c>
      <c r="H162">
        <v>29.44</v>
      </c>
      <c r="K162">
        <v>-5.0392271430059798</v>
      </c>
      <c r="L162">
        <v>-1.5219270343901699E-4</v>
      </c>
    </row>
    <row r="163" spans="1:12" x14ac:dyDescent="0.2">
      <c r="A163" t="s">
        <v>8</v>
      </c>
      <c r="B163">
        <v>1</v>
      </c>
      <c r="C163" t="s">
        <v>6</v>
      </c>
      <c r="D163" s="2">
        <v>43656</v>
      </c>
      <c r="E163" s="3">
        <v>43656.529860000002</v>
      </c>
      <c r="F163" s="3">
        <v>43656.533329999998</v>
      </c>
      <c r="H163">
        <v>29.44</v>
      </c>
      <c r="K163">
        <v>9.4163064357128601</v>
      </c>
      <c r="L163">
        <v>-4.8538775827949003E-4</v>
      </c>
    </row>
    <row r="164" spans="1:12" x14ac:dyDescent="0.2">
      <c r="A164" t="s">
        <v>8</v>
      </c>
      <c r="B164">
        <v>2</v>
      </c>
      <c r="C164" t="s">
        <v>2</v>
      </c>
      <c r="D164" s="2">
        <v>43656</v>
      </c>
      <c r="E164" s="3">
        <v>43656.534720000003</v>
      </c>
      <c r="F164" s="3">
        <v>43656.538189999999</v>
      </c>
      <c r="G164">
        <v>4.7</v>
      </c>
      <c r="H164">
        <v>29.44</v>
      </c>
      <c r="K164">
        <v>5.2162308294138899</v>
      </c>
      <c r="L164">
        <v>4.3036612298912598E-2</v>
      </c>
    </row>
    <row r="165" spans="1:12" x14ac:dyDescent="0.2">
      <c r="A165" t="s">
        <v>8</v>
      </c>
      <c r="B165">
        <v>2</v>
      </c>
      <c r="C165" t="s">
        <v>6</v>
      </c>
      <c r="D165" s="2">
        <v>43656</v>
      </c>
      <c r="E165" s="3">
        <v>43656.539579999997</v>
      </c>
      <c r="F165" s="3">
        <v>43656.543060000004</v>
      </c>
      <c r="H165">
        <v>29.44</v>
      </c>
      <c r="K165">
        <v>9.4003304186668206</v>
      </c>
      <c r="L165">
        <v>-4.83377439627871E-4</v>
      </c>
    </row>
    <row r="166" spans="1:12" x14ac:dyDescent="0.2">
      <c r="A166" t="s">
        <v>8</v>
      </c>
      <c r="B166">
        <v>3</v>
      </c>
      <c r="C166" t="s">
        <v>2</v>
      </c>
      <c r="D166" s="2">
        <v>43656</v>
      </c>
      <c r="E166" s="3">
        <v>43656.544439999998</v>
      </c>
      <c r="F166" s="3">
        <v>43656.547919999997</v>
      </c>
      <c r="G166">
        <v>4.3</v>
      </c>
      <c r="H166">
        <v>29.44</v>
      </c>
      <c r="K166">
        <v>-4.9382395542325899</v>
      </c>
      <c r="L166">
        <v>-4.2485901757408599E-4</v>
      </c>
    </row>
    <row r="167" spans="1:12" x14ac:dyDescent="0.2">
      <c r="A167" t="s">
        <v>8</v>
      </c>
      <c r="B167">
        <v>3</v>
      </c>
      <c r="C167" t="s">
        <v>6</v>
      </c>
      <c r="D167" s="2">
        <v>43656</v>
      </c>
      <c r="E167" s="3">
        <v>43656.549310000002</v>
      </c>
      <c r="F167" s="3">
        <v>43656.552779999998</v>
      </c>
      <c r="H167">
        <v>29.44</v>
      </c>
      <c r="K167">
        <v>10.130231660162901</v>
      </c>
      <c r="L167">
        <v>-2.7672580552089301E-4</v>
      </c>
    </row>
    <row r="168" spans="1:12" x14ac:dyDescent="0.2">
      <c r="A168" t="s">
        <v>8</v>
      </c>
      <c r="B168">
        <v>4</v>
      </c>
      <c r="C168" t="s">
        <v>2</v>
      </c>
      <c r="D168" s="2">
        <v>43656</v>
      </c>
      <c r="E168" s="3">
        <v>43656.554170000003</v>
      </c>
      <c r="F168" s="3">
        <v>43656.557639999999</v>
      </c>
      <c r="G168">
        <v>5.2</v>
      </c>
      <c r="H168">
        <v>29.44</v>
      </c>
      <c r="K168">
        <v>-6.81379861109275</v>
      </c>
      <c r="L168">
        <v>-3.6139881471880102E-4</v>
      </c>
    </row>
    <row r="169" spans="1:12" x14ac:dyDescent="0.2">
      <c r="A169" t="s">
        <v>8</v>
      </c>
      <c r="B169">
        <v>4</v>
      </c>
      <c r="C169" t="s">
        <v>6</v>
      </c>
      <c r="D169" s="2">
        <v>43656</v>
      </c>
      <c r="E169" s="3">
        <v>43656.559029999997</v>
      </c>
      <c r="F169" s="3">
        <v>43656.5625</v>
      </c>
      <c r="H169">
        <v>29.44</v>
      </c>
      <c r="K169">
        <v>11.127850091057599</v>
      </c>
      <c r="L169">
        <v>-3.8370319620945601E-4</v>
      </c>
    </row>
    <row r="170" spans="1:12" x14ac:dyDescent="0.2">
      <c r="A170" t="s">
        <v>8</v>
      </c>
      <c r="B170">
        <v>5</v>
      </c>
      <c r="C170" t="s">
        <v>2</v>
      </c>
      <c r="D170" s="2">
        <v>43656</v>
      </c>
      <c r="E170" s="3">
        <v>43656.563889999998</v>
      </c>
      <c r="F170" s="3">
        <v>43656.567360000001</v>
      </c>
      <c r="G170">
        <v>6.9</v>
      </c>
      <c r="H170">
        <v>29.44</v>
      </c>
      <c r="K170">
        <v>-1.89960281155482</v>
      </c>
      <c r="L170">
        <v>-2.3453169889945299E-4</v>
      </c>
    </row>
    <row r="171" spans="1:12" x14ac:dyDescent="0.2">
      <c r="A171" t="s">
        <v>8</v>
      </c>
      <c r="B171">
        <v>5</v>
      </c>
      <c r="C171" t="s">
        <v>6</v>
      </c>
      <c r="D171" s="2">
        <v>43656</v>
      </c>
      <c r="E171" s="3">
        <v>43656.568749999999</v>
      </c>
      <c r="F171" s="3">
        <v>43656.572220000002</v>
      </c>
      <c r="H171">
        <v>29.44</v>
      </c>
      <c r="K171">
        <v>8.7101451986858809</v>
      </c>
      <c r="L171">
        <v>-3.8492785627169398E-4</v>
      </c>
    </row>
    <row r="172" spans="1:12" x14ac:dyDescent="0.2">
      <c r="A172" t="s">
        <v>8</v>
      </c>
      <c r="B172">
        <v>1</v>
      </c>
      <c r="C172" t="s">
        <v>2</v>
      </c>
      <c r="D172" s="2">
        <v>43658</v>
      </c>
      <c r="E172" s="3">
        <v>43658.455569999998</v>
      </c>
      <c r="F172" s="3">
        <v>43658.459040000002</v>
      </c>
      <c r="G172">
        <v>5.8</v>
      </c>
      <c r="H172">
        <v>26.67</v>
      </c>
      <c r="K172">
        <v>-12.326531836047501</v>
      </c>
      <c r="L172">
        <v>4.5285600955292899E-4</v>
      </c>
    </row>
    <row r="173" spans="1:12" x14ac:dyDescent="0.2">
      <c r="A173" t="s">
        <v>8</v>
      </c>
      <c r="B173">
        <v>1</v>
      </c>
      <c r="C173" t="s">
        <v>6</v>
      </c>
      <c r="D173" s="2">
        <v>43658</v>
      </c>
      <c r="E173" s="3">
        <v>43658.460429999999</v>
      </c>
      <c r="F173" s="3">
        <v>43658.463900000002</v>
      </c>
      <c r="H173">
        <v>26.67</v>
      </c>
      <c r="K173">
        <v>14.488502843982801</v>
      </c>
      <c r="L173">
        <v>-3.4780085797566599E-4</v>
      </c>
    </row>
    <row r="174" spans="1:12" x14ac:dyDescent="0.2">
      <c r="A174" t="s">
        <v>8</v>
      </c>
      <c r="B174">
        <v>2</v>
      </c>
      <c r="C174" t="s">
        <v>2</v>
      </c>
      <c r="D174" s="2">
        <v>43658</v>
      </c>
      <c r="E174" s="3">
        <v>43658.46529</v>
      </c>
      <c r="F174" s="3">
        <v>43658.468760000003</v>
      </c>
      <c r="G174">
        <v>5.0999999999999996</v>
      </c>
      <c r="H174">
        <v>26.67</v>
      </c>
      <c r="K174">
        <v>-22.228246973926201</v>
      </c>
      <c r="L174">
        <v>-5.0151889767019496E-4</v>
      </c>
    </row>
    <row r="175" spans="1:12" x14ac:dyDescent="0.2">
      <c r="A175" t="s">
        <v>8</v>
      </c>
      <c r="B175">
        <v>2</v>
      </c>
      <c r="C175" t="s">
        <v>6</v>
      </c>
      <c r="D175" s="2">
        <v>43658</v>
      </c>
      <c r="E175" s="3">
        <v>43658.470150000001</v>
      </c>
      <c r="F175" s="3">
        <v>43658.473619999997</v>
      </c>
      <c r="H175">
        <v>26.67</v>
      </c>
      <c r="K175">
        <v>16.442782517892901</v>
      </c>
      <c r="L175">
        <v>5.0449389121535299E-4</v>
      </c>
    </row>
    <row r="176" spans="1:12" x14ac:dyDescent="0.2">
      <c r="A176" t="s">
        <v>8</v>
      </c>
      <c r="B176">
        <v>3</v>
      </c>
      <c r="C176" t="s">
        <v>2</v>
      </c>
      <c r="D176" s="2">
        <v>43658</v>
      </c>
      <c r="E176" s="3">
        <v>43658.475010000002</v>
      </c>
      <c r="F176" s="3">
        <v>43658.478479999998</v>
      </c>
      <c r="G176">
        <v>7.3</v>
      </c>
      <c r="H176">
        <v>26.67</v>
      </c>
      <c r="K176">
        <v>-22.864383220058301</v>
      </c>
      <c r="L176">
        <v>-1.727120595734E-4</v>
      </c>
    </row>
    <row r="177" spans="1:12" x14ac:dyDescent="0.2">
      <c r="A177" t="s">
        <v>8</v>
      </c>
      <c r="B177">
        <v>3</v>
      </c>
      <c r="C177" t="s">
        <v>6</v>
      </c>
      <c r="D177" s="2">
        <v>43658</v>
      </c>
      <c r="E177" s="3">
        <v>43658.479870000003</v>
      </c>
      <c r="F177" s="3">
        <v>43658.483339999999</v>
      </c>
      <c r="H177">
        <v>26.67</v>
      </c>
      <c r="K177">
        <v>11.6605819876326</v>
      </c>
      <c r="L177">
        <v>2.2529983382760702E-2</v>
      </c>
    </row>
    <row r="178" spans="1:12" x14ac:dyDescent="0.2">
      <c r="A178" t="s">
        <v>8</v>
      </c>
      <c r="B178">
        <v>4</v>
      </c>
      <c r="C178" t="s">
        <v>2</v>
      </c>
      <c r="D178" s="2">
        <v>43658</v>
      </c>
      <c r="E178" s="3">
        <v>43658.484729999996</v>
      </c>
      <c r="F178" s="3">
        <v>43658.488210000003</v>
      </c>
      <c r="G178">
        <v>5.3</v>
      </c>
      <c r="H178">
        <v>26.67</v>
      </c>
      <c r="K178">
        <v>-6.66667008789753</v>
      </c>
    </row>
    <row r="179" spans="1:12" x14ac:dyDescent="0.2">
      <c r="A179" t="s">
        <v>8</v>
      </c>
      <c r="B179">
        <v>4</v>
      </c>
      <c r="C179" t="s">
        <v>6</v>
      </c>
      <c r="D179" s="2">
        <v>43658</v>
      </c>
      <c r="E179" s="3">
        <v>43658.489589999997</v>
      </c>
      <c r="F179" s="3">
        <v>43658.493069999997</v>
      </c>
      <c r="H179">
        <v>26.67</v>
      </c>
      <c r="K179">
        <v>7.94400428639588</v>
      </c>
    </row>
    <row r="180" spans="1:12" x14ac:dyDescent="0.2">
      <c r="A180" t="s">
        <v>8</v>
      </c>
      <c r="B180">
        <v>5</v>
      </c>
      <c r="C180" t="s">
        <v>2</v>
      </c>
      <c r="D180" s="2">
        <v>43658</v>
      </c>
      <c r="E180" s="3">
        <v>43658.494460000002</v>
      </c>
      <c r="F180" s="3">
        <v>43658.497929999998</v>
      </c>
      <c r="G180">
        <v>6.4</v>
      </c>
      <c r="H180">
        <v>26.67</v>
      </c>
      <c r="K180">
        <v>-9.8840861739448993</v>
      </c>
    </row>
    <row r="181" spans="1:12" x14ac:dyDescent="0.2">
      <c r="A181" t="s">
        <v>8</v>
      </c>
      <c r="B181">
        <v>5</v>
      </c>
      <c r="C181" t="s">
        <v>6</v>
      </c>
      <c r="D181" s="2">
        <v>43658</v>
      </c>
      <c r="E181" s="3">
        <v>43658.499320000003</v>
      </c>
      <c r="F181" s="3">
        <v>43658.502789999999</v>
      </c>
      <c r="H181">
        <v>26.67</v>
      </c>
      <c r="K181">
        <v>12.2149791791532</v>
      </c>
    </row>
    <row r="182" spans="1:12" x14ac:dyDescent="0.2">
      <c r="A182" t="s">
        <v>8</v>
      </c>
      <c r="B182">
        <v>1</v>
      </c>
      <c r="C182" t="s">
        <v>2</v>
      </c>
      <c r="D182" s="2">
        <v>43658</v>
      </c>
      <c r="E182" s="3">
        <v>43658.5805555556</v>
      </c>
      <c r="F182" s="3">
        <v>43658.584027777797</v>
      </c>
      <c r="G182">
        <v>4.9000000000000004</v>
      </c>
      <c r="H182">
        <v>26.67</v>
      </c>
      <c r="K182">
        <v>-11.989075018775701</v>
      </c>
      <c r="L182">
        <v>-1.49764054516707E-4</v>
      </c>
    </row>
    <row r="183" spans="1:12" x14ac:dyDescent="0.2">
      <c r="A183" t="s">
        <v>8</v>
      </c>
      <c r="B183">
        <v>1</v>
      </c>
      <c r="C183" t="s">
        <v>6</v>
      </c>
      <c r="D183" s="2">
        <v>43658</v>
      </c>
      <c r="E183" s="3">
        <v>43658.585416666698</v>
      </c>
      <c r="F183" s="3">
        <v>43658.588888888902</v>
      </c>
      <c r="H183">
        <v>26.67</v>
      </c>
      <c r="K183">
        <v>13.7416526995176</v>
      </c>
      <c r="L183">
        <v>-1.1397081352437E-4</v>
      </c>
    </row>
    <row r="184" spans="1:12" x14ac:dyDescent="0.2">
      <c r="A184" t="s">
        <v>8</v>
      </c>
      <c r="B184">
        <v>2</v>
      </c>
      <c r="C184" t="s">
        <v>2</v>
      </c>
      <c r="D184" s="2">
        <v>43658</v>
      </c>
      <c r="E184" s="3">
        <v>43658.590277777803</v>
      </c>
      <c r="F184" s="3">
        <v>43658.59375</v>
      </c>
      <c r="G184">
        <v>3.6</v>
      </c>
      <c r="H184">
        <v>26.67</v>
      </c>
      <c r="K184">
        <v>-17.3171252422955</v>
      </c>
      <c r="L184" s="6">
        <v>-4.3688422057506102E-6</v>
      </c>
    </row>
    <row r="185" spans="1:12" x14ac:dyDescent="0.2">
      <c r="A185" t="s">
        <v>8</v>
      </c>
      <c r="B185">
        <v>2</v>
      </c>
      <c r="C185" t="s">
        <v>6</v>
      </c>
      <c r="D185" s="2">
        <v>43658</v>
      </c>
      <c r="E185" s="3">
        <v>43658.595138888901</v>
      </c>
      <c r="F185" s="3">
        <v>43658.598611111098</v>
      </c>
      <c r="H185">
        <v>26.67</v>
      </c>
      <c r="K185">
        <v>18.7873488795829</v>
      </c>
      <c r="L185" s="6">
        <v>-9.5399869514007398E-5</v>
      </c>
    </row>
    <row r="186" spans="1:12" x14ac:dyDescent="0.2">
      <c r="A186" t="s">
        <v>8</v>
      </c>
      <c r="B186">
        <v>3</v>
      </c>
      <c r="C186" t="s">
        <v>2</v>
      </c>
      <c r="D186" s="2">
        <v>43658</v>
      </c>
      <c r="E186" s="3">
        <v>43658.6</v>
      </c>
      <c r="F186" s="3">
        <v>43658.603472222203</v>
      </c>
      <c r="G186">
        <v>5.0999999999999996</v>
      </c>
      <c r="H186">
        <v>26.67</v>
      </c>
      <c r="K186">
        <v>-14.330688413713601</v>
      </c>
      <c r="L186" s="6">
        <v>3.6957005371469903E-5</v>
      </c>
    </row>
    <row r="187" spans="1:12" x14ac:dyDescent="0.2">
      <c r="A187" t="s">
        <v>8</v>
      </c>
      <c r="B187">
        <v>3</v>
      </c>
      <c r="C187" t="s">
        <v>6</v>
      </c>
      <c r="D187" s="2">
        <v>43658</v>
      </c>
      <c r="E187" s="3">
        <v>43658.604861111096</v>
      </c>
      <c r="F187" s="3">
        <v>43658.608333333301</v>
      </c>
      <c r="H187">
        <v>26.67</v>
      </c>
      <c r="K187">
        <v>10.181496577127</v>
      </c>
      <c r="L187" s="6">
        <v>-2.2039111507419099E-5</v>
      </c>
    </row>
    <row r="188" spans="1:12" x14ac:dyDescent="0.2">
      <c r="A188" t="s">
        <v>8</v>
      </c>
      <c r="B188">
        <v>4</v>
      </c>
      <c r="C188" t="s">
        <v>2</v>
      </c>
      <c r="D188" s="2">
        <v>43658</v>
      </c>
      <c r="E188" s="3">
        <v>43658.609722222202</v>
      </c>
      <c r="F188" s="3">
        <v>43658.613194444399</v>
      </c>
      <c r="G188">
        <v>5.5</v>
      </c>
      <c r="H188">
        <v>26.67</v>
      </c>
      <c r="K188">
        <v>-6.1577072785633398</v>
      </c>
      <c r="L188" s="6">
        <v>-4.8846079433726103E-5</v>
      </c>
    </row>
    <row r="189" spans="1:12" x14ac:dyDescent="0.2">
      <c r="A189" t="s">
        <v>8</v>
      </c>
      <c r="B189">
        <v>4</v>
      </c>
      <c r="C189" t="s">
        <v>6</v>
      </c>
      <c r="D189" s="2">
        <v>43658</v>
      </c>
      <c r="E189" s="3">
        <v>43658.614583333299</v>
      </c>
      <c r="F189" s="3">
        <v>43658.618055555598</v>
      </c>
      <c r="H189">
        <v>26.67</v>
      </c>
      <c r="K189">
        <v>8.1639877121211395</v>
      </c>
      <c r="L189" s="6">
        <v>-5.2419567297392202E-5</v>
      </c>
    </row>
    <row r="190" spans="1:12" x14ac:dyDescent="0.2">
      <c r="A190" t="s">
        <v>8</v>
      </c>
      <c r="B190">
        <v>5</v>
      </c>
      <c r="C190" t="s">
        <v>2</v>
      </c>
      <c r="D190" s="2">
        <v>43658</v>
      </c>
      <c r="E190" s="3">
        <v>43658.619444444397</v>
      </c>
      <c r="F190" s="3">
        <v>43658.622916666704</v>
      </c>
      <c r="G190">
        <v>5.6</v>
      </c>
      <c r="H190">
        <v>26.67</v>
      </c>
      <c r="K190">
        <v>-7.31528841053023</v>
      </c>
      <c r="L190" s="6">
        <v>6.7378871290703802E-5</v>
      </c>
    </row>
    <row r="191" spans="1:12" x14ac:dyDescent="0.2">
      <c r="A191" t="s">
        <v>8</v>
      </c>
      <c r="B191">
        <v>5</v>
      </c>
      <c r="C191" t="s">
        <v>6</v>
      </c>
      <c r="D191" s="2">
        <v>43658</v>
      </c>
      <c r="E191" s="3">
        <v>43658.624305555597</v>
      </c>
      <c r="F191" s="3">
        <v>43658.627777777801</v>
      </c>
      <c r="H191">
        <v>26.67</v>
      </c>
      <c r="K191">
        <v>8.0021732380801893</v>
      </c>
      <c r="L191">
        <v>-1.09885395356637E-4</v>
      </c>
    </row>
    <row r="192" spans="1:12" x14ac:dyDescent="0.2">
      <c r="A192" t="s">
        <v>8</v>
      </c>
      <c r="B192">
        <v>1</v>
      </c>
      <c r="C192" t="s">
        <v>2</v>
      </c>
      <c r="D192" s="2">
        <v>43661</v>
      </c>
      <c r="E192" s="3">
        <v>43661.468059999999</v>
      </c>
      <c r="F192" s="3">
        <v>43661.471530000003</v>
      </c>
      <c r="G192">
        <v>2.7</v>
      </c>
      <c r="H192">
        <v>28.33</v>
      </c>
      <c r="I192">
        <v>39.799999999999997</v>
      </c>
      <c r="J192">
        <v>0.51</v>
      </c>
      <c r="K192">
        <v>-4.0843530952585798</v>
      </c>
      <c r="L192">
        <v>-3.2501138950916998E-4</v>
      </c>
    </row>
    <row r="193" spans="1:12" x14ac:dyDescent="0.2">
      <c r="A193" t="s">
        <v>8</v>
      </c>
      <c r="B193">
        <v>1</v>
      </c>
      <c r="C193" t="s">
        <v>6</v>
      </c>
      <c r="D193" s="2">
        <v>43661</v>
      </c>
      <c r="E193" s="3">
        <v>43661.47292</v>
      </c>
      <c r="F193" s="3">
        <v>43661.476390000003</v>
      </c>
      <c r="H193">
        <v>28.33</v>
      </c>
      <c r="K193">
        <v>7.6429697780014703</v>
      </c>
      <c r="L193">
        <v>-4.5449633845992901E-4</v>
      </c>
    </row>
    <row r="194" spans="1:12" x14ac:dyDescent="0.2">
      <c r="A194" t="s">
        <v>8</v>
      </c>
      <c r="B194">
        <v>2</v>
      </c>
      <c r="C194" t="s">
        <v>2</v>
      </c>
      <c r="D194" s="2">
        <v>43661</v>
      </c>
      <c r="E194" s="3">
        <v>43661.477780000001</v>
      </c>
      <c r="F194" s="3">
        <v>43661.481249999997</v>
      </c>
      <c r="G194">
        <v>1.4</v>
      </c>
      <c r="H194">
        <v>28.33</v>
      </c>
      <c r="I194">
        <v>20.7</v>
      </c>
      <c r="J194">
        <v>0.56000000000000005</v>
      </c>
      <c r="K194">
        <v>-0.68406318105289499</v>
      </c>
      <c r="L194">
        <v>-4.65857760835945E-4</v>
      </c>
    </row>
    <row r="195" spans="1:12" x14ac:dyDescent="0.2">
      <c r="A195" t="s">
        <v>8</v>
      </c>
      <c r="B195">
        <v>2</v>
      </c>
      <c r="C195" t="s">
        <v>6</v>
      </c>
      <c r="D195" s="2">
        <v>43661</v>
      </c>
      <c r="E195" s="3">
        <v>43661.482640000002</v>
      </c>
      <c r="F195" s="3">
        <v>43661.486109999998</v>
      </c>
      <c r="H195">
        <v>28.33</v>
      </c>
      <c r="K195">
        <v>6.5597702801787801</v>
      </c>
      <c r="L195">
        <v>-5.9732926795722299E-4</v>
      </c>
    </row>
    <row r="196" spans="1:12" x14ac:dyDescent="0.2">
      <c r="A196" t="s">
        <v>8</v>
      </c>
      <c r="B196">
        <v>3</v>
      </c>
      <c r="C196" t="s">
        <v>2</v>
      </c>
      <c r="D196" s="2">
        <v>43661</v>
      </c>
      <c r="E196" s="3">
        <v>43661.487500000003</v>
      </c>
      <c r="F196" s="3">
        <v>43661.490969999999</v>
      </c>
      <c r="G196">
        <v>1.9</v>
      </c>
      <c r="H196">
        <v>28.33</v>
      </c>
      <c r="I196">
        <v>28</v>
      </c>
      <c r="J196">
        <v>0.49</v>
      </c>
      <c r="K196">
        <v>-1.2615040925703001</v>
      </c>
      <c r="L196">
        <v>-1.83509695197944E-3</v>
      </c>
    </row>
    <row r="197" spans="1:12" x14ac:dyDescent="0.2">
      <c r="A197" t="s">
        <v>8</v>
      </c>
      <c r="B197">
        <v>3</v>
      </c>
      <c r="C197" t="s">
        <v>6</v>
      </c>
      <c r="D197" s="2">
        <v>43661</v>
      </c>
      <c r="E197" s="3">
        <v>43661.492359999997</v>
      </c>
      <c r="F197" s="3">
        <v>43661.49583</v>
      </c>
      <c r="H197">
        <v>28.33</v>
      </c>
      <c r="K197">
        <v>7.2589233380927203</v>
      </c>
      <c r="L197">
        <v>-4.4028142686634402E-4</v>
      </c>
    </row>
    <row r="198" spans="1:12" x14ac:dyDescent="0.2">
      <c r="A198" t="s">
        <v>8</v>
      </c>
      <c r="B198">
        <v>4</v>
      </c>
      <c r="C198" t="s">
        <v>2</v>
      </c>
      <c r="D198" s="2">
        <v>43661</v>
      </c>
      <c r="E198" s="3">
        <v>43661.497219999997</v>
      </c>
      <c r="F198" s="3">
        <v>43661.500690000001</v>
      </c>
      <c r="G198">
        <v>2.8</v>
      </c>
      <c r="H198">
        <v>28.33</v>
      </c>
      <c r="I198">
        <v>28.9</v>
      </c>
      <c r="J198">
        <v>0.56000000000000005</v>
      </c>
      <c r="K198">
        <v>-3.63494957778197</v>
      </c>
      <c r="L198">
        <v>-2.2536272632993901E-4</v>
      </c>
    </row>
    <row r="199" spans="1:12" x14ac:dyDescent="0.2">
      <c r="A199" t="s">
        <v>8</v>
      </c>
      <c r="B199">
        <v>4</v>
      </c>
      <c r="C199" t="s">
        <v>6</v>
      </c>
      <c r="D199" s="2">
        <v>43661</v>
      </c>
      <c r="E199" s="3">
        <v>43661.502079999998</v>
      </c>
      <c r="F199" s="3">
        <v>43661.505559999998</v>
      </c>
      <c r="H199">
        <v>28.33</v>
      </c>
      <c r="K199">
        <v>6.9689437676250003</v>
      </c>
      <c r="L199" s="6">
        <v>-1.7681581892555701E-5</v>
      </c>
    </row>
    <row r="200" spans="1:12" x14ac:dyDescent="0.2">
      <c r="A200" t="s">
        <v>8</v>
      </c>
      <c r="B200">
        <v>5</v>
      </c>
      <c r="C200" t="s">
        <v>2</v>
      </c>
      <c r="D200" s="2">
        <v>43661</v>
      </c>
      <c r="E200" s="3">
        <v>43661.506939999999</v>
      </c>
      <c r="F200" s="3">
        <v>43661.510419999999</v>
      </c>
      <c r="G200">
        <v>2.5</v>
      </c>
      <c r="H200">
        <v>28.33</v>
      </c>
      <c r="I200">
        <v>30</v>
      </c>
      <c r="J200">
        <v>0.53</v>
      </c>
      <c r="K200">
        <v>1.1007547454437601</v>
      </c>
      <c r="L200">
        <v>-1.5926509489056501E-4</v>
      </c>
    </row>
    <row r="201" spans="1:12" x14ac:dyDescent="0.2">
      <c r="A201" t="s">
        <v>8</v>
      </c>
      <c r="B201">
        <v>5</v>
      </c>
      <c r="C201" t="s">
        <v>6</v>
      </c>
      <c r="D201" s="2">
        <v>43661</v>
      </c>
      <c r="E201" s="3">
        <v>43661.511810000004</v>
      </c>
      <c r="F201" s="3">
        <v>43661.51528</v>
      </c>
      <c r="H201">
        <v>28.33</v>
      </c>
      <c r="K201">
        <v>9.3735901342057009</v>
      </c>
      <c r="L201" s="6">
        <v>-8.4464429915489205E-5</v>
      </c>
    </row>
    <row r="202" spans="1:12" x14ac:dyDescent="0.2">
      <c r="A202" t="s">
        <v>8</v>
      </c>
      <c r="B202">
        <v>1</v>
      </c>
      <c r="C202" t="s">
        <v>2</v>
      </c>
      <c r="D202" s="2">
        <v>43671</v>
      </c>
      <c r="E202" s="3">
        <v>43671.465279999997</v>
      </c>
      <c r="F202" s="3">
        <v>43671.46875</v>
      </c>
      <c r="G202">
        <v>4.2</v>
      </c>
      <c r="H202">
        <v>23.89</v>
      </c>
      <c r="I202">
        <v>34</v>
      </c>
      <c r="J202">
        <v>0.56999999999999995</v>
      </c>
      <c r="K202">
        <v>-5.1640806688728</v>
      </c>
      <c r="L202">
        <v>-2.3959410998534601E-4</v>
      </c>
    </row>
    <row r="203" spans="1:12" x14ac:dyDescent="0.2">
      <c r="A203" t="s">
        <v>8</v>
      </c>
      <c r="B203">
        <v>1</v>
      </c>
      <c r="C203" t="s">
        <v>6</v>
      </c>
      <c r="D203" s="2">
        <v>43671</v>
      </c>
      <c r="E203" s="3">
        <v>43671.470139999998</v>
      </c>
      <c r="F203" s="3">
        <v>43671.473610000001</v>
      </c>
      <c r="H203">
        <v>23.89</v>
      </c>
      <c r="K203">
        <v>5.1916208879922197</v>
      </c>
      <c r="L203">
        <v>-2.6935313580589399E-4</v>
      </c>
    </row>
    <row r="204" spans="1:12" x14ac:dyDescent="0.2">
      <c r="A204" t="s">
        <v>8</v>
      </c>
      <c r="B204">
        <v>2</v>
      </c>
      <c r="C204" t="s">
        <v>2</v>
      </c>
      <c r="D204" s="2">
        <v>43671</v>
      </c>
      <c r="E204" s="3">
        <v>43671.474999999999</v>
      </c>
      <c r="F204" s="3">
        <v>43671.478470000002</v>
      </c>
      <c r="G204">
        <v>2.5</v>
      </c>
      <c r="H204">
        <v>23.89</v>
      </c>
      <c r="I204">
        <v>31.5</v>
      </c>
      <c r="J204">
        <v>0.6</v>
      </c>
      <c r="K204">
        <v>-1.6404659374194199</v>
      </c>
      <c r="L204" s="6">
        <v>-6.1167206224726402E-5</v>
      </c>
    </row>
    <row r="205" spans="1:12" x14ac:dyDescent="0.2">
      <c r="A205" t="s">
        <v>8</v>
      </c>
      <c r="B205">
        <v>2</v>
      </c>
      <c r="C205" t="s">
        <v>6</v>
      </c>
      <c r="D205" s="2">
        <v>43671</v>
      </c>
      <c r="E205" s="3">
        <v>43671.479859999999</v>
      </c>
      <c r="F205" s="3">
        <v>43671.483330000003</v>
      </c>
      <c r="H205">
        <v>23.89</v>
      </c>
      <c r="K205">
        <v>4.4051241206629799</v>
      </c>
      <c r="L205">
        <v>-1.7481734246577201E-4</v>
      </c>
    </row>
    <row r="206" spans="1:12" x14ac:dyDescent="0.2">
      <c r="A206" t="s">
        <v>8</v>
      </c>
      <c r="B206">
        <v>3</v>
      </c>
      <c r="C206" t="s">
        <v>2</v>
      </c>
      <c r="D206" s="2">
        <v>43671</v>
      </c>
      <c r="E206" s="3">
        <v>43671.48472</v>
      </c>
      <c r="F206" s="3">
        <v>43671.488189999996</v>
      </c>
      <c r="G206">
        <v>9.6</v>
      </c>
      <c r="H206">
        <v>25</v>
      </c>
      <c r="I206">
        <v>24.2</v>
      </c>
      <c r="J206">
        <v>0.52</v>
      </c>
      <c r="K206">
        <v>-3.1849456267934499</v>
      </c>
      <c r="L206">
        <v>-2.2544767597264701E-4</v>
      </c>
    </row>
    <row r="207" spans="1:12" x14ac:dyDescent="0.2">
      <c r="A207" t="s">
        <v>8</v>
      </c>
      <c r="B207">
        <v>3</v>
      </c>
      <c r="C207" t="s">
        <v>6</v>
      </c>
      <c r="D207" s="2">
        <v>43671</v>
      </c>
      <c r="E207" s="3">
        <v>43671.489580000001</v>
      </c>
      <c r="F207" s="3">
        <v>43671.493060000001</v>
      </c>
      <c r="H207">
        <v>25</v>
      </c>
      <c r="K207">
        <v>3.1147827628380802</v>
      </c>
      <c r="L207">
        <v>-6.05519313208242E-4</v>
      </c>
    </row>
    <row r="208" spans="1:12" x14ac:dyDescent="0.2">
      <c r="A208" t="s">
        <v>8</v>
      </c>
      <c r="B208">
        <v>4</v>
      </c>
      <c r="C208" t="s">
        <v>2</v>
      </c>
      <c r="D208" s="2">
        <v>43671</v>
      </c>
      <c r="E208" s="3">
        <v>43671.494440000002</v>
      </c>
      <c r="F208" s="3">
        <v>43671.497920000002</v>
      </c>
      <c r="G208">
        <v>11</v>
      </c>
      <c r="H208">
        <v>25</v>
      </c>
      <c r="I208">
        <v>41.2</v>
      </c>
      <c r="J208">
        <v>0.55000000000000004</v>
      </c>
      <c r="K208">
        <v>-4.2380212166105098</v>
      </c>
      <c r="L208">
        <v>-3.5382304089130002E-4</v>
      </c>
    </row>
    <row r="209" spans="1:12" x14ac:dyDescent="0.2">
      <c r="A209" t="s">
        <v>8</v>
      </c>
      <c r="B209">
        <v>4</v>
      </c>
      <c r="C209" t="s">
        <v>6</v>
      </c>
      <c r="D209" s="2">
        <v>43671</v>
      </c>
      <c r="E209" s="3">
        <v>43671.499309999999</v>
      </c>
      <c r="F209" s="3">
        <v>43671.502780000003</v>
      </c>
      <c r="H209">
        <v>25</v>
      </c>
      <c r="K209">
        <v>2.9337945907576102</v>
      </c>
      <c r="L209">
        <v>2.1046439351610601E-4</v>
      </c>
    </row>
    <row r="210" spans="1:12" x14ac:dyDescent="0.2">
      <c r="A210" t="s">
        <v>8</v>
      </c>
      <c r="B210">
        <v>5</v>
      </c>
      <c r="C210" t="s">
        <v>2</v>
      </c>
      <c r="D210" s="2">
        <v>43671</v>
      </c>
      <c r="E210" s="3">
        <v>43671.50417</v>
      </c>
      <c r="F210" s="3">
        <v>43671.507640000003</v>
      </c>
      <c r="G210">
        <v>6.8</v>
      </c>
      <c r="H210">
        <v>26.11</v>
      </c>
      <c r="I210">
        <v>23</v>
      </c>
      <c r="J210">
        <v>0.53</v>
      </c>
      <c r="K210">
        <v>-1.19365747421962</v>
      </c>
      <c r="L210">
        <v>-2.58980221696466E-4</v>
      </c>
    </row>
    <row r="211" spans="1:12" x14ac:dyDescent="0.2">
      <c r="A211" t="s">
        <v>8</v>
      </c>
      <c r="B211">
        <v>5</v>
      </c>
      <c r="C211" t="s">
        <v>6</v>
      </c>
      <c r="D211" s="2">
        <v>43671</v>
      </c>
      <c r="E211" s="3">
        <v>43671.509030000001</v>
      </c>
      <c r="F211" s="3">
        <v>43671.512499999997</v>
      </c>
      <c r="H211">
        <v>26.11</v>
      </c>
      <c r="K211">
        <v>3.5615342426602301</v>
      </c>
      <c r="L211">
        <v>-4.2790584272484099E-4</v>
      </c>
    </row>
    <row r="212" spans="1:12" x14ac:dyDescent="0.2">
      <c r="A212" t="s">
        <v>8</v>
      </c>
      <c r="B212">
        <v>1</v>
      </c>
      <c r="C212" t="s">
        <v>2</v>
      </c>
      <c r="D212" s="2">
        <v>43671</v>
      </c>
      <c r="E212" s="3">
        <v>43671.570829999997</v>
      </c>
      <c r="F212" s="3">
        <v>43671.574310000004</v>
      </c>
      <c r="G212">
        <v>7.9</v>
      </c>
      <c r="H212">
        <v>27.78</v>
      </c>
      <c r="I212">
        <v>34</v>
      </c>
      <c r="J212">
        <v>0.56999999999999995</v>
      </c>
      <c r="K212">
        <v>-2.3791231251934701</v>
      </c>
      <c r="L212">
        <v>-2.1520881847544E-4</v>
      </c>
    </row>
    <row r="213" spans="1:12" x14ac:dyDescent="0.2">
      <c r="A213" t="s">
        <v>8</v>
      </c>
      <c r="B213">
        <v>1</v>
      </c>
      <c r="C213" t="s">
        <v>6</v>
      </c>
      <c r="D213" s="2">
        <v>43671</v>
      </c>
      <c r="E213" s="3">
        <v>43671.575689999998</v>
      </c>
      <c r="F213" s="3">
        <v>43671.579169999997</v>
      </c>
      <c r="H213">
        <v>27.78</v>
      </c>
      <c r="K213">
        <v>3.9509190098254399</v>
      </c>
      <c r="L213" s="6">
        <v>-2.01890886600073E-5</v>
      </c>
    </row>
    <row r="214" spans="1:12" x14ac:dyDescent="0.2">
      <c r="A214" t="s">
        <v>8</v>
      </c>
      <c r="B214">
        <v>2</v>
      </c>
      <c r="C214" t="s">
        <v>2</v>
      </c>
      <c r="D214" s="2">
        <v>43671</v>
      </c>
      <c r="E214" s="3">
        <v>43671.580560000002</v>
      </c>
      <c r="F214" s="3">
        <v>43671.584029999998</v>
      </c>
      <c r="G214">
        <v>4.5</v>
      </c>
      <c r="H214">
        <v>27.78</v>
      </c>
      <c r="I214">
        <v>29.5</v>
      </c>
      <c r="J214">
        <v>0.62</v>
      </c>
      <c r="K214">
        <v>-1.73478525165219</v>
      </c>
      <c r="L214" s="6">
        <v>3.6575959425213797E-5</v>
      </c>
    </row>
    <row r="215" spans="1:12" x14ac:dyDescent="0.2">
      <c r="A215" t="s">
        <v>8</v>
      </c>
      <c r="B215">
        <v>2</v>
      </c>
      <c r="C215" t="s">
        <v>6</v>
      </c>
      <c r="D215" s="2">
        <v>43671</v>
      </c>
      <c r="E215" s="3">
        <v>43671.585420000003</v>
      </c>
      <c r="F215" s="3">
        <v>43671.588889999999</v>
      </c>
      <c r="H215">
        <v>27.78</v>
      </c>
      <c r="K215">
        <v>1.5225357832366599</v>
      </c>
      <c r="L215">
        <v>2.5053568324120198E-4</v>
      </c>
    </row>
    <row r="216" spans="1:12" x14ac:dyDescent="0.2">
      <c r="A216" t="s">
        <v>8</v>
      </c>
      <c r="B216">
        <v>3</v>
      </c>
      <c r="C216" t="s">
        <v>2</v>
      </c>
      <c r="D216" s="2">
        <v>43671</v>
      </c>
      <c r="E216" s="3">
        <v>43671.590279999997</v>
      </c>
      <c r="F216" s="3">
        <v>43671.59375</v>
      </c>
      <c r="G216">
        <v>4.2</v>
      </c>
      <c r="H216">
        <v>27.78</v>
      </c>
      <c r="I216">
        <v>25</v>
      </c>
      <c r="J216">
        <v>0.61</v>
      </c>
      <c r="K216">
        <v>-1.9419703992283599</v>
      </c>
      <c r="L216" s="6">
        <v>6.4681598244965298E-5</v>
      </c>
    </row>
    <row r="217" spans="1:12" x14ac:dyDescent="0.2">
      <c r="A217" t="s">
        <v>8</v>
      </c>
      <c r="B217">
        <v>3</v>
      </c>
      <c r="C217" t="s">
        <v>6</v>
      </c>
      <c r="D217" s="2">
        <v>43671</v>
      </c>
      <c r="E217" s="3">
        <v>43671.595139999998</v>
      </c>
      <c r="F217" s="3">
        <v>43671.598610000001</v>
      </c>
      <c r="H217">
        <v>27.78</v>
      </c>
      <c r="K217">
        <v>4.9014176161460605E-4</v>
      </c>
      <c r="L217" s="6">
        <v>2.0242105427084401E-5</v>
      </c>
    </row>
    <row r="218" spans="1:12" x14ac:dyDescent="0.2">
      <c r="A218" t="s">
        <v>8</v>
      </c>
      <c r="B218">
        <v>4</v>
      </c>
      <c r="C218" t="s">
        <v>2</v>
      </c>
      <c r="D218" s="2">
        <v>43671</v>
      </c>
      <c r="E218" s="3">
        <v>43671.6</v>
      </c>
      <c r="F218" s="3">
        <v>43671.603470000002</v>
      </c>
      <c r="G218">
        <v>10.3</v>
      </c>
      <c r="H218">
        <v>27.78</v>
      </c>
      <c r="I218">
        <v>22</v>
      </c>
      <c r="J218">
        <v>0.52</v>
      </c>
      <c r="K218">
        <v>-3.31946727073968</v>
      </c>
      <c r="L218">
        <v>3.0040582853953598E-4</v>
      </c>
    </row>
    <row r="219" spans="1:12" x14ac:dyDescent="0.2">
      <c r="A219" t="s">
        <v>8</v>
      </c>
      <c r="B219">
        <v>4</v>
      </c>
      <c r="C219" t="s">
        <v>6</v>
      </c>
      <c r="D219" s="2">
        <v>43671</v>
      </c>
      <c r="E219" s="3">
        <v>43671.604859999999</v>
      </c>
      <c r="F219" s="3">
        <v>43671.608330000003</v>
      </c>
      <c r="H219">
        <v>27.78</v>
      </c>
      <c r="K219">
        <v>2.4243042469287901</v>
      </c>
      <c r="L219">
        <v>-1.9233771738340699E-4</v>
      </c>
    </row>
    <row r="220" spans="1:12" x14ac:dyDescent="0.2">
      <c r="A220" t="s">
        <v>8</v>
      </c>
      <c r="B220">
        <v>5</v>
      </c>
      <c r="C220" t="s">
        <v>2</v>
      </c>
      <c r="D220" s="2">
        <v>43671</v>
      </c>
      <c r="E220" s="3">
        <v>43671.60972</v>
      </c>
      <c r="F220" s="3">
        <v>43671.613189999996</v>
      </c>
      <c r="G220">
        <v>10.9</v>
      </c>
      <c r="H220">
        <v>27.78</v>
      </c>
      <c r="I220">
        <v>44.9</v>
      </c>
      <c r="J220">
        <v>0.53</v>
      </c>
      <c r="K220">
        <v>-0.68286829375247204</v>
      </c>
      <c r="L220">
        <v>1.36096476951484E-4</v>
      </c>
    </row>
    <row r="221" spans="1:12" x14ac:dyDescent="0.2">
      <c r="A221" t="s">
        <v>8</v>
      </c>
      <c r="B221">
        <v>5</v>
      </c>
      <c r="C221" t="s">
        <v>6</v>
      </c>
      <c r="D221" s="2">
        <v>43671</v>
      </c>
      <c r="E221" s="3">
        <v>43671.614580000001</v>
      </c>
      <c r="F221" s="3">
        <v>43671.618060000001</v>
      </c>
      <c r="H221">
        <v>27.78</v>
      </c>
      <c r="K221">
        <v>4.0843214878421401</v>
      </c>
      <c r="L221">
        <v>-1.11994569450307E-4</v>
      </c>
    </row>
    <row r="222" spans="1:12" x14ac:dyDescent="0.2">
      <c r="A222" t="s">
        <v>8</v>
      </c>
      <c r="B222">
        <v>1</v>
      </c>
      <c r="C222" t="s">
        <v>2</v>
      </c>
      <c r="D222" s="2">
        <v>43677</v>
      </c>
      <c r="E222" s="3">
        <v>43677.45278</v>
      </c>
      <c r="F222" s="3">
        <v>43677.456250000003</v>
      </c>
      <c r="G222">
        <v>3.6</v>
      </c>
      <c r="H222">
        <v>25.56</v>
      </c>
      <c r="I222">
        <v>43.4</v>
      </c>
      <c r="J222">
        <v>0.51</v>
      </c>
      <c r="K222">
        <v>-9.4905737643163501</v>
      </c>
      <c r="L222">
        <v>-2.5165324457171098E-4</v>
      </c>
    </row>
    <row r="223" spans="1:12" x14ac:dyDescent="0.2">
      <c r="A223" t="s">
        <v>8</v>
      </c>
      <c r="B223">
        <v>1</v>
      </c>
      <c r="C223" t="s">
        <v>6</v>
      </c>
      <c r="D223" s="2">
        <v>43677</v>
      </c>
      <c r="E223" s="3">
        <v>43677.457640000001</v>
      </c>
      <c r="F223" s="3">
        <v>43677.461109999997</v>
      </c>
      <c r="H223">
        <v>25.56</v>
      </c>
      <c r="K223">
        <v>0.111678677148001</v>
      </c>
      <c r="L223">
        <v>-2.4867413371539699E-3</v>
      </c>
    </row>
    <row r="224" spans="1:12" x14ac:dyDescent="0.2">
      <c r="A224" t="s">
        <v>8</v>
      </c>
      <c r="B224">
        <v>2</v>
      </c>
      <c r="C224" t="s">
        <v>2</v>
      </c>
      <c r="D224" s="2">
        <v>43677</v>
      </c>
      <c r="E224" s="3">
        <v>43677.462500000001</v>
      </c>
      <c r="F224" s="3">
        <v>43677.465969999997</v>
      </c>
      <c r="G224">
        <v>2.5</v>
      </c>
      <c r="H224">
        <v>25.56</v>
      </c>
      <c r="I224">
        <v>44.8</v>
      </c>
      <c r="J224">
        <v>0.63</v>
      </c>
      <c r="K224">
        <v>-1.53642957624141</v>
      </c>
      <c r="L224">
        <v>-7.8428072042644001E-4</v>
      </c>
    </row>
    <row r="225" spans="1:12" x14ac:dyDescent="0.2">
      <c r="A225" t="s">
        <v>8</v>
      </c>
      <c r="B225">
        <v>2</v>
      </c>
      <c r="C225" t="s">
        <v>6</v>
      </c>
      <c r="D225" s="2">
        <v>43677</v>
      </c>
      <c r="E225" s="3">
        <v>43677.467360000002</v>
      </c>
      <c r="F225" s="3">
        <v>43677.470829999998</v>
      </c>
      <c r="H225">
        <v>25.56</v>
      </c>
      <c r="K225">
        <v>0.90649254356789799</v>
      </c>
      <c r="L225" s="6">
        <v>1.9907771939945299E-5</v>
      </c>
    </row>
    <row r="226" spans="1:12" x14ac:dyDescent="0.2">
      <c r="A226" t="s">
        <v>8</v>
      </c>
      <c r="B226">
        <v>3</v>
      </c>
      <c r="C226" t="s">
        <v>2</v>
      </c>
      <c r="D226" s="2">
        <v>43677</v>
      </c>
      <c r="E226" s="3">
        <v>43677.472220000003</v>
      </c>
      <c r="F226" s="3">
        <v>43677.475689999999</v>
      </c>
      <c r="G226">
        <v>1.6</v>
      </c>
      <c r="H226">
        <v>23.33</v>
      </c>
      <c r="I226">
        <v>40.799999999999997</v>
      </c>
      <c r="J226">
        <v>0.53</v>
      </c>
      <c r="K226">
        <v>-2.6040108247662301</v>
      </c>
      <c r="L226">
        <v>-3.0638042227253099E-4</v>
      </c>
    </row>
    <row r="227" spans="1:12" x14ac:dyDescent="0.2">
      <c r="A227" t="s">
        <v>8</v>
      </c>
      <c r="B227">
        <v>3</v>
      </c>
      <c r="C227" t="s">
        <v>6</v>
      </c>
      <c r="D227" s="2">
        <v>43677</v>
      </c>
      <c r="E227" s="3">
        <v>43677.477079999997</v>
      </c>
      <c r="F227" s="3">
        <v>43677.480560000004</v>
      </c>
      <c r="H227">
        <v>23.33</v>
      </c>
      <c r="K227">
        <v>7.93955929106769</v>
      </c>
      <c r="L227">
        <v>-6.5053563861077401E-4</v>
      </c>
    </row>
    <row r="228" spans="1:12" x14ac:dyDescent="0.2">
      <c r="A228" t="s">
        <v>8</v>
      </c>
      <c r="B228">
        <v>4</v>
      </c>
      <c r="C228" t="s">
        <v>2</v>
      </c>
      <c r="D228" s="2">
        <v>43677</v>
      </c>
      <c r="E228" s="3">
        <v>43677.481939999998</v>
      </c>
      <c r="F228" s="3">
        <v>43677.485419999997</v>
      </c>
      <c r="G228">
        <v>2.9</v>
      </c>
      <c r="H228">
        <v>23.33</v>
      </c>
      <c r="I228">
        <v>32</v>
      </c>
      <c r="J228">
        <v>0.56999999999999995</v>
      </c>
      <c r="K228">
        <v>-5.0720565332964798</v>
      </c>
      <c r="L228">
        <v>7.0837975564538305E-4</v>
      </c>
    </row>
    <row r="229" spans="1:12" x14ac:dyDescent="0.2">
      <c r="A229" t="s">
        <v>8</v>
      </c>
      <c r="B229">
        <v>4</v>
      </c>
      <c r="C229" t="s">
        <v>6</v>
      </c>
      <c r="D229" s="2">
        <v>43677</v>
      </c>
      <c r="E229" s="3">
        <v>43677.486810000002</v>
      </c>
      <c r="F229" s="3">
        <v>43677.490279999998</v>
      </c>
      <c r="H229">
        <v>23.33</v>
      </c>
      <c r="K229">
        <v>4.5956302131803604</v>
      </c>
      <c r="L229">
        <v>2.4590417944261199E-3</v>
      </c>
    </row>
    <row r="230" spans="1:12" x14ac:dyDescent="0.2">
      <c r="A230" t="s">
        <v>8</v>
      </c>
      <c r="B230">
        <v>5</v>
      </c>
      <c r="C230" t="s">
        <v>2</v>
      </c>
      <c r="D230" s="2">
        <v>43677</v>
      </c>
      <c r="E230" s="3">
        <v>43677.491670000003</v>
      </c>
      <c r="F230" s="3">
        <v>43677.495139999999</v>
      </c>
      <c r="G230">
        <v>4.2</v>
      </c>
      <c r="H230">
        <v>23.33</v>
      </c>
      <c r="I230">
        <v>32.6</v>
      </c>
      <c r="J230">
        <v>0.55000000000000004</v>
      </c>
      <c r="K230">
        <v>4.6243132604886696</v>
      </c>
      <c r="L230">
        <v>-2.8710690655832599E-4</v>
      </c>
    </row>
    <row r="231" spans="1:12" x14ac:dyDescent="0.2">
      <c r="A231" t="s">
        <v>8</v>
      </c>
      <c r="B231">
        <v>5</v>
      </c>
      <c r="C231" t="s">
        <v>6</v>
      </c>
      <c r="D231" s="2">
        <v>43677</v>
      </c>
      <c r="E231" s="3">
        <v>43677.496529999997</v>
      </c>
      <c r="F231" s="3">
        <v>43677.5</v>
      </c>
      <c r="H231">
        <v>23.33</v>
      </c>
      <c r="K231">
        <v>16.211328889435201</v>
      </c>
      <c r="L231">
        <v>6.2349697101632103E-3</v>
      </c>
    </row>
    <row r="232" spans="1:12" x14ac:dyDescent="0.2">
      <c r="A232" t="s">
        <v>8</v>
      </c>
      <c r="B232">
        <v>1</v>
      </c>
      <c r="C232" t="s">
        <v>2</v>
      </c>
      <c r="D232" s="2">
        <v>43677</v>
      </c>
      <c r="E232" s="3">
        <v>0.70833333333333337</v>
      </c>
      <c r="F232" s="3">
        <v>0.71180555555555547</v>
      </c>
      <c r="G232">
        <v>4.7</v>
      </c>
      <c r="H232">
        <v>26.67</v>
      </c>
      <c r="I232">
        <v>40.9</v>
      </c>
      <c r="J232">
        <v>0.59</v>
      </c>
      <c r="K232">
        <v>-4.2533769721936396</v>
      </c>
      <c r="L232">
        <v>-3.2916941814620698E-4</v>
      </c>
    </row>
    <row r="233" spans="1:12" x14ac:dyDescent="0.2">
      <c r="A233" t="s">
        <v>8</v>
      </c>
      <c r="B233">
        <v>1</v>
      </c>
      <c r="C233" t="s">
        <v>6</v>
      </c>
      <c r="D233" s="2">
        <v>43677</v>
      </c>
      <c r="E233" s="3">
        <v>0.71319444444444446</v>
      </c>
      <c r="F233" s="3">
        <v>0.71666666666666667</v>
      </c>
      <c r="H233">
        <v>26.67</v>
      </c>
      <c r="K233">
        <v>12.3518694603322</v>
      </c>
      <c r="L233" s="6">
        <v>-7.0989794407200796E-5</v>
      </c>
    </row>
    <row r="234" spans="1:12" x14ac:dyDescent="0.2">
      <c r="A234" t="s">
        <v>8</v>
      </c>
      <c r="B234">
        <v>2</v>
      </c>
      <c r="C234" t="s">
        <v>2</v>
      </c>
      <c r="D234" s="2">
        <v>43677</v>
      </c>
      <c r="E234" s="3">
        <v>0.71805555555555556</v>
      </c>
      <c r="F234" s="3">
        <v>0.72152777777777777</v>
      </c>
      <c r="G234">
        <v>4.0999999999999996</v>
      </c>
      <c r="H234">
        <v>26.67</v>
      </c>
      <c r="I234">
        <v>41.5</v>
      </c>
      <c r="J234">
        <v>0.62</v>
      </c>
      <c r="K234">
        <v>-2.1499468292100801</v>
      </c>
      <c r="L234">
        <v>-2.8259845900335998E-3</v>
      </c>
    </row>
    <row r="235" spans="1:12" x14ac:dyDescent="0.2">
      <c r="A235" t="s">
        <v>8</v>
      </c>
      <c r="B235">
        <v>2</v>
      </c>
      <c r="C235" t="s">
        <v>6</v>
      </c>
      <c r="D235" s="2">
        <v>43677</v>
      </c>
      <c r="E235" s="3">
        <v>0.72291666666666676</v>
      </c>
      <c r="F235" s="3">
        <v>0.72638888888888886</v>
      </c>
      <c r="H235">
        <v>26.67</v>
      </c>
      <c r="K235">
        <v>8.7082447591935406</v>
      </c>
      <c r="L235">
        <v>7.0306416317956998E-3</v>
      </c>
    </row>
    <row r="236" spans="1:12" x14ac:dyDescent="0.2">
      <c r="A236" t="s">
        <v>8</v>
      </c>
      <c r="B236">
        <v>3</v>
      </c>
      <c r="C236" t="s">
        <v>2</v>
      </c>
      <c r="D236" s="2">
        <v>43677</v>
      </c>
      <c r="E236" s="3">
        <v>0.72777777777777775</v>
      </c>
      <c r="F236" s="3">
        <v>0.73125000000000007</v>
      </c>
      <c r="G236">
        <v>4.9000000000000004</v>
      </c>
      <c r="H236">
        <v>26.67</v>
      </c>
      <c r="I236">
        <v>42.8</v>
      </c>
      <c r="J236">
        <v>0.56999999999999995</v>
      </c>
      <c r="K236">
        <v>-1.18374401926277</v>
      </c>
      <c r="L236">
        <v>1.6393893250992101E-4</v>
      </c>
    </row>
    <row r="237" spans="1:12" x14ac:dyDescent="0.2">
      <c r="A237" t="s">
        <v>8</v>
      </c>
      <c r="B237">
        <v>3</v>
      </c>
      <c r="C237" t="s">
        <v>6</v>
      </c>
      <c r="D237" s="2">
        <v>43677</v>
      </c>
      <c r="E237" s="3">
        <v>0.73263888888888884</v>
      </c>
      <c r="F237" s="3">
        <v>0.73611111111111116</v>
      </c>
      <c r="H237">
        <v>26.67</v>
      </c>
      <c r="K237">
        <v>9.1801299597365897</v>
      </c>
      <c r="L237">
        <v>-1.5999892353448601E-4</v>
      </c>
    </row>
    <row r="238" spans="1:12" x14ac:dyDescent="0.2">
      <c r="A238" t="s">
        <v>8</v>
      </c>
      <c r="B238">
        <v>4</v>
      </c>
      <c r="C238" t="s">
        <v>2</v>
      </c>
      <c r="D238" s="2">
        <v>43677</v>
      </c>
      <c r="E238" s="3">
        <v>0.73749999999999993</v>
      </c>
      <c r="F238" s="3">
        <v>0.74097222222222225</v>
      </c>
      <c r="G238">
        <v>3.9</v>
      </c>
      <c r="H238">
        <v>26.67</v>
      </c>
      <c r="I238">
        <v>46.9</v>
      </c>
      <c r="J238">
        <v>0.59</v>
      </c>
      <c r="K238">
        <v>-4.6467814316584901</v>
      </c>
      <c r="L238">
        <v>-1.5059760564759101E-4</v>
      </c>
    </row>
    <row r="239" spans="1:12" x14ac:dyDescent="0.2">
      <c r="A239" t="s">
        <v>8</v>
      </c>
      <c r="B239">
        <v>4</v>
      </c>
      <c r="C239" t="s">
        <v>6</v>
      </c>
      <c r="D239" s="2">
        <v>43677</v>
      </c>
      <c r="E239" s="3">
        <v>0.74236111111111114</v>
      </c>
      <c r="F239" s="3">
        <v>0.74583333333333324</v>
      </c>
      <c r="H239">
        <v>26.67</v>
      </c>
      <c r="K239">
        <v>9.1536243856923996</v>
      </c>
      <c r="L239">
        <v>7.9075660926895292E-3</v>
      </c>
    </row>
    <row r="240" spans="1:12" x14ac:dyDescent="0.2">
      <c r="A240" t="s">
        <v>8</v>
      </c>
      <c r="B240">
        <v>5</v>
      </c>
      <c r="C240" t="s">
        <v>2</v>
      </c>
      <c r="D240" s="2">
        <v>43677</v>
      </c>
      <c r="E240" s="3">
        <v>0.74722222222222223</v>
      </c>
      <c r="F240" s="3">
        <v>0.75069444444444444</v>
      </c>
      <c r="G240">
        <v>6.6</v>
      </c>
      <c r="H240">
        <v>26.67</v>
      </c>
      <c r="I240">
        <v>46</v>
      </c>
      <c r="J240">
        <v>0.53</v>
      </c>
      <c r="K240">
        <v>0.72955903259981802</v>
      </c>
      <c r="L240">
        <v>-3.4649521717634602E-4</v>
      </c>
    </row>
    <row r="241" spans="1:12" x14ac:dyDescent="0.2">
      <c r="A241" t="s">
        <v>8</v>
      </c>
      <c r="B241">
        <v>5</v>
      </c>
      <c r="C241" t="s">
        <v>6</v>
      </c>
      <c r="D241" s="2">
        <v>43677</v>
      </c>
      <c r="E241" s="3">
        <v>0.75208333333333333</v>
      </c>
      <c r="F241" s="3">
        <v>0.75555555555555554</v>
      </c>
      <c r="H241">
        <v>26.67</v>
      </c>
      <c r="K241">
        <v>9.3926320808824908</v>
      </c>
      <c r="L241">
        <v>-1.92396104515817E-3</v>
      </c>
    </row>
    <row r="242" spans="1:12" x14ac:dyDescent="0.2">
      <c r="A242" t="s">
        <v>8</v>
      </c>
      <c r="B242">
        <v>1</v>
      </c>
      <c r="C242" t="s">
        <v>2</v>
      </c>
      <c r="D242" s="2">
        <v>43685</v>
      </c>
      <c r="E242" s="3">
        <v>43685.45347</v>
      </c>
      <c r="F242" s="3">
        <v>43685.456939999996</v>
      </c>
      <c r="G242">
        <v>3.4</v>
      </c>
      <c r="H242">
        <v>23.89</v>
      </c>
      <c r="I242">
        <v>39.6</v>
      </c>
      <c r="J242">
        <v>0.6</v>
      </c>
      <c r="K242">
        <v>-0.306598849788839</v>
      </c>
      <c r="L242">
        <v>-5.57337873251104E-3</v>
      </c>
    </row>
    <row r="243" spans="1:12" x14ac:dyDescent="0.2">
      <c r="A243" t="s">
        <v>8</v>
      </c>
      <c r="B243">
        <v>1</v>
      </c>
      <c r="C243" t="s">
        <v>6</v>
      </c>
      <c r="D243" s="2">
        <v>43685</v>
      </c>
      <c r="E243" s="3">
        <v>43685.461109999997</v>
      </c>
      <c r="F243" s="3">
        <v>43685.422919999997</v>
      </c>
      <c r="H243">
        <v>23.89</v>
      </c>
    </row>
    <row r="244" spans="1:12" x14ac:dyDescent="0.2">
      <c r="A244" t="s">
        <v>8</v>
      </c>
      <c r="B244">
        <v>2</v>
      </c>
      <c r="C244" t="s">
        <v>2</v>
      </c>
      <c r="D244" s="2">
        <v>43685</v>
      </c>
      <c r="E244" s="3">
        <v>43685.469440000001</v>
      </c>
      <c r="F244" s="3">
        <v>43685.47292</v>
      </c>
      <c r="G244">
        <v>2.1</v>
      </c>
      <c r="H244">
        <v>23.89</v>
      </c>
      <c r="I244">
        <v>38</v>
      </c>
      <c r="J244">
        <v>0.63</v>
      </c>
      <c r="K244">
        <v>-0.19151218286764099</v>
      </c>
      <c r="L244">
        <v>-2.3239312317251199E-4</v>
      </c>
    </row>
    <row r="245" spans="1:12" x14ac:dyDescent="0.2">
      <c r="A245" t="s">
        <v>8</v>
      </c>
      <c r="B245">
        <v>2</v>
      </c>
      <c r="C245" t="s">
        <v>6</v>
      </c>
      <c r="D245" s="2">
        <v>43685</v>
      </c>
      <c r="E245" s="3">
        <v>43685.477429999999</v>
      </c>
      <c r="F245" s="3">
        <v>43685.480900000002</v>
      </c>
      <c r="H245">
        <v>23.89</v>
      </c>
      <c r="K245">
        <v>0.57174304586660596</v>
      </c>
      <c r="L245">
        <v>-1.7789796774642699E-4</v>
      </c>
    </row>
    <row r="246" spans="1:12" x14ac:dyDescent="0.2">
      <c r="A246" t="s">
        <v>8</v>
      </c>
      <c r="B246">
        <v>3</v>
      </c>
      <c r="C246" t="s">
        <v>2</v>
      </c>
      <c r="D246" s="2">
        <v>43685</v>
      </c>
      <c r="E246" s="3">
        <v>43685.487269999998</v>
      </c>
      <c r="F246" s="3">
        <v>43685.490740000001</v>
      </c>
      <c r="G246">
        <v>2.2999999999999998</v>
      </c>
      <c r="H246">
        <v>23.89</v>
      </c>
      <c r="I246">
        <v>28.4</v>
      </c>
      <c r="J246">
        <v>0.65</v>
      </c>
      <c r="K246">
        <v>1.1108374083332999E-2</v>
      </c>
      <c r="L246" s="6">
        <v>-4.3177856102097101E-5</v>
      </c>
    </row>
    <row r="247" spans="1:12" x14ac:dyDescent="0.2">
      <c r="A247" t="s">
        <v>8</v>
      </c>
      <c r="B247">
        <v>3</v>
      </c>
      <c r="C247" t="s">
        <v>6</v>
      </c>
      <c r="D247" s="2">
        <v>43685</v>
      </c>
      <c r="E247" s="3">
        <v>43685.492879999998</v>
      </c>
      <c r="F247" s="3">
        <v>43685.496350000001</v>
      </c>
      <c r="H247">
        <v>23.89</v>
      </c>
      <c r="K247">
        <v>0.387617173709909</v>
      </c>
      <c r="L247">
        <v>1.7963110795180399E-4</v>
      </c>
    </row>
    <row r="248" spans="1:12" x14ac:dyDescent="0.2">
      <c r="A248" t="s">
        <v>8</v>
      </c>
      <c r="B248">
        <v>4</v>
      </c>
      <c r="C248" t="s">
        <v>2</v>
      </c>
      <c r="D248" s="2">
        <v>43685</v>
      </c>
      <c r="E248" s="3">
        <v>43685.5</v>
      </c>
      <c r="F248" s="3">
        <v>43685.503470000003</v>
      </c>
      <c r="G248">
        <v>2.9</v>
      </c>
      <c r="H248">
        <v>23.89</v>
      </c>
      <c r="I248">
        <v>29</v>
      </c>
      <c r="J248">
        <v>0.62</v>
      </c>
      <c r="K248">
        <v>-1.9725127862232801</v>
      </c>
      <c r="L248" s="6">
        <v>1.8191747549108399E-5</v>
      </c>
    </row>
    <row r="249" spans="1:12" x14ac:dyDescent="0.2">
      <c r="A249" t="s">
        <v>8</v>
      </c>
      <c r="B249">
        <v>4</v>
      </c>
      <c r="C249" t="s">
        <v>6</v>
      </c>
      <c r="D249" s="2">
        <v>43685</v>
      </c>
      <c r="E249" s="3">
        <v>43685.508329999997</v>
      </c>
      <c r="F249" s="3">
        <v>43685.511810000004</v>
      </c>
      <c r="H249">
        <v>23.89</v>
      </c>
      <c r="K249">
        <v>5.0919388226880698E-2</v>
      </c>
      <c r="L249" s="6">
        <v>-5.3413909298422603E-8</v>
      </c>
    </row>
    <row r="250" spans="1:12" x14ac:dyDescent="0.2">
      <c r="A250" t="s">
        <v>8</v>
      </c>
      <c r="B250">
        <v>5</v>
      </c>
      <c r="C250" t="s">
        <v>2</v>
      </c>
      <c r="D250" s="2">
        <v>43685</v>
      </c>
      <c r="E250" s="3">
        <v>43685.515630000002</v>
      </c>
      <c r="F250" s="3">
        <v>43685.519099999998</v>
      </c>
      <c r="G250">
        <v>2.6</v>
      </c>
      <c r="H250">
        <v>23.89</v>
      </c>
      <c r="I250">
        <v>36.799999999999997</v>
      </c>
      <c r="J250">
        <v>0.52</v>
      </c>
      <c r="K250">
        <v>-2.1604105528004398</v>
      </c>
      <c r="L250">
        <v>-9.5201262569597595E-4</v>
      </c>
    </row>
    <row r="251" spans="1:12" x14ac:dyDescent="0.2">
      <c r="A251" t="s">
        <v>8</v>
      </c>
      <c r="B251">
        <v>5</v>
      </c>
      <c r="C251" t="s">
        <v>6</v>
      </c>
      <c r="D251" s="2">
        <v>43685</v>
      </c>
      <c r="E251" s="3">
        <v>43685.522219999999</v>
      </c>
      <c r="F251" s="3">
        <v>43685.525690000002</v>
      </c>
      <c r="H251">
        <v>23.89</v>
      </c>
      <c r="K251">
        <v>-0.11615839682234801</v>
      </c>
      <c r="L251">
        <v>-1.89981529684858E-3</v>
      </c>
    </row>
    <row r="252" spans="1:12" x14ac:dyDescent="0.2">
      <c r="A252" t="s">
        <v>8</v>
      </c>
      <c r="B252">
        <v>1</v>
      </c>
      <c r="C252" t="s">
        <v>2</v>
      </c>
      <c r="D252" s="2">
        <v>43685</v>
      </c>
      <c r="E252" s="3">
        <v>43685.579169999997</v>
      </c>
      <c r="F252" s="3">
        <v>43685.582640000001</v>
      </c>
      <c r="G252">
        <v>1.9</v>
      </c>
      <c r="H252">
        <v>28.33</v>
      </c>
      <c r="I252">
        <v>23.2</v>
      </c>
      <c r="J252">
        <v>0.57999999999999996</v>
      </c>
      <c r="K252">
        <v>-0.714736298060063</v>
      </c>
      <c r="L252">
        <v>1.44257507330237E-4</v>
      </c>
    </row>
    <row r="253" spans="1:12" x14ac:dyDescent="0.2">
      <c r="A253" t="s">
        <v>8</v>
      </c>
      <c r="B253">
        <v>1</v>
      </c>
      <c r="C253" t="s">
        <v>6</v>
      </c>
      <c r="D253" s="2">
        <v>43685</v>
      </c>
      <c r="E253" s="3">
        <v>43685.585189999998</v>
      </c>
      <c r="F253" s="3">
        <v>43685.588660000001</v>
      </c>
      <c r="H253">
        <v>28.33</v>
      </c>
      <c r="K253">
        <v>-1.79907285391838</v>
      </c>
      <c r="L253">
        <v>1.53507937985566E-4</v>
      </c>
    </row>
    <row r="254" spans="1:12" x14ac:dyDescent="0.2">
      <c r="A254" t="s">
        <v>8</v>
      </c>
      <c r="B254">
        <v>2</v>
      </c>
      <c r="C254" t="s">
        <v>2</v>
      </c>
      <c r="D254" s="2">
        <v>43685</v>
      </c>
      <c r="E254" s="3">
        <v>43685.591200000003</v>
      </c>
      <c r="F254" s="3">
        <v>43685.594680000002</v>
      </c>
      <c r="G254">
        <v>3.1</v>
      </c>
      <c r="H254">
        <v>28.33</v>
      </c>
      <c r="I254">
        <v>30.8</v>
      </c>
      <c r="J254">
        <v>0.62</v>
      </c>
      <c r="K254">
        <v>-1.1319846903028901</v>
      </c>
      <c r="L254">
        <v>-1.11233873033084E-4</v>
      </c>
    </row>
    <row r="255" spans="1:12" x14ac:dyDescent="0.2">
      <c r="A255" t="s">
        <v>8</v>
      </c>
      <c r="B255">
        <v>2</v>
      </c>
      <c r="C255" t="s">
        <v>6</v>
      </c>
      <c r="D255" s="2">
        <v>43685</v>
      </c>
      <c r="E255" s="3">
        <v>43685.597220000003</v>
      </c>
      <c r="F255" s="3">
        <v>43685.600689999999</v>
      </c>
      <c r="H255">
        <v>28.33</v>
      </c>
      <c r="K255">
        <v>-0.42887163375401799</v>
      </c>
      <c r="L255" s="6">
        <v>1.7056877992493098E-5</v>
      </c>
    </row>
    <row r="256" spans="1:12" x14ac:dyDescent="0.2">
      <c r="A256" t="s">
        <v>8</v>
      </c>
      <c r="B256">
        <v>3</v>
      </c>
      <c r="C256" t="s">
        <v>2</v>
      </c>
      <c r="D256" s="2">
        <v>43685</v>
      </c>
      <c r="E256" s="3">
        <v>43685.603009999999</v>
      </c>
      <c r="F256" s="3">
        <v>43685.606480000002</v>
      </c>
      <c r="G256">
        <v>1</v>
      </c>
      <c r="H256">
        <v>28.33</v>
      </c>
      <c r="I256">
        <v>28.3</v>
      </c>
      <c r="J256">
        <v>0.61</v>
      </c>
      <c r="K256">
        <v>-0.68816204003216996</v>
      </c>
      <c r="L256">
        <v>3.5993916066670898E-4</v>
      </c>
    </row>
    <row r="257" spans="1:12" x14ac:dyDescent="0.2">
      <c r="A257" t="s">
        <v>8</v>
      </c>
      <c r="B257">
        <v>3</v>
      </c>
      <c r="C257" t="s">
        <v>6</v>
      </c>
      <c r="D257" s="2">
        <v>43685</v>
      </c>
      <c r="E257" s="3">
        <v>43685.60914</v>
      </c>
      <c r="F257" s="3">
        <v>43685.61262</v>
      </c>
      <c r="H257">
        <v>28.33</v>
      </c>
      <c r="K257">
        <v>0.446464787942078</v>
      </c>
      <c r="L257" s="6">
        <v>9.1861436380696505E-5</v>
      </c>
    </row>
    <row r="258" spans="1:12" x14ac:dyDescent="0.2">
      <c r="A258" t="s">
        <v>8</v>
      </c>
      <c r="B258">
        <v>4</v>
      </c>
      <c r="C258" t="s">
        <v>2</v>
      </c>
      <c r="D258" s="2">
        <v>43685</v>
      </c>
      <c r="E258" s="3">
        <v>43685.615389999999</v>
      </c>
      <c r="F258" s="3">
        <v>43685.618869999998</v>
      </c>
      <c r="G258">
        <v>3.1</v>
      </c>
      <c r="H258">
        <v>28.33</v>
      </c>
      <c r="I258">
        <v>46.7</v>
      </c>
      <c r="J258">
        <v>0.56000000000000005</v>
      </c>
      <c r="K258">
        <v>-1.11937024077551</v>
      </c>
      <c r="L258">
        <v>-1.35398347179022E-4</v>
      </c>
    </row>
    <row r="259" spans="1:12" x14ac:dyDescent="0.2">
      <c r="A259" t="s">
        <v>8</v>
      </c>
      <c r="B259">
        <v>4</v>
      </c>
      <c r="C259" t="s">
        <v>6</v>
      </c>
      <c r="D259" s="2">
        <v>43685</v>
      </c>
      <c r="E259" s="3">
        <v>43685.621529999997</v>
      </c>
      <c r="F259" s="3">
        <v>43685.625</v>
      </c>
      <c r="H259">
        <v>28.33</v>
      </c>
      <c r="K259">
        <v>0.45967315412718301</v>
      </c>
      <c r="L259" s="6">
        <v>6.1018936586441999E-5</v>
      </c>
    </row>
    <row r="260" spans="1:12" x14ac:dyDescent="0.2">
      <c r="A260" t="s">
        <v>8</v>
      </c>
      <c r="B260">
        <v>5</v>
      </c>
      <c r="C260" t="s">
        <v>2</v>
      </c>
      <c r="D260" s="2">
        <v>43685</v>
      </c>
      <c r="E260" s="3">
        <v>43685.627890000003</v>
      </c>
      <c r="F260" s="3">
        <v>43685.631370000003</v>
      </c>
      <c r="G260">
        <v>3.2</v>
      </c>
      <c r="H260">
        <v>28.33</v>
      </c>
      <c r="I260">
        <v>70.8</v>
      </c>
      <c r="J260">
        <v>0.52</v>
      </c>
      <c r="K260">
        <v>-0.89597518746010196</v>
      </c>
      <c r="L260">
        <v>1.46890033784549E-4</v>
      </c>
    </row>
    <row r="261" spans="1:12" x14ac:dyDescent="0.2">
      <c r="A261" t="s">
        <v>8</v>
      </c>
      <c r="B261">
        <v>5</v>
      </c>
      <c r="C261" t="s">
        <v>6</v>
      </c>
      <c r="D261" s="2">
        <v>43685</v>
      </c>
      <c r="E261" s="3">
        <v>43685.634140000002</v>
      </c>
      <c r="F261" s="3">
        <v>43685.637620000001</v>
      </c>
      <c r="H261">
        <v>28.33</v>
      </c>
      <c r="K261">
        <v>-0.43027462128078597</v>
      </c>
      <c r="L261">
        <v>1.3014794142594E-4</v>
      </c>
    </row>
    <row r="262" spans="1:12" x14ac:dyDescent="0.2">
      <c r="A262" t="s">
        <v>8</v>
      </c>
      <c r="B262">
        <v>1</v>
      </c>
      <c r="C262" t="s">
        <v>2</v>
      </c>
      <c r="D262" s="2">
        <v>43692</v>
      </c>
      <c r="E262" s="3">
        <v>43692.486689999998</v>
      </c>
      <c r="F262" s="3">
        <v>43692.490160000001</v>
      </c>
      <c r="G262">
        <v>1.2</v>
      </c>
      <c r="H262">
        <v>23.89</v>
      </c>
      <c r="I262">
        <v>43.8</v>
      </c>
      <c r="J262">
        <v>0.46</v>
      </c>
      <c r="K262">
        <v>0.65003632946621404</v>
      </c>
      <c r="L262">
        <v>-6.4707243499432198E-4</v>
      </c>
    </row>
    <row r="263" spans="1:12" x14ac:dyDescent="0.2">
      <c r="A263" t="s">
        <v>8</v>
      </c>
      <c r="B263">
        <v>1</v>
      </c>
      <c r="C263" t="s">
        <v>6</v>
      </c>
      <c r="D263" s="2">
        <v>43692</v>
      </c>
      <c r="E263" s="3">
        <v>43692.491719999998</v>
      </c>
      <c r="F263" s="3">
        <v>43692.495199999998</v>
      </c>
      <c r="H263">
        <v>23.89</v>
      </c>
      <c r="K263">
        <v>6.4231674533117697</v>
      </c>
      <c r="L263">
        <v>-7.2026208553485995E-4</v>
      </c>
    </row>
    <row r="264" spans="1:12" x14ac:dyDescent="0.2">
      <c r="A264" t="s">
        <v>8</v>
      </c>
      <c r="B264">
        <v>2</v>
      </c>
      <c r="C264" t="s">
        <v>2</v>
      </c>
      <c r="D264" s="2">
        <v>43692</v>
      </c>
      <c r="E264" s="3">
        <v>43692.49641</v>
      </c>
      <c r="F264" s="3">
        <v>43692.499880000003</v>
      </c>
      <c r="G264">
        <v>5</v>
      </c>
      <c r="H264">
        <v>23.89</v>
      </c>
      <c r="I264">
        <v>45.9</v>
      </c>
      <c r="J264">
        <v>0.44</v>
      </c>
      <c r="K264">
        <v>2.7367213375063</v>
      </c>
      <c r="L264">
        <v>-4.9450077482912505E-4</v>
      </c>
    </row>
    <row r="265" spans="1:12" x14ac:dyDescent="0.2">
      <c r="A265" t="s">
        <v>8</v>
      </c>
      <c r="B265">
        <v>2</v>
      </c>
      <c r="C265" t="s">
        <v>6</v>
      </c>
      <c r="D265" s="2">
        <v>43692</v>
      </c>
      <c r="E265" s="3">
        <v>43692.501680000001</v>
      </c>
      <c r="F265" s="3">
        <v>43692.505149999997</v>
      </c>
      <c r="H265">
        <v>23.89</v>
      </c>
      <c r="K265">
        <v>5.7256828282817498</v>
      </c>
      <c r="L265">
        <v>-5.6467124539315695E-4</v>
      </c>
    </row>
    <row r="266" spans="1:12" x14ac:dyDescent="0.2">
      <c r="A266" t="s">
        <v>8</v>
      </c>
      <c r="B266">
        <v>3</v>
      </c>
      <c r="C266" t="s">
        <v>2</v>
      </c>
      <c r="D266" s="2">
        <v>43692</v>
      </c>
      <c r="E266" s="3">
        <v>43692.507120000002</v>
      </c>
      <c r="F266" s="3">
        <v>43692.510589999998</v>
      </c>
      <c r="G266">
        <v>1.6</v>
      </c>
      <c r="H266">
        <v>23.89</v>
      </c>
      <c r="I266">
        <v>30.4</v>
      </c>
      <c r="J266">
        <v>0.38</v>
      </c>
      <c r="K266">
        <v>2.7553257416433801</v>
      </c>
      <c r="L266">
        <v>-4.4207729107414903E-4</v>
      </c>
    </row>
    <row r="267" spans="1:12" x14ac:dyDescent="0.2">
      <c r="A267" t="s">
        <v>8</v>
      </c>
      <c r="B267">
        <v>3</v>
      </c>
      <c r="C267" t="s">
        <v>6</v>
      </c>
      <c r="D267" s="2">
        <v>43692</v>
      </c>
      <c r="E267" s="3">
        <v>43692.512439999999</v>
      </c>
      <c r="F267" s="3">
        <v>43692.515910000002</v>
      </c>
      <c r="H267">
        <v>23.89</v>
      </c>
      <c r="K267">
        <v>4.7760932075967801</v>
      </c>
      <c r="L267">
        <v>-4.7270849822179001E-4</v>
      </c>
    </row>
    <row r="268" spans="1:12" x14ac:dyDescent="0.2">
      <c r="A268" t="s">
        <v>8</v>
      </c>
      <c r="B268">
        <v>4</v>
      </c>
      <c r="C268" t="s">
        <v>2</v>
      </c>
      <c r="D268" s="2">
        <v>43692</v>
      </c>
      <c r="E268" s="3">
        <v>43692.517480000002</v>
      </c>
      <c r="F268" s="3">
        <v>43692.520949999998</v>
      </c>
      <c r="G268">
        <v>3.7</v>
      </c>
      <c r="H268">
        <v>23.89</v>
      </c>
      <c r="I268">
        <v>69.099999999999994</v>
      </c>
      <c r="J268">
        <v>0.36</v>
      </c>
      <c r="K268">
        <v>2.2190304060589399</v>
      </c>
      <c r="L268" s="6">
        <v>-7.5309550169515502E-5</v>
      </c>
    </row>
    <row r="269" spans="1:12" x14ac:dyDescent="0.2">
      <c r="A269" t="s">
        <v>8</v>
      </c>
      <c r="B269">
        <v>4</v>
      </c>
      <c r="C269" t="s">
        <v>6</v>
      </c>
      <c r="D269" s="2">
        <v>43692</v>
      </c>
      <c r="E269" s="3">
        <v>43692.522859999997</v>
      </c>
      <c r="F269" s="3">
        <v>43692.526330000001</v>
      </c>
      <c r="H269">
        <v>23.89</v>
      </c>
      <c r="K269">
        <v>3.2617182603422998</v>
      </c>
      <c r="L269">
        <v>-7.39338467195327E-4</v>
      </c>
    </row>
    <row r="270" spans="1:12" x14ac:dyDescent="0.2">
      <c r="A270" t="s">
        <v>8</v>
      </c>
      <c r="B270">
        <v>5</v>
      </c>
      <c r="C270" t="s">
        <v>2</v>
      </c>
      <c r="D270" s="2">
        <v>43692</v>
      </c>
      <c r="E270" s="3">
        <v>43692.527950000003</v>
      </c>
      <c r="F270" s="3">
        <v>43692.531419999999</v>
      </c>
      <c r="G270">
        <v>1.2</v>
      </c>
      <c r="H270">
        <v>25.56</v>
      </c>
      <c r="I270">
        <v>38.4</v>
      </c>
      <c r="J270">
        <v>0.38</v>
      </c>
      <c r="K270">
        <v>1.86088841483832</v>
      </c>
      <c r="L270" s="6">
        <v>-3.2933978312885697E-5</v>
      </c>
    </row>
    <row r="271" spans="1:12" x14ac:dyDescent="0.2">
      <c r="A271" t="s">
        <v>8</v>
      </c>
      <c r="B271">
        <v>5</v>
      </c>
      <c r="C271" t="s">
        <v>6</v>
      </c>
      <c r="D271" s="2">
        <v>43692</v>
      </c>
      <c r="E271" s="3">
        <v>43692.53299</v>
      </c>
      <c r="F271" s="3">
        <v>43692.536460000003</v>
      </c>
      <c r="H271">
        <v>25.56</v>
      </c>
      <c r="K271">
        <v>6.2664288104497299</v>
      </c>
      <c r="L271">
        <v>-4.6025356156459798E-4</v>
      </c>
    </row>
    <row r="272" spans="1:12" x14ac:dyDescent="0.2">
      <c r="A272" t="s">
        <v>8</v>
      </c>
      <c r="B272">
        <v>1</v>
      </c>
      <c r="C272" t="s">
        <v>2</v>
      </c>
      <c r="D272" s="2">
        <v>43692</v>
      </c>
      <c r="E272" s="3">
        <v>43692.554980000001</v>
      </c>
      <c r="F272" s="3">
        <v>43692.558449999997</v>
      </c>
      <c r="G272">
        <v>1.6</v>
      </c>
      <c r="H272">
        <v>26.67</v>
      </c>
      <c r="I272">
        <v>48.5</v>
      </c>
      <c r="J272">
        <v>0.45</v>
      </c>
      <c r="K272">
        <v>0.61213692040757595</v>
      </c>
      <c r="L272">
        <v>-1.3065582190307601E-4</v>
      </c>
    </row>
    <row r="273" spans="1:12" x14ac:dyDescent="0.2">
      <c r="A273" t="s">
        <v>8</v>
      </c>
      <c r="B273">
        <v>1</v>
      </c>
      <c r="C273" t="s">
        <v>6</v>
      </c>
      <c r="D273" s="2">
        <v>43692</v>
      </c>
      <c r="E273" s="3">
        <v>43692.560189999997</v>
      </c>
      <c r="F273" s="3">
        <v>43692.563249999999</v>
      </c>
      <c r="H273">
        <v>26.67</v>
      </c>
      <c r="K273">
        <v>6.4509674599927997</v>
      </c>
      <c r="L273">
        <v>-5.7479047188471895E-4</v>
      </c>
    </row>
    <row r="274" spans="1:12" x14ac:dyDescent="0.2">
      <c r="A274" t="s">
        <v>8</v>
      </c>
      <c r="B274">
        <v>2</v>
      </c>
      <c r="C274" t="s">
        <v>2</v>
      </c>
      <c r="D274" s="2">
        <v>43692</v>
      </c>
      <c r="E274" s="3">
        <v>43692.565340000001</v>
      </c>
      <c r="F274" s="3">
        <v>43692.568809999997</v>
      </c>
      <c r="G274">
        <v>3.7</v>
      </c>
      <c r="H274">
        <v>26.67</v>
      </c>
      <c r="I274">
        <v>50.2</v>
      </c>
      <c r="J274">
        <v>0.42</v>
      </c>
      <c r="K274">
        <v>3.2171285457256</v>
      </c>
      <c r="L274" s="6">
        <v>-1.16488144135239E-5</v>
      </c>
    </row>
    <row r="275" spans="1:12" x14ac:dyDescent="0.2">
      <c r="A275" t="s">
        <v>8</v>
      </c>
      <c r="B275">
        <v>2</v>
      </c>
      <c r="C275" t="s">
        <v>6</v>
      </c>
      <c r="D275" s="2">
        <v>43692</v>
      </c>
      <c r="E275" s="3">
        <v>43692.570540000001</v>
      </c>
      <c r="F275" s="3">
        <v>43692.57402</v>
      </c>
      <c r="H275">
        <v>26.67</v>
      </c>
      <c r="K275">
        <v>6.1886596724246798</v>
      </c>
      <c r="L275">
        <v>-2.6868532174545299E-4</v>
      </c>
    </row>
    <row r="276" spans="1:12" x14ac:dyDescent="0.2">
      <c r="A276" t="s">
        <v>8</v>
      </c>
      <c r="B276">
        <v>3</v>
      </c>
      <c r="C276" t="s">
        <v>2</v>
      </c>
      <c r="D276" s="2">
        <v>43692</v>
      </c>
      <c r="E276" s="3">
        <v>43692.575349999999</v>
      </c>
      <c r="F276" s="3">
        <v>43692.578820000002</v>
      </c>
      <c r="G276">
        <v>1.2</v>
      </c>
      <c r="H276">
        <v>26.67</v>
      </c>
      <c r="I276">
        <v>32.700000000000003</v>
      </c>
      <c r="J276">
        <v>0.39</v>
      </c>
      <c r="K276">
        <v>4.1716841180953903</v>
      </c>
      <c r="L276" s="6">
        <v>-9.5813390736366696E-5</v>
      </c>
    </row>
    <row r="277" spans="1:12" x14ac:dyDescent="0.2">
      <c r="A277" t="s">
        <v>8</v>
      </c>
      <c r="B277">
        <v>3</v>
      </c>
      <c r="C277" t="s">
        <v>6</v>
      </c>
      <c r="D277" s="2">
        <v>43692</v>
      </c>
      <c r="E277" s="3">
        <v>43692.580840000002</v>
      </c>
      <c r="F277" s="3">
        <v>43692.584320000002</v>
      </c>
      <c r="H277">
        <v>26.67</v>
      </c>
      <c r="K277">
        <v>5.5998524025186898</v>
      </c>
      <c r="L277">
        <v>-4.2682269926316499E-4</v>
      </c>
    </row>
    <row r="278" spans="1:12" x14ac:dyDescent="0.2">
      <c r="A278" t="s">
        <v>8</v>
      </c>
      <c r="B278">
        <v>4</v>
      </c>
      <c r="C278" t="s">
        <v>2</v>
      </c>
      <c r="D278" s="2">
        <v>43692</v>
      </c>
      <c r="E278" s="3">
        <v>43692.585760000002</v>
      </c>
      <c r="F278" s="3">
        <v>43692.589240000001</v>
      </c>
      <c r="G278">
        <v>1.1000000000000001</v>
      </c>
      <c r="H278">
        <v>28.33</v>
      </c>
      <c r="I278">
        <v>81.5</v>
      </c>
      <c r="J278">
        <v>0.38</v>
      </c>
      <c r="K278">
        <v>2.33494635925934</v>
      </c>
      <c r="L278">
        <v>-1.52417381856878E-4</v>
      </c>
    </row>
    <row r="279" spans="1:12" x14ac:dyDescent="0.2">
      <c r="A279" t="s">
        <v>8</v>
      </c>
      <c r="B279">
        <v>4</v>
      </c>
      <c r="C279" t="s">
        <v>6</v>
      </c>
      <c r="D279" s="2">
        <v>43692</v>
      </c>
      <c r="E279" s="3">
        <v>43692.591090000002</v>
      </c>
      <c r="F279" s="3">
        <v>43692.594559999998</v>
      </c>
      <c r="H279">
        <v>28.33</v>
      </c>
      <c r="K279">
        <v>3.9559584132213801</v>
      </c>
      <c r="L279">
        <v>-1.20528750883185E-4</v>
      </c>
    </row>
    <row r="280" spans="1:12" x14ac:dyDescent="0.2">
      <c r="A280" t="s">
        <v>8</v>
      </c>
      <c r="B280">
        <v>5</v>
      </c>
      <c r="C280" t="s">
        <v>2</v>
      </c>
      <c r="D280" s="2">
        <v>43692</v>
      </c>
      <c r="E280" s="3">
        <v>43692.595889999997</v>
      </c>
      <c r="F280" s="3">
        <v>43692.599479999997</v>
      </c>
      <c r="G280">
        <v>2.8</v>
      </c>
      <c r="H280">
        <v>28.33</v>
      </c>
      <c r="I280">
        <v>42.9</v>
      </c>
      <c r="J280">
        <v>0.35</v>
      </c>
      <c r="K280">
        <v>2.41602021346992</v>
      </c>
      <c r="L280">
        <v>-1.2338244015317899E-4</v>
      </c>
    </row>
    <row r="281" spans="1:12" x14ac:dyDescent="0.2">
      <c r="A281" t="s">
        <v>8</v>
      </c>
      <c r="B281">
        <v>5</v>
      </c>
      <c r="C281" t="s">
        <v>6</v>
      </c>
      <c r="D281" s="2">
        <v>43692</v>
      </c>
      <c r="E281" s="3">
        <v>43692.600870000002</v>
      </c>
      <c r="F281" s="3">
        <v>43692.604339999998</v>
      </c>
      <c r="H281">
        <v>28.33</v>
      </c>
      <c r="K281">
        <v>6.76039775262735</v>
      </c>
      <c r="L281">
        <v>-6.5087437159395804E-4</v>
      </c>
    </row>
    <row r="282" spans="1:12" x14ac:dyDescent="0.2">
      <c r="A282" t="s">
        <v>8</v>
      </c>
      <c r="B282">
        <v>1</v>
      </c>
      <c r="C282" t="s">
        <v>2</v>
      </c>
      <c r="D282" s="2">
        <v>43700</v>
      </c>
      <c r="E282" s="3">
        <v>43700.48646</v>
      </c>
      <c r="F282" s="3">
        <v>43700.489930000003</v>
      </c>
      <c r="G282">
        <v>14.6</v>
      </c>
      <c r="H282">
        <v>22.22</v>
      </c>
      <c r="I282">
        <v>43.4</v>
      </c>
      <c r="J282">
        <v>0.5</v>
      </c>
      <c r="K282">
        <v>-0.111409076</v>
      </c>
      <c r="L282">
        <v>4.2881350950108E-4</v>
      </c>
    </row>
    <row r="283" spans="1:12" x14ac:dyDescent="0.2">
      <c r="A283" t="s">
        <v>8</v>
      </c>
      <c r="B283">
        <v>1</v>
      </c>
      <c r="C283" t="s">
        <v>6</v>
      </c>
      <c r="D283" s="2">
        <v>43700</v>
      </c>
      <c r="E283" s="3">
        <v>43700.493690000003</v>
      </c>
      <c r="F283" s="3">
        <v>43700.497159999999</v>
      </c>
      <c r="H283">
        <v>22.22</v>
      </c>
      <c r="K283">
        <v>-0.97834560100000001</v>
      </c>
      <c r="L283">
        <v>1.4994774385167599E-4</v>
      </c>
    </row>
    <row r="284" spans="1:12" x14ac:dyDescent="0.2">
      <c r="A284" t="s">
        <v>8</v>
      </c>
      <c r="B284">
        <v>2</v>
      </c>
      <c r="C284" t="s">
        <v>2</v>
      </c>
      <c r="D284" s="2">
        <v>43700</v>
      </c>
      <c r="E284" s="3">
        <v>43700.500520000001</v>
      </c>
      <c r="F284" s="3">
        <v>43700.503989999997</v>
      </c>
      <c r="G284">
        <v>13.3</v>
      </c>
      <c r="H284">
        <v>22.22</v>
      </c>
      <c r="I284">
        <v>38.4</v>
      </c>
      <c r="J284">
        <v>0.48</v>
      </c>
      <c r="K284">
        <v>7.5286896000000006E-2</v>
      </c>
      <c r="L284">
        <v>9.6219336450787004E-4</v>
      </c>
    </row>
    <row r="285" spans="1:12" x14ac:dyDescent="0.2">
      <c r="A285" t="s">
        <v>8</v>
      </c>
      <c r="B285">
        <v>2</v>
      </c>
      <c r="C285" t="s">
        <v>6</v>
      </c>
      <c r="D285" s="2">
        <v>43700</v>
      </c>
      <c r="E285" s="3">
        <v>43700.507640000003</v>
      </c>
      <c r="F285" s="3">
        <v>43700.511109999999</v>
      </c>
      <c r="H285">
        <v>22.22</v>
      </c>
      <c r="K285">
        <v>3.81523294</v>
      </c>
      <c r="L285">
        <v>5.0158681762127498E-4</v>
      </c>
    </row>
    <row r="286" spans="1:12" x14ac:dyDescent="0.2">
      <c r="A286" t="s">
        <v>8</v>
      </c>
      <c r="B286">
        <v>3</v>
      </c>
      <c r="C286" t="s">
        <v>2</v>
      </c>
      <c r="D286" s="2">
        <v>43700</v>
      </c>
      <c r="E286" s="3">
        <v>43700.513769999998</v>
      </c>
      <c r="F286" s="3">
        <v>43700.517249999997</v>
      </c>
      <c r="G286">
        <v>14.6</v>
      </c>
      <c r="H286">
        <v>22.22</v>
      </c>
      <c r="I286">
        <v>35.799999999999997</v>
      </c>
      <c r="J286">
        <v>0.49</v>
      </c>
      <c r="K286">
        <v>-0.17508558599999999</v>
      </c>
      <c r="L286" s="6">
        <v>4.18031386743386E-5</v>
      </c>
    </row>
    <row r="287" spans="1:12" x14ac:dyDescent="0.2">
      <c r="A287" t="s">
        <v>8</v>
      </c>
      <c r="B287">
        <v>3</v>
      </c>
      <c r="C287" t="s">
        <v>6</v>
      </c>
      <c r="D287" s="2">
        <v>43700</v>
      </c>
      <c r="E287" s="3">
        <v>43700.520080000002</v>
      </c>
      <c r="F287" s="3">
        <v>43700.523549999998</v>
      </c>
      <c r="H287">
        <v>22.22</v>
      </c>
      <c r="K287">
        <v>4.5741186760000003</v>
      </c>
      <c r="L287">
        <v>-1.91390519805307E-4</v>
      </c>
    </row>
    <row r="288" spans="1:12" x14ac:dyDescent="0.2">
      <c r="A288" t="s">
        <v>8</v>
      </c>
      <c r="B288">
        <v>4</v>
      </c>
      <c r="C288" t="s">
        <v>2</v>
      </c>
      <c r="D288" s="2">
        <v>43700</v>
      </c>
      <c r="E288" s="3">
        <v>43700.525759999997</v>
      </c>
      <c r="F288" s="3">
        <v>43700.529240000003</v>
      </c>
      <c r="G288">
        <v>11.5</v>
      </c>
      <c r="H288">
        <v>22.22</v>
      </c>
      <c r="I288">
        <v>40.9</v>
      </c>
      <c r="J288">
        <v>0.43</v>
      </c>
      <c r="K288">
        <v>-8.3892190000000005E-2</v>
      </c>
      <c r="L288">
        <v>-3.6564228025739998E-4</v>
      </c>
    </row>
    <row r="289" spans="1:12" x14ac:dyDescent="0.2">
      <c r="A289" t="s">
        <v>8</v>
      </c>
      <c r="B289">
        <v>4</v>
      </c>
      <c r="C289" t="s">
        <v>6</v>
      </c>
      <c r="D289" s="2">
        <v>43700</v>
      </c>
      <c r="E289" s="3">
        <v>43700.534720000003</v>
      </c>
      <c r="F289" s="3">
        <v>43700.538189999999</v>
      </c>
      <c r="H289">
        <v>22.22</v>
      </c>
      <c r="K289">
        <v>1.5512651099999999</v>
      </c>
      <c r="L289">
        <v>-1.3632166037301399E-4</v>
      </c>
    </row>
    <row r="290" spans="1:12" x14ac:dyDescent="0.2">
      <c r="A290" t="s">
        <v>8</v>
      </c>
      <c r="B290">
        <v>5</v>
      </c>
      <c r="C290" t="s">
        <v>2</v>
      </c>
      <c r="D290" s="2">
        <v>43700</v>
      </c>
      <c r="E290" s="3">
        <v>43700.54045</v>
      </c>
      <c r="F290" s="3">
        <v>43700.543919999996</v>
      </c>
      <c r="G290">
        <v>15.1</v>
      </c>
      <c r="H290">
        <v>23.89</v>
      </c>
      <c r="I290">
        <v>46.4</v>
      </c>
      <c r="J290">
        <v>0.46</v>
      </c>
      <c r="K290">
        <v>-0.25069873100000001</v>
      </c>
      <c r="L290">
        <v>-2.05770071701371E-4</v>
      </c>
    </row>
    <row r="291" spans="1:12" x14ac:dyDescent="0.2">
      <c r="A291" t="s">
        <v>8</v>
      </c>
      <c r="B291">
        <v>5</v>
      </c>
      <c r="C291" t="s">
        <v>6</v>
      </c>
      <c r="D291" s="2">
        <v>43700</v>
      </c>
      <c r="E291" s="3">
        <v>43700.546759999997</v>
      </c>
      <c r="F291" s="3">
        <v>43700.550230000001</v>
      </c>
      <c r="H291">
        <v>23.89</v>
      </c>
      <c r="K291">
        <v>4.450835198</v>
      </c>
      <c r="L291" s="6">
        <v>-2.7759091339955699E-6</v>
      </c>
    </row>
    <row r="292" spans="1:12" x14ac:dyDescent="0.2">
      <c r="A292" t="s">
        <v>8</v>
      </c>
      <c r="B292">
        <v>1</v>
      </c>
      <c r="C292" t="s">
        <v>2</v>
      </c>
      <c r="D292" s="2">
        <v>43700</v>
      </c>
      <c r="E292" s="3">
        <v>43700.608740000003</v>
      </c>
      <c r="F292" s="3">
        <v>43700.612209999999</v>
      </c>
      <c r="G292">
        <v>13.6</v>
      </c>
      <c r="H292">
        <v>23.89</v>
      </c>
      <c r="I292">
        <v>44.9</v>
      </c>
      <c r="J292">
        <v>0.48</v>
      </c>
      <c r="K292">
        <v>-1.71365680774979</v>
      </c>
      <c r="L292">
        <v>-1.21083811365423E-4</v>
      </c>
    </row>
    <row r="293" spans="1:12" x14ac:dyDescent="0.2">
      <c r="A293" t="s">
        <v>8</v>
      </c>
      <c r="B293">
        <v>1</v>
      </c>
      <c r="C293" t="s">
        <v>6</v>
      </c>
      <c r="D293" s="2">
        <v>43700</v>
      </c>
      <c r="E293" s="3">
        <v>43700.61563</v>
      </c>
      <c r="F293" s="3">
        <v>43700.619100000004</v>
      </c>
      <c r="H293">
        <v>23.89</v>
      </c>
      <c r="K293">
        <v>5.5398564391614196</v>
      </c>
      <c r="L293">
        <v>-2.6375187891625602E-4</v>
      </c>
    </row>
    <row r="294" spans="1:12" x14ac:dyDescent="0.2">
      <c r="A294" t="s">
        <v>8</v>
      </c>
      <c r="B294">
        <v>2</v>
      </c>
      <c r="C294" t="s">
        <v>2</v>
      </c>
      <c r="D294" s="2">
        <v>43700</v>
      </c>
      <c r="E294" s="3">
        <v>43700.621930000001</v>
      </c>
      <c r="F294" s="3">
        <v>43700.625410000001</v>
      </c>
      <c r="G294">
        <v>18.5</v>
      </c>
      <c r="H294">
        <v>23.89</v>
      </c>
      <c r="I294">
        <v>37.799999999999997</v>
      </c>
      <c r="J294">
        <v>0.46</v>
      </c>
      <c r="K294">
        <v>1.20289376654345</v>
      </c>
      <c r="L294">
        <v>-6.3988686264065801E-4</v>
      </c>
    </row>
    <row r="295" spans="1:12" x14ac:dyDescent="0.2">
      <c r="A295" t="s">
        <v>8</v>
      </c>
      <c r="B295">
        <v>2</v>
      </c>
      <c r="C295" t="s">
        <v>6</v>
      </c>
      <c r="D295" s="2">
        <v>43700</v>
      </c>
      <c r="E295" s="3">
        <v>43700.62917</v>
      </c>
      <c r="F295" s="3">
        <v>43700.632640000003</v>
      </c>
      <c r="H295">
        <v>23.89</v>
      </c>
      <c r="K295">
        <v>3.2164759102509599</v>
      </c>
      <c r="L295" s="6">
        <v>9.0938972533536805E-5</v>
      </c>
    </row>
    <row r="296" spans="1:12" x14ac:dyDescent="0.2">
      <c r="A296" t="s">
        <v>8</v>
      </c>
      <c r="B296">
        <v>3</v>
      </c>
      <c r="C296" t="s">
        <v>2</v>
      </c>
      <c r="D296" s="2">
        <v>43700</v>
      </c>
      <c r="E296" s="3">
        <v>43700.635069999997</v>
      </c>
      <c r="F296" s="3">
        <v>43700.63854</v>
      </c>
      <c r="G296">
        <v>10.5</v>
      </c>
      <c r="H296">
        <v>23.89</v>
      </c>
      <c r="I296">
        <v>34.4</v>
      </c>
      <c r="J296">
        <v>0.47</v>
      </c>
      <c r="K296">
        <v>0.41136712391437702</v>
      </c>
      <c r="L296">
        <v>4.3794235322870998E-4</v>
      </c>
    </row>
    <row r="297" spans="1:12" x14ac:dyDescent="0.2">
      <c r="A297" t="s">
        <v>8</v>
      </c>
      <c r="B297">
        <v>3</v>
      </c>
      <c r="C297" t="s">
        <v>6</v>
      </c>
      <c r="D297" s="2">
        <v>43700</v>
      </c>
      <c r="E297" s="3">
        <v>43700.642010000003</v>
      </c>
      <c r="F297" s="3">
        <v>43700.645490000003</v>
      </c>
      <c r="H297">
        <v>23.89</v>
      </c>
      <c r="K297">
        <v>3.54790078861808</v>
      </c>
      <c r="L297">
        <v>5.1045449521822898E-4</v>
      </c>
    </row>
    <row r="298" spans="1:12" x14ac:dyDescent="0.2">
      <c r="A298" t="s">
        <v>8</v>
      </c>
      <c r="B298">
        <v>4</v>
      </c>
      <c r="C298" t="s">
        <v>2</v>
      </c>
      <c r="D298" s="2">
        <v>43700</v>
      </c>
      <c r="E298" s="3">
        <v>43700.649250000002</v>
      </c>
      <c r="F298" s="3">
        <v>43700.652719999998</v>
      </c>
      <c r="G298">
        <v>16.5</v>
      </c>
      <c r="H298">
        <v>23.89</v>
      </c>
      <c r="I298">
        <v>40.4</v>
      </c>
      <c r="J298">
        <v>0.44</v>
      </c>
      <c r="K298">
        <v>0.61642404803412598</v>
      </c>
      <c r="L298">
        <v>-3.6261404652440199E-4</v>
      </c>
    </row>
    <row r="299" spans="1:12" x14ac:dyDescent="0.2">
      <c r="A299" t="s">
        <v>8</v>
      </c>
      <c r="B299">
        <v>4</v>
      </c>
      <c r="C299" t="s">
        <v>6</v>
      </c>
      <c r="D299" s="2">
        <v>43700</v>
      </c>
      <c r="E299" s="3">
        <v>43700.656889999998</v>
      </c>
      <c r="F299" s="3">
        <v>43700.660360000002</v>
      </c>
      <c r="H299">
        <v>23.89</v>
      </c>
      <c r="K299">
        <v>3.4333545999384301</v>
      </c>
      <c r="L299">
        <v>9.6458540303815895E-4</v>
      </c>
    </row>
    <row r="300" spans="1:12" x14ac:dyDescent="0.2">
      <c r="A300" t="s">
        <v>8</v>
      </c>
      <c r="B300">
        <v>5</v>
      </c>
      <c r="C300" t="s">
        <v>2</v>
      </c>
      <c r="D300" s="2">
        <v>43700</v>
      </c>
      <c r="E300" s="3">
        <v>43700.663189999999</v>
      </c>
      <c r="F300" s="3">
        <v>43700.666669999999</v>
      </c>
      <c r="G300">
        <v>11.7</v>
      </c>
      <c r="H300">
        <v>23.33</v>
      </c>
      <c r="I300">
        <v>47</v>
      </c>
      <c r="J300">
        <v>0.42</v>
      </c>
      <c r="K300">
        <v>1.2176163791589301</v>
      </c>
      <c r="L300">
        <v>2.10778338312939E-4</v>
      </c>
    </row>
    <row r="301" spans="1:12" x14ac:dyDescent="0.2">
      <c r="A301" t="s">
        <v>8</v>
      </c>
      <c r="B301">
        <v>5</v>
      </c>
      <c r="C301" t="s">
        <v>6</v>
      </c>
      <c r="D301" s="2">
        <v>43700</v>
      </c>
      <c r="E301" s="3">
        <v>43700.681020000004</v>
      </c>
      <c r="F301" s="3">
        <v>43700.68449</v>
      </c>
      <c r="H301">
        <v>23.33</v>
      </c>
      <c r="K301">
        <v>3.6097550644084202</v>
      </c>
      <c r="L301">
        <v>-1.9703953989921101E-4</v>
      </c>
    </row>
    <row r="302" spans="1:12" x14ac:dyDescent="0.2">
      <c r="A302" t="s">
        <v>8</v>
      </c>
      <c r="B302">
        <v>1</v>
      </c>
      <c r="C302" t="s">
        <v>2</v>
      </c>
      <c r="D302" s="2">
        <v>43706</v>
      </c>
      <c r="E302" s="3">
        <v>43706.471590000001</v>
      </c>
      <c r="F302" s="3">
        <v>43706.475059999997</v>
      </c>
      <c r="G302">
        <v>5.5</v>
      </c>
      <c r="H302">
        <v>23.33</v>
      </c>
      <c r="I302">
        <v>47.6</v>
      </c>
      <c r="J302">
        <v>0.57999999999999996</v>
      </c>
      <c r="K302">
        <v>-7.5360478273297797</v>
      </c>
      <c r="L302">
        <v>-4.2712406142430398E-4</v>
      </c>
    </row>
    <row r="303" spans="1:12" x14ac:dyDescent="0.2">
      <c r="A303" t="s">
        <v>8</v>
      </c>
      <c r="B303">
        <v>1</v>
      </c>
      <c r="C303" t="s">
        <v>6</v>
      </c>
      <c r="D303" s="2">
        <v>43706</v>
      </c>
      <c r="E303" s="3">
        <v>43706.47668</v>
      </c>
      <c r="F303" s="3">
        <v>43706.480150000003</v>
      </c>
      <c r="H303">
        <v>23.33</v>
      </c>
      <c r="K303">
        <v>12.931025177002001</v>
      </c>
      <c r="L303">
        <v>-4.6517702167341799E-4</v>
      </c>
    </row>
    <row r="304" spans="1:12" x14ac:dyDescent="0.2">
      <c r="A304" t="s">
        <v>8</v>
      </c>
      <c r="B304">
        <v>2</v>
      </c>
      <c r="C304" t="s">
        <v>2</v>
      </c>
      <c r="D304" s="2">
        <v>43706</v>
      </c>
      <c r="E304" s="3">
        <v>43706.483679999998</v>
      </c>
      <c r="F304" s="3">
        <v>43706.487150000001</v>
      </c>
      <c r="G304">
        <v>15.5</v>
      </c>
      <c r="H304">
        <v>23.33</v>
      </c>
      <c r="I304">
        <v>36.9</v>
      </c>
      <c r="J304">
        <v>0.57999999999999996</v>
      </c>
      <c r="K304">
        <v>3.2933090542768699</v>
      </c>
      <c r="L304">
        <v>-4.1837952712349798E-4</v>
      </c>
    </row>
    <row r="305" spans="1:12" x14ac:dyDescent="0.2">
      <c r="A305" t="s">
        <v>8</v>
      </c>
      <c r="B305">
        <v>2</v>
      </c>
      <c r="C305" t="s">
        <v>6</v>
      </c>
      <c r="D305" s="2">
        <v>43706</v>
      </c>
      <c r="E305" s="3">
        <v>43706.489179999997</v>
      </c>
      <c r="F305" s="3">
        <v>43706.49265</v>
      </c>
      <c r="H305">
        <v>23.33</v>
      </c>
      <c r="K305">
        <v>9.6799018544768707</v>
      </c>
      <c r="L305">
        <v>-3.0301042515268599E-4</v>
      </c>
    </row>
    <row r="306" spans="1:12" x14ac:dyDescent="0.2">
      <c r="A306" t="s">
        <v>8</v>
      </c>
      <c r="B306">
        <v>3</v>
      </c>
      <c r="C306" t="s">
        <v>2</v>
      </c>
      <c r="D306" s="2">
        <v>43706</v>
      </c>
      <c r="E306" s="3">
        <v>43706.49497</v>
      </c>
      <c r="F306" s="3">
        <v>43706.498440000003</v>
      </c>
      <c r="G306">
        <v>5.7</v>
      </c>
      <c r="H306">
        <v>23.33</v>
      </c>
      <c r="I306">
        <v>37.9</v>
      </c>
      <c r="J306">
        <v>0.62</v>
      </c>
      <c r="K306">
        <v>0.58430611162646495</v>
      </c>
      <c r="L306">
        <v>-4.5233500369852998E-4</v>
      </c>
    </row>
    <row r="307" spans="1:12" x14ac:dyDescent="0.2">
      <c r="A307" t="s">
        <v>8</v>
      </c>
      <c r="B307">
        <v>3</v>
      </c>
      <c r="C307" t="s">
        <v>6</v>
      </c>
      <c r="D307" s="2">
        <v>43706</v>
      </c>
      <c r="E307" s="3">
        <v>43706.501100000001</v>
      </c>
      <c r="F307" s="3">
        <v>43706.504569999997</v>
      </c>
      <c r="H307">
        <v>23.33</v>
      </c>
      <c r="K307">
        <v>13.908045896708501</v>
      </c>
      <c r="L307">
        <v>-6.07784401282404E-4</v>
      </c>
    </row>
    <row r="308" spans="1:12" x14ac:dyDescent="0.2">
      <c r="A308" t="s">
        <v>8</v>
      </c>
      <c r="B308">
        <v>4</v>
      </c>
      <c r="C308" t="s">
        <v>2</v>
      </c>
      <c r="D308" s="2">
        <v>43706</v>
      </c>
      <c r="E308" s="3">
        <v>43706.507420000002</v>
      </c>
      <c r="F308" s="3">
        <v>43706.510889999998</v>
      </c>
      <c r="G308">
        <v>4.3</v>
      </c>
      <c r="H308">
        <v>24.44</v>
      </c>
      <c r="I308">
        <v>47.6</v>
      </c>
      <c r="J308">
        <v>0.52</v>
      </c>
      <c r="K308">
        <v>-1.97856419276106</v>
      </c>
      <c r="L308">
        <v>-3.6406840430530798E-4</v>
      </c>
    </row>
    <row r="309" spans="1:12" x14ac:dyDescent="0.2">
      <c r="A309" t="s">
        <v>8</v>
      </c>
      <c r="B309">
        <v>4</v>
      </c>
      <c r="C309" t="s">
        <v>6</v>
      </c>
      <c r="D309" s="2">
        <v>43706</v>
      </c>
      <c r="E309" s="3">
        <v>43706.513659999997</v>
      </c>
      <c r="F309" s="3">
        <v>43706.51713</v>
      </c>
      <c r="H309">
        <v>24.44</v>
      </c>
      <c r="K309">
        <v>9.8628529460383501</v>
      </c>
      <c r="L309">
        <v>-6.6325251771226295E-4</v>
      </c>
    </row>
    <row r="310" spans="1:12" x14ac:dyDescent="0.2">
      <c r="A310" t="s">
        <v>8</v>
      </c>
      <c r="B310">
        <v>5</v>
      </c>
      <c r="C310" t="s">
        <v>2</v>
      </c>
      <c r="D310" s="2">
        <v>43706</v>
      </c>
      <c r="E310" s="3">
        <v>43706.519099999998</v>
      </c>
      <c r="F310" s="3">
        <v>43706.522570000001</v>
      </c>
      <c r="G310">
        <v>8.9</v>
      </c>
      <c r="H310">
        <v>25</v>
      </c>
      <c r="I310">
        <v>39.299999999999997</v>
      </c>
      <c r="J310">
        <v>0.54</v>
      </c>
      <c r="K310">
        <v>0.129305888548992</v>
      </c>
      <c r="L310">
        <v>-2.8591415037205402E-4</v>
      </c>
    </row>
    <row r="311" spans="1:12" x14ac:dyDescent="0.2">
      <c r="A311" t="s">
        <v>8</v>
      </c>
      <c r="B311">
        <v>5</v>
      </c>
      <c r="C311" t="s">
        <v>6</v>
      </c>
      <c r="D311" s="2">
        <v>43706</v>
      </c>
      <c r="E311" s="3">
        <v>43706.524420000002</v>
      </c>
      <c r="F311" s="3">
        <v>43706.527889999998</v>
      </c>
      <c r="H311">
        <v>25</v>
      </c>
      <c r="K311">
        <v>11.6745362091548</v>
      </c>
      <c r="L311">
        <v>-5.9244725874858404E-4</v>
      </c>
    </row>
    <row r="312" spans="1:12" x14ac:dyDescent="0.2">
      <c r="A312" t="s">
        <v>8</v>
      </c>
      <c r="B312">
        <v>1</v>
      </c>
      <c r="C312" t="s">
        <v>2</v>
      </c>
      <c r="D312" s="2">
        <v>43706</v>
      </c>
      <c r="E312" s="3">
        <v>43706.629509999999</v>
      </c>
      <c r="F312" s="3">
        <v>43706.632989999998</v>
      </c>
      <c r="G312">
        <v>5.5</v>
      </c>
      <c r="H312">
        <v>26.11</v>
      </c>
      <c r="I312">
        <v>36.700000000000003</v>
      </c>
      <c r="J312">
        <v>0.55000000000000004</v>
      </c>
      <c r="K312">
        <v>-5.0268121707880304</v>
      </c>
      <c r="L312">
        <v>-4.4061684960678099E-4</v>
      </c>
    </row>
    <row r="313" spans="1:12" x14ac:dyDescent="0.2">
      <c r="A313" t="s">
        <v>8</v>
      </c>
      <c r="B313">
        <v>1</v>
      </c>
      <c r="C313" t="s">
        <v>6</v>
      </c>
      <c r="D313" s="2">
        <v>43706</v>
      </c>
      <c r="E313" s="3">
        <v>43706.635759999997</v>
      </c>
      <c r="F313" s="3">
        <v>43706.639239999997</v>
      </c>
      <c r="H313">
        <v>26.11</v>
      </c>
      <c r="K313">
        <v>11.965161604742001</v>
      </c>
      <c r="L313">
        <v>-7.1981146636003902E-4</v>
      </c>
    </row>
    <row r="314" spans="1:12" x14ac:dyDescent="0.2">
      <c r="A314" t="s">
        <v>8</v>
      </c>
      <c r="B314">
        <v>2</v>
      </c>
      <c r="C314" t="s">
        <v>2</v>
      </c>
      <c r="D314" s="2">
        <v>43706</v>
      </c>
      <c r="E314" s="3">
        <v>43706.641839999997</v>
      </c>
      <c r="F314" s="3">
        <v>43706.64531</v>
      </c>
      <c r="G314">
        <v>8.9</v>
      </c>
      <c r="H314">
        <v>26.11</v>
      </c>
      <c r="I314">
        <v>35.9</v>
      </c>
      <c r="J314">
        <v>0.54</v>
      </c>
      <c r="K314">
        <v>3.2304795264114499</v>
      </c>
      <c r="L314">
        <v>-2.8462437378275001E-4</v>
      </c>
    </row>
    <row r="315" spans="1:12" x14ac:dyDescent="0.2">
      <c r="A315" t="s">
        <v>8</v>
      </c>
      <c r="B315">
        <v>2</v>
      </c>
      <c r="C315" t="s">
        <v>6</v>
      </c>
      <c r="D315" s="2">
        <v>43706</v>
      </c>
      <c r="E315" s="3">
        <v>43706.649360000003</v>
      </c>
      <c r="F315" s="3">
        <v>43706.652840000002</v>
      </c>
      <c r="H315">
        <v>26.11</v>
      </c>
      <c r="K315">
        <v>9.6210888994858195</v>
      </c>
      <c r="L315">
        <v>-5.0463321280908903E-4</v>
      </c>
    </row>
    <row r="316" spans="1:12" x14ac:dyDescent="0.2">
      <c r="A316" t="s">
        <v>8</v>
      </c>
      <c r="B316">
        <v>3</v>
      </c>
      <c r="C316" t="s">
        <v>2</v>
      </c>
      <c r="D316" s="2">
        <v>43706</v>
      </c>
      <c r="E316" s="3">
        <v>43706.654979999999</v>
      </c>
      <c r="F316" s="3">
        <v>43706.658450000003</v>
      </c>
      <c r="G316">
        <v>4.7</v>
      </c>
      <c r="H316">
        <v>26.11</v>
      </c>
      <c r="I316">
        <v>39.799999999999997</v>
      </c>
      <c r="J316">
        <v>0.57999999999999996</v>
      </c>
      <c r="K316">
        <v>2.5153078541555298</v>
      </c>
      <c r="L316">
        <v>-2.54631720079999E-4</v>
      </c>
    </row>
    <row r="317" spans="1:12" x14ac:dyDescent="0.2">
      <c r="A317" t="s">
        <v>8</v>
      </c>
      <c r="B317">
        <v>3</v>
      </c>
      <c r="C317" t="s">
        <v>6</v>
      </c>
      <c r="D317" s="2">
        <v>43706</v>
      </c>
      <c r="E317" s="3">
        <v>43706.660759999999</v>
      </c>
      <c r="F317" s="3">
        <v>43706.664239999998</v>
      </c>
      <c r="H317">
        <v>26.11</v>
      </c>
      <c r="K317">
        <v>10.588630860983599</v>
      </c>
      <c r="L317">
        <v>-4.1052092849175402E-4</v>
      </c>
    </row>
    <row r="318" spans="1:12" x14ac:dyDescent="0.2">
      <c r="A318" t="s">
        <v>8</v>
      </c>
      <c r="B318">
        <v>4</v>
      </c>
      <c r="C318" t="s">
        <v>2</v>
      </c>
      <c r="D318" s="2">
        <v>43706</v>
      </c>
      <c r="E318" s="3">
        <v>43706.666149999997</v>
      </c>
      <c r="F318" s="3">
        <v>43706.669620000001</v>
      </c>
      <c r="G318">
        <v>11.5</v>
      </c>
      <c r="H318">
        <v>26.11</v>
      </c>
      <c r="I318">
        <v>43.4</v>
      </c>
      <c r="J318">
        <v>0.52</v>
      </c>
      <c r="K318">
        <v>0.82909630438341397</v>
      </c>
      <c r="L318">
        <v>-5.1245417289403803E-4</v>
      </c>
    </row>
    <row r="319" spans="1:12" x14ac:dyDescent="0.2">
      <c r="A319" t="s">
        <v>8</v>
      </c>
      <c r="B319">
        <v>4</v>
      </c>
      <c r="C319" t="s">
        <v>6</v>
      </c>
      <c r="D319" s="2">
        <v>43706</v>
      </c>
      <c r="E319" s="3">
        <v>43706.672050000001</v>
      </c>
      <c r="F319" s="3">
        <v>43706.675519999997</v>
      </c>
      <c r="H319">
        <v>26.11</v>
      </c>
      <c r="K319">
        <v>7.4645352490878096</v>
      </c>
      <c r="L319">
        <v>-4.3035612637606202E-4</v>
      </c>
    </row>
    <row r="320" spans="1:12" x14ac:dyDescent="0.2">
      <c r="A320" t="s">
        <v>8</v>
      </c>
      <c r="B320">
        <v>5</v>
      </c>
      <c r="C320" t="s">
        <v>2</v>
      </c>
      <c r="D320" s="2">
        <v>43706</v>
      </c>
      <c r="E320" s="3">
        <v>43706.677889999999</v>
      </c>
      <c r="F320" s="3">
        <v>43706.681369999998</v>
      </c>
      <c r="G320">
        <v>10.7</v>
      </c>
      <c r="H320">
        <v>26.11</v>
      </c>
      <c r="I320">
        <v>36</v>
      </c>
      <c r="J320">
        <v>0.57999999999999996</v>
      </c>
      <c r="K320">
        <v>3.2581613262617699</v>
      </c>
      <c r="L320">
        <v>-3.8643844504514301E-4</v>
      </c>
    </row>
    <row r="321" spans="1:12" x14ac:dyDescent="0.2">
      <c r="A321" t="s">
        <v>8</v>
      </c>
      <c r="B321">
        <v>5</v>
      </c>
      <c r="C321" t="s">
        <v>6</v>
      </c>
      <c r="D321" s="2">
        <v>43706</v>
      </c>
      <c r="E321" s="3">
        <v>43706.68391</v>
      </c>
      <c r="F321" s="3">
        <v>43706.687380000003</v>
      </c>
      <c r="H321">
        <v>26.11</v>
      </c>
      <c r="K321">
        <v>10.478655527611799</v>
      </c>
      <c r="L321">
        <v>-5.9800198557199904E-4</v>
      </c>
    </row>
    <row r="322" spans="1:12" x14ac:dyDescent="0.2">
      <c r="A322" t="s">
        <v>8</v>
      </c>
      <c r="B322">
        <v>1</v>
      </c>
      <c r="C322" t="s">
        <v>2</v>
      </c>
      <c r="D322" s="2">
        <v>43719</v>
      </c>
      <c r="E322" s="3">
        <v>43719.398439999997</v>
      </c>
      <c r="F322" s="3">
        <v>43719.40191</v>
      </c>
      <c r="G322">
        <v>7.9</v>
      </c>
      <c r="H322">
        <v>21.67</v>
      </c>
      <c r="I322">
        <v>49.9</v>
      </c>
      <c r="J322">
        <v>0.61</v>
      </c>
      <c r="K322">
        <v>-9.3433032491200708E-3</v>
      </c>
      <c r="L322">
        <v>-1.19051465482395E-3</v>
      </c>
    </row>
    <row r="323" spans="1:12" x14ac:dyDescent="0.2">
      <c r="A323" t="s">
        <v>8</v>
      </c>
      <c r="B323">
        <v>1</v>
      </c>
      <c r="C323" t="s">
        <v>6</v>
      </c>
      <c r="D323" s="2">
        <v>43719</v>
      </c>
      <c r="E323" s="3">
        <v>43719.405379999997</v>
      </c>
      <c r="F323" s="3">
        <v>43719.40885</v>
      </c>
      <c r="H323">
        <v>21.67</v>
      </c>
      <c r="K323">
        <v>8.6733900336604997</v>
      </c>
      <c r="L323">
        <v>-7.71257380550553E-4</v>
      </c>
    </row>
    <row r="324" spans="1:12" x14ac:dyDescent="0.2">
      <c r="A324" t="s">
        <v>8</v>
      </c>
      <c r="B324">
        <v>2</v>
      </c>
      <c r="C324" t="s">
        <v>2</v>
      </c>
      <c r="D324" s="2">
        <v>43719</v>
      </c>
      <c r="E324" s="3">
        <v>43719.412380000002</v>
      </c>
      <c r="F324" s="3">
        <v>43719.415860000001</v>
      </c>
      <c r="G324">
        <v>11.1</v>
      </c>
      <c r="H324">
        <v>21.67</v>
      </c>
      <c r="I324">
        <v>42.3</v>
      </c>
      <c r="J324">
        <v>0.63</v>
      </c>
      <c r="K324">
        <v>-3.3954773497148798</v>
      </c>
      <c r="L324">
        <v>-1.98826622013111E-4</v>
      </c>
    </row>
    <row r="325" spans="1:12" x14ac:dyDescent="0.2">
      <c r="A325" t="s">
        <v>8</v>
      </c>
      <c r="B325">
        <v>2</v>
      </c>
      <c r="C325" t="s">
        <v>6</v>
      </c>
      <c r="D325" s="2">
        <v>43719</v>
      </c>
      <c r="E325" s="3">
        <v>43719.418749999997</v>
      </c>
      <c r="F325" s="3">
        <v>43719.42222</v>
      </c>
      <c r="H325">
        <v>21.67</v>
      </c>
      <c r="K325">
        <v>5.8053355108589404</v>
      </c>
      <c r="L325">
        <v>-3.8509572060111801E-4</v>
      </c>
    </row>
    <row r="326" spans="1:12" x14ac:dyDescent="0.2">
      <c r="A326" t="s">
        <v>8</v>
      </c>
      <c r="B326">
        <v>3</v>
      </c>
      <c r="C326" t="s">
        <v>2</v>
      </c>
      <c r="D326" s="2">
        <v>43719</v>
      </c>
      <c r="E326" s="3">
        <v>43719.425349999998</v>
      </c>
      <c r="F326" s="3">
        <v>43719.428820000001</v>
      </c>
      <c r="G326">
        <v>7.1</v>
      </c>
      <c r="H326">
        <v>23.33</v>
      </c>
      <c r="I326">
        <v>31.6</v>
      </c>
      <c r="J326">
        <v>0.66</v>
      </c>
      <c r="K326">
        <v>-4.6101273811160102</v>
      </c>
      <c r="L326">
        <v>-4.03577038048371E-4</v>
      </c>
    </row>
    <row r="327" spans="1:12" x14ac:dyDescent="0.2">
      <c r="A327" t="s">
        <v>8</v>
      </c>
      <c r="B327">
        <v>3</v>
      </c>
      <c r="C327" t="s">
        <v>6</v>
      </c>
      <c r="D327" s="2">
        <v>43719</v>
      </c>
      <c r="E327" s="3">
        <v>43719.43189</v>
      </c>
      <c r="F327" s="3">
        <v>43719.435360000003</v>
      </c>
      <c r="H327">
        <v>23.33</v>
      </c>
      <c r="K327">
        <v>6.9895228246154701</v>
      </c>
      <c r="L327">
        <v>-2.9047299044766898E-4</v>
      </c>
    </row>
    <row r="328" spans="1:12" x14ac:dyDescent="0.2">
      <c r="A328" t="s">
        <v>8</v>
      </c>
      <c r="B328">
        <v>4</v>
      </c>
      <c r="C328" t="s">
        <v>2</v>
      </c>
      <c r="D328" s="2">
        <v>43719</v>
      </c>
      <c r="E328" s="3">
        <v>43719.438430000002</v>
      </c>
      <c r="F328" s="3">
        <v>43719.441899999998</v>
      </c>
      <c r="G328">
        <v>7</v>
      </c>
      <c r="H328">
        <v>23.33</v>
      </c>
      <c r="I328">
        <v>41.5</v>
      </c>
      <c r="J328">
        <v>0.63</v>
      </c>
      <c r="K328">
        <v>-5.40493806005568</v>
      </c>
      <c r="L328">
        <v>-3.4782489656522202E-4</v>
      </c>
    </row>
    <row r="329" spans="1:12" x14ac:dyDescent="0.2">
      <c r="A329" t="s">
        <v>8</v>
      </c>
      <c r="B329">
        <v>4</v>
      </c>
      <c r="C329" t="s">
        <v>6</v>
      </c>
      <c r="D329" s="2">
        <v>43719</v>
      </c>
      <c r="E329" s="3">
        <v>43719.445370000001</v>
      </c>
      <c r="F329" s="3">
        <v>43719.448839999997</v>
      </c>
      <c r="H329">
        <v>23.33</v>
      </c>
      <c r="K329">
        <v>7.356406046159</v>
      </c>
      <c r="L329">
        <v>-6.0519184285911598E-4</v>
      </c>
    </row>
    <row r="330" spans="1:12" x14ac:dyDescent="0.2">
      <c r="A330" t="s">
        <v>8</v>
      </c>
      <c r="B330">
        <v>5</v>
      </c>
      <c r="C330" t="s">
        <v>2</v>
      </c>
      <c r="D330" s="2">
        <v>43719</v>
      </c>
      <c r="E330" s="3">
        <v>43719.451099999998</v>
      </c>
      <c r="F330" s="3">
        <v>43719.454570000002</v>
      </c>
      <c r="G330">
        <v>8.1999999999999993</v>
      </c>
      <c r="H330">
        <v>25</v>
      </c>
      <c r="I330">
        <v>36.200000000000003</v>
      </c>
      <c r="J330">
        <v>0.65</v>
      </c>
      <c r="K330">
        <v>-2.3218217530160099</v>
      </c>
      <c r="L330">
        <v>-2.1374106933827401E-4</v>
      </c>
    </row>
    <row r="331" spans="1:12" x14ac:dyDescent="0.2">
      <c r="A331" t="s">
        <v>8</v>
      </c>
      <c r="B331">
        <v>5</v>
      </c>
      <c r="C331" t="s">
        <v>6</v>
      </c>
      <c r="D331" s="2">
        <v>43719</v>
      </c>
      <c r="E331" s="3">
        <v>43719.458160000002</v>
      </c>
      <c r="F331" s="3">
        <v>43719.461629999998</v>
      </c>
      <c r="H331">
        <v>25</v>
      </c>
      <c r="K331">
        <v>7.7841006962168704</v>
      </c>
      <c r="L331">
        <v>-1.3532880236947001E-4</v>
      </c>
    </row>
    <row r="332" spans="1:12" x14ac:dyDescent="0.2">
      <c r="A332" t="s">
        <v>8</v>
      </c>
      <c r="B332">
        <v>1</v>
      </c>
      <c r="C332" t="s">
        <v>2</v>
      </c>
      <c r="D332" s="2">
        <v>43719</v>
      </c>
      <c r="E332" s="3">
        <v>43719.483220000002</v>
      </c>
      <c r="F332" s="3">
        <v>43719.486689999998</v>
      </c>
      <c r="G332">
        <v>7.6</v>
      </c>
      <c r="H332">
        <v>25.56</v>
      </c>
      <c r="I332">
        <v>42</v>
      </c>
      <c r="J332">
        <v>0.61</v>
      </c>
      <c r="K332">
        <v>-5.8638971173702501</v>
      </c>
      <c r="L332">
        <v>-6.2884530937065903E-4</v>
      </c>
    </row>
    <row r="333" spans="1:12" x14ac:dyDescent="0.2">
      <c r="A333" t="s">
        <v>8</v>
      </c>
      <c r="B333">
        <v>1</v>
      </c>
      <c r="C333" t="s">
        <v>6</v>
      </c>
      <c r="D333" s="2">
        <v>43719</v>
      </c>
      <c r="E333" s="3">
        <v>43719.489289999998</v>
      </c>
      <c r="F333" s="3">
        <v>43719.492769999997</v>
      </c>
      <c r="H333">
        <v>25.56</v>
      </c>
      <c r="K333">
        <v>10.4330322416378</v>
      </c>
      <c r="L333">
        <v>-3.3456606621245399E-4</v>
      </c>
    </row>
    <row r="334" spans="1:12" x14ac:dyDescent="0.2">
      <c r="A334" t="s">
        <v>8</v>
      </c>
      <c r="B334">
        <v>2</v>
      </c>
      <c r="C334" t="s">
        <v>2</v>
      </c>
      <c r="D334" s="2">
        <v>43719</v>
      </c>
      <c r="E334" s="3">
        <v>43719.494850000003</v>
      </c>
      <c r="F334" s="3">
        <v>43719.498319999999</v>
      </c>
      <c r="G334">
        <v>12.7</v>
      </c>
      <c r="H334">
        <v>25.56</v>
      </c>
      <c r="I334">
        <v>46.8</v>
      </c>
      <c r="J334">
        <v>0.6</v>
      </c>
      <c r="K334">
        <v>-1.00662126849911</v>
      </c>
      <c r="L334">
        <v>-2.8157401153881801E-4</v>
      </c>
    </row>
    <row r="335" spans="1:12" x14ac:dyDescent="0.2">
      <c r="A335" t="s">
        <v>8</v>
      </c>
      <c r="B335">
        <v>2</v>
      </c>
      <c r="C335" t="s">
        <v>6</v>
      </c>
      <c r="D335" s="2">
        <v>43719</v>
      </c>
      <c r="E335" s="3">
        <v>43719.502489999999</v>
      </c>
      <c r="F335" s="3">
        <v>43719.505960000002</v>
      </c>
      <c r="H335">
        <v>25.56</v>
      </c>
      <c r="K335">
        <v>7.4513640112929904</v>
      </c>
      <c r="L335">
        <v>-2.8410130199256299E-4</v>
      </c>
    </row>
    <row r="336" spans="1:12" x14ac:dyDescent="0.2">
      <c r="A336" t="s">
        <v>8</v>
      </c>
      <c r="B336">
        <v>3</v>
      </c>
      <c r="C336" t="s">
        <v>2</v>
      </c>
      <c r="D336" s="2">
        <v>43719</v>
      </c>
      <c r="E336" s="3">
        <v>43719.509319999997</v>
      </c>
      <c r="F336" s="3">
        <v>43719.512790000001</v>
      </c>
      <c r="G336">
        <v>7.6</v>
      </c>
      <c r="H336">
        <v>25.56</v>
      </c>
      <c r="I336">
        <v>44.1</v>
      </c>
      <c r="J336">
        <v>0.71</v>
      </c>
      <c r="K336">
        <v>-1.95220537975396</v>
      </c>
      <c r="L336">
        <v>-3.0408200705812102E-4</v>
      </c>
    </row>
    <row r="337" spans="1:12" x14ac:dyDescent="0.2">
      <c r="A337" t="s">
        <v>8</v>
      </c>
      <c r="B337">
        <v>3</v>
      </c>
      <c r="C337" t="s">
        <v>6</v>
      </c>
      <c r="D337" s="2">
        <v>43719</v>
      </c>
      <c r="E337" s="3">
        <v>43719.516779999998</v>
      </c>
      <c r="F337" s="3">
        <v>43719.520250000001</v>
      </c>
      <c r="H337">
        <v>25.56</v>
      </c>
      <c r="K337">
        <v>9.2056552166108201</v>
      </c>
      <c r="L337">
        <v>-3.16789689750768E-4</v>
      </c>
    </row>
    <row r="338" spans="1:12" x14ac:dyDescent="0.2">
      <c r="A338" t="s">
        <v>8</v>
      </c>
      <c r="B338">
        <v>4</v>
      </c>
      <c r="C338" t="s">
        <v>2</v>
      </c>
      <c r="D338" s="2">
        <v>43719</v>
      </c>
      <c r="E338" s="3">
        <v>43719.523439999997</v>
      </c>
      <c r="F338" s="3">
        <v>43719.52691</v>
      </c>
      <c r="G338">
        <v>7.9</v>
      </c>
      <c r="H338">
        <v>27.22</v>
      </c>
      <c r="I338">
        <v>34.9</v>
      </c>
      <c r="J338">
        <v>0.63</v>
      </c>
      <c r="K338">
        <v>-2.5329324560985498</v>
      </c>
      <c r="L338">
        <v>-4.6240790608916298E-4</v>
      </c>
    </row>
    <row r="339" spans="1:12" x14ac:dyDescent="0.2">
      <c r="A339" t="s">
        <v>8</v>
      </c>
      <c r="B339">
        <v>4</v>
      </c>
      <c r="C339" t="s">
        <v>6</v>
      </c>
      <c r="D339" s="2">
        <v>43719</v>
      </c>
      <c r="E339" s="3">
        <v>43719.530209999997</v>
      </c>
      <c r="F339" s="3">
        <v>43719.53368</v>
      </c>
      <c r="H339">
        <v>27.22</v>
      </c>
      <c r="K339">
        <v>7.2668091366454197</v>
      </c>
      <c r="L339">
        <v>-4.2884690101662398E-4</v>
      </c>
    </row>
    <row r="340" spans="1:12" x14ac:dyDescent="0.2">
      <c r="A340" t="s">
        <v>8</v>
      </c>
      <c r="B340">
        <v>5</v>
      </c>
      <c r="C340" t="s">
        <v>2</v>
      </c>
      <c r="D340" s="2">
        <v>43719</v>
      </c>
      <c r="E340" s="3">
        <v>43719.53744</v>
      </c>
      <c r="F340" s="3">
        <v>43719.540910000003</v>
      </c>
      <c r="G340">
        <v>11.9</v>
      </c>
      <c r="H340">
        <v>27.22</v>
      </c>
      <c r="I340">
        <v>40.299999999999997</v>
      </c>
      <c r="J340">
        <v>0.6</v>
      </c>
      <c r="K340">
        <v>-0.58297084625894902</v>
      </c>
      <c r="L340" s="6">
        <v>-8.6462351454580702E-5</v>
      </c>
    </row>
    <row r="341" spans="1:12" x14ac:dyDescent="0.2">
      <c r="A341" t="s">
        <v>8</v>
      </c>
      <c r="B341">
        <v>5</v>
      </c>
      <c r="C341" t="s">
        <v>6</v>
      </c>
      <c r="D341" s="2">
        <v>43719</v>
      </c>
      <c r="E341" s="3">
        <v>43719.544909999997</v>
      </c>
      <c r="F341" s="3">
        <v>43719.54838</v>
      </c>
      <c r="H341">
        <v>27.22</v>
      </c>
      <c r="K341">
        <v>9.7020144325485091</v>
      </c>
      <c r="L341">
        <v>-3.0624591522298802E-4</v>
      </c>
    </row>
    <row r="342" spans="1:12" x14ac:dyDescent="0.2">
      <c r="A342" t="s">
        <v>8</v>
      </c>
      <c r="B342">
        <v>1</v>
      </c>
      <c r="C342" t="s">
        <v>2</v>
      </c>
      <c r="D342" s="2">
        <v>43726</v>
      </c>
      <c r="E342" s="3">
        <v>43726.61464</v>
      </c>
      <c r="F342" s="3">
        <v>43726.618110000003</v>
      </c>
      <c r="G342">
        <v>5.7</v>
      </c>
      <c r="H342">
        <v>20</v>
      </c>
      <c r="I342">
        <v>39.6</v>
      </c>
      <c r="J342">
        <v>62</v>
      </c>
      <c r="K342">
        <v>-4.6252804878671796</v>
      </c>
      <c r="L342">
        <v>-8.6515780643786101E-4</v>
      </c>
    </row>
    <row r="343" spans="1:12" x14ac:dyDescent="0.2">
      <c r="A343" t="s">
        <v>8</v>
      </c>
      <c r="B343">
        <v>1</v>
      </c>
      <c r="C343" t="s">
        <v>6</v>
      </c>
      <c r="D343" s="2">
        <v>43726</v>
      </c>
      <c r="E343" s="3">
        <v>43726.618920000001</v>
      </c>
      <c r="F343" s="3">
        <v>43726.6224</v>
      </c>
      <c r="H343">
        <v>20</v>
      </c>
      <c r="K343">
        <v>12.851771436602199</v>
      </c>
      <c r="L343">
        <v>-1.52179032308459E-4</v>
      </c>
    </row>
    <row r="344" spans="1:12" x14ac:dyDescent="0.2">
      <c r="A344" t="s">
        <v>8</v>
      </c>
      <c r="B344">
        <v>2</v>
      </c>
      <c r="C344" t="s">
        <v>2</v>
      </c>
      <c r="D344" s="2">
        <v>43726</v>
      </c>
      <c r="E344" s="3">
        <v>43726.626969999998</v>
      </c>
      <c r="F344" s="3">
        <v>43726.630440000001</v>
      </c>
      <c r="G344">
        <v>8.3000000000000007</v>
      </c>
      <c r="H344">
        <v>20</v>
      </c>
      <c r="I344">
        <v>47.1</v>
      </c>
      <c r="J344">
        <v>63</v>
      </c>
      <c r="K344">
        <v>2.6454963345948102</v>
      </c>
      <c r="L344">
        <v>-4.0473584219310002E-4</v>
      </c>
    </row>
    <row r="345" spans="1:12" x14ac:dyDescent="0.2">
      <c r="A345" t="s">
        <v>8</v>
      </c>
      <c r="B345">
        <v>2</v>
      </c>
      <c r="C345" t="s">
        <v>6</v>
      </c>
      <c r="D345" s="2">
        <v>43726</v>
      </c>
      <c r="E345" s="3">
        <v>43726.633620000001</v>
      </c>
      <c r="F345" s="3">
        <v>43726.637089999997</v>
      </c>
      <c r="H345">
        <v>20</v>
      </c>
      <c r="K345">
        <v>5.8237002341833097</v>
      </c>
      <c r="L345">
        <v>-3.3053544569770901E-4</v>
      </c>
    </row>
    <row r="346" spans="1:12" x14ac:dyDescent="0.2">
      <c r="A346" t="s">
        <v>8</v>
      </c>
      <c r="B346">
        <v>3</v>
      </c>
      <c r="C346" t="s">
        <v>2</v>
      </c>
      <c r="D346" s="2">
        <v>43726</v>
      </c>
      <c r="E346" s="3">
        <v>43726.63953</v>
      </c>
      <c r="F346" s="3">
        <v>43726.642999999996</v>
      </c>
      <c r="G346">
        <v>9.1</v>
      </c>
      <c r="H346">
        <v>20</v>
      </c>
      <c r="I346">
        <v>48.1</v>
      </c>
      <c r="J346">
        <v>61</v>
      </c>
      <c r="K346">
        <v>-2.1959892822096898</v>
      </c>
      <c r="L346">
        <v>-5.7562581132183704E-4</v>
      </c>
    </row>
    <row r="347" spans="1:12" x14ac:dyDescent="0.2">
      <c r="A347" t="s">
        <v>8</v>
      </c>
      <c r="B347">
        <v>3</v>
      </c>
      <c r="C347" t="s">
        <v>6</v>
      </c>
      <c r="D347" s="2">
        <v>43726</v>
      </c>
      <c r="E347" s="3">
        <v>43726.64688</v>
      </c>
      <c r="F347" s="3">
        <v>43726.650350000004</v>
      </c>
      <c r="H347">
        <v>20</v>
      </c>
      <c r="K347">
        <v>7.7522034208452801</v>
      </c>
      <c r="L347">
        <v>-8.5203296589894304E-4</v>
      </c>
    </row>
    <row r="348" spans="1:12" x14ac:dyDescent="0.2">
      <c r="A348" t="s">
        <v>8</v>
      </c>
      <c r="B348">
        <v>4</v>
      </c>
      <c r="C348" t="s">
        <v>2</v>
      </c>
      <c r="D348" s="2">
        <v>43726</v>
      </c>
      <c r="E348" s="3">
        <v>43726.654629999997</v>
      </c>
      <c r="F348" s="3">
        <v>43726.658100000001</v>
      </c>
      <c r="G348">
        <v>5.4</v>
      </c>
      <c r="H348">
        <v>20</v>
      </c>
      <c r="I348">
        <v>39</v>
      </c>
      <c r="J348">
        <v>61</v>
      </c>
      <c r="K348">
        <v>-2.88794493448713</v>
      </c>
      <c r="L348">
        <v>-4.1028818312002698E-4</v>
      </c>
    </row>
    <row r="349" spans="1:12" x14ac:dyDescent="0.2">
      <c r="A349" t="s">
        <v>8</v>
      </c>
      <c r="B349">
        <v>4</v>
      </c>
      <c r="C349" t="s">
        <v>6</v>
      </c>
      <c r="D349" s="2">
        <v>43726</v>
      </c>
      <c r="E349" s="3">
        <v>43726.662270000001</v>
      </c>
      <c r="F349" s="3">
        <v>43726.665739999997</v>
      </c>
      <c r="H349">
        <v>20</v>
      </c>
      <c r="K349">
        <v>5.0971575723002296</v>
      </c>
      <c r="L349">
        <v>-3.4834935287455501E-4</v>
      </c>
    </row>
    <row r="350" spans="1:12" x14ac:dyDescent="0.2">
      <c r="A350" t="s">
        <v>8</v>
      </c>
      <c r="B350">
        <v>5</v>
      </c>
      <c r="C350" t="s">
        <v>2</v>
      </c>
      <c r="D350" s="2">
        <v>43726</v>
      </c>
      <c r="E350" s="3">
        <v>43726.668060000004</v>
      </c>
      <c r="F350" s="3">
        <v>43726.67153</v>
      </c>
      <c r="G350">
        <v>11.8</v>
      </c>
      <c r="H350">
        <v>20.56</v>
      </c>
      <c r="I350">
        <v>34.799999999999997</v>
      </c>
      <c r="J350">
        <v>65</v>
      </c>
      <c r="K350">
        <v>-0.30762002005248401</v>
      </c>
      <c r="L350">
        <v>-4.5055885150515799E-4</v>
      </c>
    </row>
    <row r="351" spans="1:12" x14ac:dyDescent="0.2">
      <c r="A351" t="s">
        <v>8</v>
      </c>
      <c r="B351">
        <v>5</v>
      </c>
      <c r="C351" t="s">
        <v>6</v>
      </c>
      <c r="D351" s="2">
        <v>43726</v>
      </c>
      <c r="E351" s="3">
        <v>43726.674310000002</v>
      </c>
      <c r="F351" s="3">
        <v>43726.677779999998</v>
      </c>
      <c r="H351">
        <v>20.56</v>
      </c>
      <c r="K351">
        <v>8.0864564215862007</v>
      </c>
      <c r="L351">
        <v>-4.84365786773376E-4</v>
      </c>
    </row>
    <row r="352" spans="1:12" x14ac:dyDescent="0.2">
      <c r="A352" t="s">
        <v>8</v>
      </c>
      <c r="B352">
        <v>1</v>
      </c>
      <c r="C352" t="s">
        <v>2</v>
      </c>
      <c r="D352" s="2">
        <v>43733</v>
      </c>
      <c r="E352" s="3">
        <v>43733.434029999997</v>
      </c>
      <c r="F352" s="3">
        <v>43733.4375</v>
      </c>
      <c r="G352">
        <v>4.3</v>
      </c>
      <c r="H352">
        <v>16.670000000000002</v>
      </c>
      <c r="I352">
        <v>35.1</v>
      </c>
      <c r="J352">
        <v>0.66</v>
      </c>
      <c r="K352">
        <v>-6.6545046858759198</v>
      </c>
      <c r="L352">
        <v>-5.0990368689568803E-4</v>
      </c>
    </row>
    <row r="353" spans="1:12" x14ac:dyDescent="0.2">
      <c r="A353" t="s">
        <v>8</v>
      </c>
      <c r="B353">
        <v>1</v>
      </c>
      <c r="C353" t="s">
        <v>6</v>
      </c>
      <c r="D353" s="2">
        <v>43733</v>
      </c>
      <c r="E353" s="3">
        <v>43733.442360000001</v>
      </c>
      <c r="F353" s="3">
        <v>43733.445829999997</v>
      </c>
      <c r="H353">
        <v>16.670000000000002</v>
      </c>
      <c r="K353">
        <v>8.1437721168389707</v>
      </c>
      <c r="L353">
        <v>-9.3047282120317599E-4</v>
      </c>
    </row>
    <row r="354" spans="1:12" x14ac:dyDescent="0.2">
      <c r="A354" t="s">
        <v>8</v>
      </c>
      <c r="B354">
        <v>2</v>
      </c>
      <c r="C354" t="s">
        <v>2</v>
      </c>
      <c r="D354" s="2">
        <v>43733</v>
      </c>
      <c r="E354" s="3">
        <v>43733.449480000003</v>
      </c>
      <c r="F354" s="3">
        <v>43733.452949999999</v>
      </c>
      <c r="G354">
        <v>7.2</v>
      </c>
      <c r="H354">
        <v>16.670000000000002</v>
      </c>
      <c r="I354">
        <v>41.7</v>
      </c>
      <c r="J354">
        <v>0.65</v>
      </c>
      <c r="K354">
        <v>0.54644528169380602</v>
      </c>
      <c r="L354">
        <v>-6.1712092666610201E-4</v>
      </c>
    </row>
    <row r="355" spans="1:12" x14ac:dyDescent="0.2">
      <c r="A355" t="s">
        <v>8</v>
      </c>
      <c r="B355">
        <v>2</v>
      </c>
      <c r="C355" t="s">
        <v>6</v>
      </c>
      <c r="D355" s="2">
        <v>43733</v>
      </c>
      <c r="E355" s="3">
        <v>43733.457000000002</v>
      </c>
      <c r="F355" s="3">
        <v>43733.460469999998</v>
      </c>
      <c r="H355">
        <v>16.670000000000002</v>
      </c>
      <c r="K355">
        <v>6.2458999066146799</v>
      </c>
      <c r="L355">
        <v>-6.3074829098154505E-4</v>
      </c>
    </row>
    <row r="356" spans="1:12" x14ac:dyDescent="0.2">
      <c r="A356" t="s">
        <v>8</v>
      </c>
      <c r="B356">
        <v>3</v>
      </c>
      <c r="C356" t="s">
        <v>2</v>
      </c>
      <c r="D356" s="2">
        <v>43733</v>
      </c>
      <c r="E356" s="3">
        <v>43733.464350000002</v>
      </c>
      <c r="F356" s="3">
        <v>43733.467819999998</v>
      </c>
      <c r="G356">
        <v>4.0999999999999996</v>
      </c>
      <c r="H356">
        <v>16.670000000000002</v>
      </c>
      <c r="I356">
        <v>24.7</v>
      </c>
      <c r="J356">
        <v>0.7</v>
      </c>
      <c r="K356">
        <v>-2.6956142900293099</v>
      </c>
      <c r="L356">
        <v>-4.8300385706443599E-4</v>
      </c>
    </row>
    <row r="357" spans="1:12" x14ac:dyDescent="0.2">
      <c r="A357" t="s">
        <v>8</v>
      </c>
      <c r="B357">
        <v>3</v>
      </c>
      <c r="C357" t="s">
        <v>6</v>
      </c>
      <c r="D357" s="2">
        <v>43733</v>
      </c>
      <c r="E357" s="3">
        <v>43733.470540000002</v>
      </c>
      <c r="F357" s="3">
        <v>43733.474020000001</v>
      </c>
      <c r="H357">
        <v>16.670000000000002</v>
      </c>
      <c r="K357">
        <v>7.4674444861142604</v>
      </c>
      <c r="L357">
        <v>-5.7513872208248495E-4</v>
      </c>
    </row>
    <row r="358" spans="1:12" x14ac:dyDescent="0.2">
      <c r="A358" t="s">
        <v>8</v>
      </c>
      <c r="B358">
        <v>4</v>
      </c>
      <c r="C358" t="s">
        <v>2</v>
      </c>
      <c r="D358" s="2">
        <v>43733</v>
      </c>
      <c r="E358" s="3">
        <v>43733.478880000002</v>
      </c>
      <c r="F358" s="3">
        <v>43733.482349999998</v>
      </c>
      <c r="G358">
        <v>4.3</v>
      </c>
      <c r="H358">
        <v>16.670000000000002</v>
      </c>
      <c r="I358">
        <v>35.4</v>
      </c>
      <c r="J358">
        <v>0.62</v>
      </c>
      <c r="K358">
        <v>-3.1471155835457898</v>
      </c>
      <c r="L358">
        <v>-4.3655796686062299E-4</v>
      </c>
    </row>
    <row r="359" spans="1:12" x14ac:dyDescent="0.2">
      <c r="A359" t="s">
        <v>8</v>
      </c>
      <c r="B359">
        <v>4</v>
      </c>
      <c r="C359" t="s">
        <v>6</v>
      </c>
      <c r="D359" s="2">
        <v>43733</v>
      </c>
      <c r="E359" s="3">
        <v>43733.486810000002</v>
      </c>
      <c r="F359" s="3">
        <v>43733.490279999998</v>
      </c>
      <c r="H359">
        <v>16.670000000000002</v>
      </c>
      <c r="K359">
        <v>6.0078559220088401</v>
      </c>
      <c r="L359">
        <v>-4.8720730444468601E-4</v>
      </c>
    </row>
    <row r="360" spans="1:12" x14ac:dyDescent="0.2">
      <c r="A360" t="s">
        <v>8</v>
      </c>
      <c r="B360">
        <v>5</v>
      </c>
      <c r="C360" t="s">
        <v>2</v>
      </c>
      <c r="D360" s="2">
        <v>43733</v>
      </c>
      <c r="E360" s="3">
        <v>43733.494209999997</v>
      </c>
      <c r="F360" s="3">
        <v>43733.497689999997</v>
      </c>
      <c r="G360">
        <v>5.2</v>
      </c>
      <c r="H360">
        <v>21.11</v>
      </c>
      <c r="I360">
        <v>43.2</v>
      </c>
      <c r="J360">
        <v>0.61</v>
      </c>
      <c r="K360">
        <v>0.41788183377152999</v>
      </c>
      <c r="L360">
        <v>-5.3473879960642403E-4</v>
      </c>
    </row>
    <row r="361" spans="1:12" x14ac:dyDescent="0.2">
      <c r="A361" t="s">
        <v>8</v>
      </c>
      <c r="B361">
        <v>5</v>
      </c>
      <c r="C361" t="s">
        <v>6</v>
      </c>
      <c r="D361" s="2">
        <v>43733</v>
      </c>
      <c r="E361" s="3">
        <v>43733.50174</v>
      </c>
      <c r="F361" s="3">
        <v>43733.505210000003</v>
      </c>
      <c r="H361">
        <v>21.11</v>
      </c>
      <c r="K361">
        <v>6.6928416301406104</v>
      </c>
      <c r="L361">
        <v>-4.7779379671384199E-4</v>
      </c>
    </row>
    <row r="362" spans="1:12" x14ac:dyDescent="0.2">
      <c r="A362" t="s">
        <v>8</v>
      </c>
      <c r="B362">
        <v>1</v>
      </c>
      <c r="C362" t="s">
        <v>2</v>
      </c>
      <c r="D362" s="2">
        <v>43733</v>
      </c>
      <c r="E362" s="3">
        <v>43733.535880000003</v>
      </c>
      <c r="F362" s="3">
        <v>43733.539349999999</v>
      </c>
      <c r="G362">
        <v>4.4000000000000004</v>
      </c>
      <c r="H362">
        <v>21.11</v>
      </c>
      <c r="I362">
        <v>46</v>
      </c>
      <c r="J362">
        <v>0.67</v>
      </c>
      <c r="K362">
        <v>-4.0841588693327697</v>
      </c>
      <c r="L362">
        <v>-6.2371031412974997E-4</v>
      </c>
    </row>
    <row r="363" spans="1:12" x14ac:dyDescent="0.2">
      <c r="A363" t="s">
        <v>8</v>
      </c>
      <c r="B363">
        <v>1</v>
      </c>
      <c r="C363" t="s">
        <v>6</v>
      </c>
      <c r="D363" s="2">
        <v>43733</v>
      </c>
      <c r="E363" s="3">
        <v>43733.541669999999</v>
      </c>
      <c r="F363" s="3">
        <v>43733.545140000002</v>
      </c>
      <c r="H363">
        <v>21.11</v>
      </c>
      <c r="K363">
        <v>9.6932578679555004</v>
      </c>
      <c r="L363">
        <v>-7.9585375936928903E-4</v>
      </c>
    </row>
    <row r="364" spans="1:12" x14ac:dyDescent="0.2">
      <c r="A364" t="s">
        <v>8</v>
      </c>
      <c r="B364">
        <v>2</v>
      </c>
      <c r="C364" t="s">
        <v>2</v>
      </c>
      <c r="D364" s="2">
        <v>43733</v>
      </c>
      <c r="E364" s="3">
        <v>43733.547919999997</v>
      </c>
      <c r="F364" s="3">
        <v>43733.551390000001</v>
      </c>
      <c r="G364">
        <v>5.9</v>
      </c>
      <c r="H364">
        <v>21.11</v>
      </c>
      <c r="I364">
        <v>43</v>
      </c>
      <c r="J364">
        <v>0.63</v>
      </c>
      <c r="K364">
        <v>1.69031460317564</v>
      </c>
      <c r="L364">
        <v>-4.1552823283232202E-4</v>
      </c>
    </row>
    <row r="365" spans="1:12" x14ac:dyDescent="0.2">
      <c r="A365" t="s">
        <v>8</v>
      </c>
      <c r="B365">
        <v>2</v>
      </c>
      <c r="C365" t="s">
        <v>6</v>
      </c>
      <c r="D365" s="2">
        <v>43733</v>
      </c>
      <c r="E365" s="3">
        <v>43733.554859999997</v>
      </c>
      <c r="F365" s="3">
        <v>43733.55833</v>
      </c>
      <c r="H365">
        <v>21.11</v>
      </c>
      <c r="K365">
        <v>6.7757120754592899</v>
      </c>
      <c r="L365">
        <v>-5.5340613427082503E-4</v>
      </c>
    </row>
    <row r="366" spans="1:12" x14ac:dyDescent="0.2">
      <c r="A366" t="s">
        <v>8</v>
      </c>
      <c r="B366">
        <v>3</v>
      </c>
      <c r="C366" t="s">
        <v>2</v>
      </c>
      <c r="D366" s="2">
        <v>43733</v>
      </c>
      <c r="E366" s="3">
        <v>43733.562270000002</v>
      </c>
      <c r="F366" s="3">
        <v>43733.565739999998</v>
      </c>
      <c r="G366">
        <v>5.6</v>
      </c>
      <c r="H366">
        <v>21.11</v>
      </c>
      <c r="I366">
        <v>32</v>
      </c>
      <c r="J366">
        <v>0.64</v>
      </c>
      <c r="K366">
        <v>-0.69719905638442703</v>
      </c>
      <c r="L366">
        <v>-4.4879044198246399E-4</v>
      </c>
    </row>
    <row r="367" spans="1:12" x14ac:dyDescent="0.2">
      <c r="A367" t="s">
        <v>8</v>
      </c>
      <c r="B367">
        <v>3</v>
      </c>
      <c r="C367" t="s">
        <v>6</v>
      </c>
      <c r="D367" s="2">
        <v>43733</v>
      </c>
      <c r="E367" s="3">
        <v>43733.567819999997</v>
      </c>
      <c r="F367" s="3">
        <v>43733.571300000003</v>
      </c>
      <c r="H367">
        <v>21.11</v>
      </c>
      <c r="K367">
        <v>8.1943885779894305</v>
      </c>
      <c r="L367">
        <v>-7.0588172668644604E-4</v>
      </c>
    </row>
    <row r="368" spans="1:12" x14ac:dyDescent="0.2">
      <c r="A368" t="s">
        <v>8</v>
      </c>
      <c r="B368">
        <v>4</v>
      </c>
      <c r="C368" t="s">
        <v>2</v>
      </c>
      <c r="D368" s="2">
        <v>43733</v>
      </c>
      <c r="E368" s="3">
        <v>43733.574070000002</v>
      </c>
      <c r="F368" s="3">
        <v>43733.577550000002</v>
      </c>
      <c r="G368">
        <v>3</v>
      </c>
      <c r="H368">
        <v>21.11</v>
      </c>
      <c r="I368">
        <v>39.299999999999997</v>
      </c>
      <c r="J368">
        <v>0.62</v>
      </c>
      <c r="K368">
        <v>-1.0318944832686601</v>
      </c>
      <c r="L368">
        <v>-6.2844129889145096E-4</v>
      </c>
    </row>
    <row r="369" spans="1:12" x14ac:dyDescent="0.2">
      <c r="A369" t="s">
        <v>8</v>
      </c>
      <c r="B369">
        <v>4</v>
      </c>
      <c r="C369" t="s">
        <v>6</v>
      </c>
      <c r="D369" s="2">
        <v>43733</v>
      </c>
      <c r="E369" s="3">
        <v>43733.581019999998</v>
      </c>
      <c r="F369" s="3">
        <v>43733.584490000001</v>
      </c>
      <c r="H369">
        <v>21.11</v>
      </c>
      <c r="K369">
        <v>6.3193857309652</v>
      </c>
      <c r="L369">
        <v>-6.1299309584635997E-4</v>
      </c>
    </row>
    <row r="370" spans="1:12" x14ac:dyDescent="0.2">
      <c r="A370" t="s">
        <v>8</v>
      </c>
      <c r="B370">
        <v>5</v>
      </c>
      <c r="C370" t="s">
        <v>2</v>
      </c>
      <c r="D370" s="2">
        <v>43733</v>
      </c>
      <c r="E370" s="3">
        <v>43733.586810000001</v>
      </c>
      <c r="F370" s="3">
        <v>43733.590279999997</v>
      </c>
      <c r="G370">
        <v>3.9</v>
      </c>
      <c r="H370">
        <v>22.78</v>
      </c>
      <c r="I370">
        <v>44.5</v>
      </c>
      <c r="J370">
        <v>0.65</v>
      </c>
      <c r="K370">
        <v>2.3756596346671999</v>
      </c>
      <c r="L370">
        <v>-6.2998330729412198E-4</v>
      </c>
    </row>
    <row r="371" spans="1:12" x14ac:dyDescent="0.2">
      <c r="A371" t="s">
        <v>8</v>
      </c>
      <c r="B371">
        <v>5</v>
      </c>
      <c r="C371" t="s">
        <v>6</v>
      </c>
      <c r="D371" s="2">
        <v>43733</v>
      </c>
      <c r="E371" s="3">
        <v>43733.593059999999</v>
      </c>
      <c r="F371" s="3">
        <v>43733.596530000003</v>
      </c>
      <c r="H371">
        <v>22.78</v>
      </c>
      <c r="K371">
        <v>7.6769657643597</v>
      </c>
      <c r="L371">
        <v>-6.5487635224299105E-4</v>
      </c>
    </row>
    <row r="372" spans="1:12" x14ac:dyDescent="0.2">
      <c r="A372" t="s">
        <v>8</v>
      </c>
      <c r="B372">
        <v>1</v>
      </c>
      <c r="C372" t="s">
        <v>2</v>
      </c>
      <c r="D372" s="2">
        <v>43738</v>
      </c>
      <c r="E372" s="3">
        <v>43738.42755</v>
      </c>
      <c r="F372" s="3">
        <v>43738.431020000004</v>
      </c>
      <c r="G372">
        <v>5.7</v>
      </c>
      <c r="H372">
        <v>13.89</v>
      </c>
      <c r="I372">
        <v>34.5</v>
      </c>
      <c r="J372">
        <v>0.65</v>
      </c>
      <c r="K372">
        <v>-8.6637108396961207</v>
      </c>
      <c r="L372">
        <v>-6.8613133632093603E-4</v>
      </c>
    </row>
    <row r="373" spans="1:12" x14ac:dyDescent="0.2">
      <c r="A373" t="s">
        <v>8</v>
      </c>
      <c r="B373">
        <v>1</v>
      </c>
      <c r="C373" t="s">
        <v>6</v>
      </c>
      <c r="D373" s="2">
        <v>43738</v>
      </c>
      <c r="E373" s="3">
        <v>43738.43333</v>
      </c>
      <c r="F373" s="3">
        <v>43738.436809999999</v>
      </c>
      <c r="H373">
        <v>13.89</v>
      </c>
      <c r="K373">
        <v>6.5308086666370304</v>
      </c>
      <c r="L373">
        <v>-5.8860145034433996E-4</v>
      </c>
    </row>
    <row r="374" spans="1:12" x14ac:dyDescent="0.2">
      <c r="A374" t="s">
        <v>8</v>
      </c>
      <c r="B374">
        <v>2</v>
      </c>
      <c r="C374" t="s">
        <v>2</v>
      </c>
      <c r="D374" s="2">
        <v>43738</v>
      </c>
      <c r="E374" s="3">
        <v>43738.439579999998</v>
      </c>
      <c r="F374" s="3">
        <v>43738.443059999998</v>
      </c>
      <c r="G374">
        <v>8.1999999999999993</v>
      </c>
      <c r="H374">
        <v>13.89</v>
      </c>
      <c r="I374">
        <v>48</v>
      </c>
      <c r="J374">
        <v>0.64</v>
      </c>
      <c r="K374">
        <v>-0.95173216160802698</v>
      </c>
      <c r="L374">
        <v>-4.56305878893949E-4</v>
      </c>
    </row>
    <row r="375" spans="1:12" x14ac:dyDescent="0.2">
      <c r="A375" t="s">
        <v>8</v>
      </c>
      <c r="B375">
        <v>2</v>
      </c>
      <c r="C375" t="s">
        <v>6</v>
      </c>
      <c r="D375" s="2">
        <v>43738</v>
      </c>
      <c r="E375" s="3">
        <v>43738.446530000001</v>
      </c>
      <c r="F375" s="3">
        <v>43738.45</v>
      </c>
      <c r="H375">
        <v>13.89</v>
      </c>
      <c r="K375">
        <v>4.9614955341613101</v>
      </c>
      <c r="L375">
        <v>-4.8294872327220501E-4</v>
      </c>
    </row>
    <row r="376" spans="1:12" x14ac:dyDescent="0.2">
      <c r="A376" t="s">
        <v>8</v>
      </c>
      <c r="B376">
        <v>3</v>
      </c>
      <c r="C376" t="s">
        <v>2</v>
      </c>
      <c r="D376" s="2">
        <v>43738</v>
      </c>
      <c r="E376" s="3">
        <v>43738.45278</v>
      </c>
      <c r="F376" s="3">
        <v>43738.456250000003</v>
      </c>
      <c r="G376">
        <v>4.4000000000000004</v>
      </c>
      <c r="H376">
        <v>13.89</v>
      </c>
      <c r="I376">
        <v>39</v>
      </c>
      <c r="J376">
        <v>0.66</v>
      </c>
      <c r="K376">
        <v>-4.1872601959359299</v>
      </c>
      <c r="L376">
        <v>-3.6604431570774499E-4</v>
      </c>
    </row>
    <row r="377" spans="1:12" x14ac:dyDescent="0.2">
      <c r="A377" t="s">
        <v>8</v>
      </c>
      <c r="B377">
        <v>3</v>
      </c>
      <c r="C377" t="s">
        <v>6</v>
      </c>
      <c r="D377" s="2">
        <v>43738</v>
      </c>
      <c r="E377" s="3">
        <v>43738.459029999998</v>
      </c>
      <c r="F377" s="3">
        <v>43738.462500000001</v>
      </c>
      <c r="H377">
        <v>13.89</v>
      </c>
      <c r="K377">
        <v>5.45248307975986</v>
      </c>
      <c r="L377">
        <v>-3.4957929779446003E-4</v>
      </c>
    </row>
    <row r="378" spans="1:12" x14ac:dyDescent="0.2">
      <c r="A378" t="s">
        <v>8</v>
      </c>
      <c r="B378">
        <v>4</v>
      </c>
      <c r="C378" t="s">
        <v>2</v>
      </c>
      <c r="D378" s="2">
        <v>43738</v>
      </c>
      <c r="E378" s="3">
        <v>43738.465279999997</v>
      </c>
      <c r="F378" s="3">
        <v>43738.46875</v>
      </c>
      <c r="G378">
        <v>5.5</v>
      </c>
      <c r="H378">
        <v>13.89</v>
      </c>
      <c r="I378">
        <v>37.200000000000003</v>
      </c>
      <c r="J378">
        <v>0.64</v>
      </c>
      <c r="K378">
        <v>-4.7579550326113402</v>
      </c>
      <c r="L378">
        <v>-3.2526135762694398E-4</v>
      </c>
    </row>
    <row r="379" spans="1:12" x14ac:dyDescent="0.2">
      <c r="A379" t="s">
        <v>8</v>
      </c>
      <c r="B379">
        <v>4</v>
      </c>
      <c r="C379" t="s">
        <v>6</v>
      </c>
      <c r="D379" s="2">
        <v>43738</v>
      </c>
      <c r="E379" s="3">
        <v>43738.472220000003</v>
      </c>
      <c r="F379" s="3">
        <v>43738.475689999999</v>
      </c>
      <c r="H379">
        <v>13.89</v>
      </c>
      <c r="K379">
        <v>4.3294785006442904</v>
      </c>
      <c r="L379">
        <v>-4.6382801666280401E-4</v>
      </c>
    </row>
    <row r="380" spans="1:12" x14ac:dyDescent="0.2">
      <c r="A380" t="s">
        <v>8</v>
      </c>
      <c r="B380">
        <v>5</v>
      </c>
      <c r="C380" t="s">
        <v>2</v>
      </c>
      <c r="D380" s="2">
        <v>43738</v>
      </c>
      <c r="E380" s="3">
        <v>43738.481249999997</v>
      </c>
      <c r="F380" s="3">
        <v>43738.48472</v>
      </c>
      <c r="G380">
        <v>8.1</v>
      </c>
      <c r="H380">
        <v>17.22</v>
      </c>
      <c r="I380">
        <v>46.3</v>
      </c>
      <c r="J380">
        <v>0.63</v>
      </c>
      <c r="K380">
        <v>-0.87447129581316096</v>
      </c>
      <c r="L380">
        <v>-4.3594176174436601E-4</v>
      </c>
    </row>
    <row r="381" spans="1:12" x14ac:dyDescent="0.2">
      <c r="A381" t="s">
        <v>8</v>
      </c>
      <c r="B381">
        <v>5</v>
      </c>
      <c r="C381" t="s">
        <v>6</v>
      </c>
      <c r="D381" s="2">
        <v>43738</v>
      </c>
      <c r="E381" s="3">
        <v>43738.488890000001</v>
      </c>
      <c r="F381" s="3">
        <v>43738.492359999997</v>
      </c>
      <c r="H381">
        <v>17.22</v>
      </c>
      <c r="K381">
        <v>5.9333282439915402</v>
      </c>
      <c r="L381">
        <v>-3.1889978827285501E-4</v>
      </c>
    </row>
    <row r="382" spans="1:12" x14ac:dyDescent="0.2">
      <c r="A382" t="s">
        <v>8</v>
      </c>
      <c r="B382">
        <v>1</v>
      </c>
      <c r="C382" t="s">
        <v>2</v>
      </c>
      <c r="D382" s="2">
        <v>43738</v>
      </c>
      <c r="E382" s="3">
        <v>43738.540280000001</v>
      </c>
      <c r="F382" s="3">
        <v>43738.543749999997</v>
      </c>
      <c r="G382">
        <v>6.6</v>
      </c>
      <c r="H382">
        <v>17.22</v>
      </c>
      <c r="I382">
        <v>43.3</v>
      </c>
      <c r="J382">
        <v>0.74</v>
      </c>
      <c r="K382">
        <v>-6.4700982316049398</v>
      </c>
      <c r="L382">
        <v>-4.2076052487778197E-4</v>
      </c>
    </row>
    <row r="383" spans="1:12" x14ac:dyDescent="0.2">
      <c r="A383" t="s">
        <v>8</v>
      </c>
      <c r="B383">
        <v>1</v>
      </c>
      <c r="C383" t="s">
        <v>6</v>
      </c>
      <c r="D383" s="2">
        <v>43738</v>
      </c>
      <c r="E383" s="3">
        <v>43738.54653</v>
      </c>
      <c r="F383" s="3">
        <v>43738.55</v>
      </c>
      <c r="H383">
        <v>17.22</v>
      </c>
      <c r="K383">
        <v>7.9273576262451799</v>
      </c>
      <c r="L383">
        <v>-6.1484238990183097E-4</v>
      </c>
    </row>
    <row r="384" spans="1:12" x14ac:dyDescent="0.2">
      <c r="A384" t="s">
        <v>8</v>
      </c>
      <c r="B384">
        <v>2</v>
      </c>
      <c r="C384" t="s">
        <v>2</v>
      </c>
      <c r="D384" s="2">
        <v>43738</v>
      </c>
      <c r="E384" s="3">
        <v>43738.552779999998</v>
      </c>
      <c r="F384" s="3">
        <v>43738.556250000001</v>
      </c>
      <c r="G384">
        <v>6.9</v>
      </c>
      <c r="H384">
        <v>17.22</v>
      </c>
      <c r="I384">
        <v>46.9</v>
      </c>
      <c r="J384">
        <v>0.62</v>
      </c>
      <c r="K384">
        <v>-0.71852890858426</v>
      </c>
      <c r="L384">
        <v>-3.6165538479337002E-4</v>
      </c>
    </row>
    <row r="385" spans="1:12" x14ac:dyDescent="0.2">
      <c r="A385" t="s">
        <v>8</v>
      </c>
      <c r="B385">
        <v>2</v>
      </c>
      <c r="C385" t="s">
        <v>6</v>
      </c>
      <c r="D385" s="2">
        <v>43738</v>
      </c>
      <c r="E385" s="3">
        <v>43738.55833</v>
      </c>
      <c r="F385" s="3">
        <v>43738.561809999999</v>
      </c>
      <c r="H385">
        <v>17.22</v>
      </c>
      <c r="K385">
        <v>4.3595044905929097</v>
      </c>
      <c r="L385">
        <v>-4.1896849207744599E-4</v>
      </c>
    </row>
    <row r="386" spans="1:12" x14ac:dyDescent="0.2">
      <c r="A386" t="s">
        <v>8</v>
      </c>
      <c r="B386">
        <v>3</v>
      </c>
      <c r="C386" t="s">
        <v>2</v>
      </c>
      <c r="D386" s="2">
        <v>43738</v>
      </c>
      <c r="E386" s="3">
        <v>43738.565280000003</v>
      </c>
      <c r="F386" s="3">
        <v>43738.568749999999</v>
      </c>
      <c r="G386">
        <v>6.1</v>
      </c>
      <c r="H386">
        <v>17.22</v>
      </c>
      <c r="I386">
        <v>44.4</v>
      </c>
      <c r="J386">
        <v>0.68</v>
      </c>
      <c r="K386">
        <v>-2.0729009469235602</v>
      </c>
      <c r="L386">
        <v>-3.8416927641034E-4</v>
      </c>
    </row>
    <row r="387" spans="1:12" x14ac:dyDescent="0.2">
      <c r="A387" t="s">
        <v>8</v>
      </c>
      <c r="B387">
        <v>3</v>
      </c>
      <c r="C387" t="s">
        <v>6</v>
      </c>
      <c r="D387" s="2">
        <v>43738</v>
      </c>
      <c r="E387" s="3">
        <v>43738.572220000002</v>
      </c>
      <c r="F387" s="3">
        <v>43738.575689999998</v>
      </c>
      <c r="H387">
        <v>17.22</v>
      </c>
      <c r="K387">
        <v>5.6796372236114401</v>
      </c>
      <c r="L387">
        <v>-5.4320079255948503E-4</v>
      </c>
    </row>
    <row r="388" spans="1:12" x14ac:dyDescent="0.2">
      <c r="A388" t="s">
        <v>8</v>
      </c>
      <c r="B388">
        <v>4</v>
      </c>
      <c r="C388" t="s">
        <v>2</v>
      </c>
      <c r="D388" s="2">
        <v>43738</v>
      </c>
      <c r="E388" s="3">
        <v>43738.57847</v>
      </c>
      <c r="F388" s="3">
        <v>43738.581939999996</v>
      </c>
      <c r="G388">
        <v>5.3</v>
      </c>
      <c r="H388">
        <v>17.22</v>
      </c>
      <c r="I388">
        <v>46</v>
      </c>
      <c r="J388">
        <v>0.7</v>
      </c>
      <c r="K388">
        <v>-3.0222700842024501</v>
      </c>
      <c r="L388">
        <v>-5.4407042720291097E-4</v>
      </c>
    </row>
    <row r="389" spans="1:12" x14ac:dyDescent="0.2">
      <c r="A389" t="s">
        <v>8</v>
      </c>
      <c r="B389">
        <v>4</v>
      </c>
      <c r="C389" t="s">
        <v>6</v>
      </c>
      <c r="D389" s="2">
        <v>43738</v>
      </c>
      <c r="E389" s="3">
        <v>43738.584029999998</v>
      </c>
      <c r="F389" s="3">
        <v>43738.587500000001</v>
      </c>
      <c r="H389">
        <v>17.22</v>
      </c>
      <c r="K389">
        <v>4.0090797992290597</v>
      </c>
      <c r="L389">
        <v>-4.6502508211174897E-4</v>
      </c>
    </row>
    <row r="390" spans="1:12" x14ac:dyDescent="0.2">
      <c r="A390" t="s">
        <v>8</v>
      </c>
      <c r="B390">
        <v>5</v>
      </c>
      <c r="C390" t="s">
        <v>2</v>
      </c>
      <c r="D390" s="2">
        <v>43738</v>
      </c>
      <c r="E390" s="3">
        <v>43738.590279999997</v>
      </c>
      <c r="F390" s="3">
        <v>43738.59375</v>
      </c>
      <c r="G390">
        <v>8.6</v>
      </c>
      <c r="H390">
        <v>19.440000000000001</v>
      </c>
      <c r="I390">
        <v>45.8</v>
      </c>
      <c r="J390">
        <v>0.72</v>
      </c>
      <c r="K390">
        <v>-1.0056396255281099</v>
      </c>
      <c r="L390">
        <v>-4.0501413574028201E-4</v>
      </c>
    </row>
    <row r="391" spans="1:12" x14ac:dyDescent="0.2">
      <c r="A391" t="s">
        <v>8</v>
      </c>
      <c r="B391">
        <v>5</v>
      </c>
      <c r="C391" t="s">
        <v>6</v>
      </c>
      <c r="D391" s="2">
        <v>43738</v>
      </c>
      <c r="E391" s="3">
        <v>43738.597220000003</v>
      </c>
      <c r="F391" s="3">
        <v>43738.600689999999</v>
      </c>
      <c r="H391">
        <v>19.440000000000001</v>
      </c>
      <c r="K391">
        <v>4.2659737419360901</v>
      </c>
      <c r="L391">
        <v>-3.1267528121669999E-4</v>
      </c>
    </row>
    <row r="392" spans="1:12" x14ac:dyDescent="0.2">
      <c r="A392" t="s">
        <v>8</v>
      </c>
      <c r="B392">
        <v>1</v>
      </c>
      <c r="C392" t="s">
        <v>2</v>
      </c>
      <c r="D392" s="2">
        <v>43749</v>
      </c>
      <c r="E392" s="3">
        <v>43749.381939999999</v>
      </c>
      <c r="F392" s="3">
        <v>43749.385419999999</v>
      </c>
      <c r="G392">
        <v>17.3</v>
      </c>
      <c r="H392">
        <v>10</v>
      </c>
      <c r="I392">
        <v>41.6</v>
      </c>
      <c r="J392">
        <v>0.68</v>
      </c>
      <c r="K392">
        <v>0.126769362854741</v>
      </c>
      <c r="L392" s="6">
        <v>1.1210196332226101E-5</v>
      </c>
    </row>
    <row r="393" spans="1:12" x14ac:dyDescent="0.2">
      <c r="A393" t="s">
        <v>8</v>
      </c>
      <c r="B393">
        <v>1</v>
      </c>
      <c r="C393" t="s">
        <v>6</v>
      </c>
      <c r="D393" s="2">
        <v>43749</v>
      </c>
      <c r="E393" s="3">
        <v>43749.391669999997</v>
      </c>
      <c r="F393" s="3">
        <v>43749.395140000001</v>
      </c>
      <c r="H393">
        <v>10</v>
      </c>
      <c r="K393">
        <v>5.7797327432799799</v>
      </c>
      <c r="L393">
        <v>-7.0854301968159995E-4</v>
      </c>
    </row>
    <row r="394" spans="1:12" x14ac:dyDescent="0.2">
      <c r="A394" t="s">
        <v>8</v>
      </c>
      <c r="B394">
        <v>2</v>
      </c>
      <c r="C394" t="s">
        <v>2</v>
      </c>
      <c r="D394" s="2">
        <v>43749</v>
      </c>
      <c r="E394" s="3">
        <v>43749.398609999997</v>
      </c>
      <c r="F394" s="3">
        <v>43749.40208</v>
      </c>
      <c r="G394">
        <v>15.3</v>
      </c>
      <c r="H394">
        <v>10</v>
      </c>
      <c r="I394">
        <v>34.1</v>
      </c>
      <c r="J394">
        <v>0.66</v>
      </c>
      <c r="K394">
        <v>-10.694988240529501</v>
      </c>
      <c r="L394">
        <v>-1.53177361326726E-4</v>
      </c>
    </row>
    <row r="395" spans="1:12" x14ac:dyDescent="0.2">
      <c r="A395" t="s">
        <v>8</v>
      </c>
      <c r="B395">
        <v>2</v>
      </c>
      <c r="C395" t="s">
        <v>6</v>
      </c>
      <c r="D395" s="2">
        <v>43749</v>
      </c>
      <c r="E395" s="3">
        <v>43749.405209999997</v>
      </c>
      <c r="F395" s="3">
        <v>43749.40868</v>
      </c>
      <c r="H395">
        <v>10</v>
      </c>
      <c r="K395">
        <v>3.68770556405067</v>
      </c>
      <c r="L395">
        <v>-1.9691086160436501E-4</v>
      </c>
    </row>
    <row r="396" spans="1:12" x14ac:dyDescent="0.2">
      <c r="A396" t="s">
        <v>8</v>
      </c>
      <c r="B396">
        <v>3</v>
      </c>
      <c r="C396" t="s">
        <v>2</v>
      </c>
      <c r="D396" s="2">
        <v>43749</v>
      </c>
      <c r="E396" s="3">
        <v>43749.411110000001</v>
      </c>
      <c r="F396" s="3">
        <v>43749.414579999997</v>
      </c>
      <c r="G396">
        <v>12</v>
      </c>
      <c r="H396">
        <v>10</v>
      </c>
      <c r="I396">
        <v>43.6</v>
      </c>
      <c r="J396">
        <v>0.69</v>
      </c>
      <c r="K396">
        <v>-4.8913092406528698</v>
      </c>
      <c r="L396">
        <v>-2.3505488320552201E-4</v>
      </c>
    </row>
    <row r="397" spans="1:12" x14ac:dyDescent="0.2">
      <c r="A397" t="s">
        <v>8</v>
      </c>
      <c r="B397">
        <v>3</v>
      </c>
      <c r="C397" t="s">
        <v>6</v>
      </c>
      <c r="D397" s="2">
        <v>43749</v>
      </c>
      <c r="E397" s="3">
        <v>43749.417359999999</v>
      </c>
      <c r="F397" s="3">
        <v>43749.420830000003</v>
      </c>
      <c r="H397">
        <v>10</v>
      </c>
      <c r="K397">
        <v>4.9896875565074499</v>
      </c>
      <c r="L397">
        <v>-6.4991977355260998E-4</v>
      </c>
    </row>
    <row r="398" spans="1:12" x14ac:dyDescent="0.2">
      <c r="A398" t="s">
        <v>8</v>
      </c>
      <c r="B398">
        <v>4</v>
      </c>
      <c r="C398" t="s">
        <v>2</v>
      </c>
      <c r="D398" s="2">
        <v>43749</v>
      </c>
      <c r="E398" s="3">
        <v>43749.423609999998</v>
      </c>
      <c r="F398" s="3">
        <v>43749.427080000001</v>
      </c>
      <c r="G398">
        <v>15.8</v>
      </c>
      <c r="H398">
        <v>10</v>
      </c>
      <c r="I398">
        <v>34.1</v>
      </c>
      <c r="J398">
        <v>0.67</v>
      </c>
      <c r="K398">
        <v>-6.50867610276826</v>
      </c>
      <c r="L398">
        <v>-1.7380532718308899E-4</v>
      </c>
    </row>
    <row r="399" spans="1:12" x14ac:dyDescent="0.2">
      <c r="A399" t="s">
        <v>8</v>
      </c>
      <c r="B399">
        <v>4</v>
      </c>
      <c r="C399" t="s">
        <v>6</v>
      </c>
      <c r="D399" s="2">
        <v>43749</v>
      </c>
      <c r="E399" s="3">
        <v>43749.429859999997</v>
      </c>
      <c r="F399" s="3">
        <v>43749.43333</v>
      </c>
      <c r="H399">
        <v>10</v>
      </c>
      <c r="K399">
        <v>4.3368487279648198</v>
      </c>
      <c r="L399">
        <v>-2.8112687306548002E-4</v>
      </c>
    </row>
    <row r="400" spans="1:12" x14ac:dyDescent="0.2">
      <c r="A400" t="s">
        <v>8</v>
      </c>
      <c r="B400">
        <v>5</v>
      </c>
      <c r="C400" t="s">
        <v>2</v>
      </c>
      <c r="D400" s="2">
        <v>43749</v>
      </c>
      <c r="E400" s="3">
        <v>43749.435420000002</v>
      </c>
      <c r="F400" s="3">
        <v>43749.438889999998</v>
      </c>
      <c r="G400">
        <v>16.399999999999999</v>
      </c>
      <c r="H400">
        <v>14.44</v>
      </c>
      <c r="I400">
        <v>37.4</v>
      </c>
      <c r="J400">
        <v>0.64</v>
      </c>
      <c r="K400">
        <v>-5.5206270485455198</v>
      </c>
      <c r="L400">
        <v>-1.9897852259142401E-4</v>
      </c>
    </row>
    <row r="401" spans="1:12" x14ac:dyDescent="0.2">
      <c r="A401" t="s">
        <v>8</v>
      </c>
      <c r="B401">
        <v>5</v>
      </c>
      <c r="C401" t="s">
        <v>6</v>
      </c>
      <c r="D401" s="2">
        <v>43749</v>
      </c>
      <c r="E401" s="3">
        <v>43749.440970000003</v>
      </c>
      <c r="F401" s="3">
        <v>43749.444439999999</v>
      </c>
      <c r="H401">
        <v>14.44</v>
      </c>
      <c r="K401">
        <v>5.6794495215502501</v>
      </c>
      <c r="L401">
        <v>-2.8184434374974298E-4</v>
      </c>
    </row>
    <row r="402" spans="1:12" x14ac:dyDescent="0.2">
      <c r="A402" t="s">
        <v>8</v>
      </c>
      <c r="B402">
        <v>1</v>
      </c>
      <c r="C402" t="s">
        <v>2</v>
      </c>
      <c r="D402" s="2">
        <v>43749</v>
      </c>
      <c r="E402" s="3">
        <v>43749.481769999999</v>
      </c>
      <c r="F402" s="3">
        <v>43749.485240000002</v>
      </c>
      <c r="G402">
        <v>15.3</v>
      </c>
      <c r="H402">
        <v>14.44</v>
      </c>
      <c r="I402">
        <v>41</v>
      </c>
      <c r="J402">
        <v>0.67</v>
      </c>
      <c r="K402">
        <v>-7.9565749530778298</v>
      </c>
      <c r="L402">
        <v>-4.9268310880118101E-4</v>
      </c>
    </row>
    <row r="403" spans="1:12" x14ac:dyDescent="0.2">
      <c r="A403" t="s">
        <v>8</v>
      </c>
      <c r="B403">
        <v>1</v>
      </c>
      <c r="C403" t="s">
        <v>6</v>
      </c>
      <c r="D403" s="2">
        <v>43749</v>
      </c>
      <c r="E403" s="3">
        <v>43749.487500000003</v>
      </c>
      <c r="F403" s="3">
        <v>43749.490969999999</v>
      </c>
      <c r="H403">
        <v>14.44</v>
      </c>
      <c r="K403">
        <v>8.1729211994386599</v>
      </c>
      <c r="L403">
        <v>-1.13510145321393E-3</v>
      </c>
    </row>
    <row r="404" spans="1:12" x14ac:dyDescent="0.2">
      <c r="A404" t="s">
        <v>8</v>
      </c>
      <c r="B404">
        <v>2</v>
      </c>
      <c r="C404" t="s">
        <v>2</v>
      </c>
      <c r="D404" s="2">
        <v>43749</v>
      </c>
      <c r="E404" s="3">
        <v>43749.493060000001</v>
      </c>
      <c r="F404" s="3">
        <v>43749.496529999997</v>
      </c>
      <c r="G404">
        <v>17.5</v>
      </c>
      <c r="H404">
        <v>14.44</v>
      </c>
      <c r="I404">
        <v>36</v>
      </c>
      <c r="J404">
        <v>0.67</v>
      </c>
      <c r="K404">
        <v>-11.8376934679118</v>
      </c>
      <c r="L404" s="6">
        <v>-5.7843658854035601E-5</v>
      </c>
    </row>
    <row r="405" spans="1:12" x14ac:dyDescent="0.2">
      <c r="A405" t="s">
        <v>8</v>
      </c>
      <c r="B405">
        <v>2</v>
      </c>
      <c r="C405" t="s">
        <v>6</v>
      </c>
      <c r="D405" s="2">
        <v>43749</v>
      </c>
      <c r="E405" s="3">
        <v>43749.5</v>
      </c>
      <c r="F405" s="3">
        <v>43749.503470000003</v>
      </c>
      <c r="H405">
        <v>14.44</v>
      </c>
      <c r="K405">
        <v>6.3392307170646403</v>
      </c>
      <c r="L405">
        <v>-2.5701008550359401E-4</v>
      </c>
    </row>
    <row r="406" spans="1:12" x14ac:dyDescent="0.2">
      <c r="A406" t="s">
        <v>8</v>
      </c>
      <c r="B406">
        <v>3</v>
      </c>
      <c r="C406" t="s">
        <v>2</v>
      </c>
      <c r="D406" s="2">
        <v>43749</v>
      </c>
      <c r="E406" s="3">
        <v>43749.507640000003</v>
      </c>
      <c r="F406" s="3">
        <v>43749.511109999999</v>
      </c>
      <c r="G406">
        <v>12.5</v>
      </c>
      <c r="H406">
        <v>14.44</v>
      </c>
      <c r="I406">
        <v>40.6</v>
      </c>
      <c r="J406">
        <v>0.65</v>
      </c>
      <c r="K406">
        <v>-5.8349012933670297</v>
      </c>
      <c r="L406" s="6">
        <v>-8.71116259403137E-5</v>
      </c>
    </row>
    <row r="407" spans="1:12" x14ac:dyDescent="0.2">
      <c r="A407" t="s">
        <v>8</v>
      </c>
      <c r="B407">
        <v>3</v>
      </c>
      <c r="C407" t="s">
        <v>6</v>
      </c>
      <c r="D407" s="2">
        <v>43749</v>
      </c>
      <c r="E407" s="3">
        <v>43749.513890000002</v>
      </c>
      <c r="F407" s="3">
        <v>43749.517359999998</v>
      </c>
      <c r="H407">
        <v>14.44</v>
      </c>
      <c r="K407">
        <v>5.3890735828218403</v>
      </c>
      <c r="L407">
        <v>-5.1188796216008201E-4</v>
      </c>
    </row>
    <row r="408" spans="1:12" x14ac:dyDescent="0.2">
      <c r="A408" t="s">
        <v>8</v>
      </c>
      <c r="B408">
        <v>4</v>
      </c>
      <c r="C408" t="s">
        <v>2</v>
      </c>
      <c r="D408" s="2">
        <v>43749</v>
      </c>
      <c r="E408" s="3">
        <v>43749.519439999996</v>
      </c>
      <c r="F408" s="3">
        <v>43749.522920000003</v>
      </c>
      <c r="G408">
        <v>20</v>
      </c>
      <c r="H408">
        <v>14.44</v>
      </c>
      <c r="I408">
        <v>35</v>
      </c>
      <c r="J408">
        <v>0.65</v>
      </c>
      <c r="K408">
        <v>-7.7121959532508804</v>
      </c>
      <c r="L408">
        <v>-2.1719794138157599E-4</v>
      </c>
    </row>
    <row r="409" spans="1:12" x14ac:dyDescent="0.2">
      <c r="A409" t="s">
        <v>8</v>
      </c>
      <c r="B409">
        <v>4</v>
      </c>
      <c r="C409" t="s">
        <v>6</v>
      </c>
      <c r="D409" s="2">
        <v>43749</v>
      </c>
      <c r="E409" s="3">
        <v>43749.525000000001</v>
      </c>
      <c r="F409" s="3">
        <v>43749.528469999997</v>
      </c>
      <c r="H409">
        <v>14.44</v>
      </c>
      <c r="K409">
        <v>4.5718083465329702</v>
      </c>
      <c r="L409">
        <v>-2.1521747754593999E-4</v>
      </c>
    </row>
    <row r="410" spans="1:12" x14ac:dyDescent="0.2">
      <c r="A410" t="s">
        <v>8</v>
      </c>
      <c r="B410">
        <v>5</v>
      </c>
      <c r="C410" t="s">
        <v>2</v>
      </c>
      <c r="D410" s="2">
        <v>43749</v>
      </c>
      <c r="E410" s="3">
        <v>43749.530379999997</v>
      </c>
      <c r="F410" s="3">
        <v>43749.53385</v>
      </c>
      <c r="G410">
        <v>16</v>
      </c>
      <c r="H410">
        <v>16.11</v>
      </c>
      <c r="I410">
        <v>42.8</v>
      </c>
      <c r="J410">
        <v>0.61</v>
      </c>
      <c r="K410">
        <v>-7.54865046992653</v>
      </c>
      <c r="L410">
        <v>-1.59644436792866E-4</v>
      </c>
    </row>
    <row r="411" spans="1:12" x14ac:dyDescent="0.2">
      <c r="A411" t="s">
        <v>8</v>
      </c>
      <c r="B411">
        <v>5</v>
      </c>
      <c r="C411" t="s">
        <v>6</v>
      </c>
      <c r="D411" s="2">
        <v>43749</v>
      </c>
      <c r="E411" s="3">
        <v>43749.53542</v>
      </c>
      <c r="F411" s="3">
        <v>43749.538890000003</v>
      </c>
      <c r="H411">
        <v>16.11</v>
      </c>
      <c r="K411">
        <v>6.0874619360969602</v>
      </c>
      <c r="L411">
        <v>-1.4406218733597901E-4</v>
      </c>
    </row>
    <row r="412" spans="1:12" x14ac:dyDescent="0.2">
      <c r="A412" t="s">
        <v>8</v>
      </c>
      <c r="B412">
        <v>1</v>
      </c>
      <c r="C412" t="s">
        <v>2</v>
      </c>
      <c r="D412" s="2">
        <v>43761</v>
      </c>
      <c r="E412" s="3">
        <v>43761.53542</v>
      </c>
      <c r="F412" s="3">
        <v>43761.538890000003</v>
      </c>
      <c r="G412">
        <v>17.2</v>
      </c>
      <c r="H412">
        <v>17.22</v>
      </c>
      <c r="I412">
        <v>44.3</v>
      </c>
      <c r="J412">
        <v>0.66</v>
      </c>
      <c r="K412">
        <v>-4.6880907234941196</v>
      </c>
      <c r="L412">
        <v>-1.1605539746056699E-4</v>
      </c>
    </row>
    <row r="413" spans="1:12" x14ac:dyDescent="0.2">
      <c r="A413" t="s">
        <v>8</v>
      </c>
      <c r="B413">
        <v>1</v>
      </c>
      <c r="C413" t="s">
        <v>6</v>
      </c>
      <c r="D413" s="2">
        <v>43761</v>
      </c>
      <c r="E413" s="3">
        <v>43761.541669999999</v>
      </c>
      <c r="F413" s="3">
        <v>43761.545140000002</v>
      </c>
      <c r="H413">
        <v>17.22</v>
      </c>
      <c r="K413">
        <v>5.6600846270311802</v>
      </c>
      <c r="L413">
        <v>-1.4298577526504399E-4</v>
      </c>
    </row>
    <row r="414" spans="1:12" x14ac:dyDescent="0.2">
      <c r="A414" t="s">
        <v>8</v>
      </c>
      <c r="B414">
        <v>2</v>
      </c>
      <c r="C414" t="s">
        <v>2</v>
      </c>
      <c r="D414" s="2">
        <v>43761</v>
      </c>
      <c r="E414" s="3">
        <v>43761.548260000003</v>
      </c>
      <c r="F414" s="3">
        <v>43761.551740000003</v>
      </c>
      <c r="G414">
        <v>12.3</v>
      </c>
      <c r="H414">
        <v>17.22</v>
      </c>
      <c r="I414">
        <v>34.299999999999997</v>
      </c>
      <c r="J414">
        <v>0.65</v>
      </c>
      <c r="K414">
        <v>-4.05964731227896</v>
      </c>
      <c r="L414">
        <v>-2.2166025837345199E-4</v>
      </c>
    </row>
    <row r="415" spans="1:12" x14ac:dyDescent="0.2">
      <c r="A415" t="s">
        <v>8</v>
      </c>
      <c r="B415">
        <v>2</v>
      </c>
      <c r="C415" t="s">
        <v>6</v>
      </c>
      <c r="D415" s="2">
        <v>43761</v>
      </c>
      <c r="E415" s="3">
        <v>43761.554859999997</v>
      </c>
      <c r="F415" s="3">
        <v>43761.55833</v>
      </c>
      <c r="H415">
        <v>17.22</v>
      </c>
      <c r="K415">
        <v>4.2072936949808097</v>
      </c>
      <c r="L415" s="6">
        <v>-2.32655451864616E-5</v>
      </c>
    </row>
    <row r="416" spans="1:12" x14ac:dyDescent="0.2">
      <c r="A416" t="s">
        <v>8</v>
      </c>
      <c r="B416">
        <v>4</v>
      </c>
      <c r="C416" t="s">
        <v>2</v>
      </c>
      <c r="D416" s="2">
        <v>43761</v>
      </c>
      <c r="E416" s="3">
        <v>43761.5625</v>
      </c>
      <c r="F416" s="3">
        <v>43761.565970000003</v>
      </c>
      <c r="G416">
        <v>17.3</v>
      </c>
      <c r="H416">
        <v>17.22</v>
      </c>
      <c r="I416">
        <v>37.9</v>
      </c>
      <c r="J416">
        <v>0.62</v>
      </c>
      <c r="K416">
        <v>-5.6478406014119003</v>
      </c>
      <c r="L416" s="6">
        <v>9.6810794591857294E-6</v>
      </c>
    </row>
    <row r="417" spans="1:12" x14ac:dyDescent="0.2">
      <c r="A417" t="s">
        <v>8</v>
      </c>
      <c r="B417">
        <v>4</v>
      </c>
      <c r="C417" t="s">
        <v>6</v>
      </c>
      <c r="D417" s="2">
        <v>43761</v>
      </c>
      <c r="E417" s="3">
        <v>43761.576390000002</v>
      </c>
      <c r="F417" s="3">
        <v>43761.579859999998</v>
      </c>
      <c r="H417">
        <v>17.22</v>
      </c>
      <c r="K417">
        <v>4.5549619658142797</v>
      </c>
      <c r="L417">
        <v>-1.4306234901744901E-4</v>
      </c>
    </row>
    <row r="418" spans="1:12" x14ac:dyDescent="0.2">
      <c r="A418" t="s">
        <v>8</v>
      </c>
      <c r="B418">
        <v>5</v>
      </c>
      <c r="C418" t="s">
        <v>2</v>
      </c>
      <c r="D418" s="2">
        <v>43761</v>
      </c>
      <c r="E418" s="3">
        <v>43761.582640000001</v>
      </c>
      <c r="F418" s="3">
        <v>43761.586109999997</v>
      </c>
      <c r="G418">
        <v>15.1</v>
      </c>
      <c r="H418">
        <v>18.329999999999998</v>
      </c>
      <c r="I418">
        <v>25.2</v>
      </c>
      <c r="J418">
        <v>0.64</v>
      </c>
      <c r="K418">
        <v>-4.1314611385004198</v>
      </c>
      <c r="L418" s="6">
        <v>-4.6098980898443001E-5</v>
      </c>
    </row>
    <row r="419" spans="1:12" x14ac:dyDescent="0.2">
      <c r="A419" t="s">
        <v>8</v>
      </c>
      <c r="B419">
        <v>5</v>
      </c>
      <c r="C419" t="s">
        <v>6</v>
      </c>
      <c r="D419" s="2">
        <v>43761</v>
      </c>
      <c r="E419" s="3">
        <v>43761.590279999997</v>
      </c>
      <c r="F419" s="3">
        <v>43761.59375</v>
      </c>
      <c r="H419">
        <v>18.329999999999998</v>
      </c>
      <c r="K419">
        <v>7.6477422987750598</v>
      </c>
      <c r="L419" s="6">
        <v>-9.4361466387720897E-5</v>
      </c>
    </row>
    <row r="420" spans="1:12" x14ac:dyDescent="0.2">
      <c r="A420" t="s">
        <v>8</v>
      </c>
      <c r="B420">
        <v>1</v>
      </c>
      <c r="C420" t="s">
        <v>2</v>
      </c>
      <c r="D420" s="2">
        <v>43761</v>
      </c>
      <c r="E420" s="3">
        <v>43761.622219999997</v>
      </c>
      <c r="F420" s="3">
        <v>43761.625690000001</v>
      </c>
      <c r="G420">
        <v>16.600000000000001</v>
      </c>
      <c r="H420">
        <v>18.329999999999998</v>
      </c>
      <c r="I420">
        <v>40.799999999999997</v>
      </c>
      <c r="J420">
        <v>0.63</v>
      </c>
      <c r="K420">
        <v>-3.8902964741193902</v>
      </c>
      <c r="L420">
        <v>-2.6871408093112701E-4</v>
      </c>
    </row>
    <row r="421" spans="1:12" x14ac:dyDescent="0.2">
      <c r="A421" t="s">
        <v>8</v>
      </c>
      <c r="B421">
        <v>1</v>
      </c>
      <c r="C421" t="s">
        <v>6</v>
      </c>
      <c r="D421" s="2">
        <v>43761</v>
      </c>
      <c r="E421" s="3">
        <v>43761.628129999997</v>
      </c>
      <c r="F421" s="3">
        <v>43761.631600000001</v>
      </c>
      <c r="H421">
        <v>18.329999999999998</v>
      </c>
      <c r="K421">
        <v>5.6608278148544597</v>
      </c>
      <c r="L421">
        <v>-3.0860496823891399E-4</v>
      </c>
    </row>
    <row r="422" spans="1:12" x14ac:dyDescent="0.2">
      <c r="A422" t="s">
        <v>8</v>
      </c>
      <c r="B422">
        <v>2</v>
      </c>
      <c r="C422" t="s">
        <v>2</v>
      </c>
      <c r="D422" s="2">
        <v>43761</v>
      </c>
      <c r="E422" s="3">
        <v>43761.634720000002</v>
      </c>
      <c r="F422" s="3">
        <v>43761.638189999998</v>
      </c>
      <c r="G422">
        <v>15.9</v>
      </c>
      <c r="H422">
        <v>18.329999999999998</v>
      </c>
      <c r="I422">
        <v>54.9</v>
      </c>
      <c r="J422">
        <v>0.66</v>
      </c>
      <c r="K422">
        <v>-3.6593632979659398</v>
      </c>
      <c r="L422" s="6">
        <v>-6.6502220905418298E-6</v>
      </c>
    </row>
    <row r="423" spans="1:12" x14ac:dyDescent="0.2">
      <c r="A423" t="s">
        <v>8</v>
      </c>
      <c r="B423">
        <v>2</v>
      </c>
      <c r="C423" t="s">
        <v>6</v>
      </c>
      <c r="D423" s="2">
        <v>43761</v>
      </c>
      <c r="E423" s="3">
        <v>43761.64097</v>
      </c>
      <c r="F423" s="3">
        <v>43761.644439999996</v>
      </c>
      <c r="H423">
        <v>18.329999999999998</v>
      </c>
      <c r="K423">
        <v>5.5078110239686904</v>
      </c>
      <c r="L423" s="6">
        <v>-7.1630274894917705E-5</v>
      </c>
    </row>
    <row r="424" spans="1:12" x14ac:dyDescent="0.2">
      <c r="A424" t="s">
        <v>8</v>
      </c>
      <c r="B424">
        <v>4</v>
      </c>
      <c r="C424" t="s">
        <v>2</v>
      </c>
      <c r="D424" s="2">
        <v>43761</v>
      </c>
      <c r="E424" s="3">
        <v>43761.647920000003</v>
      </c>
      <c r="F424" s="3">
        <v>43761.651389999999</v>
      </c>
      <c r="G424">
        <v>15.4</v>
      </c>
      <c r="H424">
        <v>18.329999999999998</v>
      </c>
      <c r="I424">
        <v>38.799999999999997</v>
      </c>
      <c r="J424">
        <v>0.65</v>
      </c>
      <c r="K424">
        <v>-2.6182905991159502</v>
      </c>
      <c r="L424">
        <v>6.4222802007919504E-4</v>
      </c>
    </row>
    <row r="425" spans="1:12" x14ac:dyDescent="0.2">
      <c r="A425" t="s">
        <v>8</v>
      </c>
      <c r="B425">
        <v>4</v>
      </c>
      <c r="C425" t="s">
        <v>6</v>
      </c>
      <c r="D425" s="2">
        <v>43761</v>
      </c>
      <c r="E425" s="3">
        <v>43761.654170000002</v>
      </c>
      <c r="F425" s="3">
        <v>43761.657639999998</v>
      </c>
      <c r="H425">
        <v>18.329999999999998</v>
      </c>
      <c r="K425">
        <v>4.5351375459110503</v>
      </c>
      <c r="L425">
        <v>-1.8161200194630701E-3</v>
      </c>
    </row>
    <row r="426" spans="1:12" x14ac:dyDescent="0.2">
      <c r="A426" t="s">
        <v>8</v>
      </c>
      <c r="B426">
        <v>5</v>
      </c>
      <c r="C426" t="s">
        <v>2</v>
      </c>
      <c r="D426" s="2">
        <v>43761</v>
      </c>
      <c r="E426" s="3">
        <v>43761.661110000001</v>
      </c>
      <c r="F426" s="3">
        <v>43761.664579999997</v>
      </c>
      <c r="G426">
        <v>19.899999999999999</v>
      </c>
      <c r="H426">
        <v>18.329999999999998</v>
      </c>
      <c r="I426">
        <v>31.6</v>
      </c>
      <c r="J426">
        <v>0.65</v>
      </c>
      <c r="K426">
        <v>-1.62396783846832</v>
      </c>
      <c r="L426" s="6">
        <v>-7.27512404217227E-5</v>
      </c>
    </row>
    <row r="427" spans="1:12" x14ac:dyDescent="0.2">
      <c r="A427" t="s">
        <v>8</v>
      </c>
      <c r="B427">
        <v>5</v>
      </c>
      <c r="C427" t="s">
        <v>6</v>
      </c>
      <c r="D427" s="2">
        <v>43761</v>
      </c>
      <c r="E427" s="3">
        <v>43761.667359999999</v>
      </c>
      <c r="F427" s="3">
        <v>43761.670830000003</v>
      </c>
      <c r="H427">
        <v>18.329999999999998</v>
      </c>
      <c r="K427">
        <v>6.67144618748162</v>
      </c>
      <c r="L427">
        <v>-1.9339562246697799E-4</v>
      </c>
    </row>
    <row r="428" spans="1:12" x14ac:dyDescent="0.2">
      <c r="A428" t="s">
        <v>8</v>
      </c>
      <c r="B428">
        <v>1</v>
      </c>
      <c r="C428" t="s">
        <v>2</v>
      </c>
      <c r="D428" s="2">
        <v>43768</v>
      </c>
      <c r="E428" s="3">
        <v>43768.581599999998</v>
      </c>
      <c r="F428" s="3">
        <v>43768.585070000001</v>
      </c>
      <c r="G428">
        <v>14.4</v>
      </c>
      <c r="H428">
        <v>18.329999999999998</v>
      </c>
      <c r="I428">
        <v>32.4</v>
      </c>
      <c r="J428">
        <v>0.41</v>
      </c>
      <c r="K428">
        <v>-2.6391158712025402</v>
      </c>
      <c r="L428" s="6">
        <v>-4.3737596798519998E-5</v>
      </c>
    </row>
    <row r="429" spans="1:12" x14ac:dyDescent="0.2">
      <c r="A429" t="s">
        <v>8</v>
      </c>
      <c r="B429">
        <v>1</v>
      </c>
      <c r="C429" t="s">
        <v>6</v>
      </c>
      <c r="D429" s="2">
        <v>43768</v>
      </c>
      <c r="E429" s="3">
        <v>43768.587959999997</v>
      </c>
      <c r="F429" s="3">
        <v>43768.591439999997</v>
      </c>
      <c r="H429">
        <v>18.329999999999998</v>
      </c>
      <c r="K429">
        <v>5.7563616249963099</v>
      </c>
      <c r="L429" s="6">
        <v>-3.7301358071887097E-5</v>
      </c>
    </row>
    <row r="430" spans="1:12" x14ac:dyDescent="0.2">
      <c r="A430" t="s">
        <v>8</v>
      </c>
      <c r="B430">
        <v>2</v>
      </c>
      <c r="C430" t="s">
        <v>2</v>
      </c>
      <c r="D430" s="2">
        <v>43768</v>
      </c>
      <c r="E430" s="3">
        <v>43768.593399999998</v>
      </c>
      <c r="F430" s="3">
        <v>43768.596879999997</v>
      </c>
      <c r="G430">
        <v>13.6</v>
      </c>
      <c r="H430">
        <v>18.329999999999998</v>
      </c>
      <c r="I430">
        <v>35.6</v>
      </c>
      <c r="J430">
        <v>0.38</v>
      </c>
      <c r="K430">
        <v>-0.81605702768088295</v>
      </c>
      <c r="L430" s="6">
        <v>-8.4801484367105605E-5</v>
      </c>
    </row>
    <row r="431" spans="1:12" x14ac:dyDescent="0.2">
      <c r="A431" t="s">
        <v>8</v>
      </c>
      <c r="B431">
        <v>2</v>
      </c>
      <c r="C431" t="s">
        <v>6</v>
      </c>
      <c r="D431" s="2">
        <v>43768</v>
      </c>
      <c r="E431" s="3">
        <v>43768.599649999996</v>
      </c>
      <c r="F431" s="3">
        <v>43768.603130000003</v>
      </c>
      <c r="H431">
        <v>18.329999999999998</v>
      </c>
      <c r="K431">
        <v>4.18568218462626</v>
      </c>
      <c r="L431" s="6">
        <v>-2.4261065936702601E-5</v>
      </c>
    </row>
    <row r="432" spans="1:12" x14ac:dyDescent="0.2">
      <c r="A432" t="s">
        <v>8</v>
      </c>
      <c r="B432">
        <v>3</v>
      </c>
      <c r="C432" t="s">
        <v>2</v>
      </c>
      <c r="D432" s="2">
        <v>43768</v>
      </c>
      <c r="E432" s="3">
        <v>43768.605380000001</v>
      </c>
      <c r="F432" s="3">
        <v>43768.608849999997</v>
      </c>
      <c r="G432">
        <v>16.100000000000001</v>
      </c>
      <c r="H432">
        <v>18.329999999999998</v>
      </c>
      <c r="I432">
        <v>46.4</v>
      </c>
      <c r="J432">
        <v>0.47</v>
      </c>
      <c r="K432">
        <v>-1.52409966724033</v>
      </c>
      <c r="L432">
        <v>-2.29816897208416E-4</v>
      </c>
    </row>
    <row r="433" spans="1:12" x14ac:dyDescent="0.2">
      <c r="A433" t="s">
        <v>8</v>
      </c>
      <c r="B433">
        <v>3</v>
      </c>
      <c r="C433" t="s">
        <v>6</v>
      </c>
      <c r="D433" s="2">
        <v>43768</v>
      </c>
      <c r="E433" s="3">
        <v>43768.611629999999</v>
      </c>
      <c r="F433" s="3">
        <v>43768.615100000003</v>
      </c>
      <c r="H433">
        <v>18.329999999999998</v>
      </c>
      <c r="K433">
        <v>4.3760631020340401</v>
      </c>
      <c r="L433" s="6">
        <v>-9.8546713009254301E-5</v>
      </c>
    </row>
    <row r="434" spans="1:12" x14ac:dyDescent="0.2">
      <c r="A434" t="s">
        <v>8</v>
      </c>
      <c r="B434">
        <v>4</v>
      </c>
      <c r="C434" t="s">
        <v>2</v>
      </c>
      <c r="D434" s="2">
        <v>43768</v>
      </c>
      <c r="E434" s="3">
        <v>43768.617359999997</v>
      </c>
      <c r="F434" s="3">
        <v>43768.62083</v>
      </c>
      <c r="G434">
        <v>17.600000000000001</v>
      </c>
      <c r="H434">
        <v>18.329999999999998</v>
      </c>
      <c r="I434">
        <v>42.5</v>
      </c>
      <c r="J434">
        <v>0.44</v>
      </c>
      <c r="K434">
        <v>-0.65011677905188403</v>
      </c>
      <c r="L434">
        <v>-1.7649925707259099E-4</v>
      </c>
    </row>
    <row r="435" spans="1:12" x14ac:dyDescent="0.2">
      <c r="A435" t="s">
        <v>8</v>
      </c>
      <c r="B435">
        <v>4</v>
      </c>
      <c r="C435" t="s">
        <v>6</v>
      </c>
      <c r="D435" s="2">
        <v>43768</v>
      </c>
      <c r="E435" s="3">
        <v>43768.62326</v>
      </c>
      <c r="F435" s="3">
        <v>43768.62674</v>
      </c>
      <c r="H435">
        <v>18.329999999999998</v>
      </c>
      <c r="K435">
        <v>7.7586868030993896</v>
      </c>
      <c r="L435">
        <v>-2.23881407656286E-4</v>
      </c>
    </row>
    <row r="436" spans="1:12" x14ac:dyDescent="0.2">
      <c r="A436" t="s">
        <v>8</v>
      </c>
      <c r="B436">
        <v>5</v>
      </c>
      <c r="C436" t="s">
        <v>2</v>
      </c>
      <c r="D436" s="2">
        <v>43768</v>
      </c>
      <c r="E436" s="3">
        <v>43768.628470000003</v>
      </c>
      <c r="F436" s="3">
        <v>43768.631939999999</v>
      </c>
      <c r="G436">
        <v>18.3</v>
      </c>
      <c r="H436">
        <v>17.78</v>
      </c>
      <c r="I436">
        <v>39.5</v>
      </c>
      <c r="J436">
        <v>0.46</v>
      </c>
      <c r="K436">
        <v>0.77001768402530502</v>
      </c>
      <c r="L436">
        <v>-1.05741829114871E-4</v>
      </c>
    </row>
    <row r="437" spans="1:12" x14ac:dyDescent="0.2">
      <c r="A437" t="s">
        <v>8</v>
      </c>
      <c r="B437">
        <v>5</v>
      </c>
      <c r="C437" t="s">
        <v>6</v>
      </c>
      <c r="D437" s="2">
        <v>43768</v>
      </c>
      <c r="E437" s="3">
        <v>43768.634550000002</v>
      </c>
      <c r="F437" s="3">
        <v>43768.638019999999</v>
      </c>
      <c r="H437">
        <v>17.78</v>
      </c>
      <c r="K437">
        <v>6.2079831450983898</v>
      </c>
      <c r="L437">
        <v>-2.2140945050687301E-4</v>
      </c>
    </row>
    <row r="438" spans="1:12" x14ac:dyDescent="0.2">
      <c r="A438" t="s">
        <v>8</v>
      </c>
      <c r="B438">
        <v>1</v>
      </c>
      <c r="C438" t="s">
        <v>2</v>
      </c>
      <c r="D438" s="2">
        <v>43768</v>
      </c>
      <c r="E438" s="3">
        <v>43768.677080000001</v>
      </c>
      <c r="F438" s="3">
        <v>43768.680560000001</v>
      </c>
      <c r="G438">
        <v>12.7</v>
      </c>
      <c r="H438">
        <v>17.78</v>
      </c>
      <c r="I438">
        <v>35</v>
      </c>
      <c r="J438">
        <v>0.41</v>
      </c>
      <c r="K438">
        <v>3.2871560424700998</v>
      </c>
      <c r="L438">
        <v>-2.40937408781225E-4</v>
      </c>
    </row>
    <row r="439" spans="1:12" x14ac:dyDescent="0.2">
      <c r="A439" t="s">
        <v>8</v>
      </c>
      <c r="B439">
        <v>1</v>
      </c>
      <c r="C439" t="s">
        <v>6</v>
      </c>
      <c r="D439" s="2">
        <v>43768</v>
      </c>
      <c r="E439" s="3">
        <v>43768.682639999999</v>
      </c>
      <c r="F439" s="3">
        <v>43768.686110000002</v>
      </c>
      <c r="H439">
        <v>17.78</v>
      </c>
      <c r="K439">
        <v>5.2879631367808697</v>
      </c>
      <c r="L439" s="6">
        <v>-9.4563381077655606E-5</v>
      </c>
    </row>
    <row r="440" spans="1:12" x14ac:dyDescent="0.2">
      <c r="A440" t="s">
        <v>8</v>
      </c>
      <c r="B440">
        <v>2</v>
      </c>
      <c r="C440" t="s">
        <v>2</v>
      </c>
      <c r="D440" s="2">
        <v>43768</v>
      </c>
      <c r="E440" s="3">
        <v>43768.688190000001</v>
      </c>
      <c r="F440" s="3">
        <v>43768.69167</v>
      </c>
      <c r="G440">
        <v>14.3</v>
      </c>
      <c r="H440">
        <v>17.78</v>
      </c>
      <c r="I440">
        <v>39.299999999999997</v>
      </c>
      <c r="J440">
        <v>0.45</v>
      </c>
      <c r="K440">
        <v>4.1325573073433697</v>
      </c>
      <c r="L440">
        <v>-1.0709980619078201E-4</v>
      </c>
    </row>
    <row r="441" spans="1:12" x14ac:dyDescent="0.2">
      <c r="A441" t="s">
        <v>8</v>
      </c>
      <c r="B441">
        <v>2</v>
      </c>
      <c r="C441" t="s">
        <v>6</v>
      </c>
      <c r="D441" s="2">
        <v>43768</v>
      </c>
      <c r="E441" s="3">
        <v>43768.693749999999</v>
      </c>
      <c r="F441" s="3">
        <v>43768.697220000002</v>
      </c>
      <c r="H441">
        <v>17.78</v>
      </c>
      <c r="K441">
        <v>4.9375828926492202</v>
      </c>
      <c r="L441">
        <v>-1.7529984997574299E-4</v>
      </c>
    </row>
    <row r="442" spans="1:12" x14ac:dyDescent="0.2">
      <c r="A442" t="s">
        <v>8</v>
      </c>
      <c r="B442">
        <v>3</v>
      </c>
      <c r="C442" t="s">
        <v>2</v>
      </c>
      <c r="D442" s="2">
        <v>43768</v>
      </c>
      <c r="E442" s="3">
        <v>43768.699310000004</v>
      </c>
      <c r="F442" s="3">
        <v>43768.70278</v>
      </c>
      <c r="G442">
        <v>14.9</v>
      </c>
      <c r="H442">
        <v>17.78</v>
      </c>
      <c r="I442">
        <v>37.1</v>
      </c>
      <c r="J442">
        <v>0.49</v>
      </c>
      <c r="K442">
        <v>3.1655875201165999</v>
      </c>
      <c r="L442">
        <v>-1.8655403062349101E-4</v>
      </c>
    </row>
    <row r="443" spans="1:12" x14ac:dyDescent="0.2">
      <c r="A443" t="s">
        <v>8</v>
      </c>
      <c r="B443">
        <v>3</v>
      </c>
      <c r="C443" t="s">
        <v>6</v>
      </c>
      <c r="D443" s="2">
        <v>43768</v>
      </c>
      <c r="E443" s="3">
        <v>43768.70521</v>
      </c>
      <c r="F443" s="3">
        <v>43768.708680000003</v>
      </c>
      <c r="H443">
        <v>17.78</v>
      </c>
      <c r="K443">
        <v>3.9283109650552999</v>
      </c>
      <c r="L443">
        <v>-2.6289173779405698E-4</v>
      </c>
    </row>
    <row r="444" spans="1:12" x14ac:dyDescent="0.2">
      <c r="A444" t="s">
        <v>8</v>
      </c>
      <c r="B444">
        <v>4</v>
      </c>
      <c r="C444" t="s">
        <v>2</v>
      </c>
      <c r="D444" s="2">
        <v>43768</v>
      </c>
      <c r="E444" s="3">
        <v>43768.711109999997</v>
      </c>
      <c r="F444" s="3">
        <v>43768.71458</v>
      </c>
      <c r="G444">
        <v>14.6</v>
      </c>
      <c r="H444">
        <v>17.78</v>
      </c>
      <c r="I444">
        <v>38.799999999999997</v>
      </c>
      <c r="J444">
        <v>0.46</v>
      </c>
      <c r="K444">
        <v>6.8653267625709002</v>
      </c>
      <c r="L444" s="6">
        <v>-9.1602897840605799E-5</v>
      </c>
    </row>
    <row r="445" spans="1:12" x14ac:dyDescent="0.2">
      <c r="A445" t="s">
        <v>8</v>
      </c>
      <c r="B445">
        <v>4</v>
      </c>
      <c r="C445" t="s">
        <v>6</v>
      </c>
      <c r="D445" s="2">
        <v>43768</v>
      </c>
      <c r="E445" s="3">
        <v>43768.71875</v>
      </c>
      <c r="F445" s="3">
        <v>43768.722220000003</v>
      </c>
      <c r="H445">
        <v>17.78</v>
      </c>
      <c r="K445">
        <v>7.5589960795294298</v>
      </c>
      <c r="L445">
        <v>-2.8690367915423299E-4</v>
      </c>
    </row>
    <row r="446" spans="1:12" x14ac:dyDescent="0.2">
      <c r="A446" t="s">
        <v>8</v>
      </c>
      <c r="B446">
        <v>5</v>
      </c>
      <c r="C446" t="s">
        <v>2</v>
      </c>
      <c r="D446" s="2">
        <v>43768</v>
      </c>
      <c r="E446" s="3">
        <v>43768.724999999999</v>
      </c>
      <c r="F446" s="3">
        <v>43768.728470000002</v>
      </c>
      <c r="G446">
        <v>19.899999999999999</v>
      </c>
      <c r="H446">
        <v>16.670000000000002</v>
      </c>
      <c r="I446">
        <v>33.200000000000003</v>
      </c>
      <c r="J446">
        <v>0.44</v>
      </c>
      <c r="K446">
        <v>6.6790618133151503</v>
      </c>
      <c r="L446">
        <v>-1.2476396783263899E-4</v>
      </c>
    </row>
    <row r="447" spans="1:12" x14ac:dyDescent="0.2">
      <c r="A447" t="s">
        <v>8</v>
      </c>
      <c r="B447">
        <v>5</v>
      </c>
      <c r="C447" t="s">
        <v>6</v>
      </c>
      <c r="D447" s="2">
        <v>43768</v>
      </c>
      <c r="E447" s="3">
        <v>43768.730560000004</v>
      </c>
      <c r="F447" s="3">
        <v>43768.73403</v>
      </c>
      <c r="H447">
        <v>16.670000000000002</v>
      </c>
      <c r="K447">
        <v>6.1223953369069797</v>
      </c>
      <c r="L447">
        <v>-1.9395294691888001E-4</v>
      </c>
    </row>
    <row r="448" spans="1:12" x14ac:dyDescent="0.2">
      <c r="A448" t="s">
        <v>8</v>
      </c>
      <c r="B448">
        <v>1</v>
      </c>
      <c r="C448" t="s">
        <v>2</v>
      </c>
      <c r="D448" s="2">
        <v>43775</v>
      </c>
      <c r="E448" s="3">
        <v>43775.426390000001</v>
      </c>
      <c r="F448" s="3">
        <v>43775.429859999997</v>
      </c>
      <c r="G448">
        <v>11.2</v>
      </c>
      <c r="H448">
        <v>7.78</v>
      </c>
      <c r="I448">
        <v>32.299999999999997</v>
      </c>
      <c r="J448">
        <v>0.38</v>
      </c>
      <c r="K448">
        <v>-3.3813121113403199</v>
      </c>
      <c r="L448" s="6">
        <v>-7.44947326704594E-5</v>
      </c>
    </row>
    <row r="449" spans="1:12" x14ac:dyDescent="0.2">
      <c r="A449" t="s">
        <v>8</v>
      </c>
      <c r="B449">
        <v>1</v>
      </c>
      <c r="C449" t="s">
        <v>6</v>
      </c>
      <c r="D449" s="2">
        <v>43775</v>
      </c>
      <c r="E449" s="3">
        <v>43775.434719999997</v>
      </c>
      <c r="F449" s="3">
        <v>43775.438190000001</v>
      </c>
      <c r="H449">
        <v>7.78</v>
      </c>
      <c r="K449">
        <v>2.69792138162145</v>
      </c>
      <c r="L449" s="6">
        <v>-9.9871757862167899E-5</v>
      </c>
    </row>
    <row r="450" spans="1:12" x14ac:dyDescent="0.2">
      <c r="A450" t="s">
        <v>8</v>
      </c>
      <c r="B450">
        <v>2</v>
      </c>
      <c r="C450" t="s">
        <v>2</v>
      </c>
      <c r="D450" s="2">
        <v>43775</v>
      </c>
      <c r="E450" s="3">
        <v>43775.44167</v>
      </c>
      <c r="F450" s="3">
        <v>43775.445140000003</v>
      </c>
      <c r="G450">
        <v>12.3</v>
      </c>
      <c r="H450">
        <v>8.89</v>
      </c>
      <c r="I450">
        <v>36.799999999999997</v>
      </c>
      <c r="J450">
        <v>0.41</v>
      </c>
      <c r="K450">
        <v>-3.2954918249413399</v>
      </c>
      <c r="L450" s="6">
        <v>-8.9537552802927898E-5</v>
      </c>
    </row>
    <row r="451" spans="1:12" x14ac:dyDescent="0.2">
      <c r="A451" t="s">
        <v>8</v>
      </c>
      <c r="B451">
        <v>2</v>
      </c>
      <c r="C451" t="s">
        <v>6</v>
      </c>
      <c r="D451" s="2">
        <v>43775</v>
      </c>
      <c r="E451" s="3">
        <v>43775.449310000004</v>
      </c>
      <c r="F451" s="3">
        <v>43775.45278</v>
      </c>
      <c r="H451">
        <v>8.89</v>
      </c>
      <c r="K451">
        <v>1.7733692831168499</v>
      </c>
      <c r="L451" s="6">
        <v>-6.2508005104798507E-5</v>
      </c>
    </row>
    <row r="452" spans="1:12" x14ac:dyDescent="0.2">
      <c r="A452" t="s">
        <v>8</v>
      </c>
      <c r="B452">
        <v>3</v>
      </c>
      <c r="C452" t="s">
        <v>2</v>
      </c>
      <c r="D452" s="2">
        <v>43775</v>
      </c>
      <c r="E452" s="3">
        <v>43775.456480000001</v>
      </c>
      <c r="F452" s="3">
        <v>43775.459949999997</v>
      </c>
      <c r="G452">
        <v>8.3000000000000007</v>
      </c>
      <c r="H452">
        <v>8.89</v>
      </c>
      <c r="I452">
        <v>38.700000000000003</v>
      </c>
      <c r="J452">
        <v>0.47</v>
      </c>
      <c r="K452">
        <v>-3.5325516249326698</v>
      </c>
      <c r="L452">
        <v>-3.0419137645371498E-4</v>
      </c>
    </row>
    <row r="453" spans="1:12" x14ac:dyDescent="0.2">
      <c r="A453" t="s">
        <v>8</v>
      </c>
      <c r="B453">
        <v>3</v>
      </c>
      <c r="C453" t="s">
        <v>6</v>
      </c>
      <c r="D453" s="2">
        <v>43775</v>
      </c>
      <c r="E453" s="3">
        <v>43775.463190000002</v>
      </c>
      <c r="F453" s="3">
        <v>43775.466670000002</v>
      </c>
      <c r="H453">
        <v>8.89</v>
      </c>
      <c r="K453">
        <v>2.58684547607659</v>
      </c>
      <c r="L453">
        <v>-3.08698837766719E-4</v>
      </c>
    </row>
    <row r="454" spans="1:12" x14ac:dyDescent="0.2">
      <c r="A454" t="s">
        <v>8</v>
      </c>
      <c r="B454">
        <v>4</v>
      </c>
      <c r="C454" t="s">
        <v>2</v>
      </c>
      <c r="D454" s="2">
        <v>43775</v>
      </c>
      <c r="E454" s="3">
        <v>43775.46991</v>
      </c>
      <c r="F454" s="3">
        <v>43775.473380000003</v>
      </c>
      <c r="G454">
        <v>5.8</v>
      </c>
      <c r="H454">
        <v>8.89</v>
      </c>
      <c r="I454">
        <v>46.3</v>
      </c>
      <c r="J454">
        <v>0.45</v>
      </c>
      <c r="K454">
        <v>-6.8634571713386698</v>
      </c>
      <c r="L454" s="6">
        <v>-7.8862072011514405E-5</v>
      </c>
    </row>
    <row r="455" spans="1:12" x14ac:dyDescent="0.2">
      <c r="A455" t="s">
        <v>8</v>
      </c>
      <c r="B455">
        <v>4</v>
      </c>
      <c r="C455" t="s">
        <v>6</v>
      </c>
      <c r="D455" s="2">
        <v>43775</v>
      </c>
      <c r="E455" s="3">
        <v>43775.477200000001</v>
      </c>
      <c r="F455" s="3">
        <v>43775.480669999997</v>
      </c>
      <c r="H455">
        <v>8.89</v>
      </c>
      <c r="K455">
        <v>3.5533415869149501</v>
      </c>
      <c r="L455">
        <v>-1.2873016092863299E-4</v>
      </c>
    </row>
    <row r="456" spans="1:12" x14ac:dyDescent="0.2">
      <c r="A456" t="s">
        <v>8</v>
      </c>
      <c r="B456">
        <v>5</v>
      </c>
      <c r="C456" t="s">
        <v>2</v>
      </c>
      <c r="D456" s="2">
        <v>43775</v>
      </c>
      <c r="E456" s="3">
        <v>43775.48472</v>
      </c>
      <c r="F456" s="3">
        <v>43775.488189999996</v>
      </c>
      <c r="G456">
        <v>14.5</v>
      </c>
      <c r="H456">
        <v>8.89</v>
      </c>
      <c r="I456">
        <v>16.100000000000001</v>
      </c>
      <c r="J456">
        <v>0.42</v>
      </c>
      <c r="K456">
        <v>-3.3968378517187698</v>
      </c>
      <c r="L456" s="6">
        <v>-9.4180685804173605E-5</v>
      </c>
    </row>
    <row r="457" spans="1:12" x14ac:dyDescent="0.2">
      <c r="A457" t="s">
        <v>8</v>
      </c>
      <c r="B457">
        <v>5</v>
      </c>
      <c r="C457" t="s">
        <v>6</v>
      </c>
      <c r="D457" s="2">
        <v>43775</v>
      </c>
      <c r="E457" s="3">
        <v>43775.491670000003</v>
      </c>
      <c r="F457" s="3">
        <v>43775.495139999999</v>
      </c>
      <c r="H457">
        <v>8.89</v>
      </c>
      <c r="K457">
        <v>2.5697349498044399</v>
      </c>
      <c r="L457" s="6">
        <v>-6.0189799791558498E-5</v>
      </c>
    </row>
    <row r="458" spans="1:12" x14ac:dyDescent="0.2">
      <c r="A458" t="s">
        <v>8</v>
      </c>
      <c r="B458">
        <v>1</v>
      </c>
      <c r="C458" t="s">
        <v>2</v>
      </c>
      <c r="D458" s="2">
        <v>43775</v>
      </c>
      <c r="E458" s="3">
        <v>43775.51296</v>
      </c>
      <c r="F458" s="3">
        <v>43775.516439999999</v>
      </c>
      <c r="G458">
        <v>13.9</v>
      </c>
      <c r="H458">
        <v>11.67</v>
      </c>
      <c r="I458">
        <v>26.3</v>
      </c>
      <c r="J458">
        <v>0.4</v>
      </c>
      <c r="K458">
        <v>-3.4120556696358499</v>
      </c>
      <c r="L458">
        <v>-2.6327633067966199E-4</v>
      </c>
    </row>
    <row r="459" spans="1:12" x14ac:dyDescent="0.2">
      <c r="A459" t="s">
        <v>8</v>
      </c>
      <c r="B459">
        <v>1</v>
      </c>
      <c r="C459" t="s">
        <v>6</v>
      </c>
      <c r="D459" s="2">
        <v>43775</v>
      </c>
      <c r="E459" s="3">
        <v>43775.518900000003</v>
      </c>
      <c r="F459" s="3">
        <v>43775.522369999999</v>
      </c>
      <c r="H459">
        <v>11.67</v>
      </c>
      <c r="K459">
        <v>2.8456892173441402</v>
      </c>
      <c r="L459">
        <v>-3.0332140135563401E-4</v>
      </c>
    </row>
    <row r="460" spans="1:12" x14ac:dyDescent="0.2">
      <c r="A460" t="s">
        <v>8</v>
      </c>
      <c r="B460">
        <v>2</v>
      </c>
      <c r="C460" t="s">
        <v>2</v>
      </c>
      <c r="D460" s="2">
        <v>43775</v>
      </c>
      <c r="E460" s="3">
        <v>43775.524879999997</v>
      </c>
      <c r="F460" s="3">
        <v>43775.528359999997</v>
      </c>
      <c r="G460">
        <v>13.2</v>
      </c>
      <c r="H460">
        <v>11.67</v>
      </c>
      <c r="I460">
        <v>28.1</v>
      </c>
      <c r="J460">
        <v>0.41</v>
      </c>
      <c r="K460">
        <v>-2.5764526949713402</v>
      </c>
      <c r="L460">
        <v>-4.6125096224801799E-4</v>
      </c>
    </row>
    <row r="461" spans="1:12" x14ac:dyDescent="0.2">
      <c r="A461" t="s">
        <v>8</v>
      </c>
      <c r="B461">
        <v>2</v>
      </c>
      <c r="C461" t="s">
        <v>6</v>
      </c>
      <c r="D461" s="2">
        <v>43775</v>
      </c>
      <c r="E461" s="3">
        <v>43775.531540000004</v>
      </c>
      <c r="F461" s="3">
        <v>43775.53501</v>
      </c>
      <c r="H461">
        <v>11.67</v>
      </c>
      <c r="K461">
        <v>2.9962755180652998</v>
      </c>
      <c r="L461">
        <v>-3.5472826033664797E-4</v>
      </c>
    </row>
    <row r="462" spans="1:12" x14ac:dyDescent="0.2">
      <c r="A462" t="s">
        <v>8</v>
      </c>
      <c r="B462">
        <v>3</v>
      </c>
      <c r="C462" t="s">
        <v>2</v>
      </c>
      <c r="D462" s="2">
        <v>43775</v>
      </c>
      <c r="E462" s="3">
        <v>43775.537949999998</v>
      </c>
      <c r="F462" s="3">
        <v>43775.541420000001</v>
      </c>
      <c r="G462">
        <v>11.8</v>
      </c>
      <c r="H462">
        <v>11.67</v>
      </c>
      <c r="I462">
        <v>30.3</v>
      </c>
      <c r="J462">
        <v>0.36</v>
      </c>
      <c r="K462">
        <v>-2.8545534050482901</v>
      </c>
      <c r="L462">
        <v>-5.2234818577333005E-4</v>
      </c>
    </row>
    <row r="463" spans="1:12" x14ac:dyDescent="0.2">
      <c r="A463" t="s">
        <v>8</v>
      </c>
      <c r="B463">
        <v>3</v>
      </c>
      <c r="C463" t="s">
        <v>6</v>
      </c>
      <c r="D463" s="2">
        <v>43775</v>
      </c>
      <c r="E463" s="3">
        <v>43775.544560000002</v>
      </c>
      <c r="F463" s="3">
        <v>43775.548029999998</v>
      </c>
      <c r="H463">
        <v>11.67</v>
      </c>
      <c r="K463">
        <v>2.4332480896987798</v>
      </c>
      <c r="L463">
        <v>-2.5054161804732302E-4</v>
      </c>
    </row>
    <row r="464" spans="1:12" x14ac:dyDescent="0.2">
      <c r="A464" t="s">
        <v>8</v>
      </c>
      <c r="B464">
        <v>4</v>
      </c>
      <c r="C464" t="s">
        <v>2</v>
      </c>
      <c r="D464" s="2">
        <v>43775</v>
      </c>
      <c r="E464" s="3">
        <v>43775.551160000003</v>
      </c>
      <c r="F464" s="3">
        <v>43775.554629999999</v>
      </c>
      <c r="G464">
        <v>11.3</v>
      </c>
      <c r="H464">
        <v>11.67</v>
      </c>
      <c r="I464">
        <v>38.5</v>
      </c>
      <c r="J464">
        <v>0.46</v>
      </c>
      <c r="K464">
        <v>-6.0203181013538698</v>
      </c>
      <c r="L464">
        <v>-2.02236300173303E-4</v>
      </c>
    </row>
    <row r="465" spans="1:12" x14ac:dyDescent="0.2">
      <c r="A465" t="s">
        <v>8</v>
      </c>
      <c r="B465">
        <v>4</v>
      </c>
      <c r="C465" t="s">
        <v>6</v>
      </c>
      <c r="D465" s="2">
        <v>43775</v>
      </c>
      <c r="E465" s="3">
        <v>43775.557910000003</v>
      </c>
      <c r="F465" s="3">
        <v>43775.561379999999</v>
      </c>
      <c r="H465">
        <v>11.67</v>
      </c>
      <c r="K465">
        <v>3.7528866192417101</v>
      </c>
      <c r="L465">
        <v>-2.99921819993032E-4</v>
      </c>
    </row>
    <row r="466" spans="1:12" x14ac:dyDescent="0.2">
      <c r="A466" t="s">
        <v>8</v>
      </c>
      <c r="B466">
        <v>5</v>
      </c>
      <c r="C466" t="s">
        <v>2</v>
      </c>
      <c r="D466" s="2">
        <v>43775</v>
      </c>
      <c r="E466" s="3">
        <v>43775.56611</v>
      </c>
      <c r="F466" s="3">
        <v>43775.569580000003</v>
      </c>
      <c r="G466">
        <v>13.9</v>
      </c>
      <c r="H466">
        <v>11.67</v>
      </c>
      <c r="I466">
        <v>30.9</v>
      </c>
      <c r="J466">
        <v>0.39</v>
      </c>
      <c r="K466">
        <v>-2.30271359972319</v>
      </c>
      <c r="L466">
        <v>-1.81503701855235E-4</v>
      </c>
    </row>
    <row r="467" spans="1:12" x14ac:dyDescent="0.2">
      <c r="A467" t="s">
        <v>8</v>
      </c>
      <c r="B467">
        <v>5</v>
      </c>
      <c r="C467" t="s">
        <v>6</v>
      </c>
      <c r="D467" s="2">
        <v>43775</v>
      </c>
      <c r="E467" s="3">
        <v>43775.573380000002</v>
      </c>
      <c r="F467" s="3">
        <v>43775.576849999998</v>
      </c>
      <c r="H467">
        <v>11.67</v>
      </c>
      <c r="K467">
        <v>1.90836688278912</v>
      </c>
      <c r="L467" s="6">
        <v>-9.8734321000913506E-5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EA7C3-2B3C-4D41-BBCA-35009D27F36E}">
  <sheetPr codeName="Sheet4"/>
  <dimension ref="A1:L513"/>
  <sheetViews>
    <sheetView workbookViewId="0">
      <pane ySplit="1" topLeftCell="A50" activePane="bottomLeft" state="frozen"/>
      <selection pane="bottomLeft"/>
    </sheetView>
  </sheetViews>
  <sheetFormatPr baseColWidth="10" defaultColWidth="8.83203125" defaultRowHeight="15" x14ac:dyDescent="0.2"/>
  <cols>
    <col min="2" max="2" width="12.1640625" customWidth="1"/>
    <col min="3" max="3" width="20.5" customWidth="1"/>
    <col min="4" max="4" width="10.5" customWidth="1"/>
    <col min="5" max="5" width="16.5" customWidth="1"/>
    <col min="6" max="6" width="14" customWidth="1"/>
    <col min="7" max="7" width="20.5" customWidth="1"/>
    <col min="8" max="8" width="17.5" customWidth="1"/>
    <col min="9" max="9" width="17.33203125" customWidth="1"/>
    <col min="10" max="10" width="25.83203125" customWidth="1"/>
    <col min="11" max="11" width="36.1640625" customWidth="1"/>
    <col min="12" max="12" width="32.6640625" customWidth="1"/>
  </cols>
  <sheetData>
    <row r="1" spans="1:12" ht="42" customHeight="1" x14ac:dyDescent="0.35">
      <c r="A1" s="1" t="s">
        <v>22</v>
      </c>
      <c r="B1" s="1" t="s">
        <v>0</v>
      </c>
      <c r="C1" s="1" t="s">
        <v>1</v>
      </c>
      <c r="D1" s="8" t="s">
        <v>13</v>
      </c>
      <c r="E1" s="8" t="s">
        <v>14</v>
      </c>
      <c r="F1" s="1" t="s">
        <v>15</v>
      </c>
      <c r="G1" s="5" t="s">
        <v>23</v>
      </c>
      <c r="H1" s="5" t="s">
        <v>17</v>
      </c>
      <c r="I1" s="1" t="s">
        <v>18</v>
      </c>
      <c r="J1" s="1" t="s">
        <v>19</v>
      </c>
      <c r="K1" s="1" t="s">
        <v>21</v>
      </c>
      <c r="L1" s="1" t="s">
        <v>20</v>
      </c>
    </row>
    <row r="2" spans="1:12" x14ac:dyDescent="0.2">
      <c r="A2" t="s">
        <v>9</v>
      </c>
      <c r="B2">
        <v>1</v>
      </c>
      <c r="C2" t="s">
        <v>2</v>
      </c>
      <c r="D2" s="2">
        <v>43580</v>
      </c>
      <c r="E2" s="3">
        <v>43580.416899999997</v>
      </c>
      <c r="F2" s="3">
        <v>43580.42037</v>
      </c>
      <c r="G2">
        <v>16.8</v>
      </c>
      <c r="H2">
        <v>11.11</v>
      </c>
      <c r="K2">
        <v>0.97388535124741005</v>
      </c>
      <c r="L2" s="6">
        <v>5.04844107526369E-5</v>
      </c>
    </row>
    <row r="3" spans="1:12" x14ac:dyDescent="0.2">
      <c r="A3" t="s">
        <v>9</v>
      </c>
      <c r="B3">
        <v>1</v>
      </c>
      <c r="C3" t="s">
        <v>6</v>
      </c>
      <c r="D3" s="2">
        <v>43580</v>
      </c>
      <c r="E3" s="3">
        <v>43580.421759999997</v>
      </c>
      <c r="F3" s="3">
        <v>43580.425230000001</v>
      </c>
      <c r="H3">
        <v>11.11</v>
      </c>
      <c r="K3">
        <v>3.6759759892625401</v>
      </c>
      <c r="L3" s="6">
        <v>-3.3187959552392498E-5</v>
      </c>
    </row>
    <row r="4" spans="1:12" x14ac:dyDescent="0.2">
      <c r="A4" t="s">
        <v>9</v>
      </c>
      <c r="B4">
        <v>2</v>
      </c>
      <c r="C4" t="s">
        <v>2</v>
      </c>
      <c r="D4" s="2">
        <v>43580</v>
      </c>
      <c r="E4" s="3">
        <v>43580.426619999998</v>
      </c>
      <c r="F4" s="3">
        <v>43580.430090000002</v>
      </c>
      <c r="G4">
        <v>21</v>
      </c>
      <c r="H4">
        <v>11.11</v>
      </c>
      <c r="K4">
        <v>-0.15737510352471201</v>
      </c>
      <c r="L4" s="6">
        <v>-8.2474329607532305E-5</v>
      </c>
    </row>
    <row r="5" spans="1:12" x14ac:dyDescent="0.2">
      <c r="A5" t="s">
        <v>9</v>
      </c>
      <c r="B5">
        <v>2</v>
      </c>
      <c r="C5" t="s">
        <v>6</v>
      </c>
      <c r="D5" s="2">
        <v>43580</v>
      </c>
      <c r="E5" s="3">
        <v>43580.431479999999</v>
      </c>
      <c r="F5" s="3">
        <v>43580.434950000003</v>
      </c>
      <c r="H5">
        <v>11.11</v>
      </c>
      <c r="K5">
        <v>3.1579425526015701</v>
      </c>
      <c r="L5" s="6">
        <v>-7.7014176630064502E-5</v>
      </c>
    </row>
    <row r="6" spans="1:12" x14ac:dyDescent="0.2">
      <c r="A6" t="s">
        <v>9</v>
      </c>
      <c r="B6">
        <v>3</v>
      </c>
      <c r="C6" t="s">
        <v>2</v>
      </c>
      <c r="D6" s="2">
        <v>43580</v>
      </c>
      <c r="E6" s="3">
        <v>43580.43634</v>
      </c>
      <c r="F6" s="3">
        <v>43580.439810000003</v>
      </c>
      <c r="G6">
        <v>21.2</v>
      </c>
      <c r="H6">
        <v>11.11</v>
      </c>
      <c r="K6">
        <v>-2.2350421599774499</v>
      </c>
      <c r="L6" s="6">
        <v>-3.5589188664666898E-5</v>
      </c>
    </row>
    <row r="7" spans="1:12" x14ac:dyDescent="0.2">
      <c r="A7" t="s">
        <v>9</v>
      </c>
      <c r="B7">
        <v>3</v>
      </c>
      <c r="C7" t="s">
        <v>6</v>
      </c>
      <c r="D7" s="2">
        <v>43580</v>
      </c>
      <c r="E7" s="3">
        <v>43580.441200000001</v>
      </c>
      <c r="F7" s="3">
        <v>43580.444680000001</v>
      </c>
      <c r="H7">
        <v>11.11</v>
      </c>
      <c r="K7">
        <v>2.8550885548360099</v>
      </c>
      <c r="L7" s="6">
        <v>-3.53158178764731E-5</v>
      </c>
    </row>
    <row r="8" spans="1:12" x14ac:dyDescent="0.2">
      <c r="A8" t="s">
        <v>9</v>
      </c>
      <c r="B8">
        <v>4</v>
      </c>
      <c r="C8" t="s">
        <v>2</v>
      </c>
      <c r="D8" s="2">
        <v>43580</v>
      </c>
      <c r="E8" s="3">
        <v>43580.446060000002</v>
      </c>
      <c r="F8" s="3">
        <v>43580.449540000001</v>
      </c>
      <c r="G8">
        <v>20.3</v>
      </c>
      <c r="H8">
        <v>11.11</v>
      </c>
      <c r="K8">
        <v>-0.95135716385236002</v>
      </c>
      <c r="L8" s="6">
        <v>-8.7545068296849705E-5</v>
      </c>
    </row>
    <row r="9" spans="1:12" x14ac:dyDescent="0.2">
      <c r="A9" t="s">
        <v>9</v>
      </c>
      <c r="B9">
        <v>4</v>
      </c>
      <c r="C9" t="s">
        <v>6</v>
      </c>
      <c r="D9" s="2">
        <v>43580</v>
      </c>
      <c r="E9" s="3">
        <v>43580.450929999999</v>
      </c>
      <c r="F9" s="3">
        <v>43580.454400000002</v>
      </c>
      <c r="H9">
        <v>11.11</v>
      </c>
      <c r="K9">
        <v>5.0094178480523501</v>
      </c>
      <c r="L9" s="6">
        <v>-8.3462390039443893E-5</v>
      </c>
    </row>
    <row r="10" spans="1:12" x14ac:dyDescent="0.2">
      <c r="A10" t="s">
        <v>9</v>
      </c>
      <c r="B10">
        <v>5</v>
      </c>
      <c r="C10" t="s">
        <v>2</v>
      </c>
      <c r="D10" s="2">
        <v>43580</v>
      </c>
      <c r="E10" s="3">
        <v>43580.45579</v>
      </c>
      <c r="F10" s="3">
        <v>43580.459260000003</v>
      </c>
      <c r="G10">
        <v>12.3</v>
      </c>
      <c r="H10">
        <v>11.11</v>
      </c>
      <c r="K10">
        <v>-0.38782990454432198</v>
      </c>
      <c r="L10">
        <v>-1.48506279373222E-4</v>
      </c>
    </row>
    <row r="11" spans="1:12" x14ac:dyDescent="0.2">
      <c r="A11" t="s">
        <v>9</v>
      </c>
      <c r="B11">
        <v>5</v>
      </c>
      <c r="C11" t="s">
        <v>6</v>
      </c>
      <c r="D11" s="2">
        <v>43580</v>
      </c>
      <c r="E11" s="3">
        <v>43580.460650000001</v>
      </c>
      <c r="F11" s="3">
        <v>43580.464119999997</v>
      </c>
      <c r="H11">
        <v>11.11</v>
      </c>
      <c r="K11">
        <v>3.5759361669566698</v>
      </c>
      <c r="L11">
        <v>-2.3126867163094999E-4</v>
      </c>
    </row>
    <row r="12" spans="1:12" x14ac:dyDescent="0.2">
      <c r="A12" t="s">
        <v>9</v>
      </c>
      <c r="B12">
        <v>1</v>
      </c>
      <c r="C12" t="s">
        <v>2</v>
      </c>
      <c r="D12" s="2">
        <v>43580</v>
      </c>
      <c r="E12" s="3">
        <v>43580.52089</v>
      </c>
      <c r="F12" s="3">
        <v>43580.524360000003</v>
      </c>
      <c r="G12">
        <v>15.5</v>
      </c>
      <c r="H12">
        <v>16.670000000000002</v>
      </c>
      <c r="K12">
        <v>1.368291708516</v>
      </c>
      <c r="L12" s="6">
        <v>-6.3911558650692904E-5</v>
      </c>
    </row>
    <row r="13" spans="1:12" x14ac:dyDescent="0.2">
      <c r="A13" t="s">
        <v>9</v>
      </c>
      <c r="B13">
        <v>1</v>
      </c>
      <c r="C13" t="s">
        <v>6</v>
      </c>
      <c r="D13" s="2">
        <v>43580</v>
      </c>
      <c r="E13" s="3">
        <v>43580.525750000001</v>
      </c>
      <c r="F13" s="3">
        <v>43580.529219999997</v>
      </c>
      <c r="H13">
        <v>16.670000000000002</v>
      </c>
      <c r="K13">
        <v>3.7356318122968402</v>
      </c>
      <c r="L13">
        <v>-1.07453284635842E-4</v>
      </c>
    </row>
    <row r="14" spans="1:12" x14ac:dyDescent="0.2">
      <c r="A14" t="s">
        <v>9</v>
      </c>
      <c r="B14">
        <v>2</v>
      </c>
      <c r="C14" t="s">
        <v>2</v>
      </c>
      <c r="D14" s="2">
        <v>43580</v>
      </c>
      <c r="E14" s="3">
        <v>43580.530610000002</v>
      </c>
      <c r="F14" s="3">
        <v>43580.534090000001</v>
      </c>
      <c r="G14">
        <v>19.3</v>
      </c>
      <c r="H14">
        <v>16.670000000000002</v>
      </c>
      <c r="K14">
        <v>-4.3246483542909199E-2</v>
      </c>
      <c r="L14">
        <v>-1.00688113257426E-4</v>
      </c>
    </row>
    <row r="15" spans="1:12" x14ac:dyDescent="0.2">
      <c r="A15" t="s">
        <v>9</v>
      </c>
      <c r="B15">
        <v>2</v>
      </c>
      <c r="C15" t="s">
        <v>6</v>
      </c>
      <c r="D15" s="2">
        <v>43580</v>
      </c>
      <c r="E15" s="3">
        <v>43580.535470000003</v>
      </c>
      <c r="F15" s="3">
        <v>43580.538950000002</v>
      </c>
      <c r="H15">
        <v>16.670000000000002</v>
      </c>
      <c r="K15">
        <v>3.52948220922559</v>
      </c>
      <c r="L15">
        <v>-1.0592514843911601E-4</v>
      </c>
    </row>
    <row r="16" spans="1:12" x14ac:dyDescent="0.2">
      <c r="A16" t="s">
        <v>9</v>
      </c>
      <c r="B16">
        <v>3</v>
      </c>
      <c r="C16" t="s">
        <v>2</v>
      </c>
      <c r="D16" s="2">
        <v>43580</v>
      </c>
      <c r="E16" s="3">
        <v>43580.54034</v>
      </c>
      <c r="F16" s="3">
        <v>43580.543810000003</v>
      </c>
      <c r="G16">
        <v>22.1</v>
      </c>
      <c r="H16">
        <v>16.670000000000002</v>
      </c>
      <c r="K16">
        <v>-1.63678219133924</v>
      </c>
      <c r="L16" s="6">
        <v>2.1984784635610399E-5</v>
      </c>
    </row>
    <row r="17" spans="1:12" x14ac:dyDescent="0.2">
      <c r="A17" t="s">
        <v>9</v>
      </c>
      <c r="B17">
        <v>3</v>
      </c>
      <c r="C17" t="s">
        <v>6</v>
      </c>
      <c r="D17" s="2">
        <v>43580</v>
      </c>
      <c r="E17" s="3">
        <v>43580.5452</v>
      </c>
      <c r="F17" s="3">
        <v>43580.548669999996</v>
      </c>
      <c r="H17">
        <v>16.670000000000002</v>
      </c>
      <c r="K17">
        <v>2.7603715882775699</v>
      </c>
      <c r="L17" s="6">
        <v>1.7223472665394601E-5</v>
      </c>
    </row>
    <row r="18" spans="1:12" x14ac:dyDescent="0.2">
      <c r="A18" t="s">
        <v>9</v>
      </c>
      <c r="B18">
        <v>4</v>
      </c>
      <c r="C18" t="s">
        <v>2</v>
      </c>
      <c r="D18" s="2">
        <v>43580</v>
      </c>
      <c r="E18" s="3">
        <v>43580.550060000001</v>
      </c>
      <c r="F18" s="3">
        <v>43580.553529999997</v>
      </c>
      <c r="G18">
        <v>14.7</v>
      </c>
      <c r="H18">
        <v>16.670000000000002</v>
      </c>
      <c r="K18">
        <v>-0.31770136416543399</v>
      </c>
      <c r="L18" s="6">
        <v>-5.4602608355904101E-5</v>
      </c>
    </row>
    <row r="19" spans="1:12" x14ac:dyDescent="0.2">
      <c r="A19" t="s">
        <v>9</v>
      </c>
      <c r="B19">
        <v>4</v>
      </c>
      <c r="C19" t="s">
        <v>6</v>
      </c>
      <c r="D19" s="2">
        <v>43580</v>
      </c>
      <c r="E19" s="3">
        <v>43580.554920000002</v>
      </c>
      <c r="F19" s="3">
        <v>43580.558389999998</v>
      </c>
      <c r="H19">
        <v>16.670000000000002</v>
      </c>
      <c r="K19">
        <v>4.23204142999605</v>
      </c>
      <c r="L19">
        <v>1.19987228977268E-4</v>
      </c>
    </row>
    <row r="20" spans="1:12" x14ac:dyDescent="0.2">
      <c r="A20" t="s">
        <v>9</v>
      </c>
      <c r="B20">
        <v>5</v>
      </c>
      <c r="C20" t="s">
        <v>2</v>
      </c>
      <c r="D20" s="2">
        <v>43580</v>
      </c>
      <c r="E20" s="3">
        <v>43580.559780000003</v>
      </c>
      <c r="F20" s="3">
        <v>43580.563249999999</v>
      </c>
      <c r="G20">
        <v>13.2</v>
      </c>
      <c r="H20">
        <v>16.670000000000002</v>
      </c>
      <c r="K20">
        <v>0.98253426523230003</v>
      </c>
      <c r="L20">
        <v>-1.2957034822673699E-4</v>
      </c>
    </row>
    <row r="21" spans="1:12" x14ac:dyDescent="0.2">
      <c r="A21" t="s">
        <v>9</v>
      </c>
      <c r="B21">
        <v>5</v>
      </c>
      <c r="C21" t="s">
        <v>6</v>
      </c>
      <c r="D21" s="2">
        <v>43580</v>
      </c>
      <c r="E21" s="3">
        <v>43580.564639999997</v>
      </c>
      <c r="F21" s="3">
        <v>43580.56811</v>
      </c>
      <c r="H21">
        <v>16.670000000000002</v>
      </c>
      <c r="K21">
        <v>3.07797378564671</v>
      </c>
      <c r="L21" s="6">
        <v>-9.2955889076201895E-5</v>
      </c>
    </row>
    <row r="22" spans="1:12" x14ac:dyDescent="0.2">
      <c r="A22" t="s">
        <v>9</v>
      </c>
      <c r="B22">
        <v>1</v>
      </c>
      <c r="C22" t="s">
        <v>2</v>
      </c>
      <c r="D22" s="2">
        <v>43584</v>
      </c>
      <c r="E22" s="3">
        <v>43584.411569999997</v>
      </c>
      <c r="F22" s="3">
        <v>43584.415050000003</v>
      </c>
      <c r="G22">
        <v>22.8</v>
      </c>
      <c r="H22">
        <v>7.78</v>
      </c>
      <c r="K22">
        <v>0.93258504282038202</v>
      </c>
      <c r="L22">
        <v>1.5207484388726799E-4</v>
      </c>
    </row>
    <row r="23" spans="1:12" x14ac:dyDescent="0.2">
      <c r="A23" t="s">
        <v>9</v>
      </c>
      <c r="B23">
        <v>1</v>
      </c>
      <c r="C23" t="s">
        <v>6</v>
      </c>
      <c r="D23" s="2">
        <v>43584</v>
      </c>
      <c r="E23" s="3">
        <v>43584.416440000001</v>
      </c>
      <c r="F23" s="3">
        <v>43584.419909999997</v>
      </c>
      <c r="H23">
        <v>7.78</v>
      </c>
      <c r="K23">
        <v>2.1615025291043799</v>
      </c>
      <c r="L23" s="6">
        <v>5.2517080636796298E-5</v>
      </c>
    </row>
    <row r="24" spans="1:12" x14ac:dyDescent="0.2">
      <c r="A24" t="s">
        <v>9</v>
      </c>
      <c r="B24">
        <v>2</v>
      </c>
      <c r="C24" t="s">
        <v>2</v>
      </c>
      <c r="D24" s="2">
        <v>43584</v>
      </c>
      <c r="E24" s="3">
        <v>43584.421300000002</v>
      </c>
      <c r="F24" s="3">
        <v>43584.424769999998</v>
      </c>
      <c r="G24">
        <v>24.6</v>
      </c>
      <c r="H24">
        <v>7.78</v>
      </c>
      <c r="K24">
        <v>-0.75590932068076799</v>
      </c>
      <c r="L24" s="6">
        <v>6.7545845198190994E-5</v>
      </c>
    </row>
    <row r="25" spans="1:12" x14ac:dyDescent="0.2">
      <c r="A25" t="s">
        <v>9</v>
      </c>
      <c r="B25">
        <v>2</v>
      </c>
      <c r="C25" t="s">
        <v>6</v>
      </c>
      <c r="D25" s="2">
        <v>43584</v>
      </c>
      <c r="E25" s="3">
        <v>43584.426160000003</v>
      </c>
      <c r="F25" s="3">
        <v>43584.429629999999</v>
      </c>
      <c r="H25">
        <v>7.78</v>
      </c>
      <c r="K25">
        <v>1.86553420662229</v>
      </c>
      <c r="L25" s="6">
        <v>3.7114349366694799E-5</v>
      </c>
    </row>
    <row r="26" spans="1:12" x14ac:dyDescent="0.2">
      <c r="A26" t="s">
        <v>9</v>
      </c>
      <c r="B26">
        <v>3</v>
      </c>
      <c r="C26" t="s">
        <v>2</v>
      </c>
      <c r="D26" s="2">
        <v>43584</v>
      </c>
      <c r="E26" s="3">
        <v>43584.431020000004</v>
      </c>
      <c r="F26" s="3">
        <v>43584.43449</v>
      </c>
      <c r="G26">
        <v>27.6</v>
      </c>
      <c r="H26">
        <v>7.78</v>
      </c>
      <c r="K26">
        <v>-3.09609875429673</v>
      </c>
      <c r="L26" s="6">
        <v>3.5094535434072398E-5</v>
      </c>
    </row>
    <row r="27" spans="1:12" x14ac:dyDescent="0.2">
      <c r="A27" t="s">
        <v>9</v>
      </c>
      <c r="B27">
        <v>3</v>
      </c>
      <c r="C27" t="s">
        <v>6</v>
      </c>
      <c r="D27" s="2">
        <v>43584</v>
      </c>
      <c r="E27" s="3">
        <v>43584.435879999997</v>
      </c>
      <c r="F27" s="3">
        <v>43584.439350000001</v>
      </c>
      <c r="H27">
        <v>7.78</v>
      </c>
      <c r="K27">
        <v>2.0313223453159801</v>
      </c>
      <c r="L27" s="6">
        <v>1.0956539364524301E-5</v>
      </c>
    </row>
    <row r="28" spans="1:12" x14ac:dyDescent="0.2">
      <c r="A28" t="s">
        <v>9</v>
      </c>
      <c r="B28">
        <v>4</v>
      </c>
      <c r="C28" t="s">
        <v>2</v>
      </c>
      <c r="D28" s="2">
        <v>43584</v>
      </c>
      <c r="E28" s="3">
        <v>43584.440739999998</v>
      </c>
      <c r="F28" s="3">
        <v>43584.444210000001</v>
      </c>
      <c r="G28">
        <v>22.2</v>
      </c>
      <c r="H28">
        <v>7.78</v>
      </c>
      <c r="K28">
        <v>-1.9892242876347399</v>
      </c>
      <c r="L28" s="6">
        <v>9.0681111793829898E-6</v>
      </c>
    </row>
    <row r="29" spans="1:12" x14ac:dyDescent="0.2">
      <c r="A29" t="s">
        <v>9</v>
      </c>
      <c r="B29">
        <v>4</v>
      </c>
      <c r="C29" t="s">
        <v>6</v>
      </c>
      <c r="D29" s="2">
        <v>43584</v>
      </c>
      <c r="E29" s="3">
        <v>43584.445599999999</v>
      </c>
      <c r="F29" s="3">
        <v>43584.449070000002</v>
      </c>
      <c r="H29">
        <v>7.78</v>
      </c>
      <c r="K29">
        <v>3.8722820089691998</v>
      </c>
      <c r="L29" s="6">
        <v>-6.2502833761411602E-5</v>
      </c>
    </row>
    <row r="30" spans="1:12" x14ac:dyDescent="0.2">
      <c r="A30" t="s">
        <v>9</v>
      </c>
      <c r="B30">
        <v>5</v>
      </c>
      <c r="C30" t="s">
        <v>2</v>
      </c>
      <c r="D30" s="2">
        <v>43584</v>
      </c>
      <c r="E30" s="3">
        <v>43584.45046</v>
      </c>
      <c r="F30" s="3">
        <v>43584.453939999999</v>
      </c>
      <c r="G30">
        <v>19</v>
      </c>
      <c r="H30">
        <v>7.78</v>
      </c>
      <c r="K30">
        <v>-0.265982403470094</v>
      </c>
      <c r="L30" s="6">
        <v>2.9236451044418499E-5</v>
      </c>
    </row>
    <row r="31" spans="1:12" x14ac:dyDescent="0.2">
      <c r="A31" t="s">
        <v>9</v>
      </c>
      <c r="B31">
        <v>5</v>
      </c>
      <c r="C31" t="s">
        <v>6</v>
      </c>
      <c r="D31" s="2">
        <v>43584</v>
      </c>
      <c r="E31" s="3">
        <v>43584.455320000001</v>
      </c>
      <c r="F31" s="3">
        <v>43584.4588</v>
      </c>
      <c r="H31">
        <v>7.78</v>
      </c>
      <c r="K31">
        <v>2.4579613716345898</v>
      </c>
      <c r="L31" s="6">
        <v>2.4388631926311301E-5</v>
      </c>
    </row>
    <row r="32" spans="1:12" x14ac:dyDescent="0.2">
      <c r="A32" t="s">
        <v>9</v>
      </c>
      <c r="B32">
        <v>1</v>
      </c>
      <c r="C32" t="s">
        <v>2</v>
      </c>
      <c r="D32" s="2">
        <v>43584</v>
      </c>
      <c r="E32" s="3">
        <v>43584.515099999997</v>
      </c>
      <c r="F32" s="3">
        <v>43584.518580000004</v>
      </c>
      <c r="G32">
        <v>21.7</v>
      </c>
      <c r="H32">
        <v>13.33</v>
      </c>
      <c r="K32">
        <v>0.801716233046741</v>
      </c>
      <c r="L32">
        <v>1.9997904687030899E-4</v>
      </c>
    </row>
    <row r="33" spans="1:12" x14ac:dyDescent="0.2">
      <c r="A33" t="s">
        <v>9</v>
      </c>
      <c r="B33">
        <v>1</v>
      </c>
      <c r="C33" t="s">
        <v>6</v>
      </c>
      <c r="D33" s="2">
        <v>43584</v>
      </c>
      <c r="E33" s="3">
        <v>43584.519970000001</v>
      </c>
      <c r="F33" s="3">
        <v>43584.523439999997</v>
      </c>
      <c r="H33">
        <v>13.33</v>
      </c>
      <c r="K33">
        <v>4.08303426820454</v>
      </c>
      <c r="L33" s="6">
        <v>4.5244639606358798E-5</v>
      </c>
    </row>
    <row r="34" spans="1:12" x14ac:dyDescent="0.2">
      <c r="A34" t="s">
        <v>9</v>
      </c>
      <c r="B34">
        <v>2</v>
      </c>
      <c r="C34" t="s">
        <v>2</v>
      </c>
      <c r="D34" s="2">
        <v>43584</v>
      </c>
      <c r="E34" s="3">
        <v>43584.524830000002</v>
      </c>
      <c r="F34" s="3">
        <v>43584.528299999998</v>
      </c>
      <c r="G34">
        <v>23.5</v>
      </c>
      <c r="H34">
        <v>13.33</v>
      </c>
      <c r="K34">
        <v>-0.60475207862364999</v>
      </c>
      <c r="L34">
        <v>1.00977680367371E-4</v>
      </c>
    </row>
    <row r="35" spans="1:12" x14ac:dyDescent="0.2">
      <c r="A35" t="s">
        <v>9</v>
      </c>
      <c r="B35">
        <v>2</v>
      </c>
      <c r="C35" t="s">
        <v>6</v>
      </c>
      <c r="D35" s="2">
        <v>43584</v>
      </c>
      <c r="E35" s="3">
        <v>43584.529690000003</v>
      </c>
      <c r="F35" s="3">
        <v>43584.533159999999</v>
      </c>
      <c r="H35">
        <v>13.33</v>
      </c>
      <c r="K35">
        <v>3.1311538026069101</v>
      </c>
      <c r="L35" s="6">
        <v>5.9205188951629198E-5</v>
      </c>
    </row>
    <row r="36" spans="1:12" x14ac:dyDescent="0.2">
      <c r="A36" t="s">
        <v>9</v>
      </c>
      <c r="B36">
        <v>3</v>
      </c>
      <c r="C36" t="s">
        <v>2</v>
      </c>
      <c r="D36" s="2">
        <v>43584</v>
      </c>
      <c r="E36" s="3">
        <v>43584.534549999997</v>
      </c>
      <c r="F36" s="3">
        <v>43584.53802</v>
      </c>
      <c r="G36">
        <v>26.7</v>
      </c>
      <c r="H36">
        <v>13.33</v>
      </c>
      <c r="K36">
        <v>-2.5461966845939998</v>
      </c>
      <c r="L36">
        <v>1.5263528874102201E-4</v>
      </c>
    </row>
    <row r="37" spans="1:12" x14ac:dyDescent="0.2">
      <c r="A37" t="s">
        <v>9</v>
      </c>
      <c r="B37">
        <v>3</v>
      </c>
      <c r="C37" t="s">
        <v>6</v>
      </c>
      <c r="D37" s="2">
        <v>43584</v>
      </c>
      <c r="E37" s="3">
        <v>43584.539409999998</v>
      </c>
      <c r="F37" s="3">
        <v>43584.542880000001</v>
      </c>
      <c r="H37">
        <v>13.33</v>
      </c>
      <c r="K37">
        <v>3.4382567660881702</v>
      </c>
      <c r="L37" s="6">
        <v>-1.7548041099025701E-5</v>
      </c>
    </row>
    <row r="38" spans="1:12" x14ac:dyDescent="0.2">
      <c r="A38" t="s">
        <v>9</v>
      </c>
      <c r="B38">
        <v>4</v>
      </c>
      <c r="C38" t="s">
        <v>2</v>
      </c>
      <c r="D38" s="2">
        <v>43584</v>
      </c>
      <c r="E38" s="3">
        <v>43584.544269999999</v>
      </c>
      <c r="F38" s="3">
        <v>43584.547740000002</v>
      </c>
      <c r="G38">
        <v>25.9</v>
      </c>
      <c r="H38">
        <v>13.33</v>
      </c>
      <c r="K38">
        <v>-1.5696625420716099</v>
      </c>
      <c r="L38" s="6">
        <v>-6.3485036356789805E-5</v>
      </c>
    </row>
    <row r="39" spans="1:12" x14ac:dyDescent="0.2">
      <c r="A39" t="s">
        <v>9</v>
      </c>
      <c r="B39">
        <v>4</v>
      </c>
      <c r="C39" t="s">
        <v>6</v>
      </c>
      <c r="D39" s="2">
        <v>43584</v>
      </c>
      <c r="E39" s="3">
        <v>43584.549129999999</v>
      </c>
      <c r="F39" s="3">
        <v>43584.552600000003</v>
      </c>
      <c r="H39">
        <v>13.33</v>
      </c>
      <c r="K39">
        <v>3.8497938341942599</v>
      </c>
      <c r="L39" s="6">
        <v>1.9107373453194301E-5</v>
      </c>
    </row>
    <row r="40" spans="1:12" x14ac:dyDescent="0.2">
      <c r="A40" t="s">
        <v>9</v>
      </c>
      <c r="B40">
        <v>5</v>
      </c>
      <c r="C40" t="s">
        <v>2</v>
      </c>
      <c r="D40" s="2">
        <v>43584</v>
      </c>
      <c r="E40" s="3">
        <v>43584.55399</v>
      </c>
      <c r="F40" s="3">
        <v>43584.55747</v>
      </c>
      <c r="G40">
        <v>20.7</v>
      </c>
      <c r="H40">
        <v>13.33</v>
      </c>
      <c r="K40">
        <v>-0.55160265196924496</v>
      </c>
      <c r="L40" s="6">
        <v>-5.4401821001490001E-5</v>
      </c>
    </row>
    <row r="41" spans="1:12" x14ac:dyDescent="0.2">
      <c r="A41" t="s">
        <v>9</v>
      </c>
      <c r="B41">
        <v>5</v>
      </c>
      <c r="C41" t="s">
        <v>6</v>
      </c>
      <c r="D41" s="2">
        <v>43584</v>
      </c>
      <c r="E41" s="3">
        <v>43584.558850000001</v>
      </c>
      <c r="F41" s="3">
        <v>43584.562330000001</v>
      </c>
      <c r="H41">
        <v>13.33</v>
      </c>
      <c r="K41">
        <v>2.7801336889850998</v>
      </c>
      <c r="L41" s="6">
        <v>6.5445252355383695E-5</v>
      </c>
    </row>
    <row r="42" spans="1:12" x14ac:dyDescent="0.2">
      <c r="A42" t="s">
        <v>9</v>
      </c>
      <c r="B42">
        <v>1</v>
      </c>
      <c r="C42" t="s">
        <v>2</v>
      </c>
      <c r="D42" s="2">
        <v>43606</v>
      </c>
      <c r="E42" s="3">
        <v>43606.500749999999</v>
      </c>
      <c r="F42" s="3">
        <v>43606.504220000003</v>
      </c>
      <c r="G42">
        <v>16.899999999999999</v>
      </c>
      <c r="H42">
        <v>18.89</v>
      </c>
      <c r="K42">
        <v>-9.3976981275009308</v>
      </c>
      <c r="L42">
        <v>1.0274893568885399E-4</v>
      </c>
    </row>
    <row r="43" spans="1:12" x14ac:dyDescent="0.2">
      <c r="A43" t="s">
        <v>9</v>
      </c>
      <c r="B43">
        <v>1</v>
      </c>
      <c r="C43" t="s">
        <v>6</v>
      </c>
      <c r="D43" s="2">
        <v>43606</v>
      </c>
      <c r="E43" s="3">
        <v>43606.50561</v>
      </c>
      <c r="F43" s="3">
        <v>43606.50909</v>
      </c>
      <c r="H43">
        <v>18.89</v>
      </c>
      <c r="K43">
        <v>7.4966876839090704</v>
      </c>
      <c r="L43">
        <v>-1.08970012903933E-4</v>
      </c>
    </row>
    <row r="44" spans="1:12" x14ac:dyDescent="0.2">
      <c r="A44" t="s">
        <v>9</v>
      </c>
      <c r="B44">
        <v>2</v>
      </c>
      <c r="C44" t="s">
        <v>2</v>
      </c>
      <c r="D44" s="2">
        <v>43606</v>
      </c>
      <c r="E44" s="3">
        <v>43606.510470000001</v>
      </c>
      <c r="F44" s="3">
        <v>43606.51395</v>
      </c>
      <c r="G44">
        <v>23.8</v>
      </c>
      <c r="H44">
        <v>18.89</v>
      </c>
      <c r="K44">
        <v>-11.6757462886361</v>
      </c>
      <c r="L44">
        <v>2.50711086101336E-4</v>
      </c>
    </row>
    <row r="45" spans="1:12" x14ac:dyDescent="0.2">
      <c r="A45" t="s">
        <v>9</v>
      </c>
      <c r="B45">
        <v>2</v>
      </c>
      <c r="C45" t="s">
        <v>6</v>
      </c>
      <c r="D45" s="2">
        <v>43606</v>
      </c>
      <c r="E45" s="3">
        <v>43606.515339999998</v>
      </c>
      <c r="F45" s="3">
        <v>43606.518810000001</v>
      </c>
      <c r="H45">
        <v>18.89</v>
      </c>
      <c r="K45">
        <v>7.96487869195097</v>
      </c>
      <c r="L45">
        <v>-2.5158282027174601E-4</v>
      </c>
    </row>
    <row r="46" spans="1:12" x14ac:dyDescent="0.2">
      <c r="A46" t="s">
        <v>9</v>
      </c>
      <c r="B46">
        <v>3</v>
      </c>
      <c r="C46" t="s">
        <v>2</v>
      </c>
      <c r="D46" s="2">
        <v>43606</v>
      </c>
      <c r="E46" s="3">
        <v>43606.520199999999</v>
      </c>
      <c r="F46" s="3">
        <v>43606.523670000002</v>
      </c>
      <c r="G46">
        <v>27.8</v>
      </c>
      <c r="H46">
        <v>18.89</v>
      </c>
      <c r="K46">
        <v>-14.173054842755599</v>
      </c>
      <c r="L46" s="6">
        <v>-1.00053196434483E-5</v>
      </c>
    </row>
    <row r="47" spans="1:12" x14ac:dyDescent="0.2">
      <c r="A47" t="s">
        <v>9</v>
      </c>
      <c r="B47">
        <v>3</v>
      </c>
      <c r="C47" t="s">
        <v>6</v>
      </c>
      <c r="D47" s="2">
        <v>43606</v>
      </c>
      <c r="E47" s="3">
        <v>43606.52506</v>
      </c>
      <c r="F47" s="3">
        <v>43606.528530000003</v>
      </c>
      <c r="H47">
        <v>18.89</v>
      </c>
      <c r="K47">
        <v>7.5398452222028096</v>
      </c>
      <c r="L47" s="6">
        <v>1.59889103298151E-5</v>
      </c>
    </row>
    <row r="48" spans="1:12" x14ac:dyDescent="0.2">
      <c r="A48" t="s">
        <v>9</v>
      </c>
      <c r="B48">
        <v>4</v>
      </c>
      <c r="C48" t="s">
        <v>2</v>
      </c>
      <c r="D48" s="2">
        <v>43606</v>
      </c>
      <c r="E48" s="3">
        <v>43606.529920000001</v>
      </c>
      <c r="F48" s="3">
        <v>43606.533389999997</v>
      </c>
      <c r="G48">
        <v>25</v>
      </c>
      <c r="H48">
        <v>18.89</v>
      </c>
      <c r="K48">
        <v>-10.6172327295644</v>
      </c>
      <c r="L48" s="6">
        <v>7.6160783751750893E-5</v>
      </c>
    </row>
    <row r="49" spans="1:12" x14ac:dyDescent="0.2">
      <c r="A49" t="s">
        <v>9</v>
      </c>
      <c r="B49">
        <v>4</v>
      </c>
      <c r="C49" t="s">
        <v>6</v>
      </c>
      <c r="D49" s="2">
        <v>43606</v>
      </c>
      <c r="E49" s="3">
        <v>43606.534780000002</v>
      </c>
      <c r="F49" s="3">
        <v>43606.538249999998</v>
      </c>
      <c r="H49">
        <v>18.89</v>
      </c>
      <c r="K49">
        <v>4.2710244084701596</v>
      </c>
      <c r="L49" s="6">
        <v>5.5775512342688003E-5</v>
      </c>
    </row>
    <row r="50" spans="1:12" x14ac:dyDescent="0.2">
      <c r="A50" t="s">
        <v>9</v>
      </c>
      <c r="B50">
        <v>5</v>
      </c>
      <c r="C50" t="s">
        <v>2</v>
      </c>
      <c r="D50" s="2">
        <v>43606</v>
      </c>
      <c r="E50" s="3">
        <v>43606.539640000003</v>
      </c>
      <c r="F50" s="3">
        <v>43606.543109999999</v>
      </c>
      <c r="G50">
        <v>17.399999999999999</v>
      </c>
      <c r="H50">
        <v>18.89</v>
      </c>
      <c r="K50">
        <v>-10.103628463448301</v>
      </c>
      <c r="L50" s="6">
        <v>3.8092719182995601E-5</v>
      </c>
    </row>
    <row r="51" spans="1:12" x14ac:dyDescent="0.2">
      <c r="A51" t="s">
        <v>9</v>
      </c>
      <c r="B51">
        <v>5</v>
      </c>
      <c r="C51" t="s">
        <v>6</v>
      </c>
      <c r="D51" s="2">
        <v>43606</v>
      </c>
      <c r="E51" s="3">
        <v>43606.544500000004</v>
      </c>
      <c r="F51" s="3">
        <v>43606.54797</v>
      </c>
      <c r="H51">
        <v>18.89</v>
      </c>
      <c r="K51">
        <v>4.9438159945298796</v>
      </c>
      <c r="L51">
        <v>-1.5989796886777999E-4</v>
      </c>
    </row>
    <row r="52" spans="1:12" x14ac:dyDescent="0.2">
      <c r="A52" t="s">
        <v>9</v>
      </c>
      <c r="B52">
        <v>1</v>
      </c>
      <c r="C52" t="s">
        <v>2</v>
      </c>
      <c r="D52" s="2">
        <v>43609</v>
      </c>
      <c r="E52" s="3">
        <v>43609.445249999997</v>
      </c>
      <c r="F52" s="3">
        <v>43609.448729999996</v>
      </c>
      <c r="G52">
        <v>15.4</v>
      </c>
      <c r="H52">
        <v>17.22</v>
      </c>
      <c r="K52">
        <v>-12.1519098983149</v>
      </c>
      <c r="L52">
        <v>5.7397537458794801E-4</v>
      </c>
    </row>
    <row r="53" spans="1:12" x14ac:dyDescent="0.2">
      <c r="A53" t="s">
        <v>9</v>
      </c>
      <c r="B53">
        <v>1</v>
      </c>
      <c r="C53" t="s">
        <v>6</v>
      </c>
      <c r="D53" s="2">
        <v>43609</v>
      </c>
      <c r="E53" s="3">
        <v>43609.450120000001</v>
      </c>
      <c r="F53" s="3">
        <v>43609.453589999997</v>
      </c>
      <c r="H53">
        <v>17.22</v>
      </c>
      <c r="K53">
        <v>13.858078973046799</v>
      </c>
      <c r="L53">
        <v>6.2929445788704997E-4</v>
      </c>
    </row>
    <row r="54" spans="1:12" x14ac:dyDescent="0.2">
      <c r="A54" t="s">
        <v>9</v>
      </c>
      <c r="B54">
        <v>2</v>
      </c>
      <c r="C54" t="s">
        <v>2</v>
      </c>
      <c r="D54" s="2">
        <v>43609</v>
      </c>
      <c r="E54" s="3">
        <v>43609.454980000002</v>
      </c>
      <c r="F54" s="3">
        <v>43609.458449999998</v>
      </c>
      <c r="G54">
        <v>17.899999999999999</v>
      </c>
      <c r="H54">
        <v>17.22</v>
      </c>
      <c r="K54">
        <v>-14.3003380770778</v>
      </c>
      <c r="L54">
        <v>3.7818235810742302E-4</v>
      </c>
    </row>
    <row r="55" spans="1:12" x14ac:dyDescent="0.2">
      <c r="A55" t="s">
        <v>9</v>
      </c>
      <c r="B55">
        <v>2</v>
      </c>
      <c r="C55" t="s">
        <v>6</v>
      </c>
      <c r="D55" s="2">
        <v>43609</v>
      </c>
      <c r="E55" s="3">
        <v>43609.459840000003</v>
      </c>
      <c r="F55" s="3">
        <v>43609.463309999999</v>
      </c>
      <c r="H55">
        <v>17.22</v>
      </c>
      <c r="K55">
        <v>8.1993482871146401</v>
      </c>
      <c r="L55">
        <v>-6.2140064300827199E-4</v>
      </c>
    </row>
    <row r="56" spans="1:12" x14ac:dyDescent="0.2">
      <c r="A56" t="s">
        <v>9</v>
      </c>
      <c r="B56">
        <v>3</v>
      </c>
      <c r="C56" t="s">
        <v>2</v>
      </c>
      <c r="D56" s="2">
        <v>43609</v>
      </c>
      <c r="E56" s="3">
        <v>43609.464699999997</v>
      </c>
      <c r="F56" s="3">
        <v>43609.46817</v>
      </c>
      <c r="G56">
        <v>20.9</v>
      </c>
      <c r="H56">
        <v>17.22</v>
      </c>
      <c r="K56">
        <v>-20.800432558518398</v>
      </c>
      <c r="L56">
        <v>-2.17381990216145E-4</v>
      </c>
    </row>
    <row r="57" spans="1:12" x14ac:dyDescent="0.2">
      <c r="A57" t="s">
        <v>9</v>
      </c>
      <c r="B57">
        <v>3</v>
      </c>
      <c r="C57" t="s">
        <v>6</v>
      </c>
      <c r="D57" s="2">
        <v>43609</v>
      </c>
      <c r="E57" s="3">
        <v>43609.469559999998</v>
      </c>
      <c r="F57" s="3">
        <v>43609.473030000001</v>
      </c>
      <c r="H57">
        <v>17.22</v>
      </c>
      <c r="K57">
        <v>4.7071262114321799</v>
      </c>
      <c r="L57">
        <v>-1.2751406389668299E-4</v>
      </c>
    </row>
    <row r="58" spans="1:12" x14ac:dyDescent="0.2">
      <c r="A58" t="s">
        <v>9</v>
      </c>
      <c r="B58">
        <v>4</v>
      </c>
      <c r="C58" t="s">
        <v>2</v>
      </c>
      <c r="D58" s="2">
        <v>43609</v>
      </c>
      <c r="E58" s="3">
        <v>43609.474419999999</v>
      </c>
      <c r="F58" s="3">
        <v>43609.477890000002</v>
      </c>
      <c r="G58">
        <v>16.5</v>
      </c>
      <c r="H58">
        <v>17.22</v>
      </c>
      <c r="K58">
        <v>-15.049531526622101</v>
      </c>
      <c r="L58" s="6">
        <v>4.1116654542388901E-5</v>
      </c>
    </row>
    <row r="59" spans="1:12" x14ac:dyDescent="0.2">
      <c r="A59" t="s">
        <v>9</v>
      </c>
      <c r="B59">
        <v>4</v>
      </c>
      <c r="C59" t="s">
        <v>6</v>
      </c>
      <c r="D59" s="2">
        <v>43609</v>
      </c>
      <c r="E59" s="3">
        <v>43609.47928</v>
      </c>
      <c r="F59" s="3">
        <v>43609.482750000003</v>
      </c>
      <c r="H59">
        <v>17.22</v>
      </c>
      <c r="K59">
        <v>7.0554067959712397</v>
      </c>
      <c r="L59">
        <v>-1.6586128588126799E-4</v>
      </c>
    </row>
    <row r="60" spans="1:12" x14ac:dyDescent="0.2">
      <c r="A60" t="s">
        <v>9</v>
      </c>
      <c r="B60">
        <v>5</v>
      </c>
      <c r="C60" t="s">
        <v>2</v>
      </c>
      <c r="D60" s="2">
        <v>43609</v>
      </c>
      <c r="E60" s="3">
        <v>43609.48414</v>
      </c>
      <c r="F60" s="3">
        <v>43609.48762</v>
      </c>
      <c r="G60">
        <v>14.5</v>
      </c>
      <c r="H60">
        <v>17.22</v>
      </c>
      <c r="K60">
        <v>-11.2050582072939</v>
      </c>
      <c r="L60">
        <v>-4.69830645121691E-4</v>
      </c>
    </row>
    <row r="61" spans="1:12" x14ac:dyDescent="0.2">
      <c r="A61" t="s">
        <v>9</v>
      </c>
      <c r="B61">
        <v>5</v>
      </c>
      <c r="C61" t="s">
        <v>6</v>
      </c>
      <c r="D61" s="2">
        <v>43609</v>
      </c>
      <c r="E61" s="3">
        <v>43609.489000000001</v>
      </c>
      <c r="F61" s="3">
        <v>43609.492480000001</v>
      </c>
      <c r="H61">
        <v>17.22</v>
      </c>
      <c r="K61">
        <v>6.7514664082765599</v>
      </c>
      <c r="L61">
        <v>-1.25267183386255E-4</v>
      </c>
    </row>
    <row r="62" spans="1:12" x14ac:dyDescent="0.2">
      <c r="A62" t="s">
        <v>9</v>
      </c>
      <c r="B62">
        <v>1</v>
      </c>
      <c r="C62" t="s">
        <v>2</v>
      </c>
      <c r="D62" s="2">
        <v>43609</v>
      </c>
      <c r="E62" s="3">
        <v>43609.516779999998</v>
      </c>
      <c r="F62" s="3">
        <v>43609.520250000001</v>
      </c>
      <c r="G62">
        <v>18.8</v>
      </c>
      <c r="H62">
        <v>18.329999999999998</v>
      </c>
      <c r="K62">
        <v>-12.1051985370884</v>
      </c>
      <c r="L62" s="6">
        <v>-9.3855509696608096E-5</v>
      </c>
    </row>
    <row r="63" spans="1:12" x14ac:dyDescent="0.2">
      <c r="A63" t="s">
        <v>9</v>
      </c>
      <c r="B63">
        <v>1</v>
      </c>
      <c r="C63" t="s">
        <v>6</v>
      </c>
      <c r="D63" s="2">
        <v>43609</v>
      </c>
      <c r="E63" s="3">
        <v>43609.521639999999</v>
      </c>
      <c r="F63" s="3">
        <v>43609.525119999998</v>
      </c>
      <c r="H63">
        <v>18.329999999999998</v>
      </c>
      <c r="K63">
        <v>11.518755658201901</v>
      </c>
      <c r="L63">
        <v>-1.85496283470854E-4</v>
      </c>
    </row>
    <row r="64" spans="1:12" x14ac:dyDescent="0.2">
      <c r="A64" t="s">
        <v>9</v>
      </c>
      <c r="B64">
        <v>2</v>
      </c>
      <c r="C64" t="s">
        <v>2</v>
      </c>
      <c r="D64" s="2">
        <v>43609</v>
      </c>
      <c r="E64" s="3">
        <v>43609.5265</v>
      </c>
      <c r="F64" s="3">
        <v>43609.529979999999</v>
      </c>
      <c r="G64">
        <v>19.100000000000001</v>
      </c>
      <c r="H64">
        <v>18.329999999999998</v>
      </c>
      <c r="K64">
        <v>-11.2032951195034</v>
      </c>
      <c r="L64">
        <v>-1.46987710899802E-4</v>
      </c>
    </row>
    <row r="65" spans="1:12" x14ac:dyDescent="0.2">
      <c r="A65" t="s">
        <v>9</v>
      </c>
      <c r="B65">
        <v>2</v>
      </c>
      <c r="C65" t="s">
        <v>6</v>
      </c>
      <c r="D65" s="2">
        <v>43609</v>
      </c>
      <c r="E65" s="3">
        <v>43609.531369999997</v>
      </c>
      <c r="F65" s="3">
        <v>43609.53484</v>
      </c>
      <c r="H65">
        <v>18.329999999999998</v>
      </c>
      <c r="K65">
        <v>6.5769957566670199</v>
      </c>
      <c r="L65">
        <v>-2.53769238278012E-4</v>
      </c>
    </row>
    <row r="66" spans="1:12" x14ac:dyDescent="0.2">
      <c r="A66" t="s">
        <v>9</v>
      </c>
      <c r="B66">
        <v>3</v>
      </c>
      <c r="C66" t="s">
        <v>2</v>
      </c>
      <c r="D66" s="2">
        <v>43609</v>
      </c>
      <c r="E66" s="3">
        <v>43609.536229999998</v>
      </c>
      <c r="F66" s="3">
        <v>43609.539700000001</v>
      </c>
      <c r="G66">
        <v>19.5</v>
      </c>
      <c r="H66">
        <v>18.329999999999998</v>
      </c>
      <c r="K66">
        <v>-18.958855610487898</v>
      </c>
      <c r="L66">
        <v>-4.6057753390859002E-4</v>
      </c>
    </row>
    <row r="67" spans="1:12" x14ac:dyDescent="0.2">
      <c r="A67" t="s">
        <v>9</v>
      </c>
      <c r="B67">
        <v>3</v>
      </c>
      <c r="C67" t="s">
        <v>6</v>
      </c>
      <c r="D67" s="2">
        <v>43609</v>
      </c>
      <c r="E67" s="3">
        <v>43609.541089999999</v>
      </c>
      <c r="F67" s="3">
        <v>43609.544560000002</v>
      </c>
      <c r="H67">
        <v>18.329999999999998</v>
      </c>
      <c r="K67">
        <v>6.0558622457846001</v>
      </c>
      <c r="L67">
        <v>1.6819396947062701E-4</v>
      </c>
    </row>
    <row r="68" spans="1:12" x14ac:dyDescent="0.2">
      <c r="A68" t="s">
        <v>9</v>
      </c>
      <c r="B68">
        <v>4</v>
      </c>
      <c r="C68" t="s">
        <v>2</v>
      </c>
      <c r="D68" s="2">
        <v>43609</v>
      </c>
      <c r="E68" s="3">
        <v>43609.54595</v>
      </c>
      <c r="F68" s="3">
        <v>43609.549420000003</v>
      </c>
      <c r="G68">
        <v>14.7</v>
      </c>
      <c r="H68">
        <v>18.329999999999998</v>
      </c>
      <c r="K68">
        <v>-15.5035163851829</v>
      </c>
      <c r="L68">
        <v>-2.6084500966225098E-4</v>
      </c>
    </row>
    <row r="69" spans="1:12" x14ac:dyDescent="0.2">
      <c r="A69" t="s">
        <v>9</v>
      </c>
      <c r="B69">
        <v>4</v>
      </c>
      <c r="C69" t="s">
        <v>6</v>
      </c>
      <c r="D69" s="2">
        <v>43609</v>
      </c>
      <c r="E69" s="3">
        <v>43609.550810000001</v>
      </c>
      <c r="F69" s="3">
        <v>43609.554279999997</v>
      </c>
      <c r="H69">
        <v>18.329999999999998</v>
      </c>
      <c r="K69">
        <v>5.1767764374915197</v>
      </c>
      <c r="L69">
        <v>3.83931585584574E-4</v>
      </c>
    </row>
    <row r="70" spans="1:12" x14ac:dyDescent="0.2">
      <c r="A70" t="s">
        <v>9</v>
      </c>
      <c r="B70">
        <v>5</v>
      </c>
      <c r="C70" t="s">
        <v>2</v>
      </c>
      <c r="D70" s="2">
        <v>43609</v>
      </c>
      <c r="E70" s="3">
        <v>43609.555670000002</v>
      </c>
      <c r="F70" s="3">
        <v>43609.559139999998</v>
      </c>
      <c r="G70">
        <v>14.9</v>
      </c>
      <c r="H70">
        <v>18.329999999999998</v>
      </c>
      <c r="K70">
        <v>-11.810666734261901</v>
      </c>
      <c r="L70">
        <v>-5.1303597934891697E-4</v>
      </c>
    </row>
    <row r="71" spans="1:12" x14ac:dyDescent="0.2">
      <c r="A71" t="s">
        <v>9</v>
      </c>
      <c r="B71">
        <v>5</v>
      </c>
      <c r="C71" t="s">
        <v>6</v>
      </c>
      <c r="D71" s="2">
        <v>43609</v>
      </c>
      <c r="E71" s="3">
        <v>43609.560530000002</v>
      </c>
      <c r="F71" s="3">
        <v>43609.563999999998</v>
      </c>
      <c r="H71">
        <v>18.329999999999998</v>
      </c>
      <c r="K71">
        <v>11.3987016974637</v>
      </c>
      <c r="L71">
        <v>4.5941516439617302E-4</v>
      </c>
    </row>
    <row r="72" spans="1:12" x14ac:dyDescent="0.2">
      <c r="A72" t="s">
        <v>9</v>
      </c>
      <c r="B72">
        <v>1</v>
      </c>
      <c r="C72" t="s">
        <v>2</v>
      </c>
      <c r="D72" s="2">
        <v>43620</v>
      </c>
      <c r="E72" s="3">
        <v>43620.438309999998</v>
      </c>
      <c r="F72" s="3">
        <v>43620.441780000001</v>
      </c>
      <c r="G72">
        <v>11.3</v>
      </c>
      <c r="H72">
        <v>17.78</v>
      </c>
      <c r="K72">
        <v>-10.0881431104283</v>
      </c>
      <c r="L72" s="6">
        <v>2.22756386223971E-6</v>
      </c>
    </row>
    <row r="73" spans="1:12" x14ac:dyDescent="0.2">
      <c r="A73" t="s">
        <v>9</v>
      </c>
      <c r="B73">
        <v>1</v>
      </c>
      <c r="C73" t="s">
        <v>6</v>
      </c>
      <c r="D73" s="2">
        <v>43620</v>
      </c>
      <c r="E73" s="3">
        <v>43620.443169999999</v>
      </c>
      <c r="F73" s="3">
        <v>43620.446640000002</v>
      </c>
      <c r="H73">
        <v>17.78</v>
      </c>
      <c r="K73">
        <v>5.4588235664524696</v>
      </c>
      <c r="L73" s="6">
        <v>-1.1605518971450599E-6</v>
      </c>
    </row>
    <row r="74" spans="1:12" x14ac:dyDescent="0.2">
      <c r="A74" t="s">
        <v>9</v>
      </c>
      <c r="B74">
        <v>2</v>
      </c>
      <c r="C74" t="s">
        <v>2</v>
      </c>
      <c r="D74" s="2">
        <v>43620</v>
      </c>
      <c r="E74" s="3">
        <v>43620.44803</v>
      </c>
      <c r="F74" s="3">
        <v>43620.451500000003</v>
      </c>
      <c r="G74">
        <v>13.2</v>
      </c>
      <c r="H74">
        <v>17.78</v>
      </c>
      <c r="K74">
        <v>-9.0851284305317801</v>
      </c>
      <c r="L74" s="6">
        <v>1.9665421728087498E-6</v>
      </c>
    </row>
    <row r="75" spans="1:12" x14ac:dyDescent="0.2">
      <c r="A75" t="s">
        <v>9</v>
      </c>
      <c r="B75">
        <v>2</v>
      </c>
      <c r="C75" t="s">
        <v>6</v>
      </c>
      <c r="D75" s="2">
        <v>43620</v>
      </c>
      <c r="E75" s="3">
        <v>43620.45289</v>
      </c>
      <c r="F75" s="3">
        <v>43620.45637</v>
      </c>
      <c r="H75">
        <v>17.78</v>
      </c>
      <c r="K75">
        <v>7.2635807297932704</v>
      </c>
      <c r="L75" s="6">
        <v>-1.5098483107857201E-6</v>
      </c>
    </row>
    <row r="76" spans="1:12" x14ac:dyDescent="0.2">
      <c r="A76" t="s">
        <v>9</v>
      </c>
      <c r="B76">
        <v>3</v>
      </c>
      <c r="C76" t="s">
        <v>2</v>
      </c>
      <c r="D76" s="2">
        <v>43620</v>
      </c>
      <c r="E76" s="3">
        <v>43620.457750000001</v>
      </c>
      <c r="F76" s="3">
        <v>43620.461230000001</v>
      </c>
      <c r="G76">
        <v>12.5</v>
      </c>
      <c r="H76">
        <v>17.78</v>
      </c>
      <c r="K76">
        <v>-17.556077209764702</v>
      </c>
      <c r="L76" s="6">
        <v>3.8236538696171802E-6</v>
      </c>
    </row>
    <row r="77" spans="1:12" x14ac:dyDescent="0.2">
      <c r="A77" t="s">
        <v>9</v>
      </c>
      <c r="B77">
        <v>3</v>
      </c>
      <c r="C77" t="s">
        <v>6</v>
      </c>
      <c r="D77" s="2">
        <v>43620</v>
      </c>
      <c r="E77" s="3">
        <v>43620.462619999998</v>
      </c>
      <c r="F77" s="3">
        <v>43620.466090000002</v>
      </c>
      <c r="H77">
        <v>17.78</v>
      </c>
      <c r="K77">
        <v>7.1533394171047702</v>
      </c>
      <c r="L77" s="6">
        <v>-1.4690349266193701E-6</v>
      </c>
    </row>
    <row r="78" spans="1:12" x14ac:dyDescent="0.2">
      <c r="A78" t="s">
        <v>9</v>
      </c>
      <c r="B78">
        <v>4</v>
      </c>
      <c r="C78" t="s">
        <v>2</v>
      </c>
      <c r="D78" s="2">
        <v>43620</v>
      </c>
      <c r="E78" s="3">
        <v>43620.467479999999</v>
      </c>
      <c r="F78" s="3">
        <v>43620.470950000003</v>
      </c>
      <c r="G78">
        <v>9.5</v>
      </c>
      <c r="H78">
        <v>17.78</v>
      </c>
      <c r="K78">
        <v>-17.0396426540992</v>
      </c>
      <c r="L78" s="6">
        <v>3.6467630583779601E-6</v>
      </c>
    </row>
    <row r="79" spans="1:12" x14ac:dyDescent="0.2">
      <c r="A79" t="s">
        <v>9</v>
      </c>
      <c r="B79">
        <v>4</v>
      </c>
      <c r="C79" t="s">
        <v>6</v>
      </c>
      <c r="D79" s="2">
        <v>43620</v>
      </c>
      <c r="E79" s="3">
        <v>43620.47234</v>
      </c>
      <c r="F79" s="3">
        <v>43620.475810000004</v>
      </c>
      <c r="H79">
        <v>17.78</v>
      </c>
      <c r="K79">
        <v>8.2211085102776398</v>
      </c>
      <c r="L79" s="6">
        <v>-1.63720406499481E-6</v>
      </c>
    </row>
    <row r="80" spans="1:12" x14ac:dyDescent="0.2">
      <c r="A80" t="s">
        <v>9</v>
      </c>
      <c r="B80">
        <v>5</v>
      </c>
      <c r="C80" t="s">
        <v>2</v>
      </c>
      <c r="D80" s="2">
        <v>43620</v>
      </c>
      <c r="E80" s="3">
        <v>43620.477200000001</v>
      </c>
      <c r="F80" s="3">
        <v>43620.480669999997</v>
      </c>
      <c r="G80">
        <v>9.6999999999999993</v>
      </c>
      <c r="H80">
        <v>17.78</v>
      </c>
      <c r="K80">
        <v>-13.5212196630118</v>
      </c>
      <c r="L80" s="6">
        <v>2.7693292655109901E-6</v>
      </c>
    </row>
    <row r="81" spans="1:12" x14ac:dyDescent="0.2">
      <c r="A81" t="s">
        <v>9</v>
      </c>
      <c r="B81">
        <v>5</v>
      </c>
      <c r="C81" t="s">
        <v>6</v>
      </c>
      <c r="D81" s="2">
        <v>43620</v>
      </c>
      <c r="E81" s="3">
        <v>43620.482060000002</v>
      </c>
      <c r="F81" s="3">
        <v>43620.485529999998</v>
      </c>
      <c r="H81">
        <v>17.78</v>
      </c>
      <c r="K81">
        <v>5.6924743233009103</v>
      </c>
      <c r="L81" s="6">
        <v>-1.0862811240114801E-6</v>
      </c>
    </row>
    <row r="82" spans="1:12" x14ac:dyDescent="0.2">
      <c r="A82" t="s">
        <v>9</v>
      </c>
      <c r="B82">
        <v>1</v>
      </c>
      <c r="C82" t="s">
        <v>2</v>
      </c>
      <c r="D82" s="2">
        <v>43620</v>
      </c>
      <c r="E82" s="3">
        <v>43620.51958</v>
      </c>
      <c r="F82" s="3">
        <v>43620.52306</v>
      </c>
      <c r="G82">
        <v>9.9</v>
      </c>
      <c r="H82">
        <v>19.440000000000001</v>
      </c>
      <c r="K82">
        <v>-10.9274273628481</v>
      </c>
      <c r="L82" s="6">
        <v>2.1677695078539001E-6</v>
      </c>
    </row>
    <row r="83" spans="1:12" x14ac:dyDescent="0.2">
      <c r="A83" t="s">
        <v>9</v>
      </c>
      <c r="B83">
        <v>1</v>
      </c>
      <c r="C83" t="s">
        <v>6</v>
      </c>
      <c r="D83" s="2">
        <v>43620</v>
      </c>
      <c r="E83" s="3">
        <v>43620.524310000001</v>
      </c>
      <c r="F83" s="3">
        <v>43620.527779999997</v>
      </c>
      <c r="H83">
        <v>19.440000000000001</v>
      </c>
      <c r="K83">
        <v>7.3305454805903398</v>
      </c>
      <c r="L83" s="6">
        <v>-1.3820143764752801E-6</v>
      </c>
    </row>
    <row r="84" spans="1:12" x14ac:dyDescent="0.2">
      <c r="A84" t="s">
        <v>9</v>
      </c>
      <c r="B84">
        <v>2</v>
      </c>
      <c r="C84" t="s">
        <v>2</v>
      </c>
      <c r="D84" s="2">
        <v>43620</v>
      </c>
      <c r="E84" s="3">
        <v>43620.529029999998</v>
      </c>
      <c r="F84" s="3">
        <v>43620.532500000001</v>
      </c>
      <c r="G84">
        <v>7.4</v>
      </c>
      <c r="H84">
        <v>19.440000000000001</v>
      </c>
      <c r="K84">
        <v>-10.1017324005717</v>
      </c>
      <c r="L84" s="6">
        <v>1.9676824461258999E-6</v>
      </c>
    </row>
    <row r="85" spans="1:12" x14ac:dyDescent="0.2">
      <c r="A85" t="s">
        <v>9</v>
      </c>
      <c r="B85">
        <v>2</v>
      </c>
      <c r="C85" t="s">
        <v>6</v>
      </c>
      <c r="D85" s="2">
        <v>43620</v>
      </c>
      <c r="E85" s="3">
        <v>43620.533750000002</v>
      </c>
      <c r="F85" s="3">
        <v>43620.537219999998</v>
      </c>
      <c r="H85">
        <v>19.440000000000001</v>
      </c>
      <c r="K85">
        <v>8.3959433514442203</v>
      </c>
      <c r="L85" s="6">
        <v>-1.52370268996905E-6</v>
      </c>
    </row>
    <row r="86" spans="1:12" x14ac:dyDescent="0.2">
      <c r="A86" t="s">
        <v>9</v>
      </c>
      <c r="B86">
        <v>3</v>
      </c>
      <c r="C86" t="s">
        <v>2</v>
      </c>
      <c r="D86" s="2">
        <v>43620</v>
      </c>
      <c r="E86" s="3">
        <v>43620.53847</v>
      </c>
      <c r="F86" s="3">
        <v>43620.541940000003</v>
      </c>
      <c r="G86">
        <v>8.4</v>
      </c>
      <c r="H86">
        <v>19.440000000000001</v>
      </c>
      <c r="K86">
        <v>-13.952495573005001</v>
      </c>
      <c r="L86" s="6">
        <v>2.7230275448612699E-6</v>
      </c>
    </row>
    <row r="87" spans="1:12" x14ac:dyDescent="0.2">
      <c r="A87" t="s">
        <v>9</v>
      </c>
      <c r="B87">
        <v>3</v>
      </c>
      <c r="C87" t="s">
        <v>6</v>
      </c>
      <c r="D87" s="2">
        <v>43620</v>
      </c>
      <c r="E87" s="3">
        <v>43620.543189999997</v>
      </c>
      <c r="F87" s="3">
        <v>43620.546670000003</v>
      </c>
      <c r="H87">
        <v>19.440000000000001</v>
      </c>
      <c r="K87">
        <v>7.3835724268778904</v>
      </c>
      <c r="L87" s="6">
        <v>-1.3167288412631199E-6</v>
      </c>
    </row>
    <row r="88" spans="1:12" x14ac:dyDescent="0.2">
      <c r="A88" t="s">
        <v>9</v>
      </c>
      <c r="B88">
        <v>4</v>
      </c>
      <c r="C88" t="s">
        <v>2</v>
      </c>
      <c r="D88" s="2">
        <v>43620</v>
      </c>
      <c r="E88" s="3">
        <v>43620.547919999997</v>
      </c>
      <c r="F88" s="3">
        <v>43620.551390000001</v>
      </c>
      <c r="G88">
        <v>7.4</v>
      </c>
      <c r="H88">
        <v>19.440000000000001</v>
      </c>
      <c r="K88">
        <v>-13.146042432736699</v>
      </c>
      <c r="L88" s="6">
        <v>2.5158519461628199E-6</v>
      </c>
    </row>
    <row r="89" spans="1:12" x14ac:dyDescent="0.2">
      <c r="A89" t="s">
        <v>9</v>
      </c>
      <c r="B89">
        <v>4</v>
      </c>
      <c r="C89" t="s">
        <v>6</v>
      </c>
      <c r="D89" s="2">
        <v>43620</v>
      </c>
      <c r="E89" s="3">
        <v>43620.552640000002</v>
      </c>
      <c r="F89" s="3">
        <v>43620.556109999998</v>
      </c>
      <c r="H89">
        <v>19.440000000000001</v>
      </c>
      <c r="K89">
        <v>6.5965545632239699</v>
      </c>
      <c r="L89" s="6">
        <v>-1.17114681100452E-6</v>
      </c>
    </row>
    <row r="90" spans="1:12" x14ac:dyDescent="0.2">
      <c r="A90" t="s">
        <v>9</v>
      </c>
      <c r="B90">
        <v>5</v>
      </c>
      <c r="C90" t="s">
        <v>2</v>
      </c>
      <c r="D90" s="2">
        <v>43620</v>
      </c>
      <c r="E90" s="3">
        <v>43620.557359999999</v>
      </c>
      <c r="F90" s="3">
        <v>43620.560830000002</v>
      </c>
      <c r="G90">
        <v>10.1</v>
      </c>
      <c r="H90">
        <v>19.440000000000001</v>
      </c>
      <c r="K90">
        <v>-13.7377441960993</v>
      </c>
      <c r="L90" s="6">
        <v>2.5295794392430298E-6</v>
      </c>
    </row>
    <row r="91" spans="1:12" x14ac:dyDescent="0.2">
      <c r="A91" t="s">
        <v>9</v>
      </c>
      <c r="B91">
        <v>5</v>
      </c>
      <c r="C91" t="s">
        <v>6</v>
      </c>
      <c r="D91" s="2">
        <v>43620</v>
      </c>
      <c r="E91" s="3">
        <v>43620.562080000003</v>
      </c>
      <c r="F91" s="3">
        <v>43620.565560000003</v>
      </c>
      <c r="H91">
        <v>19.440000000000001</v>
      </c>
      <c r="K91">
        <v>10.2738594295447</v>
      </c>
      <c r="L91" s="6">
        <v>-1.8057145143262901E-6</v>
      </c>
    </row>
    <row r="92" spans="1:12" x14ac:dyDescent="0.2">
      <c r="A92" t="s">
        <v>9</v>
      </c>
      <c r="B92">
        <v>1</v>
      </c>
      <c r="C92" t="s">
        <v>2</v>
      </c>
      <c r="D92" s="2">
        <v>43640</v>
      </c>
      <c r="E92" s="3">
        <v>43640.48762</v>
      </c>
      <c r="F92" s="3">
        <v>43640.491090000003</v>
      </c>
      <c r="G92">
        <v>6.7</v>
      </c>
      <c r="H92">
        <v>25</v>
      </c>
      <c r="K92">
        <v>-8.1420127526730006</v>
      </c>
      <c r="L92">
        <v>4.4796629880764997E-3</v>
      </c>
    </row>
    <row r="93" spans="1:12" x14ac:dyDescent="0.2">
      <c r="A93" t="s">
        <v>9</v>
      </c>
      <c r="B93">
        <v>1</v>
      </c>
      <c r="C93" t="s">
        <v>6</v>
      </c>
      <c r="D93" s="2">
        <v>43640</v>
      </c>
      <c r="E93" s="3">
        <v>43640.492480000001</v>
      </c>
      <c r="F93" s="3">
        <v>43640.495949999997</v>
      </c>
      <c r="H93">
        <v>25</v>
      </c>
      <c r="K93">
        <v>9.6321053627083799</v>
      </c>
      <c r="L93" s="6">
        <v>-9.2934561688741601E-7</v>
      </c>
    </row>
    <row r="94" spans="1:12" x14ac:dyDescent="0.2">
      <c r="A94" t="s">
        <v>9</v>
      </c>
      <c r="B94">
        <v>2</v>
      </c>
      <c r="C94" t="s">
        <v>2</v>
      </c>
      <c r="D94" s="2">
        <v>43640</v>
      </c>
      <c r="E94" s="3">
        <v>43640.497340000002</v>
      </c>
      <c r="F94" s="3">
        <v>43640.500809999998</v>
      </c>
      <c r="G94">
        <v>10.1</v>
      </c>
      <c r="H94">
        <v>25</v>
      </c>
      <c r="K94">
        <v>-12.1139043888484</v>
      </c>
      <c r="L94" s="6">
        <v>5.1483570371789002E-7</v>
      </c>
    </row>
    <row r="95" spans="1:12" x14ac:dyDescent="0.2">
      <c r="A95" t="s">
        <v>9</v>
      </c>
      <c r="B95">
        <v>2</v>
      </c>
      <c r="C95" t="s">
        <v>6</v>
      </c>
      <c r="D95" s="2">
        <v>43640</v>
      </c>
      <c r="E95" s="3">
        <v>43640.502200000003</v>
      </c>
      <c r="F95" s="3">
        <v>43640.505669999999</v>
      </c>
      <c r="H95">
        <v>25</v>
      </c>
      <c r="K95">
        <v>6.2265803775462496</v>
      </c>
    </row>
    <row r="96" spans="1:12" x14ac:dyDescent="0.2">
      <c r="A96" t="s">
        <v>9</v>
      </c>
      <c r="B96">
        <v>3</v>
      </c>
      <c r="C96" t="s">
        <v>2</v>
      </c>
      <c r="D96" s="2">
        <v>43640</v>
      </c>
      <c r="E96" s="3">
        <v>43640.507060000004</v>
      </c>
      <c r="F96" s="3">
        <v>43640.51053</v>
      </c>
      <c r="G96">
        <v>5.4</v>
      </c>
      <c r="H96">
        <v>25</v>
      </c>
      <c r="K96">
        <v>-10.7159201686181</v>
      </c>
    </row>
    <row r="97" spans="1:12" x14ac:dyDescent="0.2">
      <c r="A97" t="s">
        <v>9</v>
      </c>
      <c r="B97">
        <v>3</v>
      </c>
      <c r="C97" t="s">
        <v>6</v>
      </c>
      <c r="D97" s="2">
        <v>43640</v>
      </c>
      <c r="E97" s="3">
        <v>43640.511919999997</v>
      </c>
      <c r="F97" s="3">
        <v>43640.51539</v>
      </c>
      <c r="H97">
        <v>25</v>
      </c>
      <c r="K97">
        <v>9.4669578277936299</v>
      </c>
    </row>
    <row r="98" spans="1:12" x14ac:dyDescent="0.2">
      <c r="A98" t="s">
        <v>9</v>
      </c>
      <c r="B98">
        <v>4</v>
      </c>
      <c r="C98" t="s">
        <v>2</v>
      </c>
      <c r="D98" s="2">
        <v>43640</v>
      </c>
      <c r="E98" s="3">
        <v>43640.516779999998</v>
      </c>
      <c r="F98" s="3">
        <v>43640.520250000001</v>
      </c>
      <c r="G98">
        <v>6.6</v>
      </c>
      <c r="H98">
        <v>25</v>
      </c>
      <c r="K98">
        <v>-10.1281908745666</v>
      </c>
    </row>
    <row r="99" spans="1:12" x14ac:dyDescent="0.2">
      <c r="A99" t="s">
        <v>9</v>
      </c>
      <c r="B99">
        <v>4</v>
      </c>
      <c r="C99" t="s">
        <v>6</v>
      </c>
      <c r="D99" s="2">
        <v>43640</v>
      </c>
      <c r="E99" s="3">
        <v>43640.521639999999</v>
      </c>
      <c r="F99" s="3">
        <v>43640.525119999998</v>
      </c>
      <c r="H99">
        <v>25</v>
      </c>
      <c r="K99">
        <v>5.5854107417687704</v>
      </c>
    </row>
    <row r="100" spans="1:12" x14ac:dyDescent="0.2">
      <c r="A100" t="s">
        <v>9</v>
      </c>
      <c r="B100">
        <v>5</v>
      </c>
      <c r="C100" t="s">
        <v>2</v>
      </c>
      <c r="D100" s="2">
        <v>43640</v>
      </c>
      <c r="E100" s="3">
        <v>43640.5265</v>
      </c>
      <c r="F100" s="3">
        <v>43640.529979999999</v>
      </c>
      <c r="G100">
        <v>9.3000000000000007</v>
      </c>
      <c r="H100">
        <v>25</v>
      </c>
      <c r="K100">
        <v>-11.9939626600972</v>
      </c>
    </row>
    <row r="101" spans="1:12" x14ac:dyDescent="0.2">
      <c r="A101" t="s">
        <v>9</v>
      </c>
      <c r="B101">
        <v>5</v>
      </c>
      <c r="C101" t="s">
        <v>6</v>
      </c>
      <c r="D101" s="2">
        <v>43640</v>
      </c>
      <c r="E101" s="3">
        <v>43640.531369999997</v>
      </c>
      <c r="F101" s="3">
        <v>43640.53484</v>
      </c>
      <c r="H101">
        <v>25</v>
      </c>
      <c r="K101">
        <v>6.37021625023604</v>
      </c>
    </row>
    <row r="102" spans="1:12" x14ac:dyDescent="0.2">
      <c r="A102" t="s">
        <v>9</v>
      </c>
      <c r="B102">
        <v>1</v>
      </c>
      <c r="C102" t="s">
        <v>2</v>
      </c>
      <c r="D102" s="2">
        <v>43640</v>
      </c>
      <c r="E102" s="3">
        <v>43640.618869999998</v>
      </c>
      <c r="F102" s="3">
        <v>43640.622340000002</v>
      </c>
      <c r="G102">
        <v>8.9</v>
      </c>
      <c r="H102">
        <v>30</v>
      </c>
      <c r="K102">
        <v>-10.321827917010999</v>
      </c>
      <c r="L102">
        <v>3.170998E-3</v>
      </c>
    </row>
    <row r="103" spans="1:12" x14ac:dyDescent="0.2">
      <c r="A103" t="s">
        <v>9</v>
      </c>
      <c r="B103">
        <v>1</v>
      </c>
      <c r="C103" t="s">
        <v>6</v>
      </c>
      <c r="D103" s="2">
        <v>43640</v>
      </c>
      <c r="E103" s="3">
        <v>43640.623729999999</v>
      </c>
      <c r="F103" s="3">
        <v>43640.627200000003</v>
      </c>
      <c r="H103">
        <v>30</v>
      </c>
      <c r="K103">
        <v>8.4352821719121405</v>
      </c>
      <c r="L103">
        <v>3.3222400000000002E-3</v>
      </c>
    </row>
    <row r="104" spans="1:12" x14ac:dyDescent="0.2">
      <c r="A104" t="s">
        <v>9</v>
      </c>
      <c r="B104">
        <v>2</v>
      </c>
      <c r="C104" t="s">
        <v>2</v>
      </c>
      <c r="D104" s="2">
        <v>43640</v>
      </c>
      <c r="E104" s="3">
        <v>43640.62859</v>
      </c>
      <c r="F104" s="3">
        <v>43640.632060000004</v>
      </c>
      <c r="G104">
        <v>8.5</v>
      </c>
      <c r="H104">
        <v>30</v>
      </c>
      <c r="K104">
        <v>-6.3409257865250996</v>
      </c>
      <c r="L104">
        <v>3.1905073999999999E-2</v>
      </c>
    </row>
    <row r="105" spans="1:12" x14ac:dyDescent="0.2">
      <c r="A105" t="s">
        <v>9</v>
      </c>
      <c r="B105">
        <v>2</v>
      </c>
      <c r="C105" t="s">
        <v>6</v>
      </c>
      <c r="D105" s="2">
        <v>43640</v>
      </c>
      <c r="E105" s="3">
        <v>43640.633450000001</v>
      </c>
      <c r="F105" s="3">
        <v>43640.636919999997</v>
      </c>
      <c r="H105">
        <v>30</v>
      </c>
      <c r="K105">
        <v>7.5084974620246898</v>
      </c>
      <c r="L105">
        <v>1.0444849000000001E-2</v>
      </c>
    </row>
    <row r="106" spans="1:12" x14ac:dyDescent="0.2">
      <c r="A106" t="s">
        <v>9</v>
      </c>
      <c r="B106">
        <v>3</v>
      </c>
      <c r="C106" t="s">
        <v>2</v>
      </c>
      <c r="D106" s="2">
        <v>43640</v>
      </c>
      <c r="E106" s="3">
        <v>43640.638310000002</v>
      </c>
      <c r="F106" s="3">
        <v>43640.641779999998</v>
      </c>
      <c r="G106">
        <v>3.9</v>
      </c>
      <c r="H106">
        <v>30</v>
      </c>
      <c r="K106">
        <v>-9.3285924937279301</v>
      </c>
      <c r="L106">
        <v>2.8114391999999998E-2</v>
      </c>
    </row>
    <row r="107" spans="1:12" x14ac:dyDescent="0.2">
      <c r="A107" t="s">
        <v>9</v>
      </c>
      <c r="B107">
        <v>3</v>
      </c>
      <c r="C107" t="s">
        <v>6</v>
      </c>
      <c r="D107" s="2">
        <v>43640</v>
      </c>
      <c r="E107" s="3">
        <v>43640.643170000003</v>
      </c>
      <c r="F107" s="3">
        <v>43640.646639999999</v>
      </c>
      <c r="H107">
        <v>30</v>
      </c>
      <c r="K107">
        <v>8.4899888192280706</v>
      </c>
      <c r="L107">
        <v>2.5699224E-2</v>
      </c>
    </row>
    <row r="108" spans="1:12" x14ac:dyDescent="0.2">
      <c r="A108" t="s">
        <v>9</v>
      </c>
      <c r="B108">
        <v>4</v>
      </c>
      <c r="C108" t="s">
        <v>2</v>
      </c>
      <c r="D108" s="2">
        <v>43640</v>
      </c>
      <c r="E108" s="3">
        <v>43640.648029999997</v>
      </c>
      <c r="F108" s="3">
        <v>43640.6515</v>
      </c>
      <c r="G108">
        <v>4.2</v>
      </c>
      <c r="H108">
        <v>30</v>
      </c>
      <c r="K108">
        <v>-7.2635451271836402</v>
      </c>
      <c r="L108">
        <v>5.2281013000000001E-2</v>
      </c>
    </row>
    <row r="109" spans="1:12" x14ac:dyDescent="0.2">
      <c r="A109" t="s">
        <v>9</v>
      </c>
      <c r="B109">
        <v>1</v>
      </c>
      <c r="C109" t="s">
        <v>4</v>
      </c>
      <c r="D109" s="2">
        <v>43657</v>
      </c>
      <c r="E109" s="3">
        <v>43657.325120000001</v>
      </c>
      <c r="F109" s="3">
        <v>43657.328589999997</v>
      </c>
      <c r="G109">
        <v>5.0999999999999996</v>
      </c>
      <c r="H109">
        <v>28.89</v>
      </c>
      <c r="K109">
        <v>0.91435215383874902</v>
      </c>
      <c r="L109">
        <v>-4.9704855190062999E-3</v>
      </c>
    </row>
    <row r="110" spans="1:12" x14ac:dyDescent="0.2">
      <c r="A110" t="s">
        <v>9</v>
      </c>
      <c r="B110">
        <v>1</v>
      </c>
      <c r="C110" t="s">
        <v>6</v>
      </c>
      <c r="D110" s="2">
        <v>43657</v>
      </c>
      <c r="E110" s="3">
        <v>43657.329980000002</v>
      </c>
      <c r="F110" s="3">
        <v>43657.333449999998</v>
      </c>
      <c r="H110">
        <v>28.89</v>
      </c>
      <c r="K110">
        <v>-1.2967563350345199</v>
      </c>
      <c r="L110">
        <v>-4.6926280052562502E-3</v>
      </c>
    </row>
    <row r="111" spans="1:12" x14ac:dyDescent="0.2">
      <c r="A111" t="s">
        <v>9</v>
      </c>
      <c r="B111">
        <v>2</v>
      </c>
      <c r="C111" t="s">
        <v>4</v>
      </c>
      <c r="D111" s="2">
        <v>43657</v>
      </c>
      <c r="E111" s="3">
        <v>43657.334840000003</v>
      </c>
      <c r="F111" s="3">
        <v>43657.338309999999</v>
      </c>
      <c r="G111">
        <v>7.1</v>
      </c>
      <c r="H111">
        <v>28.89</v>
      </c>
      <c r="K111">
        <v>-2.82820353354828</v>
      </c>
      <c r="L111">
        <v>1.9763447944226701E-3</v>
      </c>
    </row>
    <row r="112" spans="1:12" x14ac:dyDescent="0.2">
      <c r="A112" t="s">
        <v>9</v>
      </c>
      <c r="B112">
        <v>2</v>
      </c>
      <c r="C112" t="s">
        <v>6</v>
      </c>
      <c r="D112" s="2">
        <v>43657</v>
      </c>
      <c r="E112" s="3">
        <v>43657.339699999997</v>
      </c>
      <c r="F112" s="3">
        <v>43657.34317</v>
      </c>
      <c r="H112">
        <v>28.89</v>
      </c>
      <c r="K112">
        <v>7.5085189046886196</v>
      </c>
      <c r="L112">
        <v>3.0213875009210299E-3</v>
      </c>
    </row>
    <row r="113" spans="1:12" x14ac:dyDescent="0.2">
      <c r="A113" t="s">
        <v>9</v>
      </c>
      <c r="B113">
        <v>3</v>
      </c>
      <c r="C113" t="s">
        <v>4</v>
      </c>
      <c r="D113" s="2">
        <v>43657</v>
      </c>
      <c r="E113" s="3">
        <v>43657.344559999998</v>
      </c>
      <c r="F113" s="3">
        <v>43657.348030000001</v>
      </c>
      <c r="G113">
        <v>4.0999999999999996</v>
      </c>
      <c r="H113">
        <v>28.89</v>
      </c>
      <c r="K113">
        <v>-1.86655388825485</v>
      </c>
      <c r="L113">
        <v>4.77168836846393E-3</v>
      </c>
    </row>
    <row r="114" spans="1:12" x14ac:dyDescent="0.2">
      <c r="A114" t="s">
        <v>9</v>
      </c>
      <c r="B114">
        <v>3</v>
      </c>
      <c r="C114" t="s">
        <v>6</v>
      </c>
      <c r="D114" s="2">
        <v>43657</v>
      </c>
      <c r="E114" s="3">
        <v>43657.349419999999</v>
      </c>
      <c r="F114" s="3">
        <v>43657.352890000002</v>
      </c>
      <c r="H114">
        <v>28.89</v>
      </c>
      <c r="K114">
        <v>5.9762276130652099</v>
      </c>
      <c r="L114">
        <v>3.1045991832133E-3</v>
      </c>
    </row>
    <row r="115" spans="1:12" x14ac:dyDescent="0.2">
      <c r="A115" t="s">
        <v>9</v>
      </c>
      <c r="B115">
        <v>4</v>
      </c>
      <c r="C115" t="s">
        <v>4</v>
      </c>
      <c r="D115" s="2">
        <v>43657</v>
      </c>
      <c r="E115" s="3">
        <v>43657.35428</v>
      </c>
      <c r="F115" s="3">
        <v>43657.357750000003</v>
      </c>
      <c r="G115">
        <v>7.9</v>
      </c>
      <c r="H115">
        <v>28.89</v>
      </c>
      <c r="K115">
        <v>-2.54626753540298</v>
      </c>
      <c r="L115">
        <v>-1.3968668872531701E-3</v>
      </c>
    </row>
    <row r="116" spans="1:12" x14ac:dyDescent="0.2">
      <c r="A116" t="s">
        <v>9</v>
      </c>
      <c r="B116">
        <v>4</v>
      </c>
      <c r="C116" t="s">
        <v>6</v>
      </c>
      <c r="D116" s="2">
        <v>43657</v>
      </c>
      <c r="E116" s="3">
        <v>43657.35914</v>
      </c>
      <c r="F116" s="3">
        <v>43657.36262</v>
      </c>
      <c r="H116">
        <v>28.89</v>
      </c>
      <c r="K116">
        <v>9.39723632271191</v>
      </c>
      <c r="L116">
        <v>1.3305773808395999E-2</v>
      </c>
    </row>
    <row r="117" spans="1:12" x14ac:dyDescent="0.2">
      <c r="A117" t="s">
        <v>9</v>
      </c>
      <c r="B117">
        <v>5</v>
      </c>
      <c r="C117" t="s">
        <v>4</v>
      </c>
      <c r="D117" s="2">
        <v>43657</v>
      </c>
      <c r="E117" s="3">
        <v>43657.364000000001</v>
      </c>
      <c r="F117" s="3">
        <v>43657.367480000001</v>
      </c>
      <c r="G117">
        <v>4.5</v>
      </c>
      <c r="H117">
        <v>28.89</v>
      </c>
      <c r="K117">
        <v>-3.0327801356311701</v>
      </c>
      <c r="L117">
        <v>-2.5381227252211399E-4</v>
      </c>
    </row>
    <row r="118" spans="1:12" x14ac:dyDescent="0.2">
      <c r="A118" t="s">
        <v>9</v>
      </c>
      <c r="B118">
        <v>5</v>
      </c>
      <c r="C118" t="s">
        <v>6</v>
      </c>
      <c r="D118" s="2">
        <v>43657</v>
      </c>
      <c r="E118" s="3">
        <v>43657.368869999998</v>
      </c>
      <c r="F118" s="3">
        <v>43657.372340000002</v>
      </c>
      <c r="H118">
        <v>28.89</v>
      </c>
      <c r="K118">
        <v>7.2940790432303002</v>
      </c>
      <c r="L118">
        <v>-2.41900466372077E-4</v>
      </c>
    </row>
    <row r="119" spans="1:12" x14ac:dyDescent="0.2">
      <c r="A119" t="s">
        <v>9</v>
      </c>
      <c r="B119">
        <v>1</v>
      </c>
      <c r="C119" t="s">
        <v>4</v>
      </c>
      <c r="D119" s="2">
        <v>43657</v>
      </c>
      <c r="E119" s="3">
        <v>43657.593869999997</v>
      </c>
      <c r="F119" s="3">
        <v>43657.596640000003</v>
      </c>
      <c r="G119">
        <v>5.0999999999999996</v>
      </c>
      <c r="H119">
        <v>28.89</v>
      </c>
      <c r="K119">
        <v>-4.4034017338059099</v>
      </c>
      <c r="L119">
        <v>3.0074135112058702E-4</v>
      </c>
    </row>
    <row r="120" spans="1:12" x14ac:dyDescent="0.2">
      <c r="A120" t="s">
        <v>9</v>
      </c>
      <c r="B120">
        <v>1</v>
      </c>
      <c r="C120" t="s">
        <v>6</v>
      </c>
      <c r="D120" s="2">
        <v>43657</v>
      </c>
      <c r="E120" s="3">
        <v>43657.598030000001</v>
      </c>
      <c r="F120" s="3">
        <v>43657.601499999997</v>
      </c>
      <c r="H120">
        <v>28.89</v>
      </c>
      <c r="K120">
        <v>4.5504358521898904</v>
      </c>
      <c r="L120">
        <v>-1.32125335491685E-4</v>
      </c>
    </row>
    <row r="121" spans="1:12" x14ac:dyDescent="0.2">
      <c r="A121" t="s">
        <v>9</v>
      </c>
      <c r="B121">
        <v>2</v>
      </c>
      <c r="C121" t="s">
        <v>4</v>
      </c>
      <c r="D121" s="2">
        <v>43657</v>
      </c>
      <c r="E121" s="3">
        <v>43657.602200000001</v>
      </c>
      <c r="F121" s="3">
        <v>43657.606370000001</v>
      </c>
      <c r="G121">
        <v>6.3</v>
      </c>
      <c r="H121">
        <v>28.89</v>
      </c>
      <c r="K121">
        <v>-5.4840296015274399</v>
      </c>
      <c r="L121">
        <v>2.17468626708069E-4</v>
      </c>
    </row>
    <row r="122" spans="1:12" x14ac:dyDescent="0.2">
      <c r="A122" t="s">
        <v>9</v>
      </c>
      <c r="B122">
        <v>2</v>
      </c>
      <c r="C122" t="s">
        <v>6</v>
      </c>
      <c r="D122" s="2">
        <v>43657</v>
      </c>
      <c r="E122" s="3">
        <v>43657.606370000001</v>
      </c>
      <c r="F122" s="3">
        <v>43657.611230000002</v>
      </c>
      <c r="H122">
        <v>28.89</v>
      </c>
      <c r="K122">
        <v>2.9182774498189499</v>
      </c>
      <c r="L122" s="6">
        <v>-5.9594047038313497E-5</v>
      </c>
    </row>
    <row r="123" spans="1:12" x14ac:dyDescent="0.2">
      <c r="A123" t="s">
        <v>9</v>
      </c>
      <c r="B123">
        <v>3</v>
      </c>
      <c r="C123" t="s">
        <v>4</v>
      </c>
      <c r="D123" s="2">
        <v>43657</v>
      </c>
      <c r="E123" s="3">
        <v>43657.610529999998</v>
      </c>
      <c r="F123" s="3">
        <v>43657.616090000003</v>
      </c>
      <c r="G123">
        <v>4.0999999999999996</v>
      </c>
      <c r="H123">
        <v>28.89</v>
      </c>
      <c r="K123">
        <v>-2.8627087196105001</v>
      </c>
      <c r="L123">
        <v>-3.3368902110624899E-3</v>
      </c>
    </row>
    <row r="124" spans="1:12" x14ac:dyDescent="0.2">
      <c r="A124" t="s">
        <v>9</v>
      </c>
      <c r="B124">
        <v>3</v>
      </c>
      <c r="C124" t="s">
        <v>6</v>
      </c>
      <c r="D124" s="2">
        <v>43657</v>
      </c>
      <c r="E124" s="3">
        <v>43657.614699999998</v>
      </c>
      <c r="F124" s="3">
        <v>43657.620949999997</v>
      </c>
      <c r="H124">
        <v>28.89</v>
      </c>
      <c r="K124">
        <v>2.2833183624806002</v>
      </c>
      <c r="L124">
        <v>-3.1920302997937402E-4</v>
      </c>
    </row>
    <row r="125" spans="1:12" x14ac:dyDescent="0.2">
      <c r="A125" t="s">
        <v>9</v>
      </c>
      <c r="B125">
        <v>4</v>
      </c>
      <c r="C125" t="s">
        <v>4</v>
      </c>
      <c r="D125" s="2">
        <v>43657</v>
      </c>
      <c r="E125" s="3">
        <v>43657.618869999998</v>
      </c>
      <c r="F125" s="3">
        <v>43657.625809999998</v>
      </c>
      <c r="G125">
        <v>2.9</v>
      </c>
      <c r="H125">
        <v>28.89</v>
      </c>
      <c r="K125">
        <v>-2.3368943750299298</v>
      </c>
      <c r="L125" s="6">
        <v>-7.2912088099032094E-5</v>
      </c>
    </row>
    <row r="126" spans="1:12" x14ac:dyDescent="0.2">
      <c r="A126" t="s">
        <v>9</v>
      </c>
      <c r="B126">
        <v>4</v>
      </c>
      <c r="C126" t="s">
        <v>6</v>
      </c>
      <c r="D126" s="2">
        <v>43657</v>
      </c>
      <c r="E126" s="3">
        <v>43657.623030000002</v>
      </c>
      <c r="F126" s="3">
        <v>43657.630669999999</v>
      </c>
      <c r="H126">
        <v>28.89</v>
      </c>
      <c r="K126">
        <v>0.80560235373954303</v>
      </c>
      <c r="L126" s="6">
        <v>-2.27024734292661E-5</v>
      </c>
    </row>
    <row r="127" spans="1:12" x14ac:dyDescent="0.2">
      <c r="A127" t="s">
        <v>9</v>
      </c>
      <c r="B127">
        <v>5</v>
      </c>
      <c r="C127" t="s">
        <v>4</v>
      </c>
      <c r="D127" s="2">
        <v>43657</v>
      </c>
      <c r="E127" s="3">
        <v>43657.627200000003</v>
      </c>
      <c r="F127" s="3">
        <v>43657.63553</v>
      </c>
      <c r="G127">
        <v>1.7</v>
      </c>
      <c r="H127">
        <v>28.89</v>
      </c>
      <c r="K127">
        <v>-1.7235057219277199</v>
      </c>
      <c r="L127">
        <v>3.7276546733301701E-4</v>
      </c>
    </row>
    <row r="128" spans="1:12" x14ac:dyDescent="0.2">
      <c r="A128" t="s">
        <v>9</v>
      </c>
      <c r="B128">
        <v>5</v>
      </c>
      <c r="C128" t="s">
        <v>6</v>
      </c>
      <c r="D128" s="2">
        <v>43657</v>
      </c>
      <c r="E128" s="3">
        <v>43657.631370000003</v>
      </c>
      <c r="F128" s="3">
        <v>43657.64039</v>
      </c>
      <c r="H128">
        <v>28.89</v>
      </c>
      <c r="K128">
        <v>-1.18729272789337</v>
      </c>
      <c r="L128">
        <v>2.91984297527876E-4</v>
      </c>
    </row>
    <row r="129" spans="1:12" x14ac:dyDescent="0.2">
      <c r="A129" t="s">
        <v>9</v>
      </c>
      <c r="B129">
        <v>1</v>
      </c>
      <c r="C129" t="s">
        <v>4</v>
      </c>
      <c r="D129" s="2">
        <v>43679</v>
      </c>
      <c r="E129" s="3">
        <v>43679.614580000001</v>
      </c>
      <c r="F129" s="3">
        <v>43679.618060000001</v>
      </c>
      <c r="G129">
        <v>8.6999999999999993</v>
      </c>
      <c r="H129">
        <v>30</v>
      </c>
      <c r="I129">
        <v>39.9</v>
      </c>
      <c r="J129">
        <v>0.41</v>
      </c>
      <c r="K129">
        <v>-3.9058669794615999</v>
      </c>
      <c r="L129">
        <v>-2.9160697855741601E-4</v>
      </c>
    </row>
    <row r="130" spans="1:12" x14ac:dyDescent="0.2">
      <c r="A130" t="s">
        <v>9</v>
      </c>
      <c r="B130">
        <v>1</v>
      </c>
      <c r="C130" t="s">
        <v>6</v>
      </c>
      <c r="D130" s="2">
        <v>43679</v>
      </c>
      <c r="E130" s="3">
        <v>43679.620139999999</v>
      </c>
      <c r="F130" s="3">
        <v>43679.623610000002</v>
      </c>
      <c r="H130">
        <v>30</v>
      </c>
      <c r="K130">
        <v>9.4319270243661304</v>
      </c>
      <c r="L130" s="6">
        <v>-6.1086076930569802E-5</v>
      </c>
    </row>
    <row r="131" spans="1:12" x14ac:dyDescent="0.2">
      <c r="A131" t="s">
        <v>9</v>
      </c>
      <c r="B131">
        <v>2</v>
      </c>
      <c r="C131" t="s">
        <v>4</v>
      </c>
      <c r="D131" s="2">
        <v>43679</v>
      </c>
      <c r="E131" s="3">
        <v>43679.625</v>
      </c>
      <c r="F131" s="3">
        <v>43679.628470000003</v>
      </c>
      <c r="G131">
        <v>12.2</v>
      </c>
      <c r="H131">
        <v>30</v>
      </c>
      <c r="I131">
        <v>39.700000000000003</v>
      </c>
      <c r="J131">
        <v>0.69</v>
      </c>
      <c r="K131">
        <v>-3.19660973244026</v>
      </c>
      <c r="L131">
        <v>7.3775346655957001E-4</v>
      </c>
    </row>
    <row r="132" spans="1:12" x14ac:dyDescent="0.2">
      <c r="A132" t="s">
        <v>9</v>
      </c>
      <c r="B132">
        <v>2</v>
      </c>
      <c r="C132" t="s">
        <v>6</v>
      </c>
      <c r="D132" s="2">
        <v>43679</v>
      </c>
      <c r="E132" s="3">
        <v>43679.631939999999</v>
      </c>
      <c r="F132" s="3">
        <v>43679.635419999999</v>
      </c>
      <c r="H132">
        <v>30</v>
      </c>
      <c r="K132">
        <v>8.1290380270098694</v>
      </c>
      <c r="L132">
        <v>-1.21268105975703E-4</v>
      </c>
    </row>
    <row r="133" spans="1:12" x14ac:dyDescent="0.2">
      <c r="A133" t="s">
        <v>9</v>
      </c>
      <c r="B133">
        <v>3</v>
      </c>
      <c r="C133" t="s">
        <v>4</v>
      </c>
      <c r="D133" s="2">
        <v>43679</v>
      </c>
      <c r="E133" s="3">
        <v>43679.637499999997</v>
      </c>
      <c r="F133" s="3">
        <v>43679.64097</v>
      </c>
      <c r="G133">
        <v>5.9</v>
      </c>
      <c r="H133">
        <v>30</v>
      </c>
      <c r="I133">
        <v>38.4</v>
      </c>
      <c r="J133">
        <v>0.59</v>
      </c>
      <c r="K133">
        <v>-9.0287767098498506</v>
      </c>
      <c r="L133">
        <v>-1.08161647634494E-4</v>
      </c>
    </row>
    <row r="134" spans="1:12" x14ac:dyDescent="0.2">
      <c r="A134" t="s">
        <v>9</v>
      </c>
      <c r="B134">
        <v>3</v>
      </c>
      <c r="C134" t="s">
        <v>6</v>
      </c>
      <c r="D134" s="2">
        <v>43679</v>
      </c>
      <c r="E134" s="3">
        <v>43679.643580000004</v>
      </c>
      <c r="F134" s="3">
        <v>43679.64705</v>
      </c>
      <c r="H134">
        <v>30</v>
      </c>
      <c r="K134">
        <v>12.009438718596</v>
      </c>
      <c r="L134">
        <v>-5.5716911839926895E-4</v>
      </c>
    </row>
    <row r="135" spans="1:12" x14ac:dyDescent="0.2">
      <c r="A135" t="s">
        <v>9</v>
      </c>
      <c r="B135">
        <v>4</v>
      </c>
      <c r="C135" t="s">
        <v>4</v>
      </c>
      <c r="D135" s="2">
        <v>43679</v>
      </c>
      <c r="E135" s="3">
        <v>43679.648609999997</v>
      </c>
      <c r="F135" s="3">
        <v>43679.65208</v>
      </c>
      <c r="G135">
        <v>5.7</v>
      </c>
      <c r="H135">
        <v>30</v>
      </c>
      <c r="I135">
        <v>34.5</v>
      </c>
      <c r="J135">
        <v>0.62</v>
      </c>
      <c r="K135">
        <v>-1.2170982802099899</v>
      </c>
      <c r="L135" s="6">
        <v>5.42092031853984E-5</v>
      </c>
    </row>
    <row r="136" spans="1:12" x14ac:dyDescent="0.2">
      <c r="A136" t="s">
        <v>9</v>
      </c>
      <c r="B136">
        <v>4</v>
      </c>
      <c r="C136" t="s">
        <v>6</v>
      </c>
      <c r="D136" s="2">
        <v>43679</v>
      </c>
      <c r="E136" s="3">
        <v>43679.65451</v>
      </c>
      <c r="F136" s="3">
        <v>43679.65799</v>
      </c>
      <c r="H136">
        <v>30</v>
      </c>
      <c r="K136">
        <v>8.0991299048885406</v>
      </c>
      <c r="L136" s="6">
        <v>-3.8558435808205502E-5</v>
      </c>
    </row>
    <row r="137" spans="1:12" x14ac:dyDescent="0.2">
      <c r="A137" t="s">
        <v>9</v>
      </c>
      <c r="B137">
        <v>5</v>
      </c>
      <c r="C137" t="s">
        <v>4</v>
      </c>
      <c r="D137" s="2">
        <v>43679</v>
      </c>
      <c r="E137" s="3">
        <v>43679.66001</v>
      </c>
      <c r="F137" s="3">
        <v>43679.663480000003</v>
      </c>
      <c r="G137">
        <v>10</v>
      </c>
      <c r="H137">
        <v>30</v>
      </c>
      <c r="I137">
        <v>47.5</v>
      </c>
      <c r="J137">
        <v>0.59</v>
      </c>
      <c r="K137">
        <v>-0.41725835527677502</v>
      </c>
      <c r="L137">
        <v>1.35959300406398E-4</v>
      </c>
    </row>
    <row r="138" spans="1:12" x14ac:dyDescent="0.2">
      <c r="A138" t="s">
        <v>9</v>
      </c>
      <c r="B138">
        <v>5</v>
      </c>
      <c r="C138" t="s">
        <v>6</v>
      </c>
      <c r="D138" s="2">
        <v>43679</v>
      </c>
      <c r="E138" s="3">
        <v>43679.665970000002</v>
      </c>
      <c r="F138" s="3">
        <v>43679.669439999998</v>
      </c>
      <c r="H138">
        <v>30</v>
      </c>
      <c r="K138">
        <v>9.2669446658103105</v>
      </c>
      <c r="L138" s="6">
        <v>-3.7929390729259402E-5</v>
      </c>
    </row>
    <row r="139" spans="1:12" x14ac:dyDescent="0.2">
      <c r="A139" t="s">
        <v>9</v>
      </c>
      <c r="B139">
        <v>1</v>
      </c>
      <c r="C139" t="s">
        <v>4</v>
      </c>
      <c r="D139" s="2">
        <v>43686</v>
      </c>
      <c r="E139" s="3">
        <v>43686.4853</v>
      </c>
      <c r="F139" s="3">
        <v>43686.488770000004</v>
      </c>
      <c r="G139">
        <v>11.3</v>
      </c>
      <c r="H139">
        <v>25.56</v>
      </c>
      <c r="I139">
        <v>55.4</v>
      </c>
      <c r="J139">
        <v>0.7</v>
      </c>
      <c r="K139">
        <v>-0.84269227325849905</v>
      </c>
      <c r="L139">
        <v>-3.2055479635739899E-4</v>
      </c>
    </row>
    <row r="140" spans="1:12" x14ac:dyDescent="0.2">
      <c r="A140" t="s">
        <v>9</v>
      </c>
      <c r="B140">
        <v>1</v>
      </c>
      <c r="C140" t="s">
        <v>6</v>
      </c>
      <c r="D140" s="2">
        <v>43686</v>
      </c>
      <c r="E140" s="3">
        <v>43686.491840000002</v>
      </c>
      <c r="F140" s="3">
        <v>43686.495309999998</v>
      </c>
      <c r="H140">
        <v>25.56</v>
      </c>
      <c r="K140">
        <v>1.69515865082948</v>
      </c>
      <c r="L140" s="6">
        <v>-7.1273949458044406E-5</v>
      </c>
    </row>
    <row r="141" spans="1:12" x14ac:dyDescent="0.2">
      <c r="A141" t="s">
        <v>9</v>
      </c>
      <c r="B141">
        <v>2</v>
      </c>
      <c r="C141" t="s">
        <v>4</v>
      </c>
      <c r="D141" s="2">
        <v>43686</v>
      </c>
      <c r="E141" s="3">
        <v>43686.497799999997</v>
      </c>
      <c r="F141" s="3">
        <v>43686.501270000001</v>
      </c>
      <c r="G141">
        <v>12.8</v>
      </c>
      <c r="H141">
        <v>25.56</v>
      </c>
      <c r="I141">
        <v>40.299999999999997</v>
      </c>
      <c r="J141">
        <v>0.72</v>
      </c>
      <c r="K141">
        <v>-1.45235613667501</v>
      </c>
      <c r="L141">
        <v>-3.5633616361797899E-4</v>
      </c>
    </row>
    <row r="142" spans="1:12" x14ac:dyDescent="0.2">
      <c r="A142" t="s">
        <v>9</v>
      </c>
      <c r="B142">
        <v>2</v>
      </c>
      <c r="C142" t="s">
        <v>6</v>
      </c>
      <c r="D142" s="2">
        <v>43686</v>
      </c>
      <c r="E142" s="3">
        <v>43686.50359</v>
      </c>
      <c r="F142" s="3">
        <v>43686.507060000004</v>
      </c>
      <c r="H142">
        <v>25.56</v>
      </c>
      <c r="K142">
        <v>0.50430475213703096</v>
      </c>
      <c r="L142">
        <v>1.14765674646209E-4</v>
      </c>
    </row>
    <row r="143" spans="1:12" x14ac:dyDescent="0.2">
      <c r="A143" t="s">
        <v>9</v>
      </c>
      <c r="B143">
        <v>3</v>
      </c>
      <c r="C143" t="s">
        <v>4</v>
      </c>
      <c r="D143" s="2">
        <v>43686</v>
      </c>
      <c r="E143" s="3">
        <v>43686.510880000002</v>
      </c>
      <c r="F143" s="3">
        <v>43686.514349999998</v>
      </c>
      <c r="G143">
        <v>13.6</v>
      </c>
      <c r="H143">
        <v>25.56</v>
      </c>
      <c r="I143">
        <v>36.4</v>
      </c>
      <c r="J143">
        <v>0.78</v>
      </c>
      <c r="K143">
        <v>-2.0161478575701102</v>
      </c>
      <c r="L143">
        <v>1.49142915439619E-4</v>
      </c>
    </row>
    <row r="144" spans="1:12" x14ac:dyDescent="0.2">
      <c r="A144" t="s">
        <v>9</v>
      </c>
      <c r="B144">
        <v>3</v>
      </c>
      <c r="C144" t="s">
        <v>6</v>
      </c>
      <c r="D144" s="2">
        <v>43686</v>
      </c>
      <c r="E144" s="3">
        <v>43686.51771</v>
      </c>
      <c r="F144" s="3">
        <v>43686.521180000003</v>
      </c>
      <c r="H144">
        <v>25.56</v>
      </c>
      <c r="K144">
        <v>-0.13816363423665701</v>
      </c>
      <c r="L144">
        <v>2.8099960286115502E-4</v>
      </c>
    </row>
    <row r="145" spans="1:12" x14ac:dyDescent="0.2">
      <c r="A145" t="s">
        <v>9</v>
      </c>
      <c r="B145">
        <v>4</v>
      </c>
      <c r="C145" t="s">
        <v>4</v>
      </c>
      <c r="D145" s="2">
        <v>43686</v>
      </c>
      <c r="E145" s="3">
        <v>43686.524830000002</v>
      </c>
      <c r="F145" s="3">
        <v>43686.528299999998</v>
      </c>
      <c r="G145">
        <v>11.9</v>
      </c>
      <c r="H145">
        <v>25.56</v>
      </c>
      <c r="I145">
        <v>35.1</v>
      </c>
      <c r="J145">
        <v>0.77</v>
      </c>
      <c r="K145">
        <v>-1.03981246167936</v>
      </c>
      <c r="L145">
        <v>-1.0623162056109E-4</v>
      </c>
    </row>
    <row r="146" spans="1:12" x14ac:dyDescent="0.2">
      <c r="A146" t="s">
        <v>9</v>
      </c>
      <c r="B146">
        <v>4</v>
      </c>
      <c r="C146" t="s">
        <v>6</v>
      </c>
      <c r="D146" s="2">
        <v>43686</v>
      </c>
      <c r="E146" s="3">
        <v>43686.53241</v>
      </c>
      <c r="F146" s="3">
        <v>43686.535880000003</v>
      </c>
      <c r="H146">
        <v>25.56</v>
      </c>
      <c r="K146">
        <v>0.30634696280693302</v>
      </c>
      <c r="L146">
        <v>2.2744824385616101E-4</v>
      </c>
    </row>
    <row r="147" spans="1:12" x14ac:dyDescent="0.2">
      <c r="A147" t="s">
        <v>9</v>
      </c>
      <c r="B147">
        <v>5</v>
      </c>
      <c r="C147" t="s">
        <v>4</v>
      </c>
      <c r="D147" s="2">
        <v>43686</v>
      </c>
      <c r="E147" s="3">
        <v>43686.539579999997</v>
      </c>
      <c r="F147" s="3">
        <v>43686.543060000004</v>
      </c>
      <c r="G147">
        <v>16.3</v>
      </c>
      <c r="H147">
        <v>25.56</v>
      </c>
      <c r="I147">
        <v>43.3</v>
      </c>
      <c r="J147">
        <v>0.73</v>
      </c>
      <c r="K147">
        <v>-3.2426553204643498</v>
      </c>
      <c r="L147">
        <v>-2.17356812658109E-4</v>
      </c>
    </row>
    <row r="148" spans="1:12" x14ac:dyDescent="0.2">
      <c r="A148" t="s">
        <v>9</v>
      </c>
      <c r="B148">
        <v>5</v>
      </c>
      <c r="C148" t="s">
        <v>6</v>
      </c>
      <c r="D148" s="2">
        <v>43686</v>
      </c>
      <c r="E148" s="3">
        <v>43686.54595</v>
      </c>
      <c r="F148" s="3">
        <v>43686.549420000003</v>
      </c>
      <c r="H148">
        <v>25.56</v>
      </c>
      <c r="K148">
        <v>0.64031810828191704</v>
      </c>
      <c r="L148">
        <v>-3.0126880142025599E-4</v>
      </c>
    </row>
    <row r="149" spans="1:12" x14ac:dyDescent="0.2">
      <c r="A149" t="s">
        <v>9</v>
      </c>
      <c r="B149">
        <v>1</v>
      </c>
      <c r="C149" t="s">
        <v>4</v>
      </c>
      <c r="D149" s="2">
        <v>43686</v>
      </c>
      <c r="E149" s="3">
        <v>43686.605499999998</v>
      </c>
      <c r="F149" s="3">
        <v>43686.608970000001</v>
      </c>
      <c r="G149">
        <v>15.1</v>
      </c>
      <c r="H149">
        <v>27.78</v>
      </c>
      <c r="I149">
        <v>41.8</v>
      </c>
      <c r="J149">
        <v>0.68</v>
      </c>
      <c r="K149">
        <v>6.9213149552710004E-2</v>
      </c>
      <c r="L149">
        <v>-2.3019405649246999E-4</v>
      </c>
    </row>
    <row r="150" spans="1:12" x14ac:dyDescent="0.2">
      <c r="A150" t="s">
        <v>9</v>
      </c>
      <c r="B150">
        <v>1</v>
      </c>
      <c r="C150" t="s">
        <v>6</v>
      </c>
      <c r="D150" s="2">
        <v>43686</v>
      </c>
      <c r="E150" s="3">
        <v>43686.610650000002</v>
      </c>
      <c r="F150" s="3">
        <v>43686.614119999998</v>
      </c>
      <c r="H150">
        <v>27.78</v>
      </c>
      <c r="K150">
        <v>-0.32664025205978198</v>
      </c>
      <c r="L150">
        <v>3.1026496871082101E-4</v>
      </c>
    </row>
    <row r="151" spans="1:12" x14ac:dyDescent="0.2">
      <c r="A151" t="s">
        <v>9</v>
      </c>
      <c r="B151">
        <v>2</v>
      </c>
      <c r="C151" t="s">
        <v>4</v>
      </c>
      <c r="D151" s="2">
        <v>43686</v>
      </c>
      <c r="E151" s="3">
        <v>43686.615740000001</v>
      </c>
      <c r="F151" s="3">
        <v>43686.619209999997</v>
      </c>
      <c r="G151">
        <v>13.5</v>
      </c>
      <c r="H151">
        <v>27.78</v>
      </c>
      <c r="I151">
        <v>36.799999999999997</v>
      </c>
      <c r="J151">
        <v>0.67</v>
      </c>
      <c r="K151">
        <v>1.0315290582130501</v>
      </c>
      <c r="L151">
        <v>3.4454421642567498E-4</v>
      </c>
    </row>
    <row r="152" spans="1:12" x14ac:dyDescent="0.2">
      <c r="A152" t="s">
        <v>9</v>
      </c>
      <c r="B152">
        <v>2</v>
      </c>
      <c r="C152" t="s">
        <v>6</v>
      </c>
      <c r="D152" s="2">
        <v>43686</v>
      </c>
      <c r="E152" s="3">
        <v>43686.620889999998</v>
      </c>
      <c r="F152" s="3">
        <v>43686.624360000002</v>
      </c>
      <c r="H152">
        <v>27.78</v>
      </c>
      <c r="K152">
        <v>0.27996500204588998</v>
      </c>
      <c r="L152" s="6">
        <v>-7.2007790863579395E-5</v>
      </c>
    </row>
    <row r="153" spans="1:12" x14ac:dyDescent="0.2">
      <c r="A153" t="s">
        <v>9</v>
      </c>
      <c r="B153">
        <v>3</v>
      </c>
      <c r="C153" t="s">
        <v>4</v>
      </c>
      <c r="D153" s="2">
        <v>43686</v>
      </c>
      <c r="E153" s="3">
        <v>43686.626680000001</v>
      </c>
      <c r="F153" s="3">
        <v>43686.630149999997</v>
      </c>
      <c r="G153">
        <v>13.1</v>
      </c>
      <c r="H153">
        <v>27.78</v>
      </c>
      <c r="I153">
        <v>40.9</v>
      </c>
      <c r="J153">
        <v>0.79</v>
      </c>
      <c r="K153">
        <v>-4.7617014331645704</v>
      </c>
      <c r="L153" s="6">
        <v>1.4224744622045901E-5</v>
      </c>
    </row>
    <row r="154" spans="1:12" x14ac:dyDescent="0.2">
      <c r="A154" t="s">
        <v>9</v>
      </c>
      <c r="B154">
        <v>3</v>
      </c>
      <c r="C154" t="s">
        <v>6</v>
      </c>
      <c r="D154" s="2">
        <v>43686</v>
      </c>
      <c r="E154" s="3">
        <v>43686.632700000002</v>
      </c>
      <c r="F154" s="3">
        <v>43686.636169999998</v>
      </c>
      <c r="H154">
        <v>27.78</v>
      </c>
      <c r="K154">
        <v>8.4582404765014605</v>
      </c>
      <c r="L154">
        <v>-2.5245418278330801E-4</v>
      </c>
    </row>
    <row r="155" spans="1:12" x14ac:dyDescent="0.2">
      <c r="A155" t="s">
        <v>9</v>
      </c>
      <c r="B155">
        <v>4</v>
      </c>
      <c r="C155" t="s">
        <v>4</v>
      </c>
      <c r="D155" s="2">
        <v>43686</v>
      </c>
      <c r="E155" s="3">
        <v>43686.638189999998</v>
      </c>
      <c r="F155" s="3">
        <v>43686.641669999997</v>
      </c>
      <c r="G155">
        <v>13.6</v>
      </c>
      <c r="H155">
        <v>27.78</v>
      </c>
      <c r="I155">
        <v>48.6</v>
      </c>
      <c r="J155">
        <v>0.7</v>
      </c>
      <c r="K155">
        <v>-2.77879348859621</v>
      </c>
      <c r="L155">
        <v>1.3699196086779599E-4</v>
      </c>
    </row>
    <row r="156" spans="1:12" x14ac:dyDescent="0.2">
      <c r="A156" t="s">
        <v>9</v>
      </c>
      <c r="B156">
        <v>4</v>
      </c>
      <c r="C156" t="s">
        <v>6</v>
      </c>
      <c r="D156" s="2">
        <v>43686</v>
      </c>
      <c r="E156" s="3">
        <v>43686.64387</v>
      </c>
      <c r="F156" s="3">
        <v>43686.647340000003</v>
      </c>
      <c r="H156">
        <v>27.78</v>
      </c>
      <c r="K156">
        <v>1.4035802005779201</v>
      </c>
      <c r="L156">
        <v>-1.6509608188943701E-4</v>
      </c>
    </row>
    <row r="157" spans="1:12" x14ac:dyDescent="0.2">
      <c r="A157" t="s">
        <v>9</v>
      </c>
      <c r="B157">
        <v>5</v>
      </c>
      <c r="C157" t="s">
        <v>4</v>
      </c>
      <c r="D157" s="2">
        <v>43686</v>
      </c>
      <c r="E157" s="3">
        <v>43686.649189999996</v>
      </c>
      <c r="F157" s="3">
        <v>43686.65266</v>
      </c>
      <c r="G157">
        <v>14.6</v>
      </c>
      <c r="H157">
        <v>27.78</v>
      </c>
      <c r="I157">
        <v>41.8</v>
      </c>
      <c r="J157">
        <v>0.71</v>
      </c>
      <c r="K157">
        <v>-2.8993854869710098</v>
      </c>
      <c r="L157">
        <v>2.0705063695140001E-4</v>
      </c>
    </row>
    <row r="158" spans="1:12" x14ac:dyDescent="0.2">
      <c r="A158" t="s">
        <v>9</v>
      </c>
      <c r="B158">
        <v>5</v>
      </c>
      <c r="C158" t="s">
        <v>6</v>
      </c>
      <c r="D158" s="2">
        <v>43686</v>
      </c>
      <c r="E158" s="3">
        <v>43686.653989999999</v>
      </c>
      <c r="F158" s="3">
        <v>43686.657469999998</v>
      </c>
      <c r="H158">
        <v>27.78</v>
      </c>
      <c r="K158">
        <v>1.1070208867287501</v>
      </c>
      <c r="L158">
        <v>1.06596943644688E-4</v>
      </c>
    </row>
    <row r="159" spans="1:12" x14ac:dyDescent="0.2">
      <c r="A159" t="s">
        <v>9</v>
      </c>
      <c r="B159">
        <v>1</v>
      </c>
      <c r="C159" t="s">
        <v>4</v>
      </c>
      <c r="D159" s="2">
        <v>43691</v>
      </c>
      <c r="E159" s="3">
        <v>43691.516439999999</v>
      </c>
      <c r="F159" s="3">
        <v>43691.519910000003</v>
      </c>
      <c r="G159">
        <v>6</v>
      </c>
      <c r="H159">
        <v>21.11</v>
      </c>
      <c r="I159">
        <v>43.5</v>
      </c>
      <c r="J159">
        <v>0.69</v>
      </c>
      <c r="K159">
        <v>-11.3610398355779</v>
      </c>
      <c r="L159">
        <v>-4.6501906772565798E-4</v>
      </c>
    </row>
    <row r="160" spans="1:12" x14ac:dyDescent="0.2">
      <c r="A160" t="s">
        <v>9</v>
      </c>
      <c r="B160">
        <v>1</v>
      </c>
      <c r="C160" t="s">
        <v>6</v>
      </c>
      <c r="D160" s="2">
        <v>43691</v>
      </c>
      <c r="E160" s="3">
        <v>43691.522219999999</v>
      </c>
      <c r="F160" s="3">
        <v>43691.525690000002</v>
      </c>
      <c r="H160">
        <v>21.11</v>
      </c>
      <c r="K160">
        <v>12.0847397177644</v>
      </c>
      <c r="L160">
        <v>-3.0122533984098501E-4</v>
      </c>
    </row>
    <row r="161" spans="1:12" x14ac:dyDescent="0.2">
      <c r="A161" t="s">
        <v>9</v>
      </c>
      <c r="B161">
        <v>2</v>
      </c>
      <c r="C161" t="s">
        <v>4</v>
      </c>
      <c r="D161" s="2">
        <v>43691</v>
      </c>
      <c r="E161" s="3">
        <v>43691.527430000002</v>
      </c>
      <c r="F161" s="3">
        <v>43691.530899999998</v>
      </c>
      <c r="G161">
        <v>4.0999999999999996</v>
      </c>
      <c r="H161">
        <v>23.33</v>
      </c>
      <c r="I161">
        <v>42.3</v>
      </c>
      <c r="J161">
        <v>0.73</v>
      </c>
      <c r="K161">
        <v>-7.2972003437434001</v>
      </c>
      <c r="L161">
        <v>-2.6614275636840403E-4</v>
      </c>
    </row>
    <row r="162" spans="1:12" x14ac:dyDescent="0.2">
      <c r="A162" t="s">
        <v>9</v>
      </c>
      <c r="B162">
        <v>2</v>
      </c>
      <c r="C162" t="s">
        <v>6</v>
      </c>
      <c r="D162" s="2">
        <v>43691</v>
      </c>
      <c r="E162" s="3">
        <v>43691.53299</v>
      </c>
      <c r="F162" s="3">
        <v>43691.536460000003</v>
      </c>
      <c r="H162">
        <v>23.33</v>
      </c>
      <c r="K162">
        <v>9.2813410528623006</v>
      </c>
      <c r="L162">
        <v>-5.0943292551713004E-4</v>
      </c>
    </row>
    <row r="163" spans="1:12" x14ac:dyDescent="0.2">
      <c r="A163" t="s">
        <v>9</v>
      </c>
      <c r="B163">
        <v>3</v>
      </c>
      <c r="C163" t="s">
        <v>4</v>
      </c>
      <c r="D163" s="2">
        <v>43691</v>
      </c>
      <c r="E163" s="3">
        <v>43691.538079999998</v>
      </c>
      <c r="F163" s="3">
        <v>43691.541550000002</v>
      </c>
      <c r="G163">
        <v>5.2</v>
      </c>
      <c r="H163">
        <v>23.33</v>
      </c>
      <c r="I163">
        <v>34.200000000000003</v>
      </c>
      <c r="J163">
        <v>0.73</v>
      </c>
      <c r="K163">
        <v>-16.754532314158698</v>
      </c>
      <c r="L163">
        <v>-6.2043940391450804E-4</v>
      </c>
    </row>
    <row r="164" spans="1:12" x14ac:dyDescent="0.2">
      <c r="A164" t="s">
        <v>9</v>
      </c>
      <c r="B164">
        <v>3</v>
      </c>
      <c r="C164" t="s">
        <v>6</v>
      </c>
      <c r="D164" s="2">
        <v>43691</v>
      </c>
      <c r="E164" s="3">
        <v>43691.543519999999</v>
      </c>
      <c r="F164" s="3">
        <v>43691.546990000003</v>
      </c>
      <c r="H164">
        <v>23.33</v>
      </c>
      <c r="K164">
        <v>11.550168716430001</v>
      </c>
      <c r="L164">
        <v>-6.9179510205360497E-4</v>
      </c>
    </row>
    <row r="165" spans="1:12" x14ac:dyDescent="0.2">
      <c r="A165" t="s">
        <v>9</v>
      </c>
      <c r="B165">
        <v>4</v>
      </c>
      <c r="C165" t="s">
        <v>4</v>
      </c>
      <c r="D165" s="2">
        <v>43691</v>
      </c>
      <c r="E165" s="3">
        <v>43691.54838</v>
      </c>
      <c r="F165" s="3">
        <v>43691.551850000003</v>
      </c>
      <c r="G165">
        <v>4.2</v>
      </c>
      <c r="H165">
        <v>23.33</v>
      </c>
      <c r="I165">
        <v>34.700000000000003</v>
      </c>
      <c r="J165">
        <v>0.66</v>
      </c>
      <c r="K165">
        <v>-0.87662981692943998</v>
      </c>
      <c r="L165">
        <v>-4.02919305531102E-4</v>
      </c>
    </row>
    <row r="166" spans="1:12" x14ac:dyDescent="0.2">
      <c r="A166" t="s">
        <v>9</v>
      </c>
      <c r="B166">
        <v>4</v>
      </c>
      <c r="C166" t="s">
        <v>6</v>
      </c>
      <c r="D166" s="2">
        <v>43691</v>
      </c>
      <c r="E166" s="3">
        <v>43691.553879999999</v>
      </c>
      <c r="F166" s="3">
        <v>43691.557350000003</v>
      </c>
      <c r="H166">
        <v>23.33</v>
      </c>
      <c r="K166">
        <v>9.4764384310187495</v>
      </c>
      <c r="L166">
        <v>-5.3305623476413095E-4</v>
      </c>
    </row>
    <row r="167" spans="1:12" x14ac:dyDescent="0.2">
      <c r="A167" t="s">
        <v>9</v>
      </c>
      <c r="B167">
        <v>5</v>
      </c>
      <c r="C167" t="s">
        <v>4</v>
      </c>
      <c r="D167" s="2">
        <v>43691</v>
      </c>
      <c r="E167" s="3">
        <v>43691.559139999998</v>
      </c>
      <c r="F167" s="3">
        <v>43691.562619999997</v>
      </c>
      <c r="G167">
        <v>5.8</v>
      </c>
      <c r="H167">
        <v>24.44</v>
      </c>
      <c r="I167">
        <v>41.3</v>
      </c>
      <c r="J167">
        <v>0.72</v>
      </c>
      <c r="K167">
        <v>-6.7642712722257299</v>
      </c>
      <c r="L167">
        <v>-3.6583144646386902E-4</v>
      </c>
    </row>
    <row r="168" spans="1:12" x14ac:dyDescent="0.2">
      <c r="A168" t="s">
        <v>9</v>
      </c>
      <c r="B168">
        <v>5</v>
      </c>
      <c r="C168" t="s">
        <v>6</v>
      </c>
      <c r="D168" s="2">
        <v>43691</v>
      </c>
      <c r="E168" s="3">
        <v>43691.564579999998</v>
      </c>
      <c r="F168" s="3">
        <v>43691.568059999998</v>
      </c>
      <c r="H168">
        <v>24.44</v>
      </c>
      <c r="K168">
        <v>15.7519647953097</v>
      </c>
      <c r="L168">
        <v>-3.7900263377552401E-4</v>
      </c>
    </row>
    <row r="169" spans="1:12" x14ac:dyDescent="0.2">
      <c r="A169" t="s">
        <v>9</v>
      </c>
      <c r="B169">
        <v>1</v>
      </c>
      <c r="C169" t="s">
        <v>4</v>
      </c>
      <c r="D169" s="2">
        <v>43691</v>
      </c>
      <c r="E169" s="3">
        <v>43691.601620000001</v>
      </c>
      <c r="F169" s="3">
        <v>43691.605089999997</v>
      </c>
      <c r="G169">
        <v>5.2</v>
      </c>
      <c r="H169">
        <v>26.11</v>
      </c>
      <c r="I169">
        <v>41.4</v>
      </c>
      <c r="J169">
        <v>0.65</v>
      </c>
      <c r="K169">
        <v>-7.53754468545017</v>
      </c>
      <c r="L169" s="6">
        <v>1.79160090052472E-5</v>
      </c>
    </row>
    <row r="170" spans="1:12" x14ac:dyDescent="0.2">
      <c r="A170" t="s">
        <v>9</v>
      </c>
      <c r="B170">
        <v>1</v>
      </c>
      <c r="C170" t="s">
        <v>6</v>
      </c>
      <c r="D170" s="2">
        <v>43691</v>
      </c>
      <c r="E170" s="3">
        <v>43691.607060000002</v>
      </c>
      <c r="F170" s="3">
        <v>43691.610529999998</v>
      </c>
      <c r="H170">
        <v>26.11</v>
      </c>
      <c r="K170">
        <v>13.5563457734204</v>
      </c>
      <c r="L170">
        <v>-2.3789104894257799E-4</v>
      </c>
    </row>
    <row r="171" spans="1:12" x14ac:dyDescent="0.2">
      <c r="A171" t="s">
        <v>9</v>
      </c>
      <c r="B171">
        <v>2</v>
      </c>
      <c r="C171" t="s">
        <v>4</v>
      </c>
      <c r="D171" s="2">
        <v>43691</v>
      </c>
      <c r="E171" s="3">
        <v>43691.613369999999</v>
      </c>
      <c r="F171" s="3">
        <v>43691.616840000002</v>
      </c>
      <c r="G171">
        <v>5.0999999999999996</v>
      </c>
      <c r="H171">
        <v>26.67</v>
      </c>
      <c r="I171">
        <v>32.9</v>
      </c>
      <c r="J171">
        <v>0.67</v>
      </c>
      <c r="K171">
        <v>-2.9251101664060002</v>
      </c>
      <c r="L171">
        <v>-1.57318674140848E-4</v>
      </c>
    </row>
    <row r="172" spans="1:12" x14ac:dyDescent="0.2">
      <c r="A172" t="s">
        <v>9</v>
      </c>
      <c r="B172">
        <v>2</v>
      </c>
      <c r="C172" t="s">
        <v>6</v>
      </c>
      <c r="D172" s="2">
        <v>43691</v>
      </c>
      <c r="E172" s="3">
        <v>43691.618580000002</v>
      </c>
      <c r="F172" s="3">
        <v>43691.622049999998</v>
      </c>
      <c r="H172">
        <v>26.67</v>
      </c>
      <c r="K172">
        <v>11.2004338721294</v>
      </c>
      <c r="L172">
        <v>-1.3035079886346499E-4</v>
      </c>
    </row>
    <row r="173" spans="1:12" x14ac:dyDescent="0.2">
      <c r="A173" t="s">
        <v>9</v>
      </c>
      <c r="B173">
        <v>3</v>
      </c>
      <c r="C173" t="s">
        <v>4</v>
      </c>
      <c r="D173" s="2">
        <v>43691</v>
      </c>
      <c r="E173" s="3">
        <v>43691.623610000002</v>
      </c>
      <c r="F173" s="3">
        <v>43691.627079999998</v>
      </c>
      <c r="G173">
        <v>6.4</v>
      </c>
      <c r="H173">
        <v>27.22</v>
      </c>
      <c r="I173">
        <v>38.4</v>
      </c>
      <c r="J173">
        <v>0.67</v>
      </c>
      <c r="K173">
        <v>-7.56979738547731</v>
      </c>
      <c r="L173">
        <v>-4.5460432229885102E-4</v>
      </c>
    </row>
    <row r="174" spans="1:12" x14ac:dyDescent="0.2">
      <c r="A174" t="s">
        <v>9</v>
      </c>
      <c r="B174">
        <v>3</v>
      </c>
      <c r="C174" t="s">
        <v>6</v>
      </c>
      <c r="D174" s="2">
        <v>43691</v>
      </c>
      <c r="E174" s="3">
        <v>43691.629050000003</v>
      </c>
      <c r="F174" s="3">
        <v>43691.632519999999</v>
      </c>
      <c r="H174">
        <v>27.22</v>
      </c>
      <c r="K174">
        <v>14.045200963527</v>
      </c>
      <c r="L174">
        <v>-5.4457753567041002E-4</v>
      </c>
    </row>
    <row r="175" spans="1:12" x14ac:dyDescent="0.2">
      <c r="A175" t="s">
        <v>9</v>
      </c>
      <c r="B175">
        <v>4</v>
      </c>
      <c r="C175" t="s">
        <v>4</v>
      </c>
      <c r="D175" s="2">
        <v>43691</v>
      </c>
      <c r="E175" s="3">
        <v>43691.6342</v>
      </c>
      <c r="F175" s="3">
        <v>43691.637669999996</v>
      </c>
      <c r="G175">
        <v>4.4000000000000004</v>
      </c>
      <c r="H175">
        <v>27.78</v>
      </c>
      <c r="I175">
        <v>29.8</v>
      </c>
      <c r="J175">
        <v>0.7</v>
      </c>
      <c r="K175">
        <v>3.29364131208182</v>
      </c>
      <c r="L175">
        <v>-3.9698568846179699E-4</v>
      </c>
    </row>
    <row r="176" spans="1:12" x14ac:dyDescent="0.2">
      <c r="A176" t="s">
        <v>9</v>
      </c>
      <c r="B176">
        <v>4</v>
      </c>
      <c r="C176" t="s">
        <v>6</v>
      </c>
      <c r="D176" s="2">
        <v>43691</v>
      </c>
      <c r="E176" s="3">
        <v>43691.645600000003</v>
      </c>
      <c r="F176" s="3">
        <v>43691.649069999999</v>
      </c>
      <c r="H176">
        <v>27.78</v>
      </c>
      <c r="K176">
        <v>-1.4850547972097601</v>
      </c>
      <c r="L176">
        <v>-3.5090978204853498E-4</v>
      </c>
    </row>
    <row r="177" spans="1:12" x14ac:dyDescent="0.2">
      <c r="A177" t="s">
        <v>9</v>
      </c>
      <c r="B177">
        <v>5</v>
      </c>
      <c r="C177" t="s">
        <v>4</v>
      </c>
      <c r="D177" s="2">
        <v>43691</v>
      </c>
      <c r="E177" s="3">
        <v>43691.644330000003</v>
      </c>
      <c r="F177" s="3">
        <v>43691.647799999999</v>
      </c>
      <c r="G177">
        <v>2.8</v>
      </c>
      <c r="H177">
        <v>28.33</v>
      </c>
      <c r="I177">
        <v>44.7</v>
      </c>
      <c r="J177">
        <v>0.66</v>
      </c>
      <c r="K177">
        <v>-2.5907982434711498</v>
      </c>
      <c r="L177">
        <v>-4.4193501721896802E-4</v>
      </c>
    </row>
    <row r="178" spans="1:12" x14ac:dyDescent="0.2">
      <c r="A178" t="s">
        <v>9</v>
      </c>
      <c r="B178">
        <v>5</v>
      </c>
      <c r="C178" t="s">
        <v>6</v>
      </c>
      <c r="D178" s="2">
        <v>43691</v>
      </c>
      <c r="E178" s="3">
        <v>43691.650170000001</v>
      </c>
      <c r="F178" s="3">
        <v>43691.65365</v>
      </c>
      <c r="H178">
        <v>28.33</v>
      </c>
      <c r="K178">
        <v>12.520431175928501</v>
      </c>
      <c r="L178">
        <v>-2.95526860780052E-4</v>
      </c>
    </row>
    <row r="179" spans="1:12" x14ac:dyDescent="0.2">
      <c r="A179" t="s">
        <v>9</v>
      </c>
      <c r="B179">
        <v>1</v>
      </c>
      <c r="C179" t="s">
        <v>4</v>
      </c>
      <c r="D179" s="2">
        <v>43699</v>
      </c>
      <c r="E179" s="3">
        <v>43699.484900000003</v>
      </c>
      <c r="F179" s="3">
        <v>43699.488369999999</v>
      </c>
      <c r="G179">
        <v>20.399999999999999</v>
      </c>
      <c r="H179">
        <v>28.33</v>
      </c>
      <c r="I179">
        <v>35</v>
      </c>
      <c r="J179">
        <v>0.78</v>
      </c>
      <c r="K179">
        <v>-9.9426586938529002</v>
      </c>
      <c r="L179">
        <v>-1.5015933594161399E-4</v>
      </c>
    </row>
    <row r="180" spans="1:12" x14ac:dyDescent="0.2">
      <c r="A180" t="s">
        <v>9</v>
      </c>
      <c r="B180">
        <v>1</v>
      </c>
      <c r="C180" t="s">
        <v>6</v>
      </c>
      <c r="D180" s="2">
        <v>43699</v>
      </c>
      <c r="E180" s="3">
        <v>43699.490680000003</v>
      </c>
      <c r="F180" s="3">
        <v>43699.494160000002</v>
      </c>
      <c r="H180">
        <v>28.33</v>
      </c>
      <c r="K180">
        <v>22.0993955100782</v>
      </c>
      <c r="L180">
        <v>-2.5693979083534797E-4</v>
      </c>
    </row>
    <row r="181" spans="1:12" x14ac:dyDescent="0.2">
      <c r="A181" t="s">
        <v>9</v>
      </c>
      <c r="B181">
        <v>2</v>
      </c>
      <c r="C181" t="s">
        <v>4</v>
      </c>
      <c r="D181" s="2">
        <v>43699</v>
      </c>
      <c r="E181" s="3">
        <v>43699.497510000001</v>
      </c>
      <c r="F181" s="3">
        <v>43699.500979999997</v>
      </c>
      <c r="G181">
        <v>18.600000000000001</v>
      </c>
      <c r="H181">
        <v>28.33</v>
      </c>
      <c r="I181">
        <v>46.1</v>
      </c>
      <c r="J181">
        <v>0.8</v>
      </c>
      <c r="K181">
        <v>-7.0873289135956803</v>
      </c>
      <c r="L181">
        <v>-1.9055747459286601E-4</v>
      </c>
    </row>
    <row r="182" spans="1:12" x14ac:dyDescent="0.2">
      <c r="A182" t="s">
        <v>9</v>
      </c>
      <c r="B182">
        <v>2</v>
      </c>
      <c r="C182" t="s">
        <v>6</v>
      </c>
      <c r="D182" s="2">
        <v>43699</v>
      </c>
      <c r="E182" s="3">
        <v>43699.504220000003</v>
      </c>
      <c r="F182" s="3">
        <v>43699.507700000002</v>
      </c>
      <c r="H182">
        <v>28.33</v>
      </c>
      <c r="K182">
        <v>21.1593983651948</v>
      </c>
      <c r="L182" s="6">
        <v>-9.1352276533113007E-5</v>
      </c>
    </row>
    <row r="183" spans="1:12" x14ac:dyDescent="0.2">
      <c r="A183" t="s">
        <v>9</v>
      </c>
      <c r="B183">
        <v>3</v>
      </c>
      <c r="C183" t="s">
        <v>4</v>
      </c>
      <c r="D183" s="2">
        <v>43699</v>
      </c>
      <c r="E183" s="3">
        <v>43699.510069999997</v>
      </c>
      <c r="F183" s="3">
        <v>43699.51354</v>
      </c>
      <c r="G183">
        <v>17.899999999999999</v>
      </c>
      <c r="H183">
        <v>28.33</v>
      </c>
      <c r="I183">
        <v>37.9</v>
      </c>
      <c r="J183">
        <v>0.82</v>
      </c>
      <c r="K183">
        <v>-13.9264142695723</v>
      </c>
      <c r="L183" s="6">
        <v>4.7400251458180498E-5</v>
      </c>
    </row>
    <row r="184" spans="1:12" x14ac:dyDescent="0.2">
      <c r="A184" t="s">
        <v>9</v>
      </c>
      <c r="B184">
        <v>3</v>
      </c>
      <c r="C184" t="s">
        <v>6</v>
      </c>
      <c r="D184" s="2">
        <v>43699</v>
      </c>
      <c r="E184" s="3">
        <v>43699.516199999998</v>
      </c>
      <c r="F184" s="3">
        <v>43699.519679999998</v>
      </c>
      <c r="H184">
        <v>28.33</v>
      </c>
      <c r="K184">
        <v>20.615161930296399</v>
      </c>
      <c r="L184" s="6">
        <v>-6.8069918790615997E-6</v>
      </c>
    </row>
    <row r="185" spans="1:12" x14ac:dyDescent="0.2">
      <c r="A185" t="s">
        <v>9</v>
      </c>
      <c r="B185">
        <v>4</v>
      </c>
      <c r="C185" t="s">
        <v>4</v>
      </c>
      <c r="D185" s="2">
        <v>43699</v>
      </c>
      <c r="E185" s="3">
        <v>43699.522570000001</v>
      </c>
      <c r="F185" s="3">
        <v>43699.526039999997</v>
      </c>
      <c r="G185">
        <v>18.8</v>
      </c>
      <c r="H185">
        <v>28.33</v>
      </c>
      <c r="I185">
        <v>49.1</v>
      </c>
      <c r="J185">
        <v>0.79</v>
      </c>
      <c r="K185">
        <v>-3.9253962074964202</v>
      </c>
      <c r="L185" s="6">
        <v>-1.7089314089776799E-5</v>
      </c>
    </row>
    <row r="186" spans="1:12" x14ac:dyDescent="0.2">
      <c r="A186" t="s">
        <v>9</v>
      </c>
      <c r="B186">
        <v>4</v>
      </c>
      <c r="C186" t="s">
        <v>6</v>
      </c>
      <c r="D186" s="2">
        <v>43699</v>
      </c>
      <c r="E186" s="3">
        <v>43699.528590000002</v>
      </c>
      <c r="F186" s="3">
        <v>43699.532059999998</v>
      </c>
      <c r="H186">
        <v>28.33</v>
      </c>
      <c r="K186">
        <v>16.740711437504601</v>
      </c>
      <c r="L186">
        <v>-1.5369749041825199E-4</v>
      </c>
    </row>
    <row r="187" spans="1:12" x14ac:dyDescent="0.2">
      <c r="A187" t="s">
        <v>9</v>
      </c>
      <c r="B187">
        <v>5</v>
      </c>
      <c r="C187" t="s">
        <v>4</v>
      </c>
      <c r="D187" s="2">
        <v>43699</v>
      </c>
      <c r="E187" s="3">
        <v>43699.534030000003</v>
      </c>
      <c r="F187" s="3">
        <v>43699.537499999999</v>
      </c>
      <c r="G187">
        <v>20.6</v>
      </c>
      <c r="H187">
        <v>28.33</v>
      </c>
      <c r="I187">
        <v>30.5</v>
      </c>
      <c r="J187">
        <v>0.77</v>
      </c>
      <c r="K187">
        <v>-5.7028382486327596</v>
      </c>
      <c r="L187" s="6">
        <v>-5.5165234875586799E-5</v>
      </c>
    </row>
    <row r="188" spans="1:12" x14ac:dyDescent="0.2">
      <c r="A188" t="s">
        <v>9</v>
      </c>
      <c r="B188">
        <v>5</v>
      </c>
      <c r="C188" t="s">
        <v>6</v>
      </c>
      <c r="D188" s="2">
        <v>43699</v>
      </c>
      <c r="E188" s="3">
        <v>43699.539290000001</v>
      </c>
      <c r="F188" s="3">
        <v>43699.54277</v>
      </c>
      <c r="H188">
        <v>28.33</v>
      </c>
      <c r="K188">
        <v>26.592793748843601</v>
      </c>
      <c r="L188">
        <v>-3.2146084753452799E-4</v>
      </c>
    </row>
    <row r="189" spans="1:12" x14ac:dyDescent="0.2">
      <c r="A189" t="s">
        <v>9</v>
      </c>
      <c r="B189">
        <v>1</v>
      </c>
      <c r="C189" t="s">
        <v>4</v>
      </c>
      <c r="D189" s="2">
        <v>43699</v>
      </c>
      <c r="E189" s="3">
        <v>43699.580730000001</v>
      </c>
      <c r="F189" s="3">
        <v>43699.584199999998</v>
      </c>
      <c r="G189">
        <v>18.8</v>
      </c>
      <c r="H189">
        <v>28.89</v>
      </c>
      <c r="I189">
        <v>36.1</v>
      </c>
      <c r="J189">
        <v>0.81</v>
      </c>
      <c r="K189">
        <v>-0.425603045218998</v>
      </c>
      <c r="L189" s="6">
        <v>-1.9283979487645798E-5</v>
      </c>
    </row>
    <row r="190" spans="1:12" x14ac:dyDescent="0.2">
      <c r="A190" t="s">
        <v>9</v>
      </c>
      <c r="B190">
        <v>1</v>
      </c>
      <c r="C190" t="s">
        <v>6</v>
      </c>
      <c r="D190" s="2">
        <v>43699</v>
      </c>
      <c r="E190" s="3">
        <v>43699.585760000002</v>
      </c>
      <c r="F190" s="3">
        <v>43699.589240000001</v>
      </c>
      <c r="H190">
        <v>28.89</v>
      </c>
      <c r="K190">
        <v>19.3380390588385</v>
      </c>
      <c r="L190">
        <v>-1.0863170105962401E-4</v>
      </c>
    </row>
    <row r="191" spans="1:12" x14ac:dyDescent="0.2">
      <c r="A191" t="s">
        <v>9</v>
      </c>
      <c r="B191">
        <v>2</v>
      </c>
      <c r="C191" t="s">
        <v>4</v>
      </c>
      <c r="D191" s="2">
        <v>43699</v>
      </c>
      <c r="E191" s="3">
        <v>43699.591549999997</v>
      </c>
      <c r="F191" s="3">
        <v>43699.595020000001</v>
      </c>
      <c r="G191">
        <v>16.5</v>
      </c>
      <c r="H191">
        <v>28.89</v>
      </c>
      <c r="I191">
        <v>38.9</v>
      </c>
      <c r="J191">
        <v>0.81</v>
      </c>
      <c r="K191">
        <v>4.9271048191514604</v>
      </c>
      <c r="L191">
        <v>-1.5333015274311801E-4</v>
      </c>
    </row>
    <row r="192" spans="1:12" x14ac:dyDescent="0.2">
      <c r="A192" t="s">
        <v>9</v>
      </c>
      <c r="B192">
        <v>2</v>
      </c>
      <c r="C192" t="s">
        <v>6</v>
      </c>
      <c r="D192" s="2">
        <v>43699</v>
      </c>
      <c r="E192" s="3">
        <v>43699.597220000003</v>
      </c>
      <c r="F192" s="3">
        <v>43699.600689999999</v>
      </c>
      <c r="H192">
        <v>28.89</v>
      </c>
      <c r="K192">
        <v>19.095179606714201</v>
      </c>
      <c r="L192">
        <v>-1.3844374695477099E-4</v>
      </c>
    </row>
    <row r="193" spans="1:12" x14ac:dyDescent="0.2">
      <c r="A193" t="s">
        <v>9</v>
      </c>
      <c r="B193">
        <v>3</v>
      </c>
      <c r="C193" t="s">
        <v>4</v>
      </c>
      <c r="D193" s="2">
        <v>43699</v>
      </c>
      <c r="E193" s="3">
        <v>43699.603179999998</v>
      </c>
      <c r="F193" s="3">
        <v>43699.606659999998</v>
      </c>
      <c r="G193">
        <v>17.600000000000001</v>
      </c>
      <c r="H193">
        <v>28.89</v>
      </c>
      <c r="I193">
        <v>38.299999999999997</v>
      </c>
      <c r="J193">
        <v>0.81</v>
      </c>
      <c r="K193">
        <v>-7.8578354602821303</v>
      </c>
      <c r="L193">
        <v>-1.7481076754838701E-4</v>
      </c>
    </row>
    <row r="194" spans="1:12" x14ac:dyDescent="0.2">
      <c r="A194" t="s">
        <v>9</v>
      </c>
      <c r="B194">
        <v>3</v>
      </c>
      <c r="C194" t="s">
        <v>6</v>
      </c>
      <c r="D194" s="2">
        <v>43699</v>
      </c>
      <c r="E194" s="3">
        <v>43699.60903</v>
      </c>
      <c r="F194" s="3">
        <v>43699.612500000003</v>
      </c>
      <c r="H194">
        <v>28.89</v>
      </c>
      <c r="K194">
        <v>20.384210294885602</v>
      </c>
      <c r="L194">
        <v>-2.9937542222239599E-4</v>
      </c>
    </row>
    <row r="195" spans="1:12" x14ac:dyDescent="0.2">
      <c r="A195" t="s">
        <v>9</v>
      </c>
      <c r="B195">
        <v>4</v>
      </c>
      <c r="C195" t="s">
        <v>4</v>
      </c>
      <c r="D195" s="2">
        <v>43699</v>
      </c>
      <c r="E195" s="3">
        <v>43699.614759999997</v>
      </c>
      <c r="F195" s="3">
        <v>43699.61823</v>
      </c>
      <c r="G195">
        <v>16.7</v>
      </c>
      <c r="H195">
        <v>28.89</v>
      </c>
      <c r="I195">
        <v>44.7</v>
      </c>
      <c r="J195">
        <v>0.78</v>
      </c>
      <c r="K195">
        <v>2.8412989965135398</v>
      </c>
      <c r="L195">
        <v>-1.7903932381524299E-4</v>
      </c>
    </row>
    <row r="196" spans="1:12" x14ac:dyDescent="0.2">
      <c r="A196" t="s">
        <v>9</v>
      </c>
      <c r="B196">
        <v>4</v>
      </c>
      <c r="C196" t="s">
        <v>6</v>
      </c>
      <c r="D196" s="2">
        <v>43699</v>
      </c>
      <c r="E196" s="3">
        <v>43699.620600000002</v>
      </c>
      <c r="F196" s="3">
        <v>43699.624069999998</v>
      </c>
      <c r="H196">
        <v>28.89</v>
      </c>
      <c r="K196">
        <v>14.597594939904001</v>
      </c>
      <c r="L196">
        <v>-2.0543560251210901E-4</v>
      </c>
    </row>
    <row r="197" spans="1:12" x14ac:dyDescent="0.2">
      <c r="A197" t="s">
        <v>9</v>
      </c>
      <c r="B197">
        <v>5</v>
      </c>
      <c r="C197" t="s">
        <v>4</v>
      </c>
      <c r="D197" s="2">
        <v>43699</v>
      </c>
      <c r="E197" s="3">
        <v>43699.627200000003</v>
      </c>
      <c r="F197" s="3">
        <v>43699.630669999999</v>
      </c>
      <c r="G197">
        <v>18</v>
      </c>
      <c r="H197">
        <v>21.67</v>
      </c>
      <c r="I197">
        <v>42.6</v>
      </c>
      <c r="J197">
        <v>0.84</v>
      </c>
      <c r="K197">
        <v>13.8844958759097</v>
      </c>
      <c r="L197">
        <v>-1.2984421019299701E-4</v>
      </c>
    </row>
    <row r="198" spans="1:12" x14ac:dyDescent="0.2">
      <c r="A198" t="s">
        <v>9</v>
      </c>
      <c r="B198">
        <v>5</v>
      </c>
      <c r="C198" t="s">
        <v>6</v>
      </c>
      <c r="D198" s="2">
        <v>43699</v>
      </c>
      <c r="E198" s="3">
        <v>43699.632519999999</v>
      </c>
      <c r="F198" s="3">
        <v>43699.635999999999</v>
      </c>
      <c r="H198">
        <v>21.67</v>
      </c>
      <c r="K198">
        <v>20.757302568178499</v>
      </c>
      <c r="L198" s="6">
        <v>-7.5650670273415502E-5</v>
      </c>
    </row>
    <row r="199" spans="1:12" x14ac:dyDescent="0.2">
      <c r="A199" t="s">
        <v>9</v>
      </c>
      <c r="B199">
        <v>1</v>
      </c>
      <c r="C199" t="s">
        <v>4</v>
      </c>
      <c r="D199" s="2">
        <v>43703</v>
      </c>
      <c r="E199" s="3">
        <v>43703.462149999999</v>
      </c>
      <c r="F199" s="3">
        <v>43703.465629999999</v>
      </c>
      <c r="G199">
        <v>14.3</v>
      </c>
      <c r="H199">
        <v>21.11</v>
      </c>
      <c r="I199">
        <v>37.799999999999997</v>
      </c>
      <c r="J199">
        <v>0.79</v>
      </c>
      <c r="K199">
        <v>-13.5498671064209</v>
      </c>
      <c r="L199" s="6">
        <v>-7.6764968859539796E-5</v>
      </c>
    </row>
    <row r="200" spans="1:12" x14ac:dyDescent="0.2">
      <c r="A200" t="s">
        <v>9</v>
      </c>
      <c r="B200">
        <v>1</v>
      </c>
      <c r="C200" t="s">
        <v>6</v>
      </c>
      <c r="D200" s="2">
        <v>43703</v>
      </c>
      <c r="E200" s="3">
        <v>43703.467879999997</v>
      </c>
      <c r="F200" s="3">
        <v>43703.47135</v>
      </c>
      <c r="H200">
        <v>21.11</v>
      </c>
      <c r="K200">
        <v>12.1891205268184</v>
      </c>
      <c r="L200">
        <v>-2.3420838960300401E-4</v>
      </c>
    </row>
    <row r="201" spans="1:12" x14ac:dyDescent="0.2">
      <c r="A201" t="s">
        <v>9</v>
      </c>
      <c r="B201">
        <v>2</v>
      </c>
      <c r="C201" t="s">
        <v>4</v>
      </c>
      <c r="D201" s="2">
        <v>43703</v>
      </c>
      <c r="E201" s="3">
        <v>43703.473839999999</v>
      </c>
      <c r="F201" s="3">
        <v>43703.477310000002</v>
      </c>
      <c r="G201">
        <v>14.1</v>
      </c>
      <c r="H201">
        <v>21.11</v>
      </c>
      <c r="I201">
        <v>46</v>
      </c>
      <c r="J201">
        <v>0.81</v>
      </c>
      <c r="K201">
        <v>-10.6862946364616</v>
      </c>
      <c r="L201">
        <v>-1.6057754437795701E-4</v>
      </c>
    </row>
    <row r="202" spans="1:12" x14ac:dyDescent="0.2">
      <c r="A202" t="s">
        <v>9</v>
      </c>
      <c r="B202">
        <v>2</v>
      </c>
      <c r="C202" t="s">
        <v>6</v>
      </c>
      <c r="D202" s="2">
        <v>43703</v>
      </c>
      <c r="E202" s="3">
        <v>43703.479399999997</v>
      </c>
      <c r="F202" s="3">
        <v>43703.48287</v>
      </c>
      <c r="H202">
        <v>21.11</v>
      </c>
      <c r="K202">
        <v>11.4998114129562</v>
      </c>
      <c r="L202">
        <v>-1.26249896963727E-4</v>
      </c>
    </row>
    <row r="203" spans="1:12" x14ac:dyDescent="0.2">
      <c r="A203" t="s">
        <v>9</v>
      </c>
      <c r="B203">
        <v>3</v>
      </c>
      <c r="C203" t="s">
        <v>4</v>
      </c>
      <c r="D203" s="2">
        <v>43703</v>
      </c>
      <c r="E203" s="3">
        <v>43703.484949999998</v>
      </c>
      <c r="F203" s="3">
        <v>43703.488429999998</v>
      </c>
      <c r="G203">
        <v>12.6</v>
      </c>
      <c r="H203">
        <v>21.11</v>
      </c>
      <c r="I203">
        <v>26.5</v>
      </c>
      <c r="J203">
        <v>0.81</v>
      </c>
      <c r="K203">
        <v>-13.7501224705523</v>
      </c>
      <c r="L203">
        <v>-1.7447655091459399E-4</v>
      </c>
    </row>
    <row r="204" spans="1:12" x14ac:dyDescent="0.2">
      <c r="A204" t="s">
        <v>9</v>
      </c>
      <c r="B204">
        <v>3</v>
      </c>
      <c r="C204" t="s">
        <v>6</v>
      </c>
      <c r="D204" s="2">
        <v>43703</v>
      </c>
      <c r="E204" s="3">
        <v>43703.491150000002</v>
      </c>
      <c r="F204" s="3">
        <v>43703.494619999998</v>
      </c>
      <c r="H204">
        <v>21.11</v>
      </c>
      <c r="K204">
        <v>12.8250651763961</v>
      </c>
      <c r="L204">
        <v>-1.7951889330493701E-4</v>
      </c>
    </row>
    <row r="205" spans="1:12" x14ac:dyDescent="0.2">
      <c r="A205" t="s">
        <v>9</v>
      </c>
      <c r="B205">
        <v>4</v>
      </c>
      <c r="C205" t="s">
        <v>4</v>
      </c>
      <c r="D205" s="2">
        <v>43703</v>
      </c>
      <c r="E205" s="3">
        <v>43703.49022</v>
      </c>
      <c r="F205" s="3">
        <v>43703.493690000003</v>
      </c>
      <c r="G205">
        <v>13.9</v>
      </c>
      <c r="H205">
        <v>21.11</v>
      </c>
      <c r="I205">
        <v>34.299999999999997</v>
      </c>
      <c r="J205">
        <v>0.82</v>
      </c>
      <c r="K205">
        <v>12.238251345532399</v>
      </c>
      <c r="L205">
        <v>-2.1143802715956501E-4</v>
      </c>
    </row>
    <row r="206" spans="1:12" x14ac:dyDescent="0.2">
      <c r="A206" t="s">
        <v>9</v>
      </c>
      <c r="B206">
        <v>4</v>
      </c>
      <c r="C206" t="s">
        <v>6</v>
      </c>
      <c r="D206" s="2">
        <v>43703</v>
      </c>
      <c r="E206" s="3">
        <v>43703.501790000002</v>
      </c>
      <c r="F206" s="3">
        <v>43703.505270000001</v>
      </c>
      <c r="H206">
        <v>21.11</v>
      </c>
      <c r="K206">
        <v>11.1925706191507</v>
      </c>
      <c r="L206">
        <v>-2.3724140515380901E-4</v>
      </c>
    </row>
    <row r="207" spans="1:12" x14ac:dyDescent="0.2">
      <c r="A207" t="s">
        <v>9</v>
      </c>
      <c r="B207">
        <v>5</v>
      </c>
      <c r="C207" t="s">
        <v>4</v>
      </c>
      <c r="D207" s="2">
        <v>43703</v>
      </c>
      <c r="E207" s="3">
        <v>43703.507230000003</v>
      </c>
      <c r="F207" s="3">
        <v>43703.510710000002</v>
      </c>
      <c r="G207">
        <v>13.8</v>
      </c>
      <c r="H207">
        <v>21.67</v>
      </c>
      <c r="I207">
        <v>44.1</v>
      </c>
      <c r="J207">
        <v>0.76</v>
      </c>
      <c r="K207">
        <v>-16.453605233951901</v>
      </c>
      <c r="L207">
        <v>-2.0256970295218999E-4</v>
      </c>
    </row>
    <row r="208" spans="1:12" x14ac:dyDescent="0.2">
      <c r="A208" t="s">
        <v>9</v>
      </c>
      <c r="B208">
        <v>5</v>
      </c>
      <c r="C208" t="s">
        <v>6</v>
      </c>
      <c r="D208" s="2">
        <v>43703</v>
      </c>
      <c r="E208" s="3">
        <v>43703.51412</v>
      </c>
      <c r="F208" s="3">
        <v>43703.517590000003</v>
      </c>
      <c r="H208">
        <v>21.67</v>
      </c>
      <c r="K208">
        <v>12.240031605147101</v>
      </c>
      <c r="L208">
        <v>-1.1265880604340701E-4</v>
      </c>
    </row>
    <row r="209" spans="1:12" x14ac:dyDescent="0.2">
      <c r="A209" t="s">
        <v>9</v>
      </c>
      <c r="B209">
        <v>1</v>
      </c>
      <c r="C209" t="s">
        <v>4</v>
      </c>
      <c r="D209" s="2">
        <v>43703</v>
      </c>
      <c r="E209" s="3">
        <v>43703.557520000002</v>
      </c>
      <c r="F209" s="3">
        <v>43703.561000000002</v>
      </c>
      <c r="G209">
        <v>13.5</v>
      </c>
      <c r="H209">
        <v>23.89</v>
      </c>
      <c r="I209">
        <v>45.3</v>
      </c>
      <c r="J209">
        <v>0.77</v>
      </c>
      <c r="K209">
        <v>-9.3610638176697805</v>
      </c>
      <c r="L209" s="6">
        <v>-7.6272924592482699E-5</v>
      </c>
    </row>
    <row r="210" spans="1:12" x14ac:dyDescent="0.2">
      <c r="A210" t="s">
        <v>9</v>
      </c>
      <c r="B210">
        <v>1</v>
      </c>
      <c r="C210" t="s">
        <v>6</v>
      </c>
      <c r="D210" s="2">
        <v>43703</v>
      </c>
      <c r="E210" s="3">
        <v>43703.563889999998</v>
      </c>
      <c r="F210" s="3">
        <v>43703.567360000001</v>
      </c>
      <c r="H210">
        <v>23.89</v>
      </c>
      <c r="K210">
        <v>14.271593865916801</v>
      </c>
      <c r="L210">
        <v>-1.7501768209721399E-4</v>
      </c>
    </row>
    <row r="211" spans="1:12" x14ac:dyDescent="0.2">
      <c r="A211" t="s">
        <v>9</v>
      </c>
      <c r="B211">
        <v>2</v>
      </c>
      <c r="C211" t="s">
        <v>4</v>
      </c>
      <c r="D211" s="2">
        <v>43703</v>
      </c>
      <c r="E211" s="3">
        <v>43703.569210000001</v>
      </c>
      <c r="F211" s="3">
        <v>43703.572690000001</v>
      </c>
      <c r="G211">
        <v>11</v>
      </c>
      <c r="H211">
        <v>23.89</v>
      </c>
      <c r="I211">
        <v>38.200000000000003</v>
      </c>
      <c r="J211">
        <v>0.82</v>
      </c>
      <c r="K211">
        <v>-7.77773512301553</v>
      </c>
      <c r="L211">
        <v>-2.44342241042474E-4</v>
      </c>
    </row>
    <row r="212" spans="1:12" x14ac:dyDescent="0.2">
      <c r="A212" t="s">
        <v>9</v>
      </c>
      <c r="B212">
        <v>2</v>
      </c>
      <c r="C212" t="s">
        <v>6</v>
      </c>
      <c r="D212" s="2">
        <v>43703</v>
      </c>
      <c r="E212" s="3">
        <v>43703.574939999999</v>
      </c>
      <c r="F212" s="3">
        <v>43703.578410000002</v>
      </c>
      <c r="H212">
        <v>23.89</v>
      </c>
      <c r="K212">
        <v>13.694821154694001</v>
      </c>
      <c r="L212">
        <v>-3.0304962447986398E-4</v>
      </c>
    </row>
    <row r="213" spans="1:12" x14ac:dyDescent="0.2">
      <c r="A213" t="s">
        <v>9</v>
      </c>
      <c r="B213">
        <v>3</v>
      </c>
      <c r="C213" t="s">
        <v>4</v>
      </c>
      <c r="D213" s="2">
        <v>43703</v>
      </c>
      <c r="E213" s="3">
        <v>43703.580439999998</v>
      </c>
      <c r="F213" s="3">
        <v>43703.583910000001</v>
      </c>
      <c r="G213">
        <v>13.1</v>
      </c>
      <c r="H213">
        <v>23.89</v>
      </c>
      <c r="I213">
        <v>30.2</v>
      </c>
      <c r="J213">
        <v>0.82</v>
      </c>
      <c r="K213">
        <v>-11.845834919637101</v>
      </c>
      <c r="L213">
        <v>-3.0752990748442898E-4</v>
      </c>
    </row>
    <row r="214" spans="1:12" x14ac:dyDescent="0.2">
      <c r="A214" t="s">
        <v>9</v>
      </c>
      <c r="B214">
        <v>3</v>
      </c>
      <c r="C214" t="s">
        <v>6</v>
      </c>
      <c r="D214" s="2">
        <v>43703</v>
      </c>
      <c r="E214" s="3">
        <v>43703.587039999999</v>
      </c>
      <c r="F214" s="3">
        <v>43703.590510000002</v>
      </c>
      <c r="H214">
        <v>23.89</v>
      </c>
      <c r="K214">
        <v>14.9766125172239</v>
      </c>
      <c r="L214">
        <v>-2.87852425188094E-4</v>
      </c>
    </row>
    <row r="215" spans="1:12" x14ac:dyDescent="0.2">
      <c r="A215" t="s">
        <v>9</v>
      </c>
      <c r="B215">
        <v>4</v>
      </c>
      <c r="C215" t="s">
        <v>4</v>
      </c>
      <c r="D215" s="2">
        <v>43703</v>
      </c>
      <c r="E215" s="3">
        <v>43703.594620000003</v>
      </c>
      <c r="F215" s="3">
        <v>43703.59809</v>
      </c>
      <c r="G215">
        <v>13.4</v>
      </c>
      <c r="H215">
        <v>23.89</v>
      </c>
      <c r="I215">
        <v>40.200000000000003</v>
      </c>
      <c r="J215">
        <v>0.8</v>
      </c>
      <c r="K215">
        <v>-5.9333920648678999</v>
      </c>
      <c r="L215">
        <v>-2.5269578121402499E-4</v>
      </c>
    </row>
    <row r="216" spans="1:12" x14ac:dyDescent="0.2">
      <c r="A216" t="s">
        <v>9</v>
      </c>
      <c r="B216">
        <v>4</v>
      </c>
      <c r="C216" t="s">
        <v>6</v>
      </c>
      <c r="D216" s="2">
        <v>43703</v>
      </c>
      <c r="E216" s="3">
        <v>43703.601390000003</v>
      </c>
      <c r="F216" s="3">
        <v>43703.604859999999</v>
      </c>
      <c r="H216">
        <v>23.89</v>
      </c>
      <c r="K216">
        <v>11.893339219249301</v>
      </c>
      <c r="L216">
        <v>-2.2542821192165401E-4</v>
      </c>
    </row>
    <row r="217" spans="1:12" x14ac:dyDescent="0.2">
      <c r="A217" t="s">
        <v>9</v>
      </c>
      <c r="B217">
        <v>5</v>
      </c>
      <c r="C217" t="s">
        <v>4</v>
      </c>
      <c r="D217" s="2">
        <v>43703</v>
      </c>
      <c r="E217" s="3">
        <v>43703.606829999997</v>
      </c>
      <c r="F217" s="3">
        <v>43703.6103</v>
      </c>
      <c r="G217">
        <v>14.5</v>
      </c>
      <c r="H217">
        <v>23.33</v>
      </c>
      <c r="I217">
        <v>48.7</v>
      </c>
      <c r="J217">
        <v>0.76</v>
      </c>
      <c r="K217">
        <v>-7.4048030961431301</v>
      </c>
      <c r="L217">
        <v>-1.3124534733612801E-4</v>
      </c>
    </row>
    <row r="218" spans="1:12" x14ac:dyDescent="0.2">
      <c r="A218" t="s">
        <v>9</v>
      </c>
      <c r="B218">
        <v>5</v>
      </c>
      <c r="C218" t="s">
        <v>6</v>
      </c>
      <c r="D218" s="2">
        <v>43703</v>
      </c>
      <c r="E218" s="3">
        <v>43703.613189999996</v>
      </c>
      <c r="F218" s="3">
        <v>43703.616670000003</v>
      </c>
      <c r="H218">
        <v>23.33</v>
      </c>
      <c r="K218">
        <v>10.7852352386251</v>
      </c>
      <c r="L218" s="6">
        <v>-8.16686039663677E-5</v>
      </c>
    </row>
    <row r="219" spans="1:12" x14ac:dyDescent="0.2">
      <c r="A219" t="s">
        <v>9</v>
      </c>
      <c r="B219">
        <v>1</v>
      </c>
      <c r="C219" t="s">
        <v>4</v>
      </c>
      <c r="D219" s="2">
        <v>43711</v>
      </c>
      <c r="E219" s="3">
        <v>43711.42222</v>
      </c>
      <c r="F219" s="3">
        <v>43711.425689999996</v>
      </c>
      <c r="G219">
        <v>11.2</v>
      </c>
      <c r="H219">
        <v>22.22</v>
      </c>
      <c r="I219">
        <v>51.5</v>
      </c>
      <c r="J219">
        <v>0.83</v>
      </c>
      <c r="K219">
        <v>-11.537890090522</v>
      </c>
      <c r="L219" s="6">
        <v>-9.0315994556241594E-6</v>
      </c>
    </row>
    <row r="220" spans="1:12" x14ac:dyDescent="0.2">
      <c r="A220" t="s">
        <v>9</v>
      </c>
      <c r="B220">
        <v>1</v>
      </c>
      <c r="C220" t="s">
        <v>6</v>
      </c>
      <c r="D220" s="2">
        <v>43711</v>
      </c>
      <c r="E220" s="3">
        <v>43711.429170000003</v>
      </c>
      <c r="F220" s="3">
        <v>43711.432639999999</v>
      </c>
      <c r="H220">
        <v>22.22</v>
      </c>
      <c r="K220">
        <v>15.1178243261765</v>
      </c>
      <c r="L220" s="6">
        <v>-1.19669048624069E-5</v>
      </c>
    </row>
    <row r="221" spans="1:12" x14ac:dyDescent="0.2">
      <c r="A221" t="s">
        <v>9</v>
      </c>
      <c r="B221">
        <v>2</v>
      </c>
      <c r="C221" t="s">
        <v>4</v>
      </c>
      <c r="D221" s="2">
        <v>43711</v>
      </c>
      <c r="E221" s="3">
        <v>43711.436110000002</v>
      </c>
      <c r="F221" s="3">
        <v>43711.439579999998</v>
      </c>
      <c r="G221">
        <v>11.3</v>
      </c>
      <c r="H221">
        <v>22.22</v>
      </c>
      <c r="I221">
        <v>49.1</v>
      </c>
      <c r="J221">
        <v>0.84</v>
      </c>
      <c r="K221">
        <v>-9.0591453957920702</v>
      </c>
      <c r="L221">
        <v>-1.6218395159533201E-4</v>
      </c>
    </row>
    <row r="222" spans="1:12" x14ac:dyDescent="0.2">
      <c r="A222" t="s">
        <v>9</v>
      </c>
      <c r="B222">
        <v>2</v>
      </c>
      <c r="C222" t="s">
        <v>6</v>
      </c>
      <c r="D222" s="2">
        <v>43711</v>
      </c>
      <c r="E222" s="3">
        <v>43711.442360000001</v>
      </c>
      <c r="F222" s="3">
        <v>43711.445829999997</v>
      </c>
      <c r="H222">
        <v>22.22</v>
      </c>
      <c r="K222">
        <v>11.731110100504599</v>
      </c>
      <c r="L222">
        <v>-2.1121813821919501E-4</v>
      </c>
    </row>
    <row r="223" spans="1:12" x14ac:dyDescent="0.2">
      <c r="A223" t="s">
        <v>9</v>
      </c>
      <c r="B223">
        <v>3</v>
      </c>
      <c r="C223" t="s">
        <v>4</v>
      </c>
      <c r="D223" s="2">
        <v>43711</v>
      </c>
      <c r="E223" s="3">
        <v>43711.447919999999</v>
      </c>
      <c r="F223" s="3">
        <v>43711.451390000002</v>
      </c>
      <c r="G223">
        <v>10.1</v>
      </c>
      <c r="H223">
        <v>22.22</v>
      </c>
      <c r="I223">
        <v>50.1</v>
      </c>
      <c r="J223">
        <v>0.82</v>
      </c>
      <c r="K223">
        <v>-18.024233396695799</v>
      </c>
      <c r="L223">
        <v>-2.2149182826190601E-4</v>
      </c>
    </row>
    <row r="224" spans="1:12" x14ac:dyDescent="0.2">
      <c r="A224" t="s">
        <v>9</v>
      </c>
      <c r="B224">
        <v>3</v>
      </c>
      <c r="C224" t="s">
        <v>6</v>
      </c>
      <c r="D224" s="2">
        <v>43711</v>
      </c>
      <c r="E224" s="3">
        <v>43711.454510000003</v>
      </c>
      <c r="F224" s="3">
        <v>43711.457990000003</v>
      </c>
      <c r="H224">
        <v>22.22</v>
      </c>
      <c r="K224">
        <v>9.7975294855753603</v>
      </c>
      <c r="L224">
        <v>-2.24233530917662E-4</v>
      </c>
    </row>
    <row r="225" spans="1:12" x14ac:dyDescent="0.2">
      <c r="A225" t="s">
        <v>9</v>
      </c>
      <c r="B225">
        <v>4</v>
      </c>
      <c r="C225" t="s">
        <v>4</v>
      </c>
      <c r="D225" s="2">
        <v>43711</v>
      </c>
      <c r="E225" s="3">
        <v>43711.461109999997</v>
      </c>
      <c r="F225" s="3">
        <v>43711.46458</v>
      </c>
      <c r="G225">
        <v>8.5</v>
      </c>
      <c r="H225">
        <v>22.22</v>
      </c>
      <c r="I225">
        <v>38.4</v>
      </c>
      <c r="J225">
        <v>0.81</v>
      </c>
      <c r="K225">
        <v>-6.8864978807076298</v>
      </c>
      <c r="L225">
        <v>-1.98022320708511E-4</v>
      </c>
    </row>
    <row r="226" spans="1:12" x14ac:dyDescent="0.2">
      <c r="A226" t="s">
        <v>9</v>
      </c>
      <c r="B226">
        <v>4</v>
      </c>
      <c r="C226" t="s">
        <v>6</v>
      </c>
      <c r="D226" s="2">
        <v>43711</v>
      </c>
      <c r="E226" s="3">
        <v>43711.467510000002</v>
      </c>
      <c r="F226" s="3">
        <v>43711.470979999998</v>
      </c>
      <c r="H226">
        <v>22.22</v>
      </c>
      <c r="K226">
        <v>11.180049677465799</v>
      </c>
      <c r="L226">
        <v>-2.6334105497687098E-4</v>
      </c>
    </row>
    <row r="227" spans="1:12" x14ac:dyDescent="0.2">
      <c r="A227" t="s">
        <v>9</v>
      </c>
      <c r="B227">
        <v>5</v>
      </c>
      <c r="C227" t="s">
        <v>4</v>
      </c>
      <c r="D227" s="2">
        <v>43711</v>
      </c>
      <c r="E227" s="3">
        <v>43711.474069999997</v>
      </c>
      <c r="F227" s="3">
        <v>43711.477550000003</v>
      </c>
      <c r="G227">
        <v>12.2</v>
      </c>
      <c r="H227">
        <v>22.22</v>
      </c>
      <c r="I227">
        <v>44.5</v>
      </c>
      <c r="J227">
        <v>0.84</v>
      </c>
      <c r="K227">
        <v>-8.1977077163477308</v>
      </c>
      <c r="L227">
        <v>-3.1519902902462401E-4</v>
      </c>
    </row>
    <row r="228" spans="1:12" x14ac:dyDescent="0.2">
      <c r="A228" t="s">
        <v>9</v>
      </c>
      <c r="B228">
        <v>5</v>
      </c>
      <c r="C228" t="s">
        <v>6</v>
      </c>
      <c r="D228" s="2">
        <v>43711</v>
      </c>
      <c r="E228" s="3">
        <v>43711.480560000004</v>
      </c>
      <c r="F228" s="3">
        <v>43711.48403</v>
      </c>
      <c r="H228">
        <v>22.22</v>
      </c>
      <c r="K228">
        <v>8.2692440589309992</v>
      </c>
      <c r="L228">
        <v>-2.03827342002768E-4</v>
      </c>
    </row>
    <row r="229" spans="1:12" x14ac:dyDescent="0.2">
      <c r="A229" t="s">
        <v>9</v>
      </c>
      <c r="B229">
        <v>1</v>
      </c>
      <c r="C229" t="s">
        <v>4</v>
      </c>
      <c r="D229" s="2">
        <v>43711</v>
      </c>
      <c r="E229" s="3">
        <v>43711.506939999999</v>
      </c>
      <c r="F229" s="3">
        <v>43711.510419999999</v>
      </c>
      <c r="G229">
        <v>11.1</v>
      </c>
      <c r="H229">
        <v>22.22</v>
      </c>
      <c r="I229">
        <v>53.8</v>
      </c>
      <c r="J229">
        <v>0.84</v>
      </c>
      <c r="K229">
        <v>-7.6358192254742798</v>
      </c>
      <c r="L229" s="6">
        <v>-2.3185354488992599E-5</v>
      </c>
    </row>
    <row r="230" spans="1:12" x14ac:dyDescent="0.2">
      <c r="A230" t="s">
        <v>9</v>
      </c>
      <c r="B230">
        <v>1</v>
      </c>
      <c r="C230" t="s">
        <v>6</v>
      </c>
      <c r="D230" s="2">
        <v>43711</v>
      </c>
      <c r="E230" s="3">
        <v>43711.513189999998</v>
      </c>
      <c r="F230" s="3">
        <v>43711.516669999997</v>
      </c>
      <c r="H230">
        <v>22.22</v>
      </c>
      <c r="K230">
        <v>16.715274497986101</v>
      </c>
      <c r="L230">
        <v>-2.3014738582964001E-4</v>
      </c>
    </row>
    <row r="231" spans="1:12" x14ac:dyDescent="0.2">
      <c r="A231" t="s">
        <v>9</v>
      </c>
      <c r="B231">
        <v>2</v>
      </c>
      <c r="C231" t="s">
        <v>4</v>
      </c>
      <c r="D231" s="2">
        <v>43711</v>
      </c>
      <c r="E231" s="3">
        <v>43711.519439999996</v>
      </c>
      <c r="F231" s="3">
        <v>43711.522920000003</v>
      </c>
      <c r="G231">
        <v>7.3</v>
      </c>
      <c r="H231">
        <v>22.22</v>
      </c>
      <c r="I231">
        <v>51.8</v>
      </c>
      <c r="J231">
        <v>0.82</v>
      </c>
      <c r="K231">
        <v>-6.4229169841002198</v>
      </c>
      <c r="L231">
        <v>-2.78503912907606E-4</v>
      </c>
    </row>
    <row r="232" spans="1:12" x14ac:dyDescent="0.2">
      <c r="A232" t="s">
        <v>9</v>
      </c>
      <c r="B232">
        <v>2</v>
      </c>
      <c r="C232" t="s">
        <v>6</v>
      </c>
      <c r="D232" s="2">
        <v>43711</v>
      </c>
      <c r="E232" s="3">
        <v>43711.525690000002</v>
      </c>
      <c r="F232" s="3">
        <v>43711.529170000002</v>
      </c>
      <c r="H232">
        <v>22.22</v>
      </c>
      <c r="K232">
        <v>16.7435885185016</v>
      </c>
      <c r="L232">
        <v>-4.2647739709571002E-4</v>
      </c>
    </row>
    <row r="233" spans="1:12" x14ac:dyDescent="0.2">
      <c r="A233" t="s">
        <v>9</v>
      </c>
      <c r="B233">
        <v>3</v>
      </c>
      <c r="C233" t="s">
        <v>4</v>
      </c>
      <c r="D233" s="2">
        <v>43711</v>
      </c>
      <c r="E233" s="3">
        <v>43711.53125</v>
      </c>
      <c r="F233" s="3">
        <v>43711.534720000003</v>
      </c>
      <c r="G233">
        <v>8.5</v>
      </c>
      <c r="H233">
        <v>22.22</v>
      </c>
      <c r="I233">
        <v>50.6</v>
      </c>
      <c r="J233">
        <v>0.86</v>
      </c>
      <c r="K233">
        <v>-15.3057984875014</v>
      </c>
      <c r="L233">
        <v>-3.1567807949607E-4</v>
      </c>
    </row>
    <row r="234" spans="1:12" x14ac:dyDescent="0.2">
      <c r="A234" t="s">
        <v>9</v>
      </c>
      <c r="B234">
        <v>3</v>
      </c>
      <c r="C234" t="s">
        <v>6</v>
      </c>
      <c r="D234" s="2">
        <v>43711</v>
      </c>
      <c r="E234" s="3">
        <v>43711.537499999999</v>
      </c>
      <c r="F234" s="3">
        <v>43711.540970000002</v>
      </c>
      <c r="H234">
        <v>22.22</v>
      </c>
      <c r="K234">
        <v>15.251392163047401</v>
      </c>
      <c r="L234">
        <v>-3.4027528487079001E-4</v>
      </c>
    </row>
    <row r="235" spans="1:12" x14ac:dyDescent="0.2">
      <c r="A235" t="s">
        <v>9</v>
      </c>
      <c r="B235">
        <v>4</v>
      </c>
      <c r="C235" t="s">
        <v>4</v>
      </c>
      <c r="D235" s="2">
        <v>43711</v>
      </c>
      <c r="E235" s="3">
        <v>43711.543749999997</v>
      </c>
      <c r="F235" s="3">
        <v>43711.54722</v>
      </c>
      <c r="G235">
        <v>8.9</v>
      </c>
      <c r="H235">
        <v>23.89</v>
      </c>
      <c r="I235">
        <v>47.2</v>
      </c>
      <c r="J235">
        <v>0.83</v>
      </c>
      <c r="K235">
        <v>-7.5380217888637002</v>
      </c>
      <c r="L235">
        <v>-1.2291465277560799E-4</v>
      </c>
    </row>
    <row r="236" spans="1:12" x14ac:dyDescent="0.2">
      <c r="A236" t="s">
        <v>9</v>
      </c>
      <c r="B236">
        <v>4</v>
      </c>
      <c r="C236" t="s">
        <v>6</v>
      </c>
      <c r="D236" s="2">
        <v>43711</v>
      </c>
      <c r="E236" s="3">
        <v>43711.549650000001</v>
      </c>
      <c r="F236" s="3">
        <v>43711.55313</v>
      </c>
      <c r="H236">
        <v>23.89</v>
      </c>
      <c r="K236">
        <v>11.109822988116299</v>
      </c>
      <c r="L236">
        <v>-3.4052520905187401E-4</v>
      </c>
    </row>
    <row r="237" spans="1:12" x14ac:dyDescent="0.2">
      <c r="A237" t="s">
        <v>9</v>
      </c>
      <c r="B237">
        <v>5</v>
      </c>
      <c r="C237" t="s">
        <v>4</v>
      </c>
      <c r="D237" s="2">
        <v>43711</v>
      </c>
      <c r="E237" s="3">
        <v>43711.555560000001</v>
      </c>
      <c r="F237" s="3">
        <v>43711.559029999997</v>
      </c>
      <c r="G237">
        <v>11.7</v>
      </c>
      <c r="H237">
        <v>23.89</v>
      </c>
      <c r="I237">
        <v>50.9</v>
      </c>
      <c r="J237">
        <v>0.85</v>
      </c>
      <c r="K237">
        <v>-3.4786020810593898</v>
      </c>
      <c r="L237">
        <v>-2.5113432884379998E-4</v>
      </c>
    </row>
    <row r="238" spans="1:12" x14ac:dyDescent="0.2">
      <c r="A238" t="s">
        <v>9</v>
      </c>
      <c r="B238">
        <v>5</v>
      </c>
      <c r="C238" t="s">
        <v>6</v>
      </c>
      <c r="D238" s="2">
        <v>43711</v>
      </c>
      <c r="E238" s="3">
        <v>43711.561110000002</v>
      </c>
      <c r="F238" s="3">
        <v>43711.564579999998</v>
      </c>
      <c r="H238">
        <v>23.89</v>
      </c>
      <c r="K238">
        <v>14.3838897006195</v>
      </c>
      <c r="L238">
        <v>-1.8115070943209999E-4</v>
      </c>
    </row>
    <row r="239" spans="1:12" x14ac:dyDescent="0.2">
      <c r="A239" t="s">
        <v>9</v>
      </c>
      <c r="B239">
        <v>1</v>
      </c>
      <c r="C239" t="s">
        <v>4</v>
      </c>
      <c r="D239" s="2">
        <v>43720</v>
      </c>
      <c r="E239" s="3">
        <v>43720.40122</v>
      </c>
      <c r="F239" s="3">
        <v>43720.404690000003</v>
      </c>
      <c r="G239">
        <v>12.9</v>
      </c>
      <c r="H239">
        <v>18.89</v>
      </c>
      <c r="I239">
        <v>51.2</v>
      </c>
      <c r="J239">
        <v>0.85</v>
      </c>
      <c r="K239">
        <v>-8.2120583259937003</v>
      </c>
      <c r="L239" s="6">
        <v>3.8037666755998099E-5</v>
      </c>
    </row>
    <row r="240" spans="1:12" x14ac:dyDescent="0.2">
      <c r="A240" t="s">
        <v>9</v>
      </c>
      <c r="B240">
        <v>1</v>
      </c>
      <c r="C240" t="s">
        <v>6</v>
      </c>
      <c r="D240" s="2">
        <v>43720</v>
      </c>
      <c r="E240" s="3">
        <v>43720.406999999999</v>
      </c>
      <c r="F240" s="3">
        <v>43720.410470000003</v>
      </c>
      <c r="H240">
        <v>18.89</v>
      </c>
      <c r="K240">
        <v>10.5060616808204</v>
      </c>
      <c r="L240">
        <v>-1.7581230633731599E-4</v>
      </c>
    </row>
    <row r="241" spans="1:12" x14ac:dyDescent="0.2">
      <c r="A241" t="s">
        <v>9</v>
      </c>
      <c r="B241">
        <v>2</v>
      </c>
      <c r="C241" t="s">
        <v>4</v>
      </c>
      <c r="D241" s="2">
        <v>43720</v>
      </c>
      <c r="E241" s="3">
        <v>43720.412210000002</v>
      </c>
      <c r="F241" s="3">
        <v>43720.415679999998</v>
      </c>
      <c r="G241">
        <v>15.7</v>
      </c>
      <c r="H241">
        <v>18.89</v>
      </c>
      <c r="I241">
        <v>44.8</v>
      </c>
      <c r="J241">
        <v>0.86</v>
      </c>
      <c r="K241">
        <v>-12.747873557374801</v>
      </c>
      <c r="L241">
        <v>-2.1615722767649701E-4</v>
      </c>
    </row>
    <row r="242" spans="1:12" x14ac:dyDescent="0.2">
      <c r="A242" t="s">
        <v>9</v>
      </c>
      <c r="B242">
        <v>2</v>
      </c>
      <c r="C242" t="s">
        <v>6</v>
      </c>
      <c r="D242" s="2">
        <v>43720</v>
      </c>
      <c r="E242" s="3">
        <v>43720.418460000001</v>
      </c>
      <c r="F242" s="3">
        <v>43720.421929999997</v>
      </c>
      <c r="H242">
        <v>18.89</v>
      </c>
      <c r="K242">
        <v>11.7713720896919</v>
      </c>
      <c r="L242">
        <v>-2.8244704448152601E-4</v>
      </c>
    </row>
    <row r="243" spans="1:12" x14ac:dyDescent="0.2">
      <c r="A243" t="s">
        <v>9</v>
      </c>
      <c r="B243">
        <v>3</v>
      </c>
      <c r="C243" t="s">
        <v>4</v>
      </c>
      <c r="D243" s="2">
        <v>43720</v>
      </c>
      <c r="E243" s="3">
        <v>43720.424310000002</v>
      </c>
      <c r="F243" s="3">
        <v>43720.427779999998</v>
      </c>
      <c r="G243">
        <v>11.4</v>
      </c>
      <c r="H243">
        <v>18.89</v>
      </c>
      <c r="I243">
        <v>54</v>
      </c>
      <c r="J243">
        <v>0.85</v>
      </c>
      <c r="K243">
        <v>-8.9473168318588296</v>
      </c>
      <c r="L243">
        <v>-2.6125570891233102E-4</v>
      </c>
    </row>
    <row r="244" spans="1:12" x14ac:dyDescent="0.2">
      <c r="A244" t="s">
        <v>9</v>
      </c>
      <c r="B244">
        <v>3</v>
      </c>
      <c r="C244" t="s">
        <v>6</v>
      </c>
      <c r="D244" s="2">
        <v>43720</v>
      </c>
      <c r="E244" s="3">
        <v>43720.43073</v>
      </c>
      <c r="F244" s="3">
        <v>43720.434200000003</v>
      </c>
      <c r="H244">
        <v>18.89</v>
      </c>
      <c r="K244">
        <v>9.2194978294611598</v>
      </c>
      <c r="L244">
        <v>-3.18464466477748E-4</v>
      </c>
    </row>
    <row r="245" spans="1:12" x14ac:dyDescent="0.2">
      <c r="A245" t="s">
        <v>9</v>
      </c>
      <c r="B245">
        <v>4</v>
      </c>
      <c r="C245" t="s">
        <v>4</v>
      </c>
      <c r="D245" s="2">
        <v>43720</v>
      </c>
      <c r="E245" s="3">
        <v>43720.443399999996</v>
      </c>
      <c r="F245" s="3">
        <v>43720.446880000003</v>
      </c>
      <c r="G245">
        <v>16.399999999999999</v>
      </c>
      <c r="H245">
        <v>18.89</v>
      </c>
      <c r="I245">
        <v>52.8</v>
      </c>
      <c r="J245">
        <v>0.85</v>
      </c>
      <c r="K245">
        <v>-2.6914411736089998</v>
      </c>
      <c r="L245">
        <v>-3.0052864708718602E-4</v>
      </c>
    </row>
    <row r="246" spans="1:12" x14ac:dyDescent="0.2">
      <c r="A246" t="s">
        <v>9</v>
      </c>
      <c r="B246">
        <v>4</v>
      </c>
      <c r="C246" t="s">
        <v>6</v>
      </c>
      <c r="D246" s="2">
        <v>43720</v>
      </c>
      <c r="E246" s="3">
        <v>43720.449070000002</v>
      </c>
      <c r="F246" s="3">
        <v>43720.452550000002</v>
      </c>
      <c r="H246">
        <v>18.89</v>
      </c>
      <c r="K246">
        <v>8.8147107685415094</v>
      </c>
      <c r="L246">
        <v>-3.03251145668459E-4</v>
      </c>
    </row>
    <row r="247" spans="1:12" x14ac:dyDescent="0.2">
      <c r="A247" t="s">
        <v>9</v>
      </c>
      <c r="B247">
        <v>5</v>
      </c>
      <c r="C247" t="s">
        <v>4</v>
      </c>
      <c r="D247" s="2">
        <v>43720</v>
      </c>
      <c r="E247" s="3">
        <v>43720.454980000002</v>
      </c>
      <c r="F247" s="3">
        <v>43720.458449999998</v>
      </c>
      <c r="G247">
        <v>13.4</v>
      </c>
      <c r="H247">
        <v>18.89</v>
      </c>
      <c r="I247">
        <v>45.9</v>
      </c>
      <c r="J247">
        <v>0.85</v>
      </c>
      <c r="K247">
        <v>-3.6423084374955299</v>
      </c>
      <c r="L247">
        <v>-2.3697207539668801E-4</v>
      </c>
    </row>
    <row r="248" spans="1:12" x14ac:dyDescent="0.2">
      <c r="A248" t="s">
        <v>9</v>
      </c>
      <c r="B248">
        <v>5</v>
      </c>
      <c r="C248" t="s">
        <v>6</v>
      </c>
      <c r="D248" s="2">
        <v>43720</v>
      </c>
      <c r="E248" s="3">
        <v>43720.460760000002</v>
      </c>
      <c r="F248" s="3">
        <v>43720.464240000001</v>
      </c>
      <c r="H248">
        <v>18.89</v>
      </c>
      <c r="K248">
        <v>11.398020345097899</v>
      </c>
      <c r="L248">
        <v>-2.8719036532688598E-4</v>
      </c>
    </row>
    <row r="249" spans="1:12" x14ac:dyDescent="0.2">
      <c r="A249" t="s">
        <v>9</v>
      </c>
      <c r="B249">
        <v>1</v>
      </c>
      <c r="C249" t="s">
        <v>4</v>
      </c>
      <c r="D249" s="2">
        <v>43720</v>
      </c>
      <c r="E249" s="3">
        <v>43720.494330000001</v>
      </c>
      <c r="F249" s="3">
        <v>43720.497799999997</v>
      </c>
      <c r="G249">
        <v>16.7</v>
      </c>
      <c r="H249">
        <v>16.11</v>
      </c>
      <c r="I249">
        <v>42.9</v>
      </c>
      <c r="J249">
        <v>0.86</v>
      </c>
      <c r="K249">
        <v>2.0027478877913198</v>
      </c>
      <c r="L249">
        <f>G2395-0.000209561893775962</f>
        <v>-2.0956189377596199E-4</v>
      </c>
    </row>
    <row r="250" spans="1:12" x14ac:dyDescent="0.2">
      <c r="A250" t="s">
        <v>9</v>
      </c>
      <c r="B250">
        <v>1</v>
      </c>
      <c r="C250" t="s">
        <v>6</v>
      </c>
      <c r="D250" s="2">
        <v>43720</v>
      </c>
      <c r="E250" s="3">
        <v>43720.499880000003</v>
      </c>
      <c r="F250" s="3">
        <v>43720.503360000002</v>
      </c>
      <c r="H250">
        <v>16.11</v>
      </c>
      <c r="K250">
        <v>9.2215166517196003</v>
      </c>
      <c r="L250">
        <v>-2.1807665394843901E-4</v>
      </c>
    </row>
    <row r="251" spans="1:12" x14ac:dyDescent="0.2">
      <c r="A251" t="s">
        <v>9</v>
      </c>
      <c r="B251">
        <v>2</v>
      </c>
      <c r="C251" t="s">
        <v>4</v>
      </c>
      <c r="D251" s="2">
        <v>43720</v>
      </c>
      <c r="E251" s="3">
        <v>43720.505729999997</v>
      </c>
      <c r="F251" s="3">
        <v>43720.5092</v>
      </c>
      <c r="G251">
        <v>14.7</v>
      </c>
      <c r="H251">
        <v>16.11</v>
      </c>
      <c r="I251">
        <v>53.1</v>
      </c>
      <c r="J251">
        <v>0.84</v>
      </c>
      <c r="K251">
        <v>0.98296269032482697</v>
      </c>
      <c r="L251">
        <v>-3.1706510324017498E-4</v>
      </c>
    </row>
    <row r="252" spans="1:12" x14ac:dyDescent="0.2">
      <c r="A252" t="s">
        <v>9</v>
      </c>
      <c r="B252">
        <v>2</v>
      </c>
      <c r="C252" t="s">
        <v>6</v>
      </c>
      <c r="D252" s="2">
        <v>43720</v>
      </c>
      <c r="E252" s="3">
        <v>43720.511749999998</v>
      </c>
      <c r="F252" s="3">
        <v>43720.515220000001</v>
      </c>
      <c r="H252">
        <v>16.11</v>
      </c>
      <c r="K252">
        <v>9.5985777605676006</v>
      </c>
      <c r="L252">
        <v>-3.50908694266281E-4</v>
      </c>
    </row>
    <row r="253" spans="1:12" x14ac:dyDescent="0.2">
      <c r="A253" t="s">
        <v>9</v>
      </c>
      <c r="B253">
        <v>3</v>
      </c>
      <c r="C253" t="s">
        <v>4</v>
      </c>
      <c r="D253" s="2">
        <v>43720</v>
      </c>
      <c r="E253" s="3">
        <v>43720.517769999999</v>
      </c>
      <c r="F253" s="3">
        <v>43720.521240000002</v>
      </c>
      <c r="G253">
        <v>10.9</v>
      </c>
      <c r="H253">
        <v>16.11</v>
      </c>
      <c r="I253">
        <v>57</v>
      </c>
      <c r="J253">
        <v>0.86</v>
      </c>
      <c r="K253">
        <v>-0.13064632872809301</v>
      </c>
      <c r="L253">
        <v>-3.1305333316452699E-4</v>
      </c>
    </row>
    <row r="254" spans="1:12" x14ac:dyDescent="0.2">
      <c r="A254" t="s">
        <v>9</v>
      </c>
      <c r="B254">
        <v>3</v>
      </c>
      <c r="C254" t="s">
        <v>6</v>
      </c>
      <c r="D254" s="2">
        <v>43720</v>
      </c>
      <c r="E254" s="3">
        <v>43720.524069999999</v>
      </c>
      <c r="F254" s="3">
        <v>43720.527549999999</v>
      </c>
      <c r="H254">
        <v>15</v>
      </c>
      <c r="K254">
        <v>8.9655361498851995</v>
      </c>
      <c r="L254">
        <v>-4.03268821314294E-4</v>
      </c>
    </row>
    <row r="255" spans="1:12" x14ac:dyDescent="0.2">
      <c r="A255" t="s">
        <v>9</v>
      </c>
      <c r="B255">
        <v>4</v>
      </c>
      <c r="C255" t="s">
        <v>4</v>
      </c>
      <c r="D255" s="2">
        <v>43720</v>
      </c>
      <c r="E255" s="3">
        <v>43720.530149999999</v>
      </c>
      <c r="F255" s="3">
        <v>43720.533620000002</v>
      </c>
      <c r="G255">
        <v>9.8000000000000007</v>
      </c>
      <c r="H255">
        <v>15</v>
      </c>
      <c r="I255">
        <v>53.6</v>
      </c>
      <c r="J255">
        <v>0.85</v>
      </c>
      <c r="K255">
        <v>1.5229515783664</v>
      </c>
      <c r="L255">
        <v>-3.0434252582639001E-4</v>
      </c>
    </row>
    <row r="256" spans="1:12" x14ac:dyDescent="0.2">
      <c r="A256" t="s">
        <v>9</v>
      </c>
      <c r="B256">
        <v>4</v>
      </c>
      <c r="C256" t="s">
        <v>6</v>
      </c>
      <c r="D256" s="2">
        <v>43720</v>
      </c>
      <c r="E256" s="3">
        <v>43720.536809999998</v>
      </c>
      <c r="F256" s="3">
        <v>43720.540280000001</v>
      </c>
      <c r="H256">
        <v>15</v>
      </c>
      <c r="K256">
        <v>8.0848940420943691</v>
      </c>
      <c r="L256">
        <v>-3.30890078898993E-4</v>
      </c>
    </row>
    <row r="257" spans="1:12" x14ac:dyDescent="0.2">
      <c r="A257" t="s">
        <v>9</v>
      </c>
      <c r="B257">
        <v>5</v>
      </c>
      <c r="C257" t="s">
        <v>4</v>
      </c>
      <c r="D257" s="2">
        <v>43720</v>
      </c>
      <c r="E257" s="3">
        <v>43720.544390000003</v>
      </c>
      <c r="F257" s="3">
        <v>43720.547859999999</v>
      </c>
      <c r="G257">
        <v>12.7</v>
      </c>
      <c r="H257">
        <v>15</v>
      </c>
      <c r="I257">
        <v>48.4</v>
      </c>
      <c r="J257">
        <v>0.85</v>
      </c>
      <c r="K257">
        <v>1.9137886251157199</v>
      </c>
      <c r="L257">
        <v>-2.7987839675227199E-4</v>
      </c>
    </row>
    <row r="258" spans="1:12" x14ac:dyDescent="0.2">
      <c r="A258" t="s">
        <v>9</v>
      </c>
      <c r="B258">
        <v>5</v>
      </c>
      <c r="C258" t="s">
        <v>6</v>
      </c>
      <c r="D258" s="2">
        <v>43720</v>
      </c>
      <c r="E258" s="3">
        <v>43720.550810000001</v>
      </c>
      <c r="F258" s="3">
        <v>43720.554279999997</v>
      </c>
      <c r="H258">
        <v>15</v>
      </c>
      <c r="K258">
        <v>10.784258793402801</v>
      </c>
      <c r="L258">
        <v>-2.7369658798283899E-4</v>
      </c>
    </row>
    <row r="259" spans="1:12" x14ac:dyDescent="0.2">
      <c r="A259" t="s">
        <v>9</v>
      </c>
      <c r="B259">
        <v>1</v>
      </c>
      <c r="C259" t="s">
        <v>4</v>
      </c>
      <c r="D259" s="2">
        <v>43728</v>
      </c>
      <c r="E259" s="3">
        <v>43728.440569999999</v>
      </c>
      <c r="F259" s="3">
        <v>43728.444040000002</v>
      </c>
      <c r="G259">
        <v>4.3</v>
      </c>
      <c r="H259">
        <v>15</v>
      </c>
      <c r="I259">
        <v>44.7</v>
      </c>
      <c r="J259">
        <v>0.83</v>
      </c>
      <c r="K259">
        <v>-3.2305824948991901</v>
      </c>
      <c r="L259">
        <v>-4.1900868800597799E-4</v>
      </c>
    </row>
    <row r="260" spans="1:12" x14ac:dyDescent="0.2">
      <c r="A260" t="s">
        <v>9</v>
      </c>
      <c r="B260">
        <v>1</v>
      </c>
      <c r="C260" t="s">
        <v>6</v>
      </c>
      <c r="D260" s="2">
        <v>43728</v>
      </c>
      <c r="E260" s="3">
        <v>43728.446640000002</v>
      </c>
      <c r="F260" s="3">
        <v>43728.450120000001</v>
      </c>
      <c r="H260">
        <v>15</v>
      </c>
      <c r="K260">
        <v>7.4753043316635397</v>
      </c>
      <c r="L260">
        <v>-5.0133885385252302E-4</v>
      </c>
    </row>
    <row r="261" spans="1:12" x14ac:dyDescent="0.2">
      <c r="A261" t="s">
        <v>9</v>
      </c>
      <c r="B261">
        <v>2</v>
      </c>
      <c r="C261" t="s">
        <v>4</v>
      </c>
      <c r="D261" s="2">
        <v>43728</v>
      </c>
      <c r="E261" s="3">
        <v>43728.45336</v>
      </c>
      <c r="F261" s="3">
        <v>43728.456830000003</v>
      </c>
      <c r="G261">
        <v>5.0999999999999996</v>
      </c>
      <c r="H261">
        <v>15</v>
      </c>
      <c r="I261">
        <v>50.7</v>
      </c>
      <c r="J261">
        <v>0.75</v>
      </c>
      <c r="K261">
        <v>-8.0175154302718408</v>
      </c>
      <c r="L261">
        <v>-4.8564282369625898E-4</v>
      </c>
    </row>
    <row r="262" spans="1:12" x14ac:dyDescent="0.2">
      <c r="A262" t="s">
        <v>9</v>
      </c>
      <c r="B262">
        <v>2</v>
      </c>
      <c r="C262" t="s">
        <v>6</v>
      </c>
      <c r="D262" s="2">
        <v>43728</v>
      </c>
      <c r="E262" s="3">
        <v>43728.461569999999</v>
      </c>
      <c r="F262" s="3">
        <v>43728.465049999999</v>
      </c>
      <c r="H262">
        <v>15</v>
      </c>
      <c r="K262">
        <v>8.9489907674715905</v>
      </c>
      <c r="L262">
        <v>-4.8083780994268997E-4</v>
      </c>
    </row>
    <row r="263" spans="1:12" x14ac:dyDescent="0.2">
      <c r="A263" t="s">
        <v>9</v>
      </c>
      <c r="B263">
        <v>3</v>
      </c>
      <c r="C263" t="s">
        <v>4</v>
      </c>
      <c r="D263" s="2">
        <v>43728</v>
      </c>
      <c r="E263" s="3">
        <v>43728.468690000002</v>
      </c>
      <c r="F263" s="3">
        <v>43728.472159999998</v>
      </c>
      <c r="G263">
        <v>5.3</v>
      </c>
      <c r="H263">
        <v>16.670000000000002</v>
      </c>
      <c r="I263">
        <v>51.5</v>
      </c>
      <c r="J263">
        <v>0.75</v>
      </c>
      <c r="K263">
        <v>-9.7524570052202009</v>
      </c>
      <c r="L263">
        <v>-4.5481784006313699E-4</v>
      </c>
    </row>
    <row r="264" spans="1:12" x14ac:dyDescent="0.2">
      <c r="A264" t="s">
        <v>9</v>
      </c>
      <c r="B264">
        <v>3</v>
      </c>
      <c r="C264" t="s">
        <v>6</v>
      </c>
      <c r="D264" s="2">
        <v>43728</v>
      </c>
      <c r="E264" s="3">
        <v>43728.475350000001</v>
      </c>
      <c r="F264" s="3">
        <v>43728.478819999997</v>
      </c>
      <c r="H264">
        <v>16.670000000000002</v>
      </c>
      <c r="K264">
        <v>10.212145416558201</v>
      </c>
      <c r="L264">
        <v>-5.02072785462198E-4</v>
      </c>
    </row>
    <row r="265" spans="1:12" x14ac:dyDescent="0.2">
      <c r="A265" t="s">
        <v>9</v>
      </c>
      <c r="B265">
        <v>4</v>
      </c>
      <c r="C265" t="s">
        <v>4</v>
      </c>
      <c r="D265" s="2">
        <v>43728</v>
      </c>
      <c r="E265" s="3">
        <v>43728.482409999997</v>
      </c>
      <c r="F265" s="3">
        <v>43728.48588</v>
      </c>
      <c r="G265">
        <v>3.9</v>
      </c>
      <c r="H265">
        <v>16.670000000000002</v>
      </c>
      <c r="I265">
        <v>51.8</v>
      </c>
      <c r="J265">
        <v>0.79</v>
      </c>
      <c r="K265">
        <v>-1.8764469140087201</v>
      </c>
      <c r="L265">
        <v>-2.9187932955807098E-4</v>
      </c>
    </row>
    <row r="266" spans="1:12" x14ac:dyDescent="0.2">
      <c r="A266" t="s">
        <v>9</v>
      </c>
      <c r="B266">
        <v>4</v>
      </c>
      <c r="C266" t="s">
        <v>6</v>
      </c>
      <c r="D266" s="2">
        <v>43728</v>
      </c>
      <c r="E266" s="3">
        <v>43728.489289999998</v>
      </c>
      <c r="F266" s="3">
        <v>43728.492769999997</v>
      </c>
      <c r="H266">
        <v>16.670000000000002</v>
      </c>
      <c r="K266">
        <v>7.4244393543086096</v>
      </c>
      <c r="L266">
        <v>-3.7822439355651499E-4</v>
      </c>
    </row>
    <row r="267" spans="1:12" x14ac:dyDescent="0.2">
      <c r="A267" t="s">
        <v>9</v>
      </c>
      <c r="B267">
        <v>5</v>
      </c>
      <c r="C267" t="s">
        <v>4</v>
      </c>
      <c r="D267" s="2">
        <v>43728</v>
      </c>
      <c r="E267" s="3">
        <v>43728.496529999997</v>
      </c>
      <c r="F267" s="3">
        <v>43728.5</v>
      </c>
      <c r="G267">
        <v>4.2</v>
      </c>
      <c r="H267">
        <v>18.89</v>
      </c>
      <c r="I267">
        <v>46.4</v>
      </c>
      <c r="J267">
        <v>0.79</v>
      </c>
      <c r="K267">
        <v>1.1247653176694301</v>
      </c>
      <c r="L267">
        <v>-3.53812248707306E-4</v>
      </c>
    </row>
    <row r="268" spans="1:12" x14ac:dyDescent="0.2">
      <c r="A268" t="s">
        <v>9</v>
      </c>
      <c r="B268">
        <v>5</v>
      </c>
      <c r="C268" t="s">
        <v>6</v>
      </c>
      <c r="D268" s="2">
        <v>43728</v>
      </c>
      <c r="E268" s="3">
        <v>43728.503819999998</v>
      </c>
      <c r="F268" s="3">
        <v>43728.507290000001</v>
      </c>
      <c r="H268">
        <v>18.89</v>
      </c>
      <c r="K268">
        <v>10.035616244867199</v>
      </c>
      <c r="L268">
        <v>-3.47573355343431E-4</v>
      </c>
    </row>
    <row r="269" spans="1:12" x14ac:dyDescent="0.2">
      <c r="A269" t="s">
        <v>9</v>
      </c>
      <c r="B269">
        <v>1</v>
      </c>
      <c r="C269" t="s">
        <v>4</v>
      </c>
      <c r="D269" s="2">
        <v>43742</v>
      </c>
      <c r="E269" s="3">
        <v>43742.559719999997</v>
      </c>
      <c r="F269" s="3">
        <v>43742.563190000001</v>
      </c>
      <c r="G269">
        <v>13.4</v>
      </c>
      <c r="H269">
        <v>11.67</v>
      </c>
      <c r="I269">
        <v>41.9</v>
      </c>
      <c r="J269">
        <v>0.76</v>
      </c>
      <c r="K269">
        <v>-2.1471864762095501</v>
      </c>
      <c r="L269">
        <v>-4.7322986491197199E-4</v>
      </c>
    </row>
    <row r="270" spans="1:12" x14ac:dyDescent="0.2">
      <c r="A270" t="s">
        <v>9</v>
      </c>
      <c r="B270">
        <v>1</v>
      </c>
      <c r="C270" t="s">
        <v>6</v>
      </c>
      <c r="D270" s="2">
        <v>43742</v>
      </c>
      <c r="E270" s="3">
        <v>43742.567009999999</v>
      </c>
      <c r="F270" s="3">
        <v>43742.570489999998</v>
      </c>
      <c r="H270">
        <v>11.67</v>
      </c>
      <c r="K270">
        <v>4.11940833397147</v>
      </c>
      <c r="L270">
        <v>-2.4722750217563298E-4</v>
      </c>
    </row>
    <row r="271" spans="1:12" x14ac:dyDescent="0.2">
      <c r="A271" t="s">
        <v>9</v>
      </c>
      <c r="B271">
        <v>2</v>
      </c>
      <c r="C271" t="s">
        <v>4</v>
      </c>
      <c r="D271" s="2">
        <v>43742</v>
      </c>
      <c r="E271" s="3">
        <v>43742.573609999999</v>
      </c>
      <c r="F271" s="3">
        <v>43742.577080000003</v>
      </c>
      <c r="G271">
        <v>14.4</v>
      </c>
      <c r="H271">
        <v>11.67</v>
      </c>
      <c r="I271">
        <v>46.2</v>
      </c>
      <c r="J271">
        <v>0.76</v>
      </c>
      <c r="K271">
        <v>-3.1229634948365699</v>
      </c>
      <c r="L271">
        <v>-4.3623635462864302E-4</v>
      </c>
    </row>
    <row r="272" spans="1:12" x14ac:dyDescent="0.2">
      <c r="A272" t="s">
        <v>9</v>
      </c>
      <c r="B272">
        <v>2</v>
      </c>
      <c r="C272" t="s">
        <v>6</v>
      </c>
      <c r="D272" s="2">
        <v>43742</v>
      </c>
      <c r="E272" s="3">
        <v>43742.579859999998</v>
      </c>
      <c r="F272" s="3">
        <v>43742.583330000001</v>
      </c>
      <c r="H272">
        <v>11.67</v>
      </c>
      <c r="K272">
        <v>6.1232854434772097</v>
      </c>
      <c r="L272">
        <v>-3.6450446728361998E-4</v>
      </c>
    </row>
    <row r="273" spans="1:12" x14ac:dyDescent="0.2">
      <c r="A273" t="s">
        <v>9</v>
      </c>
      <c r="B273">
        <v>3</v>
      </c>
      <c r="C273" t="s">
        <v>4</v>
      </c>
      <c r="D273" s="2">
        <v>43742</v>
      </c>
      <c r="E273" s="3">
        <v>43742.586109999997</v>
      </c>
      <c r="F273" s="3">
        <v>43742.58958</v>
      </c>
      <c r="G273">
        <v>12.8</v>
      </c>
      <c r="H273">
        <v>11.67</v>
      </c>
      <c r="I273">
        <v>42.4</v>
      </c>
      <c r="J273">
        <v>0.78</v>
      </c>
      <c r="K273">
        <v>-4.4652103692242298</v>
      </c>
      <c r="L273">
        <v>-3.41555416940779E-4</v>
      </c>
    </row>
    <row r="274" spans="1:12" x14ac:dyDescent="0.2">
      <c r="A274" t="s">
        <v>9</v>
      </c>
      <c r="B274">
        <v>3</v>
      </c>
      <c r="C274" t="s">
        <v>6</v>
      </c>
      <c r="D274" s="2">
        <v>43742</v>
      </c>
      <c r="E274" s="3">
        <v>43742.593059999999</v>
      </c>
      <c r="F274" s="3">
        <v>43742.596530000003</v>
      </c>
      <c r="H274">
        <v>11.67</v>
      </c>
      <c r="K274">
        <v>4.8256916856314698</v>
      </c>
      <c r="L274">
        <v>-3.23345218569919E-4</v>
      </c>
    </row>
    <row r="275" spans="1:12" x14ac:dyDescent="0.2">
      <c r="A275" t="s">
        <v>9</v>
      </c>
      <c r="B275">
        <v>4</v>
      </c>
      <c r="C275" t="s">
        <v>4</v>
      </c>
      <c r="D275" s="2">
        <v>43742</v>
      </c>
      <c r="E275" s="3">
        <v>43742.599309999998</v>
      </c>
      <c r="F275" s="3">
        <v>43742.602780000001</v>
      </c>
      <c r="G275">
        <v>13.3</v>
      </c>
      <c r="H275">
        <v>11.67</v>
      </c>
      <c r="I275">
        <v>48.3</v>
      </c>
      <c r="J275">
        <v>0.78</v>
      </c>
      <c r="K275">
        <v>-3.40449703765242</v>
      </c>
      <c r="L275">
        <v>-2.3072841480464799E-4</v>
      </c>
    </row>
    <row r="276" spans="1:12" x14ac:dyDescent="0.2">
      <c r="A276" t="s">
        <v>9</v>
      </c>
      <c r="B276">
        <v>4</v>
      </c>
      <c r="C276" t="s">
        <v>6</v>
      </c>
      <c r="D276" s="2">
        <v>43742</v>
      </c>
      <c r="E276" s="3">
        <v>43742.605560000004</v>
      </c>
      <c r="F276" s="3">
        <v>43742.60903</v>
      </c>
      <c r="H276">
        <v>11.67</v>
      </c>
      <c r="K276">
        <v>4.7627446207065196</v>
      </c>
      <c r="L276">
        <v>-2.9962652129249701E-4</v>
      </c>
    </row>
    <row r="277" spans="1:12" x14ac:dyDescent="0.2">
      <c r="A277" t="s">
        <v>9</v>
      </c>
      <c r="B277">
        <v>5</v>
      </c>
      <c r="C277" t="s">
        <v>4</v>
      </c>
      <c r="D277" s="2">
        <v>43742</v>
      </c>
      <c r="E277" s="3">
        <v>43742.611109999998</v>
      </c>
      <c r="F277" s="3">
        <v>43742.614580000001</v>
      </c>
      <c r="G277">
        <v>13.2</v>
      </c>
      <c r="H277">
        <v>12.78</v>
      </c>
      <c r="I277">
        <v>53.7</v>
      </c>
      <c r="J277">
        <v>0.8</v>
      </c>
      <c r="K277">
        <v>-2.4733368119925601</v>
      </c>
      <c r="L277">
        <v>-2.4424577883063597E-4</v>
      </c>
    </row>
    <row r="278" spans="1:12" x14ac:dyDescent="0.2">
      <c r="A278" t="s">
        <v>9</v>
      </c>
      <c r="B278">
        <v>5</v>
      </c>
      <c r="C278" t="s">
        <v>6</v>
      </c>
      <c r="D278" s="2">
        <v>43742</v>
      </c>
      <c r="E278" s="3">
        <v>43742.618060000001</v>
      </c>
      <c r="F278" s="3">
        <v>43742.621529999997</v>
      </c>
      <c r="H278">
        <v>12.78</v>
      </c>
      <c r="K278">
        <v>4.4872235698593697</v>
      </c>
      <c r="L278">
        <v>-1.73697104023389E-4</v>
      </c>
    </row>
    <row r="279" spans="1:12" x14ac:dyDescent="0.2">
      <c r="A279" t="s">
        <v>9</v>
      </c>
      <c r="B279">
        <v>1</v>
      </c>
      <c r="C279" t="s">
        <v>4</v>
      </c>
      <c r="D279" s="2">
        <v>43742</v>
      </c>
      <c r="E279" s="3">
        <v>43742.642359999998</v>
      </c>
      <c r="F279" s="3">
        <v>43742.645830000001</v>
      </c>
      <c r="G279">
        <v>10</v>
      </c>
      <c r="H279">
        <v>12.78</v>
      </c>
      <c r="I279">
        <v>50.2</v>
      </c>
      <c r="J279">
        <v>0.74</v>
      </c>
      <c r="K279">
        <v>-2.7129669551187501</v>
      </c>
      <c r="L279">
        <v>-2.1968315451771999E-4</v>
      </c>
    </row>
    <row r="280" spans="1:12" x14ac:dyDescent="0.2">
      <c r="A280" t="s">
        <v>9</v>
      </c>
      <c r="B280">
        <v>1</v>
      </c>
      <c r="C280" t="s">
        <v>6</v>
      </c>
      <c r="D280" s="2">
        <v>43742</v>
      </c>
      <c r="E280" s="3">
        <v>43742.647920000003</v>
      </c>
      <c r="F280" s="3">
        <v>43742.651389999999</v>
      </c>
      <c r="H280">
        <v>12.78</v>
      </c>
      <c r="K280">
        <v>5.8717233559010804</v>
      </c>
      <c r="L280">
        <v>-2.81920072589456E-4</v>
      </c>
    </row>
    <row r="281" spans="1:12" x14ac:dyDescent="0.2">
      <c r="A281" t="s">
        <v>9</v>
      </c>
      <c r="B281">
        <v>2</v>
      </c>
      <c r="C281" t="s">
        <v>4</v>
      </c>
      <c r="D281" s="2">
        <v>43742</v>
      </c>
      <c r="E281" s="3">
        <v>43742.654860000002</v>
      </c>
      <c r="F281" s="3">
        <v>43742.658329999998</v>
      </c>
      <c r="G281">
        <v>13.5</v>
      </c>
      <c r="H281">
        <v>12.78</v>
      </c>
      <c r="I281">
        <v>58.5</v>
      </c>
      <c r="J281">
        <v>0.78</v>
      </c>
      <c r="K281">
        <v>-4.3262230590501796</v>
      </c>
      <c r="L281">
        <v>-4.1528958354652501E-4</v>
      </c>
    </row>
    <row r="282" spans="1:12" x14ac:dyDescent="0.2">
      <c r="A282" t="s">
        <v>9</v>
      </c>
      <c r="B282">
        <v>2</v>
      </c>
      <c r="C282" t="s">
        <v>6</v>
      </c>
      <c r="D282" s="2">
        <v>43742</v>
      </c>
      <c r="E282" s="3">
        <v>43742.66042</v>
      </c>
      <c r="F282" s="3">
        <v>43742.663890000003</v>
      </c>
      <c r="H282">
        <v>12.78</v>
      </c>
      <c r="K282">
        <v>5.6461694063415004</v>
      </c>
      <c r="L282">
        <v>-3.3699913374115502E-4</v>
      </c>
    </row>
    <row r="283" spans="1:12" x14ac:dyDescent="0.2">
      <c r="A283" t="s">
        <v>9</v>
      </c>
      <c r="B283">
        <v>3</v>
      </c>
      <c r="C283" t="s">
        <v>4</v>
      </c>
      <c r="D283" s="2">
        <v>43742</v>
      </c>
      <c r="E283" s="3">
        <v>43742.665970000002</v>
      </c>
      <c r="F283" s="3">
        <v>43742.669439999998</v>
      </c>
      <c r="G283">
        <v>13.3</v>
      </c>
      <c r="H283">
        <v>12.78</v>
      </c>
      <c r="I283">
        <v>57.6</v>
      </c>
      <c r="J283">
        <v>0.77</v>
      </c>
      <c r="K283">
        <v>-10.0472353497484</v>
      </c>
      <c r="L283">
        <v>-2.8820365228331499E-4</v>
      </c>
    </row>
    <row r="284" spans="1:12" x14ac:dyDescent="0.2">
      <c r="A284" t="s">
        <v>9</v>
      </c>
      <c r="B284">
        <v>3</v>
      </c>
      <c r="C284" t="s">
        <v>6</v>
      </c>
      <c r="D284" s="2">
        <v>43742</v>
      </c>
      <c r="E284" s="3">
        <v>43742.672740000002</v>
      </c>
      <c r="F284" s="3">
        <v>43742.676220000001</v>
      </c>
      <c r="H284">
        <v>12.78</v>
      </c>
      <c r="K284">
        <v>6.8320172175469596</v>
      </c>
      <c r="L284">
        <v>-3.4659729820584601E-4</v>
      </c>
    </row>
    <row r="285" spans="1:12" x14ac:dyDescent="0.2">
      <c r="A285" t="s">
        <v>9</v>
      </c>
      <c r="B285">
        <v>4</v>
      </c>
      <c r="C285" t="s">
        <v>4</v>
      </c>
      <c r="D285" s="2">
        <v>43742</v>
      </c>
      <c r="E285" s="3">
        <v>43742.679170000003</v>
      </c>
      <c r="F285" s="3">
        <v>43742.682639999999</v>
      </c>
      <c r="G285">
        <v>10.9</v>
      </c>
      <c r="H285">
        <v>12.78</v>
      </c>
      <c r="I285">
        <v>58.6</v>
      </c>
      <c r="J285">
        <v>0.78</v>
      </c>
      <c r="K285">
        <v>1.06040751577911</v>
      </c>
      <c r="L285">
        <v>-2.8853743147442602E-4</v>
      </c>
    </row>
    <row r="286" spans="1:12" x14ac:dyDescent="0.2">
      <c r="A286" t="s">
        <v>9</v>
      </c>
      <c r="B286">
        <v>4</v>
      </c>
      <c r="C286" t="s">
        <v>6</v>
      </c>
      <c r="D286" s="2">
        <v>43742</v>
      </c>
      <c r="E286" s="3">
        <v>43742.686110000002</v>
      </c>
      <c r="F286" s="3">
        <v>43742.689579999998</v>
      </c>
      <c r="H286">
        <v>12.78</v>
      </c>
      <c r="K286">
        <v>5.6383672867416799</v>
      </c>
      <c r="L286">
        <v>-2.2822712032701399E-4</v>
      </c>
    </row>
    <row r="287" spans="1:12" x14ac:dyDescent="0.2">
      <c r="A287" t="s">
        <v>9</v>
      </c>
      <c r="B287">
        <v>5</v>
      </c>
      <c r="C287" t="s">
        <v>4</v>
      </c>
      <c r="D287" s="2">
        <v>43742</v>
      </c>
      <c r="E287" s="3">
        <v>43742.690970000003</v>
      </c>
      <c r="F287" s="3">
        <v>43742.694439999999</v>
      </c>
      <c r="G287">
        <v>12.1</v>
      </c>
      <c r="H287">
        <v>13.89</v>
      </c>
      <c r="I287">
        <v>51.6</v>
      </c>
      <c r="J287">
        <v>0.77</v>
      </c>
      <c r="K287">
        <v>-1.3298966052363099</v>
      </c>
      <c r="L287">
        <v>-2.0628798628156601E-4</v>
      </c>
    </row>
    <row r="288" spans="1:12" x14ac:dyDescent="0.2">
      <c r="A288" t="s">
        <v>9</v>
      </c>
      <c r="B288">
        <v>5</v>
      </c>
      <c r="C288" t="s">
        <v>6</v>
      </c>
      <c r="D288" s="2">
        <v>43742</v>
      </c>
      <c r="E288" s="3">
        <v>43742.696530000001</v>
      </c>
      <c r="F288" s="3">
        <v>43742.7</v>
      </c>
      <c r="H288">
        <v>13.89</v>
      </c>
      <c r="K288">
        <v>4.1631866006396701</v>
      </c>
      <c r="L288">
        <v>-2.2637816693812501E-4</v>
      </c>
    </row>
    <row r="289" spans="1:12" x14ac:dyDescent="0.2">
      <c r="A289" t="s">
        <v>9</v>
      </c>
      <c r="B289">
        <v>1</v>
      </c>
      <c r="C289" t="s">
        <v>4</v>
      </c>
      <c r="D289" s="2">
        <v>43748</v>
      </c>
      <c r="E289" s="3">
        <v>43748.446530000001</v>
      </c>
      <c r="F289" s="3">
        <v>43748.45</v>
      </c>
      <c r="G289">
        <v>17</v>
      </c>
      <c r="H289">
        <v>15</v>
      </c>
      <c r="I289">
        <v>45.8</v>
      </c>
      <c r="J289">
        <v>0.77</v>
      </c>
      <c r="K289">
        <v>-2.7807703057687498</v>
      </c>
      <c r="L289">
        <v>-2.27232323915993E-4</v>
      </c>
    </row>
    <row r="290" spans="1:12" x14ac:dyDescent="0.2">
      <c r="A290" t="s">
        <v>9</v>
      </c>
      <c r="B290">
        <v>1</v>
      </c>
      <c r="C290" t="s">
        <v>6</v>
      </c>
      <c r="D290" s="2">
        <v>43748</v>
      </c>
      <c r="E290" s="3">
        <v>43748.45278</v>
      </c>
      <c r="F290" s="3">
        <v>43748.456250000003</v>
      </c>
      <c r="H290">
        <v>15</v>
      </c>
      <c r="K290">
        <v>6.5913460955809899</v>
      </c>
      <c r="L290">
        <v>-2.8887034208324399E-4</v>
      </c>
    </row>
    <row r="291" spans="1:12" x14ac:dyDescent="0.2">
      <c r="A291" t="s">
        <v>9</v>
      </c>
      <c r="B291">
        <v>2</v>
      </c>
      <c r="C291" t="s">
        <v>4</v>
      </c>
      <c r="D291" s="2">
        <v>43748</v>
      </c>
      <c r="E291" s="3">
        <v>43748.458330000001</v>
      </c>
      <c r="F291" s="3">
        <v>43748.461810000001</v>
      </c>
      <c r="G291">
        <v>13.3</v>
      </c>
      <c r="H291">
        <v>15</v>
      </c>
      <c r="I291">
        <v>53.3</v>
      </c>
      <c r="J291">
        <v>0.73</v>
      </c>
      <c r="K291">
        <v>-9.3414888721381093</v>
      </c>
      <c r="L291">
        <v>-3.1060059587653899E-4</v>
      </c>
    </row>
    <row r="292" spans="1:12" x14ac:dyDescent="0.2">
      <c r="A292" t="s">
        <v>9</v>
      </c>
      <c r="B292">
        <v>2</v>
      </c>
      <c r="C292" t="s">
        <v>6</v>
      </c>
      <c r="D292" s="2">
        <v>43748</v>
      </c>
      <c r="E292" s="3">
        <v>43748.463539999997</v>
      </c>
      <c r="F292" s="3">
        <v>43748.46701</v>
      </c>
      <c r="H292">
        <v>15</v>
      </c>
      <c r="K292">
        <v>8.7634262268029293</v>
      </c>
      <c r="L292">
        <v>-2.2165517967780499E-4</v>
      </c>
    </row>
    <row r="293" spans="1:12" x14ac:dyDescent="0.2">
      <c r="A293" t="s">
        <v>9</v>
      </c>
      <c r="B293">
        <v>3</v>
      </c>
      <c r="C293" t="s">
        <v>4</v>
      </c>
      <c r="D293" s="2">
        <v>43748</v>
      </c>
      <c r="E293" s="3">
        <v>43748.470139999998</v>
      </c>
      <c r="F293" s="3">
        <v>43748.473610000001</v>
      </c>
      <c r="G293">
        <v>15.6</v>
      </c>
      <c r="H293">
        <v>15</v>
      </c>
      <c r="I293">
        <v>41.8</v>
      </c>
      <c r="J293">
        <v>0.75</v>
      </c>
      <c r="K293">
        <v>-6.4746570328216801</v>
      </c>
      <c r="L293">
        <v>-1.61980197074832E-4</v>
      </c>
    </row>
    <row r="294" spans="1:12" x14ac:dyDescent="0.2">
      <c r="A294" t="s">
        <v>9</v>
      </c>
      <c r="B294">
        <v>3</v>
      </c>
      <c r="C294" t="s">
        <v>6</v>
      </c>
      <c r="D294" s="2">
        <v>43748</v>
      </c>
      <c r="E294" s="3">
        <v>43748.476849999999</v>
      </c>
      <c r="F294" s="3">
        <v>43748.480320000002</v>
      </c>
      <c r="H294">
        <v>15</v>
      </c>
      <c r="K294">
        <v>6.7678028709351299</v>
      </c>
      <c r="L294">
        <v>-1.99051754828734E-4</v>
      </c>
    </row>
    <row r="295" spans="1:12" x14ac:dyDescent="0.2">
      <c r="A295" t="s">
        <v>9</v>
      </c>
      <c r="B295">
        <v>4</v>
      </c>
      <c r="C295" t="s">
        <v>4</v>
      </c>
      <c r="D295" s="2">
        <v>43748</v>
      </c>
      <c r="E295" s="3">
        <v>43748.481939999998</v>
      </c>
      <c r="F295" s="3">
        <v>43748.485419999997</v>
      </c>
      <c r="G295">
        <v>14.6</v>
      </c>
      <c r="H295">
        <v>15</v>
      </c>
      <c r="I295">
        <v>55.1</v>
      </c>
      <c r="J295">
        <v>0.77</v>
      </c>
      <c r="K295">
        <v>-4.5588735997260796</v>
      </c>
      <c r="L295">
        <v>-1.1125297925017599E-4</v>
      </c>
    </row>
    <row r="296" spans="1:12" x14ac:dyDescent="0.2">
      <c r="A296" t="s">
        <v>9</v>
      </c>
      <c r="B296">
        <v>4</v>
      </c>
      <c r="C296" t="s">
        <v>6</v>
      </c>
      <c r="D296" s="2">
        <v>43748</v>
      </c>
      <c r="E296" s="3">
        <v>43748.488189999996</v>
      </c>
      <c r="F296" s="3">
        <v>43748.491670000003</v>
      </c>
      <c r="H296">
        <v>15</v>
      </c>
      <c r="K296">
        <v>7.2774671560315101</v>
      </c>
      <c r="L296">
        <v>-1.57458936029528E-4</v>
      </c>
    </row>
    <row r="297" spans="1:12" x14ac:dyDescent="0.2">
      <c r="A297" t="s">
        <v>9</v>
      </c>
      <c r="B297">
        <v>5</v>
      </c>
      <c r="C297" t="s">
        <v>4</v>
      </c>
      <c r="D297" s="2">
        <v>43748</v>
      </c>
      <c r="E297" s="3">
        <v>43748.493750000001</v>
      </c>
      <c r="F297" s="3">
        <v>43748.497219999997</v>
      </c>
      <c r="G297">
        <v>17.600000000000001</v>
      </c>
      <c r="H297">
        <v>18.89</v>
      </c>
      <c r="I297">
        <v>34.299999999999997</v>
      </c>
      <c r="J297">
        <v>0.78</v>
      </c>
      <c r="K297">
        <v>-5.7388538916312903</v>
      </c>
      <c r="L297" s="6">
        <v>1.21760979647981E-5</v>
      </c>
    </row>
    <row r="298" spans="1:12" x14ac:dyDescent="0.2">
      <c r="A298" t="s">
        <v>9</v>
      </c>
      <c r="B298">
        <v>5</v>
      </c>
      <c r="C298" t="s">
        <v>6</v>
      </c>
      <c r="D298" s="2">
        <v>43748</v>
      </c>
      <c r="E298" s="3">
        <v>43748.499309999999</v>
      </c>
      <c r="F298" s="3">
        <v>43748.502780000003</v>
      </c>
      <c r="H298">
        <v>18.89</v>
      </c>
      <c r="K298">
        <v>5.8360550550786101</v>
      </c>
      <c r="L298" s="6">
        <v>-4.8119294213572699E-5</v>
      </c>
    </row>
    <row r="299" spans="1:12" x14ac:dyDescent="0.2">
      <c r="A299" t="s">
        <v>9</v>
      </c>
      <c r="B299">
        <v>1</v>
      </c>
      <c r="C299" t="s">
        <v>4</v>
      </c>
      <c r="D299" s="2">
        <v>43748</v>
      </c>
      <c r="E299" s="3">
        <v>43748.548609999998</v>
      </c>
      <c r="F299" s="3">
        <v>43748.552080000001</v>
      </c>
      <c r="G299">
        <v>13</v>
      </c>
      <c r="H299">
        <v>19.440000000000001</v>
      </c>
      <c r="I299">
        <v>40.1</v>
      </c>
      <c r="J299">
        <v>0.81</v>
      </c>
      <c r="K299">
        <v>-0.69894186539618797</v>
      </c>
      <c r="L299" s="6">
        <v>-1.03773255964392E-5</v>
      </c>
    </row>
    <row r="300" spans="1:12" x14ac:dyDescent="0.2">
      <c r="A300" t="s">
        <v>9</v>
      </c>
      <c r="B300">
        <v>1</v>
      </c>
      <c r="C300" t="s">
        <v>6</v>
      </c>
      <c r="D300" s="2">
        <v>43748</v>
      </c>
      <c r="E300" s="3">
        <v>43748.554170000003</v>
      </c>
      <c r="F300" s="3">
        <v>43748.557639999999</v>
      </c>
      <c r="H300">
        <v>19.440000000000001</v>
      </c>
      <c r="K300">
        <v>7.5694815359768297</v>
      </c>
      <c r="L300" s="6">
        <v>-2.6216031303579501E-5</v>
      </c>
    </row>
    <row r="301" spans="1:12" x14ac:dyDescent="0.2">
      <c r="A301" t="s">
        <v>9</v>
      </c>
      <c r="B301">
        <v>2</v>
      </c>
      <c r="C301" t="s">
        <v>4</v>
      </c>
      <c r="D301" s="2">
        <v>43748</v>
      </c>
      <c r="E301" s="3">
        <v>43748.559719999997</v>
      </c>
      <c r="F301" s="3">
        <v>43748.563190000001</v>
      </c>
      <c r="G301">
        <v>15.6</v>
      </c>
      <c r="H301">
        <v>19.440000000000001</v>
      </c>
      <c r="I301">
        <v>45.6</v>
      </c>
      <c r="J301">
        <v>0.74</v>
      </c>
      <c r="K301">
        <v>-6.09081238231912</v>
      </c>
      <c r="L301" s="6">
        <v>-6.7668500734996995E-5</v>
      </c>
    </row>
    <row r="302" spans="1:12" x14ac:dyDescent="0.2">
      <c r="A302" t="s">
        <v>9</v>
      </c>
      <c r="B302">
        <v>2</v>
      </c>
      <c r="C302" t="s">
        <v>6</v>
      </c>
      <c r="D302" s="2">
        <v>43748</v>
      </c>
      <c r="E302" s="3">
        <v>43748.56667</v>
      </c>
      <c r="F302" s="3">
        <v>43748.570140000003</v>
      </c>
      <c r="H302">
        <v>19.440000000000001</v>
      </c>
      <c r="K302">
        <v>9.7822753374297307</v>
      </c>
      <c r="L302" s="6">
        <v>-4.79066984210515E-5</v>
      </c>
    </row>
    <row r="303" spans="1:12" x14ac:dyDescent="0.2">
      <c r="A303" t="s">
        <v>9</v>
      </c>
      <c r="B303">
        <v>3</v>
      </c>
      <c r="C303" t="s">
        <v>4</v>
      </c>
      <c r="D303" s="2">
        <v>43748</v>
      </c>
      <c r="E303" s="3">
        <v>43748.572919999999</v>
      </c>
      <c r="F303" s="3">
        <v>43748.576390000002</v>
      </c>
      <c r="G303">
        <v>16.5</v>
      </c>
      <c r="H303">
        <v>20</v>
      </c>
      <c r="I303">
        <v>46.9</v>
      </c>
      <c r="J303">
        <v>0.76</v>
      </c>
      <c r="K303">
        <v>-4.3060082299258502</v>
      </c>
      <c r="L303">
        <v>-1.7812348610354701E-4</v>
      </c>
    </row>
    <row r="304" spans="1:12" x14ac:dyDescent="0.2">
      <c r="A304" t="s">
        <v>9</v>
      </c>
      <c r="B304">
        <v>3</v>
      </c>
      <c r="C304" t="s">
        <v>6</v>
      </c>
      <c r="D304" s="2">
        <v>43748</v>
      </c>
      <c r="E304" s="3">
        <v>43748.579169999997</v>
      </c>
      <c r="F304" s="3">
        <v>43748.582640000001</v>
      </c>
      <c r="H304">
        <v>20</v>
      </c>
      <c r="K304">
        <v>8.56142815594675</v>
      </c>
      <c r="L304">
        <v>-1.8599169840471101E-4</v>
      </c>
    </row>
    <row r="305" spans="1:12" x14ac:dyDescent="0.2">
      <c r="A305" t="s">
        <v>9</v>
      </c>
      <c r="B305">
        <v>4</v>
      </c>
      <c r="C305" t="s">
        <v>4</v>
      </c>
      <c r="D305" s="2">
        <v>43748</v>
      </c>
      <c r="E305" s="3">
        <v>43748.584719999999</v>
      </c>
      <c r="F305" s="3">
        <v>43748.588190000002</v>
      </c>
      <c r="G305">
        <v>15.4</v>
      </c>
      <c r="H305">
        <v>20</v>
      </c>
      <c r="I305">
        <v>37.200000000000003</v>
      </c>
      <c r="J305">
        <v>0.77</v>
      </c>
      <c r="K305">
        <v>-3.5536971821562502</v>
      </c>
      <c r="L305">
        <v>-1.4867736567160899E-4</v>
      </c>
    </row>
    <row r="306" spans="1:12" x14ac:dyDescent="0.2">
      <c r="A306" t="s">
        <v>9</v>
      </c>
      <c r="B306">
        <v>4</v>
      </c>
      <c r="C306" t="s">
        <v>6</v>
      </c>
      <c r="D306" s="2">
        <v>43748</v>
      </c>
      <c r="E306" s="3">
        <v>43748.590279999997</v>
      </c>
      <c r="F306" s="3">
        <v>43748.59375</v>
      </c>
      <c r="H306">
        <v>20</v>
      </c>
      <c r="K306">
        <v>7.7124407940427604</v>
      </c>
      <c r="L306">
        <v>-1.2592711655103701E-4</v>
      </c>
    </row>
    <row r="307" spans="1:12" x14ac:dyDescent="0.2">
      <c r="A307" t="s">
        <v>9</v>
      </c>
      <c r="B307">
        <v>5</v>
      </c>
      <c r="C307" t="s">
        <v>4</v>
      </c>
      <c r="D307" s="2">
        <v>43748</v>
      </c>
      <c r="E307" s="3">
        <v>43748.596530000003</v>
      </c>
      <c r="F307" s="3">
        <v>43748.6</v>
      </c>
      <c r="G307">
        <v>14.2</v>
      </c>
      <c r="H307">
        <v>20</v>
      </c>
      <c r="I307">
        <v>47</v>
      </c>
      <c r="J307">
        <v>0.78</v>
      </c>
      <c r="K307">
        <v>-4.2280976959855501</v>
      </c>
      <c r="L307" s="6">
        <v>-1.09740082439036E-5</v>
      </c>
    </row>
    <row r="308" spans="1:12" x14ac:dyDescent="0.2">
      <c r="A308" t="s">
        <v>9</v>
      </c>
      <c r="B308">
        <v>5</v>
      </c>
      <c r="C308" t="s">
        <v>6</v>
      </c>
      <c r="D308" s="2">
        <v>43748</v>
      </c>
      <c r="E308" s="3">
        <v>43748.601849999999</v>
      </c>
      <c r="F308" s="3">
        <v>43748.605320000002</v>
      </c>
      <c r="H308">
        <v>20</v>
      </c>
      <c r="K308">
        <v>6.1833277633848498</v>
      </c>
      <c r="L308" s="6">
        <v>-7.8338686575863797E-5</v>
      </c>
    </row>
    <row r="309" spans="1:12" x14ac:dyDescent="0.2">
      <c r="A309" t="s">
        <v>9</v>
      </c>
      <c r="B309">
        <v>1</v>
      </c>
      <c r="C309" t="s">
        <v>4</v>
      </c>
      <c r="D309" s="2">
        <v>43760</v>
      </c>
      <c r="E309" s="3">
        <v>43760.424310000002</v>
      </c>
      <c r="F309" s="3">
        <v>43760.427779999998</v>
      </c>
      <c r="G309">
        <v>14.1</v>
      </c>
      <c r="H309">
        <v>10.56</v>
      </c>
      <c r="I309">
        <v>44</v>
      </c>
      <c r="J309">
        <v>0.8</v>
      </c>
      <c r="K309">
        <v>-0.46270977247100997</v>
      </c>
      <c r="L309">
        <v>-1.17808424737506E-4</v>
      </c>
    </row>
    <row r="310" spans="1:12" x14ac:dyDescent="0.2">
      <c r="A310" t="s">
        <v>9</v>
      </c>
      <c r="B310">
        <v>1</v>
      </c>
      <c r="C310" t="s">
        <v>6</v>
      </c>
      <c r="D310" s="2">
        <v>43760</v>
      </c>
      <c r="E310" s="3">
        <v>43760.430560000001</v>
      </c>
      <c r="F310" s="3">
        <v>43760.434029999997</v>
      </c>
      <c r="H310">
        <v>10.56</v>
      </c>
      <c r="K310">
        <v>4.5138156276968804</v>
      </c>
      <c r="L310">
        <v>-2.9175271410624299E-4</v>
      </c>
    </row>
    <row r="311" spans="1:12" x14ac:dyDescent="0.2">
      <c r="A311" t="s">
        <v>9</v>
      </c>
      <c r="B311">
        <v>2</v>
      </c>
      <c r="C311" t="s">
        <v>4</v>
      </c>
      <c r="D311" s="2">
        <v>43760</v>
      </c>
      <c r="E311" s="3">
        <v>43760.43576</v>
      </c>
      <c r="F311" s="3">
        <v>43760.43924</v>
      </c>
      <c r="G311">
        <v>16.899999999999999</v>
      </c>
      <c r="H311">
        <v>11.11</v>
      </c>
      <c r="I311">
        <v>44.3</v>
      </c>
      <c r="J311">
        <v>0.74</v>
      </c>
      <c r="K311">
        <v>-9.3749444977182002</v>
      </c>
      <c r="L311">
        <v>-2.4454006500774199E-4</v>
      </c>
    </row>
    <row r="312" spans="1:12" x14ac:dyDescent="0.2">
      <c r="A312" t="s">
        <v>9</v>
      </c>
      <c r="B312">
        <v>2</v>
      </c>
      <c r="C312" t="s">
        <v>6</v>
      </c>
      <c r="D312" s="2">
        <v>43760</v>
      </c>
      <c r="E312" s="3">
        <v>43760.442360000001</v>
      </c>
      <c r="F312" s="3">
        <v>43760.445829999997</v>
      </c>
      <c r="H312">
        <v>11.11</v>
      </c>
      <c r="K312">
        <v>5.4830755301884198</v>
      </c>
      <c r="L312">
        <v>-2.0437265507502201E-4</v>
      </c>
    </row>
    <row r="313" spans="1:12" x14ac:dyDescent="0.2">
      <c r="A313" t="s">
        <v>9</v>
      </c>
      <c r="B313">
        <v>3</v>
      </c>
      <c r="C313" t="s">
        <v>4</v>
      </c>
      <c r="D313" s="2">
        <v>43760</v>
      </c>
      <c r="E313" s="3">
        <v>43760.447919999999</v>
      </c>
      <c r="F313" s="3">
        <v>43760.451390000002</v>
      </c>
      <c r="G313">
        <v>15.1</v>
      </c>
      <c r="H313">
        <v>11.11</v>
      </c>
      <c r="I313">
        <v>56.5</v>
      </c>
      <c r="J313">
        <v>0.79</v>
      </c>
      <c r="K313">
        <v>-9.6888349801561606</v>
      </c>
      <c r="L313" s="6">
        <v>-5.6491713807553198E-5</v>
      </c>
    </row>
    <row r="314" spans="1:12" x14ac:dyDescent="0.2">
      <c r="A314" t="s">
        <v>9</v>
      </c>
      <c r="B314">
        <v>3</v>
      </c>
      <c r="C314" t="s">
        <v>6</v>
      </c>
      <c r="D314" s="2">
        <v>43760</v>
      </c>
      <c r="E314" s="3">
        <v>43760.454510000003</v>
      </c>
      <c r="F314" s="3">
        <v>43760.457990000003</v>
      </c>
      <c r="H314">
        <v>11.11</v>
      </c>
      <c r="K314">
        <v>4.5429761697945796</v>
      </c>
      <c r="L314">
        <v>-1.2598996377196901E-4</v>
      </c>
    </row>
    <row r="315" spans="1:12" x14ac:dyDescent="0.2">
      <c r="A315" t="s">
        <v>9</v>
      </c>
      <c r="B315">
        <v>4</v>
      </c>
      <c r="C315" t="s">
        <v>4</v>
      </c>
      <c r="D315" s="2">
        <v>43760</v>
      </c>
      <c r="E315" s="3">
        <v>43760.461109999997</v>
      </c>
      <c r="F315" s="3">
        <v>43760.46458</v>
      </c>
      <c r="G315">
        <v>15.6</v>
      </c>
      <c r="H315">
        <v>11.11</v>
      </c>
      <c r="I315">
        <v>36.4</v>
      </c>
      <c r="J315">
        <v>0.78</v>
      </c>
      <c r="K315">
        <v>-5.6795921194443197</v>
      </c>
      <c r="L315">
        <v>-1.9181875934107099E-4</v>
      </c>
    </row>
    <row r="316" spans="1:12" x14ac:dyDescent="0.2">
      <c r="A316" t="s">
        <v>9</v>
      </c>
      <c r="B316">
        <v>4</v>
      </c>
      <c r="C316" t="s">
        <v>6</v>
      </c>
      <c r="D316" s="2">
        <v>43760</v>
      </c>
      <c r="E316" s="3">
        <v>43760.46701</v>
      </c>
      <c r="F316" s="3">
        <v>43760.47049</v>
      </c>
      <c r="H316">
        <v>11.11</v>
      </c>
      <c r="K316">
        <v>4.4021902922097</v>
      </c>
      <c r="L316">
        <v>-1.7720868895510601E-4</v>
      </c>
    </row>
    <row r="317" spans="1:12" x14ac:dyDescent="0.2">
      <c r="A317" t="s">
        <v>9</v>
      </c>
      <c r="B317">
        <v>5</v>
      </c>
      <c r="C317" t="s">
        <v>6</v>
      </c>
      <c r="D317" s="2">
        <v>43760</v>
      </c>
      <c r="E317" s="3">
        <v>43760.473610000001</v>
      </c>
      <c r="F317" s="3">
        <v>43760.477079999997</v>
      </c>
      <c r="G317">
        <v>15.6</v>
      </c>
      <c r="H317">
        <v>13.89</v>
      </c>
      <c r="I317">
        <v>45.9</v>
      </c>
      <c r="J317">
        <v>0.81</v>
      </c>
      <c r="K317">
        <v>5.0107598507133302</v>
      </c>
      <c r="L317">
        <v>-2.5246588698302902E-4</v>
      </c>
    </row>
    <row r="318" spans="1:12" x14ac:dyDescent="0.2">
      <c r="A318" t="s">
        <v>9</v>
      </c>
      <c r="B318">
        <v>5</v>
      </c>
      <c r="C318" t="s">
        <v>4</v>
      </c>
      <c r="D318" s="2">
        <v>43760</v>
      </c>
      <c r="E318" s="3">
        <v>43760.479169999999</v>
      </c>
      <c r="F318" s="3">
        <v>43760.482640000002</v>
      </c>
      <c r="H318">
        <v>13.89</v>
      </c>
      <c r="K318">
        <v>-3.4651991352741098</v>
      </c>
      <c r="L318">
        <v>-2.2635511713895199E-4</v>
      </c>
    </row>
    <row r="319" spans="1:12" x14ac:dyDescent="0.2">
      <c r="A319" t="s">
        <v>9</v>
      </c>
      <c r="B319">
        <v>1</v>
      </c>
      <c r="C319" t="s">
        <v>4</v>
      </c>
      <c r="D319" s="2">
        <v>43766</v>
      </c>
      <c r="E319" s="3">
        <v>43766.419439999998</v>
      </c>
      <c r="F319" s="3">
        <v>43766.422919999997</v>
      </c>
      <c r="G319">
        <v>18.600000000000001</v>
      </c>
      <c r="H319">
        <v>13.33</v>
      </c>
      <c r="I319">
        <v>45.1</v>
      </c>
      <c r="J319">
        <v>0.8</v>
      </c>
      <c r="K319">
        <v>0.34883464820703203</v>
      </c>
      <c r="L319" s="6">
        <v>-9.7286500498280803E-5</v>
      </c>
    </row>
    <row r="320" spans="1:12" x14ac:dyDescent="0.2">
      <c r="A320" t="s">
        <v>9</v>
      </c>
      <c r="B320">
        <v>1</v>
      </c>
      <c r="C320" t="s">
        <v>6</v>
      </c>
      <c r="D320" s="2">
        <v>43766</v>
      </c>
      <c r="E320" s="3">
        <v>43766.425689999996</v>
      </c>
      <c r="F320" s="3">
        <v>43766.429170000003</v>
      </c>
      <c r="H320">
        <v>13.33</v>
      </c>
      <c r="K320">
        <v>5.0921516443717803</v>
      </c>
      <c r="L320">
        <v>-2.17088811759971E-4</v>
      </c>
    </row>
    <row r="321" spans="1:12" x14ac:dyDescent="0.2">
      <c r="A321" t="s">
        <v>9</v>
      </c>
      <c r="B321">
        <v>2</v>
      </c>
      <c r="C321" t="s">
        <v>4</v>
      </c>
      <c r="D321" s="2">
        <v>43766</v>
      </c>
      <c r="E321" s="3">
        <v>43766.431770000003</v>
      </c>
      <c r="F321" s="3">
        <v>43766.435239999999</v>
      </c>
      <c r="G321">
        <v>20.9</v>
      </c>
      <c r="H321">
        <v>13.89</v>
      </c>
      <c r="I321">
        <v>52.5</v>
      </c>
      <c r="J321">
        <v>0.78</v>
      </c>
      <c r="K321">
        <v>-4.5120040245602002</v>
      </c>
      <c r="L321">
        <v>-1.6911328097741601E-4</v>
      </c>
    </row>
    <row r="322" spans="1:12" x14ac:dyDescent="0.2">
      <c r="A322" t="s">
        <v>9</v>
      </c>
      <c r="B322">
        <v>2</v>
      </c>
      <c r="C322" t="s">
        <v>6</v>
      </c>
      <c r="D322" s="2">
        <v>43766</v>
      </c>
      <c r="E322" s="3">
        <v>43766.438020000001</v>
      </c>
      <c r="F322" s="3">
        <v>43766.441489999997</v>
      </c>
      <c r="H322">
        <v>13.89</v>
      </c>
      <c r="K322">
        <v>4.72183027904269</v>
      </c>
      <c r="L322">
        <v>-1.5730507274075201E-4</v>
      </c>
    </row>
    <row r="323" spans="1:12" x14ac:dyDescent="0.2">
      <c r="A323" t="s">
        <v>9</v>
      </c>
      <c r="B323">
        <v>3</v>
      </c>
      <c r="C323" t="s">
        <v>4</v>
      </c>
      <c r="D323" s="2">
        <v>43766</v>
      </c>
      <c r="E323" s="3">
        <v>43766.443749999999</v>
      </c>
      <c r="F323" s="3">
        <v>43766.447220000002</v>
      </c>
      <c r="G323">
        <v>21.3</v>
      </c>
      <c r="H323">
        <v>13.89</v>
      </c>
      <c r="I323">
        <v>49.4</v>
      </c>
      <c r="J323">
        <v>0.77</v>
      </c>
      <c r="K323">
        <v>-5.1524877658484698</v>
      </c>
      <c r="L323">
        <v>-1.60865870167967E-4</v>
      </c>
    </row>
    <row r="324" spans="1:12" x14ac:dyDescent="0.2">
      <c r="A324" t="s">
        <v>9</v>
      </c>
      <c r="B324">
        <v>3</v>
      </c>
      <c r="C324" t="s">
        <v>6</v>
      </c>
      <c r="D324" s="2">
        <v>43766</v>
      </c>
      <c r="E324" s="3">
        <v>43766.450689999998</v>
      </c>
      <c r="F324" s="3">
        <v>43766.454169999997</v>
      </c>
      <c r="H324">
        <v>13.89</v>
      </c>
      <c r="K324">
        <v>4.6810917993056496</v>
      </c>
      <c r="L324">
        <v>-2.0096088347133201E-4</v>
      </c>
    </row>
    <row r="325" spans="1:12" x14ac:dyDescent="0.2">
      <c r="A325" t="s">
        <v>9</v>
      </c>
      <c r="B325">
        <v>4</v>
      </c>
      <c r="C325" t="s">
        <v>4</v>
      </c>
      <c r="D325" s="2">
        <v>43766</v>
      </c>
      <c r="E325" s="3">
        <v>43766.456939999996</v>
      </c>
      <c r="F325" s="3">
        <v>43766.460420000003</v>
      </c>
      <c r="G325">
        <v>22.9</v>
      </c>
      <c r="H325">
        <v>13.89</v>
      </c>
      <c r="I325">
        <v>48.5</v>
      </c>
      <c r="J325">
        <v>0.79</v>
      </c>
      <c r="K325">
        <v>-8.4143767828713898</v>
      </c>
      <c r="L325">
        <v>-1.26254026804053E-4</v>
      </c>
    </row>
    <row r="326" spans="1:12" x14ac:dyDescent="0.2">
      <c r="A326" t="s">
        <v>9</v>
      </c>
      <c r="B326">
        <v>4</v>
      </c>
      <c r="C326" t="s">
        <v>6</v>
      </c>
      <c r="D326" s="2">
        <v>43766</v>
      </c>
      <c r="E326" s="3">
        <v>43766.463190000002</v>
      </c>
      <c r="F326" s="3">
        <v>43766.466670000002</v>
      </c>
      <c r="H326">
        <v>13.89</v>
      </c>
      <c r="K326">
        <v>5.5593502266773198</v>
      </c>
      <c r="L326">
        <v>-1.8130365322135701E-4</v>
      </c>
    </row>
    <row r="327" spans="1:12" x14ac:dyDescent="0.2">
      <c r="A327" t="s">
        <v>9</v>
      </c>
      <c r="B327">
        <v>5</v>
      </c>
      <c r="C327" t="s">
        <v>4</v>
      </c>
      <c r="D327" s="2">
        <v>43766</v>
      </c>
      <c r="E327" s="3">
        <v>43766.468580000001</v>
      </c>
      <c r="F327" s="3">
        <v>43766.472049999997</v>
      </c>
      <c r="G327">
        <v>20</v>
      </c>
      <c r="H327">
        <v>13.89</v>
      </c>
      <c r="I327">
        <v>48.7</v>
      </c>
      <c r="J327">
        <v>0.81</v>
      </c>
      <c r="K327">
        <v>-7.8157577483700003</v>
      </c>
      <c r="L327">
        <v>-1.06425436751765E-4</v>
      </c>
    </row>
    <row r="328" spans="1:12" x14ac:dyDescent="0.2">
      <c r="A328" t="s">
        <v>9</v>
      </c>
      <c r="B328">
        <v>5</v>
      </c>
      <c r="C328" t="s">
        <v>6</v>
      </c>
      <c r="D328" s="2">
        <v>43766</v>
      </c>
      <c r="E328" s="3">
        <v>43766.474649999996</v>
      </c>
      <c r="F328" s="3">
        <v>43766.478130000003</v>
      </c>
      <c r="H328">
        <v>13.89</v>
      </c>
      <c r="K328">
        <v>5.5626616213808502</v>
      </c>
      <c r="L328">
        <v>-1.1324524826526E-4</v>
      </c>
    </row>
    <row r="329" spans="1:12" x14ac:dyDescent="0.2">
      <c r="A329" t="s">
        <v>9</v>
      </c>
      <c r="B329">
        <v>1</v>
      </c>
      <c r="C329" t="s">
        <v>4</v>
      </c>
      <c r="D329" s="2">
        <v>43766</v>
      </c>
      <c r="E329" s="3">
        <v>43766.532290000003</v>
      </c>
      <c r="F329" s="3">
        <v>43766.535759999999</v>
      </c>
      <c r="G329">
        <v>17.399999999999999</v>
      </c>
      <c r="H329">
        <v>15.56</v>
      </c>
      <c r="I329">
        <v>39.9</v>
      </c>
      <c r="J329">
        <v>0.79</v>
      </c>
      <c r="K329">
        <v>-3.3215950079645502</v>
      </c>
      <c r="L329">
        <v>-1.4002918378649799E-4</v>
      </c>
    </row>
    <row r="330" spans="1:12" x14ac:dyDescent="0.2">
      <c r="A330" t="s">
        <v>9</v>
      </c>
      <c r="B330">
        <v>1</v>
      </c>
      <c r="C330" t="s">
        <v>6</v>
      </c>
      <c r="D330" s="2">
        <v>43766</v>
      </c>
      <c r="E330" s="3">
        <v>43766.538890000003</v>
      </c>
      <c r="F330" s="3">
        <v>43766.542359999999</v>
      </c>
      <c r="H330">
        <v>15.56</v>
      </c>
      <c r="K330">
        <v>5.7579330752937601</v>
      </c>
      <c r="L330">
        <v>-1.20451378642859E-4</v>
      </c>
    </row>
    <row r="331" spans="1:12" x14ac:dyDescent="0.2">
      <c r="A331" t="s">
        <v>9</v>
      </c>
      <c r="B331">
        <v>2</v>
      </c>
      <c r="C331" t="s">
        <v>4</v>
      </c>
      <c r="D331" s="2">
        <v>43766</v>
      </c>
      <c r="E331" s="3">
        <v>43766.545140000002</v>
      </c>
      <c r="F331" s="3">
        <v>43766.548609999998</v>
      </c>
      <c r="G331">
        <v>16.2</v>
      </c>
      <c r="H331">
        <v>15.56</v>
      </c>
      <c r="I331">
        <v>49</v>
      </c>
      <c r="J331">
        <v>0.76</v>
      </c>
      <c r="K331">
        <v>-7.6428118167581403</v>
      </c>
      <c r="L331">
        <v>-1.06995853551293E-4</v>
      </c>
    </row>
    <row r="332" spans="1:12" x14ac:dyDescent="0.2">
      <c r="A332" t="s">
        <v>9</v>
      </c>
      <c r="B332">
        <v>2</v>
      </c>
      <c r="C332" t="s">
        <v>6</v>
      </c>
      <c r="D332" s="2">
        <v>43766</v>
      </c>
      <c r="E332" s="3">
        <v>43766.552080000001</v>
      </c>
      <c r="F332" s="3">
        <v>43766.555560000001</v>
      </c>
      <c r="H332">
        <v>15.56</v>
      </c>
      <c r="K332">
        <v>6.6439831585522899</v>
      </c>
      <c r="L332">
        <v>-1.582008894506E-4</v>
      </c>
    </row>
    <row r="333" spans="1:12" x14ac:dyDescent="0.2">
      <c r="A333" t="s">
        <v>9</v>
      </c>
      <c r="B333">
        <v>3</v>
      </c>
      <c r="C333" t="s">
        <v>4</v>
      </c>
      <c r="D333" s="2">
        <v>43766</v>
      </c>
      <c r="E333" s="3">
        <v>43766.559029999997</v>
      </c>
      <c r="F333" s="3">
        <v>43766.5625</v>
      </c>
      <c r="G333">
        <v>23.4</v>
      </c>
      <c r="H333">
        <v>15.56</v>
      </c>
      <c r="I333">
        <v>57.1</v>
      </c>
      <c r="J333">
        <v>0.76</v>
      </c>
      <c r="K333">
        <v>-4.91803318139136</v>
      </c>
      <c r="L333">
        <v>-1.3908311743570501E-4</v>
      </c>
    </row>
    <row r="334" spans="1:12" x14ac:dyDescent="0.2">
      <c r="A334" t="s">
        <v>9</v>
      </c>
      <c r="B334">
        <v>3</v>
      </c>
      <c r="C334" t="s">
        <v>6</v>
      </c>
      <c r="D334" s="2">
        <v>43766</v>
      </c>
      <c r="E334" s="3">
        <v>43766.56493</v>
      </c>
      <c r="F334" s="3">
        <v>43766.568059999998</v>
      </c>
      <c r="H334">
        <v>15.56</v>
      </c>
      <c r="K334">
        <v>5.2882997785964099</v>
      </c>
      <c r="L334">
        <v>-1.6253092238314399E-4</v>
      </c>
    </row>
    <row r="335" spans="1:12" x14ac:dyDescent="0.2">
      <c r="A335" t="s">
        <v>9</v>
      </c>
      <c r="B335">
        <v>4</v>
      </c>
      <c r="C335" t="s">
        <v>4</v>
      </c>
      <c r="D335" s="2">
        <v>43766</v>
      </c>
      <c r="E335" s="3">
        <v>43766.570140000003</v>
      </c>
      <c r="F335" s="3">
        <v>43766.573609999999</v>
      </c>
      <c r="G335">
        <v>22.7</v>
      </c>
      <c r="H335">
        <v>15.56</v>
      </c>
      <c r="I335">
        <v>49.9</v>
      </c>
      <c r="J335">
        <v>0.77</v>
      </c>
      <c r="K335">
        <v>-9.6950496486279203</v>
      </c>
      <c r="L335" s="6">
        <v>-6.2795279236326998E-5</v>
      </c>
    </row>
    <row r="336" spans="1:12" x14ac:dyDescent="0.2">
      <c r="A336" t="s">
        <v>9</v>
      </c>
      <c r="B336">
        <v>4</v>
      </c>
      <c r="C336" t="s">
        <v>6</v>
      </c>
      <c r="D336" s="2">
        <v>43766</v>
      </c>
      <c r="E336" s="3">
        <v>43766.57604</v>
      </c>
      <c r="F336" s="3">
        <v>43766.579510000003</v>
      </c>
      <c r="H336">
        <v>15.56</v>
      </c>
      <c r="K336">
        <v>4.9941096484717997</v>
      </c>
      <c r="L336" s="6">
        <v>1.11355287294843E-5</v>
      </c>
    </row>
    <row r="337" spans="1:12" x14ac:dyDescent="0.2">
      <c r="A337" t="s">
        <v>9</v>
      </c>
      <c r="B337">
        <v>5</v>
      </c>
      <c r="C337" t="s">
        <v>4</v>
      </c>
      <c r="D337" s="2">
        <v>43766</v>
      </c>
      <c r="E337" s="3">
        <v>43766.581939999996</v>
      </c>
      <c r="F337" s="3">
        <v>43766.585420000003</v>
      </c>
      <c r="G337">
        <v>19.3</v>
      </c>
      <c r="H337">
        <v>16.11</v>
      </c>
      <c r="I337">
        <v>51.4</v>
      </c>
      <c r="J337">
        <v>0.82</v>
      </c>
      <c r="K337">
        <v>-6.4139236689552801</v>
      </c>
      <c r="L337">
        <v>-1.3560280459085601E-4</v>
      </c>
    </row>
    <row r="338" spans="1:12" x14ac:dyDescent="0.2">
      <c r="A338" t="s">
        <v>9</v>
      </c>
      <c r="B338">
        <v>5</v>
      </c>
      <c r="C338" t="s">
        <v>6</v>
      </c>
      <c r="D338" s="2">
        <v>43766</v>
      </c>
      <c r="E338" s="3">
        <v>43766.588539999997</v>
      </c>
      <c r="F338" s="3">
        <v>43766.59201</v>
      </c>
      <c r="H338">
        <v>16.11</v>
      </c>
      <c r="K338">
        <v>6.4708306632514203</v>
      </c>
      <c r="L338">
        <v>-1.8578195856639701E-4</v>
      </c>
    </row>
    <row r="339" spans="1:12" x14ac:dyDescent="0.2">
      <c r="A339" t="s">
        <v>9</v>
      </c>
      <c r="B339">
        <v>1</v>
      </c>
      <c r="C339" t="s">
        <v>4</v>
      </c>
      <c r="D339" s="2">
        <v>43773</v>
      </c>
      <c r="E339" s="3">
        <v>43773.40625</v>
      </c>
      <c r="F339" s="3">
        <v>43773.409720000003</v>
      </c>
      <c r="G339">
        <v>14.9</v>
      </c>
      <c r="H339">
        <v>10</v>
      </c>
      <c r="I339">
        <v>49.7</v>
      </c>
      <c r="J339">
        <v>0.72</v>
      </c>
      <c r="K339">
        <v>-1.9738920795970301</v>
      </c>
      <c r="L339">
        <v>-1.14703771637806E-4</v>
      </c>
    </row>
    <row r="340" spans="1:12" x14ac:dyDescent="0.2">
      <c r="A340" t="s">
        <v>9</v>
      </c>
      <c r="B340">
        <v>1</v>
      </c>
      <c r="C340" t="s">
        <v>6</v>
      </c>
      <c r="D340" s="2">
        <v>43773</v>
      </c>
      <c r="E340" s="3">
        <v>43773.414579999997</v>
      </c>
      <c r="F340" s="3">
        <v>43773.418060000004</v>
      </c>
      <c r="H340">
        <v>10</v>
      </c>
      <c r="K340">
        <v>2.2180477575954201</v>
      </c>
      <c r="L340" s="6">
        <v>-8.2707012373782398E-5</v>
      </c>
    </row>
    <row r="341" spans="1:12" x14ac:dyDescent="0.2">
      <c r="A341" t="s">
        <v>9</v>
      </c>
      <c r="B341">
        <v>2</v>
      </c>
      <c r="C341" t="s">
        <v>4</v>
      </c>
      <c r="D341" s="2">
        <v>43773</v>
      </c>
      <c r="E341" s="3">
        <v>43773.41979</v>
      </c>
      <c r="F341" s="3">
        <v>43773.423260000003</v>
      </c>
      <c r="G341">
        <v>17.100000000000001</v>
      </c>
      <c r="H341">
        <v>10</v>
      </c>
      <c r="I341">
        <v>44</v>
      </c>
      <c r="J341">
        <v>0.7</v>
      </c>
      <c r="K341">
        <v>-7.0775375683323301</v>
      </c>
      <c r="L341" s="6">
        <v>-4.2079512782542002E-5</v>
      </c>
    </row>
    <row r="342" spans="1:12" x14ac:dyDescent="0.2">
      <c r="A342" t="s">
        <v>9</v>
      </c>
      <c r="B342">
        <v>2</v>
      </c>
      <c r="C342" t="s">
        <v>6</v>
      </c>
      <c r="D342" s="2">
        <v>43773</v>
      </c>
      <c r="E342" s="3">
        <v>43773.426039999998</v>
      </c>
      <c r="F342" s="3">
        <v>43773.429510000002</v>
      </c>
      <c r="H342">
        <v>10</v>
      </c>
      <c r="K342">
        <v>2.9516163432708198</v>
      </c>
      <c r="L342" s="6">
        <v>-8.0869414968455798E-5</v>
      </c>
    </row>
    <row r="343" spans="1:12" x14ac:dyDescent="0.2">
      <c r="A343" t="s">
        <v>9</v>
      </c>
      <c r="B343">
        <v>3</v>
      </c>
      <c r="C343" t="s">
        <v>4</v>
      </c>
      <c r="D343" s="2">
        <v>43773</v>
      </c>
      <c r="E343" s="3">
        <v>43773.432990000001</v>
      </c>
      <c r="F343" s="3">
        <v>43773.436459999997</v>
      </c>
      <c r="G343">
        <v>17.2</v>
      </c>
      <c r="H343">
        <v>10</v>
      </c>
      <c r="I343">
        <v>41.9</v>
      </c>
      <c r="J343">
        <v>0.73</v>
      </c>
      <c r="K343">
        <v>-5.3542247775979304</v>
      </c>
      <c r="L343" s="6">
        <v>-8.6583088022417298E-5</v>
      </c>
    </row>
    <row r="344" spans="1:12" x14ac:dyDescent="0.2">
      <c r="A344" t="s">
        <v>9</v>
      </c>
      <c r="B344">
        <v>3</v>
      </c>
      <c r="C344" t="s">
        <v>6</v>
      </c>
      <c r="D344" s="2">
        <v>43773</v>
      </c>
      <c r="E344" s="3">
        <v>43773.438889999998</v>
      </c>
      <c r="F344" s="3">
        <v>43773.442360000001</v>
      </c>
      <c r="H344">
        <v>10</v>
      </c>
      <c r="K344">
        <v>3.0969826837840699</v>
      </c>
      <c r="L344">
        <v>-1.5977142174953001E-4</v>
      </c>
    </row>
    <row r="345" spans="1:12" x14ac:dyDescent="0.2">
      <c r="A345" t="s">
        <v>9</v>
      </c>
      <c r="B345">
        <v>4</v>
      </c>
      <c r="C345" t="s">
        <v>4</v>
      </c>
      <c r="D345" s="2">
        <v>43773</v>
      </c>
      <c r="E345" s="3">
        <v>43773.445829999997</v>
      </c>
      <c r="F345" s="3">
        <v>43773.449310000004</v>
      </c>
      <c r="G345">
        <v>15.2</v>
      </c>
      <c r="H345">
        <v>10</v>
      </c>
      <c r="I345">
        <v>51.4</v>
      </c>
      <c r="J345">
        <v>0.72</v>
      </c>
      <c r="K345">
        <v>-6.6453276718714296</v>
      </c>
      <c r="L345">
        <v>-1.32764930702317E-4</v>
      </c>
    </row>
    <row r="346" spans="1:12" x14ac:dyDescent="0.2">
      <c r="A346" t="s">
        <v>9</v>
      </c>
      <c r="B346">
        <v>4</v>
      </c>
      <c r="C346" t="s">
        <v>6</v>
      </c>
      <c r="D346" s="2">
        <v>43773</v>
      </c>
      <c r="E346" s="3">
        <v>43773.452429999998</v>
      </c>
      <c r="F346" s="3">
        <v>43773.455900000001</v>
      </c>
      <c r="H346">
        <v>10</v>
      </c>
      <c r="K346">
        <v>3.5160780889867902</v>
      </c>
      <c r="L346">
        <v>-1.3876109387126601E-4</v>
      </c>
    </row>
    <row r="347" spans="1:12" x14ac:dyDescent="0.2">
      <c r="A347" t="s">
        <v>9</v>
      </c>
      <c r="B347">
        <v>5</v>
      </c>
      <c r="C347" t="s">
        <v>4</v>
      </c>
      <c r="D347" s="2">
        <v>43773</v>
      </c>
      <c r="E347" s="3">
        <v>43773.457640000001</v>
      </c>
      <c r="F347" s="3">
        <v>43773.461109999997</v>
      </c>
      <c r="G347">
        <v>16.3</v>
      </c>
      <c r="H347">
        <v>10</v>
      </c>
      <c r="I347">
        <v>53.4</v>
      </c>
      <c r="J347">
        <v>0.74</v>
      </c>
      <c r="K347">
        <v>-7.0957163334992002</v>
      </c>
      <c r="L347">
        <v>-1.55853101330475E-4</v>
      </c>
    </row>
    <row r="348" spans="1:12" x14ac:dyDescent="0.2">
      <c r="A348" t="s">
        <v>9</v>
      </c>
      <c r="B348">
        <v>5</v>
      </c>
      <c r="C348" t="s">
        <v>6</v>
      </c>
      <c r="D348" s="2">
        <v>43773</v>
      </c>
      <c r="E348" s="3">
        <v>43773.463889999999</v>
      </c>
      <c r="F348" s="3">
        <v>43773.467360000002</v>
      </c>
      <c r="H348">
        <v>10</v>
      </c>
      <c r="K348">
        <v>3.9853810678618702</v>
      </c>
      <c r="L348">
        <v>-2.2252560717907899E-4</v>
      </c>
    </row>
    <row r="349" spans="1:12" x14ac:dyDescent="0.2">
      <c r="A349" t="s">
        <v>9</v>
      </c>
      <c r="B349">
        <v>1</v>
      </c>
      <c r="C349" t="s">
        <v>4</v>
      </c>
      <c r="D349" s="2">
        <v>43773</v>
      </c>
      <c r="E349" s="3">
        <v>43773.570829999997</v>
      </c>
      <c r="F349" s="3">
        <v>43773.574310000004</v>
      </c>
      <c r="G349">
        <v>15.4</v>
      </c>
      <c r="H349">
        <v>11.11</v>
      </c>
      <c r="I349">
        <v>43.7</v>
      </c>
      <c r="J349">
        <v>0.76</v>
      </c>
      <c r="K349">
        <v>-1.15747984070249</v>
      </c>
      <c r="L349">
        <v>-1.79404476276381E-4</v>
      </c>
    </row>
    <row r="350" spans="1:12" x14ac:dyDescent="0.2">
      <c r="A350" t="s">
        <v>9</v>
      </c>
      <c r="B350">
        <v>1</v>
      </c>
      <c r="C350" t="s">
        <v>6</v>
      </c>
      <c r="D350" s="2">
        <v>43773</v>
      </c>
      <c r="E350" s="3">
        <v>43773.577429999998</v>
      </c>
      <c r="F350" s="3">
        <v>43773.580900000001</v>
      </c>
      <c r="H350">
        <v>11.11</v>
      </c>
      <c r="K350">
        <v>2.3368976154819201</v>
      </c>
      <c r="L350">
        <v>-1.1292139892081799E-4</v>
      </c>
    </row>
    <row r="351" spans="1:12" x14ac:dyDescent="0.2">
      <c r="A351" t="s">
        <v>9</v>
      </c>
      <c r="B351">
        <v>2</v>
      </c>
      <c r="C351" t="s">
        <v>4</v>
      </c>
      <c r="D351" s="2">
        <v>43773</v>
      </c>
      <c r="E351" s="3">
        <v>43773.584029999998</v>
      </c>
      <c r="F351" s="3">
        <v>43773.587500000001</v>
      </c>
      <c r="G351">
        <v>14.7</v>
      </c>
      <c r="H351">
        <v>11.11</v>
      </c>
      <c r="I351">
        <v>47.1</v>
      </c>
      <c r="J351">
        <v>0.73</v>
      </c>
      <c r="K351">
        <v>-3.9845419740036201</v>
      </c>
      <c r="L351">
        <v>-1.7007284306790399E-4</v>
      </c>
    </row>
    <row r="352" spans="1:12" x14ac:dyDescent="0.2">
      <c r="A352" t="s">
        <v>9</v>
      </c>
      <c r="B352">
        <v>2</v>
      </c>
      <c r="C352" t="s">
        <v>6</v>
      </c>
      <c r="D352" s="2">
        <v>43773</v>
      </c>
      <c r="E352" s="3">
        <v>43773.590279999997</v>
      </c>
      <c r="F352" s="3">
        <v>43773.59375</v>
      </c>
      <c r="H352">
        <v>11.11</v>
      </c>
      <c r="K352">
        <v>3.4362490777752899</v>
      </c>
      <c r="L352">
        <v>-1.9315266975518801E-4</v>
      </c>
    </row>
    <row r="353" spans="1:12" x14ac:dyDescent="0.2">
      <c r="A353" t="s">
        <v>9</v>
      </c>
      <c r="B353">
        <v>3</v>
      </c>
      <c r="C353" t="s">
        <v>4</v>
      </c>
      <c r="D353" s="2">
        <v>43773</v>
      </c>
      <c r="E353" s="3">
        <v>43773.59792</v>
      </c>
      <c r="F353" s="3">
        <v>43773.601390000003</v>
      </c>
      <c r="G353">
        <v>17.2</v>
      </c>
      <c r="H353">
        <v>11.11</v>
      </c>
      <c r="I353">
        <v>41.5</v>
      </c>
      <c r="J353">
        <v>0.74</v>
      </c>
      <c r="K353">
        <v>-2.4657978641523099</v>
      </c>
      <c r="L353">
        <v>-1.6445385114132301E-4</v>
      </c>
    </row>
    <row r="354" spans="1:12" x14ac:dyDescent="0.2">
      <c r="A354" t="s">
        <v>9</v>
      </c>
      <c r="B354">
        <v>3</v>
      </c>
      <c r="C354" t="s">
        <v>6</v>
      </c>
      <c r="D354" s="2">
        <v>43773</v>
      </c>
      <c r="E354" s="3">
        <v>43773.604859999999</v>
      </c>
      <c r="F354" s="3">
        <v>43773.608330000003</v>
      </c>
      <c r="H354">
        <v>11.11</v>
      </c>
      <c r="K354">
        <v>3.0277827256492</v>
      </c>
      <c r="L354">
        <v>-1.80059448157186E-4</v>
      </c>
    </row>
    <row r="355" spans="1:12" x14ac:dyDescent="0.2">
      <c r="A355" t="s">
        <v>9</v>
      </c>
      <c r="B355">
        <v>4</v>
      </c>
      <c r="C355" t="s">
        <v>4</v>
      </c>
      <c r="D355" s="2">
        <v>43773</v>
      </c>
      <c r="E355" s="3">
        <v>43773.610419999997</v>
      </c>
      <c r="F355" s="3">
        <v>43773.613890000001</v>
      </c>
      <c r="G355">
        <v>15.4</v>
      </c>
      <c r="H355">
        <v>11.11</v>
      </c>
      <c r="I355">
        <v>49.6</v>
      </c>
      <c r="J355">
        <v>0.73</v>
      </c>
      <c r="K355">
        <v>-3.04621263249788</v>
      </c>
      <c r="L355">
        <v>-1.41487347319512E-4</v>
      </c>
    </row>
    <row r="356" spans="1:12" x14ac:dyDescent="0.2">
      <c r="A356" t="s">
        <v>9</v>
      </c>
      <c r="B356">
        <v>4</v>
      </c>
      <c r="C356" t="s">
        <v>6</v>
      </c>
      <c r="D356" s="2">
        <v>43773</v>
      </c>
      <c r="E356" s="3">
        <v>43773.617359999997</v>
      </c>
      <c r="F356" s="3">
        <v>43773.62083</v>
      </c>
      <c r="H356">
        <v>11.11</v>
      </c>
      <c r="K356">
        <v>2.56190201527924</v>
      </c>
      <c r="L356" s="6">
        <v>-9.0800568196153307E-5</v>
      </c>
    </row>
    <row r="357" spans="1:12" x14ac:dyDescent="0.2">
      <c r="A357" t="s">
        <v>9</v>
      </c>
      <c r="B357">
        <v>5</v>
      </c>
      <c r="C357" t="s">
        <v>4</v>
      </c>
      <c r="D357" s="2">
        <v>43773</v>
      </c>
      <c r="E357" s="3">
        <v>43773.622920000002</v>
      </c>
      <c r="F357" s="3">
        <v>43773.626389999998</v>
      </c>
      <c r="G357">
        <v>14</v>
      </c>
      <c r="H357">
        <v>11.11</v>
      </c>
      <c r="I357">
        <v>48.5</v>
      </c>
      <c r="J357">
        <v>0.75</v>
      </c>
      <c r="K357">
        <v>-2.2586611106271399</v>
      </c>
      <c r="L357">
        <v>-1.85136691738988E-4</v>
      </c>
    </row>
    <row r="358" spans="1:12" x14ac:dyDescent="0.2">
      <c r="A358" t="s">
        <v>9</v>
      </c>
      <c r="B358">
        <v>5</v>
      </c>
      <c r="C358" t="s">
        <v>6</v>
      </c>
      <c r="D358" s="2">
        <v>43773</v>
      </c>
      <c r="E358" s="3">
        <v>43773.633329999997</v>
      </c>
      <c r="F358" s="3">
        <v>43773.636810000004</v>
      </c>
      <c r="H358">
        <v>11.11</v>
      </c>
      <c r="K358">
        <v>2.4864180791436401</v>
      </c>
      <c r="L358">
        <v>-1.5003256191089301E-4</v>
      </c>
    </row>
    <row r="359" spans="1:12" x14ac:dyDescent="0.2">
      <c r="A359" t="s">
        <v>9</v>
      </c>
      <c r="B359">
        <v>1</v>
      </c>
      <c r="C359" t="s">
        <v>4</v>
      </c>
      <c r="D359" s="2">
        <v>43780</v>
      </c>
      <c r="E359" s="3">
        <v>43780.432639999999</v>
      </c>
      <c r="F359" s="3">
        <v>43780.436110000002</v>
      </c>
      <c r="G359">
        <v>18.100000000000001</v>
      </c>
      <c r="H359">
        <v>7.78</v>
      </c>
      <c r="I359">
        <v>36.4</v>
      </c>
      <c r="J359">
        <v>0.65</v>
      </c>
      <c r="K359">
        <v>-2.2582235903177401</v>
      </c>
      <c r="L359" s="6">
        <v>-8.1304805287461801E-5</v>
      </c>
    </row>
    <row r="360" spans="1:12" x14ac:dyDescent="0.2">
      <c r="A360" t="s">
        <v>9</v>
      </c>
      <c r="B360">
        <v>1</v>
      </c>
      <c r="C360" t="s">
        <v>6</v>
      </c>
      <c r="D360" s="2">
        <v>43780</v>
      </c>
      <c r="E360" s="3">
        <v>43780.438889999998</v>
      </c>
      <c r="F360" s="3">
        <v>43780.442360000001</v>
      </c>
      <c r="H360">
        <v>7.78</v>
      </c>
      <c r="K360">
        <v>1.8815068964145101</v>
      </c>
      <c r="L360" s="6">
        <v>3.7388027909610497E-5</v>
      </c>
    </row>
    <row r="361" spans="1:12" x14ac:dyDescent="0.2">
      <c r="A361" t="s">
        <v>9</v>
      </c>
      <c r="B361">
        <v>2</v>
      </c>
      <c r="C361" t="s">
        <v>6</v>
      </c>
      <c r="D361" s="2">
        <v>43780</v>
      </c>
      <c r="E361" s="3">
        <v>43780.446530000001</v>
      </c>
      <c r="F361" s="3">
        <v>43780.45</v>
      </c>
      <c r="G361">
        <v>17.5</v>
      </c>
      <c r="H361">
        <v>7.78</v>
      </c>
      <c r="I361">
        <v>30.3</v>
      </c>
      <c r="J361">
        <v>0.69</v>
      </c>
      <c r="K361">
        <v>2.5000084160541198</v>
      </c>
      <c r="L361">
        <v>-1.4773178684105399E-4</v>
      </c>
    </row>
    <row r="362" spans="1:12" x14ac:dyDescent="0.2">
      <c r="A362" t="s">
        <v>9</v>
      </c>
      <c r="B362">
        <v>2</v>
      </c>
      <c r="C362" t="s">
        <v>4</v>
      </c>
      <c r="D362" s="2">
        <v>43780</v>
      </c>
      <c r="E362" s="3">
        <v>43780.453130000002</v>
      </c>
      <c r="F362" s="3">
        <v>43780.456599999998</v>
      </c>
      <c r="H362">
        <v>7.78</v>
      </c>
      <c r="K362">
        <v>-3.9224339607451899</v>
      </c>
      <c r="L362">
        <v>-1.7737412120416099E-4</v>
      </c>
    </row>
    <row r="363" spans="1:12" x14ac:dyDescent="0.2">
      <c r="A363" t="s">
        <v>9</v>
      </c>
      <c r="B363">
        <v>3</v>
      </c>
      <c r="C363" t="s">
        <v>4</v>
      </c>
      <c r="D363" s="2">
        <v>43780</v>
      </c>
      <c r="E363" s="3">
        <v>43780.459719999999</v>
      </c>
      <c r="F363" s="3">
        <v>43780.463190000002</v>
      </c>
      <c r="G363">
        <v>21</v>
      </c>
      <c r="H363">
        <v>7.78</v>
      </c>
      <c r="I363">
        <v>43.8</v>
      </c>
      <c r="J363">
        <v>0.65</v>
      </c>
      <c r="K363">
        <v>-2.9603206384477199</v>
      </c>
      <c r="L363">
        <v>-2.2390124725933601E-4</v>
      </c>
    </row>
    <row r="364" spans="1:12" x14ac:dyDescent="0.2">
      <c r="A364" t="s">
        <v>9</v>
      </c>
      <c r="B364">
        <v>3</v>
      </c>
      <c r="C364" t="s">
        <v>6</v>
      </c>
      <c r="D364" s="2">
        <v>43780</v>
      </c>
      <c r="E364" s="3">
        <v>43780.466670000002</v>
      </c>
      <c r="F364" s="3">
        <v>43780.470139999998</v>
      </c>
      <c r="H364">
        <v>7.78</v>
      </c>
      <c r="K364">
        <v>2.1583989760734199</v>
      </c>
      <c r="L364">
        <v>-3.1318993307514001E-4</v>
      </c>
    </row>
    <row r="365" spans="1:12" x14ac:dyDescent="0.2">
      <c r="A365" t="s">
        <v>9</v>
      </c>
      <c r="B365">
        <v>4</v>
      </c>
      <c r="C365" t="s">
        <v>4</v>
      </c>
      <c r="D365" s="2">
        <v>43780</v>
      </c>
      <c r="E365" s="3">
        <v>43780.475689999999</v>
      </c>
      <c r="F365" s="3">
        <v>43780.479169999999</v>
      </c>
      <c r="G365">
        <v>15.6</v>
      </c>
      <c r="H365">
        <v>7.22</v>
      </c>
      <c r="I365">
        <v>39.799999999999997</v>
      </c>
      <c r="J365">
        <v>0.67</v>
      </c>
      <c r="K365">
        <v>-5.5457710526220696</v>
      </c>
      <c r="L365">
        <v>-1.4447364185326099E-4</v>
      </c>
    </row>
    <row r="366" spans="1:12" x14ac:dyDescent="0.2">
      <c r="A366" t="s">
        <v>9</v>
      </c>
      <c r="B366">
        <v>4</v>
      </c>
      <c r="C366" t="s">
        <v>6</v>
      </c>
      <c r="D366" s="2">
        <v>43780</v>
      </c>
      <c r="E366" s="3">
        <v>43780.481249999997</v>
      </c>
      <c r="F366" s="3">
        <v>43780.48472</v>
      </c>
      <c r="H366">
        <v>7.22</v>
      </c>
      <c r="K366">
        <v>2.7213231975604102</v>
      </c>
      <c r="L366">
        <v>-2.3403854504019299E-4</v>
      </c>
    </row>
    <row r="367" spans="1:12" x14ac:dyDescent="0.2">
      <c r="A367" t="s">
        <v>9</v>
      </c>
      <c r="B367">
        <v>5</v>
      </c>
      <c r="C367" t="s">
        <v>4</v>
      </c>
      <c r="D367" s="2">
        <v>43780</v>
      </c>
      <c r="E367" s="3">
        <v>43780.486810000002</v>
      </c>
      <c r="F367" s="3">
        <v>43780.490279999998</v>
      </c>
      <c r="G367">
        <v>16.2</v>
      </c>
      <c r="H367">
        <v>6.66</v>
      </c>
      <c r="I367">
        <v>37.799999999999997</v>
      </c>
      <c r="J367">
        <v>0.65</v>
      </c>
      <c r="K367">
        <v>-4.3228725479134704</v>
      </c>
      <c r="L367">
        <v>-1.46714696067148E-4</v>
      </c>
    </row>
    <row r="368" spans="1:12" x14ac:dyDescent="0.2">
      <c r="A368" t="s">
        <v>9</v>
      </c>
      <c r="B368">
        <v>5</v>
      </c>
      <c r="C368" t="s">
        <v>6</v>
      </c>
      <c r="D368" s="2">
        <v>43780</v>
      </c>
      <c r="E368" s="3">
        <v>43780.492359999997</v>
      </c>
      <c r="F368" s="3">
        <v>43780.49583</v>
      </c>
      <c r="H368">
        <v>6.66</v>
      </c>
      <c r="K368">
        <v>1.6696017997633501</v>
      </c>
      <c r="L368">
        <v>-1.6215714485182E-4</v>
      </c>
    </row>
    <row r="369" spans="1:12" x14ac:dyDescent="0.2">
      <c r="A369" t="s">
        <v>9</v>
      </c>
      <c r="B369">
        <v>1</v>
      </c>
      <c r="C369" t="s">
        <v>4</v>
      </c>
      <c r="D369" s="2">
        <v>43780</v>
      </c>
      <c r="E369" s="3">
        <v>43780.543060000004</v>
      </c>
      <c r="F369" s="3">
        <v>43780.54653</v>
      </c>
      <c r="G369">
        <v>15.6</v>
      </c>
      <c r="H369">
        <v>6.11</v>
      </c>
      <c r="I369">
        <v>40.6</v>
      </c>
      <c r="J369">
        <v>0.64</v>
      </c>
      <c r="K369">
        <v>-1.88268478103282</v>
      </c>
      <c r="L369">
        <v>-1.6807813613519001E-4</v>
      </c>
    </row>
    <row r="370" spans="1:12" x14ac:dyDescent="0.2">
      <c r="A370" t="s">
        <v>9</v>
      </c>
      <c r="B370">
        <v>1</v>
      </c>
      <c r="C370" t="s">
        <v>6</v>
      </c>
      <c r="D370" s="2">
        <v>43780</v>
      </c>
      <c r="E370" s="3">
        <v>43780.549310000002</v>
      </c>
      <c r="F370" s="3">
        <v>43780.552779999998</v>
      </c>
      <c r="H370">
        <v>6.11</v>
      </c>
      <c r="K370">
        <v>1.95264023773835</v>
      </c>
      <c r="L370">
        <v>-1.8154133683377199E-4</v>
      </c>
    </row>
    <row r="371" spans="1:12" x14ac:dyDescent="0.2">
      <c r="A371" t="s">
        <v>9</v>
      </c>
      <c r="B371">
        <v>2</v>
      </c>
      <c r="C371" t="s">
        <v>4</v>
      </c>
      <c r="D371" s="2">
        <v>43780</v>
      </c>
      <c r="E371" s="3">
        <v>43780.555560000001</v>
      </c>
      <c r="F371" s="3">
        <v>43780.559029999997</v>
      </c>
      <c r="G371">
        <v>15.6</v>
      </c>
      <c r="H371">
        <v>6.66</v>
      </c>
      <c r="I371">
        <v>44.7</v>
      </c>
      <c r="J371">
        <v>0.63</v>
      </c>
      <c r="K371">
        <v>-5.5549548007595702</v>
      </c>
      <c r="L371">
        <v>-1.40508191459269E-4</v>
      </c>
    </row>
    <row r="372" spans="1:12" x14ac:dyDescent="0.2">
      <c r="A372" t="s">
        <v>9</v>
      </c>
      <c r="B372">
        <v>2</v>
      </c>
      <c r="C372" t="s">
        <v>6</v>
      </c>
      <c r="D372" s="2">
        <v>43780</v>
      </c>
      <c r="E372" s="3">
        <v>43780.561110000002</v>
      </c>
      <c r="F372" s="3">
        <v>43780.564579999998</v>
      </c>
      <c r="H372">
        <v>6.66</v>
      </c>
      <c r="K372">
        <v>2.2128469066290002</v>
      </c>
      <c r="L372" s="6">
        <v>-8.0608686259460403E-5</v>
      </c>
    </row>
    <row r="373" spans="1:12" x14ac:dyDescent="0.2">
      <c r="A373" t="s">
        <v>9</v>
      </c>
      <c r="B373">
        <v>3</v>
      </c>
      <c r="C373" t="s">
        <v>4</v>
      </c>
      <c r="D373" s="2">
        <v>43780</v>
      </c>
      <c r="E373" s="3">
        <v>43780.569439999999</v>
      </c>
      <c r="F373" s="3">
        <v>43780.572919999999</v>
      </c>
      <c r="G373">
        <v>19.100000000000001</v>
      </c>
      <c r="H373">
        <v>5.55</v>
      </c>
      <c r="I373">
        <v>42.9</v>
      </c>
      <c r="J373">
        <v>0.66</v>
      </c>
      <c r="K373">
        <v>-2.63858973200088</v>
      </c>
      <c r="L373">
        <v>-2.4340269057612101E-4</v>
      </c>
    </row>
    <row r="374" spans="1:12" x14ac:dyDescent="0.2">
      <c r="A374" t="s">
        <v>9</v>
      </c>
      <c r="B374">
        <v>3</v>
      </c>
      <c r="C374" t="s">
        <v>6</v>
      </c>
      <c r="D374" s="2">
        <v>43780</v>
      </c>
      <c r="E374" s="3">
        <v>43780.575689999998</v>
      </c>
      <c r="F374" s="3">
        <v>43780.579169999997</v>
      </c>
      <c r="H374">
        <v>5.55</v>
      </c>
      <c r="K374">
        <v>2.6381677573192999</v>
      </c>
      <c r="L374">
        <v>-2.6709847477276099E-4</v>
      </c>
    </row>
    <row r="375" spans="1:12" x14ac:dyDescent="0.2">
      <c r="A375" t="s">
        <v>9</v>
      </c>
      <c r="B375">
        <v>4</v>
      </c>
      <c r="C375" t="s">
        <v>4</v>
      </c>
      <c r="D375" s="2">
        <v>43780</v>
      </c>
      <c r="E375" s="3">
        <v>43780.581599999998</v>
      </c>
      <c r="F375" s="3">
        <v>43780.585070000001</v>
      </c>
      <c r="G375">
        <v>16.399999999999999</v>
      </c>
      <c r="H375">
        <v>5</v>
      </c>
      <c r="I375">
        <v>42.3</v>
      </c>
      <c r="J375">
        <v>0.66</v>
      </c>
      <c r="K375">
        <v>-4.4259217877281198</v>
      </c>
      <c r="L375">
        <v>-2.0381193845787099E-4</v>
      </c>
    </row>
    <row r="376" spans="1:12" x14ac:dyDescent="0.2">
      <c r="A376" t="s">
        <v>9</v>
      </c>
      <c r="B376">
        <v>4</v>
      </c>
      <c r="C376" t="s">
        <v>6</v>
      </c>
      <c r="D376" s="2">
        <v>43780</v>
      </c>
      <c r="E376" s="3">
        <v>43780.588889999999</v>
      </c>
      <c r="F376" s="3">
        <v>43780.592360000002</v>
      </c>
      <c r="H376">
        <v>5</v>
      </c>
      <c r="K376">
        <v>2.14191276243234</v>
      </c>
      <c r="L376">
        <v>-2.1148588348007501E-4</v>
      </c>
    </row>
    <row r="377" spans="1:12" x14ac:dyDescent="0.2">
      <c r="A377" t="s">
        <v>9</v>
      </c>
      <c r="B377">
        <v>5</v>
      </c>
      <c r="C377" t="s">
        <v>4</v>
      </c>
      <c r="D377" s="2">
        <v>43780</v>
      </c>
      <c r="E377" s="3">
        <v>43780.595139999998</v>
      </c>
      <c r="F377" s="3">
        <v>43780.598610000001</v>
      </c>
      <c r="G377">
        <v>18.100000000000001</v>
      </c>
      <c r="H377">
        <v>5</v>
      </c>
      <c r="I377">
        <v>47</v>
      </c>
      <c r="J377">
        <v>0.64</v>
      </c>
      <c r="K377">
        <v>-3.0924196633075201</v>
      </c>
      <c r="L377">
        <v>-1.3493471356965599E-4</v>
      </c>
    </row>
    <row r="378" spans="1:12" x14ac:dyDescent="0.2">
      <c r="A378" t="s">
        <v>9</v>
      </c>
      <c r="B378">
        <v>5</v>
      </c>
      <c r="C378" t="s">
        <v>6</v>
      </c>
      <c r="D378" s="2">
        <v>43780</v>
      </c>
      <c r="E378" s="3">
        <v>43780.600689999999</v>
      </c>
      <c r="F378" s="3">
        <v>43780.604169999999</v>
      </c>
      <c r="H378">
        <v>5</v>
      </c>
      <c r="K378">
        <v>1.5102057796345301</v>
      </c>
      <c r="L378">
        <v>-1.54866522155821E-4</v>
      </c>
    </row>
    <row r="379" spans="1:12" x14ac:dyDescent="0.2">
      <c r="A379" t="s">
        <v>9</v>
      </c>
    </row>
    <row r="380" spans="1:12" x14ac:dyDescent="0.2">
      <c r="A380" t="s">
        <v>9</v>
      </c>
    </row>
    <row r="381" spans="1:12" x14ac:dyDescent="0.2">
      <c r="A381" t="s">
        <v>9</v>
      </c>
    </row>
    <row r="382" spans="1:12" x14ac:dyDescent="0.2">
      <c r="A382" t="s">
        <v>9</v>
      </c>
    </row>
    <row r="383" spans="1:12" x14ac:dyDescent="0.2">
      <c r="A383" t="s">
        <v>9</v>
      </c>
    </row>
    <row r="384" spans="1:12" x14ac:dyDescent="0.2">
      <c r="A384" t="s">
        <v>9</v>
      </c>
    </row>
    <row r="385" spans="1:1" x14ac:dyDescent="0.2">
      <c r="A385" t="s">
        <v>9</v>
      </c>
    </row>
    <row r="386" spans="1:1" x14ac:dyDescent="0.2">
      <c r="A386" t="s">
        <v>9</v>
      </c>
    </row>
    <row r="387" spans="1:1" x14ac:dyDescent="0.2">
      <c r="A387" t="s">
        <v>9</v>
      </c>
    </row>
    <row r="388" spans="1:1" x14ac:dyDescent="0.2">
      <c r="A388" t="s">
        <v>9</v>
      </c>
    </row>
    <row r="389" spans="1:1" x14ac:dyDescent="0.2">
      <c r="A389" t="s">
        <v>9</v>
      </c>
    </row>
    <row r="390" spans="1:1" x14ac:dyDescent="0.2">
      <c r="A390" t="s">
        <v>9</v>
      </c>
    </row>
    <row r="391" spans="1:1" x14ac:dyDescent="0.2">
      <c r="A391" t="s">
        <v>9</v>
      </c>
    </row>
    <row r="392" spans="1:1" x14ac:dyDescent="0.2">
      <c r="A392" t="s">
        <v>9</v>
      </c>
    </row>
    <row r="393" spans="1:1" x14ac:dyDescent="0.2">
      <c r="A393" t="s">
        <v>9</v>
      </c>
    </row>
    <row r="394" spans="1:1" x14ac:dyDescent="0.2">
      <c r="A394" t="s">
        <v>9</v>
      </c>
    </row>
    <row r="395" spans="1:1" x14ac:dyDescent="0.2">
      <c r="A395" t="s">
        <v>9</v>
      </c>
    </row>
    <row r="396" spans="1:1" x14ac:dyDescent="0.2">
      <c r="A396" t="s">
        <v>9</v>
      </c>
    </row>
    <row r="397" spans="1:1" x14ac:dyDescent="0.2">
      <c r="A397" t="s">
        <v>9</v>
      </c>
    </row>
    <row r="398" spans="1:1" x14ac:dyDescent="0.2">
      <c r="A398" t="s">
        <v>9</v>
      </c>
    </row>
    <row r="399" spans="1:1" x14ac:dyDescent="0.2">
      <c r="A399" t="s">
        <v>9</v>
      </c>
    </row>
    <row r="400" spans="1:1" x14ac:dyDescent="0.2">
      <c r="A400" t="s">
        <v>9</v>
      </c>
    </row>
    <row r="401" spans="1:1" x14ac:dyDescent="0.2">
      <c r="A401" t="s">
        <v>9</v>
      </c>
    </row>
    <row r="402" spans="1:1" x14ac:dyDescent="0.2">
      <c r="A402" t="s">
        <v>9</v>
      </c>
    </row>
    <row r="403" spans="1:1" x14ac:dyDescent="0.2">
      <c r="A403" t="s">
        <v>9</v>
      </c>
    </row>
    <row r="404" spans="1:1" x14ac:dyDescent="0.2">
      <c r="A404" t="s">
        <v>9</v>
      </c>
    </row>
    <row r="405" spans="1:1" x14ac:dyDescent="0.2">
      <c r="A405" t="s">
        <v>9</v>
      </c>
    </row>
    <row r="406" spans="1:1" x14ac:dyDescent="0.2">
      <c r="A406" t="s">
        <v>9</v>
      </c>
    </row>
    <row r="407" spans="1:1" x14ac:dyDescent="0.2">
      <c r="A407" t="s">
        <v>9</v>
      </c>
    </row>
    <row r="408" spans="1:1" x14ac:dyDescent="0.2">
      <c r="A408" t="s">
        <v>9</v>
      </c>
    </row>
    <row r="409" spans="1:1" x14ac:dyDescent="0.2">
      <c r="A409" t="s">
        <v>9</v>
      </c>
    </row>
    <row r="410" spans="1:1" x14ac:dyDescent="0.2">
      <c r="A410" t="s">
        <v>9</v>
      </c>
    </row>
    <row r="411" spans="1:1" x14ac:dyDescent="0.2">
      <c r="A411" t="s">
        <v>9</v>
      </c>
    </row>
    <row r="412" spans="1:1" x14ac:dyDescent="0.2">
      <c r="A412" t="s">
        <v>9</v>
      </c>
    </row>
    <row r="413" spans="1:1" x14ac:dyDescent="0.2">
      <c r="A413" t="s">
        <v>9</v>
      </c>
    </row>
    <row r="414" spans="1:1" x14ac:dyDescent="0.2">
      <c r="A414" t="s">
        <v>9</v>
      </c>
    </row>
    <row r="415" spans="1:1" x14ac:dyDescent="0.2">
      <c r="A415" t="s">
        <v>9</v>
      </c>
    </row>
    <row r="416" spans="1:1" x14ac:dyDescent="0.2">
      <c r="A416" t="s">
        <v>9</v>
      </c>
    </row>
    <row r="417" spans="1:1" x14ac:dyDescent="0.2">
      <c r="A417" t="s">
        <v>9</v>
      </c>
    </row>
    <row r="418" spans="1:1" x14ac:dyDescent="0.2">
      <c r="A418" t="s">
        <v>9</v>
      </c>
    </row>
    <row r="419" spans="1:1" x14ac:dyDescent="0.2">
      <c r="A419" t="s">
        <v>9</v>
      </c>
    </row>
    <row r="420" spans="1:1" x14ac:dyDescent="0.2">
      <c r="A420" t="s">
        <v>9</v>
      </c>
    </row>
    <row r="421" spans="1:1" x14ac:dyDescent="0.2">
      <c r="A421" t="s">
        <v>9</v>
      </c>
    </row>
    <row r="422" spans="1:1" x14ac:dyDescent="0.2">
      <c r="A422" t="s">
        <v>9</v>
      </c>
    </row>
    <row r="423" spans="1:1" x14ac:dyDescent="0.2">
      <c r="A423" t="s">
        <v>9</v>
      </c>
    </row>
    <row r="424" spans="1:1" x14ac:dyDescent="0.2">
      <c r="A424" t="s">
        <v>9</v>
      </c>
    </row>
    <row r="425" spans="1:1" x14ac:dyDescent="0.2">
      <c r="A425" t="s">
        <v>9</v>
      </c>
    </row>
    <row r="426" spans="1:1" x14ac:dyDescent="0.2">
      <c r="A426" t="s">
        <v>9</v>
      </c>
    </row>
    <row r="427" spans="1:1" x14ac:dyDescent="0.2">
      <c r="A427" t="s">
        <v>9</v>
      </c>
    </row>
    <row r="428" spans="1:1" x14ac:dyDescent="0.2">
      <c r="A428" t="s">
        <v>9</v>
      </c>
    </row>
    <row r="429" spans="1:1" x14ac:dyDescent="0.2">
      <c r="A429" t="s">
        <v>9</v>
      </c>
    </row>
    <row r="430" spans="1:1" x14ac:dyDescent="0.2">
      <c r="A430" t="s">
        <v>9</v>
      </c>
    </row>
    <row r="431" spans="1:1" x14ac:dyDescent="0.2">
      <c r="A431" t="s">
        <v>9</v>
      </c>
    </row>
    <row r="432" spans="1:1" x14ac:dyDescent="0.2">
      <c r="A432" t="s">
        <v>9</v>
      </c>
    </row>
    <row r="433" spans="1:1" x14ac:dyDescent="0.2">
      <c r="A433" t="s">
        <v>9</v>
      </c>
    </row>
    <row r="434" spans="1:1" x14ac:dyDescent="0.2">
      <c r="A434" t="s">
        <v>9</v>
      </c>
    </row>
    <row r="435" spans="1:1" x14ac:dyDescent="0.2">
      <c r="A435" t="s">
        <v>9</v>
      </c>
    </row>
    <row r="436" spans="1:1" x14ac:dyDescent="0.2">
      <c r="A436" t="s">
        <v>9</v>
      </c>
    </row>
    <row r="437" spans="1:1" x14ac:dyDescent="0.2">
      <c r="A437" t="s">
        <v>9</v>
      </c>
    </row>
    <row r="438" spans="1:1" x14ac:dyDescent="0.2">
      <c r="A438" t="s">
        <v>9</v>
      </c>
    </row>
    <row r="439" spans="1:1" x14ac:dyDescent="0.2">
      <c r="A439" t="s">
        <v>9</v>
      </c>
    </row>
    <row r="440" spans="1:1" x14ac:dyDescent="0.2">
      <c r="A440" t="s">
        <v>9</v>
      </c>
    </row>
    <row r="441" spans="1:1" x14ac:dyDescent="0.2">
      <c r="A441" t="s">
        <v>9</v>
      </c>
    </row>
    <row r="442" spans="1:1" x14ac:dyDescent="0.2">
      <c r="A442" t="s">
        <v>9</v>
      </c>
    </row>
    <row r="443" spans="1:1" x14ac:dyDescent="0.2">
      <c r="A443" t="s">
        <v>9</v>
      </c>
    </row>
    <row r="444" spans="1:1" x14ac:dyDescent="0.2">
      <c r="A444" t="s">
        <v>9</v>
      </c>
    </row>
    <row r="445" spans="1:1" x14ac:dyDescent="0.2">
      <c r="A445" t="s">
        <v>9</v>
      </c>
    </row>
    <row r="446" spans="1:1" x14ac:dyDescent="0.2">
      <c r="A446" t="s">
        <v>9</v>
      </c>
    </row>
    <row r="447" spans="1:1" x14ac:dyDescent="0.2">
      <c r="A447" t="s">
        <v>9</v>
      </c>
    </row>
    <row r="448" spans="1:1" x14ac:dyDescent="0.2">
      <c r="A448" t="s">
        <v>9</v>
      </c>
    </row>
    <row r="449" spans="1:1" x14ac:dyDescent="0.2">
      <c r="A449" t="s">
        <v>9</v>
      </c>
    </row>
    <row r="450" spans="1:1" x14ac:dyDescent="0.2">
      <c r="A450" t="s">
        <v>9</v>
      </c>
    </row>
    <row r="451" spans="1:1" x14ac:dyDescent="0.2">
      <c r="A451" t="s">
        <v>9</v>
      </c>
    </row>
    <row r="452" spans="1:1" x14ac:dyDescent="0.2">
      <c r="A452" t="s">
        <v>9</v>
      </c>
    </row>
    <row r="453" spans="1:1" x14ac:dyDescent="0.2">
      <c r="A453" t="s">
        <v>9</v>
      </c>
    </row>
    <row r="454" spans="1:1" x14ac:dyDescent="0.2">
      <c r="A454" t="s">
        <v>9</v>
      </c>
    </row>
    <row r="455" spans="1:1" x14ac:dyDescent="0.2">
      <c r="A455" t="s">
        <v>9</v>
      </c>
    </row>
    <row r="456" spans="1:1" x14ac:dyDescent="0.2">
      <c r="A456" t="s">
        <v>9</v>
      </c>
    </row>
    <row r="457" spans="1:1" x14ac:dyDescent="0.2">
      <c r="A457" t="s">
        <v>9</v>
      </c>
    </row>
    <row r="458" spans="1:1" x14ac:dyDescent="0.2">
      <c r="A458" t="s">
        <v>9</v>
      </c>
    </row>
    <row r="459" spans="1:1" x14ac:dyDescent="0.2">
      <c r="A459" t="s">
        <v>9</v>
      </c>
    </row>
    <row r="460" spans="1:1" x14ac:dyDescent="0.2">
      <c r="A460" t="s">
        <v>9</v>
      </c>
    </row>
    <row r="461" spans="1:1" x14ac:dyDescent="0.2">
      <c r="A461" t="s">
        <v>9</v>
      </c>
    </row>
    <row r="462" spans="1:1" x14ac:dyDescent="0.2">
      <c r="A462" t="s">
        <v>9</v>
      </c>
    </row>
    <row r="463" spans="1:1" x14ac:dyDescent="0.2">
      <c r="A463" t="s">
        <v>9</v>
      </c>
    </row>
    <row r="464" spans="1:1" x14ac:dyDescent="0.2">
      <c r="A464" t="s">
        <v>9</v>
      </c>
    </row>
    <row r="465" spans="1:1" x14ac:dyDescent="0.2">
      <c r="A465" t="s">
        <v>9</v>
      </c>
    </row>
    <row r="466" spans="1:1" x14ac:dyDescent="0.2">
      <c r="A466" t="s">
        <v>9</v>
      </c>
    </row>
    <row r="467" spans="1:1" x14ac:dyDescent="0.2">
      <c r="A467" t="s">
        <v>9</v>
      </c>
    </row>
    <row r="468" spans="1:1" x14ac:dyDescent="0.2">
      <c r="A468" t="s">
        <v>9</v>
      </c>
    </row>
    <row r="469" spans="1:1" x14ac:dyDescent="0.2">
      <c r="A469" t="s">
        <v>9</v>
      </c>
    </row>
    <row r="470" spans="1:1" x14ac:dyDescent="0.2">
      <c r="A470" t="s">
        <v>9</v>
      </c>
    </row>
    <row r="471" spans="1:1" x14ac:dyDescent="0.2">
      <c r="A471" t="s">
        <v>9</v>
      </c>
    </row>
    <row r="472" spans="1:1" x14ac:dyDescent="0.2">
      <c r="A472" t="s">
        <v>9</v>
      </c>
    </row>
    <row r="473" spans="1:1" x14ac:dyDescent="0.2">
      <c r="A473" t="s">
        <v>9</v>
      </c>
    </row>
    <row r="474" spans="1:1" x14ac:dyDescent="0.2">
      <c r="A474" t="s">
        <v>9</v>
      </c>
    </row>
    <row r="475" spans="1:1" x14ac:dyDescent="0.2">
      <c r="A475" t="s">
        <v>9</v>
      </c>
    </row>
    <row r="476" spans="1:1" x14ac:dyDescent="0.2">
      <c r="A476" t="s">
        <v>9</v>
      </c>
    </row>
    <row r="477" spans="1:1" x14ac:dyDescent="0.2">
      <c r="A477" t="s">
        <v>9</v>
      </c>
    </row>
    <row r="478" spans="1:1" x14ac:dyDescent="0.2">
      <c r="A478" t="s">
        <v>9</v>
      </c>
    </row>
    <row r="479" spans="1:1" x14ac:dyDescent="0.2">
      <c r="A479" t="s">
        <v>9</v>
      </c>
    </row>
    <row r="480" spans="1:1" x14ac:dyDescent="0.2">
      <c r="A480" t="s">
        <v>9</v>
      </c>
    </row>
    <row r="481" spans="1:1" x14ac:dyDescent="0.2">
      <c r="A481" t="s">
        <v>9</v>
      </c>
    </row>
    <row r="482" spans="1:1" x14ac:dyDescent="0.2">
      <c r="A482" t="s">
        <v>9</v>
      </c>
    </row>
    <row r="483" spans="1:1" x14ac:dyDescent="0.2">
      <c r="A483" t="s">
        <v>9</v>
      </c>
    </row>
    <row r="484" spans="1:1" x14ac:dyDescent="0.2">
      <c r="A484" t="s">
        <v>9</v>
      </c>
    </row>
    <row r="485" spans="1:1" x14ac:dyDescent="0.2">
      <c r="A485" t="s">
        <v>9</v>
      </c>
    </row>
    <row r="486" spans="1:1" x14ac:dyDescent="0.2">
      <c r="A486" t="s">
        <v>9</v>
      </c>
    </row>
    <row r="487" spans="1:1" x14ac:dyDescent="0.2">
      <c r="A487" t="s">
        <v>9</v>
      </c>
    </row>
    <row r="488" spans="1:1" x14ac:dyDescent="0.2">
      <c r="A488" t="s">
        <v>9</v>
      </c>
    </row>
    <row r="489" spans="1:1" x14ac:dyDescent="0.2">
      <c r="A489" t="s">
        <v>9</v>
      </c>
    </row>
    <row r="490" spans="1:1" x14ac:dyDescent="0.2">
      <c r="A490" t="s">
        <v>9</v>
      </c>
    </row>
    <row r="491" spans="1:1" x14ac:dyDescent="0.2">
      <c r="A491" t="s">
        <v>9</v>
      </c>
    </row>
    <row r="492" spans="1:1" x14ac:dyDescent="0.2">
      <c r="A492" t="s">
        <v>9</v>
      </c>
    </row>
    <row r="493" spans="1:1" x14ac:dyDescent="0.2">
      <c r="A493" t="s">
        <v>9</v>
      </c>
    </row>
    <row r="494" spans="1:1" x14ac:dyDescent="0.2">
      <c r="A494" t="s">
        <v>9</v>
      </c>
    </row>
    <row r="495" spans="1:1" x14ac:dyDescent="0.2">
      <c r="A495" t="s">
        <v>9</v>
      </c>
    </row>
    <row r="496" spans="1:1" x14ac:dyDescent="0.2">
      <c r="A496" t="s">
        <v>9</v>
      </c>
    </row>
    <row r="497" spans="1:1" x14ac:dyDescent="0.2">
      <c r="A497" t="s">
        <v>9</v>
      </c>
    </row>
    <row r="498" spans="1:1" x14ac:dyDescent="0.2">
      <c r="A498" t="s">
        <v>9</v>
      </c>
    </row>
    <row r="499" spans="1:1" x14ac:dyDescent="0.2">
      <c r="A499" t="s">
        <v>9</v>
      </c>
    </row>
    <row r="500" spans="1:1" x14ac:dyDescent="0.2">
      <c r="A500" t="s">
        <v>9</v>
      </c>
    </row>
    <row r="501" spans="1:1" x14ac:dyDescent="0.2">
      <c r="A501" t="s">
        <v>9</v>
      </c>
    </row>
    <row r="502" spans="1:1" x14ac:dyDescent="0.2">
      <c r="A502" t="s">
        <v>9</v>
      </c>
    </row>
    <row r="503" spans="1:1" x14ac:dyDescent="0.2">
      <c r="A503" t="s">
        <v>9</v>
      </c>
    </row>
    <row r="504" spans="1:1" x14ac:dyDescent="0.2">
      <c r="A504" t="s">
        <v>9</v>
      </c>
    </row>
    <row r="505" spans="1:1" x14ac:dyDescent="0.2">
      <c r="A505" t="s">
        <v>9</v>
      </c>
    </row>
    <row r="506" spans="1:1" x14ac:dyDescent="0.2">
      <c r="A506" t="s">
        <v>9</v>
      </c>
    </row>
    <row r="507" spans="1:1" x14ac:dyDescent="0.2">
      <c r="A507" t="s">
        <v>9</v>
      </c>
    </row>
    <row r="508" spans="1:1" x14ac:dyDescent="0.2">
      <c r="A508" t="s">
        <v>9</v>
      </c>
    </row>
    <row r="509" spans="1:1" x14ac:dyDescent="0.2">
      <c r="A509" t="s">
        <v>9</v>
      </c>
    </row>
    <row r="510" spans="1:1" x14ac:dyDescent="0.2">
      <c r="A510" t="s">
        <v>9</v>
      </c>
    </row>
    <row r="511" spans="1:1" x14ac:dyDescent="0.2">
      <c r="A511" t="s">
        <v>9</v>
      </c>
    </row>
    <row r="512" spans="1:1" x14ac:dyDescent="0.2">
      <c r="A512" t="s">
        <v>9</v>
      </c>
    </row>
    <row r="513" spans="1:1" x14ac:dyDescent="0.2">
      <c r="A513" t="s">
        <v>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CDFFF-E1AA-4DED-BFA4-DC1C2B652BFB}">
  <sheetPr codeName="Sheet5"/>
  <dimension ref="A1:R1854"/>
  <sheetViews>
    <sheetView tabSelected="1" workbookViewId="0">
      <pane ySplit="1" topLeftCell="A1078" activePane="bottomLeft" state="frozen"/>
      <selection pane="bottomLeft" activeCell="E1078" sqref="E1078"/>
    </sheetView>
  </sheetViews>
  <sheetFormatPr baseColWidth="10" defaultColWidth="8.83203125" defaultRowHeight="15" x14ac:dyDescent="0.2"/>
  <cols>
    <col min="3" max="3" width="14.83203125" customWidth="1"/>
    <col min="4" max="5" width="13.5" customWidth="1"/>
    <col min="6" max="6" width="14.33203125" style="3" customWidth="1"/>
    <col min="7" max="7" width="14.6640625" customWidth="1"/>
    <col min="8" max="8" width="18.33203125" style="13" customWidth="1"/>
    <col min="9" max="9" width="19.83203125" style="13" customWidth="1"/>
    <col min="10" max="10" width="19" customWidth="1"/>
    <col min="11" max="11" width="21.5" style="7" customWidth="1"/>
    <col min="12" max="12" width="21.5" style="4" customWidth="1"/>
    <col min="13" max="13" width="20.33203125" customWidth="1"/>
    <col min="14" max="14" width="19.33203125" customWidth="1"/>
    <col min="15" max="15" width="17.5" customWidth="1"/>
    <col min="16" max="16" width="24.6640625" customWidth="1"/>
    <col min="17" max="17" width="34.6640625" customWidth="1"/>
    <col min="18" max="18" width="41.83203125" customWidth="1"/>
  </cols>
  <sheetData>
    <row r="1" spans="1:18" ht="42" customHeight="1" x14ac:dyDescent="0.35">
      <c r="A1" s="1" t="s">
        <v>22</v>
      </c>
      <c r="B1" s="1" t="s">
        <v>0</v>
      </c>
      <c r="C1" s="1" t="s">
        <v>1</v>
      </c>
      <c r="D1" s="1" t="s">
        <v>13</v>
      </c>
      <c r="E1" s="1" t="s">
        <v>24</v>
      </c>
      <c r="F1" s="8" t="s">
        <v>14</v>
      </c>
      <c r="G1" s="1" t="s">
        <v>15</v>
      </c>
      <c r="H1" s="14" t="s">
        <v>25</v>
      </c>
      <c r="I1" s="14" t="s">
        <v>26</v>
      </c>
      <c r="J1" s="12" t="s">
        <v>27</v>
      </c>
      <c r="K1" s="9" t="s">
        <v>16</v>
      </c>
      <c r="L1" s="5" t="s">
        <v>10</v>
      </c>
      <c r="M1" s="5" t="s">
        <v>17</v>
      </c>
      <c r="N1" s="5" t="s">
        <v>12</v>
      </c>
      <c r="O1" s="1" t="s">
        <v>18</v>
      </c>
      <c r="P1" s="1" t="s">
        <v>19</v>
      </c>
      <c r="Q1" s="1" t="s">
        <v>28</v>
      </c>
      <c r="R1" s="1" t="s">
        <v>29</v>
      </c>
    </row>
    <row r="2" spans="1:18" x14ac:dyDescent="0.2">
      <c r="A2" t="s">
        <v>7</v>
      </c>
      <c r="B2">
        <v>1</v>
      </c>
      <c r="C2" t="s">
        <v>2</v>
      </c>
      <c r="D2" s="2">
        <v>43571</v>
      </c>
      <c r="E2" s="11">
        <v>106</v>
      </c>
      <c r="F2" s="3">
        <v>0.42708333333333331</v>
      </c>
      <c r="G2" s="3">
        <v>0.43055555555555558</v>
      </c>
      <c r="H2" s="13">
        <v>106.42708333333333</v>
      </c>
      <c r="I2" s="13">
        <v>106.43055555555556</v>
      </c>
      <c r="J2" s="13">
        <v>106.42881944444444</v>
      </c>
      <c r="K2" s="7">
        <v>43571.428819444445</v>
      </c>
      <c r="L2" s="4">
        <v>1361.2</v>
      </c>
      <c r="M2" s="4">
        <v>26.9</v>
      </c>
      <c r="N2" s="4">
        <v>7.22</v>
      </c>
      <c r="Q2">
        <v>-0.81355818331534502</v>
      </c>
      <c r="R2">
        <v>1.4175786803315301E-4</v>
      </c>
    </row>
    <row r="3" spans="1:18" x14ac:dyDescent="0.2">
      <c r="A3" t="s">
        <v>7</v>
      </c>
      <c r="B3">
        <v>1</v>
      </c>
      <c r="C3" t="s">
        <v>3</v>
      </c>
      <c r="D3" s="2">
        <v>43571</v>
      </c>
      <c r="E3" s="11">
        <v>106</v>
      </c>
      <c r="F3" s="3">
        <v>0.43194444444444446</v>
      </c>
      <c r="G3" s="3">
        <v>0.43541666666666662</v>
      </c>
      <c r="H3" s="13">
        <v>106.43194444444444</v>
      </c>
      <c r="I3" s="13">
        <v>106.43541666666667</v>
      </c>
      <c r="J3" s="13">
        <v>106.43368055555555</v>
      </c>
      <c r="K3" s="7">
        <v>43571.433680555558</v>
      </c>
      <c r="L3" s="4">
        <v>1391.2</v>
      </c>
      <c r="M3" s="4"/>
      <c r="N3" s="4">
        <v>7.22</v>
      </c>
      <c r="Q3">
        <v>1.6540980839411701</v>
      </c>
      <c r="R3">
        <v>5.7916244335295498E-5</v>
      </c>
    </row>
    <row r="4" spans="1:18" x14ac:dyDescent="0.2">
      <c r="A4" t="s">
        <v>7</v>
      </c>
      <c r="B4">
        <v>2</v>
      </c>
      <c r="C4" t="s">
        <v>2</v>
      </c>
      <c r="D4" s="2">
        <v>43571</v>
      </c>
      <c r="E4" s="11">
        <v>106</v>
      </c>
      <c r="F4" s="3">
        <v>0.436805555555556</v>
      </c>
      <c r="G4" s="3">
        <v>0.44027777777777799</v>
      </c>
      <c r="H4" s="13">
        <v>106.43680555555555</v>
      </c>
      <c r="I4" s="13">
        <v>106.44027777777778</v>
      </c>
      <c r="J4" s="13">
        <v>106.43854166666667</v>
      </c>
      <c r="K4" s="7">
        <v>43571.43854166667</v>
      </c>
      <c r="L4" s="4">
        <v>1431.2</v>
      </c>
      <c r="M4" s="4">
        <v>24.3</v>
      </c>
      <c r="N4" s="4">
        <v>7.22</v>
      </c>
      <c r="Q4">
        <v>-0.167305180830568</v>
      </c>
      <c r="R4">
        <v>1.86422043954819E-4</v>
      </c>
    </row>
    <row r="5" spans="1:18" x14ac:dyDescent="0.2">
      <c r="A5" t="s">
        <v>7</v>
      </c>
      <c r="B5">
        <v>2</v>
      </c>
      <c r="C5" t="s">
        <v>3</v>
      </c>
      <c r="D5" s="2">
        <v>43571</v>
      </c>
      <c r="E5" s="11">
        <v>106</v>
      </c>
      <c r="F5" s="3">
        <v>0.44166666666666698</v>
      </c>
      <c r="G5" s="3">
        <v>0.44513888888888897</v>
      </c>
      <c r="H5" s="13">
        <v>106.44166666666666</v>
      </c>
      <c r="I5" s="13">
        <v>106.44513888888889</v>
      </c>
      <c r="J5" s="13">
        <v>106.44340277777778</v>
      </c>
      <c r="K5" s="7">
        <v>43571.443402777775</v>
      </c>
      <c r="L5" s="4">
        <v>1463.7</v>
      </c>
      <c r="M5" s="4"/>
      <c r="N5" s="4">
        <v>7.22</v>
      </c>
      <c r="Q5">
        <v>0.82692471029085102</v>
      </c>
      <c r="R5">
        <v>1.02868715787531E-4</v>
      </c>
    </row>
    <row r="6" spans="1:18" x14ac:dyDescent="0.2">
      <c r="A6" t="s">
        <v>7</v>
      </c>
      <c r="B6">
        <v>3</v>
      </c>
      <c r="C6" t="s">
        <v>2</v>
      </c>
      <c r="D6" s="2">
        <v>43571</v>
      </c>
      <c r="E6" s="11">
        <v>106</v>
      </c>
      <c r="F6" s="3">
        <v>0.44652777777777802</v>
      </c>
      <c r="G6" s="3">
        <v>0.45</v>
      </c>
      <c r="H6" s="13">
        <v>106.44652777777777</v>
      </c>
      <c r="I6" s="13">
        <v>106.45</v>
      </c>
      <c r="J6" s="13">
        <v>106.44826388888889</v>
      </c>
      <c r="K6" s="7">
        <v>43571.448263888888</v>
      </c>
      <c r="L6" s="4">
        <v>1493.7</v>
      </c>
      <c r="M6" s="4">
        <v>27.7</v>
      </c>
      <c r="N6" s="4">
        <v>7.22</v>
      </c>
      <c r="Q6">
        <v>-1.90382270158195</v>
      </c>
      <c r="R6">
        <v>2.0068010207423799E-4</v>
      </c>
    </row>
    <row r="7" spans="1:18" x14ac:dyDescent="0.2">
      <c r="A7" t="s">
        <v>7</v>
      </c>
      <c r="B7">
        <v>3</v>
      </c>
      <c r="C7" t="s">
        <v>3</v>
      </c>
      <c r="D7" s="2">
        <v>43571</v>
      </c>
      <c r="E7" s="11">
        <v>106</v>
      </c>
      <c r="F7" s="3">
        <v>0.45138888888888901</v>
      </c>
      <c r="G7" s="3">
        <v>0.45486111111111099</v>
      </c>
      <c r="H7" s="13">
        <v>106.45138888888889</v>
      </c>
      <c r="I7" s="13">
        <v>106.45486111111111</v>
      </c>
      <c r="J7" s="13">
        <v>106.453125</v>
      </c>
      <c r="K7" s="7">
        <v>43571.453125</v>
      </c>
      <c r="L7" s="4">
        <v>1518.7</v>
      </c>
      <c r="M7" s="4"/>
      <c r="N7" s="4">
        <v>7.22</v>
      </c>
      <c r="Q7">
        <v>1.91604558976966</v>
      </c>
      <c r="R7">
        <v>1.3544391606353499E-4</v>
      </c>
    </row>
    <row r="8" spans="1:18" x14ac:dyDescent="0.2">
      <c r="A8" t="s">
        <v>7</v>
      </c>
      <c r="B8">
        <v>4</v>
      </c>
      <c r="C8" t="s">
        <v>2</v>
      </c>
      <c r="D8" s="2">
        <v>43571</v>
      </c>
      <c r="E8" s="11">
        <v>106</v>
      </c>
      <c r="F8" s="3">
        <v>0.45624999999999999</v>
      </c>
      <c r="G8" s="3">
        <v>0.45972222222222198</v>
      </c>
      <c r="H8" s="13">
        <v>106.45625</v>
      </c>
      <c r="I8" s="13">
        <v>106.45972222222223</v>
      </c>
      <c r="J8" s="13">
        <v>106.45798611111111</v>
      </c>
      <c r="K8" s="7">
        <v>43571.457986111112</v>
      </c>
      <c r="L8" s="4">
        <v>1543.7</v>
      </c>
      <c r="M8" s="4">
        <v>28.1</v>
      </c>
      <c r="N8" s="4">
        <v>7.22</v>
      </c>
      <c r="Q8">
        <v>-1.52658097307464</v>
      </c>
      <c r="R8">
        <v>2.5690945361745598E-4</v>
      </c>
    </row>
    <row r="9" spans="1:18" x14ac:dyDescent="0.2">
      <c r="A9" t="s">
        <v>7</v>
      </c>
      <c r="B9">
        <v>4</v>
      </c>
      <c r="C9" t="s">
        <v>3</v>
      </c>
      <c r="D9" s="2">
        <v>43571</v>
      </c>
      <c r="E9" s="11">
        <v>106</v>
      </c>
      <c r="F9" s="3">
        <v>0.46111111111111103</v>
      </c>
      <c r="G9" s="3">
        <v>0.46458333333333302</v>
      </c>
      <c r="H9" s="13">
        <v>106.46111111111111</v>
      </c>
      <c r="I9" s="13">
        <v>106.46458333333334</v>
      </c>
      <c r="J9" s="13">
        <v>106.46284722222222</v>
      </c>
      <c r="K9" s="7">
        <v>43571.462847222225</v>
      </c>
      <c r="L9" s="4">
        <v>1563.7</v>
      </c>
      <c r="M9" s="4"/>
      <c r="N9" s="4">
        <v>7.22</v>
      </c>
      <c r="Q9">
        <v>0.99050102666379902</v>
      </c>
      <c r="R9">
        <v>1.97326564544176E-4</v>
      </c>
    </row>
    <row r="10" spans="1:18" x14ac:dyDescent="0.2">
      <c r="A10" t="s">
        <v>7</v>
      </c>
      <c r="B10">
        <v>5</v>
      </c>
      <c r="C10" t="s">
        <v>2</v>
      </c>
      <c r="D10" s="2">
        <v>43571</v>
      </c>
      <c r="E10" s="11">
        <v>106</v>
      </c>
      <c r="F10" s="3">
        <v>0.46597222222222301</v>
      </c>
      <c r="G10" s="3">
        <v>0.469444444444444</v>
      </c>
      <c r="H10" s="13">
        <v>106.46597222222222</v>
      </c>
      <c r="I10" s="13">
        <v>106.46944444444445</v>
      </c>
      <c r="J10" s="13">
        <v>106.46770833333333</v>
      </c>
      <c r="K10" s="7">
        <v>43571.46770833333</v>
      </c>
      <c r="L10" s="4">
        <v>1593.7</v>
      </c>
      <c r="M10" s="4">
        <v>27</v>
      </c>
      <c r="N10" s="4">
        <v>7.22</v>
      </c>
      <c r="Q10">
        <v>-1.96846863186082</v>
      </c>
      <c r="R10">
        <v>2.2227750892663299E-4</v>
      </c>
    </row>
    <row r="11" spans="1:18" x14ac:dyDescent="0.2">
      <c r="A11" t="s">
        <v>7</v>
      </c>
      <c r="B11">
        <v>5</v>
      </c>
      <c r="C11" t="s">
        <v>3</v>
      </c>
      <c r="D11" s="2">
        <v>43571</v>
      </c>
      <c r="E11" s="11">
        <v>106</v>
      </c>
      <c r="F11" s="3">
        <v>0.54166666666666663</v>
      </c>
      <c r="G11" s="3">
        <v>0.54513888888888895</v>
      </c>
      <c r="H11" s="13">
        <v>106.54166666666667</v>
      </c>
      <c r="I11" s="13">
        <v>106.54513888888889</v>
      </c>
      <c r="J11" s="13">
        <v>106.54340277777777</v>
      </c>
      <c r="K11" s="7">
        <v>43571.543402777781</v>
      </c>
      <c r="L11" s="4">
        <v>1776.2</v>
      </c>
      <c r="M11" s="4"/>
      <c r="N11" s="4">
        <v>8.89</v>
      </c>
      <c r="Q11">
        <v>2.0746855829888302</v>
      </c>
      <c r="R11">
        <v>1.41433010869767E-4</v>
      </c>
    </row>
    <row r="12" spans="1:18" x14ac:dyDescent="0.2">
      <c r="A12" t="s">
        <v>7</v>
      </c>
      <c r="B12">
        <v>1</v>
      </c>
      <c r="C12" t="s">
        <v>2</v>
      </c>
      <c r="D12" s="2">
        <v>43571</v>
      </c>
      <c r="E12" s="11">
        <v>106</v>
      </c>
      <c r="F12" s="3">
        <v>0.54652777777777783</v>
      </c>
      <c r="G12" s="3">
        <v>0.54999999999999993</v>
      </c>
      <c r="H12" s="13">
        <v>106.54652777777778</v>
      </c>
      <c r="I12" s="13">
        <v>106.55</v>
      </c>
      <c r="J12" s="13">
        <v>106.5482638888889</v>
      </c>
      <c r="K12" s="7">
        <v>43571.548263888886</v>
      </c>
      <c r="L12" s="4">
        <v>1773.7</v>
      </c>
      <c r="M12" s="4">
        <v>27.1</v>
      </c>
      <c r="N12" s="4">
        <v>8.89</v>
      </c>
      <c r="Q12">
        <v>-0.25263974797615002</v>
      </c>
      <c r="R12">
        <v>-6.9667999999999998E-4</v>
      </c>
    </row>
    <row r="13" spans="1:18" x14ac:dyDescent="0.2">
      <c r="A13" t="s">
        <v>7</v>
      </c>
      <c r="B13">
        <v>1</v>
      </c>
      <c r="C13" t="s">
        <v>3</v>
      </c>
      <c r="D13" s="2">
        <v>43571</v>
      </c>
      <c r="E13" s="11">
        <v>106</v>
      </c>
      <c r="F13" s="3">
        <v>0.55138888888888904</v>
      </c>
      <c r="G13" s="3">
        <v>0.55486111111111103</v>
      </c>
      <c r="H13" s="13">
        <v>106.55138888888889</v>
      </c>
      <c r="I13" s="13">
        <v>106.55486111111111</v>
      </c>
      <c r="J13" s="13">
        <v>106.55312499999999</v>
      </c>
      <c r="K13" s="7">
        <v>43571.553124999999</v>
      </c>
      <c r="L13" s="4">
        <v>1771.2</v>
      </c>
      <c r="M13" s="4"/>
      <c r="N13" s="4">
        <v>8.89</v>
      </c>
      <c r="Q13">
        <v>2.0146269817321101</v>
      </c>
      <c r="R13" s="6">
        <v>-5.6700000000000003E-5</v>
      </c>
    </row>
    <row r="14" spans="1:18" x14ac:dyDescent="0.2">
      <c r="A14" t="s">
        <v>7</v>
      </c>
      <c r="B14">
        <v>2</v>
      </c>
      <c r="C14" t="s">
        <v>2</v>
      </c>
      <c r="D14" s="2">
        <v>43571</v>
      </c>
      <c r="E14" s="11">
        <v>106</v>
      </c>
      <c r="F14" s="3">
        <v>0.55625000000000002</v>
      </c>
      <c r="G14" s="3">
        <v>0.55972222222222201</v>
      </c>
      <c r="H14" s="13">
        <v>106.55625000000001</v>
      </c>
      <c r="I14" s="13">
        <v>106.55972222222222</v>
      </c>
      <c r="J14" s="13">
        <v>106.55798611111112</v>
      </c>
      <c r="K14" s="7">
        <v>43571.557986111111</v>
      </c>
      <c r="L14" s="4">
        <v>1763.7</v>
      </c>
      <c r="M14" s="4">
        <v>25.5</v>
      </c>
      <c r="N14" s="4">
        <v>8.89</v>
      </c>
      <c r="Q14">
        <v>3.1043629473051899</v>
      </c>
      <c r="R14">
        <v>-2.7515800000000001E-4</v>
      </c>
    </row>
    <row r="15" spans="1:18" x14ac:dyDescent="0.2">
      <c r="A15" t="s">
        <v>7</v>
      </c>
      <c r="B15">
        <v>2</v>
      </c>
      <c r="C15" t="s">
        <v>3</v>
      </c>
      <c r="D15" s="2">
        <v>43571</v>
      </c>
      <c r="E15" s="11">
        <v>106</v>
      </c>
      <c r="F15" s="3">
        <v>0.56111111111111101</v>
      </c>
      <c r="G15" s="3">
        <v>0.56458333333333299</v>
      </c>
      <c r="H15" s="13">
        <v>106.56111111111112</v>
      </c>
      <c r="I15" s="13">
        <v>106.56458333333333</v>
      </c>
      <c r="J15" s="13">
        <v>106.56284722222222</v>
      </c>
      <c r="K15" s="7">
        <v>43571.562847222223</v>
      </c>
      <c r="L15" s="4">
        <v>1756.2</v>
      </c>
      <c r="M15" s="4"/>
      <c r="N15" s="4">
        <v>8.89</v>
      </c>
      <c r="Q15">
        <v>9.8802566393490193E-2</v>
      </c>
      <c r="R15" s="6">
        <v>7.4099999999999999E-5</v>
      </c>
    </row>
    <row r="16" spans="1:18" x14ac:dyDescent="0.2">
      <c r="A16" t="s">
        <v>7</v>
      </c>
      <c r="B16">
        <v>3</v>
      </c>
      <c r="C16" t="s">
        <v>2</v>
      </c>
      <c r="D16" s="2">
        <v>43571</v>
      </c>
      <c r="E16" s="11">
        <v>106</v>
      </c>
      <c r="F16" s="3">
        <v>0.56597222222222299</v>
      </c>
      <c r="G16" s="3">
        <v>0.56944444444444398</v>
      </c>
      <c r="H16" s="13">
        <v>106.56597222222223</v>
      </c>
      <c r="I16" s="13">
        <v>106.56944444444444</v>
      </c>
      <c r="J16" s="13">
        <v>106.56770833333334</v>
      </c>
      <c r="K16" s="7">
        <v>43571.567708333336</v>
      </c>
      <c r="L16" s="4">
        <v>1743.7</v>
      </c>
      <c r="M16" s="4">
        <v>20.6</v>
      </c>
      <c r="N16" s="4">
        <v>8.89</v>
      </c>
      <c r="Q16">
        <v>1.15394447743957</v>
      </c>
      <c r="R16" s="6">
        <v>2.97E-5</v>
      </c>
    </row>
    <row r="17" spans="1:18" x14ac:dyDescent="0.2">
      <c r="A17" t="s">
        <v>7</v>
      </c>
      <c r="B17">
        <v>3</v>
      </c>
      <c r="C17" t="s">
        <v>3</v>
      </c>
      <c r="D17" s="2">
        <v>43571</v>
      </c>
      <c r="E17" s="11">
        <v>106</v>
      </c>
      <c r="F17" s="3">
        <v>0.57083333333333397</v>
      </c>
      <c r="G17" s="3">
        <v>0.57430555555555496</v>
      </c>
      <c r="H17" s="13">
        <v>106.57083333333334</v>
      </c>
      <c r="I17" s="13">
        <v>106.57430555555555</v>
      </c>
      <c r="J17" s="13">
        <v>106.57256944444444</v>
      </c>
      <c r="K17" s="7">
        <v>43571.572569444441</v>
      </c>
      <c r="L17" s="4">
        <v>1741.2</v>
      </c>
      <c r="M17" s="4"/>
      <c r="N17" s="4">
        <v>8.89</v>
      </c>
      <c r="Q17">
        <v>-0.90393485453457201</v>
      </c>
      <c r="R17">
        <v>1.3679299999999999E-4</v>
      </c>
    </row>
    <row r="18" spans="1:18" x14ac:dyDescent="0.2">
      <c r="A18" t="s">
        <v>7</v>
      </c>
      <c r="B18">
        <v>4</v>
      </c>
      <c r="C18" t="s">
        <v>2</v>
      </c>
      <c r="D18" s="2">
        <v>43571</v>
      </c>
      <c r="E18" s="11">
        <v>106</v>
      </c>
      <c r="F18" s="3">
        <v>0.57569444444444495</v>
      </c>
      <c r="G18" s="3">
        <v>0.57916666666666605</v>
      </c>
      <c r="H18" s="13">
        <v>106.57569444444445</v>
      </c>
      <c r="I18" s="13">
        <v>106.57916666666667</v>
      </c>
      <c r="J18" s="13">
        <v>106.57743055555557</v>
      </c>
      <c r="K18" s="7">
        <v>43571.577430555553</v>
      </c>
      <c r="L18" s="4">
        <v>1716.2</v>
      </c>
      <c r="M18" s="4">
        <v>24.7</v>
      </c>
      <c r="N18" s="4">
        <v>8.89</v>
      </c>
      <c r="Q18">
        <v>1.3025953514388899</v>
      </c>
      <c r="R18" s="6">
        <v>8.8300000000000005E-5</v>
      </c>
    </row>
    <row r="19" spans="1:18" x14ac:dyDescent="0.2">
      <c r="A19" t="s">
        <v>7</v>
      </c>
      <c r="B19">
        <v>4</v>
      </c>
      <c r="C19" t="s">
        <v>3</v>
      </c>
      <c r="D19" s="2">
        <v>43571</v>
      </c>
      <c r="E19" s="11">
        <v>106</v>
      </c>
      <c r="F19" s="3">
        <v>0.58055555555555605</v>
      </c>
      <c r="G19" s="3">
        <v>0.58402777777777704</v>
      </c>
      <c r="H19" s="13">
        <v>106.58055555555556</v>
      </c>
      <c r="I19" s="13">
        <v>106.58402777777778</v>
      </c>
      <c r="J19" s="13">
        <v>106.58229166666666</v>
      </c>
      <c r="K19" s="7">
        <v>43571.582291666666</v>
      </c>
      <c r="L19" s="4">
        <v>1706.2</v>
      </c>
      <c r="M19" s="4"/>
      <c r="N19" s="4">
        <v>8.89</v>
      </c>
      <c r="Q19">
        <v>-1.2529267285043</v>
      </c>
      <c r="R19">
        <v>1.8142200000000001E-4</v>
      </c>
    </row>
    <row r="20" spans="1:18" x14ac:dyDescent="0.2">
      <c r="A20" t="s">
        <v>7</v>
      </c>
      <c r="B20">
        <v>5</v>
      </c>
      <c r="C20" t="s">
        <v>2</v>
      </c>
      <c r="D20" s="2">
        <v>43571</v>
      </c>
      <c r="E20" s="11">
        <v>106</v>
      </c>
      <c r="F20" s="3">
        <v>0.58541666666666703</v>
      </c>
      <c r="G20" s="3">
        <v>0.58888888888888802</v>
      </c>
      <c r="H20" s="13">
        <v>106.58541666666666</v>
      </c>
      <c r="I20" s="13">
        <v>106.58888888888889</v>
      </c>
      <c r="J20" s="13">
        <v>106.58715277777777</v>
      </c>
      <c r="K20" s="7">
        <v>43571.587152777778</v>
      </c>
      <c r="L20" s="4">
        <v>1698.7</v>
      </c>
      <c r="M20" s="4">
        <v>24.9</v>
      </c>
      <c r="N20" s="4">
        <v>8.89</v>
      </c>
      <c r="Q20">
        <v>1.89275805392634</v>
      </c>
      <c r="R20">
        <v>1.0774599999999999E-4</v>
      </c>
    </row>
    <row r="21" spans="1:18" x14ac:dyDescent="0.2">
      <c r="A21" t="s">
        <v>7</v>
      </c>
      <c r="B21">
        <v>5</v>
      </c>
      <c r="C21" t="s">
        <v>3</v>
      </c>
      <c r="D21" s="2">
        <v>43571</v>
      </c>
      <c r="E21" s="11">
        <v>106</v>
      </c>
      <c r="F21" s="3">
        <v>0.59027777777777801</v>
      </c>
      <c r="G21" s="3">
        <v>0.593749999999999</v>
      </c>
      <c r="H21" s="13">
        <v>106.59027777777777</v>
      </c>
      <c r="I21" s="13">
        <v>106.59375</v>
      </c>
      <c r="J21" s="13">
        <v>106.59201388888889</v>
      </c>
      <c r="K21" s="7">
        <v>43571.592013888891</v>
      </c>
      <c r="L21" s="4">
        <v>1683.7</v>
      </c>
      <c r="M21" s="4"/>
      <c r="N21" s="4">
        <v>8.89</v>
      </c>
      <c r="Q21">
        <v>-1.64393242794752</v>
      </c>
      <c r="R21">
        <v>1.8118400000000001E-4</v>
      </c>
    </row>
    <row r="22" spans="1:18" x14ac:dyDescent="0.2">
      <c r="A22" t="s">
        <v>7</v>
      </c>
      <c r="B22">
        <v>1</v>
      </c>
      <c r="C22" t="s">
        <v>4</v>
      </c>
      <c r="D22" s="2">
        <v>43577</v>
      </c>
      <c r="E22" s="11">
        <v>112</v>
      </c>
      <c r="F22" s="3">
        <v>0.37841435185185185</v>
      </c>
      <c r="G22" s="3">
        <v>0.38188657407407406</v>
      </c>
      <c r="H22" s="13">
        <v>112.37841435185184</v>
      </c>
      <c r="I22" s="13">
        <v>112.38188657407407</v>
      </c>
      <c r="J22" s="13">
        <v>112.38015046296296</v>
      </c>
      <c r="K22" s="7">
        <v>43577.380150462966</v>
      </c>
      <c r="L22" s="4">
        <v>441.2</v>
      </c>
      <c r="M22" s="4">
        <v>21.6</v>
      </c>
      <c r="N22" s="4">
        <v>12.78</v>
      </c>
      <c r="Q22">
        <v>-1.4833441319124001</v>
      </c>
      <c r="R22">
        <v>1.51627393571243E-4</v>
      </c>
    </row>
    <row r="23" spans="1:18" x14ac:dyDescent="0.2">
      <c r="A23" t="s">
        <v>7</v>
      </c>
      <c r="B23">
        <v>1</v>
      </c>
      <c r="C23" t="s">
        <v>3</v>
      </c>
      <c r="D23" s="2">
        <v>43577</v>
      </c>
      <c r="E23" s="11">
        <v>112</v>
      </c>
      <c r="F23" s="3">
        <v>0.38327546296296294</v>
      </c>
      <c r="G23" s="3">
        <v>0.38674768518518521</v>
      </c>
      <c r="H23" s="13">
        <v>112.38327546296296</v>
      </c>
      <c r="I23" s="13">
        <v>112.38674768518518</v>
      </c>
      <c r="J23" s="13">
        <v>112.38501157407407</v>
      </c>
      <c r="K23" s="7">
        <v>43577.385011574072</v>
      </c>
      <c r="L23" s="4">
        <v>483.7</v>
      </c>
      <c r="M23" s="4"/>
      <c r="N23" s="4">
        <v>12.78</v>
      </c>
      <c r="Q23">
        <v>0.96112489633797005</v>
      </c>
      <c r="R23">
        <v>-1.6482103959568001E-4</v>
      </c>
    </row>
    <row r="24" spans="1:18" x14ac:dyDescent="0.2">
      <c r="A24" t="s">
        <v>7</v>
      </c>
      <c r="B24">
        <v>2</v>
      </c>
      <c r="C24" t="s">
        <v>4</v>
      </c>
      <c r="D24" s="2">
        <v>43577</v>
      </c>
      <c r="E24" s="11">
        <v>112</v>
      </c>
      <c r="F24" s="3">
        <v>0.38813657407407398</v>
      </c>
      <c r="G24" s="3">
        <v>0.39160879629629602</v>
      </c>
      <c r="H24" s="13">
        <v>112.38813657407407</v>
      </c>
      <c r="I24" s="13">
        <v>112.3916087962963</v>
      </c>
      <c r="J24" s="13">
        <v>112.38987268518518</v>
      </c>
      <c r="K24" s="7">
        <v>43577.389872685184</v>
      </c>
      <c r="L24" s="4">
        <v>561.20000000000005</v>
      </c>
      <c r="M24" s="4">
        <v>22.7</v>
      </c>
      <c r="N24" s="4">
        <v>12.78</v>
      </c>
      <c r="Q24">
        <v>-0.58465367240616795</v>
      </c>
      <c r="R24">
        <v>3.5705598764205397E-5</v>
      </c>
    </row>
    <row r="25" spans="1:18" x14ac:dyDescent="0.2">
      <c r="A25" t="s">
        <v>7</v>
      </c>
      <c r="B25">
        <v>2</v>
      </c>
      <c r="C25" t="s">
        <v>3</v>
      </c>
      <c r="D25" s="2">
        <v>43577</v>
      </c>
      <c r="E25" s="11">
        <v>112</v>
      </c>
      <c r="F25" s="3">
        <v>0.39299768518518502</v>
      </c>
      <c r="G25" s="3">
        <v>0.39646990740740701</v>
      </c>
      <c r="H25" s="13">
        <v>112.39299768518518</v>
      </c>
      <c r="I25" s="13">
        <v>112.39646990740741</v>
      </c>
      <c r="J25" s="13">
        <v>112.39473379629629</v>
      </c>
      <c r="K25" s="7">
        <v>43577.394733796296</v>
      </c>
      <c r="L25" s="4">
        <v>563.70000000000005</v>
      </c>
      <c r="M25" s="4"/>
      <c r="N25" s="4">
        <v>12.78</v>
      </c>
      <c r="Q25">
        <v>0.95681875878745004</v>
      </c>
      <c r="R25">
        <v>2.5683017267820499E-5</v>
      </c>
    </row>
    <row r="26" spans="1:18" x14ac:dyDescent="0.2">
      <c r="A26" t="s">
        <v>7</v>
      </c>
      <c r="B26">
        <v>3</v>
      </c>
      <c r="C26" t="s">
        <v>4</v>
      </c>
      <c r="D26" s="2">
        <v>43577</v>
      </c>
      <c r="E26" s="11">
        <v>112</v>
      </c>
      <c r="F26" s="3">
        <v>0.397858796296296</v>
      </c>
      <c r="G26" s="3">
        <v>0.40133101851851899</v>
      </c>
      <c r="H26" s="13">
        <v>112.39785879629629</v>
      </c>
      <c r="I26" s="13">
        <v>112.40133101851852</v>
      </c>
      <c r="J26" s="13">
        <v>112.3995949074074</v>
      </c>
      <c r="K26" s="7">
        <v>43577.399594907409</v>
      </c>
      <c r="L26" s="4">
        <v>523.70000000000005</v>
      </c>
      <c r="M26" s="4">
        <v>25.9</v>
      </c>
      <c r="N26" s="4">
        <v>12.78</v>
      </c>
      <c r="Q26">
        <v>-2.2798212731634</v>
      </c>
      <c r="R26">
        <v>1.07096035171758E-4</v>
      </c>
    </row>
    <row r="27" spans="1:18" x14ac:dyDescent="0.2">
      <c r="A27" t="s">
        <v>7</v>
      </c>
      <c r="B27">
        <v>3</v>
      </c>
      <c r="C27" t="s">
        <v>3</v>
      </c>
      <c r="D27" s="2">
        <v>43577</v>
      </c>
      <c r="E27" s="11">
        <v>112</v>
      </c>
      <c r="F27" s="3">
        <v>0.40271990740740699</v>
      </c>
      <c r="G27" s="3">
        <v>0.40619212962963003</v>
      </c>
      <c r="H27" s="13">
        <v>112.4027199074074</v>
      </c>
      <c r="I27" s="13">
        <v>112.40619212962963</v>
      </c>
      <c r="J27" s="13">
        <v>112.40445601851852</v>
      </c>
      <c r="K27" s="7">
        <v>43577.404456018521</v>
      </c>
      <c r="L27" s="4">
        <v>481.2</v>
      </c>
      <c r="M27" s="4"/>
      <c r="N27" s="4">
        <v>12.78</v>
      </c>
      <c r="Q27">
        <v>1.4038614127959499</v>
      </c>
      <c r="R27">
        <v>-6.02668349597601E-6</v>
      </c>
    </row>
    <row r="28" spans="1:18" x14ac:dyDescent="0.2">
      <c r="A28" t="s">
        <v>7</v>
      </c>
      <c r="B28">
        <v>4</v>
      </c>
      <c r="C28" t="s">
        <v>4</v>
      </c>
      <c r="D28" s="2">
        <v>43577</v>
      </c>
      <c r="E28" s="11">
        <v>112</v>
      </c>
      <c r="F28" s="3">
        <v>0.40758101851851802</v>
      </c>
      <c r="G28" s="3">
        <v>0.41105324074074101</v>
      </c>
      <c r="H28" s="13">
        <v>112.40758101851851</v>
      </c>
      <c r="I28" s="13">
        <v>112.41105324074074</v>
      </c>
      <c r="J28" s="13">
        <v>112.40931712962963</v>
      </c>
      <c r="K28" s="7">
        <v>43577.409317129626</v>
      </c>
      <c r="L28" s="4">
        <v>553.70000000000005</v>
      </c>
      <c r="M28" s="4">
        <v>26.1</v>
      </c>
      <c r="N28" s="4">
        <v>12.78</v>
      </c>
      <c r="Q28">
        <v>-2.1055129206011398</v>
      </c>
      <c r="R28">
        <v>9.3962573132963207E-6</v>
      </c>
    </row>
    <row r="29" spans="1:18" x14ac:dyDescent="0.2">
      <c r="A29" t="s">
        <v>7</v>
      </c>
      <c r="B29">
        <v>4</v>
      </c>
      <c r="C29" t="s">
        <v>3</v>
      </c>
      <c r="D29" s="2">
        <v>43577</v>
      </c>
      <c r="E29" s="11">
        <v>112</v>
      </c>
      <c r="F29" s="3">
        <v>0.41244212962963001</v>
      </c>
      <c r="G29" s="3">
        <v>0.41591435185185199</v>
      </c>
      <c r="H29" s="13">
        <v>112.41244212962962</v>
      </c>
      <c r="I29" s="13">
        <v>112.41591435185185</v>
      </c>
      <c r="J29" s="13">
        <v>112.41417824074074</v>
      </c>
      <c r="K29" s="7">
        <v>43577.414178240739</v>
      </c>
      <c r="L29" s="4">
        <v>536.20000000000005</v>
      </c>
      <c r="M29" s="4"/>
      <c r="N29" s="4">
        <v>12.78</v>
      </c>
      <c r="Q29">
        <v>1.08516614012045</v>
      </c>
      <c r="R29">
        <v>-2.0521658912953898E-5</v>
      </c>
    </row>
    <row r="30" spans="1:18" x14ac:dyDescent="0.2">
      <c r="A30" t="s">
        <v>7</v>
      </c>
      <c r="B30">
        <v>5</v>
      </c>
      <c r="C30" t="s">
        <v>4</v>
      </c>
      <c r="D30" s="2">
        <v>43577</v>
      </c>
      <c r="E30" s="11">
        <v>112</v>
      </c>
      <c r="F30" s="3">
        <v>0.41730324074074099</v>
      </c>
      <c r="G30" s="3">
        <v>0.42077546296296298</v>
      </c>
      <c r="H30" s="13">
        <v>112.41730324074074</v>
      </c>
      <c r="I30" s="13">
        <v>112.42077546296296</v>
      </c>
      <c r="J30" s="13">
        <v>112.41903935185185</v>
      </c>
      <c r="K30" s="7">
        <v>43577.419039351851</v>
      </c>
      <c r="L30" s="4">
        <v>501.2</v>
      </c>
      <c r="M30" s="4">
        <v>24.3</v>
      </c>
      <c r="N30" s="4">
        <v>17.22</v>
      </c>
      <c r="Q30">
        <v>-2.9346156634156202</v>
      </c>
      <c r="R30">
        <v>2.25416236937704E-5</v>
      </c>
    </row>
    <row r="31" spans="1:18" x14ac:dyDescent="0.2">
      <c r="A31" t="s">
        <v>7</v>
      </c>
      <c r="B31">
        <v>5</v>
      </c>
      <c r="C31" t="s">
        <v>3</v>
      </c>
      <c r="D31" s="2">
        <v>43577</v>
      </c>
      <c r="E31" s="11">
        <v>112</v>
      </c>
      <c r="F31" s="3">
        <v>0.42216435185185203</v>
      </c>
      <c r="G31" s="3">
        <v>0.42563657407407401</v>
      </c>
      <c r="H31" s="13">
        <v>112.42216435185185</v>
      </c>
      <c r="I31" s="13">
        <v>112.42563657407408</v>
      </c>
      <c r="J31" s="13">
        <v>112.42390046296296</v>
      </c>
      <c r="K31" s="7">
        <v>43577.423900462964</v>
      </c>
      <c r="L31" s="4">
        <v>578.70000000000005</v>
      </c>
      <c r="M31" s="4"/>
      <c r="N31" s="4">
        <v>17.22</v>
      </c>
      <c r="Q31">
        <v>1.17885077094974</v>
      </c>
      <c r="R31">
        <v>-2.34969642098133E-5</v>
      </c>
    </row>
    <row r="32" spans="1:18" x14ac:dyDescent="0.2">
      <c r="A32" t="s">
        <v>7</v>
      </c>
      <c r="B32">
        <v>1</v>
      </c>
      <c r="C32" t="s">
        <v>4</v>
      </c>
      <c r="D32" s="2">
        <v>43577</v>
      </c>
      <c r="E32" s="11">
        <v>112</v>
      </c>
      <c r="F32" s="3">
        <v>0.51458333333333328</v>
      </c>
      <c r="G32" s="3">
        <v>0.5180555555555556</v>
      </c>
      <c r="H32" s="13">
        <v>112.51458333333333</v>
      </c>
      <c r="I32" s="13">
        <v>112.51805555555555</v>
      </c>
      <c r="J32" s="13">
        <v>112.51631944444443</v>
      </c>
      <c r="K32" s="7">
        <v>43577.516319444447</v>
      </c>
      <c r="L32" s="4">
        <v>1258.7</v>
      </c>
      <c r="M32" s="4">
        <v>22.8</v>
      </c>
      <c r="N32" s="4">
        <v>17.22</v>
      </c>
      <c r="Q32">
        <v>-2.2580428761990698</v>
      </c>
      <c r="R32">
        <v>-2.0571450561710099E-4</v>
      </c>
    </row>
    <row r="33" spans="1:18" x14ac:dyDescent="0.2">
      <c r="A33" t="s">
        <v>7</v>
      </c>
      <c r="B33">
        <v>1</v>
      </c>
      <c r="C33" t="s">
        <v>3</v>
      </c>
      <c r="D33" s="2">
        <v>43577</v>
      </c>
      <c r="E33" s="11">
        <v>112</v>
      </c>
      <c r="F33" s="3">
        <v>0.51944444444444449</v>
      </c>
      <c r="G33" s="3">
        <v>0.5229166666666667</v>
      </c>
      <c r="H33" s="13">
        <v>112.51944444444445</v>
      </c>
      <c r="I33" s="13">
        <v>112.52291666666666</v>
      </c>
      <c r="J33" s="13">
        <v>112.52118055555556</v>
      </c>
      <c r="K33" s="7">
        <v>43577.521180555559</v>
      </c>
      <c r="L33" s="4">
        <v>936.2</v>
      </c>
      <c r="M33" s="4"/>
      <c r="N33" s="4">
        <v>17.22</v>
      </c>
      <c r="Q33">
        <v>3.0289820854529901</v>
      </c>
      <c r="R33">
        <v>1.6198896209047801E-4</v>
      </c>
    </row>
    <row r="34" spans="1:18" x14ac:dyDescent="0.2">
      <c r="A34" t="s">
        <v>7</v>
      </c>
      <c r="B34">
        <v>2</v>
      </c>
      <c r="C34" t="s">
        <v>4</v>
      </c>
      <c r="D34" s="2">
        <v>43577</v>
      </c>
      <c r="E34" s="11">
        <v>112</v>
      </c>
      <c r="F34" s="3">
        <v>0.52430555555555602</v>
      </c>
      <c r="G34" s="3">
        <v>0.52777777777777801</v>
      </c>
      <c r="H34" s="13">
        <v>112.52430555555556</v>
      </c>
      <c r="I34" s="13">
        <v>112.52777777777777</v>
      </c>
      <c r="J34" s="13">
        <v>112.52604166666666</v>
      </c>
      <c r="K34" s="7">
        <v>43577.526041666664</v>
      </c>
      <c r="L34" s="4">
        <v>1141.2</v>
      </c>
      <c r="M34" s="4">
        <v>24.7</v>
      </c>
      <c r="N34" s="4">
        <v>17.22</v>
      </c>
      <c r="Q34">
        <v>-4.1894801313537497E-2</v>
      </c>
      <c r="R34">
        <v>4.2422614945768699E-5</v>
      </c>
    </row>
    <row r="35" spans="1:18" x14ac:dyDescent="0.2">
      <c r="A35" t="s">
        <v>7</v>
      </c>
      <c r="B35">
        <v>2</v>
      </c>
      <c r="C35" t="s">
        <v>3</v>
      </c>
      <c r="D35" s="2">
        <v>43577</v>
      </c>
      <c r="E35" s="11">
        <v>112</v>
      </c>
      <c r="F35" s="3">
        <v>0.52916666666666701</v>
      </c>
      <c r="G35" s="3">
        <v>0.53263888888888899</v>
      </c>
      <c r="H35" s="13">
        <v>112.52916666666667</v>
      </c>
      <c r="I35" s="13">
        <v>112.53263888888888</v>
      </c>
      <c r="J35" s="13">
        <v>112.53090277777778</v>
      </c>
      <c r="K35" s="7">
        <v>43577.530902777777</v>
      </c>
      <c r="L35" s="4">
        <v>1186.2</v>
      </c>
      <c r="M35" s="4"/>
      <c r="N35" s="4">
        <v>17.22</v>
      </c>
      <c r="Q35">
        <v>1.7602546497512199</v>
      </c>
      <c r="R35">
        <v>6.0910565163501899E-5</v>
      </c>
    </row>
    <row r="36" spans="1:18" x14ac:dyDescent="0.2">
      <c r="A36" t="s">
        <v>7</v>
      </c>
      <c r="B36">
        <v>3</v>
      </c>
      <c r="C36" t="s">
        <v>4</v>
      </c>
      <c r="D36" s="2">
        <v>43577</v>
      </c>
      <c r="E36" s="11">
        <v>112</v>
      </c>
      <c r="F36" s="3">
        <v>0.53402777777777799</v>
      </c>
      <c r="G36" s="3">
        <v>0.53749999999999998</v>
      </c>
      <c r="H36" s="13">
        <v>112.53402777777778</v>
      </c>
      <c r="I36" s="13">
        <v>112.53749999999999</v>
      </c>
      <c r="J36" s="13">
        <v>112.53576388888888</v>
      </c>
      <c r="K36" s="7">
        <v>43577.535763888889</v>
      </c>
      <c r="L36" s="4">
        <v>1351.2</v>
      </c>
      <c r="M36" s="4">
        <v>25.3</v>
      </c>
      <c r="N36" s="4">
        <v>17.22</v>
      </c>
      <c r="Q36">
        <v>-2.36800209007923</v>
      </c>
      <c r="R36">
        <v>4.2319558850375399E-5</v>
      </c>
    </row>
    <row r="37" spans="1:18" x14ac:dyDescent="0.2">
      <c r="A37" t="s">
        <v>7</v>
      </c>
      <c r="B37">
        <v>3</v>
      </c>
      <c r="C37" t="s">
        <v>3</v>
      </c>
      <c r="D37" s="2">
        <v>43577</v>
      </c>
      <c r="E37" s="11">
        <v>112</v>
      </c>
      <c r="F37" s="3">
        <v>0.53888888888888897</v>
      </c>
      <c r="G37" s="3">
        <v>0.54236111111111096</v>
      </c>
      <c r="H37" s="13">
        <v>112.53888888888889</v>
      </c>
      <c r="I37" s="13">
        <v>112.54236111111111</v>
      </c>
      <c r="J37" s="13">
        <v>112.54062500000001</v>
      </c>
      <c r="K37" s="7">
        <v>43577.540625000001</v>
      </c>
      <c r="L37" s="4">
        <v>1093.7</v>
      </c>
      <c r="M37" s="4"/>
      <c r="N37" s="4">
        <v>17.22</v>
      </c>
      <c r="Q37">
        <v>2.0645607548880198</v>
      </c>
      <c r="R37">
        <v>1.0159163842551999E-4</v>
      </c>
    </row>
    <row r="38" spans="1:18" x14ac:dyDescent="0.2">
      <c r="A38" t="s">
        <v>7</v>
      </c>
      <c r="B38">
        <v>4</v>
      </c>
      <c r="C38" t="s">
        <v>4</v>
      </c>
      <c r="D38" s="2">
        <v>43577</v>
      </c>
      <c r="E38" s="11">
        <v>112</v>
      </c>
      <c r="F38" s="3">
        <v>0.54375000000000095</v>
      </c>
      <c r="G38" s="3">
        <v>0.54722222222222205</v>
      </c>
      <c r="H38" s="13">
        <v>112.54375</v>
      </c>
      <c r="I38" s="13">
        <v>112.54722222222222</v>
      </c>
      <c r="J38" s="13">
        <v>112.5454861111111</v>
      </c>
      <c r="K38" s="7">
        <v>43577.545486111114</v>
      </c>
      <c r="L38" s="4">
        <v>1903.7</v>
      </c>
      <c r="M38" s="4">
        <v>23.6</v>
      </c>
      <c r="N38" s="4">
        <v>17.22</v>
      </c>
      <c r="Q38">
        <v>-3.07276580841005</v>
      </c>
      <c r="R38">
        <v>1.2301516583355999E-4</v>
      </c>
    </row>
    <row r="39" spans="1:18" x14ac:dyDescent="0.2">
      <c r="A39" t="s">
        <v>7</v>
      </c>
      <c r="B39">
        <v>4</v>
      </c>
      <c r="C39" t="s">
        <v>3</v>
      </c>
      <c r="D39" s="2">
        <v>43577</v>
      </c>
      <c r="E39" s="11">
        <v>112</v>
      </c>
      <c r="F39" s="3">
        <v>0.54861111111111205</v>
      </c>
      <c r="G39" s="3">
        <v>0.55208333333333304</v>
      </c>
      <c r="H39" s="13">
        <v>112.54861111111111</v>
      </c>
      <c r="I39" s="13">
        <v>112.55208333333333</v>
      </c>
      <c r="J39" s="13">
        <v>112.55034722222223</v>
      </c>
      <c r="K39" s="7">
        <v>43577.550347222219</v>
      </c>
      <c r="L39" s="4">
        <v>1983.7</v>
      </c>
      <c r="M39" s="4"/>
      <c r="N39" s="4">
        <v>17.22</v>
      </c>
      <c r="Q39">
        <v>3.8461633915406099</v>
      </c>
      <c r="R39">
        <v>1.2868313175997499E-4</v>
      </c>
    </row>
    <row r="40" spans="1:18" x14ac:dyDescent="0.2">
      <c r="A40" t="s">
        <v>7</v>
      </c>
      <c r="B40">
        <v>5</v>
      </c>
      <c r="C40" t="s">
        <v>4</v>
      </c>
      <c r="D40" s="2">
        <v>43577</v>
      </c>
      <c r="E40" s="11">
        <v>112</v>
      </c>
      <c r="F40" s="3">
        <v>0.55347222222222303</v>
      </c>
      <c r="G40" s="3">
        <v>0.55694444444444402</v>
      </c>
      <c r="H40" s="13">
        <v>112.55347222222223</v>
      </c>
      <c r="I40" s="13">
        <v>112.55694444444444</v>
      </c>
      <c r="J40" s="13">
        <v>112.55520833333333</v>
      </c>
      <c r="K40" s="7">
        <v>43577.555208333331</v>
      </c>
      <c r="L40" s="4">
        <v>1426.2</v>
      </c>
      <c r="M40" s="4">
        <v>21.9</v>
      </c>
      <c r="N40" s="4">
        <v>17.22</v>
      </c>
      <c r="Q40">
        <v>-4.5578639213323404</v>
      </c>
      <c r="R40">
        <v>2.51630614639089E-4</v>
      </c>
    </row>
    <row r="41" spans="1:18" x14ac:dyDescent="0.2">
      <c r="A41" t="s">
        <v>7</v>
      </c>
      <c r="B41">
        <v>5</v>
      </c>
      <c r="C41" t="s">
        <v>3</v>
      </c>
      <c r="D41" s="2">
        <v>43577</v>
      </c>
      <c r="E41" s="11">
        <v>112</v>
      </c>
      <c r="F41" s="3">
        <v>0.55833333333333401</v>
      </c>
      <c r="G41" s="3">
        <v>0.561805555555555</v>
      </c>
      <c r="H41" s="13">
        <v>112.55833333333334</v>
      </c>
      <c r="I41" s="13">
        <v>112.56180555555555</v>
      </c>
      <c r="J41" s="13">
        <v>112.56006944444445</v>
      </c>
      <c r="K41" s="7">
        <v>43577.560069444444</v>
      </c>
      <c r="L41" s="4">
        <v>2033.7</v>
      </c>
      <c r="M41" s="4"/>
      <c r="N41" s="4">
        <v>17.22</v>
      </c>
      <c r="Q41">
        <v>2.80775938388149</v>
      </c>
      <c r="R41">
        <v>-1.9318698088206199E-5</v>
      </c>
    </row>
    <row r="42" spans="1:18" x14ac:dyDescent="0.2">
      <c r="A42" t="s">
        <v>7</v>
      </c>
      <c r="B42">
        <v>1</v>
      </c>
      <c r="C42" t="s">
        <v>2</v>
      </c>
      <c r="D42" s="2">
        <v>43585</v>
      </c>
      <c r="E42" s="11">
        <v>120</v>
      </c>
      <c r="F42" s="3">
        <v>0.3991898148148148</v>
      </c>
      <c r="G42" s="3">
        <v>0.40266203703703707</v>
      </c>
      <c r="H42" s="13">
        <v>120.39918981481482</v>
      </c>
      <c r="I42" s="13">
        <v>120.40266203703703</v>
      </c>
      <c r="J42" s="13">
        <v>120.40092592592592</v>
      </c>
      <c r="K42" s="7">
        <v>43585.400925925926</v>
      </c>
      <c r="L42" s="4">
        <v>153.69999999999999</v>
      </c>
      <c r="M42" s="4">
        <v>27.3</v>
      </c>
      <c r="N42" s="4">
        <v>13.89</v>
      </c>
      <c r="Q42">
        <v>-0.25168799275855702</v>
      </c>
      <c r="R42">
        <v>-1.32368188639572E-5</v>
      </c>
    </row>
    <row r="43" spans="1:18" x14ac:dyDescent="0.2">
      <c r="A43" t="s">
        <v>7</v>
      </c>
      <c r="B43">
        <v>1</v>
      </c>
      <c r="C43" t="s">
        <v>3</v>
      </c>
      <c r="D43" s="2">
        <v>43585</v>
      </c>
      <c r="E43" s="11">
        <v>120</v>
      </c>
      <c r="F43" s="3">
        <v>0.40405092592592595</v>
      </c>
      <c r="G43" s="3">
        <v>0.40752314814814811</v>
      </c>
      <c r="H43" s="13">
        <v>120.40405092592593</v>
      </c>
      <c r="I43" s="13">
        <v>120.40752314814814</v>
      </c>
      <c r="J43" s="13">
        <v>120.40578703703704</v>
      </c>
      <c r="K43" s="7">
        <v>43585.405787037038</v>
      </c>
      <c r="L43" s="4">
        <v>193.7</v>
      </c>
      <c r="M43" s="4"/>
      <c r="N43" s="4">
        <v>13.89</v>
      </c>
      <c r="Q43">
        <v>0.99232204525301004</v>
      </c>
      <c r="R43">
        <v>-4.8131970310524397E-5</v>
      </c>
    </row>
    <row r="44" spans="1:18" x14ac:dyDescent="0.2">
      <c r="A44" t="s">
        <v>7</v>
      </c>
      <c r="B44">
        <v>2</v>
      </c>
      <c r="C44" t="s">
        <v>2</v>
      </c>
      <c r="D44" s="2">
        <v>43585</v>
      </c>
      <c r="E44" s="11">
        <v>120</v>
      </c>
      <c r="F44" s="3">
        <v>0.40891203703703699</v>
      </c>
      <c r="G44" s="3">
        <v>0.41238425925925898</v>
      </c>
      <c r="H44" s="13">
        <v>120.40891203703704</v>
      </c>
      <c r="I44" s="13">
        <v>120.41238425925926</v>
      </c>
      <c r="J44" s="13">
        <v>120.41064814814814</v>
      </c>
      <c r="K44" s="7">
        <v>43585.41064814815</v>
      </c>
      <c r="L44" s="4">
        <v>238.7</v>
      </c>
      <c r="M44" s="4">
        <v>27.2</v>
      </c>
      <c r="N44" s="4">
        <v>13.89</v>
      </c>
      <c r="Q44">
        <v>7.9455543746220297E-2</v>
      </c>
      <c r="R44">
        <v>-2.55045631639221E-5</v>
      </c>
    </row>
    <row r="45" spans="1:18" x14ac:dyDescent="0.2">
      <c r="A45" t="s">
        <v>7</v>
      </c>
      <c r="B45">
        <v>2</v>
      </c>
      <c r="C45" t="s">
        <v>3</v>
      </c>
      <c r="D45" s="2">
        <v>43585</v>
      </c>
      <c r="E45" s="11">
        <v>120</v>
      </c>
      <c r="F45" s="3">
        <v>0.41377314814814797</v>
      </c>
      <c r="G45" s="3">
        <v>0.41724537037037002</v>
      </c>
      <c r="H45" s="13">
        <v>120.41377314814815</v>
      </c>
      <c r="I45" s="13">
        <v>120.41724537037037</v>
      </c>
      <c r="J45" s="13">
        <v>120.41550925925927</v>
      </c>
      <c r="K45" s="7">
        <v>43585.415509259263</v>
      </c>
      <c r="L45" s="4">
        <v>216.2</v>
      </c>
      <c r="M45" s="4"/>
      <c r="N45" s="4">
        <v>13.89</v>
      </c>
      <c r="Q45">
        <v>1.5562474855869199</v>
      </c>
      <c r="R45">
        <v>-9.4075228449488706E-5</v>
      </c>
    </row>
    <row r="46" spans="1:18" x14ac:dyDescent="0.2">
      <c r="A46" t="s">
        <v>7</v>
      </c>
      <c r="B46">
        <v>3</v>
      </c>
      <c r="C46" t="s">
        <v>2</v>
      </c>
      <c r="D46" s="2">
        <v>43585</v>
      </c>
      <c r="E46" s="11">
        <v>120</v>
      </c>
      <c r="F46" s="3">
        <v>0.41863425925925901</v>
      </c>
      <c r="G46" s="3">
        <v>0.422106481481481</v>
      </c>
      <c r="H46" s="13">
        <v>120.41863425925926</v>
      </c>
      <c r="I46" s="13">
        <v>120.42210648148148</v>
      </c>
      <c r="J46" s="13">
        <v>120.42037037037036</v>
      </c>
      <c r="K46" s="7">
        <v>43585.420370370368</v>
      </c>
      <c r="L46" s="4">
        <v>261.2</v>
      </c>
      <c r="M46" s="4">
        <v>27.5</v>
      </c>
      <c r="N46" s="4">
        <v>13.89</v>
      </c>
      <c r="Q46">
        <v>-0.72119240680867103</v>
      </c>
      <c r="R46">
        <v>1.03495606541357E-5</v>
      </c>
    </row>
    <row r="47" spans="1:18" x14ac:dyDescent="0.2">
      <c r="A47" t="s">
        <v>7</v>
      </c>
      <c r="B47">
        <v>3</v>
      </c>
      <c r="C47" t="s">
        <v>3</v>
      </c>
      <c r="D47" s="2">
        <v>43585</v>
      </c>
      <c r="E47" s="11">
        <v>120</v>
      </c>
      <c r="F47" s="3">
        <v>0.42349537037036999</v>
      </c>
      <c r="G47" s="3">
        <v>0.42696759259259198</v>
      </c>
      <c r="H47" s="13">
        <v>120.42349537037038</v>
      </c>
      <c r="I47" s="13">
        <v>120.42696759259259</v>
      </c>
      <c r="J47" s="13">
        <v>120.42523148148149</v>
      </c>
      <c r="K47" s="7">
        <v>43585.42523148148</v>
      </c>
      <c r="L47" s="4">
        <v>271.2</v>
      </c>
      <c r="M47" s="4"/>
      <c r="N47" s="4">
        <v>13.89</v>
      </c>
      <c r="Q47">
        <v>1.2559619661307799</v>
      </c>
      <c r="R47">
        <v>3.5015195088466997E-5</v>
      </c>
    </row>
    <row r="48" spans="1:18" x14ac:dyDescent="0.2">
      <c r="A48" t="s">
        <v>7</v>
      </c>
      <c r="B48">
        <v>4</v>
      </c>
      <c r="C48" t="s">
        <v>2</v>
      </c>
      <c r="D48" s="2">
        <v>43585</v>
      </c>
      <c r="E48" s="11">
        <v>120</v>
      </c>
      <c r="F48" s="3">
        <v>0.42835648148148198</v>
      </c>
      <c r="G48" s="3">
        <v>0.43182870370370302</v>
      </c>
      <c r="H48" s="13">
        <v>120.42835648148149</v>
      </c>
      <c r="I48" s="13">
        <v>120.4318287037037</v>
      </c>
      <c r="J48" s="13">
        <v>120.43009259259259</v>
      </c>
      <c r="K48" s="7">
        <v>43585.430092592593</v>
      </c>
      <c r="L48" s="4">
        <v>316.2</v>
      </c>
      <c r="M48" s="4">
        <v>28.9</v>
      </c>
      <c r="N48" s="4">
        <v>13.89</v>
      </c>
      <c r="Q48">
        <v>-0.83388297092164798</v>
      </c>
      <c r="R48">
        <v>8.3840378744685798E-5</v>
      </c>
    </row>
    <row r="49" spans="1:18" x14ac:dyDescent="0.2">
      <c r="A49" t="s">
        <v>7</v>
      </c>
      <c r="B49">
        <v>4</v>
      </c>
      <c r="C49" t="s">
        <v>3</v>
      </c>
      <c r="D49" s="2">
        <v>43585</v>
      </c>
      <c r="E49" s="11">
        <v>120</v>
      </c>
      <c r="F49" s="3">
        <v>0.43321759259259301</v>
      </c>
      <c r="G49" s="3">
        <v>0.436689814814814</v>
      </c>
      <c r="H49" s="13">
        <v>120.4332175925926</v>
      </c>
      <c r="I49" s="13">
        <v>120.43668981481481</v>
      </c>
      <c r="J49" s="13">
        <v>120.43495370370371</v>
      </c>
      <c r="K49" s="7">
        <v>43585.434953703705</v>
      </c>
      <c r="L49" s="4">
        <v>296.2</v>
      </c>
      <c r="M49" s="4"/>
      <c r="N49" s="4">
        <v>13.89</v>
      </c>
      <c r="Q49">
        <v>2.1386534839051201</v>
      </c>
      <c r="R49">
        <v>-1.34959190867598E-5</v>
      </c>
    </row>
    <row r="50" spans="1:18" x14ac:dyDescent="0.2">
      <c r="A50" t="s">
        <v>7</v>
      </c>
      <c r="B50">
        <v>5</v>
      </c>
      <c r="C50" t="s">
        <v>2</v>
      </c>
      <c r="D50" s="2">
        <v>43585</v>
      </c>
      <c r="E50" s="11">
        <v>120</v>
      </c>
      <c r="F50" s="3">
        <v>0.438078703703704</v>
      </c>
      <c r="G50" s="3">
        <v>0.44155092592592499</v>
      </c>
      <c r="H50" s="13">
        <v>120.43807870370371</v>
      </c>
      <c r="I50" s="13">
        <v>120.44155092592592</v>
      </c>
      <c r="J50" s="13">
        <v>120.43981481481481</v>
      </c>
      <c r="K50" s="7">
        <v>43585.439814814818</v>
      </c>
      <c r="L50" s="4">
        <v>331.2</v>
      </c>
      <c r="M50" s="4">
        <v>26.7</v>
      </c>
      <c r="N50" s="4">
        <v>13.89</v>
      </c>
      <c r="Q50">
        <v>-2.3051734532971699</v>
      </c>
      <c r="R50">
        <v>-1.8975848173396399E-5</v>
      </c>
    </row>
    <row r="51" spans="1:18" x14ac:dyDescent="0.2">
      <c r="A51" t="s">
        <v>7</v>
      </c>
      <c r="B51">
        <v>5</v>
      </c>
      <c r="C51" t="s">
        <v>3</v>
      </c>
      <c r="D51" s="2">
        <v>43585</v>
      </c>
      <c r="E51" s="11">
        <v>120</v>
      </c>
      <c r="F51" s="3">
        <v>0.44293981481481498</v>
      </c>
      <c r="G51" s="3">
        <v>0.44641203703703602</v>
      </c>
      <c r="H51" s="13">
        <v>120.44293981481482</v>
      </c>
      <c r="I51" s="13">
        <v>120.44641203703704</v>
      </c>
      <c r="J51" s="13">
        <v>120.44467592592594</v>
      </c>
      <c r="K51" s="7">
        <v>43585.444675925923</v>
      </c>
      <c r="L51" s="4">
        <v>276.2</v>
      </c>
      <c r="M51" s="4"/>
      <c r="N51" s="4">
        <v>13.89</v>
      </c>
      <c r="Q51">
        <v>1.26407906254028</v>
      </c>
      <c r="R51">
        <v>-1.469228654013E-5</v>
      </c>
    </row>
    <row r="52" spans="1:18" x14ac:dyDescent="0.2">
      <c r="A52" t="s">
        <v>7</v>
      </c>
      <c r="B52">
        <v>1</v>
      </c>
      <c r="C52" t="s">
        <v>2</v>
      </c>
      <c r="D52" s="2">
        <v>43585</v>
      </c>
      <c r="E52" s="11">
        <v>120</v>
      </c>
      <c r="F52" s="3">
        <v>0.50335648148148149</v>
      </c>
      <c r="G52" s="3">
        <v>0.5068287037037037</v>
      </c>
      <c r="H52" s="13">
        <v>120.50335648148148</v>
      </c>
      <c r="I52" s="13">
        <v>120.5068287037037</v>
      </c>
      <c r="J52" s="13">
        <v>120.50509259259259</v>
      </c>
      <c r="K52" s="7">
        <v>43585.50509259259</v>
      </c>
      <c r="L52" s="4">
        <v>356.2</v>
      </c>
      <c r="M52" s="4">
        <v>27.3</v>
      </c>
      <c r="N52" s="4">
        <v>11.11</v>
      </c>
      <c r="Q52">
        <v>-1.88145426587297</v>
      </c>
      <c r="R52">
        <v>8.7457073698952197E-6</v>
      </c>
    </row>
    <row r="53" spans="1:18" x14ac:dyDescent="0.2">
      <c r="A53" t="s">
        <v>7</v>
      </c>
      <c r="B53">
        <v>1</v>
      </c>
      <c r="C53" t="s">
        <v>3</v>
      </c>
      <c r="D53" s="2">
        <v>43585</v>
      </c>
      <c r="E53" s="11">
        <v>120</v>
      </c>
      <c r="F53" s="3">
        <v>0.50821759259259258</v>
      </c>
      <c r="G53" s="3">
        <v>0.51168981481481479</v>
      </c>
      <c r="H53" s="13">
        <v>120.50821759259259</v>
      </c>
      <c r="I53" s="13">
        <v>120.51168981481482</v>
      </c>
      <c r="J53" s="13">
        <v>120.5099537037037</v>
      </c>
      <c r="K53" s="7">
        <v>43585.509953703702</v>
      </c>
      <c r="L53" s="4">
        <v>336.2</v>
      </c>
      <c r="M53" s="4"/>
      <c r="N53" s="4">
        <v>11.11</v>
      </c>
      <c r="Q53">
        <v>1.2164101743155</v>
      </c>
      <c r="R53">
        <v>4.7485862453173802E-5</v>
      </c>
    </row>
    <row r="54" spans="1:18" x14ac:dyDescent="0.2">
      <c r="A54" t="s">
        <v>7</v>
      </c>
      <c r="B54">
        <v>2</v>
      </c>
      <c r="C54" t="s">
        <v>2</v>
      </c>
      <c r="D54" s="2">
        <v>43585</v>
      </c>
      <c r="E54" s="11">
        <v>120</v>
      </c>
      <c r="F54" s="3">
        <v>0.51307870370370401</v>
      </c>
      <c r="G54" s="3">
        <v>0.516550925925926</v>
      </c>
      <c r="H54" s="13">
        <v>120.5130787037037</v>
      </c>
      <c r="I54" s="13">
        <v>120.51655092592593</v>
      </c>
      <c r="J54" s="13">
        <v>120.51481481481481</v>
      </c>
      <c r="K54" s="7">
        <v>43585.514814814815</v>
      </c>
      <c r="L54" s="4">
        <v>261.2</v>
      </c>
      <c r="M54" s="4">
        <v>29.2</v>
      </c>
      <c r="N54" s="4">
        <v>11.11</v>
      </c>
      <c r="Q54">
        <v>8.9167159825846498E-2</v>
      </c>
      <c r="R54">
        <v>2.3888551823239602E-5</v>
      </c>
    </row>
    <row r="55" spans="1:18" x14ac:dyDescent="0.2">
      <c r="A55" t="s">
        <v>7</v>
      </c>
      <c r="B55">
        <v>2</v>
      </c>
      <c r="C55" t="s">
        <v>3</v>
      </c>
      <c r="D55" s="2">
        <v>43585</v>
      </c>
      <c r="E55" s="11">
        <v>120</v>
      </c>
      <c r="F55" s="3">
        <v>0.51793981481481499</v>
      </c>
      <c r="G55" s="3">
        <v>0.52141203703703698</v>
      </c>
      <c r="H55" s="13">
        <v>120.51793981481481</v>
      </c>
      <c r="I55" s="13">
        <v>120.52141203703704</v>
      </c>
      <c r="J55" s="13">
        <v>120.51967592592592</v>
      </c>
      <c r="K55" s="7">
        <v>43585.519675925927</v>
      </c>
      <c r="L55" s="4">
        <v>248.7</v>
      </c>
      <c r="M55" s="4"/>
      <c r="N55" s="4">
        <v>11.11</v>
      </c>
      <c r="Q55">
        <v>1.5450191474572901</v>
      </c>
      <c r="R55">
        <v>-3.5080398395546001E-5</v>
      </c>
    </row>
    <row r="56" spans="1:18" x14ac:dyDescent="0.2">
      <c r="A56" t="s">
        <v>7</v>
      </c>
      <c r="B56">
        <v>3</v>
      </c>
      <c r="C56" t="s">
        <v>2</v>
      </c>
      <c r="D56" s="2">
        <v>43585</v>
      </c>
      <c r="E56" s="11">
        <v>120</v>
      </c>
      <c r="F56" s="3">
        <v>0.52280092592592597</v>
      </c>
      <c r="G56" s="3">
        <v>0.52627314814814796</v>
      </c>
      <c r="H56" s="13">
        <v>120.52280092592592</v>
      </c>
      <c r="I56" s="13">
        <v>120.52627314814815</v>
      </c>
      <c r="J56" s="13">
        <v>120.52453703703704</v>
      </c>
      <c r="K56" s="7">
        <v>43585.524537037039</v>
      </c>
      <c r="L56" s="4">
        <v>236.2</v>
      </c>
      <c r="M56" s="4">
        <v>26.4</v>
      </c>
      <c r="N56" s="4">
        <v>11.11</v>
      </c>
      <c r="Q56">
        <v>-1.12006736930847</v>
      </c>
      <c r="R56">
        <v>-9.2014276157900994E-5</v>
      </c>
    </row>
    <row r="57" spans="1:18" x14ac:dyDescent="0.2">
      <c r="A57" t="s">
        <v>7</v>
      </c>
      <c r="B57">
        <v>3</v>
      </c>
      <c r="C57" t="s">
        <v>3</v>
      </c>
      <c r="D57" s="2">
        <v>43585</v>
      </c>
      <c r="E57" s="11">
        <v>120</v>
      </c>
      <c r="F57" s="3">
        <v>0.52766203703703696</v>
      </c>
      <c r="G57" s="3">
        <v>0.53113425925925895</v>
      </c>
      <c r="H57" s="13">
        <v>120.52766203703703</v>
      </c>
      <c r="I57" s="13">
        <v>120.53113425925926</v>
      </c>
      <c r="J57" s="13">
        <v>120.52939814814815</v>
      </c>
      <c r="K57" s="7">
        <v>43585.529398148145</v>
      </c>
      <c r="L57" s="4">
        <v>288.7</v>
      </c>
      <c r="M57" s="4"/>
      <c r="N57" s="4">
        <v>11.11</v>
      </c>
      <c r="Q57">
        <v>1.0560478412210299</v>
      </c>
      <c r="R57">
        <v>7.6138602628981896E-6</v>
      </c>
    </row>
    <row r="58" spans="1:18" x14ac:dyDescent="0.2">
      <c r="A58" t="s">
        <v>7</v>
      </c>
      <c r="B58">
        <v>4</v>
      </c>
      <c r="C58" t="s">
        <v>2</v>
      </c>
      <c r="D58" s="2">
        <v>43585</v>
      </c>
      <c r="E58" s="11">
        <v>120</v>
      </c>
      <c r="F58" s="3">
        <v>0.53252314814814805</v>
      </c>
      <c r="G58" s="3">
        <v>0.53599537037037004</v>
      </c>
      <c r="H58" s="13">
        <v>120.53252314814814</v>
      </c>
      <c r="I58" s="13">
        <v>120.53599537037037</v>
      </c>
      <c r="J58" s="13">
        <v>120.53425925925926</v>
      </c>
      <c r="K58" s="7">
        <v>43585.534259259257</v>
      </c>
      <c r="L58" s="4">
        <v>471.2</v>
      </c>
      <c r="M58" s="4">
        <v>26.2</v>
      </c>
      <c r="N58" s="4">
        <v>11.11</v>
      </c>
      <c r="Q58">
        <v>-1.4956066640405099</v>
      </c>
      <c r="R58">
        <v>-1.7938744104353499E-5</v>
      </c>
    </row>
    <row r="59" spans="1:18" x14ac:dyDescent="0.2">
      <c r="A59" t="s">
        <v>7</v>
      </c>
      <c r="B59">
        <v>4</v>
      </c>
      <c r="C59" t="s">
        <v>3</v>
      </c>
      <c r="D59" s="2">
        <v>43585</v>
      </c>
      <c r="E59" s="11">
        <v>120</v>
      </c>
      <c r="F59" s="3">
        <v>0.53738425925925903</v>
      </c>
      <c r="G59" s="3">
        <v>0.54085648148148102</v>
      </c>
      <c r="H59" s="13">
        <v>120.53738425925926</v>
      </c>
      <c r="I59" s="13">
        <v>120.54085648148148</v>
      </c>
      <c r="J59" s="13">
        <v>120.53912037037037</v>
      </c>
      <c r="K59" s="7">
        <v>43585.539120370369</v>
      </c>
      <c r="L59" s="4">
        <v>496.2</v>
      </c>
      <c r="M59" s="4"/>
      <c r="N59" s="4">
        <v>11.11</v>
      </c>
      <c r="Q59">
        <v>1.8010213716267101</v>
      </c>
      <c r="R59">
        <v>2.17284970767558E-5</v>
      </c>
    </row>
    <row r="60" spans="1:18" x14ac:dyDescent="0.2">
      <c r="A60" t="s">
        <v>7</v>
      </c>
      <c r="B60">
        <v>5</v>
      </c>
      <c r="C60" t="s">
        <v>2</v>
      </c>
      <c r="D60" s="2">
        <v>43585</v>
      </c>
      <c r="E60" s="11">
        <v>120</v>
      </c>
      <c r="F60" s="3">
        <v>0.54224537037037002</v>
      </c>
      <c r="G60" s="3">
        <v>0.545717592592592</v>
      </c>
      <c r="H60" s="13">
        <v>120.54224537037037</v>
      </c>
      <c r="I60" s="13">
        <v>120.5457175925926</v>
      </c>
      <c r="J60" s="13">
        <v>120.54398148148148</v>
      </c>
      <c r="K60" s="7">
        <v>43585.543981481482</v>
      </c>
      <c r="L60" s="4">
        <v>448.7</v>
      </c>
      <c r="M60" s="4">
        <v>24.2</v>
      </c>
      <c r="N60" s="4">
        <v>11.11</v>
      </c>
      <c r="Q60">
        <v>-4.1631741111588703</v>
      </c>
      <c r="R60">
        <v>-4.8472425756547598E-5</v>
      </c>
    </row>
    <row r="61" spans="1:18" x14ac:dyDescent="0.2">
      <c r="A61" t="s">
        <v>7</v>
      </c>
      <c r="B61">
        <v>5</v>
      </c>
      <c r="C61" t="s">
        <v>3</v>
      </c>
      <c r="D61" s="2">
        <v>43585</v>
      </c>
      <c r="E61" s="11">
        <v>120</v>
      </c>
      <c r="F61" s="3">
        <v>0.547106481481481</v>
      </c>
      <c r="G61" s="3">
        <v>0.55057870370370399</v>
      </c>
      <c r="H61" s="13">
        <v>120.54710648148148</v>
      </c>
      <c r="I61" s="13">
        <v>120.55057870370371</v>
      </c>
      <c r="J61" s="13">
        <v>120.54884259259259</v>
      </c>
      <c r="K61" s="7">
        <v>43585.548842592594</v>
      </c>
      <c r="L61" s="4">
        <v>516.20000000000005</v>
      </c>
      <c r="M61" s="4"/>
      <c r="N61" s="4">
        <v>11.11</v>
      </c>
      <c r="Q61">
        <v>1.2326614587901099</v>
      </c>
      <c r="R61">
        <v>-1.24161533085655E-5</v>
      </c>
    </row>
    <row r="62" spans="1:18" x14ac:dyDescent="0.2">
      <c r="A62" t="s">
        <v>7</v>
      </c>
      <c r="B62">
        <v>1</v>
      </c>
      <c r="C62" t="s">
        <v>2</v>
      </c>
      <c r="D62" s="2">
        <v>43601</v>
      </c>
      <c r="E62" s="11">
        <v>136</v>
      </c>
      <c r="F62" s="3">
        <v>0.40747685185185184</v>
      </c>
      <c r="G62" s="3">
        <v>0.41094907407407405</v>
      </c>
      <c r="H62" s="13">
        <v>136.40747685185184</v>
      </c>
      <c r="I62" s="13">
        <v>136.41094907407407</v>
      </c>
      <c r="J62" s="13">
        <v>136.40921296296295</v>
      </c>
      <c r="K62" s="7">
        <v>43601.409212962964</v>
      </c>
      <c r="L62" s="4">
        <v>851.2</v>
      </c>
      <c r="M62" s="4">
        <v>28.6</v>
      </c>
      <c r="N62" s="4">
        <v>15.56</v>
      </c>
      <c r="Q62">
        <v>1.55383505967818</v>
      </c>
      <c r="R62">
        <v>2.1857494198983501E-4</v>
      </c>
    </row>
    <row r="63" spans="1:18" x14ac:dyDescent="0.2">
      <c r="A63" t="s">
        <v>7</v>
      </c>
      <c r="B63">
        <v>1</v>
      </c>
      <c r="C63" t="s">
        <v>3</v>
      </c>
      <c r="D63" s="2">
        <v>43601</v>
      </c>
      <c r="E63" s="11">
        <v>136</v>
      </c>
      <c r="F63" s="3">
        <v>0.41233796296296293</v>
      </c>
      <c r="G63" s="3">
        <v>0.4158101851851852</v>
      </c>
      <c r="H63" s="13">
        <v>136.41233796296297</v>
      </c>
      <c r="I63" s="13">
        <v>136.41581018518519</v>
      </c>
      <c r="J63" s="13">
        <v>136.41407407407408</v>
      </c>
      <c r="K63" s="7">
        <v>43601.414074074077</v>
      </c>
      <c r="L63" s="4">
        <v>568.70000000000005</v>
      </c>
      <c r="M63" s="4"/>
      <c r="N63" s="4">
        <v>15.56</v>
      </c>
      <c r="Q63">
        <v>-9.6856554547387307E-3</v>
      </c>
      <c r="R63">
        <v>-5.3671762038535499E-4</v>
      </c>
    </row>
    <row r="64" spans="1:18" x14ac:dyDescent="0.2">
      <c r="A64" t="s">
        <v>7</v>
      </c>
      <c r="B64">
        <v>2</v>
      </c>
      <c r="C64" t="s">
        <v>2</v>
      </c>
      <c r="D64" s="2">
        <v>43601</v>
      </c>
      <c r="E64" s="11">
        <v>136</v>
      </c>
      <c r="F64" s="3">
        <v>0.41719907407407397</v>
      </c>
      <c r="G64" s="3">
        <v>0.42067129629629602</v>
      </c>
      <c r="H64" s="13">
        <v>136.41719907407406</v>
      </c>
      <c r="I64" s="13">
        <v>136.42067129629629</v>
      </c>
      <c r="J64" s="13">
        <v>136.41893518518518</v>
      </c>
      <c r="K64" s="7">
        <v>43601.418935185182</v>
      </c>
      <c r="L64" s="4">
        <v>808.7</v>
      </c>
      <c r="M64" s="4">
        <v>27.2</v>
      </c>
      <c r="N64" s="4">
        <v>15.56</v>
      </c>
      <c r="Q64">
        <v>0.61199815245981104</v>
      </c>
      <c r="R64">
        <v>-2.8724881673281298E-4</v>
      </c>
    </row>
    <row r="65" spans="1:18" x14ac:dyDescent="0.2">
      <c r="A65" t="s">
        <v>7</v>
      </c>
      <c r="B65">
        <v>2</v>
      </c>
      <c r="C65" t="s">
        <v>3</v>
      </c>
      <c r="D65" s="2">
        <v>43601</v>
      </c>
      <c r="E65" s="11">
        <v>136</v>
      </c>
      <c r="F65" s="3">
        <v>0.42206018518518501</v>
      </c>
      <c r="G65" s="3">
        <v>0.425532407407407</v>
      </c>
      <c r="H65" s="13">
        <v>136.42206018518519</v>
      </c>
      <c r="I65" s="13">
        <v>136.42553240740742</v>
      </c>
      <c r="J65" s="13">
        <v>136.4237962962963</v>
      </c>
      <c r="K65" s="7">
        <v>43601.423796296294</v>
      </c>
      <c r="L65" s="4">
        <v>1758.7</v>
      </c>
      <c r="M65" s="4"/>
      <c r="N65" s="4">
        <v>15.56</v>
      </c>
      <c r="Q65">
        <v>0.365781899784897</v>
      </c>
      <c r="R65">
        <v>-3.3844828687291402E-4</v>
      </c>
    </row>
    <row r="66" spans="1:18" x14ac:dyDescent="0.2">
      <c r="A66" t="s">
        <v>7</v>
      </c>
      <c r="B66">
        <v>3</v>
      </c>
      <c r="C66" t="s">
        <v>2</v>
      </c>
      <c r="D66" s="2">
        <v>43601</v>
      </c>
      <c r="E66" s="11">
        <v>136</v>
      </c>
      <c r="F66" s="3">
        <v>0.42692129629629599</v>
      </c>
      <c r="G66" s="3">
        <v>0.43039351851851898</v>
      </c>
      <c r="H66" s="13">
        <v>136.42692129629629</v>
      </c>
      <c r="I66" s="13">
        <v>136.43039351851851</v>
      </c>
      <c r="J66" s="13">
        <v>136.4286574074074</v>
      </c>
      <c r="K66" s="7">
        <v>43601.428657407407</v>
      </c>
      <c r="L66" s="4">
        <v>1663.7</v>
      </c>
      <c r="M66" s="4">
        <v>19</v>
      </c>
      <c r="N66" s="4">
        <v>15.56</v>
      </c>
      <c r="Q66">
        <v>-4.29490190571351E-2</v>
      </c>
      <c r="R66">
        <v>1.08377615267236E-4</v>
      </c>
    </row>
    <row r="67" spans="1:18" x14ac:dyDescent="0.2">
      <c r="A67" t="s">
        <v>7</v>
      </c>
      <c r="B67">
        <v>3</v>
      </c>
      <c r="C67" t="s">
        <v>3</v>
      </c>
      <c r="D67" s="2">
        <v>43601</v>
      </c>
      <c r="E67" s="11">
        <v>136</v>
      </c>
      <c r="F67" s="3">
        <v>0.43178240740740698</v>
      </c>
      <c r="G67" s="3">
        <v>0.43525462962963002</v>
      </c>
      <c r="H67" s="13">
        <v>136.43178240740741</v>
      </c>
      <c r="I67" s="13">
        <v>136.43525462962964</v>
      </c>
      <c r="J67" s="13">
        <v>136.43351851851853</v>
      </c>
      <c r="K67" s="7">
        <v>43601.433518518519</v>
      </c>
      <c r="L67" s="4">
        <v>571.20000000000005</v>
      </c>
      <c r="M67" s="4"/>
      <c r="N67" s="4">
        <v>15.56</v>
      </c>
      <c r="Q67">
        <v>-1.8557337118285101E-2</v>
      </c>
      <c r="R67">
        <v>2.4005379986648999E-4</v>
      </c>
    </row>
    <row r="68" spans="1:18" x14ac:dyDescent="0.2">
      <c r="A68" t="s">
        <v>7</v>
      </c>
      <c r="B68">
        <v>4</v>
      </c>
      <c r="C68" t="s">
        <v>2</v>
      </c>
      <c r="D68" s="2">
        <v>43601</v>
      </c>
      <c r="E68" s="11">
        <v>136</v>
      </c>
      <c r="F68" s="3">
        <v>0.43664351851851801</v>
      </c>
      <c r="G68" s="3">
        <v>0.440115740740741</v>
      </c>
      <c r="H68" s="13">
        <v>136.43664351851851</v>
      </c>
      <c r="I68" s="13">
        <v>136.44011574074074</v>
      </c>
      <c r="J68" s="13">
        <v>136.43837962962962</v>
      </c>
      <c r="K68" s="7">
        <v>43601.438379629632</v>
      </c>
      <c r="L68" s="4">
        <v>1698.7</v>
      </c>
      <c r="M68" s="4">
        <v>28.3</v>
      </c>
      <c r="N68" s="4">
        <v>15.56</v>
      </c>
      <c r="Q68">
        <v>0.41744491638744202</v>
      </c>
      <c r="R68">
        <v>-5.4155084697896799E-4</v>
      </c>
    </row>
    <row r="69" spans="1:18" x14ac:dyDescent="0.2">
      <c r="A69" t="s">
        <v>7</v>
      </c>
      <c r="B69">
        <v>4</v>
      </c>
      <c r="C69" t="s">
        <v>3</v>
      </c>
      <c r="D69" s="2">
        <v>43601</v>
      </c>
      <c r="E69" s="11">
        <v>136</v>
      </c>
      <c r="F69" s="3">
        <v>0.44150462962963</v>
      </c>
      <c r="G69" s="3">
        <v>0.44497685185185198</v>
      </c>
      <c r="H69" s="13">
        <v>136.44150462962963</v>
      </c>
      <c r="I69" s="13">
        <v>136.44497685185186</v>
      </c>
      <c r="J69" s="13">
        <v>136.44324074074075</v>
      </c>
      <c r="K69" s="7">
        <v>43601.443240740744</v>
      </c>
      <c r="L69" s="4">
        <v>681.2</v>
      </c>
      <c r="M69" s="4"/>
      <c r="N69" s="4">
        <v>15.56</v>
      </c>
      <c r="Q69">
        <v>-1.6945513174381099</v>
      </c>
      <c r="R69">
        <v>4.3268654103715399E-5</v>
      </c>
    </row>
    <row r="70" spans="1:18" x14ac:dyDescent="0.2">
      <c r="A70" t="s">
        <v>7</v>
      </c>
      <c r="B70">
        <v>5</v>
      </c>
      <c r="C70" t="s">
        <v>2</v>
      </c>
      <c r="D70" s="2">
        <v>43601</v>
      </c>
      <c r="E70" s="11">
        <v>136</v>
      </c>
      <c r="F70" s="3">
        <v>0.44636574074074098</v>
      </c>
      <c r="G70" s="3">
        <v>0.44983796296296302</v>
      </c>
      <c r="H70" s="13">
        <v>136.44636574074073</v>
      </c>
      <c r="I70" s="13">
        <v>136.44983796296296</v>
      </c>
      <c r="J70" s="13">
        <v>136.44810185185185</v>
      </c>
      <c r="K70" s="7">
        <v>43601.448101851849</v>
      </c>
      <c r="L70" s="4">
        <v>833.7</v>
      </c>
      <c r="M70" s="4">
        <v>31.3</v>
      </c>
      <c r="N70" s="4">
        <v>15.56</v>
      </c>
      <c r="Q70">
        <v>-0.55288970187198505</v>
      </c>
      <c r="R70">
        <v>-8.3795798776178305E-5</v>
      </c>
    </row>
    <row r="71" spans="1:18" x14ac:dyDescent="0.2">
      <c r="A71" t="s">
        <v>7</v>
      </c>
      <c r="B71">
        <v>5</v>
      </c>
      <c r="C71" t="s">
        <v>3</v>
      </c>
      <c r="D71" s="2">
        <v>43601</v>
      </c>
      <c r="E71" s="11">
        <v>136</v>
      </c>
      <c r="F71" s="3">
        <v>0.45122685185185202</v>
      </c>
      <c r="G71" s="3">
        <v>0.45469907407407401</v>
      </c>
      <c r="H71" s="13">
        <v>136.45122685185186</v>
      </c>
      <c r="I71" s="13">
        <v>136.45469907407409</v>
      </c>
      <c r="J71" s="13">
        <v>136.45296296296297</v>
      </c>
      <c r="K71" s="7">
        <v>43601.452962962961</v>
      </c>
      <c r="L71" s="4">
        <v>1031.2</v>
      </c>
      <c r="M71" s="4"/>
      <c r="N71" s="4">
        <v>15.56</v>
      </c>
      <c r="Q71">
        <v>-1.40354811832834</v>
      </c>
      <c r="R71">
        <v>8.6666678975848198E-6</v>
      </c>
    </row>
    <row r="72" spans="1:18" x14ac:dyDescent="0.2">
      <c r="A72" t="s">
        <v>7</v>
      </c>
      <c r="B72">
        <v>1</v>
      </c>
      <c r="C72" t="s">
        <v>2</v>
      </c>
      <c r="D72" s="2">
        <v>43601</v>
      </c>
      <c r="E72" s="11">
        <v>136</v>
      </c>
      <c r="F72" s="3">
        <v>0.51060185185185192</v>
      </c>
      <c r="G72" s="3">
        <v>0.51407407407407402</v>
      </c>
      <c r="H72" s="13">
        <v>136.51060185185185</v>
      </c>
      <c r="I72" s="13">
        <v>136.51407407407407</v>
      </c>
      <c r="J72" s="13">
        <v>136.51233796296296</v>
      </c>
      <c r="K72" s="7">
        <v>43601.512337962966</v>
      </c>
      <c r="L72" s="4">
        <v>1978.7</v>
      </c>
      <c r="M72" s="4">
        <v>28.3</v>
      </c>
      <c r="N72" s="4">
        <v>16.670000000000002</v>
      </c>
      <c r="Q72">
        <v>1.9128857269984501</v>
      </c>
      <c r="R72">
        <v>1.0870529891252599E-4</v>
      </c>
    </row>
    <row r="73" spans="1:18" x14ac:dyDescent="0.2">
      <c r="A73" t="s">
        <v>7</v>
      </c>
      <c r="B73">
        <v>1</v>
      </c>
      <c r="C73" t="s">
        <v>3</v>
      </c>
      <c r="D73" s="2">
        <v>43601</v>
      </c>
      <c r="E73" s="11">
        <v>136</v>
      </c>
      <c r="F73" s="3">
        <v>0.5154629629629629</v>
      </c>
      <c r="G73" s="3">
        <v>0.51893518518518522</v>
      </c>
      <c r="H73" s="13">
        <v>136.51546296296297</v>
      </c>
      <c r="I73" s="13">
        <v>136.51893518518517</v>
      </c>
      <c r="J73" s="13">
        <v>136.51719907407409</v>
      </c>
      <c r="K73" s="7">
        <v>43601.517199074071</v>
      </c>
      <c r="L73" s="4">
        <v>2046.2</v>
      </c>
      <c r="M73" s="4"/>
      <c r="N73" s="4">
        <v>16.670000000000002</v>
      </c>
      <c r="Q73">
        <v>1.34342406098565</v>
      </c>
      <c r="R73">
        <v>1.29173555256823E-4</v>
      </c>
    </row>
    <row r="74" spans="1:18" x14ac:dyDescent="0.2">
      <c r="A74" t="s">
        <v>7</v>
      </c>
      <c r="B74">
        <v>2</v>
      </c>
      <c r="C74" t="s">
        <v>2</v>
      </c>
      <c r="D74" s="2">
        <v>43601</v>
      </c>
      <c r="E74" s="11">
        <v>136</v>
      </c>
      <c r="F74" s="3">
        <v>0.52032407407407399</v>
      </c>
      <c r="G74" s="3">
        <v>0.52379629629629598</v>
      </c>
      <c r="H74" s="13">
        <v>136.52032407407407</v>
      </c>
      <c r="I74" s="13">
        <v>136.5237962962963</v>
      </c>
      <c r="J74" s="13">
        <v>136.52206018518518</v>
      </c>
      <c r="K74" s="7">
        <v>43601.522060185183</v>
      </c>
      <c r="L74" s="4">
        <v>656.2</v>
      </c>
      <c r="M74" s="4">
        <v>26.4</v>
      </c>
      <c r="N74" s="4">
        <v>16.670000000000002</v>
      </c>
      <c r="Q74">
        <v>-0.166315628693432</v>
      </c>
      <c r="R74">
        <v>1.29675922484606E-4</v>
      </c>
    </row>
    <row r="75" spans="1:18" x14ac:dyDescent="0.2">
      <c r="A75" t="s">
        <v>7</v>
      </c>
      <c r="B75">
        <v>2</v>
      </c>
      <c r="C75" t="s">
        <v>3</v>
      </c>
      <c r="D75" s="2">
        <v>43601</v>
      </c>
      <c r="E75" s="11">
        <v>136</v>
      </c>
      <c r="F75" s="3">
        <v>0.52518518518518498</v>
      </c>
      <c r="G75" s="3">
        <v>0.52865740740740796</v>
      </c>
      <c r="H75" s="13">
        <v>136.52518518518519</v>
      </c>
      <c r="I75" s="13">
        <v>136.52865740740739</v>
      </c>
      <c r="J75" s="13">
        <v>136.52692129629628</v>
      </c>
      <c r="K75" s="7">
        <v>43601.526921296296</v>
      </c>
      <c r="L75" s="4">
        <v>2038.7</v>
      </c>
      <c r="M75" s="4"/>
      <c r="N75" s="4">
        <v>16.670000000000002</v>
      </c>
      <c r="Q75">
        <v>0.63860637235852102</v>
      </c>
      <c r="R75">
        <v>1.31822984772179E-4</v>
      </c>
    </row>
    <row r="76" spans="1:18" x14ac:dyDescent="0.2">
      <c r="A76" t="s">
        <v>7</v>
      </c>
      <c r="B76">
        <v>3</v>
      </c>
      <c r="C76" t="s">
        <v>2</v>
      </c>
      <c r="D76" s="2">
        <v>43601</v>
      </c>
      <c r="E76" s="11">
        <v>136</v>
      </c>
      <c r="F76" s="3">
        <v>0.53004629629629596</v>
      </c>
      <c r="G76" s="3">
        <v>0.53351851851851895</v>
      </c>
      <c r="H76" s="13">
        <v>136.53004629629629</v>
      </c>
      <c r="I76" s="13">
        <v>136.53351851851852</v>
      </c>
      <c r="J76" s="13">
        <v>136.53178240740741</v>
      </c>
      <c r="K76" s="7">
        <v>43601.531782407408</v>
      </c>
      <c r="L76" s="4">
        <v>2058.6999999999998</v>
      </c>
      <c r="M76" s="4">
        <v>20.9</v>
      </c>
      <c r="N76" s="4">
        <v>16.670000000000002</v>
      </c>
      <c r="Q76">
        <v>-0.47700073774527602</v>
      </c>
      <c r="R76">
        <v>1.3179983052120001E-4</v>
      </c>
    </row>
    <row r="77" spans="1:18" x14ac:dyDescent="0.2">
      <c r="A77" t="s">
        <v>7</v>
      </c>
      <c r="B77">
        <v>3</v>
      </c>
      <c r="C77" t="s">
        <v>3</v>
      </c>
      <c r="D77" s="2">
        <v>43601</v>
      </c>
      <c r="E77" s="11">
        <v>136</v>
      </c>
      <c r="F77" s="3">
        <v>0.53490740740740705</v>
      </c>
      <c r="G77" s="3">
        <v>0.53837962962963004</v>
      </c>
      <c r="H77" s="13">
        <v>136.53490740740742</v>
      </c>
      <c r="I77" s="13">
        <v>136.53837962962962</v>
      </c>
      <c r="J77" s="13">
        <v>136.53664351851853</v>
      </c>
      <c r="K77" s="7">
        <v>43601.536643518521</v>
      </c>
      <c r="L77" s="4">
        <v>1981.2</v>
      </c>
      <c r="M77" s="4"/>
      <c r="N77" s="4">
        <v>16.670000000000002</v>
      </c>
      <c r="Q77">
        <v>-0.13570718853015201</v>
      </c>
      <c r="R77">
        <v>1.2436098179114701E-4</v>
      </c>
    </row>
    <row r="78" spans="1:18" x14ac:dyDescent="0.2">
      <c r="A78" t="s">
        <v>7</v>
      </c>
      <c r="B78">
        <v>4</v>
      </c>
      <c r="C78" t="s">
        <v>2</v>
      </c>
      <c r="D78" s="2">
        <v>43601</v>
      </c>
      <c r="E78" s="11">
        <v>136</v>
      </c>
      <c r="F78" s="3">
        <v>0.53976851851851804</v>
      </c>
      <c r="G78" s="3">
        <v>0.54324074074074102</v>
      </c>
      <c r="H78" s="13">
        <v>136.53976851851851</v>
      </c>
      <c r="I78" s="13">
        <v>136.54324074074074</v>
      </c>
      <c r="J78" s="13">
        <v>136.54150462962963</v>
      </c>
      <c r="K78" s="7">
        <v>43601.541504629633</v>
      </c>
      <c r="L78" s="4">
        <v>1996.2</v>
      </c>
      <c r="M78" s="4">
        <v>27.2</v>
      </c>
      <c r="N78" s="4">
        <v>16.670000000000002</v>
      </c>
      <c r="Q78">
        <v>-6.2813010763880406E-2</v>
      </c>
      <c r="R78">
        <v>1.4138480205580701E-4</v>
      </c>
    </row>
    <row r="79" spans="1:18" x14ac:dyDescent="0.2">
      <c r="A79" t="s">
        <v>7</v>
      </c>
      <c r="B79">
        <v>4</v>
      </c>
      <c r="C79" t="s">
        <v>3</v>
      </c>
      <c r="D79" s="2">
        <v>43601</v>
      </c>
      <c r="E79" s="11">
        <v>136</v>
      </c>
      <c r="F79" s="3">
        <v>0.54462962962962902</v>
      </c>
      <c r="G79" s="3">
        <v>0.54810185185185201</v>
      </c>
      <c r="H79" s="13">
        <v>136.54462962962964</v>
      </c>
      <c r="I79" s="13">
        <v>136.54810185185184</v>
      </c>
      <c r="J79" s="13">
        <v>136.54636574074073</v>
      </c>
      <c r="K79" s="7">
        <v>43601.546365740738</v>
      </c>
      <c r="L79" s="4">
        <v>573.70000000000005</v>
      </c>
      <c r="M79" s="4"/>
      <c r="N79" s="4">
        <v>16.670000000000002</v>
      </c>
      <c r="Q79">
        <v>-0.44834148858794698</v>
      </c>
      <c r="R79">
        <v>1.5410309284617801E-4</v>
      </c>
    </row>
    <row r="80" spans="1:18" x14ac:dyDescent="0.2">
      <c r="A80" t="s">
        <v>7</v>
      </c>
      <c r="B80">
        <v>5</v>
      </c>
      <c r="C80" t="s">
        <v>2</v>
      </c>
      <c r="D80" s="2">
        <v>43601</v>
      </c>
      <c r="E80" s="11">
        <v>136</v>
      </c>
      <c r="F80" s="3">
        <v>0.54949074074074</v>
      </c>
      <c r="G80" s="3">
        <v>0.55296296296296399</v>
      </c>
      <c r="H80" s="13">
        <v>136.54949074074074</v>
      </c>
      <c r="I80" s="13">
        <v>136.55296296296297</v>
      </c>
      <c r="J80" s="13">
        <v>136.55122685185185</v>
      </c>
      <c r="K80" s="7">
        <v>43601.551226851851</v>
      </c>
      <c r="L80" s="4">
        <v>723.7</v>
      </c>
      <c r="M80" s="4">
        <v>21.5</v>
      </c>
      <c r="N80" s="4">
        <v>16.670000000000002</v>
      </c>
      <c r="Q80">
        <v>3.0589991366368099E-2</v>
      </c>
      <c r="R80">
        <v>1.4475517223241899E-4</v>
      </c>
    </row>
    <row r="81" spans="1:18" x14ac:dyDescent="0.2">
      <c r="A81" t="s">
        <v>7</v>
      </c>
      <c r="B81">
        <v>5</v>
      </c>
      <c r="C81" t="s">
        <v>3</v>
      </c>
      <c r="D81" s="2">
        <v>43601</v>
      </c>
      <c r="E81" s="11">
        <v>136</v>
      </c>
      <c r="F81" s="3">
        <v>0.55435185185185099</v>
      </c>
      <c r="G81" s="3">
        <v>0.55782407407407497</v>
      </c>
      <c r="H81" s="13">
        <v>136.55435185185186</v>
      </c>
      <c r="I81" s="13">
        <v>136.55782407407406</v>
      </c>
      <c r="J81" s="13">
        <v>136.55608796296298</v>
      </c>
      <c r="K81" s="7">
        <v>43601.556087962963</v>
      </c>
      <c r="L81" s="4">
        <v>601.20000000000005</v>
      </c>
      <c r="M81" s="4"/>
      <c r="N81" s="4">
        <v>16.670000000000002</v>
      </c>
      <c r="Q81">
        <v>-0.13561702198228201</v>
      </c>
      <c r="R81">
        <v>2.1423851420614999E-4</v>
      </c>
    </row>
    <row r="82" spans="1:18" x14ac:dyDescent="0.2">
      <c r="A82" t="s">
        <v>7</v>
      </c>
      <c r="B82">
        <v>1</v>
      </c>
      <c r="C82" t="s">
        <v>2</v>
      </c>
      <c r="D82" s="2">
        <v>43608</v>
      </c>
      <c r="E82" s="11">
        <v>143</v>
      </c>
      <c r="F82" s="3">
        <v>0.38263888888888892</v>
      </c>
      <c r="G82" s="3">
        <v>0.38611111111111113</v>
      </c>
      <c r="H82" s="13">
        <v>143.38263888888889</v>
      </c>
      <c r="I82" s="13">
        <v>143.38611111111112</v>
      </c>
      <c r="J82" s="13">
        <v>143.38437500000001</v>
      </c>
      <c r="K82" s="7">
        <v>43608.384375000001</v>
      </c>
      <c r="L82" s="4">
        <v>1111.2</v>
      </c>
      <c r="M82" s="4">
        <v>18.8</v>
      </c>
      <c r="N82" s="4">
        <v>16.11</v>
      </c>
      <c r="Q82">
        <v>1.66716157001968</v>
      </c>
      <c r="R82">
        <v>4.8281927382888502E-4</v>
      </c>
    </row>
    <row r="83" spans="1:18" x14ac:dyDescent="0.2">
      <c r="A83" t="s">
        <v>7</v>
      </c>
      <c r="B83">
        <v>1</v>
      </c>
      <c r="C83" t="s">
        <v>3</v>
      </c>
      <c r="D83" s="2">
        <v>43608</v>
      </c>
      <c r="E83" s="11">
        <v>143</v>
      </c>
      <c r="F83" s="3">
        <v>0.38750000000000001</v>
      </c>
      <c r="G83" s="3">
        <v>0.39097222222222222</v>
      </c>
      <c r="H83" s="13">
        <v>143.38749999999999</v>
      </c>
      <c r="I83" s="13">
        <v>143.39097222222222</v>
      </c>
      <c r="J83" s="13">
        <v>143.3892361111111</v>
      </c>
      <c r="K83" s="7">
        <v>43608.389236111114</v>
      </c>
      <c r="L83" s="4">
        <v>1186.2</v>
      </c>
      <c r="M83" s="4"/>
      <c r="N83" s="4">
        <v>16.11</v>
      </c>
      <c r="Q83">
        <v>2.23080948664402</v>
      </c>
      <c r="R83">
        <v>-4.5906818573451902E-6</v>
      </c>
    </row>
    <row r="84" spans="1:18" x14ac:dyDescent="0.2">
      <c r="A84" t="s">
        <v>7</v>
      </c>
      <c r="B84">
        <v>2</v>
      </c>
      <c r="C84" t="s">
        <v>2</v>
      </c>
      <c r="D84" s="2">
        <v>43608</v>
      </c>
      <c r="E84" s="11">
        <v>143</v>
      </c>
      <c r="F84" s="3">
        <v>0.39236111111111099</v>
      </c>
      <c r="G84" s="3">
        <v>0.39583333333333298</v>
      </c>
      <c r="H84" s="13">
        <v>143.39236111111111</v>
      </c>
      <c r="I84" s="13">
        <v>143.39583333333334</v>
      </c>
      <c r="J84" s="13">
        <v>143.39409722222223</v>
      </c>
      <c r="K84" s="7">
        <v>43608.394097222219</v>
      </c>
      <c r="L84" s="4">
        <v>1206.2</v>
      </c>
      <c r="M84" s="4">
        <v>18.600000000000001</v>
      </c>
      <c r="N84" s="4">
        <v>16.11</v>
      </c>
      <c r="Q84">
        <v>-0.39364010043717901</v>
      </c>
      <c r="R84">
        <v>-1.0669597279423E-4</v>
      </c>
    </row>
    <row r="85" spans="1:18" x14ac:dyDescent="0.2">
      <c r="A85" t="s">
        <v>7</v>
      </c>
      <c r="B85">
        <v>2</v>
      </c>
      <c r="C85" t="s">
        <v>3</v>
      </c>
      <c r="D85" s="2">
        <v>43608</v>
      </c>
      <c r="E85" s="11">
        <v>143</v>
      </c>
      <c r="F85" s="3">
        <v>0.39722222222222198</v>
      </c>
      <c r="G85" s="3">
        <v>0.40069444444444402</v>
      </c>
      <c r="H85" s="13">
        <v>143.39722222222221</v>
      </c>
      <c r="I85" s="13">
        <v>143.40069444444444</v>
      </c>
      <c r="J85" s="13">
        <v>143.39895833333333</v>
      </c>
      <c r="K85" s="7">
        <v>43608.398958333331</v>
      </c>
      <c r="L85" s="4">
        <v>931.2</v>
      </c>
      <c r="M85" s="4"/>
      <c r="N85" s="4">
        <v>16.11</v>
      </c>
      <c r="Q85">
        <v>2.8819930776397902</v>
      </c>
      <c r="R85">
        <v>-4.5661127963000898E-4</v>
      </c>
    </row>
    <row r="86" spans="1:18" x14ac:dyDescent="0.2">
      <c r="A86" t="s">
        <v>7</v>
      </c>
      <c r="B86">
        <v>3</v>
      </c>
      <c r="C86" t="s">
        <v>2</v>
      </c>
      <c r="D86" s="2">
        <v>43608</v>
      </c>
      <c r="E86" s="11">
        <v>143</v>
      </c>
      <c r="F86" s="3">
        <v>0.40208333333333302</v>
      </c>
      <c r="G86" s="3">
        <v>0.405555555555556</v>
      </c>
      <c r="H86" s="13">
        <v>143.40208333333334</v>
      </c>
      <c r="I86" s="13">
        <v>143.40555555555557</v>
      </c>
      <c r="J86" s="13">
        <v>143.40381944444445</v>
      </c>
      <c r="K86" s="7">
        <v>43608.403819444444</v>
      </c>
      <c r="L86" s="4">
        <v>1278.7</v>
      </c>
      <c r="M86" s="4">
        <v>12.8</v>
      </c>
      <c r="N86" s="4">
        <v>16.11</v>
      </c>
      <c r="Q86">
        <v>-3.64689750958008</v>
      </c>
      <c r="R86">
        <v>1.8519958818380999E-4</v>
      </c>
    </row>
    <row r="87" spans="1:18" x14ac:dyDescent="0.2">
      <c r="A87" t="s">
        <v>7</v>
      </c>
      <c r="B87">
        <v>3</v>
      </c>
      <c r="C87" t="s">
        <v>3</v>
      </c>
      <c r="D87" s="2">
        <v>43608</v>
      </c>
      <c r="E87" s="11">
        <v>143</v>
      </c>
      <c r="F87" s="3">
        <v>0.406944444444444</v>
      </c>
      <c r="G87" s="3">
        <v>0.41041666666666698</v>
      </c>
      <c r="H87" s="13">
        <v>143.40694444444443</v>
      </c>
      <c r="I87" s="13">
        <v>143.41041666666666</v>
      </c>
      <c r="J87" s="13">
        <v>143.40868055555555</v>
      </c>
      <c r="K87" s="7">
        <v>43608.408680555556</v>
      </c>
      <c r="L87" s="4">
        <v>1371.2</v>
      </c>
      <c r="M87" s="4"/>
      <c r="N87" s="4">
        <v>16.11</v>
      </c>
      <c r="Q87">
        <v>1.3936996941511599</v>
      </c>
      <c r="R87">
        <v>-5.9836618664460702E-4</v>
      </c>
    </row>
    <row r="88" spans="1:18" x14ac:dyDescent="0.2">
      <c r="A88" t="s">
        <v>7</v>
      </c>
      <c r="B88">
        <v>4</v>
      </c>
      <c r="C88" t="s">
        <v>2</v>
      </c>
      <c r="D88" s="2">
        <v>43608</v>
      </c>
      <c r="E88" s="11">
        <v>143</v>
      </c>
      <c r="F88" s="3">
        <v>0.41180555555555598</v>
      </c>
      <c r="G88" s="3">
        <v>0.41527777777777802</v>
      </c>
      <c r="H88" s="13">
        <v>143.41180555555556</v>
      </c>
      <c r="I88" s="13">
        <v>143.41527777777779</v>
      </c>
      <c r="J88" s="13">
        <v>143.41354166666667</v>
      </c>
      <c r="K88" s="7">
        <v>43608.413541666669</v>
      </c>
      <c r="L88" s="4">
        <v>1548.7</v>
      </c>
      <c r="M88" s="4">
        <v>19.100000000000001</v>
      </c>
      <c r="N88" s="4">
        <v>16.11</v>
      </c>
      <c r="Q88">
        <v>3.5183431457325001</v>
      </c>
      <c r="R88">
        <v>-9.7967290331316494E-4</v>
      </c>
    </row>
    <row r="89" spans="1:18" x14ac:dyDescent="0.2">
      <c r="A89" t="s">
        <v>7</v>
      </c>
      <c r="B89">
        <v>4</v>
      </c>
      <c r="C89" t="s">
        <v>3</v>
      </c>
      <c r="D89" s="2">
        <v>43608</v>
      </c>
      <c r="E89" s="11">
        <v>143</v>
      </c>
      <c r="F89" s="3">
        <v>0.41666666666666702</v>
      </c>
      <c r="G89" s="3">
        <v>0.42013888888888901</v>
      </c>
      <c r="H89" s="13">
        <v>143.41666666666666</v>
      </c>
      <c r="I89" s="13">
        <v>143.42013888888889</v>
      </c>
      <c r="J89" s="13">
        <v>143.41840277777777</v>
      </c>
      <c r="K89" s="7">
        <v>43608.418402777781</v>
      </c>
      <c r="L89" s="4">
        <v>1633.7</v>
      </c>
      <c r="M89" s="4"/>
      <c r="N89" s="4">
        <v>16.11</v>
      </c>
      <c r="Q89">
        <v>2.4645682228471801</v>
      </c>
      <c r="R89">
        <v>-2.6951978701885299E-5</v>
      </c>
    </row>
    <row r="90" spans="1:18" x14ac:dyDescent="0.2">
      <c r="A90" t="s">
        <v>7</v>
      </c>
      <c r="B90">
        <v>5</v>
      </c>
      <c r="C90" t="s">
        <v>2</v>
      </c>
      <c r="D90" s="2">
        <v>43608</v>
      </c>
      <c r="E90" s="11">
        <v>143</v>
      </c>
      <c r="F90" s="3">
        <v>0.421527777777778</v>
      </c>
      <c r="G90" s="3">
        <v>0.42499999999999999</v>
      </c>
      <c r="H90" s="13">
        <v>143.42152777777778</v>
      </c>
      <c r="I90" s="13">
        <v>143.42500000000001</v>
      </c>
      <c r="J90" s="13">
        <v>143.4232638888889</v>
      </c>
      <c r="K90" s="7">
        <v>43608.423263888886</v>
      </c>
      <c r="L90" s="4">
        <v>1601.2</v>
      </c>
      <c r="M90" s="4">
        <v>13.4</v>
      </c>
      <c r="N90" s="4">
        <v>16.11</v>
      </c>
      <c r="Q90">
        <v>-0.73823673830057901</v>
      </c>
      <c r="R90">
        <v>4.0796137773568201E-4</v>
      </c>
    </row>
    <row r="91" spans="1:18" x14ac:dyDescent="0.2">
      <c r="A91" t="s">
        <v>7</v>
      </c>
      <c r="B91">
        <v>5</v>
      </c>
      <c r="C91" t="s">
        <v>3</v>
      </c>
      <c r="D91" s="2">
        <v>43608</v>
      </c>
      <c r="E91" s="11">
        <v>143</v>
      </c>
      <c r="F91" s="3">
        <v>0.42638888888888898</v>
      </c>
      <c r="G91" s="3">
        <v>0.42986111111111103</v>
      </c>
      <c r="H91" s="13">
        <v>143.42638888888888</v>
      </c>
      <c r="I91" s="13">
        <v>143.42986111111111</v>
      </c>
      <c r="J91" s="13">
        <v>143.42812499999999</v>
      </c>
      <c r="K91" s="7">
        <v>43608.428124999999</v>
      </c>
      <c r="L91" s="4">
        <v>1663.7</v>
      </c>
      <c r="M91" s="4"/>
      <c r="N91" s="4">
        <v>16.11</v>
      </c>
      <c r="Q91">
        <v>-1.5309663372387601</v>
      </c>
      <c r="R91">
        <v>4.4837646926151799E-4</v>
      </c>
    </row>
    <row r="92" spans="1:18" x14ac:dyDescent="0.2">
      <c r="A92" t="s">
        <v>7</v>
      </c>
      <c r="B92">
        <v>1</v>
      </c>
      <c r="C92" t="s">
        <v>2</v>
      </c>
      <c r="D92" s="2">
        <v>43608</v>
      </c>
      <c r="E92" s="11">
        <v>143</v>
      </c>
      <c r="F92" s="3">
        <v>0.55069444444444449</v>
      </c>
      <c r="G92" s="3">
        <v>0.5541666666666667</v>
      </c>
      <c r="H92" s="13">
        <v>143.55069444444445</v>
      </c>
      <c r="I92" s="13">
        <v>143.55416666666667</v>
      </c>
      <c r="J92" s="13">
        <v>143.55243055555556</v>
      </c>
      <c r="K92" s="7">
        <v>43608.552430555559</v>
      </c>
      <c r="L92" s="4">
        <v>1128.7</v>
      </c>
      <c r="M92" s="4">
        <v>18.7</v>
      </c>
      <c r="N92" s="4">
        <v>18.329999999999998</v>
      </c>
      <c r="Q92">
        <v>-3.0513031639338002</v>
      </c>
      <c r="R92">
        <v>-1.7365378784746401E-2</v>
      </c>
    </row>
    <row r="93" spans="1:18" x14ac:dyDescent="0.2">
      <c r="A93" t="s">
        <v>7</v>
      </c>
      <c r="B93">
        <v>1</v>
      </c>
      <c r="C93" t="s">
        <v>3</v>
      </c>
      <c r="D93" s="2">
        <v>43608</v>
      </c>
      <c r="E93" s="11">
        <v>143</v>
      </c>
      <c r="F93" s="3">
        <v>0.55555555555555558</v>
      </c>
      <c r="G93" s="3">
        <v>0.55902777777777779</v>
      </c>
      <c r="H93" s="13">
        <v>143.55555555555554</v>
      </c>
      <c r="I93" s="13">
        <v>143.55902777777777</v>
      </c>
      <c r="J93" s="13">
        <v>143.55729166666666</v>
      </c>
      <c r="K93" s="7">
        <v>43608.557291666664</v>
      </c>
      <c r="L93" s="4">
        <v>1013.7</v>
      </c>
      <c r="M93" s="4"/>
      <c r="N93" s="4">
        <v>18.329999999999998</v>
      </c>
      <c r="Q93">
        <v>1.36124456760533</v>
      </c>
      <c r="R93">
        <v>4.0920940598121599E-4</v>
      </c>
    </row>
    <row r="94" spans="1:18" x14ac:dyDescent="0.2">
      <c r="A94" t="s">
        <v>7</v>
      </c>
      <c r="B94">
        <v>2</v>
      </c>
      <c r="C94" t="s">
        <v>2</v>
      </c>
      <c r="D94" s="2">
        <v>43608</v>
      </c>
      <c r="E94" s="11">
        <v>143</v>
      </c>
      <c r="F94" s="3">
        <v>0.56041666666666701</v>
      </c>
      <c r="G94" s="3">
        <v>0.56388888888888899</v>
      </c>
      <c r="H94" s="13">
        <v>143.56041666666667</v>
      </c>
      <c r="I94" s="13">
        <v>143.5638888888889</v>
      </c>
      <c r="J94" s="13">
        <v>143.56215277777778</v>
      </c>
      <c r="K94" s="7">
        <v>43608.562152777777</v>
      </c>
      <c r="L94" s="4">
        <v>836.2</v>
      </c>
      <c r="M94" s="4">
        <v>18.600000000000001</v>
      </c>
      <c r="N94" s="4">
        <v>18.329999999999998</v>
      </c>
      <c r="Q94">
        <v>1.7036707836218801</v>
      </c>
      <c r="R94">
        <v>1.9621956040114701E-4</v>
      </c>
    </row>
    <row r="95" spans="1:18" x14ac:dyDescent="0.2">
      <c r="A95" t="s">
        <v>7</v>
      </c>
      <c r="B95">
        <v>2</v>
      </c>
      <c r="C95" t="s">
        <v>3</v>
      </c>
      <c r="D95" s="2">
        <v>43608</v>
      </c>
      <c r="E95" s="11">
        <v>143</v>
      </c>
      <c r="F95" s="3">
        <v>0.56527777777777799</v>
      </c>
      <c r="G95" s="3">
        <v>0.56874999999999998</v>
      </c>
      <c r="H95" s="13">
        <v>143.56527777777777</v>
      </c>
      <c r="I95" s="13">
        <v>143.56874999999999</v>
      </c>
      <c r="J95" s="13">
        <v>143.56701388888888</v>
      </c>
      <c r="K95" s="7">
        <v>43608.567013888889</v>
      </c>
      <c r="L95" s="4">
        <v>961.2</v>
      </c>
      <c r="M95" s="4"/>
      <c r="N95" s="4">
        <v>18.329999999999998</v>
      </c>
      <c r="Q95">
        <v>1.15764899835782</v>
      </c>
      <c r="R95">
        <v>-1.6595973871909801E-5</v>
      </c>
    </row>
    <row r="96" spans="1:18" x14ac:dyDescent="0.2">
      <c r="A96" t="s">
        <v>7</v>
      </c>
      <c r="B96">
        <v>3</v>
      </c>
      <c r="C96" t="s">
        <v>2</v>
      </c>
      <c r="D96" s="2">
        <v>43608</v>
      </c>
      <c r="E96" s="11">
        <v>143</v>
      </c>
      <c r="F96" s="3">
        <v>0.57013888888888897</v>
      </c>
      <c r="G96" s="3">
        <v>0.57361111111111096</v>
      </c>
      <c r="H96" s="13">
        <v>143.57013888888889</v>
      </c>
      <c r="I96" s="13">
        <v>143.57361111111112</v>
      </c>
      <c r="J96" s="13">
        <v>143.57187500000001</v>
      </c>
      <c r="K96" s="7">
        <v>43608.571875000001</v>
      </c>
      <c r="L96" s="4">
        <v>1031.2</v>
      </c>
      <c r="M96" s="4">
        <v>12.5</v>
      </c>
      <c r="N96" s="4">
        <v>18.329999999999998</v>
      </c>
      <c r="Q96">
        <v>0.127178199666339</v>
      </c>
      <c r="R96">
        <v>2.8691038381430701E-5</v>
      </c>
    </row>
    <row r="97" spans="1:18" x14ac:dyDescent="0.2">
      <c r="A97" t="s">
        <v>7</v>
      </c>
      <c r="B97">
        <v>3</v>
      </c>
      <c r="C97" t="s">
        <v>3</v>
      </c>
      <c r="D97" s="2">
        <v>43608</v>
      </c>
      <c r="E97" s="11">
        <v>143</v>
      </c>
      <c r="F97" s="3">
        <v>0.57499999999999996</v>
      </c>
      <c r="G97" s="3">
        <v>0.57847222222222205</v>
      </c>
      <c r="H97" s="13">
        <v>143.57499999999999</v>
      </c>
      <c r="I97" s="13">
        <v>143.57847222222222</v>
      </c>
      <c r="J97" s="13">
        <v>143.5767361111111</v>
      </c>
      <c r="K97" s="7">
        <v>43608.576736111114</v>
      </c>
      <c r="L97" s="4">
        <v>728.7</v>
      </c>
      <c r="M97" s="4"/>
      <c r="N97" s="4">
        <v>18.329999999999998</v>
      </c>
      <c r="Q97">
        <v>-0.72612363925951395</v>
      </c>
      <c r="R97">
        <v>-1.43475121417713E-5</v>
      </c>
    </row>
    <row r="98" spans="1:18" x14ac:dyDescent="0.2">
      <c r="A98" t="s">
        <v>7</v>
      </c>
      <c r="B98">
        <v>4</v>
      </c>
      <c r="C98" t="s">
        <v>2</v>
      </c>
      <c r="D98" s="2">
        <v>43608</v>
      </c>
      <c r="E98" s="11">
        <v>143</v>
      </c>
      <c r="F98" s="3">
        <v>0.57986111111111105</v>
      </c>
      <c r="G98" s="3">
        <v>0.58333333333333304</v>
      </c>
      <c r="H98" s="13">
        <v>143.57986111111111</v>
      </c>
      <c r="I98" s="13">
        <v>143.58333333333334</v>
      </c>
      <c r="J98" s="13">
        <v>143.58159722222223</v>
      </c>
      <c r="K98" s="7">
        <v>43608.581597222219</v>
      </c>
      <c r="L98" s="4">
        <v>28.7</v>
      </c>
      <c r="M98" s="4">
        <v>19</v>
      </c>
      <c r="N98" s="4">
        <v>18.329999999999998</v>
      </c>
      <c r="Q98">
        <v>-0.23676556325359999</v>
      </c>
      <c r="R98">
        <v>1.1205630835445801E-6</v>
      </c>
    </row>
    <row r="99" spans="1:18" x14ac:dyDescent="0.2">
      <c r="A99" t="s">
        <v>7</v>
      </c>
      <c r="B99">
        <v>4</v>
      </c>
      <c r="C99" t="s">
        <v>3</v>
      </c>
      <c r="D99" s="2">
        <v>43608</v>
      </c>
      <c r="E99" s="11">
        <v>143</v>
      </c>
      <c r="F99" s="3">
        <v>0.58472222222222203</v>
      </c>
      <c r="G99" s="3">
        <v>0.58819444444444402</v>
      </c>
      <c r="H99" s="13">
        <v>143.58472222222221</v>
      </c>
      <c r="I99" s="13">
        <v>143.58819444444444</v>
      </c>
      <c r="J99" s="13">
        <v>143.58645833333333</v>
      </c>
      <c r="K99" s="7">
        <v>43608.586458333331</v>
      </c>
      <c r="L99" s="4">
        <v>1.2</v>
      </c>
      <c r="M99" s="4"/>
      <c r="N99" s="4">
        <v>18.329999999999998</v>
      </c>
      <c r="Q99">
        <v>1.49804372152131</v>
      </c>
      <c r="R99">
        <v>-2.6676492244358599E-4</v>
      </c>
    </row>
    <row r="100" spans="1:18" x14ac:dyDescent="0.2">
      <c r="A100" t="s">
        <v>7</v>
      </c>
      <c r="B100">
        <v>1</v>
      </c>
      <c r="C100" t="s">
        <v>2</v>
      </c>
      <c r="D100" s="2">
        <v>43614</v>
      </c>
      <c r="E100" s="11">
        <v>149</v>
      </c>
      <c r="F100" s="3">
        <v>0.4201388888888889</v>
      </c>
      <c r="G100" s="3">
        <v>0.4236111111111111</v>
      </c>
      <c r="H100" s="13">
        <v>149.42013888888889</v>
      </c>
      <c r="I100" s="13">
        <v>149.42361111111111</v>
      </c>
      <c r="J100" s="13">
        <v>149.421875</v>
      </c>
      <c r="K100" s="7">
        <v>43614.421875</v>
      </c>
      <c r="L100" s="4">
        <v>1018.7</v>
      </c>
      <c r="M100" s="4">
        <v>25.2</v>
      </c>
      <c r="N100" s="4">
        <v>17.22</v>
      </c>
      <c r="Q100">
        <v>4.4068148271899199</v>
      </c>
      <c r="R100">
        <v>-0.22641090229215</v>
      </c>
    </row>
    <row r="101" spans="1:18" x14ac:dyDescent="0.2">
      <c r="A101" t="s">
        <v>7</v>
      </c>
      <c r="B101">
        <v>1</v>
      </c>
      <c r="C101" t="s">
        <v>3</v>
      </c>
      <c r="D101" s="2">
        <v>43614</v>
      </c>
      <c r="E101" s="11">
        <v>149</v>
      </c>
      <c r="F101" s="3">
        <v>0.42499999999999999</v>
      </c>
      <c r="G101" s="3">
        <v>0.4284722222222222</v>
      </c>
      <c r="H101" s="13">
        <v>149.42500000000001</v>
      </c>
      <c r="I101" s="13">
        <v>149.42847222222221</v>
      </c>
      <c r="J101" s="13">
        <v>149.4267361111111</v>
      </c>
      <c r="K101" s="7">
        <v>43614.426736111112</v>
      </c>
      <c r="L101" s="4">
        <v>941.2</v>
      </c>
      <c r="M101" s="4"/>
      <c r="N101" s="4">
        <v>17.22</v>
      </c>
      <c r="Q101">
        <v>3.2636361550161301</v>
      </c>
      <c r="R101">
        <v>1.2728237282033799E-3</v>
      </c>
    </row>
    <row r="102" spans="1:18" x14ac:dyDescent="0.2">
      <c r="A102" t="s">
        <v>7</v>
      </c>
      <c r="B102">
        <v>2</v>
      </c>
      <c r="C102" t="s">
        <v>2</v>
      </c>
      <c r="D102" s="2">
        <v>43614</v>
      </c>
      <c r="E102" s="11">
        <v>149</v>
      </c>
      <c r="F102" s="3">
        <v>0.42986111111111103</v>
      </c>
      <c r="G102" s="3">
        <v>0.43333333333333302</v>
      </c>
      <c r="H102" s="13">
        <v>149.42986111111111</v>
      </c>
      <c r="I102" s="13">
        <v>149.43333333333334</v>
      </c>
      <c r="J102" s="13">
        <v>149.43159722222222</v>
      </c>
      <c r="K102" s="7">
        <v>43614.431597222225</v>
      </c>
      <c r="L102" s="4">
        <v>951.2</v>
      </c>
      <c r="M102" s="4">
        <v>25.3</v>
      </c>
      <c r="N102" s="4">
        <v>17.22</v>
      </c>
      <c r="Q102">
        <v>2.2894167775982899</v>
      </c>
      <c r="R102">
        <v>6.4075702758892598E-3</v>
      </c>
    </row>
    <row r="103" spans="1:18" x14ac:dyDescent="0.2">
      <c r="A103" t="s">
        <v>7</v>
      </c>
      <c r="B103">
        <v>2</v>
      </c>
      <c r="C103" t="s">
        <v>3</v>
      </c>
      <c r="D103" s="2">
        <v>43614</v>
      </c>
      <c r="E103" s="11">
        <v>149</v>
      </c>
      <c r="F103" s="3">
        <v>0.43472222222222201</v>
      </c>
      <c r="G103" s="3">
        <v>0.438194444444444</v>
      </c>
      <c r="H103" s="13">
        <v>149.43472222222223</v>
      </c>
      <c r="I103" s="13">
        <v>149.43819444444443</v>
      </c>
      <c r="J103" s="13">
        <v>149.43645833333335</v>
      </c>
      <c r="K103" s="7">
        <v>43614.43645833333</v>
      </c>
      <c r="L103" s="4">
        <v>873.7</v>
      </c>
      <c r="M103" s="4"/>
      <c r="N103" s="4">
        <v>17.22</v>
      </c>
      <c r="Q103">
        <v>3.4042091753033001</v>
      </c>
      <c r="R103">
        <v>1.3936213776738499E-3</v>
      </c>
    </row>
    <row r="104" spans="1:18" x14ac:dyDescent="0.2">
      <c r="A104" t="s">
        <v>7</v>
      </c>
      <c r="B104">
        <v>3</v>
      </c>
      <c r="C104" t="s">
        <v>2</v>
      </c>
      <c r="D104" s="2">
        <v>43614</v>
      </c>
      <c r="E104" s="11">
        <v>149</v>
      </c>
      <c r="F104" s="3">
        <v>0.43958333333333299</v>
      </c>
      <c r="G104" s="3">
        <v>0.44305555555555498</v>
      </c>
      <c r="H104" s="13">
        <v>149.43958333333333</v>
      </c>
      <c r="I104" s="13">
        <v>149.44305555555556</v>
      </c>
      <c r="J104" s="13">
        <v>149.44131944444445</v>
      </c>
      <c r="K104" s="7">
        <v>43614.441319444442</v>
      </c>
      <c r="L104" s="4">
        <v>986.2</v>
      </c>
      <c r="M104" s="4">
        <v>19.3</v>
      </c>
      <c r="N104" s="4">
        <v>17.22</v>
      </c>
      <c r="Q104">
        <v>1.96655829665824</v>
      </c>
      <c r="R104">
        <v>5.7178267781731395E-4</v>
      </c>
    </row>
    <row r="105" spans="1:18" x14ac:dyDescent="0.2">
      <c r="A105" t="s">
        <v>7</v>
      </c>
      <c r="B105">
        <v>3</v>
      </c>
      <c r="C105" t="s">
        <v>3</v>
      </c>
      <c r="D105" s="2">
        <v>43614</v>
      </c>
      <c r="E105" s="11">
        <v>149</v>
      </c>
      <c r="F105" s="3">
        <v>0.44444444444444398</v>
      </c>
      <c r="G105" s="3">
        <v>0.44791666666666702</v>
      </c>
      <c r="H105" s="13">
        <v>149.44444444444446</v>
      </c>
      <c r="I105" s="13">
        <v>149.44791666666666</v>
      </c>
      <c r="J105" s="13">
        <v>149.44618055555554</v>
      </c>
      <c r="K105" s="7">
        <v>43614.446180555555</v>
      </c>
      <c r="L105" s="4">
        <v>1223.7</v>
      </c>
      <c r="M105" s="4"/>
      <c r="N105" s="4">
        <v>17.22</v>
      </c>
      <c r="Q105">
        <v>4.9855964000456297</v>
      </c>
      <c r="R105">
        <v>-2.0366289532283598E-2</v>
      </c>
    </row>
    <row r="106" spans="1:18" x14ac:dyDescent="0.2">
      <c r="A106" t="s">
        <v>7</v>
      </c>
      <c r="B106">
        <v>4</v>
      </c>
      <c r="C106" t="s">
        <v>2</v>
      </c>
      <c r="D106" s="2">
        <v>43614</v>
      </c>
      <c r="E106" s="11">
        <v>149</v>
      </c>
      <c r="F106" s="3">
        <v>0.44930555555555601</v>
      </c>
      <c r="G106" s="3">
        <v>0.452777777777778</v>
      </c>
      <c r="H106" s="13">
        <v>149.44930555555555</v>
      </c>
      <c r="I106" s="13">
        <v>149.45277777777778</v>
      </c>
      <c r="J106" s="13">
        <v>149.45104166666667</v>
      </c>
      <c r="K106" s="7">
        <v>43614.451041666667</v>
      </c>
      <c r="L106" s="4">
        <v>2006.2</v>
      </c>
      <c r="M106" s="4">
        <v>24.5</v>
      </c>
      <c r="N106" s="4">
        <v>17.22</v>
      </c>
      <c r="Q106">
        <v>1.6510715332105099</v>
      </c>
      <c r="R106">
        <v>-0.22641090229215</v>
      </c>
    </row>
    <row r="107" spans="1:18" x14ac:dyDescent="0.2">
      <c r="A107" t="s">
        <v>7</v>
      </c>
      <c r="B107">
        <v>4</v>
      </c>
      <c r="C107" t="s">
        <v>3</v>
      </c>
      <c r="D107" s="2">
        <v>43614</v>
      </c>
      <c r="E107" s="11">
        <v>149</v>
      </c>
      <c r="F107" s="3">
        <v>0.454166666666667</v>
      </c>
      <c r="G107" s="3">
        <v>0.45763888888888898</v>
      </c>
      <c r="H107" s="13">
        <v>149.45416666666668</v>
      </c>
      <c r="I107" s="13">
        <v>149.45763888888888</v>
      </c>
      <c r="J107" s="13">
        <v>149.45590277777779</v>
      </c>
      <c r="K107" s="7">
        <v>43614.45590277778</v>
      </c>
      <c r="L107" s="4">
        <v>1298.7</v>
      </c>
      <c r="M107" s="4"/>
      <c r="N107" s="4">
        <v>17.22</v>
      </c>
      <c r="Q107">
        <v>4.6479170159798899</v>
      </c>
      <c r="R107">
        <v>1.2728237282033799E-3</v>
      </c>
    </row>
    <row r="108" spans="1:18" x14ac:dyDescent="0.2">
      <c r="A108" t="s">
        <v>7</v>
      </c>
      <c r="B108">
        <v>5</v>
      </c>
      <c r="C108" t="s">
        <v>2</v>
      </c>
      <c r="D108" s="2">
        <v>43614</v>
      </c>
      <c r="E108" s="11">
        <v>149</v>
      </c>
      <c r="F108" s="3">
        <v>0.45902777777777798</v>
      </c>
      <c r="G108" s="3">
        <v>0.46250000000000002</v>
      </c>
      <c r="H108" s="13">
        <v>149.45902777777778</v>
      </c>
      <c r="I108" s="13">
        <v>149.46250000000001</v>
      </c>
      <c r="J108" s="13">
        <v>149.46076388888889</v>
      </c>
      <c r="K108" s="7">
        <v>43614.460763888892</v>
      </c>
      <c r="L108" s="4">
        <v>2031.2</v>
      </c>
      <c r="M108" s="4">
        <v>23.2</v>
      </c>
      <c r="N108" s="4">
        <v>17.22</v>
      </c>
      <c r="Q108">
        <v>1.8181214222606901</v>
      </c>
      <c r="R108">
        <v>6.4075702758892598E-3</v>
      </c>
    </row>
    <row r="109" spans="1:18" x14ac:dyDescent="0.2">
      <c r="A109" t="s">
        <v>7</v>
      </c>
      <c r="B109">
        <v>5</v>
      </c>
      <c r="C109" t="s">
        <v>3</v>
      </c>
      <c r="D109" s="2">
        <v>43614</v>
      </c>
      <c r="E109" s="11">
        <v>149</v>
      </c>
      <c r="F109" s="3">
        <v>0.46388888888888902</v>
      </c>
      <c r="G109" s="3">
        <v>0.46736111111111101</v>
      </c>
      <c r="H109" s="13">
        <v>149.4638888888889</v>
      </c>
      <c r="I109" s="13">
        <v>149.4673611111111</v>
      </c>
      <c r="J109" s="13">
        <v>149.46562499999999</v>
      </c>
      <c r="K109" s="7">
        <v>43614.465624999997</v>
      </c>
      <c r="L109" s="4">
        <v>1453.7</v>
      </c>
      <c r="M109" s="4"/>
      <c r="N109" s="4">
        <v>17.22</v>
      </c>
      <c r="Q109">
        <v>4.1336290293988904</v>
      </c>
      <c r="R109">
        <v>1.3936213776738499E-3</v>
      </c>
    </row>
    <row r="110" spans="1:18" x14ac:dyDescent="0.2">
      <c r="A110" t="s">
        <v>7</v>
      </c>
      <c r="B110">
        <v>1</v>
      </c>
      <c r="C110" t="s">
        <v>2</v>
      </c>
      <c r="D110" s="2">
        <v>43614</v>
      </c>
      <c r="E110" s="11">
        <v>149</v>
      </c>
      <c r="F110" s="3">
        <v>0.5180555555555556</v>
      </c>
      <c r="G110" s="3">
        <v>0.52152777777777781</v>
      </c>
      <c r="H110" s="13">
        <v>149.51805555555555</v>
      </c>
      <c r="I110" s="13">
        <v>149.52152777777778</v>
      </c>
      <c r="J110" s="13">
        <v>149.51979166666666</v>
      </c>
      <c r="K110" s="7">
        <v>43614.519791666666</v>
      </c>
      <c r="L110" s="4">
        <v>1206.2</v>
      </c>
      <c r="M110" s="4">
        <v>22.7</v>
      </c>
      <c r="N110" s="4">
        <v>20.56</v>
      </c>
      <c r="Q110">
        <v>8.8282412757044</v>
      </c>
      <c r="R110">
        <v>5.7178267781731395E-4</v>
      </c>
    </row>
    <row r="111" spans="1:18" x14ac:dyDescent="0.2">
      <c r="A111" t="s">
        <v>7</v>
      </c>
      <c r="B111">
        <v>1</v>
      </c>
      <c r="C111" t="s">
        <v>3</v>
      </c>
      <c r="D111" s="2">
        <v>43614</v>
      </c>
      <c r="E111" s="11">
        <v>149</v>
      </c>
      <c r="F111" s="3">
        <v>0.5229166666666667</v>
      </c>
      <c r="G111" s="3">
        <v>0.52638888888888891</v>
      </c>
      <c r="H111" s="13">
        <v>149.52291666666667</v>
      </c>
      <c r="I111" s="13">
        <v>149.5263888888889</v>
      </c>
      <c r="J111" s="13">
        <v>149.52465277777779</v>
      </c>
      <c r="K111" s="7">
        <v>43614.524652777778</v>
      </c>
      <c r="L111" s="4">
        <v>638.70000000000005</v>
      </c>
      <c r="M111" s="4"/>
      <c r="N111" s="4">
        <v>20.56</v>
      </c>
      <c r="Q111">
        <v>2.26829167424652</v>
      </c>
      <c r="R111">
        <v>-2.0366289532283598E-2</v>
      </c>
    </row>
    <row r="112" spans="1:18" x14ac:dyDescent="0.2">
      <c r="A112" t="s">
        <v>7</v>
      </c>
      <c r="B112">
        <v>2</v>
      </c>
      <c r="C112" t="s">
        <v>2</v>
      </c>
      <c r="D112" s="2">
        <v>43614</v>
      </c>
      <c r="E112" s="11">
        <v>149</v>
      </c>
      <c r="F112" s="3">
        <v>0.52777777777777801</v>
      </c>
      <c r="G112" s="3">
        <v>0.53125</v>
      </c>
      <c r="H112" s="13">
        <v>149.52777777777777</v>
      </c>
      <c r="I112" s="13">
        <v>149.53125</v>
      </c>
      <c r="J112" s="13">
        <v>149.52951388888889</v>
      </c>
      <c r="K112" s="7">
        <v>43614.529513888891</v>
      </c>
      <c r="L112" s="4">
        <v>836.2</v>
      </c>
      <c r="M112" s="4">
        <v>24.9</v>
      </c>
      <c r="N112" s="4">
        <v>20.56</v>
      </c>
      <c r="Q112">
        <v>3.2789194987383401</v>
      </c>
    </row>
    <row r="113" spans="1:17" x14ac:dyDescent="0.2">
      <c r="A113" t="s">
        <v>7</v>
      </c>
      <c r="B113">
        <v>2</v>
      </c>
      <c r="C113" t="s">
        <v>3</v>
      </c>
      <c r="D113" s="2">
        <v>43614</v>
      </c>
      <c r="E113" s="11">
        <v>149</v>
      </c>
      <c r="F113" s="3">
        <v>0.53263888888888899</v>
      </c>
      <c r="G113" s="3">
        <v>0.53611111111111098</v>
      </c>
      <c r="H113" s="13">
        <v>149.5326388888889</v>
      </c>
      <c r="I113" s="13">
        <v>149.5361111111111</v>
      </c>
      <c r="J113" s="13">
        <v>149.53437500000001</v>
      </c>
      <c r="K113" s="7">
        <v>43614.534375000003</v>
      </c>
      <c r="L113" s="4">
        <v>1226.2</v>
      </c>
      <c r="M113" s="4"/>
      <c r="N113" s="4">
        <v>20.56</v>
      </c>
      <c r="Q113">
        <v>5.1322956037055096</v>
      </c>
    </row>
    <row r="114" spans="1:17" x14ac:dyDescent="0.2">
      <c r="A114" t="s">
        <v>7</v>
      </c>
      <c r="B114">
        <v>3</v>
      </c>
      <c r="C114" t="s">
        <v>2</v>
      </c>
      <c r="D114" s="2">
        <v>43614</v>
      </c>
      <c r="E114" s="11">
        <v>149</v>
      </c>
      <c r="F114" s="3">
        <v>0.53749999999999998</v>
      </c>
      <c r="G114" s="3">
        <v>0.54097222222222197</v>
      </c>
      <c r="H114" s="13">
        <v>149.53749999999999</v>
      </c>
      <c r="I114" s="13">
        <v>149.54097222222222</v>
      </c>
      <c r="J114" s="13">
        <v>149.53923611111111</v>
      </c>
      <c r="K114" s="7">
        <v>43614.539236111108</v>
      </c>
      <c r="L114" s="4">
        <v>1046.2</v>
      </c>
      <c r="M114" s="4">
        <v>18.899999999999999</v>
      </c>
      <c r="N114" s="4">
        <v>20.56</v>
      </c>
      <c r="Q114">
        <v>2.9207243606479301</v>
      </c>
    </row>
    <row r="115" spans="1:17" x14ac:dyDescent="0.2">
      <c r="A115" t="s">
        <v>7</v>
      </c>
      <c r="B115">
        <v>3</v>
      </c>
      <c r="C115" t="s">
        <v>3</v>
      </c>
      <c r="D115" s="2">
        <v>43614</v>
      </c>
      <c r="E115" s="11">
        <v>149</v>
      </c>
      <c r="F115" s="3">
        <v>0.54236111111111096</v>
      </c>
      <c r="G115" s="3">
        <v>0.54583333333333295</v>
      </c>
      <c r="H115" s="13">
        <v>149.54236111111112</v>
      </c>
      <c r="I115" s="13">
        <v>149.54583333333332</v>
      </c>
      <c r="J115" s="13">
        <v>149.54409722222221</v>
      </c>
      <c r="K115" s="7">
        <v>43614.54409722222</v>
      </c>
      <c r="L115" s="4">
        <v>1333.7</v>
      </c>
      <c r="M115" s="4"/>
      <c r="N115" s="4">
        <v>20.56</v>
      </c>
      <c r="Q115">
        <v>5.23400913308872</v>
      </c>
    </row>
    <row r="116" spans="1:17" x14ac:dyDescent="0.2">
      <c r="A116" t="s">
        <v>7</v>
      </c>
      <c r="B116">
        <v>4</v>
      </c>
      <c r="C116" t="s">
        <v>2</v>
      </c>
      <c r="D116" s="2">
        <v>43614</v>
      </c>
      <c r="E116" s="11">
        <v>149</v>
      </c>
      <c r="F116" s="3">
        <v>0.54722222222222205</v>
      </c>
      <c r="G116" s="3">
        <v>0.55069444444444404</v>
      </c>
      <c r="H116" s="13">
        <v>149.54722222222222</v>
      </c>
      <c r="I116" s="13">
        <v>149.55069444444445</v>
      </c>
      <c r="J116" s="13">
        <v>149.54895833333333</v>
      </c>
      <c r="K116" s="7">
        <v>43614.548958333333</v>
      </c>
      <c r="L116" s="4">
        <v>1491.2</v>
      </c>
      <c r="M116" s="4">
        <v>21.9</v>
      </c>
      <c r="N116" s="4">
        <v>20.56</v>
      </c>
      <c r="Q116">
        <v>2.340435826182</v>
      </c>
    </row>
    <row r="117" spans="1:17" x14ac:dyDescent="0.2">
      <c r="A117" t="s">
        <v>7</v>
      </c>
      <c r="B117">
        <v>4</v>
      </c>
      <c r="C117" t="s">
        <v>3</v>
      </c>
      <c r="D117" s="2">
        <v>43614</v>
      </c>
      <c r="E117" s="11">
        <v>149</v>
      </c>
      <c r="F117" s="3">
        <v>0.55208333333333304</v>
      </c>
      <c r="G117" s="3">
        <v>0.55555555555555503</v>
      </c>
      <c r="H117" s="13">
        <v>149.55208333333334</v>
      </c>
      <c r="I117" s="13">
        <v>149.55555555555554</v>
      </c>
      <c r="J117" s="13">
        <v>149.55381944444446</v>
      </c>
      <c r="K117" s="7">
        <v>43614.553819444445</v>
      </c>
      <c r="L117" s="4">
        <v>2013.7</v>
      </c>
      <c r="M117" s="4"/>
      <c r="N117" s="4">
        <v>20.56</v>
      </c>
      <c r="Q117">
        <v>5.2139729546745697</v>
      </c>
    </row>
    <row r="118" spans="1:17" x14ac:dyDescent="0.2">
      <c r="A118" t="s">
        <v>7</v>
      </c>
      <c r="B118">
        <v>5</v>
      </c>
      <c r="C118" t="s">
        <v>2</v>
      </c>
      <c r="D118" s="2">
        <v>43614</v>
      </c>
      <c r="E118" s="11">
        <v>149</v>
      </c>
      <c r="F118" s="3">
        <v>0.55694444444444402</v>
      </c>
      <c r="G118" s="3">
        <v>0.56041666666666701</v>
      </c>
      <c r="H118" s="13">
        <v>149.55694444444444</v>
      </c>
      <c r="I118" s="13">
        <v>149.56041666666667</v>
      </c>
      <c r="J118" s="13">
        <v>149.55868055555555</v>
      </c>
      <c r="K118" s="7">
        <v>43614.558680555558</v>
      </c>
      <c r="L118" s="4">
        <v>1653.7</v>
      </c>
      <c r="M118" s="4">
        <v>19.100000000000001</v>
      </c>
      <c r="N118" s="4">
        <v>20.56</v>
      </c>
      <c r="Q118">
        <v>2.6260662558063301</v>
      </c>
    </row>
    <row r="119" spans="1:17" x14ac:dyDescent="0.2">
      <c r="A119" t="s">
        <v>7</v>
      </c>
      <c r="B119">
        <v>5</v>
      </c>
      <c r="C119" t="s">
        <v>3</v>
      </c>
      <c r="D119" s="2">
        <v>43614</v>
      </c>
      <c r="E119" s="11">
        <v>149</v>
      </c>
      <c r="F119" s="3">
        <v>0.561805555555555</v>
      </c>
      <c r="G119" s="3">
        <v>0.56527777777777799</v>
      </c>
      <c r="H119" s="13">
        <v>149.56180555555557</v>
      </c>
      <c r="I119" s="13">
        <v>149.56527777777777</v>
      </c>
      <c r="J119" s="13">
        <v>149.56354166666665</v>
      </c>
      <c r="K119" s="7">
        <v>43614.56354166667</v>
      </c>
      <c r="L119" s="4">
        <v>1166.2</v>
      </c>
      <c r="M119" s="4"/>
      <c r="N119" s="4">
        <v>20.56</v>
      </c>
      <c r="Q119">
        <v>6.2063747328678396</v>
      </c>
    </row>
    <row r="120" spans="1:17" x14ac:dyDescent="0.2">
      <c r="A120" t="s">
        <v>7</v>
      </c>
      <c r="B120">
        <v>1</v>
      </c>
      <c r="C120" t="s">
        <v>2</v>
      </c>
      <c r="D120" s="2">
        <v>43616</v>
      </c>
      <c r="E120" s="11">
        <v>151</v>
      </c>
      <c r="F120" s="3">
        <v>0.44166666666666665</v>
      </c>
      <c r="G120" s="3">
        <v>0.44513888888888892</v>
      </c>
      <c r="H120" s="13">
        <v>151.44166666666666</v>
      </c>
      <c r="I120" s="13">
        <v>151.44513888888889</v>
      </c>
      <c r="J120" s="13">
        <v>151.44340277777778</v>
      </c>
      <c r="K120" s="7">
        <v>43616.443402777775</v>
      </c>
      <c r="L120" s="4">
        <v>1256.2</v>
      </c>
      <c r="M120" s="4">
        <v>22.2</v>
      </c>
      <c r="N120" s="4">
        <v>23.89</v>
      </c>
      <c r="Q120">
        <v>4.1679518729626297</v>
      </c>
    </row>
    <row r="121" spans="1:17" x14ac:dyDescent="0.2">
      <c r="A121" t="s">
        <v>7</v>
      </c>
      <c r="B121">
        <v>1</v>
      </c>
      <c r="C121" t="s">
        <v>3</v>
      </c>
      <c r="D121" s="2">
        <v>43616</v>
      </c>
      <c r="E121" s="11">
        <v>151</v>
      </c>
      <c r="F121" s="3">
        <v>0.4465277777777778</v>
      </c>
      <c r="G121" s="3">
        <v>0.45</v>
      </c>
      <c r="H121" s="13">
        <v>151.44652777777779</v>
      </c>
      <c r="I121" s="13">
        <v>151.44999999999999</v>
      </c>
      <c r="J121" s="13">
        <v>151.4482638888889</v>
      </c>
      <c r="K121" s="7">
        <v>43616.448263888888</v>
      </c>
      <c r="L121" s="4">
        <v>773.7</v>
      </c>
      <c r="M121" s="4"/>
      <c r="N121" s="4">
        <v>23.89</v>
      </c>
      <c r="Q121">
        <v>3.9091726735844698</v>
      </c>
    </row>
    <row r="122" spans="1:17" x14ac:dyDescent="0.2">
      <c r="A122" t="s">
        <v>7</v>
      </c>
      <c r="B122">
        <v>2</v>
      </c>
      <c r="C122" t="s">
        <v>2</v>
      </c>
      <c r="D122" s="2">
        <v>43616</v>
      </c>
      <c r="E122" s="11">
        <v>151</v>
      </c>
      <c r="F122" s="3">
        <v>0.45138888888888901</v>
      </c>
      <c r="G122" s="3">
        <v>0.45486111111111099</v>
      </c>
      <c r="H122" s="13">
        <v>151.45138888888889</v>
      </c>
      <c r="I122" s="13">
        <v>151.45486111111111</v>
      </c>
      <c r="J122" s="13">
        <v>151.453125</v>
      </c>
      <c r="K122" s="7">
        <v>43616.453125</v>
      </c>
      <c r="L122" s="4">
        <v>1648.7</v>
      </c>
      <c r="M122" s="4">
        <v>22.4</v>
      </c>
      <c r="N122" s="4">
        <v>23.89</v>
      </c>
      <c r="Q122">
        <v>2.6247360405195601</v>
      </c>
    </row>
    <row r="123" spans="1:17" x14ac:dyDescent="0.2">
      <c r="A123" t="s">
        <v>7</v>
      </c>
      <c r="B123">
        <v>2</v>
      </c>
      <c r="C123" t="s">
        <v>3</v>
      </c>
      <c r="D123" s="2">
        <v>43616</v>
      </c>
      <c r="E123" s="11">
        <v>151</v>
      </c>
      <c r="F123" s="3">
        <v>0.45624999999999999</v>
      </c>
      <c r="G123" s="3">
        <v>0.45972222222222198</v>
      </c>
      <c r="H123" s="13">
        <v>151.45625000000001</v>
      </c>
      <c r="I123" s="13">
        <v>151.45972222222221</v>
      </c>
      <c r="J123" s="13">
        <v>151.4579861111111</v>
      </c>
      <c r="K123" s="7">
        <v>43616.457986111112</v>
      </c>
      <c r="L123" s="4">
        <v>1636.2</v>
      </c>
      <c r="M123" s="4"/>
      <c r="N123" s="4">
        <v>23.89</v>
      </c>
      <c r="Q123">
        <v>5.4369337506488602</v>
      </c>
    </row>
    <row r="124" spans="1:17" x14ac:dyDescent="0.2">
      <c r="A124" t="s">
        <v>7</v>
      </c>
      <c r="B124">
        <v>3</v>
      </c>
      <c r="C124" t="s">
        <v>2</v>
      </c>
      <c r="D124" s="2">
        <v>43616</v>
      </c>
      <c r="E124" s="11">
        <v>151</v>
      </c>
      <c r="F124" s="3">
        <v>0.46111111111111103</v>
      </c>
      <c r="G124" s="3">
        <v>0.46458333333333302</v>
      </c>
      <c r="H124" s="13">
        <v>151.46111111111111</v>
      </c>
      <c r="I124" s="13">
        <v>151.46458333333334</v>
      </c>
      <c r="J124" s="13">
        <v>151.46284722222222</v>
      </c>
      <c r="K124" s="7">
        <v>43616.462847222225</v>
      </c>
      <c r="L124" s="4">
        <v>1693.7</v>
      </c>
      <c r="M124" s="4">
        <v>15.5</v>
      </c>
      <c r="N124" s="4">
        <v>23.89</v>
      </c>
      <c r="Q124">
        <v>1.1143550270410001</v>
      </c>
    </row>
    <row r="125" spans="1:17" x14ac:dyDescent="0.2">
      <c r="A125" t="s">
        <v>7</v>
      </c>
      <c r="B125">
        <v>3</v>
      </c>
      <c r="C125" t="s">
        <v>3</v>
      </c>
      <c r="D125" s="2">
        <v>43616</v>
      </c>
      <c r="E125" s="11">
        <v>151</v>
      </c>
      <c r="F125" s="3">
        <v>0.46597222222222201</v>
      </c>
      <c r="G125" s="3">
        <v>0.469444444444444</v>
      </c>
      <c r="H125" s="13">
        <v>151.46597222222223</v>
      </c>
      <c r="I125" s="13">
        <v>151.46944444444443</v>
      </c>
      <c r="J125" s="13">
        <v>151.46770833333335</v>
      </c>
      <c r="K125" s="7">
        <v>43616.46770833333</v>
      </c>
      <c r="L125" s="4">
        <v>1688.7</v>
      </c>
      <c r="M125" s="4"/>
      <c r="N125" s="4">
        <v>23.89</v>
      </c>
      <c r="Q125">
        <v>4.7026425451580103</v>
      </c>
    </row>
    <row r="126" spans="1:17" x14ac:dyDescent="0.2">
      <c r="A126" t="s">
        <v>7</v>
      </c>
      <c r="B126">
        <v>4</v>
      </c>
      <c r="C126" t="s">
        <v>2</v>
      </c>
      <c r="D126" s="2">
        <v>43616</v>
      </c>
      <c r="E126" s="11">
        <v>151</v>
      </c>
      <c r="F126" s="3">
        <v>0.47083333333333399</v>
      </c>
      <c r="G126" s="3">
        <v>0.47430555555555598</v>
      </c>
      <c r="H126" s="13">
        <v>151.47083333333333</v>
      </c>
      <c r="I126" s="13">
        <v>151.47430555555556</v>
      </c>
      <c r="J126" s="13">
        <v>151.47256944444445</v>
      </c>
      <c r="K126" s="7">
        <v>43616.472569444442</v>
      </c>
      <c r="L126" s="4">
        <v>1026.2</v>
      </c>
      <c r="M126" s="4">
        <v>17.3</v>
      </c>
      <c r="N126" s="4">
        <v>23.89</v>
      </c>
      <c r="Q126">
        <v>1.8015190607560101</v>
      </c>
    </row>
    <row r="127" spans="1:17" x14ac:dyDescent="0.2">
      <c r="A127" t="s">
        <v>7</v>
      </c>
      <c r="B127">
        <v>4</v>
      </c>
      <c r="C127" t="s">
        <v>3</v>
      </c>
      <c r="D127" s="2">
        <v>43616</v>
      </c>
      <c r="E127" s="11">
        <v>151</v>
      </c>
      <c r="F127" s="3">
        <v>0.47569444444444497</v>
      </c>
      <c r="G127" s="3">
        <v>0.47916666666666702</v>
      </c>
      <c r="H127" s="13">
        <v>151.47569444444446</v>
      </c>
      <c r="I127" s="13">
        <v>151.47916666666666</v>
      </c>
      <c r="J127" s="13">
        <v>151.47743055555554</v>
      </c>
      <c r="K127" s="7">
        <v>43616.477430555555</v>
      </c>
      <c r="L127" s="4">
        <v>1716.2</v>
      </c>
      <c r="M127" s="4"/>
      <c r="N127" s="4">
        <v>23.89</v>
      </c>
      <c r="Q127">
        <v>4.3649637962291399</v>
      </c>
    </row>
    <row r="128" spans="1:17" x14ac:dyDescent="0.2">
      <c r="A128" t="s">
        <v>7</v>
      </c>
      <c r="B128">
        <v>5</v>
      </c>
      <c r="C128" t="s">
        <v>2</v>
      </c>
      <c r="D128" s="2">
        <v>43616</v>
      </c>
      <c r="E128" s="11">
        <v>151</v>
      </c>
      <c r="F128" s="3">
        <v>0.48055555555555601</v>
      </c>
      <c r="G128" s="3">
        <v>0.484027777777778</v>
      </c>
      <c r="H128" s="13">
        <v>151.48055555555555</v>
      </c>
      <c r="I128" s="13">
        <v>151.48402777777778</v>
      </c>
      <c r="J128" s="13">
        <v>151.48229166666667</v>
      </c>
      <c r="K128" s="7">
        <v>43616.482291666667</v>
      </c>
      <c r="L128" s="4">
        <v>1723.7</v>
      </c>
      <c r="M128" s="4">
        <v>19.8</v>
      </c>
      <c r="N128" s="4">
        <v>23.89</v>
      </c>
      <c r="Q128">
        <v>0.25319053483738502</v>
      </c>
    </row>
    <row r="129" spans="1:18" x14ac:dyDescent="0.2">
      <c r="A129" t="s">
        <v>7</v>
      </c>
      <c r="B129">
        <v>5</v>
      </c>
      <c r="C129" t="s">
        <v>3</v>
      </c>
      <c r="D129" s="2">
        <v>43616</v>
      </c>
      <c r="E129" s="11">
        <v>151</v>
      </c>
      <c r="F129" s="3">
        <v>0.485416666666667</v>
      </c>
      <c r="G129" s="3">
        <v>0.48888888888888898</v>
      </c>
      <c r="H129" s="13">
        <v>151.48541666666668</v>
      </c>
      <c r="I129" s="13">
        <v>151.48888888888888</v>
      </c>
      <c r="J129" s="13">
        <v>151.48715277777779</v>
      </c>
      <c r="K129" s="7">
        <v>43616.48715277778</v>
      </c>
      <c r="L129" s="4">
        <v>1756.2</v>
      </c>
      <c r="M129" s="4"/>
      <c r="N129" s="4">
        <v>23.89</v>
      </c>
      <c r="Q129">
        <v>5.1210928281423103</v>
      </c>
    </row>
    <row r="130" spans="1:18" x14ac:dyDescent="0.2">
      <c r="A130" t="s">
        <v>7</v>
      </c>
      <c r="B130">
        <v>1</v>
      </c>
      <c r="C130" t="s">
        <v>2</v>
      </c>
      <c r="D130" s="2">
        <v>43616</v>
      </c>
      <c r="E130" s="11">
        <v>151</v>
      </c>
      <c r="F130" s="3">
        <v>0.52708333333333335</v>
      </c>
      <c r="G130" s="3">
        <v>0.53055555555555556</v>
      </c>
      <c r="H130" s="13">
        <v>151.52708333333334</v>
      </c>
      <c r="I130" s="13">
        <v>151.53055555555557</v>
      </c>
      <c r="J130" s="13">
        <v>151.52881944444445</v>
      </c>
      <c r="K130" s="7">
        <v>43616.528819444444</v>
      </c>
      <c r="L130" s="4">
        <v>1896.2</v>
      </c>
      <c r="M130" s="4">
        <v>20.7</v>
      </c>
      <c r="N130" s="4">
        <v>23.89</v>
      </c>
      <c r="Q130">
        <v>2.9492225270061501</v>
      </c>
    </row>
    <row r="131" spans="1:18" x14ac:dyDescent="0.2">
      <c r="A131" t="s">
        <v>7</v>
      </c>
      <c r="B131">
        <v>1</v>
      </c>
      <c r="C131" t="s">
        <v>3</v>
      </c>
      <c r="D131" s="2">
        <v>43616</v>
      </c>
      <c r="E131" s="11">
        <v>151</v>
      </c>
      <c r="F131" s="3">
        <v>0.53194444444444444</v>
      </c>
      <c r="G131" s="3">
        <v>0.53541666666666665</v>
      </c>
      <c r="H131" s="13">
        <v>151.53194444444443</v>
      </c>
      <c r="I131" s="13">
        <v>151.53541666666666</v>
      </c>
      <c r="J131" s="13">
        <v>151.53368055555555</v>
      </c>
      <c r="K131" s="7">
        <v>43616.533680555556</v>
      </c>
      <c r="L131" s="4">
        <v>1951.2</v>
      </c>
      <c r="M131" s="4"/>
      <c r="N131" s="4">
        <v>23.89</v>
      </c>
      <c r="Q131">
        <v>4.1359259821188603</v>
      </c>
    </row>
    <row r="132" spans="1:18" x14ac:dyDescent="0.2">
      <c r="A132" t="s">
        <v>7</v>
      </c>
      <c r="B132">
        <v>2</v>
      </c>
      <c r="C132" t="s">
        <v>2</v>
      </c>
      <c r="D132" s="2">
        <v>43616</v>
      </c>
      <c r="E132" s="11">
        <v>151</v>
      </c>
      <c r="F132" s="3">
        <v>0.53680555555555598</v>
      </c>
      <c r="G132" s="3">
        <v>0.54027777777777797</v>
      </c>
      <c r="H132" s="13">
        <v>151.53680555555556</v>
      </c>
      <c r="I132" s="13">
        <v>151.54027777777779</v>
      </c>
      <c r="J132" s="13">
        <v>151.53854166666667</v>
      </c>
      <c r="K132" s="7">
        <v>43616.538541666669</v>
      </c>
      <c r="L132" s="4">
        <v>1916.2</v>
      </c>
      <c r="M132" s="4">
        <v>21.8</v>
      </c>
      <c r="N132" s="4">
        <v>23.89</v>
      </c>
      <c r="Q132">
        <v>-7.0572755347392699E-2</v>
      </c>
    </row>
    <row r="133" spans="1:18" x14ac:dyDescent="0.2">
      <c r="A133" t="s">
        <v>7</v>
      </c>
      <c r="B133">
        <v>2</v>
      </c>
      <c r="C133" t="s">
        <v>3</v>
      </c>
      <c r="D133" s="2">
        <v>43616</v>
      </c>
      <c r="E133" s="11">
        <v>151</v>
      </c>
      <c r="F133" s="3">
        <v>0.54166666666666696</v>
      </c>
      <c r="G133" s="3">
        <v>0.54513888888888895</v>
      </c>
      <c r="H133" s="13">
        <v>151.54166666666666</v>
      </c>
      <c r="I133" s="13">
        <v>151.54513888888889</v>
      </c>
      <c r="J133" s="13">
        <v>151.54340277777777</v>
      </c>
      <c r="K133" s="7">
        <v>43616.543402777781</v>
      </c>
      <c r="L133" s="4">
        <v>1931.2</v>
      </c>
      <c r="M133" s="4"/>
      <c r="N133" s="4">
        <v>23.89</v>
      </c>
      <c r="Q133">
        <v>4.57468465010637</v>
      </c>
    </row>
    <row r="134" spans="1:18" x14ac:dyDescent="0.2">
      <c r="A134" t="s">
        <v>7</v>
      </c>
      <c r="B134">
        <v>3</v>
      </c>
      <c r="C134" t="s">
        <v>2</v>
      </c>
      <c r="D134" s="2">
        <v>43616</v>
      </c>
      <c r="E134" s="11">
        <v>151</v>
      </c>
      <c r="F134" s="3">
        <v>0.54652777777777795</v>
      </c>
      <c r="G134" s="3">
        <v>0.55000000000000004</v>
      </c>
      <c r="H134" s="13">
        <v>151.54652777777778</v>
      </c>
      <c r="I134" s="13">
        <v>151.55000000000001</v>
      </c>
      <c r="J134" s="13">
        <v>151.5482638888889</v>
      </c>
      <c r="K134" s="7">
        <v>43616.548263888886</v>
      </c>
      <c r="L134" s="4">
        <v>2006.2</v>
      </c>
      <c r="M134" s="4">
        <v>15.2</v>
      </c>
      <c r="N134" s="4">
        <v>23.89</v>
      </c>
      <c r="Q134">
        <v>0.915489232484336</v>
      </c>
    </row>
    <row r="135" spans="1:18" x14ac:dyDescent="0.2">
      <c r="A135" t="s">
        <v>7</v>
      </c>
      <c r="B135">
        <v>3</v>
      </c>
      <c r="C135" t="s">
        <v>3</v>
      </c>
      <c r="D135" s="2">
        <v>43616</v>
      </c>
      <c r="E135" s="11">
        <v>151</v>
      </c>
      <c r="F135" s="3">
        <v>0.55138888888888904</v>
      </c>
      <c r="G135" s="3">
        <v>0.55486111111111103</v>
      </c>
      <c r="H135" s="13">
        <v>151.55138888888888</v>
      </c>
      <c r="I135" s="13">
        <v>151.55486111111111</v>
      </c>
      <c r="J135" s="13">
        <v>151.55312499999999</v>
      </c>
      <c r="K135" s="7">
        <v>43616.553124999999</v>
      </c>
      <c r="L135" s="4">
        <v>706.2</v>
      </c>
      <c r="M135" s="4"/>
      <c r="N135" s="4">
        <v>23.89</v>
      </c>
      <c r="Q135">
        <v>5.3795036889637204</v>
      </c>
    </row>
    <row r="136" spans="1:18" x14ac:dyDescent="0.2">
      <c r="A136" t="s">
        <v>7</v>
      </c>
      <c r="B136">
        <v>4</v>
      </c>
      <c r="C136" t="s">
        <v>2</v>
      </c>
      <c r="D136" s="2">
        <v>43616</v>
      </c>
      <c r="E136" s="11">
        <v>151</v>
      </c>
      <c r="F136" s="3">
        <v>0.55625000000000002</v>
      </c>
      <c r="G136" s="3">
        <v>0.55972222222222201</v>
      </c>
      <c r="H136" s="13">
        <v>151.55625000000001</v>
      </c>
      <c r="I136" s="13">
        <v>151.55972222222223</v>
      </c>
      <c r="J136" s="13">
        <v>151.55798611111112</v>
      </c>
      <c r="K136" s="7">
        <v>43616.557986111111</v>
      </c>
      <c r="L136" s="4">
        <v>1966.2</v>
      </c>
      <c r="M136" s="4">
        <v>20.3</v>
      </c>
      <c r="N136" s="4">
        <v>23.89</v>
      </c>
      <c r="Q136">
        <v>2.5445453960302999</v>
      </c>
    </row>
    <row r="137" spans="1:18" x14ac:dyDescent="0.2">
      <c r="A137" t="s">
        <v>7</v>
      </c>
      <c r="B137">
        <v>4</v>
      </c>
      <c r="C137" t="s">
        <v>3</v>
      </c>
      <c r="D137" s="2">
        <v>43616</v>
      </c>
      <c r="E137" s="11">
        <v>151</v>
      </c>
      <c r="F137" s="3">
        <v>0.56111111111111101</v>
      </c>
      <c r="G137" s="3">
        <v>0.56458333333333299</v>
      </c>
      <c r="H137" s="13">
        <v>151.5611111111111</v>
      </c>
      <c r="I137" s="13">
        <v>151.56458333333333</v>
      </c>
      <c r="J137" s="13">
        <v>151.56284722222222</v>
      </c>
      <c r="K137" s="7">
        <v>43616.562847222223</v>
      </c>
      <c r="L137" s="4">
        <v>726.2</v>
      </c>
      <c r="M137" s="4"/>
      <c r="N137" s="4">
        <v>23.89</v>
      </c>
      <c r="Q137">
        <v>5.2476027046756997</v>
      </c>
    </row>
    <row r="138" spans="1:18" x14ac:dyDescent="0.2">
      <c r="A138" t="s">
        <v>7</v>
      </c>
      <c r="B138">
        <v>5</v>
      </c>
      <c r="C138" t="s">
        <v>2</v>
      </c>
      <c r="D138" s="2">
        <v>43616</v>
      </c>
      <c r="E138" s="11">
        <v>151</v>
      </c>
      <c r="F138" s="3">
        <v>0.56597222222222199</v>
      </c>
      <c r="G138" s="3">
        <v>0.56944444444444398</v>
      </c>
      <c r="H138" s="13">
        <v>151.56597222222223</v>
      </c>
      <c r="I138" s="13">
        <v>151.56944444444446</v>
      </c>
      <c r="J138" s="13">
        <v>151.56770833333334</v>
      </c>
      <c r="K138" s="7">
        <v>43616.567708333336</v>
      </c>
      <c r="L138" s="4">
        <v>2023.7</v>
      </c>
      <c r="M138" s="4">
        <v>18.2</v>
      </c>
      <c r="N138" s="4">
        <v>23.89</v>
      </c>
      <c r="Q138">
        <v>1.4574791152971001</v>
      </c>
    </row>
    <row r="139" spans="1:18" x14ac:dyDescent="0.2">
      <c r="A139" t="s">
        <v>7</v>
      </c>
      <c r="B139">
        <v>5</v>
      </c>
      <c r="C139" t="s">
        <v>3</v>
      </c>
      <c r="D139" s="2">
        <v>43616</v>
      </c>
      <c r="E139" s="11">
        <v>151</v>
      </c>
      <c r="F139" s="3">
        <v>0.57083333333333297</v>
      </c>
      <c r="G139" s="3">
        <v>0.57430555555555496</v>
      </c>
      <c r="H139" s="13">
        <v>151.57083333333333</v>
      </c>
      <c r="I139" s="13">
        <v>151.57430555555555</v>
      </c>
      <c r="J139" s="13">
        <v>151.57256944444444</v>
      </c>
      <c r="K139" s="7">
        <v>43616.572569444441</v>
      </c>
      <c r="L139" s="4">
        <v>866.2</v>
      </c>
      <c r="M139" s="4"/>
      <c r="N139" s="4">
        <v>23.89</v>
      </c>
      <c r="Q139">
        <v>4.6942850688833699</v>
      </c>
    </row>
    <row r="140" spans="1:18" x14ac:dyDescent="0.2">
      <c r="A140" t="s">
        <v>7</v>
      </c>
      <c r="B140">
        <v>1</v>
      </c>
      <c r="C140" t="s">
        <v>2</v>
      </c>
      <c r="D140" s="2">
        <v>43626</v>
      </c>
      <c r="E140" s="11">
        <v>161</v>
      </c>
      <c r="F140" s="3">
        <v>0.42638888888888887</v>
      </c>
      <c r="G140" s="3">
        <v>0.42986111111111108</v>
      </c>
      <c r="H140" s="13">
        <v>161.42638888888888</v>
      </c>
      <c r="I140" s="13">
        <v>161.42986111111111</v>
      </c>
      <c r="J140" s="13">
        <v>161.42812499999999</v>
      </c>
      <c r="K140" s="7">
        <v>43626.428124999999</v>
      </c>
      <c r="L140" s="4">
        <v>1433.7</v>
      </c>
      <c r="M140" s="4">
        <v>12.5</v>
      </c>
      <c r="N140" s="4">
        <v>19.440000000000001</v>
      </c>
      <c r="Q140">
        <v>-0.48423152522561302</v>
      </c>
      <c r="R140">
        <v>2.6749197371246902E-9</v>
      </c>
    </row>
    <row r="141" spans="1:18" x14ac:dyDescent="0.2">
      <c r="A141" t="s">
        <v>7</v>
      </c>
      <c r="B141">
        <v>1</v>
      </c>
      <c r="C141" t="s">
        <v>3</v>
      </c>
      <c r="D141" s="2">
        <v>43626</v>
      </c>
      <c r="E141" s="11">
        <v>161</v>
      </c>
      <c r="F141" s="3">
        <v>0.43124999999999997</v>
      </c>
      <c r="G141" s="3">
        <v>0.43472222222222223</v>
      </c>
      <c r="H141" s="13">
        <v>161.43125000000001</v>
      </c>
      <c r="I141" s="13">
        <v>161.43472222222223</v>
      </c>
      <c r="J141" s="13">
        <v>161.43298611111112</v>
      </c>
      <c r="K141" s="7">
        <v>43626.432986111111</v>
      </c>
      <c r="L141" s="4">
        <v>1266.2</v>
      </c>
      <c r="M141" s="4"/>
      <c r="N141" s="4">
        <v>19.440000000000001</v>
      </c>
      <c r="Q141">
        <v>4.5823814384252</v>
      </c>
      <c r="R141">
        <v>7.8089016296642804E-5</v>
      </c>
    </row>
    <row r="142" spans="1:18" x14ac:dyDescent="0.2">
      <c r="A142" t="s">
        <v>7</v>
      </c>
      <c r="B142">
        <v>2</v>
      </c>
      <c r="C142" t="s">
        <v>2</v>
      </c>
      <c r="D142" s="2">
        <v>43626</v>
      </c>
      <c r="E142" s="11">
        <v>161</v>
      </c>
      <c r="F142" s="3">
        <v>0.43611111111111101</v>
      </c>
      <c r="G142" s="3">
        <v>0.43958333333333299</v>
      </c>
      <c r="H142" s="13">
        <v>161.4361111111111</v>
      </c>
      <c r="I142" s="13">
        <v>161.43958333333333</v>
      </c>
      <c r="J142" s="13">
        <v>161.43784722222222</v>
      </c>
      <c r="K142" s="7">
        <v>43626.437847222223</v>
      </c>
      <c r="L142" s="4">
        <v>1741.2</v>
      </c>
      <c r="M142" s="4">
        <v>15.1</v>
      </c>
      <c r="N142" s="4">
        <v>19.440000000000001</v>
      </c>
      <c r="Q142">
        <v>0.77216022538288598</v>
      </c>
      <c r="R142">
        <v>1.84952654347325E-4</v>
      </c>
    </row>
    <row r="143" spans="1:18" x14ac:dyDescent="0.2">
      <c r="A143" t="s">
        <v>7</v>
      </c>
      <c r="B143">
        <v>2</v>
      </c>
      <c r="C143" t="s">
        <v>3</v>
      </c>
      <c r="D143" s="2">
        <v>43626</v>
      </c>
      <c r="E143" s="11">
        <v>161</v>
      </c>
      <c r="F143" s="3">
        <v>0.44097222222222199</v>
      </c>
      <c r="G143" s="3">
        <v>0.44444444444444398</v>
      </c>
      <c r="H143" s="13">
        <v>161.44097222222223</v>
      </c>
      <c r="I143" s="13">
        <v>161.44444444444446</v>
      </c>
      <c r="J143" s="13">
        <v>161.44270833333334</v>
      </c>
      <c r="K143" s="7">
        <v>43626.442708333336</v>
      </c>
      <c r="L143" s="4">
        <v>1851.2</v>
      </c>
      <c r="M143" s="4"/>
      <c r="N143" s="4">
        <v>19.440000000000001</v>
      </c>
      <c r="Q143">
        <v>5.4423544515701598</v>
      </c>
      <c r="R143">
        <v>7.5180661039130899E-5</v>
      </c>
    </row>
    <row r="144" spans="1:18" x14ac:dyDescent="0.2">
      <c r="A144" t="s">
        <v>7</v>
      </c>
      <c r="B144">
        <v>3</v>
      </c>
      <c r="C144" t="s">
        <v>2</v>
      </c>
      <c r="D144" s="2">
        <v>43626</v>
      </c>
      <c r="E144" s="11">
        <v>161</v>
      </c>
      <c r="F144" s="3">
        <v>0.44583333333333303</v>
      </c>
      <c r="G144" s="3">
        <v>0.44930555555555601</v>
      </c>
      <c r="H144" s="13">
        <v>161.44583333333333</v>
      </c>
      <c r="I144" s="13">
        <v>161.44930555555555</v>
      </c>
      <c r="J144" s="13">
        <v>161.44756944444444</v>
      </c>
      <c r="K144" s="7">
        <v>43626.447569444441</v>
      </c>
      <c r="L144" s="4">
        <v>1336.2</v>
      </c>
      <c r="M144" s="4">
        <v>10.7</v>
      </c>
      <c r="N144" s="4">
        <v>19.440000000000001</v>
      </c>
      <c r="Q144">
        <v>-4.6266810886056202</v>
      </c>
      <c r="R144">
        <v>-2.6830149562057801E-2</v>
      </c>
    </row>
    <row r="145" spans="1:18" x14ac:dyDescent="0.2">
      <c r="A145" t="s">
        <v>7</v>
      </c>
      <c r="B145">
        <v>3</v>
      </c>
      <c r="C145" t="s">
        <v>3</v>
      </c>
      <c r="D145" s="2">
        <v>43626</v>
      </c>
      <c r="E145" s="11">
        <v>161</v>
      </c>
      <c r="F145" s="3">
        <v>0.45069444444444401</v>
      </c>
      <c r="G145" s="3">
        <v>0.454166666666667</v>
      </c>
      <c r="H145" s="13">
        <v>161.45069444444445</v>
      </c>
      <c r="I145" s="13">
        <v>161.45416666666668</v>
      </c>
      <c r="J145" s="13">
        <v>161.45243055555557</v>
      </c>
      <c r="K145" s="7">
        <v>43626.452430555553</v>
      </c>
      <c r="L145" s="4">
        <v>1898.7</v>
      </c>
      <c r="M145" s="4"/>
      <c r="N145" s="4">
        <v>19.440000000000001</v>
      </c>
      <c r="Q145">
        <v>39.712895095847699</v>
      </c>
      <c r="R145">
        <v>-5.6887975493803201E-4</v>
      </c>
    </row>
    <row r="146" spans="1:18" x14ac:dyDescent="0.2">
      <c r="A146" t="s">
        <v>7</v>
      </c>
      <c r="B146">
        <v>4</v>
      </c>
      <c r="C146" t="s">
        <v>2</v>
      </c>
      <c r="D146" s="2">
        <v>43626</v>
      </c>
      <c r="E146" s="11">
        <v>161</v>
      </c>
      <c r="F146" s="3">
        <v>0.45555555555555499</v>
      </c>
      <c r="G146" s="3">
        <v>0.45902777777777798</v>
      </c>
      <c r="H146" s="13">
        <v>161.45555555555555</v>
      </c>
      <c r="I146" s="13">
        <v>161.45902777777778</v>
      </c>
      <c r="J146" s="13">
        <v>161.45729166666666</v>
      </c>
      <c r="K146" s="7">
        <v>43626.457291666666</v>
      </c>
      <c r="L146" s="4">
        <v>1396.2</v>
      </c>
      <c r="M146" s="4">
        <v>8.8000000000000007</v>
      </c>
      <c r="N146" s="4">
        <v>19.440000000000001</v>
      </c>
      <c r="Q146">
        <v>-1005273.51184839</v>
      </c>
      <c r="R146">
        <v>25.458695926592299</v>
      </c>
    </row>
    <row r="147" spans="1:18" x14ac:dyDescent="0.2">
      <c r="A147" t="s">
        <v>7</v>
      </c>
      <c r="B147">
        <v>4</v>
      </c>
      <c r="C147" t="s">
        <v>3</v>
      </c>
      <c r="D147" s="2">
        <v>43626</v>
      </c>
      <c r="E147" s="11">
        <v>161</v>
      </c>
      <c r="F147" s="3">
        <v>0.46041666666666697</v>
      </c>
      <c r="G147" s="3">
        <v>0.46388888888888902</v>
      </c>
      <c r="H147" s="13">
        <v>161.46041666666667</v>
      </c>
      <c r="I147" s="13">
        <v>161.4638888888889</v>
      </c>
      <c r="J147" s="13">
        <v>161.46215277777779</v>
      </c>
      <c r="K147" s="7">
        <v>43626.462152777778</v>
      </c>
      <c r="L147" s="4">
        <v>1613.7</v>
      </c>
      <c r="M147" s="4"/>
      <c r="N147" s="4">
        <v>19.440000000000001</v>
      </c>
      <c r="Q147">
        <v>6.3170713760870703</v>
      </c>
      <c r="R147">
        <v>-5.3834387468287403E-4</v>
      </c>
    </row>
    <row r="148" spans="1:18" x14ac:dyDescent="0.2">
      <c r="A148" t="s">
        <v>7</v>
      </c>
      <c r="B148">
        <v>5</v>
      </c>
      <c r="C148" t="s">
        <v>2</v>
      </c>
      <c r="D148" s="2">
        <v>43626</v>
      </c>
      <c r="E148" s="11">
        <v>161</v>
      </c>
      <c r="F148" s="3">
        <v>0.46527777777777801</v>
      </c>
      <c r="G148" s="3">
        <v>0.46875</v>
      </c>
      <c r="H148" s="13">
        <v>161.46527777777777</v>
      </c>
      <c r="I148" s="13">
        <v>161.46875</v>
      </c>
      <c r="J148" s="13">
        <v>161.46701388888889</v>
      </c>
      <c r="K148" s="7">
        <v>43626.467013888891</v>
      </c>
      <c r="L148" s="4">
        <v>1788.7</v>
      </c>
      <c r="M148" s="4">
        <v>12.2</v>
      </c>
      <c r="N148" s="4">
        <v>19.440000000000001</v>
      </c>
      <c r="Q148">
        <v>-0.57026558952419804</v>
      </c>
      <c r="R148">
        <v>-6.8862241586729901E-7</v>
      </c>
    </row>
    <row r="149" spans="1:18" x14ac:dyDescent="0.2">
      <c r="A149" t="s">
        <v>7</v>
      </c>
      <c r="B149">
        <v>5</v>
      </c>
      <c r="C149" t="s">
        <v>3</v>
      </c>
      <c r="D149" s="2">
        <v>43626</v>
      </c>
      <c r="E149" s="11">
        <v>161</v>
      </c>
      <c r="F149" s="3">
        <v>0.47013888888888899</v>
      </c>
      <c r="G149" s="3">
        <v>0.47361111111111098</v>
      </c>
      <c r="H149" s="13">
        <v>161.4701388888889</v>
      </c>
      <c r="I149" s="13">
        <v>161.4736111111111</v>
      </c>
      <c r="J149" s="13">
        <v>161.47187500000001</v>
      </c>
      <c r="K149" s="7">
        <v>43626.471875000003</v>
      </c>
      <c r="L149" s="4">
        <v>1823.7</v>
      </c>
      <c r="M149" s="4"/>
      <c r="N149" s="4">
        <v>19.440000000000001</v>
      </c>
      <c r="Q149">
        <v>4.1575106889024598</v>
      </c>
      <c r="R149">
        <v>9.6801232719450403E-2</v>
      </c>
    </row>
    <row r="150" spans="1:18" x14ac:dyDescent="0.2">
      <c r="A150" t="s">
        <v>7</v>
      </c>
      <c r="B150">
        <v>1</v>
      </c>
      <c r="C150" t="s">
        <v>2</v>
      </c>
      <c r="D150" s="2">
        <v>43626</v>
      </c>
      <c r="E150" s="11">
        <v>161</v>
      </c>
      <c r="F150" s="3">
        <v>0.51388888888888895</v>
      </c>
      <c r="G150" s="3">
        <v>0.51736111111111105</v>
      </c>
      <c r="H150" s="13">
        <v>161.51388888888889</v>
      </c>
      <c r="I150" s="13">
        <v>161.51736111111111</v>
      </c>
      <c r="J150" s="13">
        <v>161.515625</v>
      </c>
      <c r="K150" s="7">
        <v>43626.515625</v>
      </c>
      <c r="L150" s="4">
        <v>1556.2</v>
      </c>
      <c r="M150" s="4">
        <v>9.6999999999999993</v>
      </c>
      <c r="N150" s="4">
        <v>25.56</v>
      </c>
      <c r="Q150">
        <v>9.6545203085757105</v>
      </c>
      <c r="R150">
        <v>-4.9924319999999998E-3</v>
      </c>
    </row>
    <row r="151" spans="1:18" x14ac:dyDescent="0.2">
      <c r="A151" t="s">
        <v>7</v>
      </c>
      <c r="B151">
        <v>1</v>
      </c>
      <c r="C151" t="s">
        <v>3</v>
      </c>
      <c r="D151" s="2">
        <v>43626</v>
      </c>
      <c r="E151" s="11">
        <v>161</v>
      </c>
      <c r="F151" s="3">
        <v>0.51874999999999993</v>
      </c>
      <c r="G151" s="3">
        <v>0.52222222222222225</v>
      </c>
      <c r="H151" s="13">
        <v>161.51875000000001</v>
      </c>
      <c r="I151" s="13">
        <v>161.52222222222221</v>
      </c>
      <c r="J151" s="13">
        <v>161.5204861111111</v>
      </c>
      <c r="K151" s="7">
        <v>43626.520486111112</v>
      </c>
      <c r="L151" s="4">
        <v>1946.2</v>
      </c>
      <c r="M151" s="4"/>
      <c r="N151" s="4">
        <v>25.56</v>
      </c>
      <c r="Q151">
        <v>6.03870189673321</v>
      </c>
      <c r="R151">
        <v>-1.1207420000000001E-3</v>
      </c>
    </row>
    <row r="152" spans="1:18" x14ac:dyDescent="0.2">
      <c r="A152" t="s">
        <v>7</v>
      </c>
      <c r="B152">
        <v>2</v>
      </c>
      <c r="C152" t="s">
        <v>2</v>
      </c>
      <c r="D152" s="2">
        <v>43626</v>
      </c>
      <c r="E152" s="11">
        <v>161</v>
      </c>
      <c r="F152" s="3">
        <v>0.52361111111111103</v>
      </c>
      <c r="G152" s="3">
        <v>0.52708333333333302</v>
      </c>
      <c r="H152" s="13">
        <v>161.52361111111111</v>
      </c>
      <c r="I152" s="13">
        <v>161.52708333333334</v>
      </c>
      <c r="J152" s="13">
        <v>161.52534722222222</v>
      </c>
      <c r="K152" s="7">
        <v>43626.525347222225</v>
      </c>
      <c r="L152" s="4">
        <v>2141.1999999999998</v>
      </c>
      <c r="M152" s="4">
        <v>16.399999999999999</v>
      </c>
      <c r="N152" s="4">
        <v>25.56</v>
      </c>
      <c r="Q152">
        <v>-0.85923911287903099</v>
      </c>
      <c r="R152">
        <v>6.0124261999999998E-2</v>
      </c>
    </row>
    <row r="153" spans="1:18" x14ac:dyDescent="0.2">
      <c r="A153" t="s">
        <v>7</v>
      </c>
      <c r="B153">
        <v>2</v>
      </c>
      <c r="C153" t="s">
        <v>3</v>
      </c>
      <c r="D153" s="2">
        <v>43626</v>
      </c>
      <c r="E153" s="11">
        <v>161</v>
      </c>
      <c r="F153" s="3">
        <v>0.52847222222222201</v>
      </c>
      <c r="G153" s="3">
        <v>0.531944444444445</v>
      </c>
      <c r="H153" s="13">
        <v>161.52847222222223</v>
      </c>
      <c r="I153" s="13">
        <v>161.53194444444443</v>
      </c>
      <c r="J153" s="13">
        <v>161.53020833333335</v>
      </c>
      <c r="K153" s="7">
        <v>43626.53020833333</v>
      </c>
      <c r="L153" s="4">
        <v>1711.2</v>
      </c>
      <c r="M153" s="4"/>
      <c r="N153" s="4">
        <v>25.56</v>
      </c>
      <c r="Q153">
        <v>4.8352557659454902</v>
      </c>
      <c r="R153">
        <v>-6.9908337000000001E-2</v>
      </c>
    </row>
    <row r="154" spans="1:18" x14ac:dyDescent="0.2">
      <c r="A154" t="s">
        <v>7</v>
      </c>
      <c r="B154">
        <v>3</v>
      </c>
      <c r="C154" t="s">
        <v>2</v>
      </c>
      <c r="D154" s="2">
        <v>43626</v>
      </c>
      <c r="E154" s="11">
        <v>161</v>
      </c>
      <c r="F154" s="3">
        <v>0.53333333333333299</v>
      </c>
      <c r="G154" s="3">
        <v>0.53680555555555598</v>
      </c>
      <c r="H154" s="13">
        <v>161.53333333333333</v>
      </c>
      <c r="I154" s="13">
        <v>161.53680555555556</v>
      </c>
      <c r="J154" s="13">
        <v>161.53506944444445</v>
      </c>
      <c r="K154" s="7">
        <v>43626.535069444442</v>
      </c>
      <c r="L154" s="4">
        <v>1338.7</v>
      </c>
      <c r="M154" s="4">
        <v>10</v>
      </c>
      <c r="N154" s="4">
        <v>25.56</v>
      </c>
      <c r="Q154">
        <v>-2.7558131721896402</v>
      </c>
      <c r="R154">
        <v>-3.501784E-3</v>
      </c>
    </row>
    <row r="155" spans="1:18" x14ac:dyDescent="0.2">
      <c r="A155" t="s">
        <v>7</v>
      </c>
      <c r="B155">
        <v>3</v>
      </c>
      <c r="C155" t="s">
        <v>3</v>
      </c>
      <c r="D155" s="2">
        <v>43626</v>
      </c>
      <c r="E155" s="11">
        <v>161</v>
      </c>
      <c r="F155" s="3">
        <v>0.53819444444444398</v>
      </c>
      <c r="G155" s="3">
        <v>0.54166666666666696</v>
      </c>
      <c r="H155" s="13">
        <v>161.53819444444446</v>
      </c>
      <c r="I155" s="13">
        <v>161.54166666666666</v>
      </c>
      <c r="J155" s="13">
        <v>161.53993055555554</v>
      </c>
      <c r="K155" s="7">
        <v>43626.539930555555</v>
      </c>
      <c r="L155" s="4">
        <v>1441.2</v>
      </c>
      <c r="M155" s="4"/>
      <c r="N155" s="4">
        <v>25.56</v>
      </c>
      <c r="Q155">
        <v>5.7842820734035696</v>
      </c>
      <c r="R155">
        <v>-1.0090629999999999E-3</v>
      </c>
    </row>
    <row r="156" spans="1:18" x14ac:dyDescent="0.2">
      <c r="A156" t="s">
        <v>7</v>
      </c>
      <c r="B156">
        <v>4</v>
      </c>
      <c r="C156" t="s">
        <v>2</v>
      </c>
      <c r="D156" s="2">
        <v>43626</v>
      </c>
      <c r="E156" s="11">
        <v>161</v>
      </c>
      <c r="F156" s="3">
        <v>0.54305555555555496</v>
      </c>
      <c r="G156" s="3">
        <v>0.54652777777777795</v>
      </c>
      <c r="H156" s="13">
        <v>161.54305555555555</v>
      </c>
      <c r="I156" s="13">
        <v>161.54652777777778</v>
      </c>
      <c r="J156" s="13">
        <v>161.54479166666667</v>
      </c>
      <c r="K156" s="7">
        <v>43626.544791666667</v>
      </c>
      <c r="L156" s="4">
        <v>1438.7</v>
      </c>
      <c r="M156" s="4">
        <v>9.1</v>
      </c>
      <c r="N156" s="4">
        <v>25.56</v>
      </c>
      <c r="Q156">
        <v>0.41382289441777198</v>
      </c>
      <c r="R156">
        <v>8.40528E-4</v>
      </c>
    </row>
    <row r="157" spans="1:18" x14ac:dyDescent="0.2">
      <c r="A157" t="s">
        <v>7</v>
      </c>
      <c r="B157">
        <v>4</v>
      </c>
      <c r="C157" t="s">
        <v>3</v>
      </c>
      <c r="D157" s="2">
        <v>43626</v>
      </c>
      <c r="E157" s="11">
        <v>161</v>
      </c>
      <c r="F157" s="3">
        <v>0.54791666666666605</v>
      </c>
      <c r="G157" s="3">
        <v>0.55138888888888904</v>
      </c>
      <c r="H157" s="13">
        <v>161.54791666666668</v>
      </c>
      <c r="I157" s="13">
        <v>161.55138888888888</v>
      </c>
      <c r="J157" s="13">
        <v>161.54965277777779</v>
      </c>
      <c r="K157" s="7">
        <v>43626.54965277778</v>
      </c>
      <c r="L157" s="4">
        <v>1751.2</v>
      </c>
      <c r="M157" s="4"/>
      <c r="N157" s="4">
        <v>25.56</v>
      </c>
      <c r="Q157">
        <v>11.042187794189299</v>
      </c>
      <c r="R157">
        <v>1.6483279999999999E-3</v>
      </c>
    </row>
    <row r="158" spans="1:18" x14ac:dyDescent="0.2">
      <c r="A158" t="s">
        <v>7</v>
      </c>
      <c r="B158">
        <v>5</v>
      </c>
      <c r="C158" t="s">
        <v>2</v>
      </c>
      <c r="D158" s="2">
        <v>43626</v>
      </c>
      <c r="E158" s="11">
        <v>161</v>
      </c>
      <c r="F158" s="3">
        <v>0.55277777777777704</v>
      </c>
      <c r="G158" s="3">
        <v>0.55625000000000102</v>
      </c>
      <c r="H158" s="13">
        <v>161.55277777777778</v>
      </c>
      <c r="I158" s="13">
        <v>161.55625000000001</v>
      </c>
      <c r="J158" s="13">
        <v>161.55451388888889</v>
      </c>
      <c r="K158" s="7">
        <v>43626.554513888892</v>
      </c>
      <c r="L158" s="4">
        <v>1598.7</v>
      </c>
      <c r="M158" s="4">
        <v>12</v>
      </c>
      <c r="N158" s="4">
        <v>25.56</v>
      </c>
      <c r="Q158">
        <v>-6.3488371469325902</v>
      </c>
      <c r="R158" s="6">
        <v>-3.9400000000000004E-6</v>
      </c>
    </row>
    <row r="159" spans="1:18" x14ac:dyDescent="0.2">
      <c r="A159" t="s">
        <v>7</v>
      </c>
      <c r="B159">
        <v>5</v>
      </c>
      <c r="C159" t="s">
        <v>3</v>
      </c>
      <c r="D159" s="2">
        <v>43626</v>
      </c>
      <c r="E159" s="11">
        <v>161</v>
      </c>
      <c r="F159" s="3">
        <v>0.55763888888888802</v>
      </c>
      <c r="G159" s="3">
        <v>0.561111111111112</v>
      </c>
      <c r="H159" s="13">
        <v>161.55763888888887</v>
      </c>
      <c r="I159" s="13">
        <v>161.5611111111111</v>
      </c>
      <c r="J159" s="13">
        <v>161.55937499999999</v>
      </c>
      <c r="K159" s="7">
        <v>43626.559374999997</v>
      </c>
      <c r="L159" s="4">
        <v>1071.2</v>
      </c>
      <c r="M159" s="4"/>
      <c r="N159" s="4">
        <v>25.56</v>
      </c>
      <c r="Q159">
        <v>9.1508800095392093</v>
      </c>
      <c r="R159">
        <v>-1.3663E-4</v>
      </c>
    </row>
    <row r="160" spans="1:18" x14ac:dyDescent="0.2">
      <c r="A160" t="s">
        <v>7</v>
      </c>
      <c r="B160">
        <v>1</v>
      </c>
      <c r="C160" t="s">
        <v>2</v>
      </c>
      <c r="D160" s="2">
        <v>43636</v>
      </c>
      <c r="E160" s="11">
        <v>171</v>
      </c>
      <c r="F160" s="3">
        <v>0.3923611111111111</v>
      </c>
      <c r="G160" s="3">
        <v>0.39583333333333331</v>
      </c>
      <c r="H160" s="13">
        <v>171.39236111111111</v>
      </c>
      <c r="I160" s="13">
        <v>171.39583333333334</v>
      </c>
      <c r="J160" s="13">
        <v>171.39409722222223</v>
      </c>
      <c r="K160" s="7">
        <v>43636.394097222219</v>
      </c>
      <c r="L160" s="4">
        <v>261.2</v>
      </c>
      <c r="M160" s="4">
        <v>20.399999999999999</v>
      </c>
      <c r="N160" s="4">
        <v>23.33</v>
      </c>
      <c r="Q160">
        <v>2.5318603083752</v>
      </c>
      <c r="R160">
        <v>-2.1016399999999999E-4</v>
      </c>
    </row>
    <row r="161" spans="1:18" x14ac:dyDescent="0.2">
      <c r="A161" t="s">
        <v>7</v>
      </c>
      <c r="B161">
        <v>1</v>
      </c>
      <c r="C161" t="s">
        <v>3</v>
      </c>
      <c r="D161" s="2">
        <v>43636</v>
      </c>
      <c r="E161" s="11">
        <v>171</v>
      </c>
      <c r="F161" s="3">
        <v>0.3972222222222222</v>
      </c>
      <c r="G161" s="3">
        <v>0.40069444444444446</v>
      </c>
      <c r="H161" s="13">
        <v>171.39722222222221</v>
      </c>
      <c r="I161" s="13">
        <v>171.40069444444444</v>
      </c>
      <c r="J161" s="13">
        <v>171.39895833333333</v>
      </c>
      <c r="K161" s="7">
        <v>43636.398958333331</v>
      </c>
      <c r="L161" s="4">
        <v>246.2</v>
      </c>
      <c r="M161" s="4"/>
      <c r="N161" s="4">
        <v>23.33</v>
      </c>
      <c r="Q161">
        <v>5.8943448248151196</v>
      </c>
      <c r="R161" s="6">
        <v>-6.9300000000000004E-5</v>
      </c>
    </row>
    <row r="162" spans="1:18" x14ac:dyDescent="0.2">
      <c r="A162" t="s">
        <v>7</v>
      </c>
      <c r="B162">
        <v>2</v>
      </c>
      <c r="C162" t="s">
        <v>2</v>
      </c>
      <c r="D162" s="2">
        <v>43636</v>
      </c>
      <c r="E162" s="11">
        <v>171</v>
      </c>
      <c r="F162" s="3">
        <v>0.40208333333333302</v>
      </c>
      <c r="G162" s="3">
        <v>0.405555555555556</v>
      </c>
      <c r="H162" s="13">
        <v>171.40208333333334</v>
      </c>
      <c r="I162" s="13">
        <v>171.40555555555557</v>
      </c>
      <c r="J162" s="13">
        <v>171.40381944444445</v>
      </c>
      <c r="K162" s="7">
        <v>43636.403819444444</v>
      </c>
      <c r="L162" s="4">
        <v>291.2</v>
      </c>
      <c r="M162" s="4">
        <v>18.3</v>
      </c>
      <c r="N162" s="4">
        <v>23.33</v>
      </c>
      <c r="Q162">
        <v>1.7378990463416599</v>
      </c>
      <c r="R162">
        <v>-1.8509900000000001E-4</v>
      </c>
    </row>
    <row r="163" spans="1:18" x14ac:dyDescent="0.2">
      <c r="A163" t="s">
        <v>7</v>
      </c>
      <c r="B163">
        <v>2</v>
      </c>
      <c r="C163" t="s">
        <v>3</v>
      </c>
      <c r="D163" s="2">
        <v>43636</v>
      </c>
      <c r="E163" s="11">
        <v>171</v>
      </c>
      <c r="F163" s="3">
        <v>0.406944444444444</v>
      </c>
      <c r="G163" s="3">
        <v>0.41041666666666698</v>
      </c>
      <c r="H163" s="13">
        <v>171.40694444444443</v>
      </c>
      <c r="I163" s="13">
        <v>171.41041666666666</v>
      </c>
      <c r="J163" s="13">
        <v>171.40868055555555</v>
      </c>
      <c r="K163" s="7">
        <v>43636.408680555556</v>
      </c>
      <c r="L163" s="4">
        <v>193.7</v>
      </c>
      <c r="M163" s="4"/>
      <c r="N163" s="4">
        <v>23.33</v>
      </c>
      <c r="Q163">
        <v>6.5530339271338303</v>
      </c>
      <c r="R163">
        <v>-1.8864000000000001E-4</v>
      </c>
    </row>
    <row r="164" spans="1:18" x14ac:dyDescent="0.2">
      <c r="A164" t="s">
        <v>7</v>
      </c>
      <c r="B164">
        <v>3</v>
      </c>
      <c r="C164" t="s">
        <v>2</v>
      </c>
      <c r="D164" s="2">
        <v>43636</v>
      </c>
      <c r="E164" s="11">
        <v>171</v>
      </c>
      <c r="F164" s="3">
        <v>0.41180555555555498</v>
      </c>
      <c r="G164" s="3">
        <v>0.41527777777777802</v>
      </c>
      <c r="H164" s="13">
        <v>171.41180555555556</v>
      </c>
      <c r="I164" s="13">
        <v>171.41527777777779</v>
      </c>
      <c r="J164" s="13">
        <v>171.41354166666667</v>
      </c>
      <c r="K164" s="7">
        <v>43636.413541666669</v>
      </c>
      <c r="L164" s="4">
        <v>241.2</v>
      </c>
      <c r="M164" s="4">
        <v>15</v>
      </c>
      <c r="N164" s="4">
        <v>23.33</v>
      </c>
      <c r="Q164">
        <v>2.29035233266857</v>
      </c>
    </row>
    <row r="165" spans="1:18" x14ac:dyDescent="0.2">
      <c r="A165" t="s">
        <v>7</v>
      </c>
      <c r="B165">
        <v>3</v>
      </c>
      <c r="C165" t="s">
        <v>3</v>
      </c>
      <c r="D165" s="2">
        <v>43636</v>
      </c>
      <c r="E165" s="11">
        <v>171</v>
      </c>
      <c r="F165" s="3">
        <v>0.41666666666666702</v>
      </c>
      <c r="G165" s="3">
        <v>0.42013888888888901</v>
      </c>
      <c r="H165" s="13">
        <v>171.41666666666666</v>
      </c>
      <c r="I165" s="13">
        <v>171.42013888888889</v>
      </c>
      <c r="J165" s="13">
        <v>171.41840277777777</v>
      </c>
      <c r="K165" s="7">
        <v>43636.418402777781</v>
      </c>
      <c r="L165" s="4">
        <v>186.2</v>
      </c>
      <c r="M165" s="4"/>
      <c r="N165" s="4">
        <v>23.33</v>
      </c>
      <c r="Q165">
        <v>6.9561581617733301</v>
      </c>
      <c r="R165">
        <v>-1.82509E-4</v>
      </c>
    </row>
    <row r="166" spans="1:18" x14ac:dyDescent="0.2">
      <c r="A166" t="s">
        <v>7</v>
      </c>
      <c r="B166">
        <v>4</v>
      </c>
      <c r="C166" t="s">
        <v>2</v>
      </c>
      <c r="D166" s="2">
        <v>43636</v>
      </c>
      <c r="E166" s="11">
        <v>171</v>
      </c>
      <c r="F166" s="3">
        <v>0.421527777777778</v>
      </c>
      <c r="G166" s="3">
        <v>0.42499999999999999</v>
      </c>
      <c r="H166" s="13">
        <v>171.42152777777778</v>
      </c>
      <c r="I166" s="13">
        <v>171.42500000000001</v>
      </c>
      <c r="J166" s="13">
        <v>171.4232638888889</v>
      </c>
      <c r="K166" s="7">
        <v>43636.423263888886</v>
      </c>
      <c r="L166" s="4">
        <v>186.2</v>
      </c>
      <c r="M166" s="4">
        <v>15.7</v>
      </c>
      <c r="N166" s="4">
        <v>23.33</v>
      </c>
      <c r="Q166">
        <v>1.94069131481722</v>
      </c>
      <c r="R166">
        <v>-1.13755E-4</v>
      </c>
    </row>
    <row r="167" spans="1:18" x14ac:dyDescent="0.2">
      <c r="A167" t="s">
        <v>7</v>
      </c>
      <c r="B167">
        <v>4</v>
      </c>
      <c r="C167" t="s">
        <v>3</v>
      </c>
      <c r="D167" s="2">
        <v>43636</v>
      </c>
      <c r="E167" s="11">
        <v>171</v>
      </c>
      <c r="F167" s="3">
        <v>0.42638888888888898</v>
      </c>
      <c r="G167" s="3">
        <v>0.42986111111111103</v>
      </c>
      <c r="H167" s="13">
        <v>171.42638888888888</v>
      </c>
      <c r="I167" s="13">
        <v>171.42986111111111</v>
      </c>
      <c r="J167" s="13">
        <v>171.42812499999999</v>
      </c>
      <c r="K167" s="7">
        <v>43636.428124999999</v>
      </c>
      <c r="L167" s="4">
        <v>216.2</v>
      </c>
      <c r="M167" s="4"/>
      <c r="N167" s="4">
        <v>23.33</v>
      </c>
      <c r="Q167">
        <v>7.6622341631819699</v>
      </c>
      <c r="R167">
        <v>-1.00196E-4</v>
      </c>
    </row>
    <row r="168" spans="1:18" x14ac:dyDescent="0.2">
      <c r="A168" t="s">
        <v>7</v>
      </c>
      <c r="B168">
        <v>5</v>
      </c>
      <c r="C168" t="s">
        <v>2</v>
      </c>
      <c r="D168" s="2">
        <v>43636</v>
      </c>
      <c r="E168" s="11">
        <v>171</v>
      </c>
      <c r="F168" s="3">
        <v>0.43125000000000002</v>
      </c>
      <c r="G168" s="3">
        <v>0.43472222222222301</v>
      </c>
      <c r="H168" s="13">
        <v>171.43125000000001</v>
      </c>
      <c r="I168" s="13">
        <v>171.43472222222223</v>
      </c>
      <c r="J168" s="13">
        <v>171.43298611111112</v>
      </c>
      <c r="K168" s="7">
        <v>43636.432986111111</v>
      </c>
      <c r="L168" s="4">
        <v>168.7</v>
      </c>
      <c r="M168" s="4">
        <v>16.7</v>
      </c>
      <c r="N168" s="4">
        <v>23.33</v>
      </c>
      <c r="Q168">
        <v>1.17053340513471</v>
      </c>
      <c r="R168">
        <v>-2.23888E-4</v>
      </c>
    </row>
    <row r="169" spans="1:18" x14ac:dyDescent="0.2">
      <c r="A169" t="s">
        <v>7</v>
      </c>
      <c r="B169">
        <v>5</v>
      </c>
      <c r="C169" t="s">
        <v>3</v>
      </c>
      <c r="D169" s="2">
        <v>43636</v>
      </c>
      <c r="E169" s="11">
        <v>171</v>
      </c>
      <c r="F169" s="3">
        <v>0.43611111111111101</v>
      </c>
      <c r="G169" s="3">
        <v>0.43958333333333399</v>
      </c>
      <c r="H169" s="13">
        <v>171.4361111111111</v>
      </c>
      <c r="I169" s="13">
        <v>171.43958333333333</v>
      </c>
      <c r="J169" s="13">
        <v>171.43784722222222</v>
      </c>
      <c r="K169" s="7">
        <v>43636.437847222223</v>
      </c>
      <c r="L169" s="4">
        <v>268.7</v>
      </c>
      <c r="M169" s="4"/>
      <c r="N169" s="4">
        <v>23.33</v>
      </c>
      <c r="Q169">
        <v>8.4847279471566495</v>
      </c>
      <c r="R169">
        <v>-2.02101E-4</v>
      </c>
    </row>
    <row r="170" spans="1:18" x14ac:dyDescent="0.2">
      <c r="A170" t="s">
        <v>7</v>
      </c>
      <c r="B170">
        <v>1</v>
      </c>
      <c r="C170" t="s">
        <v>2</v>
      </c>
      <c r="D170" s="2">
        <v>43636</v>
      </c>
      <c r="E170" s="11">
        <v>171</v>
      </c>
      <c r="F170" s="3">
        <v>0.5</v>
      </c>
      <c r="G170" s="3">
        <v>0.50347222222222221</v>
      </c>
      <c r="H170" s="13">
        <v>171.5</v>
      </c>
      <c r="I170" s="13">
        <v>171.50347222222223</v>
      </c>
      <c r="J170" s="13">
        <v>171.50173611111111</v>
      </c>
      <c r="K170" s="7">
        <v>43636.501736111109</v>
      </c>
      <c r="L170" s="4">
        <v>423.7</v>
      </c>
      <c r="M170" s="4">
        <v>19</v>
      </c>
      <c r="N170" s="4">
        <v>23.33</v>
      </c>
      <c r="Q170">
        <v>-2.5047714970011601</v>
      </c>
      <c r="R170">
        <v>-3.7267499999999999E-4</v>
      </c>
    </row>
    <row r="171" spans="1:18" x14ac:dyDescent="0.2">
      <c r="A171" t="s">
        <v>7</v>
      </c>
      <c r="B171">
        <v>1</v>
      </c>
      <c r="C171" t="s">
        <v>3</v>
      </c>
      <c r="D171" s="2">
        <v>43636</v>
      </c>
      <c r="E171" s="11">
        <v>171</v>
      </c>
      <c r="F171" s="3">
        <v>0.50486111111111109</v>
      </c>
      <c r="G171" s="3">
        <v>0.5083333333333333</v>
      </c>
      <c r="H171" s="13">
        <v>171.5048611111111</v>
      </c>
      <c r="I171" s="13">
        <v>171.50833333333333</v>
      </c>
      <c r="J171" s="13">
        <v>171.50659722222221</v>
      </c>
      <c r="K171" s="7">
        <v>43636.506597222222</v>
      </c>
      <c r="L171" s="4">
        <v>408.7</v>
      </c>
      <c r="M171" s="4"/>
      <c r="N171" s="4">
        <v>23.33</v>
      </c>
      <c r="Q171">
        <v>5.62450868564299</v>
      </c>
      <c r="R171">
        <v>-3.10568E-4</v>
      </c>
    </row>
    <row r="172" spans="1:18" x14ac:dyDescent="0.2">
      <c r="A172" t="s">
        <v>7</v>
      </c>
      <c r="B172">
        <v>2</v>
      </c>
      <c r="C172" t="s">
        <v>2</v>
      </c>
      <c r="D172" s="2">
        <v>43636</v>
      </c>
      <c r="E172" s="11">
        <v>171</v>
      </c>
      <c r="F172" s="3">
        <v>0.50972222222222197</v>
      </c>
      <c r="G172" s="3">
        <v>0.51319444444444395</v>
      </c>
      <c r="H172" s="13">
        <v>171.50972222222222</v>
      </c>
      <c r="I172" s="13">
        <v>171.51319444444445</v>
      </c>
      <c r="J172" s="13">
        <v>171.51145833333334</v>
      </c>
      <c r="K172" s="7">
        <v>43636.511458333334</v>
      </c>
      <c r="L172" s="4">
        <v>196.2</v>
      </c>
      <c r="M172" s="4">
        <v>18.100000000000001</v>
      </c>
      <c r="N172" s="4">
        <v>23.33</v>
      </c>
      <c r="Q172">
        <v>-0.85915497345296699</v>
      </c>
    </row>
    <row r="173" spans="1:18" x14ac:dyDescent="0.2">
      <c r="A173" t="s">
        <v>7</v>
      </c>
      <c r="B173">
        <v>2</v>
      </c>
      <c r="C173" t="s">
        <v>3</v>
      </c>
      <c r="D173" s="2">
        <v>43636</v>
      </c>
      <c r="E173" s="11">
        <v>171</v>
      </c>
      <c r="F173" s="3">
        <v>0.51458333333333295</v>
      </c>
      <c r="G173" s="3">
        <v>0.51805555555555505</v>
      </c>
      <c r="H173" s="13">
        <v>171.51458333333332</v>
      </c>
      <c r="I173" s="13">
        <v>171.51805555555555</v>
      </c>
      <c r="J173" s="13">
        <v>171.51631944444443</v>
      </c>
      <c r="K173" s="7">
        <v>43636.516319444447</v>
      </c>
      <c r="L173" s="4">
        <v>151.19999999999999</v>
      </c>
      <c r="M173" s="4"/>
      <c r="N173" s="4">
        <v>23.33</v>
      </c>
      <c r="Q173">
        <v>6.0667647903320496</v>
      </c>
    </row>
    <row r="174" spans="1:18" x14ac:dyDescent="0.2">
      <c r="A174" t="s">
        <v>7</v>
      </c>
      <c r="B174">
        <v>3</v>
      </c>
      <c r="C174" t="s">
        <v>2</v>
      </c>
      <c r="D174" s="2">
        <v>43636</v>
      </c>
      <c r="E174" s="11">
        <v>171</v>
      </c>
      <c r="F174" s="3">
        <v>0.51944444444444404</v>
      </c>
      <c r="G174" s="3">
        <v>0.52291666666666703</v>
      </c>
      <c r="H174" s="13">
        <v>171.51944444444445</v>
      </c>
      <c r="I174" s="13">
        <v>171.52291666666667</v>
      </c>
      <c r="J174" s="13">
        <v>171.52118055555556</v>
      </c>
      <c r="K174" s="7">
        <v>43636.521180555559</v>
      </c>
      <c r="L174" s="4">
        <v>143.69999999999999</v>
      </c>
      <c r="M174" s="4">
        <v>14.9</v>
      </c>
      <c r="N174" s="4">
        <v>23.33</v>
      </c>
      <c r="Q174">
        <v>3.96397234284444</v>
      </c>
    </row>
    <row r="175" spans="1:18" x14ac:dyDescent="0.2">
      <c r="A175" t="s">
        <v>7</v>
      </c>
      <c r="B175">
        <v>3</v>
      </c>
      <c r="C175" t="s">
        <v>3</v>
      </c>
      <c r="D175" s="2">
        <v>43636</v>
      </c>
      <c r="E175" s="11">
        <v>171</v>
      </c>
      <c r="F175" s="3">
        <v>0.52430555555555503</v>
      </c>
      <c r="G175" s="3">
        <v>0.52777777777777801</v>
      </c>
      <c r="H175" s="13">
        <v>171.52430555555554</v>
      </c>
      <c r="I175" s="13">
        <v>171.52777777777777</v>
      </c>
      <c r="J175" s="13">
        <v>171.52604166666666</v>
      </c>
      <c r="K175" s="7">
        <v>43636.526041666664</v>
      </c>
      <c r="L175" s="4">
        <v>216.2</v>
      </c>
      <c r="M175" s="4"/>
      <c r="N175" s="4">
        <v>23.33</v>
      </c>
      <c r="Q175">
        <v>-19.0210201027739</v>
      </c>
    </row>
    <row r="176" spans="1:18" x14ac:dyDescent="0.2">
      <c r="A176" t="s">
        <v>7</v>
      </c>
      <c r="B176">
        <v>4</v>
      </c>
      <c r="C176" t="s">
        <v>2</v>
      </c>
      <c r="D176" s="2">
        <v>43636</v>
      </c>
      <c r="E176" s="11">
        <v>171</v>
      </c>
      <c r="F176" s="3">
        <v>0.52916666666666701</v>
      </c>
      <c r="G176" s="3">
        <v>0.53263888888888899</v>
      </c>
      <c r="H176" s="13">
        <v>171.52916666666667</v>
      </c>
      <c r="I176" s="13">
        <v>171.5326388888889</v>
      </c>
      <c r="J176" s="13">
        <v>171.53090277777778</v>
      </c>
      <c r="K176" s="7">
        <v>43636.530902777777</v>
      </c>
      <c r="L176" s="4">
        <v>496.2</v>
      </c>
      <c r="M176" s="4">
        <v>16.2</v>
      </c>
      <c r="N176" s="4">
        <v>23.33</v>
      </c>
      <c r="Q176">
        <v>1.01821060715204</v>
      </c>
    </row>
    <row r="177" spans="1:18" x14ac:dyDescent="0.2">
      <c r="A177" t="s">
        <v>7</v>
      </c>
      <c r="B177">
        <v>4</v>
      </c>
      <c r="C177" t="s">
        <v>3</v>
      </c>
      <c r="D177" s="2">
        <v>43636</v>
      </c>
      <c r="E177" s="11">
        <v>171</v>
      </c>
      <c r="F177" s="3">
        <v>0.53402777777777799</v>
      </c>
      <c r="G177" s="3">
        <v>0.53749999999999998</v>
      </c>
      <c r="H177" s="13">
        <v>171.53402777777777</v>
      </c>
      <c r="I177" s="13">
        <v>171.53749999999999</v>
      </c>
      <c r="J177" s="13">
        <v>171.53576388888888</v>
      </c>
      <c r="K177" s="7">
        <v>43636.535763888889</v>
      </c>
      <c r="L177" s="4">
        <v>596.20000000000005</v>
      </c>
      <c r="M177" s="4"/>
      <c r="N177" s="4">
        <v>23.33</v>
      </c>
      <c r="Q177">
        <v>6.1455165094153497</v>
      </c>
    </row>
    <row r="178" spans="1:18" x14ac:dyDescent="0.2">
      <c r="A178" t="s">
        <v>7</v>
      </c>
      <c r="B178">
        <v>5</v>
      </c>
      <c r="C178" t="s">
        <v>2</v>
      </c>
      <c r="D178" s="2">
        <v>43636</v>
      </c>
      <c r="E178" s="11">
        <v>171</v>
      </c>
      <c r="F178" s="3">
        <v>0.53888888888888897</v>
      </c>
      <c r="G178" s="3">
        <v>0.54236111111111096</v>
      </c>
      <c r="H178" s="13">
        <v>171.53888888888889</v>
      </c>
      <c r="I178" s="13">
        <v>171.54236111111112</v>
      </c>
      <c r="J178" s="13">
        <v>171.54062500000001</v>
      </c>
      <c r="K178" s="7">
        <v>43636.540625000001</v>
      </c>
      <c r="L178" s="4">
        <v>298.7</v>
      </c>
      <c r="M178" s="4">
        <v>15.6</v>
      </c>
      <c r="N178" s="4">
        <v>23.33</v>
      </c>
      <c r="Q178">
        <v>-9.4830276917349003</v>
      </c>
    </row>
    <row r="179" spans="1:18" x14ac:dyDescent="0.2">
      <c r="A179" t="s">
        <v>7</v>
      </c>
      <c r="B179">
        <v>5</v>
      </c>
      <c r="C179" t="s">
        <v>3</v>
      </c>
      <c r="D179" s="2">
        <v>43636</v>
      </c>
      <c r="E179" s="11">
        <v>171</v>
      </c>
      <c r="F179" s="3">
        <v>0.54374999999999996</v>
      </c>
      <c r="G179" s="3">
        <v>0.54722222222222205</v>
      </c>
      <c r="H179" s="13">
        <v>171.54374999999999</v>
      </c>
      <c r="I179" s="13">
        <v>171.54722222222222</v>
      </c>
      <c r="J179" s="13">
        <v>171.5454861111111</v>
      </c>
      <c r="K179" s="7">
        <v>43636.545486111114</v>
      </c>
      <c r="L179" s="4">
        <v>538.70000000000005</v>
      </c>
      <c r="M179" s="4"/>
      <c r="N179" s="4">
        <v>23.33</v>
      </c>
      <c r="Q179">
        <v>7.9094848303388696</v>
      </c>
    </row>
    <row r="180" spans="1:18" x14ac:dyDescent="0.2">
      <c r="A180" t="s">
        <v>7</v>
      </c>
      <c r="B180">
        <v>1</v>
      </c>
      <c r="C180" t="s">
        <v>2</v>
      </c>
      <c r="D180" s="2">
        <v>43642</v>
      </c>
      <c r="E180" s="11">
        <v>177</v>
      </c>
      <c r="F180" s="3">
        <v>0.36805555555555558</v>
      </c>
      <c r="G180" s="3">
        <v>0.37152777777777773</v>
      </c>
      <c r="H180" s="13">
        <v>177.36805555555554</v>
      </c>
      <c r="I180" s="13">
        <v>177.37152777777777</v>
      </c>
      <c r="J180" s="13">
        <v>177.36979166666666</v>
      </c>
      <c r="K180" s="7">
        <v>43642.369791666664</v>
      </c>
      <c r="L180" s="4">
        <v>1086.2</v>
      </c>
      <c r="M180" s="4">
        <v>20.3</v>
      </c>
      <c r="N180" s="4">
        <v>22.78</v>
      </c>
      <c r="Q180">
        <v>-9.2992874510043393</v>
      </c>
      <c r="R180">
        <v>9.897599999999999E-4</v>
      </c>
    </row>
    <row r="181" spans="1:18" x14ac:dyDescent="0.2">
      <c r="A181" t="s">
        <v>7</v>
      </c>
      <c r="B181">
        <v>1</v>
      </c>
      <c r="C181" t="s">
        <v>3</v>
      </c>
      <c r="D181" s="2">
        <v>43642</v>
      </c>
      <c r="E181" s="11">
        <v>177</v>
      </c>
      <c r="F181" s="3">
        <v>0.37291666666666662</v>
      </c>
      <c r="G181" s="3">
        <v>0.37638888888888888</v>
      </c>
      <c r="H181" s="13">
        <v>177.37291666666667</v>
      </c>
      <c r="I181" s="13">
        <v>177.3763888888889</v>
      </c>
      <c r="J181" s="13">
        <v>177.37465277777778</v>
      </c>
      <c r="K181" s="7">
        <v>43642.374652777777</v>
      </c>
      <c r="L181" s="4">
        <v>1126.2</v>
      </c>
      <c r="M181" s="4"/>
      <c r="N181" s="4">
        <v>22.78</v>
      </c>
      <c r="Q181">
        <v>5.84102105459041</v>
      </c>
      <c r="R181">
        <v>1.380661E-3</v>
      </c>
    </row>
    <row r="182" spans="1:18" x14ac:dyDescent="0.2">
      <c r="A182" t="s">
        <v>7</v>
      </c>
      <c r="B182">
        <v>2</v>
      </c>
      <c r="C182" t="s">
        <v>2</v>
      </c>
      <c r="D182" s="2">
        <v>43642</v>
      </c>
      <c r="E182" s="11">
        <v>177</v>
      </c>
      <c r="F182" s="3">
        <v>0.37777777777777799</v>
      </c>
      <c r="G182" s="3">
        <v>0.38124999999999998</v>
      </c>
      <c r="H182" s="13">
        <v>177.37777777777777</v>
      </c>
      <c r="I182" s="13">
        <v>177.38124999999999</v>
      </c>
      <c r="J182" s="13">
        <v>177.37951388888888</v>
      </c>
      <c r="K182" s="7">
        <v>43642.379513888889</v>
      </c>
      <c r="L182" s="4">
        <v>1168.7</v>
      </c>
      <c r="M182" s="4">
        <v>21.9</v>
      </c>
      <c r="N182" s="4">
        <v>22.78</v>
      </c>
      <c r="Q182">
        <v>-11.137909330634701</v>
      </c>
      <c r="R182">
        <v>-2.5330600000000002E-4</v>
      </c>
    </row>
    <row r="183" spans="1:18" x14ac:dyDescent="0.2">
      <c r="A183" t="s">
        <v>7</v>
      </c>
      <c r="B183">
        <v>2</v>
      </c>
      <c r="C183" t="s">
        <v>3</v>
      </c>
      <c r="D183" s="2">
        <v>43642</v>
      </c>
      <c r="E183" s="11">
        <v>177</v>
      </c>
      <c r="F183" s="3">
        <v>0.38263888888888897</v>
      </c>
      <c r="G183" s="3">
        <v>0.38611111111111102</v>
      </c>
      <c r="H183" s="13">
        <v>177.38263888888889</v>
      </c>
      <c r="I183" s="13">
        <v>177.38611111111112</v>
      </c>
      <c r="J183" s="13">
        <v>177.38437500000001</v>
      </c>
      <c r="K183" s="7">
        <v>43642.384375000001</v>
      </c>
      <c r="L183" s="4">
        <v>1208.7</v>
      </c>
      <c r="M183" s="4"/>
      <c r="N183" s="4">
        <v>22.78</v>
      </c>
      <c r="Q183">
        <v>6.2390651353250899</v>
      </c>
      <c r="R183">
        <v>6.5463200000000004E-4</v>
      </c>
    </row>
    <row r="184" spans="1:18" x14ac:dyDescent="0.2">
      <c r="A184" t="s">
        <v>7</v>
      </c>
      <c r="B184">
        <v>3</v>
      </c>
      <c r="C184" t="s">
        <v>2</v>
      </c>
      <c r="D184" s="2">
        <v>43642</v>
      </c>
      <c r="E184" s="11">
        <v>177</v>
      </c>
      <c r="F184" s="3">
        <v>0.38750000000000001</v>
      </c>
      <c r="G184" s="3">
        <v>0.390972222222222</v>
      </c>
      <c r="H184" s="13">
        <v>177.38749999999999</v>
      </c>
      <c r="I184" s="13">
        <v>177.39097222222222</v>
      </c>
      <c r="J184" s="13">
        <v>177.3892361111111</v>
      </c>
      <c r="K184" s="7">
        <v>43642.389236111114</v>
      </c>
      <c r="L184" s="4">
        <v>1246.2</v>
      </c>
      <c r="M184" s="4">
        <v>17.3</v>
      </c>
      <c r="N184" s="4">
        <v>22.78</v>
      </c>
      <c r="Q184">
        <v>-11.4501998697845</v>
      </c>
      <c r="R184">
        <v>3.70947E-4</v>
      </c>
    </row>
    <row r="185" spans="1:18" x14ac:dyDescent="0.2">
      <c r="A185" t="s">
        <v>7</v>
      </c>
      <c r="B185">
        <v>3</v>
      </c>
      <c r="C185" t="s">
        <v>3</v>
      </c>
      <c r="D185" s="2">
        <v>43642</v>
      </c>
      <c r="E185" s="11">
        <v>177</v>
      </c>
      <c r="F185" s="3">
        <v>0.39236111111111099</v>
      </c>
      <c r="G185" s="3">
        <v>0.39583333333333298</v>
      </c>
      <c r="H185" s="13">
        <v>177.39236111111111</v>
      </c>
      <c r="I185" s="13">
        <v>177.39583333333334</v>
      </c>
      <c r="J185" s="13">
        <v>177.39409722222223</v>
      </c>
      <c r="K185" s="7">
        <v>43642.394097222219</v>
      </c>
      <c r="L185" s="4">
        <v>1283.7</v>
      </c>
      <c r="M185" s="4"/>
      <c r="N185" s="4">
        <v>22.78</v>
      </c>
      <c r="Q185">
        <v>7.6242065779379899</v>
      </c>
      <c r="R185">
        <v>5.5852099999999997E-4</v>
      </c>
    </row>
    <row r="186" spans="1:18" x14ac:dyDescent="0.2">
      <c r="A186" t="s">
        <v>7</v>
      </c>
      <c r="B186">
        <v>4</v>
      </c>
      <c r="C186" t="s">
        <v>2</v>
      </c>
      <c r="D186" s="2">
        <v>43642</v>
      </c>
      <c r="E186" s="11">
        <v>177</v>
      </c>
      <c r="F186" s="3">
        <v>0.39722222222222198</v>
      </c>
      <c r="G186" s="3">
        <v>0.40069444444444502</v>
      </c>
      <c r="H186" s="13">
        <v>177.39722222222221</v>
      </c>
      <c r="I186" s="13">
        <v>177.40069444444444</v>
      </c>
      <c r="J186" s="13">
        <v>177.39895833333333</v>
      </c>
      <c r="K186" s="7">
        <v>43642.398958333331</v>
      </c>
      <c r="L186" s="4">
        <v>1326.2</v>
      </c>
      <c r="M186" s="4">
        <v>19.2</v>
      </c>
      <c r="N186" s="4">
        <v>22.78</v>
      </c>
      <c r="Q186">
        <v>-13.578549663075</v>
      </c>
      <c r="R186">
        <v>2.5589480000000001E-3</v>
      </c>
    </row>
    <row r="187" spans="1:18" x14ac:dyDescent="0.2">
      <c r="A187" t="s">
        <v>7</v>
      </c>
      <c r="B187">
        <v>4</v>
      </c>
      <c r="C187" t="s">
        <v>3</v>
      </c>
      <c r="D187" s="2">
        <v>43642</v>
      </c>
      <c r="E187" s="11">
        <v>177</v>
      </c>
      <c r="F187" s="3">
        <v>0.40208333333333302</v>
      </c>
      <c r="G187" s="3">
        <v>0.405555555555556</v>
      </c>
      <c r="H187" s="13">
        <v>177.40208333333334</v>
      </c>
      <c r="I187" s="13">
        <v>177.40555555555557</v>
      </c>
      <c r="J187" s="13">
        <v>177.40381944444445</v>
      </c>
      <c r="K187" s="7">
        <v>43642.403819444444</v>
      </c>
      <c r="L187" s="4">
        <v>1358.7</v>
      </c>
      <c r="M187" s="4"/>
      <c r="N187" s="4">
        <v>22.78</v>
      </c>
      <c r="Q187">
        <v>7.7430763540328504</v>
      </c>
      <c r="R187">
        <v>2.2197160000000001E-3</v>
      </c>
    </row>
    <row r="188" spans="1:18" x14ac:dyDescent="0.2">
      <c r="A188" t="s">
        <v>7</v>
      </c>
      <c r="B188">
        <v>5</v>
      </c>
      <c r="C188" t="s">
        <v>2</v>
      </c>
      <c r="D188" s="2">
        <v>43642</v>
      </c>
      <c r="E188" s="11">
        <v>177</v>
      </c>
      <c r="F188" s="3">
        <v>0.406944444444444</v>
      </c>
      <c r="G188" s="3">
        <v>0.41041666666666698</v>
      </c>
      <c r="H188" s="13">
        <v>177.40694444444443</v>
      </c>
      <c r="I188" s="13">
        <v>177.41041666666666</v>
      </c>
      <c r="J188" s="13">
        <v>177.40868055555555</v>
      </c>
      <c r="K188" s="7">
        <v>43642.408680555556</v>
      </c>
      <c r="L188" s="4">
        <v>1396.2</v>
      </c>
      <c r="M188" s="4">
        <v>19.100000000000001</v>
      </c>
      <c r="N188" s="4">
        <v>22.78</v>
      </c>
      <c r="Q188">
        <v>-15.933548321061201</v>
      </c>
      <c r="R188" s="6">
        <v>9.4699999999999998E-5</v>
      </c>
    </row>
    <row r="189" spans="1:18" x14ac:dyDescent="0.2">
      <c r="A189" t="s">
        <v>7</v>
      </c>
      <c r="B189">
        <v>5</v>
      </c>
      <c r="C189" t="s">
        <v>3</v>
      </c>
      <c r="D189" s="2">
        <v>43642</v>
      </c>
      <c r="E189" s="11">
        <v>177</v>
      </c>
      <c r="F189" s="3">
        <v>0.41180555555555498</v>
      </c>
      <c r="G189" s="3">
        <v>0.41527777777777802</v>
      </c>
      <c r="H189" s="13">
        <v>177.41180555555556</v>
      </c>
      <c r="I189" s="13">
        <v>177.41527777777779</v>
      </c>
      <c r="J189" s="13">
        <v>177.41354166666667</v>
      </c>
      <c r="K189" s="7">
        <v>43642.413541666669</v>
      </c>
      <c r="L189" s="4">
        <v>1431.2</v>
      </c>
      <c r="M189" s="4"/>
      <c r="N189" s="4">
        <v>22.78</v>
      </c>
      <c r="Q189">
        <v>9.9460028574524006</v>
      </c>
      <c r="R189">
        <v>1.5749469999999999E-3</v>
      </c>
    </row>
    <row r="190" spans="1:18" x14ac:dyDescent="0.2">
      <c r="A190" t="s">
        <v>7</v>
      </c>
      <c r="B190">
        <v>1</v>
      </c>
      <c r="C190" t="s">
        <v>2</v>
      </c>
      <c r="D190" s="2">
        <v>43642</v>
      </c>
      <c r="E190" s="11">
        <v>177</v>
      </c>
      <c r="F190" s="3">
        <v>0.5131944444444444</v>
      </c>
      <c r="G190" s="3">
        <v>0.51666666666666672</v>
      </c>
      <c r="H190" s="13">
        <v>177.51319444444445</v>
      </c>
      <c r="I190" s="13">
        <v>177.51666666666668</v>
      </c>
      <c r="J190" s="13">
        <v>177.51493055555557</v>
      </c>
      <c r="K190" s="7">
        <v>43642.514930555553</v>
      </c>
      <c r="L190" s="4">
        <v>1908.7</v>
      </c>
      <c r="M190" s="4">
        <v>23.3</v>
      </c>
      <c r="N190" s="4">
        <v>26.67</v>
      </c>
      <c r="Q190">
        <v>-7.1241130289655397</v>
      </c>
      <c r="R190">
        <v>7.6840063694693398E-3</v>
      </c>
    </row>
    <row r="191" spans="1:18" x14ac:dyDescent="0.2">
      <c r="A191" t="s">
        <v>7</v>
      </c>
      <c r="B191">
        <v>1</v>
      </c>
      <c r="C191" t="s">
        <v>3</v>
      </c>
      <c r="D191" s="2">
        <v>43642</v>
      </c>
      <c r="E191" s="11">
        <v>177</v>
      </c>
      <c r="F191" s="3">
        <v>0.5180555555555556</v>
      </c>
      <c r="G191" s="3">
        <v>0.52152777777777781</v>
      </c>
      <c r="H191" s="13">
        <v>177.51805555555555</v>
      </c>
      <c r="I191" s="13">
        <v>177.52152777777778</v>
      </c>
      <c r="J191" s="13">
        <v>177.51979166666666</v>
      </c>
      <c r="K191" s="7">
        <v>43642.519791666666</v>
      </c>
      <c r="L191" s="4">
        <v>1913.7</v>
      </c>
      <c r="M191" s="4"/>
      <c r="N191" s="4">
        <v>26.67</v>
      </c>
      <c r="Q191">
        <v>7.3448608467846999</v>
      </c>
      <c r="R191">
        <v>2.45771807681753E-3</v>
      </c>
    </row>
    <row r="192" spans="1:18" x14ac:dyDescent="0.2">
      <c r="A192" t="s">
        <v>7</v>
      </c>
      <c r="B192">
        <v>2</v>
      </c>
      <c r="C192" t="s">
        <v>2</v>
      </c>
      <c r="D192" s="2">
        <v>43642</v>
      </c>
      <c r="E192" s="11">
        <v>177</v>
      </c>
      <c r="F192" s="3">
        <v>0.52291666666666703</v>
      </c>
      <c r="G192" s="3">
        <v>0.52638888888888902</v>
      </c>
      <c r="H192" s="13">
        <v>177.52291666666667</v>
      </c>
      <c r="I192" s="13">
        <v>177.5263888888889</v>
      </c>
      <c r="J192" s="13">
        <v>177.52465277777779</v>
      </c>
      <c r="K192" s="7">
        <v>43642.524652777778</v>
      </c>
      <c r="L192" s="4">
        <v>1928.7</v>
      </c>
      <c r="M192" s="4">
        <v>24</v>
      </c>
      <c r="N192" s="4">
        <v>26.67</v>
      </c>
      <c r="Q192">
        <v>-7.0809617912503597</v>
      </c>
      <c r="R192">
        <v>-1.4013725756149499E-3</v>
      </c>
    </row>
    <row r="193" spans="1:18" x14ac:dyDescent="0.2">
      <c r="A193" t="s">
        <v>7</v>
      </c>
      <c r="B193">
        <v>2</v>
      </c>
      <c r="C193" t="s">
        <v>3</v>
      </c>
      <c r="D193" s="2">
        <v>43642</v>
      </c>
      <c r="E193" s="11">
        <v>177</v>
      </c>
      <c r="F193" s="3">
        <v>0.52777777777777801</v>
      </c>
      <c r="G193" s="3">
        <v>0.53125</v>
      </c>
      <c r="H193" s="13">
        <v>177.52777777777777</v>
      </c>
      <c r="I193" s="13">
        <v>177.53125</v>
      </c>
      <c r="J193" s="13">
        <v>177.52951388888889</v>
      </c>
      <c r="K193" s="7">
        <v>43642.529513888891</v>
      </c>
      <c r="L193" s="4">
        <v>1943.7</v>
      </c>
      <c r="M193" s="4"/>
      <c r="N193" s="4">
        <v>26.67</v>
      </c>
      <c r="Q193">
        <v>7.4880859939774602</v>
      </c>
      <c r="R193">
        <v>1.73946831213184E-3</v>
      </c>
    </row>
    <row r="194" spans="1:18" x14ac:dyDescent="0.2">
      <c r="A194" t="s">
        <v>7</v>
      </c>
      <c r="B194">
        <v>3</v>
      </c>
      <c r="C194" t="s">
        <v>2</v>
      </c>
      <c r="D194" s="2">
        <v>43642</v>
      </c>
      <c r="E194" s="11">
        <v>177</v>
      </c>
      <c r="F194" s="3">
        <v>0.53263888888888899</v>
      </c>
      <c r="G194" s="3">
        <v>0.53611111111111098</v>
      </c>
      <c r="H194" s="13">
        <v>177.5326388888889</v>
      </c>
      <c r="I194" s="13">
        <v>177.5361111111111</v>
      </c>
      <c r="J194" s="13">
        <v>177.53437500000001</v>
      </c>
      <c r="K194" s="7">
        <v>43642.534375000003</v>
      </c>
      <c r="L194" s="4">
        <v>1946.2</v>
      </c>
      <c r="M194" s="4">
        <v>19.5</v>
      </c>
      <c r="N194" s="4">
        <v>26.67</v>
      </c>
      <c r="Q194">
        <v>-5.7843818196303296</v>
      </c>
      <c r="R194">
        <v>2.29742779760917E-3</v>
      </c>
    </row>
    <row r="195" spans="1:18" x14ac:dyDescent="0.2">
      <c r="A195" t="s">
        <v>7</v>
      </c>
      <c r="B195">
        <v>3</v>
      </c>
      <c r="C195" t="s">
        <v>3</v>
      </c>
      <c r="D195" s="2">
        <v>43642</v>
      </c>
      <c r="E195" s="11">
        <v>177</v>
      </c>
      <c r="F195" s="3">
        <v>0.53749999999999998</v>
      </c>
      <c r="G195" s="3">
        <v>0.54097222222222197</v>
      </c>
      <c r="H195" s="13">
        <v>177.53749999999999</v>
      </c>
      <c r="I195" s="13">
        <v>177.54097222222222</v>
      </c>
      <c r="J195" s="13">
        <v>177.53923611111111</v>
      </c>
      <c r="K195" s="7">
        <v>43642.539236111108</v>
      </c>
      <c r="L195" s="4">
        <v>1943.7</v>
      </c>
      <c r="M195" s="4"/>
      <c r="N195" s="4">
        <v>26.67</v>
      </c>
      <c r="Q195">
        <v>5.9712314242392397</v>
      </c>
      <c r="R195">
        <v>6.2521038378496197E-3</v>
      </c>
    </row>
    <row r="196" spans="1:18" x14ac:dyDescent="0.2">
      <c r="A196" t="s">
        <v>7</v>
      </c>
      <c r="B196">
        <v>4</v>
      </c>
      <c r="C196" t="s">
        <v>2</v>
      </c>
      <c r="D196" s="2">
        <v>43642</v>
      </c>
      <c r="E196" s="11">
        <v>177</v>
      </c>
      <c r="F196" s="3">
        <v>0.54236111111111196</v>
      </c>
      <c r="G196" s="3">
        <v>0.54583333333333295</v>
      </c>
      <c r="H196" s="13">
        <v>177.54236111111112</v>
      </c>
      <c r="I196" s="13">
        <v>177.54583333333332</v>
      </c>
      <c r="J196" s="13">
        <v>177.54409722222221</v>
      </c>
      <c r="K196" s="7">
        <v>43642.54409722222</v>
      </c>
      <c r="L196" s="4">
        <v>1933.7</v>
      </c>
      <c r="M196" s="4">
        <v>19.100000000000001</v>
      </c>
      <c r="N196" s="4">
        <v>26.67</v>
      </c>
      <c r="Q196">
        <v>-6.64154678508425</v>
      </c>
      <c r="R196">
        <v>-1.6866463567590899E-3</v>
      </c>
    </row>
    <row r="197" spans="1:18" x14ac:dyDescent="0.2">
      <c r="A197" t="s">
        <v>7</v>
      </c>
      <c r="B197">
        <v>4</v>
      </c>
      <c r="C197" t="s">
        <v>3</v>
      </c>
      <c r="D197" s="2">
        <v>43642</v>
      </c>
      <c r="E197" s="11">
        <v>177</v>
      </c>
      <c r="F197" s="3">
        <v>0.54722222222222305</v>
      </c>
      <c r="G197" s="3">
        <v>0.55069444444444404</v>
      </c>
      <c r="H197" s="13">
        <v>177.54722222222222</v>
      </c>
      <c r="I197" s="13">
        <v>177.55069444444445</v>
      </c>
      <c r="J197" s="13">
        <v>177.54895833333333</v>
      </c>
      <c r="K197" s="7">
        <v>43642.548958333333</v>
      </c>
      <c r="L197" s="4">
        <v>1941.2</v>
      </c>
      <c r="M197" s="4"/>
      <c r="N197" s="4">
        <v>26.67</v>
      </c>
      <c r="Q197">
        <v>6.8463332961263799</v>
      </c>
      <c r="R197">
        <v>8.9559303661289093E-3</v>
      </c>
    </row>
    <row r="198" spans="1:18" x14ac:dyDescent="0.2">
      <c r="A198" t="s">
        <v>7</v>
      </c>
      <c r="B198">
        <v>5</v>
      </c>
      <c r="C198" t="s">
        <v>2</v>
      </c>
      <c r="D198" s="2">
        <v>43642</v>
      </c>
      <c r="E198" s="11">
        <v>177</v>
      </c>
      <c r="F198" s="3">
        <v>0.55208333333333404</v>
      </c>
      <c r="G198" s="3">
        <v>0.55555555555555503</v>
      </c>
      <c r="H198" s="13">
        <v>177.55208333333334</v>
      </c>
      <c r="I198" s="13">
        <v>177.55555555555554</v>
      </c>
      <c r="J198" s="13">
        <v>177.55381944444446</v>
      </c>
      <c r="K198" s="7">
        <v>43642.553819444445</v>
      </c>
      <c r="L198" s="4">
        <v>1958.7</v>
      </c>
      <c r="M198" s="4">
        <v>19.399999999999999</v>
      </c>
      <c r="N198" s="4">
        <v>26.67</v>
      </c>
      <c r="Q198">
        <v>-12.4863462294252</v>
      </c>
      <c r="R198">
        <v>2.17830125519036E-2</v>
      </c>
    </row>
    <row r="199" spans="1:18" x14ac:dyDescent="0.2">
      <c r="A199" t="s">
        <v>7</v>
      </c>
      <c r="B199">
        <v>5</v>
      </c>
      <c r="C199" t="s">
        <v>3</v>
      </c>
      <c r="D199" s="2">
        <v>43642</v>
      </c>
      <c r="E199" s="11">
        <v>177</v>
      </c>
      <c r="F199" s="3">
        <v>0.55694444444444502</v>
      </c>
      <c r="G199" s="3">
        <v>0.56041666666666701</v>
      </c>
      <c r="H199" s="13">
        <v>177.55694444444444</v>
      </c>
      <c r="I199" s="13">
        <v>177.56041666666667</v>
      </c>
      <c r="J199" s="13">
        <v>177.55868055555555</v>
      </c>
      <c r="K199" s="7">
        <v>43642.558680555558</v>
      </c>
      <c r="L199" s="4">
        <v>1968.7</v>
      </c>
      <c r="M199" s="4"/>
      <c r="N199" s="4">
        <v>26.67</v>
      </c>
      <c r="Q199">
        <v>6.9218117416332303</v>
      </c>
      <c r="R199">
        <v>9.0126271722705004E-3</v>
      </c>
    </row>
    <row r="200" spans="1:18" x14ac:dyDescent="0.2">
      <c r="A200" t="s">
        <v>7</v>
      </c>
      <c r="B200">
        <v>1</v>
      </c>
      <c r="C200" t="s">
        <v>2</v>
      </c>
      <c r="D200" s="2">
        <v>43649</v>
      </c>
      <c r="E200" s="11">
        <v>184</v>
      </c>
      <c r="F200" s="3">
        <v>0.41180555555555554</v>
      </c>
      <c r="G200" s="3">
        <v>0.4152777777777778</v>
      </c>
      <c r="H200" s="13">
        <v>184.41180555555556</v>
      </c>
      <c r="I200" s="13">
        <v>184.41527777777779</v>
      </c>
      <c r="J200" s="13">
        <v>184.41354166666667</v>
      </c>
      <c r="K200" s="7">
        <v>43649.413541666669</v>
      </c>
      <c r="L200" s="4">
        <v>1238.7</v>
      </c>
      <c r="M200" s="4">
        <v>5.6</v>
      </c>
      <c r="N200" s="4">
        <v>25.56</v>
      </c>
      <c r="Q200">
        <v>-13.869189944914901</v>
      </c>
      <c r="R200">
        <v>-7.7493105876078798E-4</v>
      </c>
    </row>
    <row r="201" spans="1:18" x14ac:dyDescent="0.2">
      <c r="A201" t="s">
        <v>7</v>
      </c>
      <c r="B201">
        <v>1</v>
      </c>
      <c r="C201" t="s">
        <v>3</v>
      </c>
      <c r="D201" s="2">
        <v>43649</v>
      </c>
      <c r="E201" s="11">
        <v>184</v>
      </c>
      <c r="F201" s="3">
        <v>0.41666666666666669</v>
      </c>
      <c r="G201" s="3">
        <v>0.4201388888888889</v>
      </c>
      <c r="H201" s="13">
        <v>184.41666666666666</v>
      </c>
      <c r="I201" s="13">
        <v>184.42013888888889</v>
      </c>
      <c r="J201" s="13">
        <v>184.41840277777777</v>
      </c>
      <c r="K201" s="7">
        <v>43649.418402777781</v>
      </c>
      <c r="L201" s="4">
        <v>1401.2</v>
      </c>
      <c r="M201" s="4"/>
      <c r="N201" s="4">
        <v>25.56</v>
      </c>
      <c r="Q201">
        <v>8.0885190131819495</v>
      </c>
      <c r="R201">
        <v>-2.6481434470791501E-3</v>
      </c>
    </row>
    <row r="202" spans="1:18" x14ac:dyDescent="0.2">
      <c r="A202" t="s">
        <v>7</v>
      </c>
      <c r="B202">
        <v>2</v>
      </c>
      <c r="C202" t="s">
        <v>2</v>
      </c>
      <c r="D202" s="2">
        <v>43649</v>
      </c>
      <c r="E202" s="11">
        <v>184</v>
      </c>
      <c r="F202" s="3">
        <v>0.421527777777778</v>
      </c>
      <c r="G202" s="3">
        <v>0.42499999999999999</v>
      </c>
      <c r="H202" s="13">
        <v>184.42152777777778</v>
      </c>
      <c r="I202" s="13">
        <v>184.42500000000001</v>
      </c>
      <c r="J202" s="13">
        <v>184.4232638888889</v>
      </c>
      <c r="K202" s="7">
        <v>43649.423263888886</v>
      </c>
      <c r="L202" s="4">
        <v>1491.2</v>
      </c>
      <c r="M202" s="4">
        <v>7.5</v>
      </c>
      <c r="N202" s="4">
        <v>25.56</v>
      </c>
      <c r="Q202">
        <v>-18.144713227983399</v>
      </c>
      <c r="R202">
        <v>3.84639009651935E-4</v>
      </c>
    </row>
    <row r="203" spans="1:18" x14ac:dyDescent="0.2">
      <c r="A203" t="s">
        <v>7</v>
      </c>
      <c r="B203">
        <v>2</v>
      </c>
      <c r="C203" t="s">
        <v>3</v>
      </c>
      <c r="D203" s="2">
        <v>43649</v>
      </c>
      <c r="E203" s="11">
        <v>184</v>
      </c>
      <c r="F203" s="3">
        <v>0.42638888888888898</v>
      </c>
      <c r="G203" s="3">
        <v>0.42986111111111103</v>
      </c>
      <c r="H203" s="13">
        <v>184.42638888888888</v>
      </c>
      <c r="I203" s="13">
        <v>184.42986111111111</v>
      </c>
      <c r="J203" s="13">
        <v>184.42812499999999</v>
      </c>
      <c r="K203" s="7">
        <v>43649.428124999999</v>
      </c>
      <c r="L203" s="4">
        <v>1453.7</v>
      </c>
      <c r="M203" s="4"/>
      <c r="N203" s="4">
        <v>25.56</v>
      </c>
      <c r="Q203">
        <v>22.5051547741399</v>
      </c>
      <c r="R203">
        <v>-1.4970166390059999E-3</v>
      </c>
    </row>
    <row r="204" spans="1:18" x14ac:dyDescent="0.2">
      <c r="A204" t="s">
        <v>7</v>
      </c>
      <c r="B204">
        <v>3</v>
      </c>
      <c r="C204" t="s">
        <v>2</v>
      </c>
      <c r="D204" s="2">
        <v>43649</v>
      </c>
      <c r="E204" s="11">
        <v>184</v>
      </c>
      <c r="F204" s="3">
        <v>0.43125000000000002</v>
      </c>
      <c r="G204" s="3">
        <v>0.43472222222222201</v>
      </c>
      <c r="H204" s="13">
        <v>184.43125000000001</v>
      </c>
      <c r="I204" s="13">
        <v>184.43472222222223</v>
      </c>
      <c r="J204" s="13">
        <v>184.43298611111112</v>
      </c>
      <c r="K204" s="7">
        <v>43649.432986111111</v>
      </c>
      <c r="L204" s="4">
        <v>1508.7</v>
      </c>
      <c r="M204" s="4">
        <v>9</v>
      </c>
      <c r="N204" s="4">
        <v>25.56</v>
      </c>
      <c r="Q204">
        <v>-14.8262537767755</v>
      </c>
      <c r="R204">
        <v>-2.03096788782944E-3</v>
      </c>
    </row>
    <row r="205" spans="1:18" x14ac:dyDescent="0.2">
      <c r="A205" t="s">
        <v>7</v>
      </c>
      <c r="B205">
        <v>3</v>
      </c>
      <c r="C205" t="s">
        <v>3</v>
      </c>
      <c r="D205" s="2">
        <v>43649</v>
      </c>
      <c r="E205" s="11">
        <v>184</v>
      </c>
      <c r="F205" s="3">
        <v>0.43611111111111101</v>
      </c>
      <c r="G205" s="3">
        <v>0.43958333333333299</v>
      </c>
      <c r="H205" s="13">
        <v>184.4361111111111</v>
      </c>
      <c r="I205" s="13">
        <v>184.43958333333333</v>
      </c>
      <c r="J205" s="13">
        <v>184.43784722222222</v>
      </c>
      <c r="K205" s="7">
        <v>43649.437847222223</v>
      </c>
      <c r="L205" s="4">
        <v>1588.7</v>
      </c>
      <c r="M205" s="4"/>
      <c r="N205" s="4">
        <v>25.56</v>
      </c>
      <c r="Q205">
        <v>3.8416911426104798</v>
      </c>
      <c r="R205">
        <v>-2.8948951073733899E-3</v>
      </c>
    </row>
    <row r="206" spans="1:18" x14ac:dyDescent="0.2">
      <c r="A206" t="s">
        <v>7</v>
      </c>
      <c r="B206">
        <v>4</v>
      </c>
      <c r="C206" t="s">
        <v>2</v>
      </c>
      <c r="D206" s="2">
        <v>43649</v>
      </c>
      <c r="E206" s="11">
        <v>184</v>
      </c>
      <c r="F206" s="3">
        <v>0.44097222222222199</v>
      </c>
      <c r="G206" s="3">
        <v>0.44444444444444398</v>
      </c>
      <c r="H206" s="13">
        <v>184.44097222222223</v>
      </c>
      <c r="I206" s="13">
        <v>184.44444444444446</v>
      </c>
      <c r="J206" s="13">
        <v>184.44270833333334</v>
      </c>
      <c r="K206" s="7">
        <v>43649.442708333336</v>
      </c>
      <c r="L206" s="4">
        <v>1578.7</v>
      </c>
      <c r="M206" s="4">
        <v>7.6</v>
      </c>
      <c r="N206" s="4">
        <v>25.56</v>
      </c>
      <c r="Q206">
        <v>-14.5620076735308</v>
      </c>
      <c r="R206">
        <v>6.5814608500582997E-3</v>
      </c>
    </row>
    <row r="207" spans="1:18" x14ac:dyDescent="0.2">
      <c r="A207" t="s">
        <v>7</v>
      </c>
      <c r="B207">
        <v>4</v>
      </c>
      <c r="C207" t="s">
        <v>3</v>
      </c>
      <c r="D207" s="2">
        <v>43649</v>
      </c>
      <c r="E207" s="11">
        <v>184</v>
      </c>
      <c r="F207" s="3">
        <v>0.44583333333333403</v>
      </c>
      <c r="G207" s="3">
        <v>0.44930555555555601</v>
      </c>
      <c r="H207" s="13">
        <v>184.44583333333333</v>
      </c>
      <c r="I207" s="13">
        <v>184.44930555555555</v>
      </c>
      <c r="J207" s="13">
        <v>184.44756944444444</v>
      </c>
      <c r="K207" s="7">
        <v>43649.447569444441</v>
      </c>
      <c r="L207" s="4">
        <v>1661.2</v>
      </c>
      <c r="M207" s="4"/>
      <c r="N207" s="4">
        <v>25.56</v>
      </c>
      <c r="Q207">
        <v>7.6746747611316097</v>
      </c>
      <c r="R207">
        <v>4.9095193915755196E-3</v>
      </c>
    </row>
    <row r="208" spans="1:18" x14ac:dyDescent="0.2">
      <c r="A208" t="s">
        <v>7</v>
      </c>
      <c r="B208">
        <v>5</v>
      </c>
      <c r="C208" t="s">
        <v>2</v>
      </c>
      <c r="D208" s="2">
        <v>43649</v>
      </c>
      <c r="E208" s="11">
        <v>184</v>
      </c>
      <c r="F208" s="3">
        <v>0.45069444444444501</v>
      </c>
      <c r="G208" s="3">
        <v>0.454166666666667</v>
      </c>
      <c r="H208" s="13">
        <v>184.45069444444445</v>
      </c>
      <c r="I208" s="13">
        <v>184.45416666666668</v>
      </c>
      <c r="J208" s="13">
        <v>184.45243055555557</v>
      </c>
      <c r="K208" s="7">
        <v>43649.452430555553</v>
      </c>
      <c r="L208" s="4">
        <v>968.7</v>
      </c>
      <c r="M208" s="4">
        <v>6.5</v>
      </c>
      <c r="N208" s="4">
        <v>25.56</v>
      </c>
      <c r="Q208">
        <v>-19.8214474279416</v>
      </c>
      <c r="R208">
        <v>3.5999347821905701E-3</v>
      </c>
    </row>
    <row r="209" spans="1:18" x14ac:dyDescent="0.2">
      <c r="A209" t="s">
        <v>7</v>
      </c>
      <c r="B209">
        <v>5</v>
      </c>
      <c r="C209" t="s">
        <v>3</v>
      </c>
      <c r="D209" s="2">
        <v>43649</v>
      </c>
      <c r="E209" s="11">
        <v>184</v>
      </c>
      <c r="F209" s="3">
        <v>0.45555555555555599</v>
      </c>
      <c r="G209" s="3">
        <v>0.45902777777777798</v>
      </c>
      <c r="H209" s="13">
        <v>184.45555555555555</v>
      </c>
      <c r="I209" s="13">
        <v>184.45902777777778</v>
      </c>
      <c r="J209" s="13">
        <v>184.45729166666666</v>
      </c>
      <c r="K209" s="7">
        <v>43649.457291666666</v>
      </c>
      <c r="L209" s="4">
        <v>1.2</v>
      </c>
      <c r="M209" s="4"/>
      <c r="N209" s="4">
        <v>25.56</v>
      </c>
      <c r="Q209">
        <v>12.275639173990699</v>
      </c>
      <c r="R209">
        <v>5.2856522003417597E-3</v>
      </c>
    </row>
    <row r="210" spans="1:18" x14ac:dyDescent="0.2">
      <c r="A210" t="s">
        <v>7</v>
      </c>
      <c r="B210">
        <v>1</v>
      </c>
      <c r="C210" t="s">
        <v>2</v>
      </c>
      <c r="D210" s="2">
        <v>43654</v>
      </c>
      <c r="E210" s="11">
        <v>189</v>
      </c>
      <c r="F210" s="3">
        <v>0.4055555555555555</v>
      </c>
      <c r="G210" s="3">
        <v>0.40902777777777777</v>
      </c>
      <c r="H210" s="13">
        <v>189.40555555555557</v>
      </c>
      <c r="I210" s="13">
        <v>189.40902777777777</v>
      </c>
      <c r="J210" s="13">
        <v>189.40729166666665</v>
      </c>
      <c r="K210" s="7">
        <v>43654.407294999997</v>
      </c>
      <c r="L210" s="4">
        <v>1398.7</v>
      </c>
      <c r="M210" s="4">
        <v>19.2</v>
      </c>
      <c r="N210" s="4">
        <v>19</v>
      </c>
      <c r="Q210">
        <v>-12.443843190719999</v>
      </c>
      <c r="R210">
        <v>-3.7684612829719602E-4</v>
      </c>
    </row>
    <row r="211" spans="1:18" x14ac:dyDescent="0.2">
      <c r="A211" t="s">
        <v>7</v>
      </c>
      <c r="B211">
        <v>1</v>
      </c>
      <c r="C211" t="s">
        <v>3</v>
      </c>
      <c r="D211" s="2">
        <v>43654</v>
      </c>
      <c r="E211" s="11">
        <v>189</v>
      </c>
      <c r="F211" s="3">
        <v>0.41041666666666665</v>
      </c>
      <c r="G211" s="3">
        <v>0.41388888888888892</v>
      </c>
      <c r="H211" s="13">
        <v>189.41041666666666</v>
      </c>
      <c r="I211" s="13">
        <v>189.41388888888889</v>
      </c>
      <c r="J211" s="13">
        <v>189.41215277777778</v>
      </c>
      <c r="K211" s="7">
        <v>43654.412154999998</v>
      </c>
      <c r="L211" s="4">
        <v>1021.2</v>
      </c>
      <c r="M211" s="4"/>
      <c r="N211" s="4">
        <v>19</v>
      </c>
      <c r="Q211">
        <v>5.2847570773458497</v>
      </c>
      <c r="R211">
        <v>-1.97096452566426E-4</v>
      </c>
    </row>
    <row r="212" spans="1:18" x14ac:dyDescent="0.2">
      <c r="A212" t="s">
        <v>7</v>
      </c>
      <c r="B212">
        <v>2</v>
      </c>
      <c r="C212" t="s">
        <v>2</v>
      </c>
      <c r="D212" s="2">
        <v>43654</v>
      </c>
      <c r="E212" s="11">
        <v>189</v>
      </c>
      <c r="F212" s="3">
        <v>0.4152777777777778</v>
      </c>
      <c r="G212" s="3">
        <v>0.41875000000000001</v>
      </c>
      <c r="H212" s="13">
        <v>189.41527777777779</v>
      </c>
      <c r="I212" s="13">
        <v>189.41874999999999</v>
      </c>
      <c r="J212" s="13">
        <v>189.4170138888889</v>
      </c>
      <c r="K212" s="7">
        <v>43654.417014999999</v>
      </c>
      <c r="L212" s="4">
        <v>1413.7</v>
      </c>
      <c r="M212" s="4">
        <v>19.100000000000001</v>
      </c>
      <c r="N212" s="4">
        <v>19</v>
      </c>
      <c r="Q212">
        <v>-15.8535268800628</v>
      </c>
      <c r="R212">
        <v>-3.13420663666501E-4</v>
      </c>
    </row>
    <row r="213" spans="1:18" x14ac:dyDescent="0.2">
      <c r="A213" t="s">
        <v>7</v>
      </c>
      <c r="B213">
        <v>2</v>
      </c>
      <c r="C213" t="s">
        <v>3</v>
      </c>
      <c r="D213" s="2">
        <v>43654</v>
      </c>
      <c r="E213" s="11">
        <v>189</v>
      </c>
      <c r="F213" s="3">
        <v>0.4201388888888889</v>
      </c>
      <c r="G213" s="3">
        <v>0.4236111111111111</v>
      </c>
      <c r="H213" s="13">
        <v>189.42013888888889</v>
      </c>
      <c r="I213" s="13">
        <v>189.42361111111111</v>
      </c>
      <c r="J213" s="13">
        <v>189.421875</v>
      </c>
      <c r="K213" s="7">
        <v>43654.421875</v>
      </c>
      <c r="L213" s="4">
        <v>1163.7</v>
      </c>
      <c r="M213" s="4"/>
      <c r="N213" s="4">
        <v>19</v>
      </c>
      <c r="Q213">
        <v>5.7064961080218302</v>
      </c>
      <c r="R213">
        <v>-4.1526236623779899E-4</v>
      </c>
    </row>
    <row r="214" spans="1:18" x14ac:dyDescent="0.2">
      <c r="A214" t="s">
        <v>7</v>
      </c>
      <c r="B214">
        <v>3</v>
      </c>
      <c r="C214" t="s">
        <v>2</v>
      </c>
      <c r="D214" s="2">
        <v>43654</v>
      </c>
      <c r="E214" s="11">
        <v>189</v>
      </c>
      <c r="F214" s="3">
        <v>0.42499999999999999</v>
      </c>
      <c r="G214" s="3">
        <v>0.4284722222222222</v>
      </c>
      <c r="H214" s="13">
        <v>189.42500000000001</v>
      </c>
      <c r="I214" s="13">
        <v>189.42847222222221</v>
      </c>
      <c r="J214" s="13">
        <v>189.4267361111111</v>
      </c>
      <c r="K214" s="7">
        <v>43654.426735000001</v>
      </c>
      <c r="L214" s="4">
        <v>1601.2</v>
      </c>
      <c r="M214" s="4">
        <v>16.100000000000001</v>
      </c>
      <c r="N214" s="4">
        <v>20</v>
      </c>
      <c r="Q214">
        <v>16.893209972014201</v>
      </c>
      <c r="R214">
        <v>2.9083653511381501E-2</v>
      </c>
    </row>
    <row r="215" spans="1:18" x14ac:dyDescent="0.2">
      <c r="A215" t="s">
        <v>7</v>
      </c>
      <c r="B215">
        <v>3</v>
      </c>
      <c r="C215" t="s">
        <v>3</v>
      </c>
      <c r="D215" s="2">
        <v>43654</v>
      </c>
      <c r="E215" s="11">
        <v>189</v>
      </c>
      <c r="F215" s="3">
        <v>0.42986111111111108</v>
      </c>
      <c r="G215" s="3">
        <v>0.43333333333333335</v>
      </c>
      <c r="H215" s="13">
        <v>189.42986111111111</v>
      </c>
      <c r="I215" s="13">
        <v>189.43333333333334</v>
      </c>
      <c r="J215" s="13">
        <v>189.43159722222222</v>
      </c>
      <c r="K215" s="7">
        <v>43654.431595000002</v>
      </c>
      <c r="L215" s="4">
        <v>1051.2</v>
      </c>
      <c r="M215" s="4"/>
      <c r="N215" s="4">
        <v>20</v>
      </c>
      <c r="Q215">
        <v>0.90830136043916598</v>
      </c>
      <c r="R215">
        <v>1.3434025931525701E-2</v>
      </c>
    </row>
    <row r="216" spans="1:18" x14ac:dyDescent="0.2">
      <c r="A216" t="s">
        <v>7</v>
      </c>
      <c r="B216">
        <v>4</v>
      </c>
      <c r="C216" t="s">
        <v>2</v>
      </c>
      <c r="D216" s="2">
        <v>43654</v>
      </c>
      <c r="E216" s="11">
        <v>189</v>
      </c>
      <c r="F216" s="3">
        <v>0.43472222222222223</v>
      </c>
      <c r="G216" s="3">
        <v>0.4381944444444445</v>
      </c>
      <c r="H216" s="13">
        <v>189.43472222222223</v>
      </c>
      <c r="I216" s="13">
        <v>189.43819444444443</v>
      </c>
      <c r="J216" s="13">
        <v>189.43645833333335</v>
      </c>
      <c r="K216" s="7">
        <v>43654.436455000003</v>
      </c>
      <c r="L216" s="4">
        <v>1668.7</v>
      </c>
      <c r="M216" s="4">
        <v>15.9</v>
      </c>
      <c r="N216" s="4">
        <v>21</v>
      </c>
      <c r="Q216">
        <v>-11.088319076983201</v>
      </c>
      <c r="R216">
        <v>5.8561304466307801E-5</v>
      </c>
    </row>
    <row r="217" spans="1:18" x14ac:dyDescent="0.2">
      <c r="A217" t="s">
        <v>7</v>
      </c>
      <c r="B217">
        <v>4</v>
      </c>
      <c r="C217" t="s">
        <v>3</v>
      </c>
      <c r="D217" s="2">
        <v>43654</v>
      </c>
      <c r="E217" s="11">
        <v>189</v>
      </c>
      <c r="F217" s="3">
        <v>0.43958333333333338</v>
      </c>
      <c r="G217" s="3">
        <v>0.44305555555555554</v>
      </c>
      <c r="H217" s="13">
        <v>189.43958333333333</v>
      </c>
      <c r="I217" s="13">
        <v>189.44305555555556</v>
      </c>
      <c r="J217" s="13">
        <v>189.44131944444445</v>
      </c>
      <c r="K217" s="7">
        <v>43654.441319999998</v>
      </c>
      <c r="L217" s="4">
        <v>1661.2</v>
      </c>
      <c r="M217" s="4"/>
      <c r="N217" s="4">
        <v>21</v>
      </c>
      <c r="Q217">
        <v>8.0427689435101897</v>
      </c>
      <c r="R217">
        <v>-1.4801885751011601E-4</v>
      </c>
    </row>
    <row r="218" spans="1:18" x14ac:dyDescent="0.2">
      <c r="A218" t="s">
        <v>7</v>
      </c>
      <c r="B218">
        <v>5</v>
      </c>
      <c r="C218" t="s">
        <v>2</v>
      </c>
      <c r="D218" s="2">
        <v>43654</v>
      </c>
      <c r="E218" s="11">
        <v>189</v>
      </c>
      <c r="F218" s="3">
        <v>0.44444444444444442</v>
      </c>
      <c r="G218" s="3">
        <v>0.44791666666666669</v>
      </c>
      <c r="H218" s="13">
        <v>189.44444444444446</v>
      </c>
      <c r="I218" s="13">
        <v>189.44791666666666</v>
      </c>
      <c r="J218" s="13">
        <v>189.44618055555554</v>
      </c>
      <c r="K218" s="7">
        <v>43654.446179999999</v>
      </c>
      <c r="L218" s="4">
        <v>1673.7</v>
      </c>
      <c r="M218" s="4">
        <v>17.3</v>
      </c>
      <c r="N218" s="4">
        <v>21</v>
      </c>
      <c r="Q218">
        <v>-20.892541621848</v>
      </c>
      <c r="R218">
        <v>-3.06591479459864E-5</v>
      </c>
    </row>
    <row r="219" spans="1:18" x14ac:dyDescent="0.2">
      <c r="A219" t="s">
        <v>7</v>
      </c>
      <c r="B219">
        <v>5</v>
      </c>
      <c r="C219" t="s">
        <v>3</v>
      </c>
      <c r="D219" s="2">
        <v>43654</v>
      </c>
      <c r="E219" s="11">
        <v>189</v>
      </c>
      <c r="F219" s="3">
        <v>0.44930555555555557</v>
      </c>
      <c r="G219" s="3">
        <v>0.45277777777777778</v>
      </c>
      <c r="H219" s="13">
        <v>189.44930555555555</v>
      </c>
      <c r="I219" s="13">
        <v>189.45277777777778</v>
      </c>
      <c r="J219" s="13">
        <v>189.45104166666667</v>
      </c>
      <c r="K219" s="7">
        <v>43654.451045000002</v>
      </c>
      <c r="L219" s="4">
        <v>1683.7</v>
      </c>
      <c r="M219" s="4"/>
      <c r="N219" s="4">
        <v>21</v>
      </c>
      <c r="Q219">
        <v>14.5005511544884</v>
      </c>
      <c r="R219">
        <v>-1.95237206609885E-4</v>
      </c>
    </row>
    <row r="220" spans="1:18" x14ac:dyDescent="0.2">
      <c r="A220" t="s">
        <v>7</v>
      </c>
      <c r="B220">
        <v>1</v>
      </c>
      <c r="C220" t="s">
        <v>2</v>
      </c>
      <c r="D220" s="2">
        <v>43654</v>
      </c>
      <c r="E220" s="11">
        <v>189</v>
      </c>
      <c r="F220" s="3">
        <v>0.52500000000000002</v>
      </c>
      <c r="G220" s="3">
        <v>0.52847222222222223</v>
      </c>
      <c r="H220" s="13">
        <v>189.52500000000001</v>
      </c>
      <c r="I220" s="13">
        <v>189.52847222222223</v>
      </c>
      <c r="J220" s="13">
        <v>189.52673611111112</v>
      </c>
      <c r="K220" s="7">
        <v>43654.526734999999</v>
      </c>
      <c r="L220" s="4">
        <v>1861.2</v>
      </c>
      <c r="M220" s="4">
        <v>16.399999999999999</v>
      </c>
      <c r="N220" s="4">
        <v>25.56</v>
      </c>
      <c r="Q220">
        <v>-9.9871251920000006</v>
      </c>
      <c r="R220">
        <v>-8.7959654548821695E-5</v>
      </c>
    </row>
    <row r="221" spans="1:18" x14ac:dyDescent="0.2">
      <c r="A221" t="s">
        <v>7</v>
      </c>
      <c r="B221">
        <v>1</v>
      </c>
      <c r="C221" t="s">
        <v>3</v>
      </c>
      <c r="D221" s="2">
        <v>43654</v>
      </c>
      <c r="E221" s="11">
        <v>189</v>
      </c>
      <c r="F221" s="3">
        <v>0.52986111111111112</v>
      </c>
      <c r="G221" s="3">
        <v>0.53333333333333333</v>
      </c>
      <c r="H221" s="13">
        <v>189.5298611111111</v>
      </c>
      <c r="I221" s="13">
        <v>189.53333333333333</v>
      </c>
      <c r="J221" s="13">
        <v>189.53159722222222</v>
      </c>
      <c r="K221" s="7">
        <v>43654.531595</v>
      </c>
      <c r="L221" s="4">
        <v>763.7</v>
      </c>
      <c r="M221" s="4"/>
      <c r="N221" s="4">
        <v>25.56</v>
      </c>
      <c r="Q221">
        <v>9.3937830479999995</v>
      </c>
      <c r="R221">
        <v>-7.8340590788765699E-5</v>
      </c>
    </row>
    <row r="222" spans="1:18" x14ac:dyDescent="0.2">
      <c r="A222" t="s">
        <v>7</v>
      </c>
      <c r="B222">
        <v>2</v>
      </c>
      <c r="C222" t="s">
        <v>2</v>
      </c>
      <c r="D222" s="2">
        <v>43654</v>
      </c>
      <c r="E222" s="11">
        <v>189</v>
      </c>
      <c r="F222" s="3">
        <v>0.53472222222222221</v>
      </c>
      <c r="G222" s="3">
        <v>0.53819444444444442</v>
      </c>
      <c r="H222" s="13">
        <v>189.53472222222223</v>
      </c>
      <c r="I222" s="13">
        <v>189.53819444444446</v>
      </c>
      <c r="J222" s="13">
        <v>189.53645833333334</v>
      </c>
      <c r="K222" s="7">
        <v>43654.536455000001</v>
      </c>
      <c r="L222" s="4">
        <v>1858.7</v>
      </c>
      <c r="M222" s="4">
        <v>18.5</v>
      </c>
      <c r="N222" s="4">
        <v>25.56</v>
      </c>
      <c r="Q222">
        <v>-15.51997111</v>
      </c>
      <c r="R222">
        <v>1.4238122021649201E-4</v>
      </c>
    </row>
    <row r="223" spans="1:18" x14ac:dyDescent="0.2">
      <c r="A223" t="s">
        <v>7</v>
      </c>
      <c r="B223">
        <v>2</v>
      </c>
      <c r="C223" t="s">
        <v>3</v>
      </c>
      <c r="D223" s="2">
        <v>43654</v>
      </c>
      <c r="E223" s="11">
        <v>189</v>
      </c>
      <c r="F223" s="3">
        <v>0.5395833333333333</v>
      </c>
      <c r="G223" s="3">
        <v>0.54305555555555551</v>
      </c>
      <c r="H223" s="13">
        <v>189.53958333333333</v>
      </c>
      <c r="I223" s="13">
        <v>189.54305555555555</v>
      </c>
      <c r="J223" s="13">
        <v>189.54131944444444</v>
      </c>
      <c r="K223" s="7">
        <v>43654.541320000004</v>
      </c>
      <c r="L223" s="4">
        <v>1843.7</v>
      </c>
      <c r="M223" s="4"/>
      <c r="N223" s="4">
        <v>25.56</v>
      </c>
      <c r="Q223">
        <v>11.55479487</v>
      </c>
      <c r="R223">
        <v>2.4271504457088801E-4</v>
      </c>
    </row>
    <row r="224" spans="1:18" x14ac:dyDescent="0.2">
      <c r="A224" t="s">
        <v>7</v>
      </c>
      <c r="B224">
        <v>3</v>
      </c>
      <c r="C224" t="s">
        <v>2</v>
      </c>
      <c r="D224" s="2">
        <v>43654</v>
      </c>
      <c r="E224" s="11">
        <v>189</v>
      </c>
      <c r="F224" s="3">
        <v>0.5444444444444444</v>
      </c>
      <c r="G224" s="3">
        <v>0.54791666666666672</v>
      </c>
      <c r="H224" s="13">
        <v>189.54444444444445</v>
      </c>
      <c r="I224" s="13">
        <v>189.54791666666668</v>
      </c>
      <c r="J224" s="13">
        <v>189.54618055555557</v>
      </c>
      <c r="K224" s="7">
        <v>43654.546179999998</v>
      </c>
      <c r="L224" s="4">
        <v>1833.7</v>
      </c>
      <c r="M224" s="4">
        <v>14.9</v>
      </c>
      <c r="N224" s="4">
        <v>25.56</v>
      </c>
      <c r="Q224">
        <v>-9.8033927080000005</v>
      </c>
      <c r="R224">
        <v>1.1177939737821399E-4</v>
      </c>
    </row>
    <row r="225" spans="1:18" x14ac:dyDescent="0.2">
      <c r="A225" t="s">
        <v>7</v>
      </c>
      <c r="B225">
        <v>3</v>
      </c>
      <c r="C225" t="s">
        <v>3</v>
      </c>
      <c r="D225" s="2">
        <v>43654</v>
      </c>
      <c r="E225" s="11">
        <v>189</v>
      </c>
      <c r="F225" s="3">
        <v>0.5493055555555556</v>
      </c>
      <c r="G225" s="3">
        <v>0.55277777777777781</v>
      </c>
      <c r="H225" s="13">
        <v>189.54930555555555</v>
      </c>
      <c r="I225" s="13">
        <v>189.55277777777778</v>
      </c>
      <c r="J225" s="13">
        <v>189.55104166666666</v>
      </c>
      <c r="K225" s="7">
        <v>43654.551045</v>
      </c>
      <c r="L225" s="4">
        <v>1836.2</v>
      </c>
      <c r="M225" s="4"/>
      <c r="N225" s="4">
        <v>25.56</v>
      </c>
      <c r="Q225">
        <v>9.037223139</v>
      </c>
      <c r="R225">
        <v>1.9817915460467601E-5</v>
      </c>
    </row>
    <row r="226" spans="1:18" x14ac:dyDescent="0.2">
      <c r="A226" t="s">
        <v>7</v>
      </c>
      <c r="B226">
        <v>4</v>
      </c>
      <c r="C226" t="s">
        <v>2</v>
      </c>
      <c r="D226" s="2">
        <v>43654</v>
      </c>
      <c r="E226" s="11">
        <v>189</v>
      </c>
      <c r="F226" s="3">
        <v>0.5541666666666667</v>
      </c>
      <c r="G226" s="3">
        <v>0.55763888888888891</v>
      </c>
      <c r="H226" s="13">
        <v>189.55416666666667</v>
      </c>
      <c r="I226" s="13">
        <v>189.5576388888889</v>
      </c>
      <c r="J226" s="13">
        <v>189.55590277777779</v>
      </c>
      <c r="K226" s="7">
        <v>43654.555905000001</v>
      </c>
      <c r="L226" s="4">
        <v>1818.7</v>
      </c>
      <c r="M226" s="4">
        <v>15.4</v>
      </c>
      <c r="N226" s="4">
        <v>25.56</v>
      </c>
      <c r="Q226">
        <v>-11.39661725</v>
      </c>
      <c r="R226">
        <v>-1.29087978905785E-4</v>
      </c>
    </row>
    <row r="227" spans="1:18" x14ac:dyDescent="0.2">
      <c r="A227" t="s">
        <v>7</v>
      </c>
      <c r="B227">
        <v>4</v>
      </c>
      <c r="C227" t="s">
        <v>3</v>
      </c>
      <c r="D227" s="2">
        <v>43654</v>
      </c>
      <c r="E227" s="11">
        <v>189</v>
      </c>
      <c r="F227" s="3">
        <v>0.55902777777777779</v>
      </c>
      <c r="G227" s="3">
        <v>0.5625</v>
      </c>
      <c r="H227" s="13">
        <v>189.55902777777777</v>
      </c>
      <c r="I227" s="13">
        <v>189.5625</v>
      </c>
      <c r="J227" s="13">
        <v>189.56076388888889</v>
      </c>
      <c r="K227" s="7">
        <v>43654.560765000002</v>
      </c>
      <c r="L227" s="4">
        <v>1778.7</v>
      </c>
      <c r="M227" s="4"/>
      <c r="N227" s="4">
        <v>25.56</v>
      </c>
      <c r="Q227">
        <v>12.5018627</v>
      </c>
      <c r="R227">
        <v>-1.29298165151407E-4</v>
      </c>
    </row>
    <row r="228" spans="1:18" x14ac:dyDescent="0.2">
      <c r="A228" t="s">
        <v>7</v>
      </c>
      <c r="B228">
        <v>5</v>
      </c>
      <c r="C228" t="s">
        <v>2</v>
      </c>
      <c r="D228" s="2">
        <v>43654</v>
      </c>
      <c r="E228" s="11">
        <v>189</v>
      </c>
      <c r="F228" s="3">
        <v>0.56388888888888888</v>
      </c>
      <c r="G228" s="3">
        <v>0.56736111111111109</v>
      </c>
      <c r="H228" s="13">
        <v>189.5638888888889</v>
      </c>
      <c r="I228" s="13">
        <v>189.5673611111111</v>
      </c>
      <c r="J228" s="13">
        <v>189.56562500000001</v>
      </c>
      <c r="K228" s="7">
        <v>43654.565625000003</v>
      </c>
      <c r="L228" s="4">
        <v>1791.2</v>
      </c>
      <c r="M228" s="4">
        <v>16.2</v>
      </c>
      <c r="N228" s="4">
        <v>25.56</v>
      </c>
      <c r="Q228">
        <v>-18.373258849999999</v>
      </c>
      <c r="R228">
        <v>-1.38543776083421E-4</v>
      </c>
    </row>
    <row r="229" spans="1:18" x14ac:dyDescent="0.2">
      <c r="A229" t="s">
        <v>7</v>
      </c>
      <c r="B229">
        <v>5</v>
      </c>
      <c r="C229" t="s">
        <v>3</v>
      </c>
      <c r="D229" s="2">
        <v>43654</v>
      </c>
      <c r="E229" s="11">
        <v>189</v>
      </c>
      <c r="F229" s="3">
        <v>0.56874999999999998</v>
      </c>
      <c r="G229" s="3">
        <v>0.57222222222222219</v>
      </c>
      <c r="H229" s="13">
        <v>189.56874999999999</v>
      </c>
      <c r="I229" s="13">
        <v>189.57222222222222</v>
      </c>
      <c r="J229" s="13">
        <v>189.57048611111111</v>
      </c>
      <c r="K229" s="7">
        <v>43654.570485000004</v>
      </c>
      <c r="L229" s="4">
        <v>1811.2</v>
      </c>
      <c r="M229" s="4"/>
      <c r="N229" s="4">
        <v>25.56</v>
      </c>
      <c r="Q229">
        <v>16.972043620000001</v>
      </c>
      <c r="R229">
        <v>-1.6186730961265301E-4</v>
      </c>
    </row>
    <row r="230" spans="1:18" x14ac:dyDescent="0.2">
      <c r="A230" t="s">
        <v>7</v>
      </c>
      <c r="B230">
        <v>1</v>
      </c>
      <c r="C230" t="s">
        <v>4</v>
      </c>
      <c r="D230" s="2">
        <v>43662</v>
      </c>
      <c r="E230" s="11">
        <v>197</v>
      </c>
      <c r="F230" s="3">
        <v>0.44236111111111115</v>
      </c>
      <c r="G230" s="3">
        <v>0.4458333333333333</v>
      </c>
      <c r="H230" s="13">
        <v>197.4423611111111</v>
      </c>
      <c r="I230" s="13">
        <v>197.44583333333333</v>
      </c>
      <c r="J230" s="13">
        <v>197.44409722222221</v>
      </c>
      <c r="K230" s="7">
        <v>43662.444094999999</v>
      </c>
      <c r="L230" s="4">
        <v>1666.2</v>
      </c>
      <c r="M230" s="4">
        <v>5.4</v>
      </c>
      <c r="N230" s="4">
        <v>23.89</v>
      </c>
      <c r="O230">
        <v>44.5</v>
      </c>
      <c r="P230">
        <v>0.77</v>
      </c>
      <c r="Q230">
        <v>-14.088877784234599</v>
      </c>
      <c r="R230">
        <v>-2.88281056274241E-5</v>
      </c>
    </row>
    <row r="231" spans="1:18" x14ac:dyDescent="0.2">
      <c r="A231" t="s">
        <v>7</v>
      </c>
      <c r="B231">
        <v>1</v>
      </c>
      <c r="C231" t="s">
        <v>3</v>
      </c>
      <c r="D231" s="2">
        <v>43662</v>
      </c>
      <c r="E231" s="11">
        <v>197</v>
      </c>
      <c r="F231" s="3">
        <v>0.44722222222222219</v>
      </c>
      <c r="G231" s="3">
        <v>0.45069444444444445</v>
      </c>
      <c r="H231" s="13">
        <v>197.44722222222222</v>
      </c>
      <c r="I231" s="13">
        <v>197.45069444444445</v>
      </c>
      <c r="J231" s="13">
        <v>197.44895833333334</v>
      </c>
      <c r="K231" s="7">
        <v>43662.448955</v>
      </c>
      <c r="L231" s="4">
        <v>1873.7</v>
      </c>
      <c r="M231" s="4"/>
      <c r="N231" s="4">
        <v>23.89</v>
      </c>
      <c r="Q231">
        <v>7.9691870607817501</v>
      </c>
      <c r="R231">
        <v>-3.1332529701459297E-4</v>
      </c>
    </row>
    <row r="232" spans="1:18" x14ac:dyDescent="0.2">
      <c r="A232" t="s">
        <v>7</v>
      </c>
      <c r="B232">
        <v>2</v>
      </c>
      <c r="C232" t="s">
        <v>4</v>
      </c>
      <c r="D232" s="2">
        <v>43662</v>
      </c>
      <c r="E232" s="11">
        <v>197</v>
      </c>
      <c r="F232" s="3">
        <v>0.45208333333333334</v>
      </c>
      <c r="G232" s="3">
        <v>0.45555555555555555</v>
      </c>
      <c r="H232" s="13">
        <v>197.45208333333332</v>
      </c>
      <c r="I232" s="13">
        <v>197.45555555555555</v>
      </c>
      <c r="J232" s="13">
        <v>197.45381944444443</v>
      </c>
      <c r="K232" s="7">
        <v>43662.453820000002</v>
      </c>
      <c r="L232" s="4">
        <v>1868.7</v>
      </c>
      <c r="M232" s="4">
        <v>3.7</v>
      </c>
      <c r="N232" s="4">
        <v>23.89</v>
      </c>
      <c r="O232">
        <v>38.9</v>
      </c>
      <c r="P232">
        <v>0.79</v>
      </c>
      <c r="Q232">
        <v>-15.0000509245213</v>
      </c>
      <c r="R232">
        <v>-2.33508598461827E-4</v>
      </c>
    </row>
    <row r="233" spans="1:18" x14ac:dyDescent="0.2">
      <c r="A233" t="s">
        <v>7</v>
      </c>
      <c r="B233">
        <v>2</v>
      </c>
      <c r="C233" t="s">
        <v>3</v>
      </c>
      <c r="D233" s="2">
        <v>43662</v>
      </c>
      <c r="E233" s="11">
        <v>197</v>
      </c>
      <c r="F233" s="3">
        <v>0.45694444444444443</v>
      </c>
      <c r="G233" s="3">
        <v>0.4604166666666667</v>
      </c>
      <c r="H233" s="13">
        <v>197.45694444444445</v>
      </c>
      <c r="I233" s="13">
        <v>197.46041666666667</v>
      </c>
      <c r="J233" s="13">
        <v>197.45868055555556</v>
      </c>
      <c r="K233" s="7">
        <v>43662.458679999996</v>
      </c>
      <c r="L233" s="4">
        <v>1143.7</v>
      </c>
      <c r="M233" s="4"/>
      <c r="N233" s="4">
        <v>23.89</v>
      </c>
      <c r="Q233">
        <v>10.8242658546305</v>
      </c>
      <c r="R233">
        <v>-3.4559423072404502E-4</v>
      </c>
    </row>
    <row r="234" spans="1:18" x14ac:dyDescent="0.2">
      <c r="A234" t="s">
        <v>7</v>
      </c>
      <c r="B234">
        <v>3</v>
      </c>
      <c r="C234" t="s">
        <v>4</v>
      </c>
      <c r="D234" s="2">
        <v>43662</v>
      </c>
      <c r="E234" s="11">
        <v>197</v>
      </c>
      <c r="F234" s="3">
        <v>0.46180555555555558</v>
      </c>
      <c r="G234" s="3">
        <v>0.46527777777777773</v>
      </c>
      <c r="H234" s="13">
        <v>197.46180555555554</v>
      </c>
      <c r="I234" s="13">
        <v>197.46527777777777</v>
      </c>
      <c r="J234" s="13">
        <v>197.46354166666666</v>
      </c>
      <c r="K234" s="7">
        <v>43662.463544999999</v>
      </c>
      <c r="L234" s="4">
        <v>1223.7</v>
      </c>
      <c r="M234" s="4">
        <v>5.8</v>
      </c>
      <c r="N234" s="4">
        <v>27.22</v>
      </c>
      <c r="O234">
        <v>44.3</v>
      </c>
      <c r="P234">
        <v>0.79</v>
      </c>
      <c r="Q234">
        <v>-13.017891847524499</v>
      </c>
      <c r="R234">
        <v>-3.5444655925496402E-4</v>
      </c>
    </row>
    <row r="235" spans="1:18" x14ac:dyDescent="0.2">
      <c r="A235" t="s">
        <v>7</v>
      </c>
      <c r="B235">
        <v>3</v>
      </c>
      <c r="C235" t="s">
        <v>3</v>
      </c>
      <c r="D235" s="2">
        <v>43662</v>
      </c>
      <c r="E235" s="11">
        <v>197</v>
      </c>
      <c r="F235" s="3">
        <v>0.46666666666666662</v>
      </c>
      <c r="G235" s="3">
        <v>0.47013888888888888</v>
      </c>
      <c r="H235" s="13">
        <v>197.46666666666667</v>
      </c>
      <c r="I235" s="13">
        <v>197.4701388888889</v>
      </c>
      <c r="J235" s="13">
        <v>197.46840277777778</v>
      </c>
      <c r="K235" s="7">
        <v>43662.468405</v>
      </c>
      <c r="L235" s="4">
        <v>1151.2</v>
      </c>
      <c r="M235" s="4"/>
      <c r="N235" s="4">
        <v>27.22</v>
      </c>
      <c r="Q235">
        <v>7.0775304605761402</v>
      </c>
      <c r="R235">
        <v>-1.3383064918203201E-4</v>
      </c>
    </row>
    <row r="236" spans="1:18" x14ac:dyDescent="0.2">
      <c r="A236" t="s">
        <v>7</v>
      </c>
      <c r="B236">
        <v>4</v>
      </c>
      <c r="C236" t="s">
        <v>4</v>
      </c>
      <c r="D236" s="2">
        <v>43662</v>
      </c>
      <c r="E236" s="11">
        <v>197</v>
      </c>
      <c r="F236" s="3">
        <v>0.47152777777777777</v>
      </c>
      <c r="G236" s="3">
        <v>0.47500000000000003</v>
      </c>
      <c r="H236" s="13">
        <v>197.47152777777777</v>
      </c>
      <c r="I236" s="13">
        <v>197.47499999999999</v>
      </c>
      <c r="J236" s="13">
        <v>197.47326388888888</v>
      </c>
      <c r="K236" s="7">
        <v>43662.473265000001</v>
      </c>
      <c r="L236" s="4">
        <v>1266.2</v>
      </c>
      <c r="M236" s="4">
        <v>2</v>
      </c>
      <c r="N236" s="4">
        <v>27.22</v>
      </c>
      <c r="O236">
        <v>28.4</v>
      </c>
      <c r="P236">
        <v>0.81</v>
      </c>
      <c r="Q236">
        <v>-13.8728755383527</v>
      </c>
      <c r="R236">
        <v>2.5828015224585102E-4</v>
      </c>
    </row>
    <row r="237" spans="1:18" x14ac:dyDescent="0.2">
      <c r="A237" t="s">
        <v>7</v>
      </c>
      <c r="B237">
        <v>4</v>
      </c>
      <c r="C237" t="s">
        <v>3</v>
      </c>
      <c r="D237" s="2">
        <v>43662</v>
      </c>
      <c r="E237" s="11">
        <v>197</v>
      </c>
      <c r="F237" s="3">
        <v>0.47638888888888892</v>
      </c>
      <c r="G237" s="3">
        <v>0.47986111111111113</v>
      </c>
      <c r="H237" s="13">
        <v>197.47638888888889</v>
      </c>
      <c r="I237" s="13">
        <v>197.47986111111112</v>
      </c>
      <c r="J237" s="13">
        <v>197.47812500000001</v>
      </c>
      <c r="K237" s="7">
        <v>43662.478125000001</v>
      </c>
      <c r="L237" s="4">
        <v>1373.7</v>
      </c>
      <c r="M237" s="4"/>
      <c r="N237" s="4">
        <v>27.22</v>
      </c>
      <c r="Q237">
        <v>8.8585378636885608</v>
      </c>
      <c r="R237">
        <v>1.1431132667885301E-4</v>
      </c>
    </row>
    <row r="238" spans="1:18" x14ac:dyDescent="0.2">
      <c r="A238" t="s">
        <v>7</v>
      </c>
      <c r="B238">
        <v>5</v>
      </c>
      <c r="C238" t="s">
        <v>4</v>
      </c>
      <c r="D238" s="2">
        <v>43662</v>
      </c>
      <c r="E238" s="11">
        <v>197</v>
      </c>
      <c r="F238" s="3">
        <v>0.48125000000000001</v>
      </c>
      <c r="G238" s="3">
        <v>0.48472222222222222</v>
      </c>
      <c r="H238" s="13">
        <v>197.48124999999999</v>
      </c>
      <c r="I238" s="13">
        <v>197.48472222222222</v>
      </c>
      <c r="J238" s="13">
        <v>197.4829861111111</v>
      </c>
      <c r="K238" s="7">
        <v>43662.482984999995</v>
      </c>
      <c r="L238" s="4">
        <v>1061.2</v>
      </c>
      <c r="M238" s="4">
        <v>2.4</v>
      </c>
      <c r="N238" s="4">
        <v>27.22</v>
      </c>
      <c r="O238">
        <v>44</v>
      </c>
      <c r="P238">
        <v>0.79</v>
      </c>
      <c r="Q238">
        <v>-10.3181210403047</v>
      </c>
      <c r="R238">
        <v>4.8743173754781398E-4</v>
      </c>
    </row>
    <row r="239" spans="1:18" x14ac:dyDescent="0.2">
      <c r="A239" t="s">
        <v>7</v>
      </c>
      <c r="B239">
        <v>5</v>
      </c>
      <c r="C239" t="s">
        <v>3</v>
      </c>
      <c r="D239" s="2">
        <v>43662</v>
      </c>
      <c r="E239" s="11">
        <v>197</v>
      </c>
      <c r="F239" s="3">
        <v>0.4861111111111111</v>
      </c>
      <c r="G239" s="3">
        <v>0.48958333333333331</v>
      </c>
      <c r="H239" s="13">
        <v>197.48611111111111</v>
      </c>
      <c r="I239" s="13">
        <v>197.48958333333334</v>
      </c>
      <c r="J239" s="13">
        <v>197.48784722222223</v>
      </c>
      <c r="K239" s="7">
        <v>43662.487844999996</v>
      </c>
      <c r="L239" s="4">
        <v>2038.7</v>
      </c>
      <c r="M239" s="4"/>
      <c r="N239" s="4">
        <v>27.22</v>
      </c>
      <c r="Q239">
        <v>18.7497164075948</v>
      </c>
      <c r="R239">
        <v>1.3181067391968701E-5</v>
      </c>
    </row>
    <row r="240" spans="1:18" x14ac:dyDescent="0.2">
      <c r="A240" t="s">
        <v>7</v>
      </c>
      <c r="B240">
        <v>1</v>
      </c>
      <c r="C240" t="s">
        <v>2</v>
      </c>
      <c r="D240" s="2">
        <v>43662</v>
      </c>
      <c r="E240" s="11">
        <v>197</v>
      </c>
      <c r="F240" s="3">
        <v>0.53194444444444444</v>
      </c>
      <c r="G240" s="3">
        <v>0.53541666666666665</v>
      </c>
      <c r="H240" s="13">
        <v>197.53194444444443</v>
      </c>
      <c r="I240" s="13">
        <v>197.53541666666666</v>
      </c>
      <c r="J240" s="13">
        <v>197.53368055555555</v>
      </c>
      <c r="K240" s="7">
        <v>43662.53368</v>
      </c>
      <c r="L240" s="4">
        <v>1883.7</v>
      </c>
      <c r="M240" s="4">
        <v>3.2</v>
      </c>
      <c r="N240" s="4">
        <v>31.11</v>
      </c>
      <c r="O240">
        <v>45.9</v>
      </c>
      <c r="P240">
        <v>0.76</v>
      </c>
      <c r="Q240">
        <v>-3.59879238248269</v>
      </c>
      <c r="R240">
        <v>-1.27772968251468E-4</v>
      </c>
    </row>
    <row r="241" spans="1:18" x14ac:dyDescent="0.2">
      <c r="A241" t="s">
        <v>7</v>
      </c>
      <c r="B241">
        <v>1</v>
      </c>
      <c r="C241" t="s">
        <v>3</v>
      </c>
      <c r="D241" s="2">
        <v>43662</v>
      </c>
      <c r="E241" s="11">
        <v>197</v>
      </c>
      <c r="F241" s="3">
        <v>0.53680555555555554</v>
      </c>
      <c r="G241" s="3">
        <v>0.54027777777777775</v>
      </c>
      <c r="H241" s="13">
        <v>197.53680555555556</v>
      </c>
      <c r="I241" s="13">
        <v>197.54027777777779</v>
      </c>
      <c r="J241" s="13">
        <v>197.53854166666667</v>
      </c>
      <c r="K241" s="7">
        <v>43662.538545000003</v>
      </c>
      <c r="L241" s="4">
        <v>1906.2</v>
      </c>
      <c r="M241" s="4"/>
      <c r="N241" s="4">
        <v>31.11</v>
      </c>
      <c r="Q241">
        <v>9.6378398954577804</v>
      </c>
      <c r="R241">
        <v>-2.7162973667826701E-4</v>
      </c>
    </row>
    <row r="242" spans="1:18" x14ac:dyDescent="0.2">
      <c r="A242" t="s">
        <v>7</v>
      </c>
      <c r="B242">
        <v>2</v>
      </c>
      <c r="C242" t="s">
        <v>2</v>
      </c>
      <c r="D242" s="2">
        <v>43662</v>
      </c>
      <c r="E242" s="11">
        <v>197</v>
      </c>
      <c r="F242" s="3">
        <v>0.54166666666666663</v>
      </c>
      <c r="G242" s="3">
        <v>0.54513888888888895</v>
      </c>
      <c r="H242" s="13">
        <v>197.54166666666666</v>
      </c>
      <c r="I242" s="13">
        <v>197.54513888888889</v>
      </c>
      <c r="J242" s="13">
        <v>197.54340277777777</v>
      </c>
      <c r="K242" s="7">
        <v>43662.543405000004</v>
      </c>
      <c r="L242" s="4">
        <v>1911.2</v>
      </c>
      <c r="M242" s="4">
        <v>2.6</v>
      </c>
      <c r="N242" s="4">
        <v>31.11</v>
      </c>
      <c r="O242">
        <v>43.6</v>
      </c>
      <c r="P242">
        <v>0.78</v>
      </c>
      <c r="Q242">
        <v>-10.4425190806333</v>
      </c>
      <c r="R242">
        <v>2.0642239110940899E-4</v>
      </c>
    </row>
    <row r="243" spans="1:18" x14ac:dyDescent="0.2">
      <c r="A243" t="s">
        <v>7</v>
      </c>
      <c r="B243">
        <v>2</v>
      </c>
      <c r="C243" t="s">
        <v>3</v>
      </c>
      <c r="D243" s="2">
        <v>43662</v>
      </c>
      <c r="E243" s="11">
        <v>197</v>
      </c>
      <c r="F243" s="3">
        <v>0.54652777777777783</v>
      </c>
      <c r="G243" s="3">
        <v>0.54999999999999993</v>
      </c>
      <c r="H243" s="13">
        <v>197.54652777777778</v>
      </c>
      <c r="I243" s="13">
        <v>197.55</v>
      </c>
      <c r="J243" s="13">
        <v>197.5482638888889</v>
      </c>
      <c r="K243" s="7">
        <v>43662.548265000005</v>
      </c>
      <c r="L243" s="4">
        <v>1896.2</v>
      </c>
      <c r="M243" s="4"/>
      <c r="N243" s="4">
        <v>31.11</v>
      </c>
      <c r="Q243">
        <v>14.6349828708943</v>
      </c>
      <c r="R243">
        <v>-1.56506591594341E-4</v>
      </c>
    </row>
    <row r="244" spans="1:18" x14ac:dyDescent="0.2">
      <c r="A244" t="s">
        <v>7</v>
      </c>
      <c r="B244">
        <v>3</v>
      </c>
      <c r="C244" t="s">
        <v>2</v>
      </c>
      <c r="D244" s="2">
        <v>43662</v>
      </c>
      <c r="E244" s="11">
        <v>197</v>
      </c>
      <c r="F244" s="3">
        <v>0.55138888888888882</v>
      </c>
      <c r="G244" s="3">
        <v>0.55486111111111114</v>
      </c>
      <c r="H244" s="13">
        <v>197.55138888888888</v>
      </c>
      <c r="I244" s="13">
        <v>197.55486111111111</v>
      </c>
      <c r="J244" s="13">
        <v>197.55312499999999</v>
      </c>
      <c r="K244" s="7">
        <v>43662.553124999999</v>
      </c>
      <c r="L244" s="4">
        <v>1846.2</v>
      </c>
      <c r="M244" s="4">
        <v>6.1</v>
      </c>
      <c r="N244" s="4">
        <v>31.11</v>
      </c>
      <c r="O244">
        <v>43.6</v>
      </c>
      <c r="P244">
        <v>0.79</v>
      </c>
      <c r="Q244">
        <v>-11.7209855081577</v>
      </c>
      <c r="R244">
        <v>1.9536361524639901E-4</v>
      </c>
    </row>
    <row r="245" spans="1:18" x14ac:dyDescent="0.2">
      <c r="A245" t="s">
        <v>7</v>
      </c>
      <c r="B245">
        <v>3</v>
      </c>
      <c r="C245" t="s">
        <v>3</v>
      </c>
      <c r="D245" s="2">
        <v>43662</v>
      </c>
      <c r="E245" s="11">
        <v>197</v>
      </c>
      <c r="F245" s="3">
        <v>0.55625000000000002</v>
      </c>
      <c r="G245" s="3">
        <v>0.55972222222222223</v>
      </c>
      <c r="H245" s="13">
        <v>197.55625000000001</v>
      </c>
      <c r="I245" s="13">
        <v>197.55972222222223</v>
      </c>
      <c r="J245" s="13">
        <v>197.55798611111112</v>
      </c>
      <c r="K245" s="7">
        <v>43662.557984999999</v>
      </c>
      <c r="L245" s="4">
        <v>1866.2</v>
      </c>
      <c r="M245" s="4"/>
      <c r="N245" s="4">
        <v>31.11</v>
      </c>
      <c r="Q245">
        <v>9.0900854262205506</v>
      </c>
      <c r="R245">
        <v>-6.3416612370120003E-5</v>
      </c>
    </row>
    <row r="246" spans="1:18" x14ac:dyDescent="0.2">
      <c r="A246" t="s">
        <v>7</v>
      </c>
      <c r="B246">
        <v>4</v>
      </c>
      <c r="C246" t="s">
        <v>2</v>
      </c>
      <c r="D246" s="2">
        <v>43662</v>
      </c>
      <c r="E246" s="11">
        <v>197</v>
      </c>
      <c r="F246" s="3">
        <v>0.56111111111111112</v>
      </c>
      <c r="G246" s="3">
        <v>0.56458333333333333</v>
      </c>
      <c r="H246" s="13">
        <v>197.5611111111111</v>
      </c>
      <c r="I246" s="13">
        <v>197.56458333333333</v>
      </c>
      <c r="J246" s="13">
        <v>197.56284722222222</v>
      </c>
      <c r="K246" s="7">
        <v>43662.562845</v>
      </c>
      <c r="L246" s="4">
        <v>1868.7</v>
      </c>
      <c r="M246" s="4">
        <v>2.1</v>
      </c>
      <c r="N246" s="4">
        <v>31.11</v>
      </c>
      <c r="O246">
        <v>37.799999999999997</v>
      </c>
      <c r="P246">
        <v>0.77</v>
      </c>
      <c r="Q246">
        <v>-9.4595381661697395</v>
      </c>
      <c r="R246">
        <v>2.1943599638889601E-4</v>
      </c>
    </row>
    <row r="247" spans="1:18" x14ac:dyDescent="0.2">
      <c r="A247" t="s">
        <v>7</v>
      </c>
      <c r="B247">
        <v>4</v>
      </c>
      <c r="C247" t="s">
        <v>3</v>
      </c>
      <c r="D247" s="2">
        <v>43662</v>
      </c>
      <c r="E247" s="11">
        <v>197</v>
      </c>
      <c r="F247" s="3">
        <v>0.56597222222222221</v>
      </c>
      <c r="G247" s="3">
        <v>0.56944444444444442</v>
      </c>
      <c r="H247" s="13">
        <v>197.56597222222223</v>
      </c>
      <c r="I247" s="13">
        <v>197.56944444444446</v>
      </c>
      <c r="J247" s="13">
        <v>197.56770833333334</v>
      </c>
      <c r="K247" s="7">
        <v>43662.567705000001</v>
      </c>
      <c r="L247" s="4">
        <v>1783.7</v>
      </c>
      <c r="M247" s="4"/>
      <c r="N247" s="4">
        <v>31.11</v>
      </c>
      <c r="Q247">
        <v>12.2332230215811</v>
      </c>
      <c r="R247">
        <v>-1.6450652306623399E-4</v>
      </c>
    </row>
    <row r="248" spans="1:18" x14ac:dyDescent="0.2">
      <c r="A248" t="s">
        <v>7</v>
      </c>
      <c r="B248">
        <v>5</v>
      </c>
      <c r="C248" t="s">
        <v>2</v>
      </c>
      <c r="D248" s="2">
        <v>43662</v>
      </c>
      <c r="E248" s="11">
        <v>197</v>
      </c>
      <c r="F248" s="3">
        <v>0.5708333333333333</v>
      </c>
      <c r="G248" s="3">
        <v>0.57430555555555551</v>
      </c>
      <c r="H248" s="13">
        <v>197.57083333333333</v>
      </c>
      <c r="I248" s="13">
        <v>197.57430555555555</v>
      </c>
      <c r="J248" s="13">
        <v>197.57256944444444</v>
      </c>
      <c r="K248" s="7">
        <v>43662.572570000004</v>
      </c>
      <c r="L248" s="4">
        <v>1738.7</v>
      </c>
      <c r="M248" s="4">
        <v>4.3</v>
      </c>
      <c r="N248" s="4">
        <v>31.11</v>
      </c>
      <c r="O248">
        <v>42.2</v>
      </c>
      <c r="P248">
        <v>0.76</v>
      </c>
      <c r="Q248">
        <v>-10.7153551424014</v>
      </c>
      <c r="R248">
        <v>1.80197088762697E-4</v>
      </c>
    </row>
    <row r="249" spans="1:18" x14ac:dyDescent="0.2">
      <c r="A249" t="s">
        <v>7</v>
      </c>
      <c r="B249">
        <v>5</v>
      </c>
      <c r="C249" t="s">
        <v>3</v>
      </c>
      <c r="D249" s="2">
        <v>43662</v>
      </c>
      <c r="E249" s="11">
        <v>197</v>
      </c>
      <c r="F249" s="3">
        <v>0.5756944444444444</v>
      </c>
      <c r="G249" s="3">
        <v>0.57916666666666672</v>
      </c>
      <c r="H249" s="13">
        <v>197.57569444444445</v>
      </c>
      <c r="I249" s="13">
        <v>197.57916666666668</v>
      </c>
      <c r="J249" s="13">
        <v>197.57743055555557</v>
      </c>
      <c r="K249" s="7">
        <v>43662.577429999998</v>
      </c>
      <c r="L249" s="4">
        <v>1746.2</v>
      </c>
      <c r="M249" s="4"/>
      <c r="N249" s="4">
        <v>31.11</v>
      </c>
      <c r="Q249">
        <v>20.133032188884499</v>
      </c>
      <c r="R249">
        <v>-1.6040141326125799E-4</v>
      </c>
    </row>
    <row r="250" spans="1:18" x14ac:dyDescent="0.2">
      <c r="A250" t="s">
        <v>7</v>
      </c>
      <c r="B250">
        <v>1</v>
      </c>
      <c r="C250" t="s">
        <v>2</v>
      </c>
      <c r="D250" s="2">
        <v>43665</v>
      </c>
      <c r="E250" s="11">
        <v>200</v>
      </c>
      <c r="F250" s="3">
        <v>0.45763888888888887</v>
      </c>
      <c r="G250" s="3">
        <v>0.46111111111111108</v>
      </c>
      <c r="H250" s="13">
        <v>200.45763888888888</v>
      </c>
      <c r="I250" s="13">
        <v>200.46111111111111</v>
      </c>
      <c r="J250" s="13">
        <v>200.45937499999999</v>
      </c>
      <c r="K250" s="7">
        <v>43665.459374999999</v>
      </c>
      <c r="L250" s="4">
        <v>1603.7</v>
      </c>
      <c r="M250" s="4">
        <v>5.9</v>
      </c>
      <c r="N250" s="4">
        <v>31.11</v>
      </c>
      <c r="O250">
        <v>40</v>
      </c>
      <c r="P250">
        <v>0.85</v>
      </c>
      <c r="Q250">
        <v>-17.576370671350201</v>
      </c>
      <c r="R250">
        <v>-5.6833864767054604E-4</v>
      </c>
    </row>
    <row r="251" spans="1:18" x14ac:dyDescent="0.2">
      <c r="A251" t="s">
        <v>7</v>
      </c>
      <c r="B251">
        <v>1</v>
      </c>
      <c r="C251" t="s">
        <v>3</v>
      </c>
      <c r="D251" s="2">
        <v>43665</v>
      </c>
      <c r="E251" s="11">
        <v>200</v>
      </c>
      <c r="F251" s="3">
        <v>0.46249999999999997</v>
      </c>
      <c r="G251" s="3">
        <v>0.46597222222222223</v>
      </c>
      <c r="H251" s="13">
        <v>200.46250000000001</v>
      </c>
      <c r="I251" s="13">
        <v>200.46597222222223</v>
      </c>
      <c r="J251" s="13">
        <v>200.46423611111112</v>
      </c>
      <c r="K251" s="7">
        <v>43665.464234999999</v>
      </c>
      <c r="L251" s="4">
        <v>1838.7</v>
      </c>
      <c r="M251" s="4"/>
      <c r="N251" s="4">
        <v>31.11</v>
      </c>
      <c r="Q251">
        <v>9.9921213613012103</v>
      </c>
      <c r="R251">
        <v>-1.36610221893209E-3</v>
      </c>
    </row>
    <row r="252" spans="1:18" x14ac:dyDescent="0.2">
      <c r="A252" t="s">
        <v>7</v>
      </c>
      <c r="B252">
        <v>2</v>
      </c>
      <c r="C252" t="s">
        <v>2</v>
      </c>
      <c r="D252" s="2">
        <v>43665</v>
      </c>
      <c r="E252" s="11">
        <v>200</v>
      </c>
      <c r="F252" s="3">
        <v>0.46736111111111112</v>
      </c>
      <c r="G252" s="3">
        <v>0.47083333333333338</v>
      </c>
      <c r="H252" s="13">
        <v>200.4673611111111</v>
      </c>
      <c r="I252" s="13">
        <v>200.47083333333333</v>
      </c>
      <c r="J252" s="13">
        <v>200.46909722222222</v>
      </c>
      <c r="K252" s="7">
        <v>43665.469095</v>
      </c>
      <c r="L252" s="4">
        <v>1828.7</v>
      </c>
      <c r="M252" s="4">
        <v>6.3</v>
      </c>
      <c r="N252" s="4">
        <v>31.11</v>
      </c>
      <c r="O252">
        <v>49.8</v>
      </c>
      <c r="P252">
        <v>0.85</v>
      </c>
      <c r="Q252">
        <v>-15.264912277655</v>
      </c>
      <c r="R252">
        <v>-2.81750183840887E-4</v>
      </c>
    </row>
    <row r="253" spans="1:18" x14ac:dyDescent="0.2">
      <c r="A253" t="s">
        <v>7</v>
      </c>
      <c r="B253">
        <v>2</v>
      </c>
      <c r="C253" t="s">
        <v>3</v>
      </c>
      <c r="D253" s="2">
        <v>43665</v>
      </c>
      <c r="E253" s="11">
        <v>200</v>
      </c>
      <c r="F253" s="3">
        <v>0.47222222222222227</v>
      </c>
      <c r="G253" s="3">
        <v>0.47569444444444442</v>
      </c>
      <c r="H253" s="13">
        <v>200.47222222222223</v>
      </c>
      <c r="I253" s="13">
        <v>200.47569444444446</v>
      </c>
      <c r="J253" s="13">
        <v>200.47395833333334</v>
      </c>
      <c r="K253" s="7">
        <v>43665.473955000001</v>
      </c>
      <c r="L253" s="4">
        <v>1711.2</v>
      </c>
      <c r="M253" s="4"/>
      <c r="N253" s="4">
        <v>31.11</v>
      </c>
      <c r="Q253">
        <v>12.478568217074599</v>
      </c>
      <c r="R253">
        <v>-1.59125611165651E-4</v>
      </c>
    </row>
    <row r="254" spans="1:18" x14ac:dyDescent="0.2">
      <c r="A254" t="s">
        <v>7</v>
      </c>
      <c r="B254">
        <v>3</v>
      </c>
      <c r="C254" t="s">
        <v>2</v>
      </c>
      <c r="D254" s="2">
        <v>43665</v>
      </c>
      <c r="E254" s="11">
        <v>200</v>
      </c>
      <c r="F254" s="3">
        <v>0.4770833333333333</v>
      </c>
      <c r="G254" s="3">
        <v>0.48055555555555557</v>
      </c>
      <c r="H254" s="13">
        <v>200.47708333333333</v>
      </c>
      <c r="I254" s="13">
        <v>200.48055555555555</v>
      </c>
      <c r="J254" s="13">
        <v>200.47881944444444</v>
      </c>
      <c r="K254" s="7">
        <v>43665.478820000004</v>
      </c>
      <c r="L254" s="4">
        <v>1711.2</v>
      </c>
      <c r="M254" s="4">
        <v>7.3</v>
      </c>
      <c r="N254" s="4">
        <v>31.11</v>
      </c>
      <c r="O254">
        <v>45.3</v>
      </c>
      <c r="P254">
        <v>0.85</v>
      </c>
      <c r="Q254">
        <v>-13.2987190780826</v>
      </c>
      <c r="R254">
        <v>-1.6869356147838701E-4</v>
      </c>
    </row>
    <row r="255" spans="1:18" x14ac:dyDescent="0.2">
      <c r="A255" t="s">
        <v>7</v>
      </c>
      <c r="B255">
        <v>3</v>
      </c>
      <c r="C255" t="s">
        <v>3</v>
      </c>
      <c r="D255" s="2">
        <v>43665</v>
      </c>
      <c r="E255" s="11">
        <v>200</v>
      </c>
      <c r="F255" s="3">
        <v>0.48194444444444445</v>
      </c>
      <c r="G255" s="3">
        <v>0.48541666666666666</v>
      </c>
      <c r="H255" s="13">
        <v>200.48194444444445</v>
      </c>
      <c r="I255" s="13">
        <v>200.48541666666668</v>
      </c>
      <c r="J255" s="13">
        <v>200.48368055555557</v>
      </c>
      <c r="K255" s="7">
        <v>43665.483679999998</v>
      </c>
      <c r="L255" s="4">
        <v>1578.7</v>
      </c>
      <c r="M255" s="4"/>
      <c r="N255" s="4">
        <v>31.11</v>
      </c>
      <c r="Q255">
        <v>9.9483853438353194</v>
      </c>
      <c r="R255">
        <v>-2.32917621553064E-2</v>
      </c>
    </row>
    <row r="256" spans="1:18" x14ac:dyDescent="0.2">
      <c r="A256" t="s">
        <v>7</v>
      </c>
      <c r="B256">
        <v>4</v>
      </c>
      <c r="C256" t="s">
        <v>2</v>
      </c>
      <c r="D256" s="2">
        <v>43665</v>
      </c>
      <c r="E256" s="11">
        <v>200</v>
      </c>
      <c r="F256" s="3">
        <v>0.48680555555555555</v>
      </c>
      <c r="G256" s="3">
        <v>0.49027777777777781</v>
      </c>
      <c r="H256" s="13">
        <v>200.48680555555555</v>
      </c>
      <c r="I256" s="13">
        <v>200.49027777777778</v>
      </c>
      <c r="J256" s="13">
        <v>200.48854166666666</v>
      </c>
      <c r="K256" s="7">
        <v>43665.488545</v>
      </c>
      <c r="L256" s="4">
        <v>1978.7</v>
      </c>
      <c r="M256" s="4">
        <v>5.6</v>
      </c>
      <c r="N256" s="4">
        <v>31.11</v>
      </c>
      <c r="O256">
        <v>45.8</v>
      </c>
      <c r="P256">
        <v>0.86</v>
      </c>
      <c r="Q256">
        <v>-16.738414846137498</v>
      </c>
      <c r="R256">
        <v>-1.6933009204221399E-7</v>
      </c>
    </row>
    <row r="257" spans="1:18" x14ac:dyDescent="0.2">
      <c r="A257" t="s">
        <v>7</v>
      </c>
      <c r="B257">
        <v>4</v>
      </c>
      <c r="C257" t="s">
        <v>3</v>
      </c>
      <c r="D257" s="2">
        <v>43665</v>
      </c>
      <c r="E257" s="11">
        <v>200</v>
      </c>
      <c r="F257" s="3">
        <v>0.4916666666666667</v>
      </c>
      <c r="G257" s="3">
        <v>0.49513888888888885</v>
      </c>
      <c r="H257" s="13">
        <v>200.49166666666667</v>
      </c>
      <c r="I257" s="13">
        <v>200.4951388888889</v>
      </c>
      <c r="J257" s="13">
        <v>200.49340277777779</v>
      </c>
      <c r="K257" s="7">
        <v>43665.493405000001</v>
      </c>
      <c r="L257" s="4">
        <v>856.2</v>
      </c>
      <c r="M257" s="4"/>
      <c r="N257" s="4">
        <v>31.11</v>
      </c>
      <c r="Q257">
        <v>9.6483774488240996</v>
      </c>
      <c r="R257">
        <v>1.1425011071661601E-2</v>
      </c>
    </row>
    <row r="258" spans="1:18" x14ac:dyDescent="0.2">
      <c r="A258" t="s">
        <v>7</v>
      </c>
      <c r="B258">
        <v>5</v>
      </c>
      <c r="C258" t="s">
        <v>2</v>
      </c>
      <c r="D258" s="2">
        <v>43665</v>
      </c>
      <c r="E258" s="11">
        <v>200</v>
      </c>
      <c r="F258" s="3">
        <v>0.49652777777777773</v>
      </c>
      <c r="G258" s="3">
        <v>0.5</v>
      </c>
      <c r="H258" s="13">
        <v>200.49652777777777</v>
      </c>
      <c r="I258" s="13">
        <v>200.5</v>
      </c>
      <c r="J258" s="13">
        <v>200.49826388888889</v>
      </c>
      <c r="K258" s="7">
        <v>43665.498265000002</v>
      </c>
      <c r="L258" s="4">
        <v>1868.7</v>
      </c>
      <c r="M258" s="4">
        <v>3.8</v>
      </c>
      <c r="N258" s="4">
        <v>31.11</v>
      </c>
      <c r="O258">
        <v>42.3</v>
      </c>
      <c r="P258">
        <v>0.83</v>
      </c>
      <c r="Q258">
        <v>-18.241231697030901</v>
      </c>
      <c r="R258">
        <v>-4.7139706637665301E-3</v>
      </c>
    </row>
    <row r="259" spans="1:18" x14ac:dyDescent="0.2">
      <c r="A259" t="s">
        <v>7</v>
      </c>
      <c r="B259">
        <v>5</v>
      </c>
      <c r="C259" t="s">
        <v>3</v>
      </c>
      <c r="D259" s="2">
        <v>43665</v>
      </c>
      <c r="E259" s="11">
        <v>200</v>
      </c>
      <c r="F259" s="3">
        <v>0.50138888888888888</v>
      </c>
      <c r="G259" s="3">
        <v>0.50486111111111109</v>
      </c>
      <c r="H259" s="13">
        <v>200.5013888888889</v>
      </c>
      <c r="I259" s="13">
        <v>200.5048611111111</v>
      </c>
      <c r="J259" s="13">
        <v>200.50312500000001</v>
      </c>
      <c r="K259" s="7">
        <v>43665.503125000003</v>
      </c>
      <c r="L259" s="4">
        <v>1916.2</v>
      </c>
      <c r="M259" s="4"/>
      <c r="N259" s="4">
        <v>31.11</v>
      </c>
      <c r="Q259">
        <v>19.472358418460999</v>
      </c>
      <c r="R259">
        <v>-6.0794964012772096E-3</v>
      </c>
    </row>
    <row r="260" spans="1:18" x14ac:dyDescent="0.2">
      <c r="A260" t="s">
        <v>7</v>
      </c>
      <c r="B260">
        <v>1</v>
      </c>
      <c r="C260" t="s">
        <v>2</v>
      </c>
      <c r="D260" s="2">
        <v>43665</v>
      </c>
      <c r="E260" s="11">
        <v>200</v>
      </c>
      <c r="F260" s="3">
        <v>0.55694444444444446</v>
      </c>
      <c r="G260" s="3">
        <v>0.56041666666666667</v>
      </c>
      <c r="H260" s="13">
        <v>200.55694444444444</v>
      </c>
      <c r="I260" s="13">
        <v>200.56041666666667</v>
      </c>
      <c r="J260" s="13">
        <v>200.55868055555555</v>
      </c>
      <c r="K260" s="7">
        <v>43665.558680000002</v>
      </c>
      <c r="L260" s="4">
        <v>1733.7</v>
      </c>
      <c r="M260" s="4">
        <v>5.9</v>
      </c>
      <c r="N260" s="4">
        <v>31.11</v>
      </c>
      <c r="O260">
        <v>40</v>
      </c>
      <c r="P260">
        <v>0.85</v>
      </c>
      <c r="Q260">
        <v>-13.0419758535502</v>
      </c>
      <c r="R260">
        <v>-5.0289596963903202E-7</v>
      </c>
    </row>
    <row r="261" spans="1:18" x14ac:dyDescent="0.2">
      <c r="A261" t="s">
        <v>7</v>
      </c>
      <c r="B261">
        <v>1</v>
      </c>
      <c r="C261" t="s">
        <v>3</v>
      </c>
      <c r="D261" s="2">
        <v>43665</v>
      </c>
      <c r="E261" s="11">
        <v>200</v>
      </c>
      <c r="F261" s="3">
        <v>0.56180555555555556</v>
      </c>
      <c r="G261" s="3">
        <v>0.56527777777777777</v>
      </c>
      <c r="H261" s="13">
        <v>200.56180555555557</v>
      </c>
      <c r="I261" s="13">
        <v>200.56527777777777</v>
      </c>
      <c r="J261" s="13">
        <v>200.56354166666665</v>
      </c>
      <c r="K261" s="7">
        <v>43665.563544999997</v>
      </c>
      <c r="L261" s="4">
        <v>1781.2</v>
      </c>
      <c r="M261" s="4"/>
      <c r="N261" s="4">
        <v>31.11</v>
      </c>
      <c r="Q261">
        <v>11.1521759586788</v>
      </c>
      <c r="R261">
        <v>4.34455342814495E-7</v>
      </c>
    </row>
    <row r="262" spans="1:18" x14ac:dyDescent="0.2">
      <c r="A262" t="s">
        <v>7</v>
      </c>
      <c r="B262">
        <v>2</v>
      </c>
      <c r="C262" t="s">
        <v>2</v>
      </c>
      <c r="D262" s="2">
        <v>43665</v>
      </c>
      <c r="E262" s="11">
        <v>200</v>
      </c>
      <c r="F262" s="3">
        <v>0.56666666666666665</v>
      </c>
      <c r="G262" s="3">
        <v>0.57013888888888886</v>
      </c>
      <c r="H262" s="13">
        <v>200.56666666666666</v>
      </c>
      <c r="I262" s="13">
        <v>200.57013888888889</v>
      </c>
      <c r="J262" s="13">
        <v>200.56840277777778</v>
      </c>
      <c r="K262" s="7">
        <v>43665.568404999998</v>
      </c>
      <c r="L262" s="4">
        <v>1836.2</v>
      </c>
      <c r="M262" s="4">
        <v>6.3</v>
      </c>
      <c r="N262" s="4">
        <v>31.11</v>
      </c>
      <c r="O262">
        <v>49.8</v>
      </c>
      <c r="P262">
        <v>0.85</v>
      </c>
      <c r="Q262">
        <v>-14.032867083601801</v>
      </c>
      <c r="R262">
        <v>0.12981399331325999</v>
      </c>
    </row>
    <row r="263" spans="1:18" x14ac:dyDescent="0.2">
      <c r="A263" t="s">
        <v>7</v>
      </c>
      <c r="B263">
        <v>2</v>
      </c>
      <c r="C263" t="s">
        <v>3</v>
      </c>
      <c r="D263" s="2">
        <v>43665</v>
      </c>
      <c r="E263" s="11">
        <v>200</v>
      </c>
      <c r="F263" s="3">
        <v>0.57152777777777775</v>
      </c>
      <c r="G263" s="3">
        <v>0.57500000000000007</v>
      </c>
      <c r="H263" s="13">
        <v>200.57152777777779</v>
      </c>
      <c r="I263" s="13">
        <v>200.57499999999999</v>
      </c>
      <c r="J263" s="13">
        <v>200.5732638888889</v>
      </c>
      <c r="K263" s="7">
        <v>43665.573264999999</v>
      </c>
      <c r="L263" s="4">
        <v>1736.2</v>
      </c>
      <c r="M263" s="4"/>
      <c r="N263" s="4">
        <v>31.11</v>
      </c>
      <c r="Q263">
        <v>13.329129931555499</v>
      </c>
      <c r="R263">
        <v>-1.5397317127181199E-3</v>
      </c>
    </row>
    <row r="264" spans="1:18" x14ac:dyDescent="0.2">
      <c r="A264" t="s">
        <v>7</v>
      </c>
      <c r="B264">
        <v>3</v>
      </c>
      <c r="C264" t="s">
        <v>2</v>
      </c>
      <c r="D264" s="2">
        <v>43665</v>
      </c>
      <c r="E264" s="11">
        <v>200</v>
      </c>
      <c r="F264" s="3">
        <v>0.57638888888888895</v>
      </c>
      <c r="G264" s="3">
        <v>0.57986111111111105</v>
      </c>
      <c r="H264" s="13">
        <v>200.57638888888889</v>
      </c>
      <c r="I264" s="13">
        <v>200.57986111111111</v>
      </c>
      <c r="J264" s="13">
        <v>200.578125</v>
      </c>
      <c r="K264" s="7">
        <v>43665.578125</v>
      </c>
      <c r="L264" s="4">
        <v>1836.2</v>
      </c>
      <c r="M264" s="4">
        <v>7.3</v>
      </c>
      <c r="N264" s="4">
        <v>31.11</v>
      </c>
      <c r="O264">
        <v>45.3</v>
      </c>
      <c r="P264">
        <v>0.85</v>
      </c>
      <c r="Q264">
        <v>-10.3512666950495</v>
      </c>
      <c r="R264">
        <v>8.4863770389460305E-4</v>
      </c>
    </row>
    <row r="265" spans="1:18" x14ac:dyDescent="0.2">
      <c r="A265" t="s">
        <v>7</v>
      </c>
      <c r="B265">
        <v>3</v>
      </c>
      <c r="C265" t="s">
        <v>3</v>
      </c>
      <c r="D265" s="2">
        <v>43665</v>
      </c>
      <c r="E265" s="11">
        <v>200</v>
      </c>
      <c r="F265" s="3">
        <v>0.58124999999999993</v>
      </c>
      <c r="G265" s="3">
        <v>0.58472222222222225</v>
      </c>
      <c r="H265" s="13">
        <v>200.58125000000001</v>
      </c>
      <c r="I265" s="13">
        <v>200.58472222222221</v>
      </c>
      <c r="J265" s="13">
        <v>200.5829861111111</v>
      </c>
      <c r="K265" s="7">
        <v>43665.582985000001</v>
      </c>
      <c r="L265" s="4">
        <v>1843.7</v>
      </c>
      <c r="M265" s="4"/>
      <c r="N265" s="4">
        <v>31.11</v>
      </c>
      <c r="Q265">
        <v>6.2838610137357698</v>
      </c>
      <c r="R265">
        <v>1.8204312142255201E-3</v>
      </c>
    </row>
    <row r="266" spans="1:18" x14ac:dyDescent="0.2">
      <c r="A266" t="s">
        <v>7</v>
      </c>
      <c r="B266">
        <v>4</v>
      </c>
      <c r="C266" t="s">
        <v>2</v>
      </c>
      <c r="D266" s="2">
        <v>43665</v>
      </c>
      <c r="E266" s="11">
        <v>200</v>
      </c>
      <c r="F266" s="3">
        <v>0.58611111111111114</v>
      </c>
      <c r="G266" s="3">
        <v>0.58958333333333335</v>
      </c>
      <c r="H266" s="13">
        <v>200.58611111111111</v>
      </c>
      <c r="I266" s="13">
        <v>200.58958333333334</v>
      </c>
      <c r="J266" s="13">
        <v>200.58784722222222</v>
      </c>
      <c r="K266" s="7">
        <v>43665.587845000002</v>
      </c>
      <c r="L266" s="4">
        <v>1911.2</v>
      </c>
      <c r="M266" s="4">
        <v>5.6</v>
      </c>
      <c r="N266" s="4">
        <v>31.11</v>
      </c>
      <c r="O266">
        <v>45.8</v>
      </c>
      <c r="P266">
        <v>0.86</v>
      </c>
      <c r="Q266">
        <v>-14.405922471141301</v>
      </c>
      <c r="R266">
        <v>1.6187245941077399E-4</v>
      </c>
    </row>
    <row r="267" spans="1:18" x14ac:dyDescent="0.2">
      <c r="A267" t="s">
        <v>7</v>
      </c>
      <c r="B267">
        <v>4</v>
      </c>
      <c r="C267" t="s">
        <v>3</v>
      </c>
      <c r="D267" s="2">
        <v>43665</v>
      </c>
      <c r="E267" s="11">
        <v>200</v>
      </c>
      <c r="F267" s="3">
        <v>0.59097222222222223</v>
      </c>
      <c r="G267" s="3">
        <v>0.59444444444444444</v>
      </c>
      <c r="H267" s="13">
        <v>200.59097222222223</v>
      </c>
      <c r="I267" s="13">
        <v>200.59444444444443</v>
      </c>
      <c r="J267" s="13">
        <v>200.59270833333335</v>
      </c>
      <c r="K267" s="7">
        <v>43665.592705000003</v>
      </c>
      <c r="L267" s="4">
        <v>1656.2</v>
      </c>
      <c r="M267" s="4"/>
      <c r="N267" s="4">
        <v>31.11</v>
      </c>
      <c r="Q267">
        <v>11.598826290597399</v>
      </c>
      <c r="R267">
        <v>-1.6828157468260301E-3</v>
      </c>
    </row>
    <row r="268" spans="1:18" x14ac:dyDescent="0.2">
      <c r="A268" t="s">
        <v>7</v>
      </c>
      <c r="B268">
        <v>5</v>
      </c>
      <c r="C268" t="s">
        <v>2</v>
      </c>
      <c r="D268" s="2">
        <v>43665</v>
      </c>
      <c r="E268" s="11">
        <v>200</v>
      </c>
      <c r="F268" s="3">
        <v>0.59583333333333333</v>
      </c>
      <c r="G268" s="3">
        <v>0.59930555555555554</v>
      </c>
      <c r="H268" s="13">
        <v>200.59583333333333</v>
      </c>
      <c r="I268" s="13">
        <v>200.59930555555556</v>
      </c>
      <c r="J268" s="13">
        <v>200.59756944444445</v>
      </c>
      <c r="K268" s="7">
        <v>43665.597569999998</v>
      </c>
      <c r="L268" s="4">
        <v>1676.2</v>
      </c>
      <c r="M268" s="4">
        <v>3.8</v>
      </c>
      <c r="N268" s="4">
        <v>31.11</v>
      </c>
      <c r="O268">
        <v>42.3</v>
      </c>
      <c r="P268">
        <v>0.83</v>
      </c>
      <c r="Q268">
        <v>-17.174417721695701</v>
      </c>
      <c r="R268">
        <v>1.9921616950334901E-3</v>
      </c>
    </row>
    <row r="269" spans="1:18" x14ac:dyDescent="0.2">
      <c r="A269" t="s">
        <v>7</v>
      </c>
      <c r="B269">
        <v>5</v>
      </c>
      <c r="C269" t="s">
        <v>3</v>
      </c>
      <c r="D269" s="2">
        <v>43665</v>
      </c>
      <c r="E269" s="11">
        <v>200</v>
      </c>
      <c r="F269" s="3">
        <v>0.60069444444444442</v>
      </c>
      <c r="G269" s="3">
        <v>0.60416666666666663</v>
      </c>
      <c r="H269" s="13">
        <v>200.60069444444446</v>
      </c>
      <c r="I269" s="13">
        <v>200.60416666666666</v>
      </c>
      <c r="J269" s="13">
        <v>200.60243055555554</v>
      </c>
      <c r="K269" s="7">
        <v>43665.602429999999</v>
      </c>
      <c r="L269" s="4">
        <v>1406.2</v>
      </c>
      <c r="M269" s="4"/>
      <c r="N269" s="4">
        <v>31.11</v>
      </c>
      <c r="Q269">
        <v>21.581108045746099</v>
      </c>
      <c r="R269">
        <v>2.6289402786731802E-3</v>
      </c>
    </row>
    <row r="270" spans="1:18" x14ac:dyDescent="0.2">
      <c r="A270" t="s">
        <v>7</v>
      </c>
      <c r="B270">
        <v>1</v>
      </c>
      <c r="C270" t="s">
        <v>2</v>
      </c>
      <c r="D270" s="2">
        <v>43675</v>
      </c>
      <c r="E270" s="11">
        <v>210</v>
      </c>
      <c r="F270" s="3">
        <v>0.46527777777777773</v>
      </c>
      <c r="G270" s="3">
        <v>0.46875</v>
      </c>
      <c r="H270" s="13">
        <v>210.46527777777777</v>
      </c>
      <c r="I270" s="13">
        <v>210.46875</v>
      </c>
      <c r="J270" s="13">
        <v>210.46701388888889</v>
      </c>
      <c r="K270" s="7">
        <v>43675.467015000002</v>
      </c>
      <c r="L270" s="4">
        <v>1623.7</v>
      </c>
      <c r="M270" s="4">
        <v>10.9</v>
      </c>
      <c r="N270" s="4">
        <v>27.78</v>
      </c>
      <c r="O270">
        <v>39.6</v>
      </c>
      <c r="P270">
        <v>0.86</v>
      </c>
      <c r="Q270">
        <v>-14.7705205732256</v>
      </c>
      <c r="R270">
        <v>-1.12468649890583E-3</v>
      </c>
    </row>
    <row r="271" spans="1:18" x14ac:dyDescent="0.2">
      <c r="A271" t="s">
        <v>7</v>
      </c>
      <c r="B271">
        <v>1</v>
      </c>
      <c r="C271" t="s">
        <v>3</v>
      </c>
      <c r="D271" s="2">
        <v>43675</v>
      </c>
      <c r="E271" s="11">
        <v>210</v>
      </c>
      <c r="F271" s="3">
        <v>0.47013888888888888</v>
      </c>
      <c r="G271" s="3">
        <v>0.47361111111111115</v>
      </c>
      <c r="H271" s="13">
        <v>210.4701388888889</v>
      </c>
      <c r="I271" s="13">
        <v>210.4736111111111</v>
      </c>
      <c r="J271" s="13">
        <v>210.47187500000001</v>
      </c>
      <c r="K271" s="7">
        <v>43675.471875000003</v>
      </c>
      <c r="L271" s="4">
        <v>1638.7</v>
      </c>
      <c r="M271" s="4"/>
      <c r="N271" s="4">
        <v>27.78</v>
      </c>
      <c r="Q271">
        <v>10.7673162245728</v>
      </c>
      <c r="R271">
        <v>-2.4384957607294399E-4</v>
      </c>
    </row>
    <row r="272" spans="1:18" x14ac:dyDescent="0.2">
      <c r="A272" t="s">
        <v>7</v>
      </c>
      <c r="B272">
        <v>2</v>
      </c>
      <c r="C272" t="s">
        <v>2</v>
      </c>
      <c r="D272" s="2">
        <v>43675</v>
      </c>
      <c r="E272" s="11">
        <v>210</v>
      </c>
      <c r="F272" s="3">
        <v>0.47499999999999998</v>
      </c>
      <c r="G272" s="3">
        <v>0.47847222222222202</v>
      </c>
      <c r="H272" s="13">
        <v>210.47499999999999</v>
      </c>
      <c r="I272" s="13">
        <v>210.47847222222222</v>
      </c>
      <c r="J272" s="13">
        <v>210.47673611111111</v>
      </c>
      <c r="K272" s="7">
        <v>43675.476735000004</v>
      </c>
      <c r="L272" s="4">
        <v>1658.7</v>
      </c>
      <c r="M272" s="4">
        <v>12.2</v>
      </c>
      <c r="N272" s="4">
        <v>27.78</v>
      </c>
      <c r="O272">
        <v>37.5</v>
      </c>
      <c r="P272">
        <v>0.87</v>
      </c>
      <c r="Q272">
        <v>-8.2822210635212308</v>
      </c>
      <c r="R272">
        <v>-1.8393549594395201E-4</v>
      </c>
    </row>
    <row r="273" spans="1:18" x14ac:dyDescent="0.2">
      <c r="A273" t="s">
        <v>7</v>
      </c>
      <c r="B273">
        <v>2</v>
      </c>
      <c r="C273" t="s">
        <v>3</v>
      </c>
      <c r="D273" s="2">
        <v>43675</v>
      </c>
      <c r="E273" s="11">
        <v>210</v>
      </c>
      <c r="F273" s="3">
        <v>0.47986111111111102</v>
      </c>
      <c r="G273" s="3">
        <v>0.483333333333333</v>
      </c>
      <c r="H273" s="13">
        <v>210.47986111111112</v>
      </c>
      <c r="I273" s="13">
        <v>210.48333333333332</v>
      </c>
      <c r="J273" s="13">
        <v>210.48159722222221</v>
      </c>
      <c r="K273" s="7">
        <v>43675.481595000005</v>
      </c>
      <c r="L273" s="4">
        <v>1658.7</v>
      </c>
      <c r="M273" s="4"/>
      <c r="N273" s="4">
        <v>27.78</v>
      </c>
      <c r="Q273">
        <v>26.53057146295</v>
      </c>
      <c r="R273">
        <v>5.5369175046497902E-2</v>
      </c>
    </row>
    <row r="274" spans="1:18" x14ac:dyDescent="0.2">
      <c r="A274" t="s">
        <v>7</v>
      </c>
      <c r="B274">
        <v>3</v>
      </c>
      <c r="C274" t="s">
        <v>2</v>
      </c>
      <c r="D274" s="2">
        <v>43675</v>
      </c>
      <c r="E274" s="11">
        <v>210</v>
      </c>
      <c r="F274" s="3">
        <v>0.484722222222222</v>
      </c>
      <c r="G274" s="3">
        <v>0.48819444444444499</v>
      </c>
      <c r="H274" s="13">
        <v>210.48472222222222</v>
      </c>
      <c r="I274" s="13">
        <v>210.48819444444445</v>
      </c>
      <c r="J274" s="13">
        <v>210.48645833333333</v>
      </c>
      <c r="K274" s="7">
        <v>43675.486454999998</v>
      </c>
      <c r="L274" s="4">
        <v>1658.7</v>
      </c>
      <c r="M274" s="4">
        <v>11.7</v>
      </c>
      <c r="N274" s="4">
        <v>27.78</v>
      </c>
      <c r="O274">
        <v>39.6</v>
      </c>
      <c r="P274">
        <v>0.82</v>
      </c>
      <c r="Q274">
        <v>-11.618875737586601</v>
      </c>
      <c r="R274">
        <v>8.2463616174805203E-5</v>
      </c>
    </row>
    <row r="275" spans="1:18" x14ac:dyDescent="0.2">
      <c r="A275" t="s">
        <v>7</v>
      </c>
      <c r="B275">
        <v>3</v>
      </c>
      <c r="C275" t="s">
        <v>3</v>
      </c>
      <c r="D275" s="2">
        <v>43675</v>
      </c>
      <c r="E275" s="11">
        <v>210</v>
      </c>
      <c r="F275" s="3">
        <v>0.48958333333333298</v>
      </c>
      <c r="G275" s="3">
        <v>0.49305555555555602</v>
      </c>
      <c r="H275" s="13">
        <v>210.48958333333334</v>
      </c>
      <c r="I275" s="13">
        <v>210.49305555555554</v>
      </c>
      <c r="J275" s="13">
        <v>210.49131944444446</v>
      </c>
      <c r="K275" s="7">
        <v>43675.491320000001</v>
      </c>
      <c r="L275" s="4">
        <v>1658.7</v>
      </c>
      <c r="M275" s="4"/>
      <c r="N275" s="4">
        <v>27.78</v>
      </c>
      <c r="Q275">
        <v>8.0948656485420898</v>
      </c>
      <c r="R275">
        <v>-9.8248848665451104E-5</v>
      </c>
    </row>
    <row r="276" spans="1:18" x14ac:dyDescent="0.2">
      <c r="A276" t="s">
        <v>7</v>
      </c>
      <c r="B276">
        <v>4</v>
      </c>
      <c r="C276" t="s">
        <v>2</v>
      </c>
      <c r="D276" s="2">
        <v>43675</v>
      </c>
      <c r="E276" s="11">
        <v>210</v>
      </c>
      <c r="F276" s="3">
        <v>0.49444444444444502</v>
      </c>
      <c r="G276" s="3">
        <v>0.49791666666666701</v>
      </c>
      <c r="H276" s="13">
        <v>210.49444444444444</v>
      </c>
      <c r="I276" s="13">
        <v>210.49791666666667</v>
      </c>
      <c r="J276" s="13">
        <v>210.49618055555555</v>
      </c>
      <c r="K276" s="7">
        <v>43675.496180000002</v>
      </c>
      <c r="L276" s="4">
        <v>1658.7</v>
      </c>
      <c r="M276" s="4">
        <v>6.1</v>
      </c>
      <c r="N276" s="4">
        <v>27.78</v>
      </c>
      <c r="O276">
        <v>38.200000000000003</v>
      </c>
      <c r="P276">
        <v>0.8</v>
      </c>
      <c r="Q276">
        <v>-16.046600050532899</v>
      </c>
      <c r="R276">
        <v>-1.13475101748816E-4</v>
      </c>
    </row>
    <row r="277" spans="1:18" x14ac:dyDescent="0.2">
      <c r="A277" t="s">
        <v>7</v>
      </c>
      <c r="B277">
        <v>4</v>
      </c>
      <c r="C277" t="s">
        <v>3</v>
      </c>
      <c r="D277" s="2">
        <v>43675</v>
      </c>
      <c r="E277" s="11">
        <v>210</v>
      </c>
      <c r="F277" s="3">
        <v>0.499305555555556</v>
      </c>
      <c r="G277" s="3">
        <v>0.50277777777777799</v>
      </c>
      <c r="H277" s="13">
        <v>210.49930555555557</v>
      </c>
      <c r="I277" s="13">
        <v>210.50277777777777</v>
      </c>
      <c r="J277" s="13">
        <v>210.50104166666665</v>
      </c>
      <c r="K277" s="7">
        <v>43675.501044999997</v>
      </c>
      <c r="L277" s="4">
        <v>1658.7</v>
      </c>
      <c r="M277" s="4"/>
      <c r="N277" s="4">
        <v>27.78</v>
      </c>
      <c r="Q277">
        <v>10.1303777479117</v>
      </c>
      <c r="R277">
        <v>-2.45070634575951E-3</v>
      </c>
    </row>
    <row r="278" spans="1:18" x14ac:dyDescent="0.2">
      <c r="A278" t="s">
        <v>7</v>
      </c>
      <c r="B278">
        <v>5</v>
      </c>
      <c r="C278" t="s">
        <v>2</v>
      </c>
      <c r="D278" s="2">
        <v>43675</v>
      </c>
      <c r="E278" s="11">
        <v>210</v>
      </c>
      <c r="F278" s="3">
        <v>0.50416666666666698</v>
      </c>
      <c r="G278" s="3">
        <v>0.50763888888888897</v>
      </c>
      <c r="H278" s="13">
        <v>210.50416666666666</v>
      </c>
      <c r="I278" s="13">
        <v>210.50763888888889</v>
      </c>
      <c r="J278" s="13">
        <v>210.50590277777778</v>
      </c>
      <c r="K278" s="7">
        <v>43675.505904999998</v>
      </c>
      <c r="L278" s="4">
        <v>1658.7</v>
      </c>
      <c r="M278" s="4">
        <v>11.2</v>
      </c>
      <c r="N278" s="4">
        <v>27.78</v>
      </c>
      <c r="O278">
        <v>31.7</v>
      </c>
      <c r="P278">
        <v>0.89</v>
      </c>
      <c r="Q278">
        <v>-11.578137712941899</v>
      </c>
      <c r="R278">
        <v>1.0367517642842801E-4</v>
      </c>
    </row>
    <row r="279" spans="1:18" x14ac:dyDescent="0.2">
      <c r="A279" t="s">
        <v>7</v>
      </c>
      <c r="B279">
        <v>5</v>
      </c>
      <c r="C279" t="s">
        <v>3</v>
      </c>
      <c r="D279" s="2">
        <v>43675</v>
      </c>
      <c r="E279" s="11">
        <v>210</v>
      </c>
      <c r="F279" s="3">
        <v>0.50902777777777797</v>
      </c>
      <c r="G279" s="3">
        <v>0.51249999999999996</v>
      </c>
      <c r="H279" s="13">
        <v>210.50902777777779</v>
      </c>
      <c r="I279" s="13">
        <v>210.51249999999999</v>
      </c>
      <c r="J279" s="13">
        <v>210.5107638888889</v>
      </c>
      <c r="K279" s="7">
        <v>43675.510764999999</v>
      </c>
      <c r="L279" s="4">
        <v>1658.7</v>
      </c>
      <c r="M279" s="4"/>
      <c r="N279" s="4">
        <v>27.78</v>
      </c>
      <c r="Q279">
        <v>33.016670250997997</v>
      </c>
      <c r="R279">
        <v>-2.3475398593197799E-3</v>
      </c>
    </row>
    <row r="280" spans="1:18" x14ac:dyDescent="0.2">
      <c r="A280" t="s">
        <v>7</v>
      </c>
      <c r="B280">
        <v>1</v>
      </c>
      <c r="C280" t="s">
        <v>2</v>
      </c>
      <c r="D280" s="2">
        <v>43675</v>
      </c>
      <c r="E280" s="11">
        <v>210</v>
      </c>
      <c r="F280" s="3">
        <v>0.57013888888888886</v>
      </c>
      <c r="G280" s="3">
        <v>0.57361111111111118</v>
      </c>
      <c r="H280" s="13">
        <v>210.57013888888889</v>
      </c>
      <c r="I280" s="13">
        <v>210.57361111111112</v>
      </c>
      <c r="J280" s="13">
        <v>210.57187500000001</v>
      </c>
      <c r="K280" s="7">
        <v>43675.571875000001</v>
      </c>
      <c r="L280" s="4">
        <v>1658.7</v>
      </c>
      <c r="M280" s="4">
        <v>9.1</v>
      </c>
      <c r="N280" s="4">
        <v>31.11</v>
      </c>
      <c r="O280">
        <v>41.1</v>
      </c>
      <c r="P280">
        <v>0.87</v>
      </c>
      <c r="Q280">
        <v>-9.5010750451831107</v>
      </c>
      <c r="R280">
        <v>-1.8761451460886299E-4</v>
      </c>
    </row>
    <row r="281" spans="1:18" x14ac:dyDescent="0.2">
      <c r="A281" t="s">
        <v>7</v>
      </c>
      <c r="B281">
        <v>1</v>
      </c>
      <c r="C281" t="s">
        <v>3</v>
      </c>
      <c r="D281" s="2">
        <v>43675</v>
      </c>
      <c r="E281" s="11">
        <v>210</v>
      </c>
      <c r="F281" s="3">
        <v>0.57500000000000007</v>
      </c>
      <c r="G281" s="3">
        <v>0.57847222222222217</v>
      </c>
      <c r="H281" s="13">
        <v>210.57499999999999</v>
      </c>
      <c r="I281" s="13">
        <v>210.57847222222222</v>
      </c>
      <c r="J281" s="13">
        <v>210.5767361111111</v>
      </c>
      <c r="K281" s="7">
        <v>43675.576734999995</v>
      </c>
      <c r="L281" s="4">
        <v>1658.7</v>
      </c>
      <c r="M281" s="4"/>
      <c r="N281" s="4">
        <v>31.11</v>
      </c>
      <c r="Q281">
        <v>14.0465242009117</v>
      </c>
      <c r="R281">
        <v>-2.6492854119728999E-4</v>
      </c>
    </row>
    <row r="282" spans="1:18" x14ac:dyDescent="0.2">
      <c r="A282" t="s">
        <v>7</v>
      </c>
      <c r="B282">
        <v>2</v>
      </c>
      <c r="C282" t="s">
        <v>2</v>
      </c>
      <c r="D282" s="2">
        <v>43675</v>
      </c>
      <c r="E282" s="11">
        <v>210</v>
      </c>
      <c r="F282" s="3">
        <v>0.57986111111111105</v>
      </c>
      <c r="G282" s="3">
        <v>0.58333333333333304</v>
      </c>
      <c r="H282" s="13">
        <v>210.57986111111111</v>
      </c>
      <c r="I282" s="13">
        <v>210.58333333333334</v>
      </c>
      <c r="J282" s="13">
        <v>210.58159722222223</v>
      </c>
      <c r="K282" s="7">
        <v>43675.581594999996</v>
      </c>
      <c r="L282" s="4">
        <v>1658.7</v>
      </c>
      <c r="M282" s="4">
        <v>12.1</v>
      </c>
      <c r="N282" s="4">
        <v>31.11</v>
      </c>
      <c r="O282">
        <v>37.299999999999997</v>
      </c>
      <c r="P282">
        <v>0.88</v>
      </c>
      <c r="Q282">
        <v>-14.1550144717711</v>
      </c>
      <c r="R282">
        <v>-7.1638583293949199E-7</v>
      </c>
    </row>
    <row r="283" spans="1:18" x14ac:dyDescent="0.2">
      <c r="A283" t="s">
        <v>7</v>
      </c>
      <c r="B283">
        <v>2</v>
      </c>
      <c r="C283" t="s">
        <v>3</v>
      </c>
      <c r="D283" s="2">
        <v>43675</v>
      </c>
      <c r="E283" s="11">
        <v>210</v>
      </c>
      <c r="F283" s="3">
        <v>0.58472222222222203</v>
      </c>
      <c r="G283" s="3">
        <v>0.58819444444444402</v>
      </c>
      <c r="H283" s="13">
        <v>210.58472222222221</v>
      </c>
      <c r="I283" s="13">
        <v>210.58819444444444</v>
      </c>
      <c r="J283" s="13">
        <v>210.58645833333333</v>
      </c>
      <c r="K283" s="7">
        <v>43675.586454999997</v>
      </c>
      <c r="L283" s="4">
        <v>1658.7</v>
      </c>
      <c r="M283" s="4"/>
      <c r="N283" s="4">
        <v>31.11</v>
      </c>
      <c r="Q283">
        <v>16.715688596432098</v>
      </c>
      <c r="R283">
        <v>3.8583020458697602E-6</v>
      </c>
    </row>
    <row r="284" spans="1:18" x14ac:dyDescent="0.2">
      <c r="A284" t="s">
        <v>7</v>
      </c>
      <c r="B284">
        <v>3</v>
      </c>
      <c r="C284" t="s">
        <v>2</v>
      </c>
      <c r="D284" s="2">
        <v>43675</v>
      </c>
      <c r="E284" s="11">
        <v>210</v>
      </c>
      <c r="F284" s="3">
        <v>0.58958333333333401</v>
      </c>
      <c r="G284" s="3">
        <v>0.593055555555555</v>
      </c>
      <c r="H284" s="13">
        <v>210.58958333333334</v>
      </c>
      <c r="I284" s="13">
        <v>210.59305555555557</v>
      </c>
      <c r="J284" s="13">
        <v>210.59131944444445</v>
      </c>
      <c r="K284" s="7">
        <v>43675.59132</v>
      </c>
      <c r="L284" s="4">
        <v>1658.7</v>
      </c>
      <c r="M284" s="4">
        <v>7.9</v>
      </c>
      <c r="N284" s="4">
        <v>31.67</v>
      </c>
      <c r="O284">
        <v>40.700000000000003</v>
      </c>
      <c r="P284">
        <v>0.83</v>
      </c>
      <c r="Q284">
        <v>-7.97739354893117</v>
      </c>
      <c r="R284">
        <v>7.1439507721926698E-2</v>
      </c>
    </row>
    <row r="285" spans="1:18" x14ac:dyDescent="0.2">
      <c r="A285" t="s">
        <v>7</v>
      </c>
      <c r="B285">
        <v>3</v>
      </c>
      <c r="C285" t="s">
        <v>3</v>
      </c>
      <c r="D285" s="2">
        <v>43675</v>
      </c>
      <c r="E285" s="11">
        <v>210</v>
      </c>
      <c r="F285" s="3">
        <v>0.594444444444445</v>
      </c>
      <c r="G285" s="3">
        <v>0.59791666666666599</v>
      </c>
      <c r="H285" s="13">
        <v>210.59444444444443</v>
      </c>
      <c r="I285" s="13">
        <v>210.59791666666666</v>
      </c>
      <c r="J285" s="13">
        <v>210.59618055555555</v>
      </c>
      <c r="K285" s="7">
        <v>43675.59618</v>
      </c>
      <c r="L285" s="4">
        <v>1658.7</v>
      </c>
      <c r="M285" s="4"/>
      <c r="N285" s="4">
        <v>31.67</v>
      </c>
      <c r="Q285">
        <v>8.9708158077000792</v>
      </c>
      <c r="R285">
        <v>1.4641178614524201E-3</v>
      </c>
    </row>
    <row r="286" spans="1:18" x14ac:dyDescent="0.2">
      <c r="A286" t="s">
        <v>7</v>
      </c>
      <c r="B286">
        <v>4</v>
      </c>
      <c r="C286" t="s">
        <v>2</v>
      </c>
      <c r="D286" s="2">
        <v>43675</v>
      </c>
      <c r="E286" s="11">
        <v>210</v>
      </c>
      <c r="F286" s="3">
        <v>0.59930555555555598</v>
      </c>
      <c r="G286" s="3">
        <v>0.60277777777777697</v>
      </c>
      <c r="H286" s="13">
        <v>210.59930555555556</v>
      </c>
      <c r="I286" s="13">
        <v>210.60277777777779</v>
      </c>
      <c r="J286" s="13">
        <v>210.60104166666667</v>
      </c>
      <c r="K286" s="7">
        <v>43675.601045000003</v>
      </c>
      <c r="L286" s="4">
        <v>1658.7</v>
      </c>
      <c r="M286" s="4">
        <v>4.2</v>
      </c>
      <c r="N286" s="4">
        <v>31.67</v>
      </c>
      <c r="O286">
        <v>40.200000000000003</v>
      </c>
      <c r="P286">
        <v>0.84</v>
      </c>
      <c r="Q286">
        <v>-9.7967654390555499</v>
      </c>
      <c r="R286">
        <v>3.66884386953972E-4</v>
      </c>
    </row>
    <row r="287" spans="1:18" x14ac:dyDescent="0.2">
      <c r="A287" t="s">
        <v>7</v>
      </c>
      <c r="B287">
        <v>4</v>
      </c>
      <c r="C287" t="s">
        <v>3</v>
      </c>
      <c r="D287" s="2">
        <v>43675</v>
      </c>
      <c r="E287" s="11">
        <v>210</v>
      </c>
      <c r="F287" s="3">
        <v>0.60416666666666696</v>
      </c>
      <c r="G287" s="3">
        <v>0.60763888888888795</v>
      </c>
      <c r="H287" s="13">
        <v>210.60416666666666</v>
      </c>
      <c r="I287" s="13">
        <v>210.60763888888889</v>
      </c>
      <c r="J287" s="13">
        <v>210.60590277777777</v>
      </c>
      <c r="K287" s="7">
        <v>43675.605905000004</v>
      </c>
      <c r="L287" s="4">
        <v>1658.7</v>
      </c>
      <c r="M287" s="4"/>
      <c r="N287" s="4">
        <v>31.67</v>
      </c>
      <c r="Q287">
        <v>11.4058490943624</v>
      </c>
      <c r="R287">
        <v>-3.07756514645212E-3</v>
      </c>
    </row>
    <row r="288" spans="1:18" x14ac:dyDescent="0.2">
      <c r="A288" t="s">
        <v>7</v>
      </c>
      <c r="B288">
        <v>5</v>
      </c>
      <c r="C288" t="s">
        <v>2</v>
      </c>
      <c r="D288" s="2">
        <v>43675</v>
      </c>
      <c r="E288" s="11">
        <v>210</v>
      </c>
      <c r="F288" s="3">
        <v>0.60902777777777894</v>
      </c>
      <c r="G288" s="3">
        <v>0.61249999999999905</v>
      </c>
      <c r="H288" s="13">
        <v>210.60902777777778</v>
      </c>
      <c r="I288" s="13">
        <v>210.61250000000001</v>
      </c>
      <c r="J288" s="13">
        <v>210.6107638888889</v>
      </c>
      <c r="K288" s="7">
        <v>43675.610765000005</v>
      </c>
      <c r="L288" s="4">
        <v>1658.7</v>
      </c>
      <c r="M288" s="4">
        <v>9.1999999999999993</v>
      </c>
      <c r="N288" s="4">
        <v>31.67</v>
      </c>
      <c r="O288">
        <v>43.2</v>
      </c>
      <c r="P288">
        <v>0.77</v>
      </c>
      <c r="Q288">
        <v>-11.4512820060982</v>
      </c>
    </row>
    <row r="289" spans="1:18" x14ac:dyDescent="0.2">
      <c r="A289" t="s">
        <v>7</v>
      </c>
      <c r="B289">
        <v>5</v>
      </c>
      <c r="C289" t="s">
        <v>3</v>
      </c>
      <c r="D289" s="2">
        <v>43675</v>
      </c>
      <c r="E289" s="11">
        <v>210</v>
      </c>
      <c r="F289" s="3">
        <v>0.61388888888889004</v>
      </c>
      <c r="G289" s="3">
        <v>0.61736111111111003</v>
      </c>
      <c r="H289" s="13">
        <v>210.61388888888888</v>
      </c>
      <c r="I289" s="13">
        <v>210.61736111111111</v>
      </c>
      <c r="J289" s="13">
        <v>210.61562499999999</v>
      </c>
      <c r="K289" s="7">
        <v>43675.615624999999</v>
      </c>
      <c r="L289" s="4">
        <v>1658.7</v>
      </c>
      <c r="M289" s="4"/>
      <c r="N289" s="4">
        <v>31.67</v>
      </c>
      <c r="Q289">
        <v>20.554982058538499</v>
      </c>
    </row>
    <row r="290" spans="1:18" x14ac:dyDescent="0.2">
      <c r="A290" t="s">
        <v>7</v>
      </c>
      <c r="B290">
        <v>1</v>
      </c>
      <c r="C290" t="s">
        <v>2</v>
      </c>
      <c r="D290" s="2">
        <v>43683</v>
      </c>
      <c r="E290" s="11">
        <v>218</v>
      </c>
      <c r="F290" s="3">
        <v>0.45694444444444443</v>
      </c>
      <c r="G290" s="3">
        <v>0.4604166666666667</v>
      </c>
      <c r="H290" s="13">
        <v>218.45694444444445</v>
      </c>
      <c r="I290" s="13">
        <v>218.46041666666667</v>
      </c>
      <c r="J290" s="13">
        <v>218.45868055555556</v>
      </c>
      <c r="K290" s="7">
        <v>43683.458679999996</v>
      </c>
      <c r="L290" s="4">
        <v>1698.7</v>
      </c>
      <c r="M290" s="4">
        <v>14.1</v>
      </c>
      <c r="N290" s="4">
        <v>24.4</v>
      </c>
      <c r="O290">
        <v>39.9</v>
      </c>
      <c r="P290">
        <v>0.88</v>
      </c>
      <c r="Q290">
        <v>-7.9624294431703797</v>
      </c>
      <c r="R290">
        <v>-1.58972264038359E-4</v>
      </c>
    </row>
    <row r="291" spans="1:18" x14ac:dyDescent="0.2">
      <c r="A291" t="s">
        <v>7</v>
      </c>
      <c r="B291">
        <v>1</v>
      </c>
      <c r="C291" t="s">
        <v>3</v>
      </c>
      <c r="D291" s="2">
        <v>43683</v>
      </c>
      <c r="E291" s="11">
        <v>218</v>
      </c>
      <c r="F291" s="3">
        <v>0.46412037037037041</v>
      </c>
      <c r="G291" s="3">
        <v>0.46759259259259256</v>
      </c>
      <c r="H291" s="13">
        <v>218.46412037037038</v>
      </c>
      <c r="I291" s="13">
        <v>218.46759259259258</v>
      </c>
      <c r="J291" s="13">
        <v>218.46585648148147</v>
      </c>
      <c r="K291" s="7">
        <v>43683.465855000002</v>
      </c>
      <c r="L291" s="4">
        <v>1436.2</v>
      </c>
      <c r="M291" s="4"/>
      <c r="N291" s="4">
        <v>24.4</v>
      </c>
      <c r="Q291">
        <v>8.5035705114722493</v>
      </c>
      <c r="R291">
        <v>-3.4711356026846901E-4</v>
      </c>
    </row>
    <row r="292" spans="1:18" x14ac:dyDescent="0.2">
      <c r="A292" t="s">
        <v>7</v>
      </c>
      <c r="B292">
        <v>2</v>
      </c>
      <c r="C292" t="s">
        <v>2</v>
      </c>
      <c r="D292" s="2">
        <v>43683</v>
      </c>
      <c r="E292" s="11">
        <v>218</v>
      </c>
      <c r="F292" s="3">
        <v>0.47083333333333338</v>
      </c>
      <c r="G292" s="3">
        <v>0.47430555555555554</v>
      </c>
      <c r="H292" s="13">
        <v>218.47083333333333</v>
      </c>
      <c r="I292" s="13">
        <v>218.47430555555556</v>
      </c>
      <c r="J292" s="13">
        <v>218.47256944444445</v>
      </c>
      <c r="K292" s="7">
        <v>43683.472569999998</v>
      </c>
      <c r="L292" s="4">
        <v>1706.2</v>
      </c>
      <c r="M292" s="4">
        <v>14.8</v>
      </c>
      <c r="N292" s="4">
        <v>25</v>
      </c>
      <c r="O292">
        <v>35.200000000000003</v>
      </c>
      <c r="P292">
        <v>0.86</v>
      </c>
      <c r="Q292">
        <v>-12.584792717305</v>
      </c>
      <c r="R292">
        <v>-1.8973066891029899E-4</v>
      </c>
    </row>
    <row r="293" spans="1:18" x14ac:dyDescent="0.2">
      <c r="A293" t="s">
        <v>7</v>
      </c>
      <c r="B293">
        <v>2</v>
      </c>
      <c r="C293" t="s">
        <v>3</v>
      </c>
      <c r="D293" s="2">
        <v>43683</v>
      </c>
      <c r="E293" s="11">
        <v>218</v>
      </c>
      <c r="F293" s="3">
        <v>0.4770833333333333</v>
      </c>
      <c r="G293" s="3">
        <v>0.48055555555555557</v>
      </c>
      <c r="H293" s="13">
        <v>218.47708333333333</v>
      </c>
      <c r="I293" s="13">
        <v>218.48055555555555</v>
      </c>
      <c r="J293" s="13">
        <v>218.47881944444444</v>
      </c>
      <c r="K293" s="7">
        <v>43683.478820000004</v>
      </c>
      <c r="L293" s="4">
        <v>1628.7</v>
      </c>
      <c r="M293" s="4"/>
      <c r="N293" s="4">
        <v>25</v>
      </c>
      <c r="Q293">
        <v>14.596303699394101</v>
      </c>
      <c r="R293">
        <v>-3.2228521499989001E-6</v>
      </c>
    </row>
    <row r="294" spans="1:18" x14ac:dyDescent="0.2">
      <c r="A294" t="s">
        <v>7</v>
      </c>
      <c r="B294">
        <v>3</v>
      </c>
      <c r="C294" t="s">
        <v>2</v>
      </c>
      <c r="D294" s="2">
        <v>43683</v>
      </c>
      <c r="E294" s="11">
        <v>218</v>
      </c>
      <c r="F294" s="3">
        <v>0.48396990740740736</v>
      </c>
      <c r="G294" s="3">
        <v>0.48680555555555555</v>
      </c>
      <c r="H294" s="13">
        <v>218.48396990740741</v>
      </c>
      <c r="I294" s="13">
        <v>218.48680555555555</v>
      </c>
      <c r="J294" s="13">
        <v>218.48538773148147</v>
      </c>
      <c r="K294" s="7">
        <v>43683.485390000002</v>
      </c>
      <c r="L294" s="4">
        <v>886.2</v>
      </c>
      <c r="M294" s="4">
        <v>15.3</v>
      </c>
      <c r="N294" s="4">
        <v>25</v>
      </c>
      <c r="O294">
        <v>40.299999999999997</v>
      </c>
      <c r="P294">
        <v>0.86</v>
      </c>
      <c r="Q294">
        <v>-11.3648456624981</v>
      </c>
      <c r="R294">
        <v>-4.7561163676746799E-5</v>
      </c>
    </row>
    <row r="295" spans="1:18" x14ac:dyDescent="0.2">
      <c r="A295" t="s">
        <v>7</v>
      </c>
      <c r="B295">
        <v>3</v>
      </c>
      <c r="C295" t="s">
        <v>3</v>
      </c>
      <c r="D295" s="2">
        <v>43683</v>
      </c>
      <c r="E295" s="11">
        <v>218</v>
      </c>
      <c r="F295" s="3">
        <v>0.49074074074074076</v>
      </c>
      <c r="G295" s="3">
        <v>0.49374999999999997</v>
      </c>
      <c r="H295" s="13">
        <v>218.49074074074073</v>
      </c>
      <c r="I295" s="13">
        <v>218.49375000000001</v>
      </c>
      <c r="J295" s="13">
        <v>218.49224537037037</v>
      </c>
      <c r="K295" s="7">
        <v>43683.492245000001</v>
      </c>
      <c r="L295" s="4">
        <v>1216.2</v>
      </c>
      <c r="M295" s="4"/>
      <c r="N295" s="4">
        <v>25</v>
      </c>
      <c r="Q295">
        <v>8.3383328061286797</v>
      </c>
      <c r="R295">
        <v>-1.7082600242142401E-6</v>
      </c>
    </row>
    <row r="296" spans="1:18" x14ac:dyDescent="0.2">
      <c r="A296" t="s">
        <v>7</v>
      </c>
      <c r="B296">
        <v>4</v>
      </c>
      <c r="C296" t="s">
        <v>2</v>
      </c>
      <c r="D296" s="2">
        <v>43683</v>
      </c>
      <c r="E296" s="11">
        <v>218</v>
      </c>
      <c r="F296" s="3">
        <v>0.49837962962962962</v>
      </c>
      <c r="G296" s="3">
        <v>0.50185185185185188</v>
      </c>
      <c r="H296" s="13">
        <v>218.49837962962962</v>
      </c>
      <c r="I296" s="13">
        <v>218.50185185185185</v>
      </c>
      <c r="J296" s="13">
        <v>218.50011574074074</v>
      </c>
      <c r="K296" s="7">
        <v>43683.500115000003</v>
      </c>
      <c r="L296" s="4">
        <v>1538.7</v>
      </c>
      <c r="M296" s="4">
        <v>9.6999999999999993</v>
      </c>
      <c r="N296" s="4">
        <v>25.56</v>
      </c>
      <c r="O296">
        <v>42.5</v>
      </c>
      <c r="P296">
        <v>0.8</v>
      </c>
      <c r="Q296">
        <v>-0.34916422629858201</v>
      </c>
      <c r="R296">
        <v>-3.5433000615976499E-5</v>
      </c>
    </row>
    <row r="297" spans="1:18" x14ac:dyDescent="0.2">
      <c r="A297" t="s">
        <v>7</v>
      </c>
      <c r="B297">
        <v>4</v>
      </c>
      <c r="C297" t="s">
        <v>3</v>
      </c>
      <c r="D297" s="2">
        <v>43683</v>
      </c>
      <c r="E297" s="11">
        <v>218</v>
      </c>
      <c r="F297" s="3">
        <v>0.50548611111111108</v>
      </c>
      <c r="G297" s="3">
        <v>0.50895833333333329</v>
      </c>
      <c r="H297" s="13">
        <v>218.50548611111111</v>
      </c>
      <c r="I297" s="13">
        <v>218.50895833333334</v>
      </c>
      <c r="J297" s="13">
        <v>218.50722222222223</v>
      </c>
      <c r="K297" s="7">
        <v>43683.507225000001</v>
      </c>
      <c r="L297" s="4">
        <v>888.7</v>
      </c>
      <c r="M297" s="4"/>
      <c r="N297" s="4">
        <v>25.56</v>
      </c>
      <c r="Q297">
        <v>8.0805118502786097</v>
      </c>
      <c r="R297">
        <v>-1.02123370070022E-4</v>
      </c>
    </row>
    <row r="298" spans="1:18" x14ac:dyDescent="0.2">
      <c r="A298" t="s">
        <v>7</v>
      </c>
      <c r="B298">
        <v>5</v>
      </c>
      <c r="C298" t="s">
        <v>2</v>
      </c>
      <c r="D298" s="2">
        <v>43683</v>
      </c>
      <c r="E298" s="11">
        <v>218</v>
      </c>
      <c r="F298" s="3">
        <v>0.51180555555555551</v>
      </c>
      <c r="G298" s="3">
        <v>0.51527777777777783</v>
      </c>
      <c r="H298" s="13">
        <v>218.51180555555555</v>
      </c>
      <c r="I298" s="13">
        <v>218.51527777777778</v>
      </c>
      <c r="J298" s="13">
        <v>218.51354166666667</v>
      </c>
      <c r="K298" s="7">
        <v>43683.513545000002</v>
      </c>
      <c r="L298" s="4">
        <v>496.2</v>
      </c>
      <c r="M298" s="4">
        <v>14.7</v>
      </c>
      <c r="N298" s="4">
        <v>25.56</v>
      </c>
      <c r="O298">
        <v>37.299999999999997</v>
      </c>
      <c r="P298">
        <v>0.78</v>
      </c>
      <c r="Q298">
        <v>-3.8325100530682001</v>
      </c>
      <c r="R298">
        <v>-2.0074389534690201E-4</v>
      </c>
    </row>
    <row r="299" spans="1:18" x14ac:dyDescent="0.2">
      <c r="A299" t="s">
        <v>7</v>
      </c>
      <c r="B299">
        <v>5</v>
      </c>
      <c r="C299" t="s">
        <v>3</v>
      </c>
      <c r="D299" s="2">
        <v>43683</v>
      </c>
      <c r="E299" s="11">
        <v>218</v>
      </c>
      <c r="F299" s="3">
        <v>0.52152777777777781</v>
      </c>
      <c r="G299" s="3">
        <v>0.52500000000000002</v>
      </c>
      <c r="H299" s="13">
        <v>218.52152777777778</v>
      </c>
      <c r="I299" s="13">
        <v>218.52500000000001</v>
      </c>
      <c r="J299" s="13">
        <v>218.52326388888889</v>
      </c>
      <c r="K299" s="7">
        <v>43683.523264999996</v>
      </c>
      <c r="L299" s="4">
        <v>613.70000000000005</v>
      </c>
      <c r="M299" s="4"/>
      <c r="N299" s="4">
        <v>25.56</v>
      </c>
      <c r="Q299">
        <v>25.417345082028699</v>
      </c>
      <c r="R299">
        <v>-2.0953859733905401E-4</v>
      </c>
    </row>
    <row r="300" spans="1:18" x14ac:dyDescent="0.2">
      <c r="A300" t="s">
        <v>7</v>
      </c>
      <c r="B300">
        <v>1</v>
      </c>
      <c r="C300" t="s">
        <v>2</v>
      </c>
      <c r="D300" s="2">
        <v>43683</v>
      </c>
      <c r="E300" s="11">
        <v>218</v>
      </c>
      <c r="F300" s="3">
        <v>0.65347222222222223</v>
      </c>
      <c r="G300" s="3">
        <v>0.65694444444444444</v>
      </c>
      <c r="H300" s="13">
        <v>218.65347222222223</v>
      </c>
      <c r="I300" s="13">
        <v>218.65694444444443</v>
      </c>
      <c r="J300" s="13">
        <v>218.65520833333335</v>
      </c>
      <c r="K300" s="7">
        <v>43683.655205000003</v>
      </c>
      <c r="L300" s="4">
        <v>1468.7</v>
      </c>
      <c r="M300" s="4">
        <v>16.600000000000001</v>
      </c>
      <c r="N300" s="4">
        <v>25</v>
      </c>
      <c r="O300">
        <v>44.6</v>
      </c>
      <c r="P300">
        <v>0.86</v>
      </c>
      <c r="Q300">
        <v>-8.5461060472703192</v>
      </c>
      <c r="R300">
        <v>-2.6545781881895999E-4</v>
      </c>
    </row>
    <row r="301" spans="1:18" x14ac:dyDescent="0.2">
      <c r="A301" t="s">
        <v>7</v>
      </c>
      <c r="B301">
        <v>1</v>
      </c>
      <c r="C301" t="s">
        <v>3</v>
      </c>
      <c r="D301" s="2">
        <v>43683</v>
      </c>
      <c r="E301" s="11">
        <v>218</v>
      </c>
      <c r="F301" s="3">
        <v>0.66041666666666665</v>
      </c>
      <c r="G301" s="3">
        <v>0.66388888888888886</v>
      </c>
      <c r="H301" s="13">
        <v>218.66041666666666</v>
      </c>
      <c r="I301" s="13">
        <v>218.66388888888889</v>
      </c>
      <c r="J301" s="13">
        <v>218.66215277777778</v>
      </c>
      <c r="K301" s="7">
        <v>43683.662154999998</v>
      </c>
      <c r="L301" s="4">
        <v>1433.7</v>
      </c>
      <c r="M301" s="4"/>
      <c r="N301" s="4">
        <v>25</v>
      </c>
      <c r="Q301">
        <v>11.8910133184076</v>
      </c>
      <c r="R301">
        <v>-8.1314859550625095E-5</v>
      </c>
    </row>
    <row r="302" spans="1:18" x14ac:dyDescent="0.2">
      <c r="A302" t="s">
        <v>7</v>
      </c>
      <c r="B302">
        <v>2</v>
      </c>
      <c r="C302" t="s">
        <v>2</v>
      </c>
      <c r="D302" s="2">
        <v>43683</v>
      </c>
      <c r="E302" s="11">
        <v>218</v>
      </c>
      <c r="F302" s="3">
        <v>0.66666666666666663</v>
      </c>
      <c r="G302" s="3">
        <v>0.67013888888888884</v>
      </c>
      <c r="H302" s="13">
        <v>218.66666666666666</v>
      </c>
      <c r="I302" s="13">
        <v>218.67013888888889</v>
      </c>
      <c r="J302" s="13">
        <v>218.66840277777777</v>
      </c>
      <c r="K302" s="7">
        <v>43683.668405000004</v>
      </c>
      <c r="L302" s="4">
        <v>1546.2</v>
      </c>
      <c r="M302" s="4">
        <v>9.8000000000000007</v>
      </c>
      <c r="N302" s="4">
        <v>25.56</v>
      </c>
      <c r="O302">
        <v>40.6</v>
      </c>
      <c r="P302">
        <v>0.87</v>
      </c>
      <c r="Q302">
        <v>-9.7533818391066607</v>
      </c>
      <c r="R302">
        <v>-1.12396403584549E-4</v>
      </c>
    </row>
    <row r="303" spans="1:18" x14ac:dyDescent="0.2">
      <c r="A303" t="s">
        <v>7</v>
      </c>
      <c r="B303">
        <v>2</v>
      </c>
      <c r="C303" t="s">
        <v>3</v>
      </c>
      <c r="D303" s="2">
        <v>43683</v>
      </c>
      <c r="E303" s="11">
        <v>218</v>
      </c>
      <c r="F303" s="3">
        <v>0.67459490740740735</v>
      </c>
      <c r="G303" s="3">
        <v>0.67806712962962967</v>
      </c>
      <c r="H303" s="13">
        <v>218.6745949074074</v>
      </c>
      <c r="I303" s="13">
        <v>218.67806712962962</v>
      </c>
      <c r="J303" s="13">
        <v>218.67633101851851</v>
      </c>
      <c r="K303" s="7">
        <v>43683.676330000002</v>
      </c>
      <c r="L303" s="4">
        <v>816.2</v>
      </c>
      <c r="M303" s="4"/>
      <c r="N303" s="4">
        <v>25.56</v>
      </c>
      <c r="Q303">
        <v>18.071015070866601</v>
      </c>
      <c r="R303">
        <v>-2.04064746828581E-4</v>
      </c>
    </row>
    <row r="304" spans="1:18" x14ac:dyDescent="0.2">
      <c r="A304" t="s">
        <v>7</v>
      </c>
      <c r="B304">
        <v>3</v>
      </c>
      <c r="C304" t="s">
        <v>2</v>
      </c>
      <c r="D304" s="2">
        <v>43683</v>
      </c>
      <c r="E304" s="11">
        <v>218</v>
      </c>
      <c r="F304" s="3">
        <v>0.68125000000000002</v>
      </c>
      <c r="G304" s="3">
        <v>0.68472222222222223</v>
      </c>
      <c r="H304" s="13">
        <v>218.68125000000001</v>
      </c>
      <c r="I304" s="13">
        <v>218.68472222222223</v>
      </c>
      <c r="J304" s="13">
        <v>218.68298611111112</v>
      </c>
      <c r="K304" s="7">
        <v>43683.682984999999</v>
      </c>
      <c r="L304" s="4">
        <v>471.2</v>
      </c>
      <c r="M304" s="4">
        <v>16.3</v>
      </c>
      <c r="N304" s="4">
        <v>25.56</v>
      </c>
      <c r="O304">
        <v>41.1</v>
      </c>
      <c r="P304">
        <v>0.87</v>
      </c>
      <c r="Q304">
        <v>-3.2274734271201999</v>
      </c>
      <c r="R304">
        <v>-2.5594077186125099E-4</v>
      </c>
    </row>
    <row r="305" spans="1:18" x14ac:dyDescent="0.2">
      <c r="A305" t="s">
        <v>7</v>
      </c>
      <c r="B305">
        <v>3</v>
      </c>
      <c r="C305" t="s">
        <v>3</v>
      </c>
      <c r="D305" s="2">
        <v>43683</v>
      </c>
      <c r="E305" s="11">
        <v>218</v>
      </c>
      <c r="F305" s="3">
        <v>0.68819444444444444</v>
      </c>
      <c r="G305" s="3">
        <v>0.69166666666666676</v>
      </c>
      <c r="H305" s="13">
        <v>218.68819444444443</v>
      </c>
      <c r="I305" s="13">
        <v>218.69166666666666</v>
      </c>
      <c r="J305" s="13">
        <v>218.68993055555555</v>
      </c>
      <c r="K305" s="7">
        <v>43683.68993</v>
      </c>
      <c r="L305" s="4">
        <v>446.2</v>
      </c>
      <c r="M305" s="4"/>
      <c r="N305" s="4">
        <v>25.56</v>
      </c>
      <c r="Q305">
        <v>10.2698586278237</v>
      </c>
      <c r="R305">
        <v>-2.4854840697900098E-4</v>
      </c>
    </row>
    <row r="306" spans="1:18" x14ac:dyDescent="0.2">
      <c r="A306" t="s">
        <v>7</v>
      </c>
      <c r="B306">
        <v>4</v>
      </c>
      <c r="C306" t="s">
        <v>2</v>
      </c>
      <c r="D306" s="2">
        <v>43683</v>
      </c>
      <c r="E306" s="11">
        <v>218</v>
      </c>
      <c r="F306" s="3">
        <v>0.69513888888888886</v>
      </c>
      <c r="G306" s="3">
        <v>0.69861111111111107</v>
      </c>
      <c r="H306" s="13">
        <v>218.69513888888889</v>
      </c>
      <c r="I306" s="13">
        <v>218.69861111111112</v>
      </c>
      <c r="J306" s="13">
        <v>218.69687500000001</v>
      </c>
      <c r="K306" s="7">
        <v>43683.696875000001</v>
      </c>
      <c r="L306" s="4">
        <v>396.2</v>
      </c>
      <c r="M306" s="4">
        <v>14.5</v>
      </c>
      <c r="N306" s="4">
        <v>25.56</v>
      </c>
      <c r="O306">
        <v>42</v>
      </c>
      <c r="P306">
        <v>0.76</v>
      </c>
      <c r="Q306">
        <v>-2.1248610322603398</v>
      </c>
      <c r="R306">
        <v>-2.2116509431341699E-4</v>
      </c>
    </row>
    <row r="307" spans="1:18" x14ac:dyDescent="0.2">
      <c r="A307" t="s">
        <v>7</v>
      </c>
      <c r="B307">
        <v>4</v>
      </c>
      <c r="C307" t="s">
        <v>3</v>
      </c>
      <c r="D307" s="2">
        <v>43683</v>
      </c>
      <c r="E307" s="11">
        <v>218</v>
      </c>
      <c r="F307" s="3">
        <v>0.70138888888888884</v>
      </c>
      <c r="G307" s="3">
        <v>0.70486111111111116</v>
      </c>
      <c r="H307" s="13">
        <v>218.70138888888889</v>
      </c>
      <c r="I307" s="13">
        <v>218.70486111111111</v>
      </c>
      <c r="J307" s="13">
        <v>218.703125</v>
      </c>
      <c r="K307" s="7">
        <v>43683.703125</v>
      </c>
      <c r="L307" s="4">
        <v>791.2</v>
      </c>
      <c r="M307" s="4"/>
      <c r="N307" s="4">
        <v>25.56</v>
      </c>
      <c r="Q307">
        <v>10.9882128026067</v>
      </c>
      <c r="R307">
        <v>-2.1183313436486499E-4</v>
      </c>
    </row>
    <row r="308" spans="1:18" x14ac:dyDescent="0.2">
      <c r="A308" t="s">
        <v>7</v>
      </c>
      <c r="B308">
        <v>5</v>
      </c>
      <c r="C308" t="s">
        <v>2</v>
      </c>
      <c r="D308" s="2">
        <v>43683</v>
      </c>
      <c r="E308" s="11">
        <v>218</v>
      </c>
      <c r="F308" s="3">
        <v>0.70763888888888893</v>
      </c>
      <c r="G308" s="3">
        <v>0.71111111111111114</v>
      </c>
      <c r="H308" s="13">
        <v>218.70763888888888</v>
      </c>
      <c r="I308" s="13">
        <v>218.71111111111111</v>
      </c>
      <c r="J308" s="13">
        <v>218.70937499999999</v>
      </c>
      <c r="K308" s="7">
        <v>43683.709374999999</v>
      </c>
      <c r="L308" s="4">
        <v>871.2</v>
      </c>
      <c r="M308" s="4">
        <v>13.1</v>
      </c>
      <c r="N308" s="4">
        <v>25.56</v>
      </c>
      <c r="O308">
        <v>42.4</v>
      </c>
      <c r="P308">
        <v>0.87</v>
      </c>
      <c r="Q308">
        <v>1.3491964438847399</v>
      </c>
      <c r="R308">
        <v>-2.7895624132465402E-4</v>
      </c>
    </row>
    <row r="309" spans="1:18" x14ac:dyDescent="0.2">
      <c r="A309" t="s">
        <v>7</v>
      </c>
      <c r="B309">
        <v>5</v>
      </c>
      <c r="C309" t="s">
        <v>3</v>
      </c>
      <c r="D309" s="2">
        <v>43683</v>
      </c>
      <c r="E309" s="11">
        <v>218</v>
      </c>
      <c r="F309" s="3">
        <v>0.71388888888888891</v>
      </c>
      <c r="G309" s="3">
        <v>0.71736111111111101</v>
      </c>
      <c r="H309" s="13">
        <v>218.7138888888889</v>
      </c>
      <c r="I309" s="13">
        <v>218.7173611111111</v>
      </c>
      <c r="J309" s="13">
        <v>218.71562499999999</v>
      </c>
      <c r="K309" s="7">
        <v>43683.715624999997</v>
      </c>
      <c r="L309" s="4">
        <v>643.70000000000005</v>
      </c>
      <c r="M309" s="4"/>
      <c r="N309" s="4">
        <v>25.56</v>
      </c>
      <c r="Q309">
        <v>33.900336008349001</v>
      </c>
      <c r="R309">
        <v>-2.7014878838331198E-4</v>
      </c>
    </row>
    <row r="310" spans="1:18" x14ac:dyDescent="0.2">
      <c r="A310" t="s">
        <v>7</v>
      </c>
      <c r="B310">
        <v>1</v>
      </c>
      <c r="C310" t="s">
        <v>2</v>
      </c>
      <c r="D310" s="2">
        <v>43690</v>
      </c>
      <c r="E310" s="11">
        <v>225</v>
      </c>
      <c r="F310" s="3">
        <v>0.45347222222222222</v>
      </c>
      <c r="G310" s="3">
        <v>0.45694444444444443</v>
      </c>
      <c r="H310" s="13">
        <v>225.45347222222222</v>
      </c>
      <c r="I310" s="13">
        <v>225.45694444444445</v>
      </c>
      <c r="J310" s="13">
        <v>225.45520833333333</v>
      </c>
      <c r="K310" s="7">
        <v>43690.455204999998</v>
      </c>
      <c r="L310" s="4">
        <v>426.2</v>
      </c>
      <c r="M310" s="4">
        <v>10.199999999999999</v>
      </c>
      <c r="N310" s="4">
        <v>23.33</v>
      </c>
      <c r="O310">
        <v>41.8</v>
      </c>
      <c r="Q310">
        <v>-1.30914248753994</v>
      </c>
      <c r="R310">
        <v>-4.9520707726229802E-4</v>
      </c>
    </row>
    <row r="311" spans="1:18" x14ac:dyDescent="0.2">
      <c r="A311" t="s">
        <v>7</v>
      </c>
      <c r="B311">
        <v>1</v>
      </c>
      <c r="C311" t="s">
        <v>3</v>
      </c>
      <c r="D311" s="2">
        <v>43690</v>
      </c>
      <c r="E311" s="11">
        <v>225</v>
      </c>
      <c r="F311" s="3">
        <v>0.46064814814814814</v>
      </c>
      <c r="G311" s="3">
        <v>0.46412037037037041</v>
      </c>
      <c r="H311" s="13">
        <v>225.46064814814815</v>
      </c>
      <c r="I311" s="13">
        <v>225.46412037037038</v>
      </c>
      <c r="J311" s="13">
        <v>225.46238425925927</v>
      </c>
      <c r="K311" s="7">
        <v>43690.462384999999</v>
      </c>
      <c r="L311" s="4">
        <v>438.7</v>
      </c>
      <c r="M311" s="4"/>
      <c r="N311" s="4">
        <v>23.33</v>
      </c>
      <c r="Q311">
        <v>10.6654997231779</v>
      </c>
      <c r="R311">
        <v>-4.23200645574374E-4</v>
      </c>
    </row>
    <row r="312" spans="1:18" x14ac:dyDescent="0.2">
      <c r="A312" t="s">
        <v>7</v>
      </c>
      <c r="B312">
        <v>2</v>
      </c>
      <c r="C312" t="s">
        <v>2</v>
      </c>
      <c r="D312" s="2">
        <v>43690</v>
      </c>
      <c r="E312" s="11">
        <v>225</v>
      </c>
      <c r="F312" s="3">
        <v>0.46712962962962962</v>
      </c>
      <c r="G312" s="3">
        <v>0.47060185185185183</v>
      </c>
      <c r="H312" s="13">
        <v>225.46712962962962</v>
      </c>
      <c r="I312" s="13">
        <v>225.47060185185185</v>
      </c>
      <c r="J312" s="13">
        <v>225.46886574074074</v>
      </c>
      <c r="K312" s="7">
        <v>43690.468865000003</v>
      </c>
      <c r="L312" s="4">
        <v>431.2</v>
      </c>
      <c r="M312" s="4">
        <v>5.6</v>
      </c>
      <c r="N312" s="4">
        <v>23.33</v>
      </c>
      <c r="O312">
        <v>40.799999999999997</v>
      </c>
      <c r="Q312">
        <v>1.84797835272086</v>
      </c>
      <c r="R312">
        <v>-4.4950835284231899E-4</v>
      </c>
    </row>
    <row r="313" spans="1:18" x14ac:dyDescent="0.2">
      <c r="A313" t="s">
        <v>7</v>
      </c>
      <c r="B313">
        <v>2</v>
      </c>
      <c r="C313" t="s">
        <v>3</v>
      </c>
      <c r="D313" s="2">
        <v>43690</v>
      </c>
      <c r="E313" s="11">
        <v>225</v>
      </c>
      <c r="F313" s="3">
        <v>0.47355324074074073</v>
      </c>
      <c r="G313" s="3">
        <v>0.47702546296296294</v>
      </c>
      <c r="H313" s="13">
        <v>225.47355324074073</v>
      </c>
      <c r="I313" s="13">
        <v>225.47702546296296</v>
      </c>
      <c r="J313" s="13">
        <v>225.47528935185184</v>
      </c>
      <c r="K313" s="7">
        <v>43690.475290000002</v>
      </c>
      <c r="L313" s="4">
        <v>411.2</v>
      </c>
      <c r="M313" s="4"/>
      <c r="N313" s="4">
        <v>23.33</v>
      </c>
      <c r="Q313">
        <v>18.055439317087799</v>
      </c>
      <c r="R313">
        <v>-5.3398931391173603E-4</v>
      </c>
    </row>
    <row r="314" spans="1:18" x14ac:dyDescent="0.2">
      <c r="A314" t="s">
        <v>7</v>
      </c>
      <c r="B314">
        <v>3</v>
      </c>
      <c r="C314" t="s">
        <v>2</v>
      </c>
      <c r="D314" s="2">
        <v>43690</v>
      </c>
      <c r="E314" s="11">
        <v>225</v>
      </c>
      <c r="F314" s="3">
        <v>0.47974537037037041</v>
      </c>
      <c r="G314" s="3">
        <v>0.48321759259259256</v>
      </c>
      <c r="H314" s="13">
        <v>225.47974537037038</v>
      </c>
      <c r="I314" s="13">
        <v>225.48321759259258</v>
      </c>
      <c r="J314" s="13">
        <v>225.48148148148147</v>
      </c>
      <c r="K314" s="7">
        <v>43690.481484999997</v>
      </c>
      <c r="L314" s="4">
        <v>441.2</v>
      </c>
      <c r="M314" s="4">
        <v>4.4000000000000004</v>
      </c>
      <c r="N314" s="4">
        <v>23.33</v>
      </c>
      <c r="O314">
        <v>44.4</v>
      </c>
      <c r="Q314">
        <v>7.85556713856597</v>
      </c>
      <c r="R314">
        <v>-3.6740595543224998E-4</v>
      </c>
    </row>
    <row r="315" spans="1:18" x14ac:dyDescent="0.2">
      <c r="A315" t="s">
        <v>7</v>
      </c>
      <c r="B315">
        <v>3</v>
      </c>
      <c r="C315" t="s">
        <v>3</v>
      </c>
      <c r="D315" s="2">
        <v>43690</v>
      </c>
      <c r="E315" s="11">
        <v>225</v>
      </c>
      <c r="F315" s="3">
        <v>0.48584490740740738</v>
      </c>
      <c r="G315" s="3">
        <v>0.48931712962962964</v>
      </c>
      <c r="H315" s="13">
        <v>225.4858449074074</v>
      </c>
      <c r="I315" s="13">
        <v>225.48931712962963</v>
      </c>
      <c r="J315" s="13">
        <v>225.48758101851851</v>
      </c>
      <c r="K315" s="7">
        <v>43690.487580000001</v>
      </c>
      <c r="L315" s="4">
        <v>616.20000000000005</v>
      </c>
      <c r="M315" s="4"/>
      <c r="N315" s="4">
        <v>23.33</v>
      </c>
      <c r="Q315">
        <v>31.6852614279546</v>
      </c>
      <c r="R315">
        <v>-5.4430671763743802E-4</v>
      </c>
    </row>
    <row r="316" spans="1:18" x14ac:dyDescent="0.2">
      <c r="A316" t="s">
        <v>7</v>
      </c>
      <c r="B316">
        <v>4</v>
      </c>
      <c r="C316" t="s">
        <v>2</v>
      </c>
      <c r="D316" s="2">
        <v>43690</v>
      </c>
      <c r="E316" s="11">
        <v>225</v>
      </c>
      <c r="F316" s="3">
        <v>0.4924189814814815</v>
      </c>
      <c r="G316" s="3">
        <v>0.49589120370370371</v>
      </c>
      <c r="H316" s="13">
        <v>225.49241898148148</v>
      </c>
      <c r="I316" s="13">
        <v>225.49589120370371</v>
      </c>
      <c r="J316" s="13">
        <v>225.49415509259259</v>
      </c>
      <c r="K316" s="7">
        <v>43690.494155</v>
      </c>
      <c r="L316" s="4">
        <v>713.7</v>
      </c>
      <c r="M316" s="4">
        <v>9.5</v>
      </c>
      <c r="N316" s="4">
        <v>23.33</v>
      </c>
      <c r="O316">
        <v>41.1</v>
      </c>
      <c r="Q316">
        <v>-5.1812737995770304</v>
      </c>
      <c r="R316">
        <v>-2.60289180993348E-4</v>
      </c>
    </row>
    <row r="317" spans="1:18" x14ac:dyDescent="0.2">
      <c r="A317" t="s">
        <v>7</v>
      </c>
      <c r="B317">
        <v>4</v>
      </c>
      <c r="C317" t="s">
        <v>3</v>
      </c>
      <c r="D317" s="2">
        <v>43690</v>
      </c>
      <c r="E317" s="11">
        <v>225</v>
      </c>
      <c r="F317" s="3">
        <v>0.49820601851851848</v>
      </c>
      <c r="G317" s="3">
        <v>0.50167824074074074</v>
      </c>
      <c r="H317" s="13">
        <v>225.49820601851852</v>
      </c>
      <c r="I317" s="13">
        <v>225.50167824074074</v>
      </c>
      <c r="J317" s="13">
        <v>225.49994212962963</v>
      </c>
      <c r="K317" s="7">
        <v>43690.499945000003</v>
      </c>
      <c r="L317" s="4">
        <v>706.2</v>
      </c>
      <c r="M317" s="4"/>
      <c r="N317" s="4">
        <v>23.33</v>
      </c>
      <c r="Q317">
        <v>12.4649588577026</v>
      </c>
      <c r="R317">
        <v>-2.9104555485077099E-4</v>
      </c>
    </row>
    <row r="318" spans="1:18" x14ac:dyDescent="0.2">
      <c r="A318" t="s">
        <v>7</v>
      </c>
      <c r="B318">
        <v>5</v>
      </c>
      <c r="C318" t="s">
        <v>2</v>
      </c>
      <c r="D318" s="2">
        <v>43690</v>
      </c>
      <c r="E318" s="11">
        <v>225</v>
      </c>
      <c r="F318" s="3">
        <v>0.50972222222222219</v>
      </c>
      <c r="G318" s="3">
        <v>0.5131944444444444</v>
      </c>
      <c r="H318" s="13">
        <v>225.50972222222222</v>
      </c>
      <c r="I318" s="13">
        <v>225.51319444444445</v>
      </c>
      <c r="J318" s="13">
        <v>225.51145833333334</v>
      </c>
      <c r="K318" s="7">
        <v>43690.511455</v>
      </c>
      <c r="L318" s="4">
        <v>606.20000000000005</v>
      </c>
      <c r="M318" s="4">
        <v>7.9</v>
      </c>
      <c r="N318" s="4">
        <v>23.33</v>
      </c>
      <c r="O318">
        <v>41.9</v>
      </c>
      <c r="Q318">
        <v>-6.2317974499707303</v>
      </c>
      <c r="R318">
        <v>-1.3165271670797599E-4</v>
      </c>
    </row>
    <row r="319" spans="1:18" x14ac:dyDescent="0.2">
      <c r="A319" t="s">
        <v>7</v>
      </c>
      <c r="B319">
        <v>5</v>
      </c>
      <c r="C319" t="s">
        <v>3</v>
      </c>
      <c r="D319" s="2">
        <v>43690</v>
      </c>
      <c r="E319" s="11">
        <v>225</v>
      </c>
      <c r="F319" s="3">
        <v>0.5161458333333333</v>
      </c>
      <c r="G319" s="3">
        <v>0.51961805555555551</v>
      </c>
      <c r="H319" s="13">
        <v>225.51614583333333</v>
      </c>
      <c r="I319" s="13">
        <v>225.51961805555555</v>
      </c>
      <c r="J319" s="13">
        <v>225.51788194444444</v>
      </c>
      <c r="K319" s="7">
        <v>43690.517885000001</v>
      </c>
      <c r="L319" s="4">
        <v>613.70000000000005</v>
      </c>
      <c r="M319" s="4"/>
      <c r="N319" s="4">
        <v>23.33</v>
      </c>
      <c r="Q319">
        <v>29.4467972779455</v>
      </c>
      <c r="R319">
        <v>-3.3773337467984298E-4</v>
      </c>
    </row>
    <row r="320" spans="1:18" x14ac:dyDescent="0.2">
      <c r="A320" t="s">
        <v>7</v>
      </c>
      <c r="B320">
        <v>1</v>
      </c>
      <c r="C320" t="s">
        <v>2</v>
      </c>
      <c r="D320" s="2">
        <v>43690</v>
      </c>
      <c r="E320" s="11">
        <v>225</v>
      </c>
      <c r="F320" s="3">
        <v>0.55972222222222223</v>
      </c>
      <c r="G320" s="3">
        <v>0.56319444444444444</v>
      </c>
      <c r="H320" s="13">
        <v>225.55972222222223</v>
      </c>
      <c r="I320" s="13">
        <v>225.56319444444443</v>
      </c>
      <c r="J320" s="13">
        <v>225.56145833333335</v>
      </c>
      <c r="K320" s="7">
        <v>43690.561455000003</v>
      </c>
      <c r="L320" s="4">
        <v>776.2</v>
      </c>
      <c r="M320" s="4">
        <v>9.9</v>
      </c>
      <c r="N320" s="4">
        <v>23.33</v>
      </c>
      <c r="O320">
        <v>42.9</v>
      </c>
      <c r="Q320">
        <v>-7.6960739499435196</v>
      </c>
      <c r="R320">
        <v>-2.5929359924297801E-4</v>
      </c>
    </row>
    <row r="321" spans="1:18" x14ac:dyDescent="0.2">
      <c r="A321" t="s">
        <v>7</v>
      </c>
      <c r="B321">
        <v>1</v>
      </c>
      <c r="C321" t="s">
        <v>3</v>
      </c>
      <c r="D321" s="2">
        <v>43690</v>
      </c>
      <c r="E321" s="11">
        <v>225</v>
      </c>
      <c r="F321" s="3">
        <v>0.56545138888888891</v>
      </c>
      <c r="G321" s="3">
        <v>0.56892361111111112</v>
      </c>
      <c r="H321" s="13">
        <v>225.5654513888889</v>
      </c>
      <c r="I321" s="13">
        <v>225.5689236111111</v>
      </c>
      <c r="J321" s="13">
        <v>225.56718749999999</v>
      </c>
      <c r="K321" s="7">
        <v>43690.567185</v>
      </c>
      <c r="L321" s="4">
        <v>866.2</v>
      </c>
      <c r="M321" s="4"/>
      <c r="N321" s="4">
        <v>23.33</v>
      </c>
      <c r="Q321">
        <v>11.233474206311501</v>
      </c>
      <c r="R321">
        <v>-3.50327191210552E-4</v>
      </c>
    </row>
    <row r="322" spans="1:18" x14ac:dyDescent="0.2">
      <c r="A322" t="s">
        <v>7</v>
      </c>
      <c r="B322">
        <v>2</v>
      </c>
      <c r="C322" t="s">
        <v>2</v>
      </c>
      <c r="D322" s="2">
        <v>43690</v>
      </c>
      <c r="E322" s="11">
        <v>225</v>
      </c>
      <c r="F322" s="3">
        <v>0.57112268518518516</v>
      </c>
      <c r="G322" s="3">
        <v>0.57459490740740737</v>
      </c>
      <c r="H322" s="13">
        <v>225.57112268518517</v>
      </c>
      <c r="I322" s="13">
        <v>225.5745949074074</v>
      </c>
      <c r="J322" s="13">
        <v>225.57285879629629</v>
      </c>
      <c r="K322" s="7">
        <v>43690.572854999999</v>
      </c>
      <c r="L322" s="4">
        <v>1123.7</v>
      </c>
      <c r="M322" s="4">
        <v>4.9000000000000004</v>
      </c>
      <c r="N322" s="4">
        <v>23.33</v>
      </c>
      <c r="O322">
        <v>41.9</v>
      </c>
      <c r="Q322">
        <v>-4.6458850714353197</v>
      </c>
      <c r="R322">
        <v>-3.1941137962604303E-4</v>
      </c>
    </row>
    <row r="323" spans="1:18" x14ac:dyDescent="0.2">
      <c r="A323" t="s">
        <v>7</v>
      </c>
      <c r="B323">
        <v>2</v>
      </c>
      <c r="C323" t="s">
        <v>3</v>
      </c>
      <c r="D323" s="2">
        <v>43690</v>
      </c>
      <c r="E323" s="11">
        <v>225</v>
      </c>
      <c r="F323" s="3">
        <v>0.5771412037037037</v>
      </c>
      <c r="G323" s="3">
        <v>0.58061342592592591</v>
      </c>
      <c r="H323" s="13">
        <v>225.57714120370369</v>
      </c>
      <c r="I323" s="13">
        <v>225.58061342592592</v>
      </c>
      <c r="J323" s="13">
        <v>225.5788773148148</v>
      </c>
      <c r="K323" s="7">
        <v>43690.578874999999</v>
      </c>
      <c r="L323" s="4">
        <v>2166.1999999999998</v>
      </c>
      <c r="M323" s="4"/>
      <c r="N323" s="4">
        <v>23.33</v>
      </c>
      <c r="Q323">
        <v>17.131664661794598</v>
      </c>
      <c r="R323">
        <v>-4.19614775775932E-4</v>
      </c>
    </row>
    <row r="324" spans="1:18" x14ac:dyDescent="0.2">
      <c r="A324" t="s">
        <v>7</v>
      </c>
      <c r="B324">
        <v>3</v>
      </c>
      <c r="C324" t="s">
        <v>2</v>
      </c>
      <c r="D324" s="2">
        <v>43690</v>
      </c>
      <c r="E324" s="11">
        <v>225</v>
      </c>
      <c r="F324" s="3">
        <v>0.58287037037037037</v>
      </c>
      <c r="G324" s="3">
        <v>0.58634259259259258</v>
      </c>
      <c r="H324" s="13">
        <v>225.58287037037036</v>
      </c>
      <c r="I324" s="13">
        <v>225.58634259259259</v>
      </c>
      <c r="J324" s="13">
        <v>225.58460648148147</v>
      </c>
      <c r="K324" s="7">
        <v>43690.584604999996</v>
      </c>
      <c r="L324" s="4">
        <v>973.7</v>
      </c>
      <c r="M324" s="4">
        <v>6.5</v>
      </c>
      <c r="N324" s="4">
        <v>25.56</v>
      </c>
      <c r="O324">
        <v>45.3</v>
      </c>
      <c r="Q324">
        <v>-6.9659448156295696</v>
      </c>
      <c r="R324">
        <v>-2.7018981170511501E-4</v>
      </c>
    </row>
    <row r="325" spans="1:18" x14ac:dyDescent="0.2">
      <c r="A325" t="s">
        <v>7</v>
      </c>
      <c r="B325">
        <v>3</v>
      </c>
      <c r="C325" t="s">
        <v>3</v>
      </c>
      <c r="D325" s="2">
        <v>43690</v>
      </c>
      <c r="E325" s="11">
        <v>225</v>
      </c>
      <c r="F325" s="3">
        <v>0.58900462962962963</v>
      </c>
      <c r="G325" s="3">
        <v>0.59247685185185184</v>
      </c>
      <c r="H325" s="13">
        <v>225.58900462962964</v>
      </c>
      <c r="I325" s="13">
        <v>225.59247685185184</v>
      </c>
      <c r="J325" s="13">
        <v>225.59074074074073</v>
      </c>
      <c r="K325" s="7">
        <v>43690.59074</v>
      </c>
      <c r="L325" s="4">
        <v>2091.1999999999998</v>
      </c>
      <c r="M325" s="4"/>
      <c r="N325" s="4">
        <v>25.56</v>
      </c>
      <c r="Q325">
        <v>34.377660718209398</v>
      </c>
      <c r="R325">
        <v>-3.2687417302036301E-4</v>
      </c>
    </row>
    <row r="326" spans="1:18" x14ac:dyDescent="0.2">
      <c r="A326" t="s">
        <v>7</v>
      </c>
      <c r="B326">
        <v>4</v>
      </c>
      <c r="C326" t="s">
        <v>2</v>
      </c>
      <c r="D326" s="2">
        <v>43690</v>
      </c>
      <c r="E326" s="11">
        <v>225</v>
      </c>
      <c r="F326" s="3">
        <v>0.59606481481481477</v>
      </c>
      <c r="G326" s="3">
        <v>0.59953703703703709</v>
      </c>
      <c r="H326" s="13">
        <v>225.59606481481481</v>
      </c>
      <c r="I326" s="13">
        <v>225.59953703703704</v>
      </c>
      <c r="J326" s="13">
        <v>225.59780092592592</v>
      </c>
      <c r="K326" s="7">
        <v>43690.597800000003</v>
      </c>
      <c r="L326" s="4">
        <v>1986.2</v>
      </c>
      <c r="M326" s="4">
        <v>10.1</v>
      </c>
      <c r="N326" s="4">
        <v>25.56</v>
      </c>
      <c r="O326">
        <v>44.3</v>
      </c>
      <c r="Q326">
        <v>-14.2429209786504</v>
      </c>
      <c r="R326">
        <v>-2.49531097806347E-4</v>
      </c>
    </row>
    <row r="327" spans="1:18" x14ac:dyDescent="0.2">
      <c r="A327" t="s">
        <v>7</v>
      </c>
      <c r="B327">
        <v>4</v>
      </c>
      <c r="C327" t="s">
        <v>3</v>
      </c>
      <c r="D327" s="2">
        <v>43690</v>
      </c>
      <c r="E327" s="11">
        <v>225</v>
      </c>
      <c r="F327" s="3">
        <v>0.602025462962963</v>
      </c>
      <c r="G327" s="3">
        <v>0.60549768518518521</v>
      </c>
      <c r="H327" s="13">
        <v>225.60202546296296</v>
      </c>
      <c r="I327" s="13">
        <v>225.60549768518518</v>
      </c>
      <c r="J327" s="13">
        <v>225.60376157407407</v>
      </c>
      <c r="K327" s="7">
        <v>43690.603765</v>
      </c>
      <c r="L327" s="4">
        <v>1831.2</v>
      </c>
      <c r="M327" s="4"/>
      <c r="N327" s="4">
        <v>25.56</v>
      </c>
      <c r="Q327">
        <v>15.2822343844618</v>
      </c>
      <c r="R327">
        <v>-4.2612748891615202E-4</v>
      </c>
    </row>
    <row r="328" spans="1:18" x14ac:dyDescent="0.2">
      <c r="A328" t="s">
        <v>7</v>
      </c>
      <c r="B328">
        <v>5</v>
      </c>
      <c r="C328" t="s">
        <v>2</v>
      </c>
      <c r="D328" s="2">
        <v>43690</v>
      </c>
      <c r="E328" s="11">
        <v>225</v>
      </c>
      <c r="F328" s="3">
        <v>0.60763888888888895</v>
      </c>
      <c r="G328" s="3">
        <v>0.61111111111111105</v>
      </c>
      <c r="H328" s="13">
        <v>225.60763888888889</v>
      </c>
      <c r="I328" s="13">
        <v>225.61111111111111</v>
      </c>
      <c r="J328" s="13">
        <v>225.609375</v>
      </c>
      <c r="K328" s="7">
        <v>43690.609375</v>
      </c>
      <c r="L328" s="4">
        <v>896.2</v>
      </c>
      <c r="M328" s="4">
        <v>6.3</v>
      </c>
      <c r="N328" s="4">
        <v>25.56</v>
      </c>
      <c r="O328">
        <v>39</v>
      </c>
      <c r="Q328">
        <v>-3.9565476698878501</v>
      </c>
      <c r="R328">
        <v>-2.4750411908459999E-4</v>
      </c>
    </row>
    <row r="329" spans="1:18" x14ac:dyDescent="0.2">
      <c r="A329" t="s">
        <v>7</v>
      </c>
      <c r="B329">
        <v>5</v>
      </c>
      <c r="C329" t="s">
        <v>3</v>
      </c>
      <c r="D329" s="2">
        <v>43690</v>
      </c>
      <c r="E329" s="11">
        <v>225</v>
      </c>
      <c r="F329" s="3">
        <v>0.61371527777777779</v>
      </c>
      <c r="G329" s="3">
        <v>0.6171875</v>
      </c>
      <c r="H329" s="13">
        <v>225.61371527777777</v>
      </c>
      <c r="I329" s="13">
        <v>225.6171875</v>
      </c>
      <c r="J329" s="13">
        <v>225.61545138888889</v>
      </c>
      <c r="K329" s="7">
        <v>43690.615454999999</v>
      </c>
      <c r="L329" s="4">
        <v>728.7</v>
      </c>
      <c r="M329" s="4"/>
      <c r="N329" s="4">
        <v>25.56</v>
      </c>
      <c r="Q329">
        <v>39.8037310719657</v>
      </c>
      <c r="R329">
        <v>-4.2991553069916501E-4</v>
      </c>
    </row>
    <row r="330" spans="1:18" x14ac:dyDescent="0.2">
      <c r="A330" t="s">
        <v>7</v>
      </c>
      <c r="B330">
        <v>1</v>
      </c>
      <c r="C330" t="s">
        <v>2</v>
      </c>
      <c r="D330" s="2">
        <v>43698</v>
      </c>
      <c r="E330" s="11">
        <v>233</v>
      </c>
      <c r="F330" s="3">
        <v>0.44496527777777778</v>
      </c>
      <c r="G330" s="3">
        <v>0.4519097222222222</v>
      </c>
      <c r="H330" s="13">
        <v>233.44496527777778</v>
      </c>
      <c r="I330" s="13">
        <v>233.45190972222221</v>
      </c>
      <c r="J330" s="13">
        <v>233.44843750000001</v>
      </c>
      <c r="K330" s="7">
        <v>43698.44844</v>
      </c>
      <c r="L330" s="4">
        <v>568.70000000000005</v>
      </c>
      <c r="M330" s="4">
        <v>23.4</v>
      </c>
      <c r="N330" s="4">
        <v>26.67</v>
      </c>
      <c r="O330">
        <v>42.1</v>
      </c>
      <c r="P330">
        <v>0.86</v>
      </c>
      <c r="Q330">
        <v>5.6838233003049803</v>
      </c>
      <c r="R330">
        <v>-4.5355628814071697E-5</v>
      </c>
    </row>
    <row r="331" spans="1:18" x14ac:dyDescent="0.2">
      <c r="A331" t="s">
        <v>7</v>
      </c>
      <c r="B331">
        <v>1</v>
      </c>
      <c r="C331" t="s">
        <v>3</v>
      </c>
      <c r="D331" s="2">
        <v>43698</v>
      </c>
      <c r="E331" s="11">
        <v>233</v>
      </c>
      <c r="F331" s="3">
        <v>0.45034722222222223</v>
      </c>
      <c r="G331" s="3">
        <v>0.4538194444444445</v>
      </c>
      <c r="H331" s="13">
        <v>233.45034722222223</v>
      </c>
      <c r="I331" s="13">
        <v>233.45381944444443</v>
      </c>
      <c r="J331" s="13">
        <v>233.45208333333335</v>
      </c>
      <c r="K331" s="7">
        <v>43698.452084999997</v>
      </c>
      <c r="L331" s="4">
        <v>591.20000000000005</v>
      </c>
      <c r="M331" s="4"/>
      <c r="N331" s="4">
        <v>26.67</v>
      </c>
      <c r="Q331">
        <v>11.1686575027271</v>
      </c>
      <c r="R331">
        <v>6.7603305481832006E-5</v>
      </c>
    </row>
    <row r="332" spans="1:18" x14ac:dyDescent="0.2">
      <c r="A332" t="s">
        <v>7</v>
      </c>
      <c r="B332">
        <v>2</v>
      </c>
      <c r="C332" t="s">
        <v>2</v>
      </c>
      <c r="D332" s="2">
        <v>43698</v>
      </c>
      <c r="E332" s="11">
        <v>233</v>
      </c>
      <c r="F332" s="3">
        <v>0.45572916666666669</v>
      </c>
      <c r="G332" s="3">
        <v>0.4592013888888889</v>
      </c>
      <c r="H332" s="13">
        <v>233.45572916666666</v>
      </c>
      <c r="I332" s="13">
        <v>233.45920138888889</v>
      </c>
      <c r="J332" s="13">
        <v>233.45746527777777</v>
      </c>
      <c r="K332" s="7">
        <v>43698.457465</v>
      </c>
      <c r="L332" s="4">
        <v>463.7</v>
      </c>
      <c r="M332" s="4">
        <v>19.8</v>
      </c>
      <c r="N332" s="4">
        <v>26.67</v>
      </c>
      <c r="O332">
        <v>42.9</v>
      </c>
      <c r="P332">
        <v>0.88</v>
      </c>
      <c r="Q332">
        <v>3.19648598150523</v>
      </c>
      <c r="R332">
        <v>2.6549194918594298E-4</v>
      </c>
    </row>
    <row r="333" spans="1:18" x14ac:dyDescent="0.2">
      <c r="A333" t="s">
        <v>7</v>
      </c>
      <c r="B333">
        <v>2</v>
      </c>
      <c r="C333" t="s">
        <v>3</v>
      </c>
      <c r="D333" s="2">
        <v>43698</v>
      </c>
      <c r="E333" s="11">
        <v>233</v>
      </c>
      <c r="F333" s="3">
        <v>0.46122685185185186</v>
      </c>
      <c r="G333" s="3">
        <v>0.46469907407407413</v>
      </c>
      <c r="H333" s="13">
        <v>233.46122685185185</v>
      </c>
      <c r="I333" s="13">
        <v>233.46469907407408</v>
      </c>
      <c r="J333" s="13">
        <v>233.46296296296296</v>
      </c>
      <c r="K333" s="7">
        <v>43698.462964999999</v>
      </c>
      <c r="L333" s="4">
        <v>448.7</v>
      </c>
      <c r="M333" s="4"/>
      <c r="N333" s="4">
        <v>26.67</v>
      </c>
      <c r="Q333">
        <v>14.995928135929599</v>
      </c>
      <c r="R333">
        <v>-4.0865906238168903E-4</v>
      </c>
    </row>
    <row r="334" spans="1:18" x14ac:dyDescent="0.2">
      <c r="A334" t="s">
        <v>7</v>
      </c>
      <c r="B334">
        <v>3</v>
      </c>
      <c r="C334" t="s">
        <v>2</v>
      </c>
      <c r="D334" s="2">
        <v>43698</v>
      </c>
      <c r="E334" s="11">
        <v>233</v>
      </c>
      <c r="F334" s="3">
        <v>0.4670138888888889</v>
      </c>
      <c r="G334" s="3">
        <v>0.4704861111111111</v>
      </c>
      <c r="H334" s="13">
        <v>233.46701388888889</v>
      </c>
      <c r="I334" s="13">
        <v>233.47048611111111</v>
      </c>
      <c r="J334" s="13">
        <v>233.46875</v>
      </c>
      <c r="K334" s="7">
        <v>43698.46875</v>
      </c>
      <c r="L334" s="4">
        <v>283.7</v>
      </c>
      <c r="M334" s="4">
        <v>19.600000000000001</v>
      </c>
      <c r="N334" s="4">
        <v>26.67</v>
      </c>
      <c r="O334">
        <v>42.2</v>
      </c>
      <c r="P334">
        <v>0.83</v>
      </c>
      <c r="Q334">
        <v>10.7216819380271</v>
      </c>
    </row>
    <row r="335" spans="1:18" x14ac:dyDescent="0.2">
      <c r="A335" t="s">
        <v>7</v>
      </c>
      <c r="B335">
        <v>3</v>
      </c>
      <c r="C335" t="s">
        <v>3</v>
      </c>
      <c r="D335" s="2">
        <v>43698</v>
      </c>
      <c r="E335" s="11">
        <v>233</v>
      </c>
      <c r="F335" s="3">
        <v>0.47233796296296293</v>
      </c>
      <c r="G335" s="3">
        <v>0.4758101851851852</v>
      </c>
      <c r="H335" s="13">
        <v>233.47233796296297</v>
      </c>
      <c r="I335" s="13">
        <v>233.4758101851852</v>
      </c>
      <c r="J335" s="13">
        <v>233.47407407407408</v>
      </c>
      <c r="K335" s="7">
        <v>43698.474075000006</v>
      </c>
      <c r="L335" s="4">
        <v>353.7</v>
      </c>
      <c r="M335" s="4"/>
      <c r="N335" s="4">
        <v>26.67</v>
      </c>
      <c r="Q335">
        <v>24.0636710829945</v>
      </c>
    </row>
    <row r="336" spans="1:18" x14ac:dyDescent="0.2">
      <c r="A336" t="s">
        <v>7</v>
      </c>
      <c r="B336">
        <v>4</v>
      </c>
      <c r="C336" t="s">
        <v>2</v>
      </c>
      <c r="D336" s="2">
        <v>43698</v>
      </c>
      <c r="E336" s="11">
        <v>233</v>
      </c>
      <c r="F336" s="3">
        <v>0.49670138888888887</v>
      </c>
      <c r="G336" s="3">
        <v>0.50017361111111114</v>
      </c>
      <c r="H336" s="13">
        <v>233.49670138888888</v>
      </c>
      <c r="I336" s="13">
        <v>233.50017361111111</v>
      </c>
      <c r="J336" s="13">
        <v>233.49843749999999</v>
      </c>
      <c r="K336" s="7">
        <v>43698.498435000001</v>
      </c>
      <c r="L336" s="4">
        <v>918.7</v>
      </c>
      <c r="M336" s="4">
        <v>21.5</v>
      </c>
      <c r="N336" s="4">
        <v>26.67</v>
      </c>
      <c r="O336">
        <v>46.4</v>
      </c>
      <c r="P336">
        <v>0.88</v>
      </c>
      <c r="Q336">
        <v>-5.0708103252602603</v>
      </c>
      <c r="R336">
        <v>-4.5355628814071697E-5</v>
      </c>
    </row>
    <row r="337" spans="1:18" x14ac:dyDescent="0.2">
      <c r="A337" t="s">
        <v>7</v>
      </c>
      <c r="B337">
        <v>4</v>
      </c>
      <c r="C337" t="s">
        <v>3</v>
      </c>
      <c r="D337" s="2">
        <v>43698</v>
      </c>
      <c r="E337" s="11">
        <v>233</v>
      </c>
      <c r="F337" s="3">
        <v>0.50347222222222221</v>
      </c>
      <c r="G337" s="3">
        <v>0.50694444444444442</v>
      </c>
      <c r="H337" s="13">
        <v>233.50347222222223</v>
      </c>
      <c r="I337" s="13">
        <v>233.50694444444446</v>
      </c>
      <c r="J337" s="13">
        <v>233.50520833333334</v>
      </c>
      <c r="K337" s="7">
        <v>43698.505205000001</v>
      </c>
      <c r="L337" s="4">
        <v>1286.2</v>
      </c>
      <c r="M337" s="4"/>
      <c r="N337" s="4">
        <v>26.67</v>
      </c>
      <c r="Q337">
        <v>21.6997639350875</v>
      </c>
      <c r="R337">
        <v>6.7603305481832006E-5</v>
      </c>
    </row>
    <row r="338" spans="1:18" x14ac:dyDescent="0.2">
      <c r="A338" t="s">
        <v>7</v>
      </c>
      <c r="B338">
        <v>5</v>
      </c>
      <c r="C338" t="s">
        <v>2</v>
      </c>
      <c r="D338" s="2">
        <v>43698</v>
      </c>
      <c r="E338" s="11">
        <v>233</v>
      </c>
      <c r="F338" s="3">
        <v>0.5087962962962963</v>
      </c>
      <c r="G338" s="3">
        <v>0.51226851851851851</v>
      </c>
      <c r="H338" s="13">
        <v>233.50879629629631</v>
      </c>
      <c r="I338" s="13">
        <v>233.51226851851851</v>
      </c>
      <c r="J338" s="13">
        <v>233.51053240740742</v>
      </c>
      <c r="K338" s="7">
        <v>43698.510535000001</v>
      </c>
      <c r="L338" s="4">
        <v>983.7</v>
      </c>
      <c r="M338" s="4">
        <v>19.399999999999999</v>
      </c>
      <c r="N338" s="4">
        <v>25</v>
      </c>
      <c r="O338">
        <v>39.9</v>
      </c>
      <c r="P338">
        <v>0.87</v>
      </c>
      <c r="Q338">
        <v>-22.4852166823411</v>
      </c>
      <c r="R338">
        <v>2.6549194918594298E-4</v>
      </c>
    </row>
    <row r="339" spans="1:18" x14ac:dyDescent="0.2">
      <c r="A339" t="s">
        <v>7</v>
      </c>
      <c r="B339">
        <v>5</v>
      </c>
      <c r="C339" t="s">
        <v>3</v>
      </c>
      <c r="D339" s="2">
        <v>43698</v>
      </c>
      <c r="E339" s="11">
        <v>233</v>
      </c>
      <c r="F339" s="3">
        <v>0.52071759259259254</v>
      </c>
      <c r="G339" s="3">
        <v>0.52418981481481486</v>
      </c>
      <c r="H339" s="13">
        <v>233.5207175925926</v>
      </c>
      <c r="I339" s="13">
        <v>233.5241898148148</v>
      </c>
      <c r="J339" s="13">
        <v>233.52245370370372</v>
      </c>
      <c r="K339" s="7">
        <v>43698.522454999998</v>
      </c>
      <c r="L339" s="4">
        <v>1051.2</v>
      </c>
      <c r="M339" s="4"/>
      <c r="N339" s="4">
        <v>25</v>
      </c>
      <c r="Q339">
        <v>84.060499286159896</v>
      </c>
      <c r="R339">
        <v>-4.0865906238168903E-4</v>
      </c>
    </row>
    <row r="340" spans="1:18" x14ac:dyDescent="0.2">
      <c r="A340" t="s">
        <v>7</v>
      </c>
      <c r="B340">
        <v>1</v>
      </c>
      <c r="C340" t="s">
        <v>2</v>
      </c>
      <c r="D340" s="2">
        <v>43698</v>
      </c>
      <c r="E340" s="11">
        <v>233</v>
      </c>
      <c r="F340" s="3">
        <v>0.58651620370370372</v>
      </c>
      <c r="G340" s="3">
        <v>0.59021990740740737</v>
      </c>
      <c r="H340" s="13">
        <v>233.5865162037037</v>
      </c>
      <c r="I340" s="13">
        <v>233.5902199074074</v>
      </c>
      <c r="J340" s="13">
        <v>233.58836805555555</v>
      </c>
      <c r="K340" s="7">
        <v>43698.588369999998</v>
      </c>
      <c r="L340" s="4">
        <v>1453.7</v>
      </c>
      <c r="M340" s="4">
        <v>22.5</v>
      </c>
      <c r="N340" s="4">
        <v>26.67</v>
      </c>
      <c r="O340">
        <v>38.700000000000003</v>
      </c>
      <c r="P340">
        <v>0.85</v>
      </c>
      <c r="Q340">
        <v>-7.6568975049999999</v>
      </c>
      <c r="R340" s="6">
        <v>8.3499999999999997E-5</v>
      </c>
    </row>
    <row r="341" spans="1:18" x14ac:dyDescent="0.2">
      <c r="A341" t="s">
        <v>7</v>
      </c>
      <c r="B341">
        <v>1</v>
      </c>
      <c r="C341" t="s">
        <v>3</v>
      </c>
      <c r="D341" s="2">
        <v>43698</v>
      </c>
      <c r="E341" s="11">
        <v>233</v>
      </c>
      <c r="F341" s="3">
        <v>0.59212962962962956</v>
      </c>
      <c r="G341" s="3">
        <v>0.59560185185185188</v>
      </c>
      <c r="H341" s="13">
        <v>233.59212962962962</v>
      </c>
      <c r="I341" s="13">
        <v>233.59560185185185</v>
      </c>
      <c r="J341" s="13">
        <v>233.59386574074074</v>
      </c>
      <c r="K341" s="7">
        <v>43698.593865000003</v>
      </c>
      <c r="L341" s="4">
        <v>1221.2</v>
      </c>
      <c r="M341" s="4"/>
      <c r="N341" s="4">
        <v>26.67</v>
      </c>
      <c r="Q341">
        <v>10.92465365</v>
      </c>
      <c r="R341" s="6">
        <v>-5.2500000000000002E-5</v>
      </c>
    </row>
    <row r="342" spans="1:18" x14ac:dyDescent="0.2">
      <c r="A342" t="s">
        <v>7</v>
      </c>
      <c r="B342">
        <v>2</v>
      </c>
      <c r="C342" t="s">
        <v>2</v>
      </c>
      <c r="D342" s="2">
        <v>43698</v>
      </c>
      <c r="E342" s="11">
        <v>233</v>
      </c>
      <c r="F342" s="3">
        <v>0.59791666666666665</v>
      </c>
      <c r="G342" s="3">
        <v>0.60138888888888886</v>
      </c>
      <c r="H342" s="13">
        <v>233.59791666666666</v>
      </c>
      <c r="I342" s="13">
        <v>233.60138888888889</v>
      </c>
      <c r="J342" s="13">
        <v>233.59965277777778</v>
      </c>
      <c r="K342" s="7">
        <v>43698.599654999998</v>
      </c>
      <c r="L342" s="4">
        <v>1833.7</v>
      </c>
      <c r="M342" s="4">
        <v>20.2</v>
      </c>
      <c r="N342" s="4">
        <v>26.67</v>
      </c>
      <c r="O342">
        <v>32.5</v>
      </c>
      <c r="P342">
        <v>0.87</v>
      </c>
      <c r="Q342">
        <v>-4.6938536879999999</v>
      </c>
      <c r="R342">
        <v>-1.7809999999999999E-4</v>
      </c>
    </row>
    <row r="343" spans="1:18" x14ac:dyDescent="0.2">
      <c r="A343" t="s">
        <v>7</v>
      </c>
      <c r="B343">
        <v>2</v>
      </c>
      <c r="C343" t="s">
        <v>3</v>
      </c>
      <c r="D343" s="2">
        <v>43698</v>
      </c>
      <c r="E343" s="11">
        <v>233</v>
      </c>
      <c r="F343" s="3">
        <v>0.60312500000000002</v>
      </c>
      <c r="G343" s="3">
        <v>0.60659722222222223</v>
      </c>
      <c r="H343" s="13">
        <v>233.60312500000001</v>
      </c>
      <c r="I343" s="13">
        <v>233.60659722222223</v>
      </c>
      <c r="J343" s="13">
        <v>233.60486111111112</v>
      </c>
      <c r="K343" s="7">
        <v>43698.604865000001</v>
      </c>
      <c r="L343" s="4">
        <v>1953.7</v>
      </c>
      <c r="M343" s="4"/>
      <c r="N343" s="4">
        <v>26.67</v>
      </c>
      <c r="Q343">
        <v>15.45910439</v>
      </c>
      <c r="R343">
        <v>-1.83425E-4</v>
      </c>
    </row>
    <row r="344" spans="1:18" x14ac:dyDescent="0.2">
      <c r="A344" t="s">
        <v>7</v>
      </c>
      <c r="B344">
        <v>3</v>
      </c>
      <c r="C344" t="s">
        <v>2</v>
      </c>
      <c r="D344" s="2">
        <v>43698</v>
      </c>
      <c r="E344" s="11">
        <v>233</v>
      </c>
      <c r="F344" s="3">
        <v>0.6083912037037037</v>
      </c>
      <c r="G344" s="3">
        <v>0.61186342592592591</v>
      </c>
      <c r="H344" s="13">
        <v>233.60839120370369</v>
      </c>
      <c r="I344" s="13">
        <v>233.61186342592592</v>
      </c>
      <c r="J344" s="13">
        <v>233.6101273148148</v>
      </c>
      <c r="K344" s="7">
        <v>43698.610124999999</v>
      </c>
      <c r="L344" s="4">
        <v>1488.7</v>
      </c>
      <c r="M344" s="4">
        <v>20.5</v>
      </c>
      <c r="N344" s="4">
        <v>27.22</v>
      </c>
      <c r="O344">
        <v>40.5</v>
      </c>
      <c r="P344">
        <v>0.84</v>
      </c>
      <c r="Q344">
        <v>1.87298092</v>
      </c>
      <c r="R344" s="6">
        <v>1.7399999999999999E-5</v>
      </c>
    </row>
    <row r="345" spans="1:18" x14ac:dyDescent="0.2">
      <c r="A345" t="s">
        <v>7</v>
      </c>
      <c r="B345">
        <v>3</v>
      </c>
      <c r="C345" t="s">
        <v>3</v>
      </c>
      <c r="D345" s="2">
        <v>43698</v>
      </c>
      <c r="E345" s="11">
        <v>233</v>
      </c>
      <c r="F345" s="3">
        <v>0.61464120370370368</v>
      </c>
      <c r="G345" s="3">
        <v>0.61811342592592589</v>
      </c>
      <c r="H345" s="13">
        <v>233.61464120370371</v>
      </c>
      <c r="I345" s="13">
        <v>233.61811342592591</v>
      </c>
      <c r="J345" s="13">
        <v>233.61637731481483</v>
      </c>
      <c r="K345" s="7">
        <v>43698.616374999998</v>
      </c>
      <c r="L345" s="4">
        <v>1711.2</v>
      </c>
      <c r="M345" s="4"/>
      <c r="N345" s="4">
        <v>27.22</v>
      </c>
      <c r="Q345">
        <v>32.28603743</v>
      </c>
      <c r="R345">
        <v>-1.14935E-4</v>
      </c>
    </row>
    <row r="346" spans="1:18" x14ac:dyDescent="0.2">
      <c r="A346" t="s">
        <v>7</v>
      </c>
      <c r="B346">
        <v>4</v>
      </c>
      <c r="C346" t="s">
        <v>2</v>
      </c>
      <c r="D346" s="2">
        <v>43698</v>
      </c>
      <c r="E346" s="11">
        <v>233</v>
      </c>
      <c r="F346" s="3">
        <v>0.62089120370370365</v>
      </c>
      <c r="G346" s="3">
        <v>0.62436342592592597</v>
      </c>
      <c r="H346" s="13">
        <v>233.62089120370371</v>
      </c>
      <c r="I346" s="13">
        <v>233.62436342592594</v>
      </c>
      <c r="J346" s="13">
        <v>233.62262731481482</v>
      </c>
      <c r="K346" s="7">
        <v>43698.622625000004</v>
      </c>
      <c r="L346" s="4">
        <v>1611.2</v>
      </c>
      <c r="M346" s="4">
        <v>22.4</v>
      </c>
      <c r="N346" s="4">
        <v>27.22</v>
      </c>
      <c r="O346">
        <v>39.5</v>
      </c>
      <c r="P346">
        <v>0.88</v>
      </c>
      <c r="Q346">
        <v>-16.929883090000001</v>
      </c>
      <c r="R346" s="6">
        <v>-3.4600000000000001E-5</v>
      </c>
    </row>
    <row r="347" spans="1:18" x14ac:dyDescent="0.2">
      <c r="A347" t="s">
        <v>7</v>
      </c>
      <c r="B347">
        <v>4</v>
      </c>
      <c r="C347" t="s">
        <v>3</v>
      </c>
      <c r="D347" s="2">
        <v>43698</v>
      </c>
      <c r="E347" s="11">
        <v>233</v>
      </c>
      <c r="F347" s="3">
        <v>0.62667824074074074</v>
      </c>
      <c r="G347" s="3">
        <v>0.63015046296296295</v>
      </c>
      <c r="H347" s="13">
        <v>233.62667824074074</v>
      </c>
      <c r="I347" s="13">
        <v>233.63015046296297</v>
      </c>
      <c r="J347" s="13">
        <v>233.62841435185186</v>
      </c>
      <c r="K347" s="7">
        <v>43698.628414999999</v>
      </c>
      <c r="L347" s="4">
        <v>1806.2</v>
      </c>
      <c r="M347" s="4"/>
      <c r="N347" s="4">
        <v>27.22</v>
      </c>
      <c r="Q347">
        <v>13.08228306</v>
      </c>
      <c r="R347" s="6">
        <v>-4.74E-5</v>
      </c>
    </row>
    <row r="348" spans="1:18" x14ac:dyDescent="0.2">
      <c r="A348" t="s">
        <v>7</v>
      </c>
      <c r="B348">
        <v>5</v>
      </c>
      <c r="C348" t="s">
        <v>2</v>
      </c>
      <c r="D348" s="2">
        <v>43698</v>
      </c>
      <c r="E348" s="11">
        <v>233</v>
      </c>
      <c r="F348" s="3">
        <v>0.63900462962962956</v>
      </c>
      <c r="G348" s="3">
        <v>0.64247685185185188</v>
      </c>
      <c r="H348" s="13">
        <v>233.63900462962962</v>
      </c>
      <c r="I348" s="13">
        <v>233.64247685185185</v>
      </c>
      <c r="J348" s="13">
        <v>233.64074074074074</v>
      </c>
      <c r="K348" s="7">
        <v>43698.640740000003</v>
      </c>
      <c r="L348" s="4">
        <v>798.7</v>
      </c>
      <c r="M348" s="4">
        <v>20.9</v>
      </c>
      <c r="N348" s="4">
        <v>27.22</v>
      </c>
      <c r="O348">
        <v>36.4</v>
      </c>
      <c r="P348">
        <v>0.87</v>
      </c>
      <c r="Q348">
        <v>0.29408647199999999</v>
      </c>
      <c r="R348">
        <v>-1.1121299999999999E-4</v>
      </c>
    </row>
    <row r="349" spans="1:18" x14ac:dyDescent="0.2">
      <c r="A349" t="s">
        <v>7</v>
      </c>
      <c r="B349">
        <v>5</v>
      </c>
      <c r="C349" t="s">
        <v>3</v>
      </c>
      <c r="D349" s="2">
        <v>43698</v>
      </c>
      <c r="E349" s="11">
        <v>233</v>
      </c>
      <c r="F349" s="3">
        <v>0.64571759259259254</v>
      </c>
      <c r="G349" s="3">
        <v>0.6479166666666667</v>
      </c>
      <c r="H349" s="13">
        <v>233.6457175925926</v>
      </c>
      <c r="I349" s="13">
        <v>233.64791666666667</v>
      </c>
      <c r="J349" s="13">
        <v>233.64681712962965</v>
      </c>
      <c r="K349" s="7">
        <v>43698.646820000002</v>
      </c>
      <c r="L349" s="4">
        <v>756.2</v>
      </c>
      <c r="M349" s="4"/>
      <c r="N349" s="4">
        <v>27.22</v>
      </c>
      <c r="Q349">
        <v>41.294223770000002</v>
      </c>
      <c r="R349" s="6">
        <v>-4.9799999999999998E-5</v>
      </c>
    </row>
    <row r="350" spans="1:18" x14ac:dyDescent="0.2">
      <c r="A350" t="s">
        <v>7</v>
      </c>
      <c r="B350">
        <v>1</v>
      </c>
      <c r="C350" t="s">
        <v>4</v>
      </c>
      <c r="D350" s="2">
        <v>43705</v>
      </c>
      <c r="E350" s="11">
        <v>240</v>
      </c>
      <c r="F350" s="3">
        <v>0.42679398148148145</v>
      </c>
      <c r="G350" s="3">
        <v>0.43026620370370372</v>
      </c>
      <c r="H350" s="13">
        <v>240.4267939814815</v>
      </c>
      <c r="I350" s="13">
        <v>240.4302662037037</v>
      </c>
      <c r="J350" s="13">
        <v>240.42853009259261</v>
      </c>
      <c r="K350" s="7">
        <v>43705.428529999997</v>
      </c>
      <c r="L350" s="4">
        <v>1253.7</v>
      </c>
      <c r="M350" s="4">
        <v>14.5</v>
      </c>
      <c r="N350">
        <v>22.78</v>
      </c>
      <c r="O350">
        <v>38.1</v>
      </c>
      <c r="P350">
        <v>0.83</v>
      </c>
      <c r="Q350">
        <v>-6.05290135352337</v>
      </c>
      <c r="R350">
        <v>-3.7911093532520701E-5</v>
      </c>
    </row>
    <row r="351" spans="1:18" x14ac:dyDescent="0.2">
      <c r="A351" t="s">
        <v>7</v>
      </c>
      <c r="B351">
        <v>1</v>
      </c>
      <c r="C351" t="s">
        <v>3</v>
      </c>
      <c r="D351" s="2">
        <v>43705</v>
      </c>
      <c r="E351" s="11">
        <v>240</v>
      </c>
      <c r="F351" s="3">
        <v>0.43304398148148149</v>
      </c>
      <c r="G351" s="3">
        <v>0.43651620370370375</v>
      </c>
      <c r="H351" s="13">
        <v>240.43304398148149</v>
      </c>
      <c r="I351" s="13">
        <v>240.43651620370369</v>
      </c>
      <c r="J351" s="13">
        <v>240.43478009259258</v>
      </c>
      <c r="K351" s="7">
        <v>43705.434780000003</v>
      </c>
      <c r="L351" s="4">
        <v>1588.7</v>
      </c>
      <c r="M351" s="4"/>
      <c r="N351">
        <v>22.78</v>
      </c>
      <c r="Q351">
        <v>10.6256742986397</v>
      </c>
      <c r="R351">
        <v>-2.8439640059195101E-5</v>
      </c>
    </row>
    <row r="352" spans="1:18" x14ac:dyDescent="0.2">
      <c r="A352" t="s">
        <v>7</v>
      </c>
      <c r="B352">
        <v>2</v>
      </c>
      <c r="C352" t="s">
        <v>4</v>
      </c>
      <c r="D352" s="2">
        <v>43705</v>
      </c>
      <c r="E352" s="11">
        <v>240</v>
      </c>
      <c r="F352" s="3">
        <v>0.4394675925925926</v>
      </c>
      <c r="G352" s="3">
        <v>0.44293981481481487</v>
      </c>
      <c r="H352" s="13">
        <v>240.43946759259259</v>
      </c>
      <c r="I352" s="13">
        <v>240.44293981481482</v>
      </c>
      <c r="J352" s="13">
        <v>240.44120370370371</v>
      </c>
      <c r="K352" s="7">
        <v>43705.441204999996</v>
      </c>
      <c r="L352" s="4">
        <v>1436.2</v>
      </c>
      <c r="M352" s="4">
        <v>14.1</v>
      </c>
      <c r="N352">
        <v>22.78</v>
      </c>
      <c r="O352">
        <v>44.8</v>
      </c>
      <c r="P352">
        <v>0.85</v>
      </c>
      <c r="Q352">
        <v>-8.4312823455043802</v>
      </c>
      <c r="R352">
        <v>-9.0087148625416099E-5</v>
      </c>
    </row>
    <row r="353" spans="1:18" x14ac:dyDescent="0.2">
      <c r="A353" t="s">
        <v>7</v>
      </c>
      <c r="B353">
        <v>2</v>
      </c>
      <c r="C353" t="s">
        <v>3</v>
      </c>
      <c r="D353" s="2">
        <v>43705</v>
      </c>
      <c r="E353" s="11">
        <v>240</v>
      </c>
      <c r="F353" s="3">
        <v>0.44612268518518516</v>
      </c>
      <c r="G353" s="3">
        <v>0.44959490740740743</v>
      </c>
      <c r="H353" s="13">
        <v>240.44612268518517</v>
      </c>
      <c r="I353" s="13">
        <v>240.4495949074074</v>
      </c>
      <c r="J353" s="13">
        <v>240.44785879629629</v>
      </c>
      <c r="K353" s="7">
        <v>43705.447854999999</v>
      </c>
      <c r="L353" s="4">
        <v>1528.7</v>
      </c>
      <c r="M353" s="4"/>
      <c r="N353">
        <v>22.78</v>
      </c>
      <c r="Q353">
        <v>8.39786463905644</v>
      </c>
      <c r="R353">
        <v>-1.88805234689721E-4</v>
      </c>
    </row>
    <row r="354" spans="1:18" x14ac:dyDescent="0.2">
      <c r="A354" t="s">
        <v>7</v>
      </c>
      <c r="B354">
        <v>3</v>
      </c>
      <c r="C354" t="s">
        <v>4</v>
      </c>
      <c r="D354" s="2">
        <v>43705</v>
      </c>
      <c r="E354" s="11">
        <v>240</v>
      </c>
      <c r="F354" s="3">
        <v>0.45208333333333334</v>
      </c>
      <c r="G354" s="3">
        <v>0.45555555555555555</v>
      </c>
      <c r="H354" s="13">
        <v>240.45208333333332</v>
      </c>
      <c r="I354" s="13">
        <v>240.45555555555555</v>
      </c>
      <c r="J354" s="13">
        <v>240.45381944444443</v>
      </c>
      <c r="K354" s="7">
        <v>43705.453820000002</v>
      </c>
      <c r="L354" s="4">
        <v>1166.2</v>
      </c>
      <c r="M354" s="4">
        <v>9.6</v>
      </c>
      <c r="N354">
        <v>22.78</v>
      </c>
      <c r="O354">
        <v>36.5</v>
      </c>
      <c r="P354">
        <v>0.83</v>
      </c>
      <c r="Q354">
        <v>-5.3534125042087304</v>
      </c>
      <c r="R354">
        <v>-4.5713701022328498E-4</v>
      </c>
    </row>
    <row r="355" spans="1:18" x14ac:dyDescent="0.2">
      <c r="A355" t="s">
        <v>7</v>
      </c>
      <c r="B355">
        <v>3</v>
      </c>
      <c r="C355" t="s">
        <v>3</v>
      </c>
      <c r="D355" s="2">
        <v>43705</v>
      </c>
      <c r="E355" s="11">
        <v>240</v>
      </c>
      <c r="F355" s="3">
        <v>0.45815972222222223</v>
      </c>
      <c r="G355" s="3">
        <v>0.4616319444444445</v>
      </c>
      <c r="H355" s="13">
        <v>240.45815972222223</v>
      </c>
      <c r="I355" s="13">
        <v>240.46163194444443</v>
      </c>
      <c r="J355" s="13">
        <v>240.45989583333335</v>
      </c>
      <c r="K355" s="7">
        <v>43705.459895</v>
      </c>
      <c r="L355" s="4">
        <v>858.7</v>
      </c>
      <c r="M355" s="4"/>
      <c r="N355">
        <v>22.78</v>
      </c>
      <c r="Q355">
        <v>35.557696434983399</v>
      </c>
      <c r="R355">
        <v>-4.8726216350293501E-4</v>
      </c>
    </row>
    <row r="356" spans="1:18" x14ac:dyDescent="0.2">
      <c r="A356" t="s">
        <v>7</v>
      </c>
      <c r="B356">
        <v>4</v>
      </c>
      <c r="C356" t="s">
        <v>4</v>
      </c>
      <c r="D356" s="2">
        <v>43705</v>
      </c>
      <c r="E356" s="11">
        <v>240</v>
      </c>
      <c r="F356" s="3">
        <v>0.46464120370370371</v>
      </c>
      <c r="G356" s="3">
        <v>0.46811342592592592</v>
      </c>
      <c r="H356" s="13">
        <v>240.46464120370371</v>
      </c>
      <c r="I356" s="13">
        <v>240.46811342592594</v>
      </c>
      <c r="J356" s="13">
        <v>240.46637731481482</v>
      </c>
      <c r="K356" s="7">
        <v>43705.466375000004</v>
      </c>
      <c r="L356" s="4">
        <v>1678.7</v>
      </c>
      <c r="M356" s="4">
        <v>12.5</v>
      </c>
      <c r="N356">
        <v>22.78</v>
      </c>
      <c r="O356">
        <v>46.8</v>
      </c>
      <c r="P356">
        <v>0.83</v>
      </c>
      <c r="Q356">
        <v>-5.5800546879274204</v>
      </c>
      <c r="R356">
        <v>-2.81439542595962E-4</v>
      </c>
    </row>
    <row r="357" spans="1:18" x14ac:dyDescent="0.2">
      <c r="A357" t="s">
        <v>7</v>
      </c>
      <c r="B357">
        <v>4</v>
      </c>
      <c r="C357" t="s">
        <v>3</v>
      </c>
      <c r="D357" s="2">
        <v>43705</v>
      </c>
      <c r="E357" s="11">
        <v>240</v>
      </c>
      <c r="F357" s="3">
        <v>0.47106481481481483</v>
      </c>
      <c r="G357" s="3">
        <v>0.47453703703703703</v>
      </c>
      <c r="H357" s="13">
        <v>240.47106481481481</v>
      </c>
      <c r="I357" s="13">
        <v>240.47453703703704</v>
      </c>
      <c r="J357" s="13">
        <v>240.47280092592592</v>
      </c>
      <c r="K357" s="7">
        <v>43705.472800000003</v>
      </c>
      <c r="L357" s="4">
        <v>1696.2</v>
      </c>
      <c r="M357" s="4"/>
      <c r="N357">
        <v>22.78</v>
      </c>
      <c r="Q357">
        <v>7.8337273196502597</v>
      </c>
      <c r="R357">
        <v>-2.3340666848125601E-5</v>
      </c>
    </row>
    <row r="358" spans="1:18" x14ac:dyDescent="0.2">
      <c r="A358" t="s">
        <v>7</v>
      </c>
      <c r="B358">
        <v>5</v>
      </c>
      <c r="C358" t="s">
        <v>4</v>
      </c>
      <c r="D358" s="2">
        <v>43705</v>
      </c>
      <c r="E358" s="11">
        <v>240</v>
      </c>
      <c r="F358" s="3">
        <v>0.47789351851851852</v>
      </c>
      <c r="G358" s="3">
        <v>0.48136574074074073</v>
      </c>
      <c r="H358" s="13">
        <v>240.47789351851853</v>
      </c>
      <c r="I358" s="13">
        <v>240.48136574074073</v>
      </c>
      <c r="J358" s="13">
        <v>240.47962962962964</v>
      </c>
      <c r="K358" s="7">
        <v>43705.479630000002</v>
      </c>
      <c r="L358" s="4">
        <v>1708.7</v>
      </c>
      <c r="M358" s="4">
        <v>6.5</v>
      </c>
      <c r="N358">
        <v>24.44</v>
      </c>
      <c r="O358">
        <v>36</v>
      </c>
      <c r="P358">
        <v>0.83</v>
      </c>
      <c r="Q358">
        <v>-1.79296631737293</v>
      </c>
      <c r="R358">
        <v>-2.6619171224620899E-4</v>
      </c>
    </row>
    <row r="359" spans="1:18" x14ac:dyDescent="0.2">
      <c r="A359" t="s">
        <v>7</v>
      </c>
      <c r="B359">
        <v>5</v>
      </c>
      <c r="C359" t="s">
        <v>3</v>
      </c>
      <c r="D359" s="2">
        <v>43705</v>
      </c>
      <c r="E359" s="11">
        <v>240</v>
      </c>
      <c r="F359" s="3">
        <v>0.48553240740740744</v>
      </c>
      <c r="G359" s="3">
        <v>0.48900462962962959</v>
      </c>
      <c r="H359" s="13">
        <v>240.48553240740742</v>
      </c>
      <c r="I359" s="13">
        <v>240.48900462962962</v>
      </c>
      <c r="J359" s="13">
        <v>240.48726851851853</v>
      </c>
      <c r="K359" s="7">
        <v>43705.487265000003</v>
      </c>
      <c r="L359" s="4">
        <v>1816.2</v>
      </c>
      <c r="M359" s="4"/>
      <c r="N359">
        <v>24.44</v>
      </c>
      <c r="Q359">
        <v>54.990384123072801</v>
      </c>
      <c r="R359">
        <v>-2.4665961119935001E-4</v>
      </c>
    </row>
    <row r="360" spans="1:18" x14ac:dyDescent="0.2">
      <c r="A360" t="s">
        <v>7</v>
      </c>
      <c r="B360">
        <v>1</v>
      </c>
      <c r="C360" t="s">
        <v>4</v>
      </c>
      <c r="D360" s="2">
        <v>43705</v>
      </c>
      <c r="E360" s="11">
        <v>240</v>
      </c>
      <c r="F360" s="3">
        <v>0.531712962962963</v>
      </c>
      <c r="G360" s="3">
        <v>0.53518518518518521</v>
      </c>
      <c r="H360" s="13">
        <v>240.53171296296296</v>
      </c>
      <c r="I360" s="13">
        <v>240.53518518518518</v>
      </c>
      <c r="J360" s="13">
        <v>240.53344907407407</v>
      </c>
      <c r="K360" s="7">
        <v>43705.533450000003</v>
      </c>
      <c r="L360" s="4">
        <v>1208.7</v>
      </c>
      <c r="M360" s="4">
        <v>11</v>
      </c>
      <c r="N360">
        <v>26.67</v>
      </c>
      <c r="O360">
        <v>44.2</v>
      </c>
      <c r="P360">
        <v>0.81</v>
      </c>
      <c r="Q360">
        <v>-2.2364380119909799</v>
      </c>
      <c r="R360">
        <v>-1.11731E-4</v>
      </c>
    </row>
    <row r="361" spans="1:18" x14ac:dyDescent="0.2">
      <c r="A361" t="s">
        <v>7</v>
      </c>
      <c r="B361">
        <v>1</v>
      </c>
      <c r="C361" t="s">
        <v>3</v>
      </c>
      <c r="D361" s="2">
        <v>43705</v>
      </c>
      <c r="E361" s="11">
        <v>240</v>
      </c>
      <c r="F361" s="3">
        <v>0.53744212962962956</v>
      </c>
      <c r="G361" s="3">
        <v>0.54091435185185188</v>
      </c>
      <c r="H361" s="13">
        <v>240.53744212962962</v>
      </c>
      <c r="I361" s="13">
        <v>240.54091435185185</v>
      </c>
      <c r="J361" s="13">
        <v>240.53917824074074</v>
      </c>
      <c r="K361" s="7">
        <v>43705.539174999998</v>
      </c>
      <c r="L361" s="4">
        <v>1738.7</v>
      </c>
      <c r="M361" s="4"/>
      <c r="N361">
        <v>26.67</v>
      </c>
      <c r="Q361">
        <v>9.1935241823580505</v>
      </c>
      <c r="R361" s="6">
        <v>8.1600000000000005E-5</v>
      </c>
    </row>
    <row r="362" spans="1:18" x14ac:dyDescent="0.2">
      <c r="A362" t="s">
        <v>7</v>
      </c>
      <c r="B362">
        <v>2</v>
      </c>
      <c r="C362" t="s">
        <v>4</v>
      </c>
      <c r="D362" s="2">
        <v>43705</v>
      </c>
      <c r="E362" s="11">
        <v>240</v>
      </c>
      <c r="F362" s="3">
        <v>0.54380787037037037</v>
      </c>
      <c r="G362" s="3">
        <v>0.54728009259259258</v>
      </c>
      <c r="H362" s="13">
        <v>240.54380787037036</v>
      </c>
      <c r="I362" s="13">
        <v>240.54728009259259</v>
      </c>
      <c r="J362" s="13">
        <v>240.54554398148147</v>
      </c>
      <c r="K362" s="7">
        <v>43705.545545000001</v>
      </c>
      <c r="L362" s="4">
        <v>1746.2</v>
      </c>
      <c r="M362" s="4">
        <v>11.4</v>
      </c>
      <c r="N362">
        <v>26.67</v>
      </c>
      <c r="O362">
        <v>50.4</v>
      </c>
      <c r="P362">
        <v>0.83</v>
      </c>
      <c r="Q362">
        <v>-3.4111691758428502</v>
      </c>
      <c r="R362">
        <v>-2.5106800000000002E-4</v>
      </c>
    </row>
    <row r="363" spans="1:18" x14ac:dyDescent="0.2">
      <c r="A363" t="s">
        <v>7</v>
      </c>
      <c r="B363">
        <v>2</v>
      </c>
      <c r="C363" t="s">
        <v>3</v>
      </c>
      <c r="D363" s="2">
        <v>43705</v>
      </c>
      <c r="E363" s="11">
        <v>240</v>
      </c>
      <c r="F363" s="3">
        <v>0.55034722222222221</v>
      </c>
      <c r="G363" s="3">
        <v>0.55381944444444442</v>
      </c>
      <c r="H363" s="13">
        <v>240.55034722222223</v>
      </c>
      <c r="I363" s="13">
        <v>240.55381944444446</v>
      </c>
      <c r="J363" s="13">
        <v>240.55208333333334</v>
      </c>
      <c r="K363" s="7">
        <v>43705.552085000003</v>
      </c>
      <c r="L363" s="4">
        <v>1736.2</v>
      </c>
      <c r="M363" s="4"/>
      <c r="N363">
        <v>26.67</v>
      </c>
      <c r="Q363">
        <v>10.420969817600801</v>
      </c>
      <c r="R363">
        <v>-1.16171E-4</v>
      </c>
    </row>
    <row r="364" spans="1:18" x14ac:dyDescent="0.2">
      <c r="A364" t="s">
        <v>7</v>
      </c>
      <c r="B364">
        <v>3</v>
      </c>
      <c r="C364" t="s">
        <v>4</v>
      </c>
      <c r="D364" s="2">
        <v>43705</v>
      </c>
      <c r="E364" s="11">
        <v>240</v>
      </c>
      <c r="F364" s="3">
        <v>0.55601851851851858</v>
      </c>
      <c r="G364" s="3">
        <v>0.55949074074074068</v>
      </c>
      <c r="H364" s="13">
        <v>240.55601851851853</v>
      </c>
      <c r="I364" s="13">
        <v>240.55949074074073</v>
      </c>
      <c r="J364" s="13">
        <v>240.55775462962964</v>
      </c>
      <c r="K364" s="7">
        <v>43705.557755000002</v>
      </c>
      <c r="L364" s="4">
        <v>1746.2</v>
      </c>
      <c r="M364" s="4">
        <v>8.6999999999999993</v>
      </c>
      <c r="N364">
        <v>28.33</v>
      </c>
      <c r="O364">
        <v>43.1</v>
      </c>
      <c r="P364">
        <v>0.83</v>
      </c>
      <c r="Q364">
        <v>-3.1637729554208698</v>
      </c>
      <c r="R364">
        <v>-1.18195E-4</v>
      </c>
    </row>
    <row r="365" spans="1:18" x14ac:dyDescent="0.2">
      <c r="A365" t="s">
        <v>7</v>
      </c>
      <c r="B365">
        <v>3</v>
      </c>
      <c r="C365" t="s">
        <v>3</v>
      </c>
      <c r="D365" s="2">
        <v>43705</v>
      </c>
      <c r="E365" s="11">
        <v>240</v>
      </c>
      <c r="F365" s="3">
        <v>0.56284722222222217</v>
      </c>
      <c r="G365" s="3">
        <v>0.56631944444444449</v>
      </c>
      <c r="H365" s="13">
        <v>240.56284722222222</v>
      </c>
      <c r="I365" s="13">
        <v>240.56631944444445</v>
      </c>
      <c r="J365" s="13">
        <v>240.56458333333333</v>
      </c>
      <c r="K365" s="7">
        <v>43705.564585</v>
      </c>
      <c r="L365" s="4">
        <v>1646.2</v>
      </c>
      <c r="M365" s="4"/>
      <c r="N365">
        <v>28.33</v>
      </c>
      <c r="Q365">
        <v>36.116425166779898</v>
      </c>
      <c r="R365">
        <v>-1.5939599999999999E-4</v>
      </c>
    </row>
    <row r="366" spans="1:18" x14ac:dyDescent="0.2">
      <c r="A366" t="s">
        <v>7</v>
      </c>
      <c r="B366">
        <v>4</v>
      </c>
      <c r="C366" t="s">
        <v>4</v>
      </c>
      <c r="D366" s="2">
        <v>43705</v>
      </c>
      <c r="E366" s="11">
        <v>240</v>
      </c>
      <c r="F366" s="3">
        <v>0.569849537037037</v>
      </c>
      <c r="G366" s="3">
        <v>0.57332175925925932</v>
      </c>
      <c r="H366" s="13">
        <v>240.56984953703704</v>
      </c>
      <c r="I366" s="13">
        <v>240.57332175925927</v>
      </c>
      <c r="J366" s="13">
        <v>240.57158564814816</v>
      </c>
      <c r="K366" s="7">
        <v>43705.571584999998</v>
      </c>
      <c r="L366" s="4">
        <v>1763.7</v>
      </c>
      <c r="M366" s="4">
        <v>11.1</v>
      </c>
      <c r="N366">
        <v>28.33</v>
      </c>
      <c r="O366">
        <v>42.3</v>
      </c>
      <c r="P366">
        <v>0.85</v>
      </c>
      <c r="Q366">
        <v>-12.0359216635129</v>
      </c>
      <c r="R366">
        <v>-1.83468E-4</v>
      </c>
    </row>
    <row r="367" spans="1:18" x14ac:dyDescent="0.2">
      <c r="A367" t="s">
        <v>7</v>
      </c>
      <c r="B367">
        <v>4</v>
      </c>
      <c r="C367" t="s">
        <v>3</v>
      </c>
      <c r="D367" s="2">
        <v>43705</v>
      </c>
      <c r="E367" s="11">
        <v>240</v>
      </c>
      <c r="F367" s="3">
        <v>0.57644675925925926</v>
      </c>
      <c r="G367" s="3">
        <v>0.57991898148148147</v>
      </c>
      <c r="H367" s="13">
        <v>240.57644675925926</v>
      </c>
      <c r="I367" s="13">
        <v>240.57991898148148</v>
      </c>
      <c r="J367" s="13">
        <v>240.57818287037037</v>
      </c>
      <c r="K367" s="7">
        <v>43705.578184999998</v>
      </c>
      <c r="L367" s="4">
        <v>1218.7</v>
      </c>
      <c r="M367" s="4"/>
      <c r="N367">
        <v>28.33</v>
      </c>
      <c r="Q367">
        <v>14.360700417056901</v>
      </c>
      <c r="R367">
        <v>-2.0300200000000001E-4</v>
      </c>
    </row>
    <row r="368" spans="1:18" x14ac:dyDescent="0.2">
      <c r="A368" t="s">
        <v>7</v>
      </c>
      <c r="B368">
        <v>5</v>
      </c>
      <c r="C368" t="s">
        <v>4</v>
      </c>
      <c r="D368" s="2">
        <v>43705</v>
      </c>
      <c r="E368" s="11">
        <v>240</v>
      </c>
      <c r="F368" s="3">
        <v>0.5854166666666667</v>
      </c>
      <c r="G368" s="3">
        <v>0.58888888888888891</v>
      </c>
      <c r="H368" s="13">
        <v>240.58541666666667</v>
      </c>
      <c r="I368" s="13">
        <v>240.5888888888889</v>
      </c>
      <c r="J368" s="13">
        <v>240.58715277777779</v>
      </c>
      <c r="K368" s="7">
        <v>43705.587155000001</v>
      </c>
      <c r="L368" s="4">
        <v>1386.2</v>
      </c>
      <c r="M368" s="4">
        <v>12.8</v>
      </c>
      <c r="N368">
        <v>29.44</v>
      </c>
      <c r="O368">
        <v>41.5</v>
      </c>
      <c r="P368">
        <v>0.82</v>
      </c>
      <c r="Q368">
        <v>3.5949630275737499E-2</v>
      </c>
      <c r="R368">
        <v>-2.90065E-4</v>
      </c>
    </row>
    <row r="369" spans="1:18" x14ac:dyDescent="0.2">
      <c r="A369" t="s">
        <v>7</v>
      </c>
      <c r="B369">
        <v>5</v>
      </c>
      <c r="C369" t="s">
        <v>3</v>
      </c>
      <c r="D369" s="2">
        <v>43705</v>
      </c>
      <c r="E369" s="11">
        <v>240</v>
      </c>
      <c r="F369" s="3">
        <v>0.59189814814814812</v>
      </c>
      <c r="G369" s="3">
        <v>0.59537037037037044</v>
      </c>
      <c r="H369" s="13">
        <v>240.59189814814815</v>
      </c>
      <c r="I369" s="13">
        <v>240.59537037037038</v>
      </c>
      <c r="J369" s="13">
        <v>240.59363425925926</v>
      </c>
      <c r="K369" s="7">
        <v>43705.593634999997</v>
      </c>
      <c r="L369" s="4">
        <v>848.7</v>
      </c>
      <c r="M369" s="4"/>
      <c r="N369">
        <v>29.44</v>
      </c>
      <c r="Q369">
        <v>54.482886799777098</v>
      </c>
      <c r="R369">
        <v>-1.4279599999999999E-4</v>
      </c>
    </row>
    <row r="370" spans="1:18" x14ac:dyDescent="0.2">
      <c r="A370" t="s">
        <v>7</v>
      </c>
      <c r="B370">
        <v>1</v>
      </c>
      <c r="C370" t="s">
        <v>4</v>
      </c>
      <c r="D370" s="2">
        <v>43712</v>
      </c>
      <c r="E370" s="11">
        <v>247</v>
      </c>
      <c r="F370" s="3">
        <v>0.41828703703703707</v>
      </c>
      <c r="G370" s="3">
        <v>0.42175925925925922</v>
      </c>
      <c r="H370" s="13">
        <v>247.41828703703703</v>
      </c>
      <c r="I370" s="13">
        <v>247.42175925925926</v>
      </c>
      <c r="J370" s="13">
        <v>247.42002314814815</v>
      </c>
      <c r="K370" s="7">
        <v>43712.420024999999</v>
      </c>
      <c r="L370" s="4">
        <v>528.70000000000005</v>
      </c>
      <c r="M370" s="4">
        <v>9.8000000000000007</v>
      </c>
      <c r="N370" s="4">
        <v>22.22</v>
      </c>
      <c r="O370">
        <v>37.5</v>
      </c>
      <c r="P370">
        <v>0.81</v>
      </c>
      <c r="Q370">
        <v>0.389626633</v>
      </c>
      <c r="R370" s="6">
        <v>3.4599999999999999E-6</v>
      </c>
    </row>
    <row r="371" spans="1:18" x14ac:dyDescent="0.2">
      <c r="A371" t="s">
        <v>7</v>
      </c>
      <c r="B371">
        <v>1</v>
      </c>
      <c r="C371" t="s">
        <v>3</v>
      </c>
      <c r="D371" s="2">
        <v>43712</v>
      </c>
      <c r="E371" s="11">
        <v>247</v>
      </c>
      <c r="F371" s="3">
        <v>0.42372685185185183</v>
      </c>
      <c r="G371" s="3">
        <v>0.42719907407407409</v>
      </c>
      <c r="H371" s="13">
        <v>247.42372685185185</v>
      </c>
      <c r="I371" s="13">
        <v>247.42719907407408</v>
      </c>
      <c r="J371" s="13">
        <v>247.42546296296297</v>
      </c>
      <c r="K371" s="7">
        <v>43712.425465</v>
      </c>
      <c r="L371" s="4">
        <v>596.20000000000005</v>
      </c>
      <c r="M371" s="4"/>
      <c r="N371" s="4">
        <v>22.22</v>
      </c>
      <c r="Q371">
        <v>16.408251809999999</v>
      </c>
      <c r="R371">
        <v>-3.20346E-4</v>
      </c>
    </row>
    <row r="372" spans="1:18" x14ac:dyDescent="0.2">
      <c r="A372" t="s">
        <v>7</v>
      </c>
      <c r="B372">
        <v>2</v>
      </c>
      <c r="C372" t="s">
        <v>4</v>
      </c>
      <c r="D372" s="2">
        <v>43712</v>
      </c>
      <c r="E372" s="11">
        <v>247</v>
      </c>
      <c r="F372" s="3">
        <v>0.43130787037037038</v>
      </c>
      <c r="G372" s="3">
        <v>0.43478009259259259</v>
      </c>
      <c r="H372" s="13">
        <v>247.43130787037038</v>
      </c>
      <c r="I372" s="13">
        <v>247.4347800925926</v>
      </c>
      <c r="J372" s="13">
        <v>247.43304398148149</v>
      </c>
      <c r="K372" s="7">
        <v>43712.433044999998</v>
      </c>
      <c r="L372" s="4">
        <v>383.7</v>
      </c>
      <c r="M372" s="4">
        <v>16.2</v>
      </c>
      <c r="N372" s="4">
        <v>22.22</v>
      </c>
      <c r="O372">
        <v>42</v>
      </c>
      <c r="P372">
        <v>0.84</v>
      </c>
      <c r="Q372">
        <v>-3.3051736379999999</v>
      </c>
      <c r="R372" s="6">
        <v>3.6100000000000003E-5</v>
      </c>
    </row>
    <row r="373" spans="1:18" x14ac:dyDescent="0.2">
      <c r="A373" t="s">
        <v>7</v>
      </c>
      <c r="B373">
        <v>2</v>
      </c>
      <c r="C373" t="s">
        <v>3</v>
      </c>
      <c r="D373" s="2">
        <v>43712</v>
      </c>
      <c r="E373" s="11">
        <v>247</v>
      </c>
      <c r="F373" s="3">
        <v>0.4382523148148148</v>
      </c>
      <c r="G373" s="3">
        <v>0.44172453703703707</v>
      </c>
      <c r="H373" s="13">
        <v>247.4382523148148</v>
      </c>
      <c r="I373" s="13">
        <v>247.44172453703703</v>
      </c>
      <c r="J373" s="13">
        <v>247.43998842592592</v>
      </c>
      <c r="K373" s="7">
        <v>43712.439985000005</v>
      </c>
      <c r="L373" s="4">
        <v>253.7</v>
      </c>
      <c r="M373" s="4"/>
      <c r="N373" s="4">
        <v>22.22</v>
      </c>
      <c r="Q373">
        <v>13.10401055</v>
      </c>
      <c r="R373">
        <v>-3.8511300000000002E-4</v>
      </c>
    </row>
    <row r="374" spans="1:18" x14ac:dyDescent="0.2">
      <c r="A374" t="s">
        <v>7</v>
      </c>
      <c r="B374">
        <v>3</v>
      </c>
      <c r="C374" t="s">
        <v>4</v>
      </c>
      <c r="D374" s="2">
        <v>43712</v>
      </c>
      <c r="E374" s="11">
        <v>247</v>
      </c>
      <c r="F374" s="3">
        <v>0.44519675925925922</v>
      </c>
      <c r="G374" s="3">
        <v>0.44866898148148149</v>
      </c>
      <c r="H374" s="13">
        <v>247.44519675925926</v>
      </c>
      <c r="I374" s="13">
        <v>247.44866898148149</v>
      </c>
      <c r="J374" s="13">
        <v>247.44693287037038</v>
      </c>
      <c r="K374" s="7">
        <v>43712.446935</v>
      </c>
      <c r="L374" s="4">
        <v>503.7</v>
      </c>
      <c r="M374" s="4">
        <v>12.3</v>
      </c>
      <c r="N374" s="4">
        <v>22.22</v>
      </c>
      <c r="O374">
        <v>37.299999999999997</v>
      </c>
      <c r="P374">
        <v>0.84</v>
      </c>
      <c r="Q374">
        <v>-2.5395480680000002</v>
      </c>
      <c r="R374">
        <v>-2.7910000000000001E-4</v>
      </c>
    </row>
    <row r="375" spans="1:18" x14ac:dyDescent="0.2">
      <c r="A375" t="s">
        <v>7</v>
      </c>
      <c r="B375">
        <v>3</v>
      </c>
      <c r="C375" t="s">
        <v>3</v>
      </c>
      <c r="D375" s="2">
        <v>43712</v>
      </c>
      <c r="E375" s="11">
        <v>247</v>
      </c>
      <c r="F375" s="3">
        <v>0.45179398148148148</v>
      </c>
      <c r="G375" s="3">
        <v>0.45526620370370369</v>
      </c>
      <c r="H375" s="13">
        <v>247.45179398148147</v>
      </c>
      <c r="I375" s="13">
        <v>247.4552662037037</v>
      </c>
      <c r="J375" s="13">
        <v>247.45353009259259</v>
      </c>
      <c r="K375" s="7">
        <v>43712.453529999999</v>
      </c>
      <c r="L375" s="4">
        <v>623.70000000000005</v>
      </c>
      <c r="M375" s="4"/>
      <c r="N375" s="4">
        <v>22.22</v>
      </c>
      <c r="Q375">
        <v>18.269560500000001</v>
      </c>
      <c r="R375">
        <v>-2.0136199999999999E-4</v>
      </c>
    </row>
    <row r="376" spans="1:18" x14ac:dyDescent="0.2">
      <c r="A376" t="s">
        <v>7</v>
      </c>
      <c r="B376">
        <v>4</v>
      </c>
      <c r="C376" t="s">
        <v>4</v>
      </c>
      <c r="D376" s="2">
        <v>43712</v>
      </c>
      <c r="E376" s="11">
        <v>247</v>
      </c>
      <c r="F376" s="3">
        <v>0.45914351851851848</v>
      </c>
      <c r="G376" s="3">
        <v>0.46261574074074074</v>
      </c>
      <c r="H376" s="13">
        <v>247.45914351851852</v>
      </c>
      <c r="I376" s="13">
        <v>247.46261574074074</v>
      </c>
      <c r="J376" s="13">
        <v>247.46087962962963</v>
      </c>
      <c r="K376" s="7">
        <v>43712.460879999999</v>
      </c>
      <c r="L376" s="4">
        <v>858.7</v>
      </c>
      <c r="M376" s="4">
        <v>13.2</v>
      </c>
      <c r="N376" s="4">
        <v>22.22</v>
      </c>
      <c r="O376">
        <v>37.5</v>
      </c>
      <c r="P376">
        <v>0.81</v>
      </c>
      <c r="Q376">
        <v>-15.293359799999999</v>
      </c>
      <c r="R376">
        <v>-1.08916E-4</v>
      </c>
    </row>
    <row r="377" spans="1:18" x14ac:dyDescent="0.2">
      <c r="A377" t="s">
        <v>7</v>
      </c>
      <c r="B377">
        <v>4</v>
      </c>
      <c r="C377" t="s">
        <v>3</v>
      </c>
      <c r="D377" s="2">
        <v>43712</v>
      </c>
      <c r="E377" s="11">
        <v>247</v>
      </c>
      <c r="F377" s="3">
        <v>0.46672453703703703</v>
      </c>
      <c r="G377" s="3">
        <v>0.47019675925925924</v>
      </c>
      <c r="H377" s="13">
        <v>247.46672453703704</v>
      </c>
      <c r="I377" s="13">
        <v>247.47019675925927</v>
      </c>
      <c r="J377" s="13">
        <v>247.46846064814815</v>
      </c>
      <c r="K377" s="7">
        <v>43712.468460000004</v>
      </c>
      <c r="L377" s="4">
        <v>803.7</v>
      </c>
      <c r="M377" s="4"/>
      <c r="N377" s="4">
        <v>22.22</v>
      </c>
      <c r="Q377">
        <v>12.271332810000001</v>
      </c>
      <c r="R377" s="6">
        <v>-7.1600000000000001E-6</v>
      </c>
    </row>
    <row r="378" spans="1:18" x14ac:dyDescent="0.2">
      <c r="A378" t="s">
        <v>7</v>
      </c>
      <c r="B378">
        <v>5</v>
      </c>
      <c r="C378" t="s">
        <v>4</v>
      </c>
      <c r="D378" s="2">
        <v>43712</v>
      </c>
      <c r="E378" s="11">
        <v>247</v>
      </c>
      <c r="F378" s="3">
        <v>0.47714000000269152</v>
      </c>
      <c r="G378" s="3">
        <v>0.48060999999870546</v>
      </c>
      <c r="H378" s="13">
        <f>E378+F378</f>
        <v>247.47714000000269</v>
      </c>
      <c r="I378" s="13">
        <f>E378+G378</f>
        <v>247.48060999999871</v>
      </c>
      <c r="J378" s="13">
        <f>AVERAGE(H378:I378)</f>
        <v>247.4788750000007</v>
      </c>
      <c r="K378" s="7">
        <v>43712.478875000001</v>
      </c>
      <c r="L378" s="4">
        <v>806.2</v>
      </c>
      <c r="M378" s="4">
        <v>14.8</v>
      </c>
      <c r="N378" s="4">
        <v>24.44</v>
      </c>
      <c r="O378">
        <v>52.8</v>
      </c>
      <c r="P378">
        <v>0.79</v>
      </c>
      <c r="Q378">
        <v>-17.846826279999998</v>
      </c>
      <c r="R378">
        <v>-4.5191900000000001E-4</v>
      </c>
    </row>
    <row r="379" spans="1:18" x14ac:dyDescent="0.2">
      <c r="A379" t="s">
        <v>7</v>
      </c>
      <c r="B379">
        <v>5</v>
      </c>
      <c r="C379" t="s">
        <v>3</v>
      </c>
      <c r="D379" s="2">
        <v>43712</v>
      </c>
      <c r="E379" s="11">
        <v>247</v>
      </c>
      <c r="F379" s="3">
        <v>0.48449000000255182</v>
      </c>
      <c r="G379" s="3">
        <v>0.48795999999856576</v>
      </c>
      <c r="H379" s="13">
        <f t="shared" ref="H379:H442" si="0">E379+F379</f>
        <v>247.48449000000255</v>
      </c>
      <c r="I379" s="13">
        <f t="shared" ref="I379:I442" si="1">E379+G379</f>
        <v>247.48795999999857</v>
      </c>
      <c r="J379" s="13">
        <f t="shared" ref="J379:J442" si="2">AVERAGE(H379:I379)</f>
        <v>247.48622500000056</v>
      </c>
      <c r="K379" s="7">
        <v>43712.486225000001</v>
      </c>
      <c r="L379" s="4">
        <v>958.7</v>
      </c>
      <c r="M379" s="4"/>
      <c r="N379" s="4">
        <v>24.44</v>
      </c>
      <c r="Q379">
        <v>32.010230720000003</v>
      </c>
      <c r="R379">
        <v>-4.3282299999999999E-4</v>
      </c>
    </row>
    <row r="380" spans="1:18" x14ac:dyDescent="0.2">
      <c r="A380" t="s">
        <v>7</v>
      </c>
      <c r="B380">
        <v>1</v>
      </c>
      <c r="C380" t="s">
        <v>4</v>
      </c>
      <c r="D380" s="2">
        <v>43712</v>
      </c>
      <c r="E380" s="11">
        <v>247</v>
      </c>
      <c r="F380" s="3">
        <v>0.50706000000354834</v>
      </c>
      <c r="G380" s="3">
        <v>0.51052999999956228</v>
      </c>
      <c r="H380" s="13">
        <f t="shared" si="0"/>
        <v>247.50706000000355</v>
      </c>
      <c r="I380" s="13">
        <f t="shared" si="1"/>
        <v>247.51052999999956</v>
      </c>
      <c r="J380" s="13">
        <f t="shared" si="2"/>
        <v>247.50879500000156</v>
      </c>
      <c r="K380" s="7">
        <v>43712.508795000002</v>
      </c>
      <c r="L380" s="4">
        <v>841.2</v>
      </c>
      <c r="M380" s="4">
        <v>5.4</v>
      </c>
      <c r="N380" s="4">
        <v>24.44</v>
      </c>
      <c r="O380">
        <v>36.299999999999997</v>
      </c>
      <c r="P380">
        <v>0.79</v>
      </c>
      <c r="Q380">
        <v>-11.537454159999999</v>
      </c>
      <c r="R380">
        <v>-5.57593E-4</v>
      </c>
    </row>
    <row r="381" spans="1:18" x14ac:dyDescent="0.2">
      <c r="A381" t="s">
        <v>7</v>
      </c>
      <c r="B381">
        <v>1</v>
      </c>
      <c r="C381" t="s">
        <v>3</v>
      </c>
      <c r="D381" s="2">
        <v>43712</v>
      </c>
      <c r="E381" s="11">
        <v>247</v>
      </c>
      <c r="F381" s="3">
        <v>0.51509999999689171</v>
      </c>
      <c r="G381" s="3">
        <v>0.51858000000356697</v>
      </c>
      <c r="H381" s="13">
        <f t="shared" si="0"/>
        <v>247.51509999999689</v>
      </c>
      <c r="I381" s="13">
        <f t="shared" si="1"/>
        <v>247.51858000000357</v>
      </c>
      <c r="J381" s="13">
        <f t="shared" si="2"/>
        <v>247.51684000000023</v>
      </c>
      <c r="K381" s="7">
        <v>43712.516839999997</v>
      </c>
      <c r="L381" s="4">
        <v>878.7</v>
      </c>
      <c r="M381" s="4"/>
      <c r="N381" s="4">
        <v>24.44</v>
      </c>
      <c r="Q381">
        <v>22.798785880000001</v>
      </c>
      <c r="R381">
        <v>-5.1271599999999997E-4</v>
      </c>
    </row>
    <row r="382" spans="1:18" x14ac:dyDescent="0.2">
      <c r="A382" t="s">
        <v>7</v>
      </c>
      <c r="B382">
        <v>2</v>
      </c>
      <c r="C382" t="s">
        <v>4</v>
      </c>
      <c r="D382" s="2">
        <v>43712</v>
      </c>
      <c r="E382" s="11">
        <v>247</v>
      </c>
      <c r="F382" s="3">
        <v>0.52292000000306871</v>
      </c>
      <c r="G382" s="3">
        <v>0.52638999999908265</v>
      </c>
      <c r="H382" s="13">
        <f t="shared" si="0"/>
        <v>247.52292000000307</v>
      </c>
      <c r="I382" s="13">
        <f t="shared" si="1"/>
        <v>247.52638999999908</v>
      </c>
      <c r="J382" s="13">
        <f t="shared" si="2"/>
        <v>247.52465500000108</v>
      </c>
      <c r="K382" s="7">
        <v>43712.524655000001</v>
      </c>
      <c r="L382" s="4">
        <v>833.7</v>
      </c>
      <c r="M382" s="4">
        <v>15.2</v>
      </c>
      <c r="N382" s="4">
        <v>24.44</v>
      </c>
      <c r="O382">
        <v>38.9</v>
      </c>
      <c r="P382">
        <v>0.82</v>
      </c>
      <c r="Q382">
        <v>-9.1079991450000009</v>
      </c>
      <c r="R382" s="6">
        <v>-2.6299999999999999E-5</v>
      </c>
    </row>
    <row r="383" spans="1:18" x14ac:dyDescent="0.2">
      <c r="A383" t="s">
        <v>7</v>
      </c>
      <c r="B383">
        <v>2</v>
      </c>
      <c r="C383" t="s">
        <v>3</v>
      </c>
      <c r="D383" s="2">
        <v>43712</v>
      </c>
      <c r="E383" s="11">
        <v>247</v>
      </c>
      <c r="F383" s="3">
        <v>0.53089999999792781</v>
      </c>
      <c r="G383" s="3">
        <v>0.5343799999973271</v>
      </c>
      <c r="H383" s="13">
        <f t="shared" si="0"/>
        <v>247.53089999999793</v>
      </c>
      <c r="I383" s="13">
        <f t="shared" si="1"/>
        <v>247.53437999999733</v>
      </c>
      <c r="J383" s="13">
        <f t="shared" si="2"/>
        <v>247.53263999999763</v>
      </c>
      <c r="K383" s="7">
        <v>43712.532639999998</v>
      </c>
      <c r="L383" s="4">
        <v>1983.7</v>
      </c>
      <c r="M383" s="4"/>
      <c r="N383" s="4">
        <v>24.44</v>
      </c>
      <c r="Q383">
        <v>10.064395709999999</v>
      </c>
      <c r="R383">
        <v>-1.8160999999999999E-4</v>
      </c>
    </row>
    <row r="384" spans="1:18" x14ac:dyDescent="0.2">
      <c r="A384" t="s">
        <v>7</v>
      </c>
      <c r="B384">
        <v>3</v>
      </c>
      <c r="C384" t="s">
        <v>4</v>
      </c>
      <c r="D384" s="2">
        <v>43712</v>
      </c>
      <c r="E384" s="11">
        <v>247</v>
      </c>
      <c r="F384" s="3">
        <v>0.54450000000360887</v>
      </c>
      <c r="G384" s="3">
        <v>0.54796999999962281</v>
      </c>
      <c r="H384" s="13">
        <f t="shared" si="0"/>
        <v>247.54450000000361</v>
      </c>
      <c r="I384" s="13">
        <f t="shared" si="1"/>
        <v>247.54796999999962</v>
      </c>
      <c r="J384" s="13">
        <f t="shared" si="2"/>
        <v>247.54623500000162</v>
      </c>
      <c r="K384" s="7">
        <v>43712.546235000002</v>
      </c>
      <c r="L384" s="4">
        <v>1673.7</v>
      </c>
      <c r="M384" s="4">
        <v>13.3</v>
      </c>
      <c r="N384" s="4">
        <v>25</v>
      </c>
      <c r="O384">
        <v>32.700000000000003</v>
      </c>
      <c r="P384">
        <v>0.83</v>
      </c>
      <c r="Q384">
        <v>-14.640606679999999</v>
      </c>
      <c r="R384">
        <v>3.1259099999999998E-4</v>
      </c>
    </row>
    <row r="385" spans="1:18" x14ac:dyDescent="0.2">
      <c r="A385" t="s">
        <v>7</v>
      </c>
      <c r="B385">
        <v>3</v>
      </c>
      <c r="C385" t="s">
        <v>3</v>
      </c>
      <c r="D385" s="2">
        <v>43712</v>
      </c>
      <c r="E385" s="11">
        <v>247</v>
      </c>
      <c r="F385" s="3">
        <v>0.55341000000044005</v>
      </c>
      <c r="G385" s="3">
        <v>0.55688999999983935</v>
      </c>
      <c r="H385" s="13">
        <f t="shared" si="0"/>
        <v>247.55341000000044</v>
      </c>
      <c r="I385" s="13">
        <f t="shared" si="1"/>
        <v>247.55688999999984</v>
      </c>
      <c r="J385" s="13">
        <f t="shared" si="2"/>
        <v>247.55515000000014</v>
      </c>
      <c r="K385" s="7">
        <v>43712.55515</v>
      </c>
      <c r="L385" s="4">
        <v>1068.7</v>
      </c>
      <c r="M385" s="4"/>
      <c r="N385" s="4">
        <v>25</v>
      </c>
      <c r="Q385">
        <v>21.57541595</v>
      </c>
      <c r="R385" s="6">
        <v>3.7799999999999997E-5</v>
      </c>
    </row>
    <row r="386" spans="1:18" x14ac:dyDescent="0.2">
      <c r="A386" t="s">
        <v>7</v>
      </c>
      <c r="B386">
        <v>4</v>
      </c>
      <c r="C386" t="s">
        <v>4</v>
      </c>
      <c r="D386" s="2">
        <v>43712</v>
      </c>
      <c r="E386" s="11">
        <v>247</v>
      </c>
      <c r="F386" s="3">
        <v>0.56046999999671243</v>
      </c>
      <c r="G386" s="3">
        <v>0.56395000000338769</v>
      </c>
      <c r="H386" s="13">
        <f t="shared" si="0"/>
        <v>247.56046999999671</v>
      </c>
      <c r="I386" s="13">
        <f t="shared" si="1"/>
        <v>247.56395000000339</v>
      </c>
      <c r="J386" s="13">
        <f t="shared" si="2"/>
        <v>247.56221000000005</v>
      </c>
      <c r="K386" s="7">
        <v>43712.562210000004</v>
      </c>
      <c r="L386" s="4">
        <v>686.2</v>
      </c>
      <c r="M386" s="4">
        <v>13</v>
      </c>
      <c r="N386" s="4">
        <v>25</v>
      </c>
      <c r="O386">
        <v>40.6</v>
      </c>
      <c r="P386">
        <v>0.8</v>
      </c>
      <c r="Q386">
        <v>-15.306464500000001</v>
      </c>
      <c r="R386">
        <v>-2.9239000000000001E-4</v>
      </c>
    </row>
    <row r="387" spans="1:18" x14ac:dyDescent="0.2">
      <c r="A387" t="s">
        <v>7</v>
      </c>
      <c r="B387">
        <v>4</v>
      </c>
      <c r="C387" t="s">
        <v>3</v>
      </c>
      <c r="D387" s="2">
        <v>43712</v>
      </c>
      <c r="E387" s="11">
        <v>247</v>
      </c>
      <c r="F387" s="3">
        <v>0.56811000000016065</v>
      </c>
      <c r="G387" s="3">
        <v>0.57158999999955995</v>
      </c>
      <c r="H387" s="13">
        <f t="shared" si="0"/>
        <v>247.56811000000016</v>
      </c>
      <c r="I387" s="13">
        <f t="shared" si="1"/>
        <v>247.57158999999956</v>
      </c>
      <c r="J387" s="13">
        <f t="shared" si="2"/>
        <v>247.56984999999986</v>
      </c>
      <c r="K387" s="7">
        <v>43712.56985</v>
      </c>
      <c r="L387" s="4">
        <v>1873.7</v>
      </c>
      <c r="M387" s="4"/>
      <c r="N387" s="4">
        <v>25</v>
      </c>
      <c r="Q387">
        <v>19.492684189999999</v>
      </c>
      <c r="R387" s="6">
        <v>-5.6499999999999998E-5</v>
      </c>
    </row>
    <row r="388" spans="1:18" x14ac:dyDescent="0.2">
      <c r="A388" t="s">
        <v>7</v>
      </c>
      <c r="B388">
        <v>5</v>
      </c>
      <c r="C388" t="s">
        <v>4</v>
      </c>
      <c r="D388" s="2">
        <v>43712</v>
      </c>
      <c r="E388" s="11">
        <v>247</v>
      </c>
      <c r="F388" s="3">
        <v>0.57465000000229338</v>
      </c>
      <c r="G388" s="3">
        <v>0.57813000000169268</v>
      </c>
      <c r="H388" s="13">
        <f t="shared" si="0"/>
        <v>247.57465000000229</v>
      </c>
      <c r="I388" s="13">
        <f t="shared" si="1"/>
        <v>247.57813000000169</v>
      </c>
      <c r="J388" s="13">
        <f t="shared" si="2"/>
        <v>247.57639000000199</v>
      </c>
      <c r="K388" s="7">
        <v>43712.576390000002</v>
      </c>
      <c r="L388" s="4">
        <v>1153.7</v>
      </c>
      <c r="M388" s="4">
        <v>10.4</v>
      </c>
      <c r="N388" s="4">
        <v>26.11</v>
      </c>
      <c r="O388">
        <v>46.4</v>
      </c>
      <c r="P388">
        <v>0.82</v>
      </c>
      <c r="Q388">
        <v>-35.318486530000001</v>
      </c>
      <c r="R388" s="6">
        <v>-2.3799999999999999E-5</v>
      </c>
    </row>
    <row r="389" spans="1:18" x14ac:dyDescent="0.2">
      <c r="A389" t="s">
        <v>7</v>
      </c>
      <c r="B389">
        <v>5</v>
      </c>
      <c r="C389" t="s">
        <v>3</v>
      </c>
      <c r="D389" s="2">
        <v>43712</v>
      </c>
      <c r="E389" s="11">
        <v>247</v>
      </c>
      <c r="F389" s="3">
        <v>0.58264000000053784</v>
      </c>
      <c r="G389" s="3">
        <v>0.58610999999655178</v>
      </c>
      <c r="H389" s="13">
        <f t="shared" si="0"/>
        <v>247.58264000000054</v>
      </c>
      <c r="I389" s="13">
        <f t="shared" si="1"/>
        <v>247.58610999999655</v>
      </c>
      <c r="J389" s="13">
        <f t="shared" si="2"/>
        <v>247.58437499999854</v>
      </c>
      <c r="K389" s="7">
        <v>43712.584374999999</v>
      </c>
      <c r="L389" s="4">
        <v>1596.2</v>
      </c>
      <c r="M389" s="4"/>
      <c r="N389" s="4">
        <v>26.11</v>
      </c>
      <c r="Q389">
        <v>33.742689339999998</v>
      </c>
      <c r="R389" s="6">
        <v>-3.9100000000000002E-5</v>
      </c>
    </row>
    <row r="390" spans="1:18" x14ac:dyDescent="0.2">
      <c r="A390" t="s">
        <v>7</v>
      </c>
      <c r="B390">
        <v>1</v>
      </c>
      <c r="C390" t="s">
        <v>4</v>
      </c>
      <c r="D390" s="2">
        <v>43721</v>
      </c>
      <c r="E390" s="11">
        <v>256</v>
      </c>
      <c r="F390" s="3">
        <v>0.4161999999996624</v>
      </c>
      <c r="G390" s="3">
        <v>0.41967999999906169</v>
      </c>
      <c r="H390" s="13">
        <f t="shared" si="0"/>
        <v>256.41619999999966</v>
      </c>
      <c r="I390" s="13">
        <f t="shared" si="1"/>
        <v>256.41967999999906</v>
      </c>
      <c r="J390" s="13">
        <f t="shared" si="2"/>
        <v>256.41793999999936</v>
      </c>
      <c r="K390" s="7">
        <v>43721.417939999999</v>
      </c>
      <c r="L390" s="4">
        <v>1108.7</v>
      </c>
      <c r="M390" s="4">
        <v>15.6</v>
      </c>
      <c r="N390" s="4">
        <v>15</v>
      </c>
      <c r="O390">
        <v>19.3</v>
      </c>
      <c r="P390">
        <v>0.63</v>
      </c>
      <c r="Q390">
        <v>-5.00526980273606</v>
      </c>
      <c r="R390">
        <v>-2.5114700000000001E-4</v>
      </c>
    </row>
    <row r="391" spans="1:18" x14ac:dyDescent="0.2">
      <c r="A391" t="s">
        <v>7</v>
      </c>
      <c r="B391">
        <v>1</v>
      </c>
      <c r="C391" t="s">
        <v>3</v>
      </c>
      <c r="D391" s="2">
        <v>43721</v>
      </c>
      <c r="E391" s="11">
        <v>256</v>
      </c>
      <c r="F391" s="3">
        <v>0.4224499999982072</v>
      </c>
      <c r="G391" s="3">
        <v>0.4259299999976065</v>
      </c>
      <c r="H391" s="13">
        <f t="shared" si="0"/>
        <v>256.42244999999821</v>
      </c>
      <c r="I391" s="13">
        <f t="shared" si="1"/>
        <v>256.42592999999761</v>
      </c>
      <c r="J391" s="13">
        <f t="shared" si="2"/>
        <v>256.42418999999791</v>
      </c>
      <c r="K391" s="7">
        <v>43721.424189999998</v>
      </c>
      <c r="L391" s="4">
        <v>1181.2</v>
      </c>
      <c r="M391" s="4"/>
      <c r="N391" s="4">
        <v>15</v>
      </c>
      <c r="Q391">
        <v>8.9474155836730596</v>
      </c>
      <c r="R391" s="6">
        <v>9.5400000000000001E-5</v>
      </c>
    </row>
    <row r="392" spans="1:18" x14ac:dyDescent="0.2">
      <c r="A392" t="s">
        <v>7</v>
      </c>
      <c r="B392">
        <v>2</v>
      </c>
      <c r="C392" t="s">
        <v>4</v>
      </c>
      <c r="D392" s="2">
        <v>43721</v>
      </c>
      <c r="E392" s="11">
        <v>256</v>
      </c>
      <c r="F392" s="3">
        <v>0.43026999999710824</v>
      </c>
      <c r="G392" s="3">
        <v>0.43374000000039814</v>
      </c>
      <c r="H392" s="13">
        <f t="shared" si="0"/>
        <v>256.43026999999711</v>
      </c>
      <c r="I392" s="13">
        <f t="shared" si="1"/>
        <v>256.4337400000004</v>
      </c>
      <c r="J392" s="13">
        <f t="shared" si="2"/>
        <v>256.43200499999875</v>
      </c>
      <c r="K392" s="7">
        <v>43721.432004999995</v>
      </c>
      <c r="L392" s="4">
        <v>1266.2</v>
      </c>
      <c r="M392" s="4">
        <v>20.399999999999999</v>
      </c>
      <c r="N392" s="4">
        <v>15</v>
      </c>
      <c r="O392">
        <v>22</v>
      </c>
      <c r="P392">
        <v>0.66</v>
      </c>
      <c r="Q392">
        <v>0.12378980158278099</v>
      </c>
      <c r="R392">
        <v>1.4083499999999999E-4</v>
      </c>
    </row>
    <row r="393" spans="1:18" x14ac:dyDescent="0.2">
      <c r="A393" t="s">
        <v>7</v>
      </c>
      <c r="B393">
        <v>2</v>
      </c>
      <c r="C393" t="s">
        <v>3</v>
      </c>
      <c r="D393" s="2">
        <v>43721</v>
      </c>
      <c r="E393" s="11">
        <v>256</v>
      </c>
      <c r="F393" s="3">
        <v>0.43761999999696855</v>
      </c>
      <c r="G393" s="3">
        <v>0.44109000000025844</v>
      </c>
      <c r="H393" s="13">
        <f t="shared" si="0"/>
        <v>256.43761999999697</v>
      </c>
      <c r="I393" s="13">
        <f t="shared" si="1"/>
        <v>256.44109000000026</v>
      </c>
      <c r="J393" s="13">
        <f t="shared" si="2"/>
        <v>256.43935499999861</v>
      </c>
      <c r="K393" s="7">
        <v>43721.439354999995</v>
      </c>
      <c r="L393" s="4">
        <v>1303.7</v>
      </c>
      <c r="M393" s="4"/>
      <c r="N393" s="4">
        <v>15</v>
      </c>
      <c r="Q393">
        <v>6.89313369045869</v>
      </c>
      <c r="R393">
        <v>1.5897900000000001E-4</v>
      </c>
    </row>
    <row r="394" spans="1:18" x14ac:dyDescent="0.2">
      <c r="A394" t="s">
        <v>7</v>
      </c>
      <c r="B394">
        <v>3</v>
      </c>
      <c r="C394" t="s">
        <v>4</v>
      </c>
      <c r="D394" s="2">
        <v>43721</v>
      </c>
      <c r="E394" s="11">
        <v>256</v>
      </c>
      <c r="F394" s="3">
        <v>0.44514000000344822</v>
      </c>
      <c r="G394" s="3">
        <v>0.44860999999946216</v>
      </c>
      <c r="H394" s="13">
        <f t="shared" si="0"/>
        <v>256.44514000000345</v>
      </c>
      <c r="I394" s="13">
        <f t="shared" si="1"/>
        <v>256.44860999999946</v>
      </c>
      <c r="J394" s="13">
        <f t="shared" si="2"/>
        <v>256.44687500000146</v>
      </c>
      <c r="K394" s="7">
        <v>43721.446875000001</v>
      </c>
      <c r="L394" s="4">
        <v>1356.2</v>
      </c>
      <c r="M394" s="4">
        <v>14.7</v>
      </c>
      <c r="N394" s="4">
        <v>15</v>
      </c>
      <c r="O394">
        <v>23.2</v>
      </c>
      <c r="P394">
        <v>0.61</v>
      </c>
      <c r="Q394">
        <v>-9.5868648373473597</v>
      </c>
      <c r="R394" s="6">
        <v>-7.7000000000000001E-5</v>
      </c>
    </row>
    <row r="395" spans="1:18" x14ac:dyDescent="0.2">
      <c r="A395" t="s">
        <v>7</v>
      </c>
      <c r="B395">
        <v>3</v>
      </c>
      <c r="C395" t="s">
        <v>3</v>
      </c>
      <c r="D395" s="2">
        <v>43721</v>
      </c>
      <c r="E395" s="11">
        <v>256</v>
      </c>
      <c r="F395" s="3">
        <v>0.45225999999820488</v>
      </c>
      <c r="G395" s="3">
        <v>0.45573000000149477</v>
      </c>
      <c r="H395" s="13">
        <f t="shared" si="0"/>
        <v>256.4522599999982</v>
      </c>
      <c r="I395" s="13">
        <f t="shared" si="1"/>
        <v>256.45573000000149</v>
      </c>
      <c r="J395" s="13">
        <f t="shared" si="2"/>
        <v>256.45399499999985</v>
      </c>
      <c r="K395" s="7">
        <v>43721.453995000003</v>
      </c>
      <c r="L395" s="4">
        <v>1401.2</v>
      </c>
      <c r="M395" s="4"/>
      <c r="N395" s="4">
        <v>15</v>
      </c>
      <c r="Q395">
        <v>13.6838992994051</v>
      </c>
      <c r="R395">
        <v>-5.8655700000000003E-4</v>
      </c>
    </row>
    <row r="396" spans="1:18" x14ac:dyDescent="0.2">
      <c r="A396" t="s">
        <v>7</v>
      </c>
      <c r="B396">
        <v>4</v>
      </c>
      <c r="C396" t="s">
        <v>4</v>
      </c>
      <c r="D396" s="2">
        <v>43721</v>
      </c>
      <c r="E396" s="11">
        <v>256</v>
      </c>
      <c r="F396" s="3">
        <v>0.46029999999882421</v>
      </c>
      <c r="G396" s="3">
        <v>0.4637700000021141</v>
      </c>
      <c r="H396" s="13">
        <f t="shared" si="0"/>
        <v>256.46029999999882</v>
      </c>
      <c r="I396" s="13">
        <f t="shared" si="1"/>
        <v>256.46377000000211</v>
      </c>
      <c r="J396" s="13">
        <f t="shared" si="2"/>
        <v>256.46203500000047</v>
      </c>
      <c r="K396" s="7">
        <v>43721.462035000004</v>
      </c>
      <c r="L396" s="4">
        <v>1443.7</v>
      </c>
      <c r="M396" s="4">
        <v>14.9</v>
      </c>
      <c r="N396" s="4">
        <v>15</v>
      </c>
      <c r="O396">
        <v>18</v>
      </c>
      <c r="P396">
        <v>0.68</v>
      </c>
      <c r="Q396">
        <v>-4.7449123105619799</v>
      </c>
      <c r="R396">
        <v>-3.7500800000000003E-4</v>
      </c>
    </row>
    <row r="397" spans="1:18" x14ac:dyDescent="0.2">
      <c r="A397" t="s">
        <v>7</v>
      </c>
      <c r="B397">
        <v>4</v>
      </c>
      <c r="C397" t="s">
        <v>3</v>
      </c>
      <c r="D397" s="2">
        <v>43721</v>
      </c>
      <c r="E397" s="11">
        <v>256</v>
      </c>
      <c r="F397" s="3">
        <v>0.46863000000303145</v>
      </c>
      <c r="G397" s="3">
        <v>0.47211000000243075</v>
      </c>
      <c r="H397" s="13">
        <f t="shared" si="0"/>
        <v>256.46863000000303</v>
      </c>
      <c r="I397" s="13">
        <f t="shared" si="1"/>
        <v>256.47211000000243</v>
      </c>
      <c r="J397" s="13">
        <f t="shared" si="2"/>
        <v>256.47037000000273</v>
      </c>
      <c r="K397" s="7">
        <v>43721.470370000003</v>
      </c>
      <c r="L397" s="4">
        <v>1506.2</v>
      </c>
      <c r="M397" s="4"/>
      <c r="N397" s="4">
        <v>15</v>
      </c>
      <c r="Q397">
        <v>7.0075157114909699</v>
      </c>
      <c r="R397">
        <v>-3.6338199999999998E-4</v>
      </c>
    </row>
    <row r="398" spans="1:18" x14ac:dyDescent="0.2">
      <c r="A398" t="s">
        <v>7</v>
      </c>
      <c r="B398">
        <v>5</v>
      </c>
      <c r="C398" t="s">
        <v>4</v>
      </c>
      <c r="D398" s="2">
        <v>43721</v>
      </c>
      <c r="E398" s="11">
        <v>256</v>
      </c>
      <c r="F398" s="3">
        <v>0.47615999999834457</v>
      </c>
      <c r="G398" s="3">
        <v>0.47963000000163447</v>
      </c>
      <c r="H398" s="13">
        <f t="shared" si="0"/>
        <v>256.47615999999834</v>
      </c>
      <c r="I398" s="13">
        <f t="shared" si="1"/>
        <v>256.47963000000163</v>
      </c>
      <c r="J398" s="13">
        <f t="shared" si="2"/>
        <v>256.47789499999999</v>
      </c>
      <c r="K398" s="7">
        <v>43721.477895000004</v>
      </c>
      <c r="L398" s="4">
        <v>1573.7</v>
      </c>
      <c r="M398" s="4">
        <v>15.2</v>
      </c>
      <c r="N398" s="4">
        <v>18.329999999999998</v>
      </c>
      <c r="O398">
        <v>19.2</v>
      </c>
      <c r="P398">
        <v>0.7</v>
      </c>
      <c r="Q398">
        <v>-8.0508844010413192</v>
      </c>
      <c r="R398" s="6">
        <v>1.1400000000000001E-6</v>
      </c>
    </row>
    <row r="399" spans="1:18" x14ac:dyDescent="0.2">
      <c r="A399" t="s">
        <v>7</v>
      </c>
      <c r="B399">
        <v>5</v>
      </c>
      <c r="C399" t="s">
        <v>3</v>
      </c>
      <c r="D399" s="2">
        <v>43721</v>
      </c>
      <c r="E399" s="11">
        <v>256</v>
      </c>
      <c r="F399" s="3">
        <v>0.48322000000189291</v>
      </c>
      <c r="G399" s="3">
        <v>0.48668999999790685</v>
      </c>
      <c r="H399" s="13">
        <f t="shared" si="0"/>
        <v>256.48322000000189</v>
      </c>
      <c r="I399" s="13">
        <f t="shared" si="1"/>
        <v>256.48668999999791</v>
      </c>
      <c r="J399" s="13">
        <f t="shared" si="2"/>
        <v>256.4849549999999</v>
      </c>
      <c r="K399" s="7">
        <v>43721.484955</v>
      </c>
      <c r="L399" s="4">
        <v>1718.7</v>
      </c>
      <c r="M399" s="4"/>
      <c r="N399" s="4">
        <v>18.329999999999998</v>
      </c>
      <c r="Q399">
        <v>26.475105152152899</v>
      </c>
      <c r="R399" s="6">
        <v>-3.1600000000000002E-5</v>
      </c>
    </row>
    <row r="400" spans="1:18" x14ac:dyDescent="0.2">
      <c r="A400" t="s">
        <v>7</v>
      </c>
      <c r="B400">
        <v>1</v>
      </c>
      <c r="C400" t="s">
        <v>4</v>
      </c>
      <c r="D400" s="2">
        <v>43721</v>
      </c>
      <c r="E400" s="11">
        <v>256</v>
      </c>
      <c r="F400" s="3">
        <v>0.51858000000356697</v>
      </c>
      <c r="G400" s="3">
        <v>0.5220499999995809</v>
      </c>
      <c r="H400" s="13">
        <f t="shared" si="0"/>
        <v>256.51858000000357</v>
      </c>
      <c r="I400" s="13">
        <f t="shared" si="1"/>
        <v>256.52204999999958</v>
      </c>
      <c r="J400" s="13">
        <f t="shared" si="2"/>
        <v>256.52031500000157</v>
      </c>
      <c r="K400" s="7">
        <v>43721.520315000002</v>
      </c>
      <c r="L400" s="4">
        <v>923.7</v>
      </c>
      <c r="M400" s="4">
        <v>14.6</v>
      </c>
      <c r="N400" s="4">
        <v>18.89</v>
      </c>
      <c r="O400">
        <v>17.100000000000001</v>
      </c>
      <c r="P400">
        <v>0.62</v>
      </c>
      <c r="Q400">
        <v>1.408862289</v>
      </c>
      <c r="R400">
        <v>-1.206394E-3</v>
      </c>
    </row>
    <row r="401" spans="1:18" x14ac:dyDescent="0.2">
      <c r="A401" t="s">
        <v>7</v>
      </c>
      <c r="B401">
        <v>1</v>
      </c>
      <c r="C401" t="s">
        <v>3</v>
      </c>
      <c r="D401" s="2">
        <v>43721</v>
      </c>
      <c r="E401" s="11">
        <v>256</v>
      </c>
      <c r="F401" s="3">
        <v>0.52483000000211177</v>
      </c>
      <c r="G401" s="3">
        <v>0.52829999999812571</v>
      </c>
      <c r="H401" s="13">
        <f t="shared" si="0"/>
        <v>256.52483000000211</v>
      </c>
      <c r="I401" s="13">
        <f t="shared" si="1"/>
        <v>256.52829999999813</v>
      </c>
      <c r="J401" s="13">
        <f t="shared" si="2"/>
        <v>256.52656500000012</v>
      </c>
      <c r="K401" s="7">
        <v>43721.526565</v>
      </c>
      <c r="L401" s="4">
        <v>2103.6999999999998</v>
      </c>
      <c r="M401" s="4"/>
      <c r="N401" s="4">
        <v>18.89</v>
      </c>
      <c r="Q401">
        <v>14.132103259999999</v>
      </c>
      <c r="R401">
        <v>-4.5431099999999999E-4</v>
      </c>
    </row>
    <row r="402" spans="1:18" x14ac:dyDescent="0.2">
      <c r="A402" t="s">
        <v>7</v>
      </c>
      <c r="B402">
        <v>2</v>
      </c>
      <c r="C402" t="s">
        <v>4</v>
      </c>
      <c r="D402" s="2">
        <v>43721</v>
      </c>
      <c r="E402" s="11">
        <v>256</v>
      </c>
      <c r="F402" s="3">
        <v>0.53113000000303145</v>
      </c>
      <c r="G402" s="3">
        <v>0.53461000000243075</v>
      </c>
      <c r="H402" s="13">
        <f t="shared" si="0"/>
        <v>256.53113000000303</v>
      </c>
      <c r="I402" s="13">
        <f t="shared" si="1"/>
        <v>256.53461000000243</v>
      </c>
      <c r="J402" s="13">
        <f t="shared" si="2"/>
        <v>256.53287000000273</v>
      </c>
      <c r="K402" s="7">
        <v>43721.532870000003</v>
      </c>
      <c r="L402" s="4">
        <v>756.2</v>
      </c>
      <c r="M402" s="4">
        <v>18.399999999999999</v>
      </c>
      <c r="N402" s="4">
        <v>18.89</v>
      </c>
      <c r="O402">
        <v>18.899999999999999</v>
      </c>
      <c r="P402">
        <v>0.67</v>
      </c>
      <c r="Q402">
        <v>2.1355846490000001</v>
      </c>
      <c r="R402">
        <v>3.7743999999999999E-4</v>
      </c>
    </row>
    <row r="403" spans="1:18" x14ac:dyDescent="0.2">
      <c r="A403" t="s">
        <v>7</v>
      </c>
      <c r="B403">
        <v>2</v>
      </c>
      <c r="C403" t="s">
        <v>3</v>
      </c>
      <c r="D403" s="2">
        <v>43721</v>
      </c>
      <c r="E403" s="11">
        <v>256</v>
      </c>
      <c r="F403" s="3">
        <v>0.537850000000617</v>
      </c>
      <c r="G403" s="3">
        <v>0.54155000000173459</v>
      </c>
      <c r="H403" s="13">
        <f t="shared" si="0"/>
        <v>256.53785000000062</v>
      </c>
      <c r="I403" s="13">
        <f t="shared" si="1"/>
        <v>256.54155000000173</v>
      </c>
      <c r="J403" s="13">
        <f t="shared" si="2"/>
        <v>256.53970000000118</v>
      </c>
      <c r="K403" s="7">
        <v>43721.539700000001</v>
      </c>
      <c r="L403" s="4">
        <v>958.7</v>
      </c>
      <c r="M403" s="4"/>
      <c r="N403" s="4">
        <v>18.89</v>
      </c>
      <c r="Q403">
        <v>8.1523505309999997</v>
      </c>
      <c r="R403">
        <v>-1.6064599999999999E-4</v>
      </c>
    </row>
    <row r="404" spans="1:18" x14ac:dyDescent="0.2">
      <c r="A404" t="s">
        <v>7</v>
      </c>
      <c r="B404">
        <v>3</v>
      </c>
      <c r="C404" t="s">
        <v>4</v>
      </c>
      <c r="D404" s="2">
        <v>43721</v>
      </c>
      <c r="E404" s="11">
        <v>256</v>
      </c>
      <c r="F404" s="3">
        <v>0.54497000000264961</v>
      </c>
      <c r="G404" s="3">
        <v>0.54843999999866355</v>
      </c>
      <c r="H404" s="13">
        <f t="shared" si="0"/>
        <v>256.54497000000265</v>
      </c>
      <c r="I404" s="13">
        <f t="shared" si="1"/>
        <v>256.54843999999866</v>
      </c>
      <c r="J404" s="13">
        <f t="shared" si="2"/>
        <v>256.54670500000066</v>
      </c>
      <c r="K404" s="7">
        <v>43721.546705000001</v>
      </c>
      <c r="L404" s="4">
        <v>1696.2</v>
      </c>
      <c r="M404" s="4">
        <v>12.9</v>
      </c>
      <c r="N404" s="4">
        <v>18.89</v>
      </c>
      <c r="O404">
        <v>19.3</v>
      </c>
      <c r="P404">
        <v>0.62</v>
      </c>
      <c r="Q404">
        <v>-5.0823788079999996</v>
      </c>
      <c r="R404" s="6">
        <v>-7.4499999999999995E-5</v>
      </c>
    </row>
    <row r="405" spans="1:18" x14ac:dyDescent="0.2">
      <c r="A405" t="s">
        <v>7</v>
      </c>
      <c r="B405">
        <v>3</v>
      </c>
      <c r="C405" t="s">
        <v>3</v>
      </c>
      <c r="D405" s="2">
        <v>43721</v>
      </c>
      <c r="E405" s="11">
        <v>256</v>
      </c>
      <c r="F405" s="3">
        <v>0.55109999999694992</v>
      </c>
      <c r="G405" s="3">
        <v>0.55457000000023982</v>
      </c>
      <c r="H405" s="13">
        <f t="shared" si="0"/>
        <v>256.55109999999695</v>
      </c>
      <c r="I405" s="13">
        <f t="shared" si="1"/>
        <v>256.55457000000024</v>
      </c>
      <c r="J405" s="13">
        <f t="shared" si="2"/>
        <v>256.55283499999859</v>
      </c>
      <c r="K405" s="7">
        <v>43721.552834999995</v>
      </c>
      <c r="L405" s="4">
        <v>1871.2</v>
      </c>
      <c r="M405" s="4"/>
      <c r="N405" s="4">
        <v>18.89</v>
      </c>
      <c r="Q405">
        <v>15.502260830000001</v>
      </c>
      <c r="R405">
        <v>1.4533800000000001E-4</v>
      </c>
    </row>
    <row r="406" spans="1:18" x14ac:dyDescent="0.2">
      <c r="A406" t="s">
        <v>7</v>
      </c>
      <c r="B406">
        <v>4</v>
      </c>
      <c r="C406" t="s">
        <v>4</v>
      </c>
      <c r="D406" s="2">
        <v>43721</v>
      </c>
      <c r="E406" s="11">
        <v>256</v>
      </c>
      <c r="F406" s="3">
        <v>0.55896999999822583</v>
      </c>
      <c r="G406" s="3">
        <v>0.56244000000151573</v>
      </c>
      <c r="H406" s="13">
        <f t="shared" si="0"/>
        <v>256.55896999999823</v>
      </c>
      <c r="I406" s="13">
        <f t="shared" si="1"/>
        <v>256.56244000000152</v>
      </c>
      <c r="J406" s="13">
        <f t="shared" si="2"/>
        <v>256.56070499999987</v>
      </c>
      <c r="K406" s="7">
        <v>43721.560704999996</v>
      </c>
      <c r="L406" s="4">
        <v>1801.2</v>
      </c>
      <c r="M406" s="4">
        <v>19.600000000000001</v>
      </c>
      <c r="N406" s="4">
        <v>18.89</v>
      </c>
      <c r="O406">
        <v>13</v>
      </c>
      <c r="P406">
        <v>0.66</v>
      </c>
      <c r="Q406">
        <v>-0.59799782499999998</v>
      </c>
      <c r="R406" s="6">
        <v>3.41E-6</v>
      </c>
    </row>
    <row r="407" spans="1:18" x14ac:dyDescent="0.2">
      <c r="A407" t="s">
        <v>7</v>
      </c>
      <c r="B407">
        <v>4</v>
      </c>
      <c r="C407" t="s">
        <v>3</v>
      </c>
      <c r="D407" s="2">
        <v>43721</v>
      </c>
      <c r="E407" s="11">
        <v>256</v>
      </c>
      <c r="F407" s="3">
        <v>0.56567999999970198</v>
      </c>
      <c r="G407" s="3">
        <v>0.56915999999910127</v>
      </c>
      <c r="H407" s="13">
        <f t="shared" si="0"/>
        <v>256.5656799999997</v>
      </c>
      <c r="I407" s="13">
        <f t="shared" si="1"/>
        <v>256.5691599999991</v>
      </c>
      <c r="J407" s="13">
        <f t="shared" si="2"/>
        <v>256.5674199999994</v>
      </c>
      <c r="K407" s="7">
        <v>43721.567419999999</v>
      </c>
      <c r="L407" s="4">
        <v>1381.2</v>
      </c>
      <c r="M407" s="4"/>
      <c r="N407" s="4">
        <v>18.89</v>
      </c>
      <c r="Q407">
        <v>15.80634639</v>
      </c>
      <c r="R407">
        <v>-1.0709600000000001E-4</v>
      </c>
    </row>
    <row r="408" spans="1:18" x14ac:dyDescent="0.2">
      <c r="A408" t="s">
        <v>7</v>
      </c>
      <c r="B408">
        <v>5</v>
      </c>
      <c r="C408" t="s">
        <v>4</v>
      </c>
      <c r="D408" s="2">
        <v>43721</v>
      </c>
      <c r="E408" s="11">
        <v>256</v>
      </c>
      <c r="F408" s="3">
        <v>0.57233999999880325</v>
      </c>
      <c r="G408" s="3">
        <v>0.57581000000209315</v>
      </c>
      <c r="H408" s="13">
        <f t="shared" si="0"/>
        <v>256.5723399999988</v>
      </c>
      <c r="I408" s="13">
        <f t="shared" si="1"/>
        <v>256.57581000000209</v>
      </c>
      <c r="J408" s="13">
        <f t="shared" si="2"/>
        <v>256.57407500000045</v>
      </c>
      <c r="K408" s="7">
        <v>43721.574074999997</v>
      </c>
      <c r="L408" s="4">
        <v>601.20000000000005</v>
      </c>
      <c r="M408" s="4">
        <v>19.5</v>
      </c>
      <c r="N408" s="4">
        <v>20.56</v>
      </c>
      <c r="O408">
        <v>28.5</v>
      </c>
      <c r="P408">
        <v>0.7</v>
      </c>
      <c r="Q408">
        <v>-6.0651559949999996</v>
      </c>
      <c r="R408" s="6">
        <v>-4.9299999999999999E-5</v>
      </c>
    </row>
    <row r="409" spans="1:18" x14ac:dyDescent="0.2">
      <c r="A409" t="s">
        <v>7</v>
      </c>
      <c r="B409">
        <v>5</v>
      </c>
      <c r="C409" t="s">
        <v>3</v>
      </c>
      <c r="D409" s="2">
        <v>43721</v>
      </c>
      <c r="E409" s="11">
        <v>256</v>
      </c>
      <c r="F409" s="3">
        <v>0.5790500000002794</v>
      </c>
      <c r="G409" s="3">
        <v>0.57626999999774853</v>
      </c>
      <c r="H409" s="13">
        <f t="shared" si="0"/>
        <v>256.57905000000028</v>
      </c>
      <c r="I409" s="13">
        <f t="shared" si="1"/>
        <v>256.57626999999775</v>
      </c>
      <c r="J409" s="13">
        <f t="shared" si="2"/>
        <v>256.57765999999901</v>
      </c>
      <c r="K409" s="7">
        <v>43721.577659999995</v>
      </c>
      <c r="L409" s="4">
        <v>1176.2</v>
      </c>
      <c r="M409" s="4"/>
      <c r="N409" s="4">
        <v>20.56</v>
      </c>
    </row>
    <row r="410" spans="1:18" x14ac:dyDescent="0.2">
      <c r="A410" t="s">
        <v>7</v>
      </c>
      <c r="B410">
        <v>1</v>
      </c>
      <c r="C410" t="s">
        <v>4</v>
      </c>
      <c r="D410" s="2">
        <v>43727</v>
      </c>
      <c r="E410" s="11">
        <v>262</v>
      </c>
      <c r="F410" s="3">
        <v>0.44281999999657273</v>
      </c>
      <c r="G410" s="3">
        <v>0.44630000000324799</v>
      </c>
      <c r="H410" s="13">
        <f t="shared" si="0"/>
        <v>262.44281999999657</v>
      </c>
      <c r="I410" s="13">
        <f t="shared" si="1"/>
        <v>262.44630000000325</v>
      </c>
      <c r="J410" s="13">
        <f t="shared" si="2"/>
        <v>262.44455999999991</v>
      </c>
      <c r="K410" s="7">
        <v>43727.444560000004</v>
      </c>
      <c r="L410" s="4">
        <v>1358.7</v>
      </c>
      <c r="M410" s="4">
        <v>11.7</v>
      </c>
      <c r="N410">
        <v>12.78</v>
      </c>
      <c r="O410">
        <v>15.2</v>
      </c>
      <c r="P410">
        <v>0.43</v>
      </c>
      <c r="Q410">
        <v>5.6176137478626096</v>
      </c>
      <c r="R410" s="6">
        <v>5.6235466564831901E-5</v>
      </c>
    </row>
    <row r="411" spans="1:18" x14ac:dyDescent="0.2">
      <c r="A411" t="s">
        <v>7</v>
      </c>
      <c r="B411">
        <v>1</v>
      </c>
      <c r="C411" t="s">
        <v>3</v>
      </c>
      <c r="D411" s="2">
        <v>43727</v>
      </c>
      <c r="E411" s="11">
        <v>262</v>
      </c>
      <c r="F411" s="3">
        <v>0.45087000000057742</v>
      </c>
      <c r="G411" s="3">
        <v>0.45433999999659136</v>
      </c>
      <c r="H411" s="13">
        <f t="shared" si="0"/>
        <v>262.45087000000058</v>
      </c>
      <c r="I411" s="13">
        <f t="shared" si="1"/>
        <v>262.45433999999659</v>
      </c>
      <c r="J411" s="13">
        <f t="shared" si="2"/>
        <v>262.45260499999858</v>
      </c>
      <c r="K411" s="7">
        <v>43727.452604999999</v>
      </c>
      <c r="L411" s="4">
        <v>1403.7</v>
      </c>
      <c r="M411" s="4"/>
      <c r="N411">
        <v>12.78</v>
      </c>
      <c r="Q411">
        <v>5.9892209451699898</v>
      </c>
      <c r="R411">
        <v>-1.3668796250930799E-4</v>
      </c>
    </row>
    <row r="412" spans="1:18" x14ac:dyDescent="0.2">
      <c r="A412" t="s">
        <v>7</v>
      </c>
      <c r="B412">
        <v>2</v>
      </c>
      <c r="C412" t="s">
        <v>4</v>
      </c>
      <c r="D412" s="2">
        <v>43727</v>
      </c>
      <c r="E412" s="11">
        <v>262</v>
      </c>
      <c r="F412" s="3">
        <v>0.45775000000139698</v>
      </c>
      <c r="G412" s="3">
        <v>0.46123000000079628</v>
      </c>
      <c r="H412" s="13">
        <f t="shared" si="0"/>
        <v>262.4577500000014</v>
      </c>
      <c r="I412" s="13">
        <f t="shared" si="1"/>
        <v>262.4612300000008</v>
      </c>
      <c r="J412" s="13">
        <f t="shared" si="2"/>
        <v>262.4594900000011</v>
      </c>
      <c r="K412" s="7">
        <v>43727.459490000001</v>
      </c>
      <c r="L412" s="4">
        <v>1441.2</v>
      </c>
      <c r="M412" s="4">
        <v>16.5</v>
      </c>
      <c r="N412">
        <v>12.78</v>
      </c>
      <c r="O412">
        <v>18</v>
      </c>
      <c r="P412">
        <v>0.5</v>
      </c>
      <c r="Q412">
        <v>3.84219659838215</v>
      </c>
      <c r="R412">
        <v>-5.1641553721046404E-4</v>
      </c>
    </row>
    <row r="413" spans="1:18" x14ac:dyDescent="0.2">
      <c r="A413" t="s">
        <v>7</v>
      </c>
      <c r="B413">
        <v>2</v>
      </c>
      <c r="C413" t="s">
        <v>3</v>
      </c>
      <c r="D413" s="2">
        <v>43727</v>
      </c>
      <c r="E413" s="11">
        <v>262</v>
      </c>
      <c r="F413" s="3">
        <v>0.4652799999967101</v>
      </c>
      <c r="G413" s="3">
        <v>0.46875</v>
      </c>
      <c r="H413" s="13">
        <f t="shared" si="0"/>
        <v>262.46527999999671</v>
      </c>
      <c r="I413" s="13">
        <f t="shared" si="1"/>
        <v>262.46875</v>
      </c>
      <c r="J413" s="13">
        <f t="shared" si="2"/>
        <v>262.46701499999836</v>
      </c>
      <c r="K413" s="7">
        <v>43727.467015000002</v>
      </c>
      <c r="L413" s="4">
        <v>1481.2</v>
      </c>
      <c r="M413" s="4"/>
      <c r="N413">
        <v>12.78</v>
      </c>
      <c r="Q413">
        <v>5.4068543153191397</v>
      </c>
      <c r="R413">
        <v>-4.44841087714841E-4</v>
      </c>
    </row>
    <row r="414" spans="1:18" x14ac:dyDescent="0.2">
      <c r="A414" t="s">
        <v>7</v>
      </c>
      <c r="B414">
        <v>3</v>
      </c>
      <c r="C414" t="s">
        <v>4</v>
      </c>
      <c r="D414" s="2">
        <v>43727</v>
      </c>
      <c r="E414" s="11">
        <v>262</v>
      </c>
      <c r="F414" s="3">
        <v>0.47383999999874504</v>
      </c>
      <c r="G414" s="3">
        <v>0.47731000000203494</v>
      </c>
      <c r="H414" s="13">
        <f t="shared" si="0"/>
        <v>262.47383999999875</v>
      </c>
      <c r="I414" s="13">
        <f t="shared" si="1"/>
        <v>262.47731000000203</v>
      </c>
      <c r="J414" s="13">
        <f t="shared" si="2"/>
        <v>262.47557500000039</v>
      </c>
      <c r="K414" s="7">
        <v>43727.475575000004</v>
      </c>
      <c r="L414" s="4">
        <v>1518.7</v>
      </c>
      <c r="M414" s="4">
        <v>11.8</v>
      </c>
      <c r="N414">
        <v>12.78</v>
      </c>
      <c r="O414">
        <v>13.1</v>
      </c>
      <c r="P414">
        <v>0.48</v>
      </c>
      <c r="Q414">
        <v>3.85479511896557</v>
      </c>
      <c r="R414">
        <v>-4.6940607200041698E-4</v>
      </c>
    </row>
    <row r="415" spans="1:18" x14ac:dyDescent="0.2">
      <c r="A415" t="s">
        <v>7</v>
      </c>
      <c r="B415">
        <v>3</v>
      </c>
      <c r="C415" t="s">
        <v>3</v>
      </c>
      <c r="D415" s="2">
        <v>43727</v>
      </c>
      <c r="E415" s="11">
        <v>262</v>
      </c>
      <c r="F415" s="3">
        <v>0.48056000000360655</v>
      </c>
      <c r="G415" s="3">
        <v>0.48402999999962049</v>
      </c>
      <c r="H415" s="13">
        <f t="shared" si="0"/>
        <v>262.48056000000361</v>
      </c>
      <c r="I415" s="13">
        <f t="shared" si="1"/>
        <v>262.48402999999962</v>
      </c>
      <c r="J415" s="13">
        <f t="shared" si="2"/>
        <v>262.48229500000161</v>
      </c>
      <c r="K415" s="7">
        <v>43727.482295000002</v>
      </c>
      <c r="L415" s="4">
        <v>1553.7</v>
      </c>
      <c r="M415" s="4"/>
      <c r="N415">
        <v>12.78</v>
      </c>
      <c r="Q415">
        <v>9.4932990749153099</v>
      </c>
      <c r="R415" s="6">
        <v>3.9516709948954001E-5</v>
      </c>
    </row>
    <row r="416" spans="1:18" x14ac:dyDescent="0.2">
      <c r="A416" t="s">
        <v>7</v>
      </c>
      <c r="B416">
        <v>4</v>
      </c>
      <c r="C416" t="s">
        <v>4</v>
      </c>
      <c r="D416" s="2">
        <v>43727</v>
      </c>
      <c r="E416" s="11">
        <v>262</v>
      </c>
      <c r="F416" s="3">
        <v>0.48889000000053784</v>
      </c>
      <c r="G416" s="3">
        <v>0.49235999999655178</v>
      </c>
      <c r="H416" s="13">
        <f t="shared" si="0"/>
        <v>262.48889000000054</v>
      </c>
      <c r="I416" s="13">
        <f t="shared" si="1"/>
        <v>262.49235999999655</v>
      </c>
      <c r="J416" s="13">
        <f t="shared" si="2"/>
        <v>262.49062499999854</v>
      </c>
      <c r="K416" s="7">
        <v>43727.490624999999</v>
      </c>
      <c r="L416" s="4">
        <v>1586.2</v>
      </c>
      <c r="M416" s="4">
        <v>13.6</v>
      </c>
      <c r="N416">
        <v>12.78</v>
      </c>
      <c r="O416">
        <v>15.1</v>
      </c>
      <c r="P416">
        <v>0.55000000000000004</v>
      </c>
      <c r="Q416">
        <v>3.5918065509075601</v>
      </c>
      <c r="R416" s="6">
        <v>6.5727233115170806E-5</v>
      </c>
    </row>
    <row r="417" spans="1:18" x14ac:dyDescent="0.2">
      <c r="A417" t="s">
        <v>7</v>
      </c>
      <c r="B417">
        <v>4</v>
      </c>
      <c r="C417" t="s">
        <v>3</v>
      </c>
      <c r="D417" s="2">
        <v>43727</v>
      </c>
      <c r="E417" s="11">
        <v>262</v>
      </c>
      <c r="F417" s="3">
        <v>0.49698999999964144</v>
      </c>
      <c r="G417" s="3">
        <v>0.50046000000293134</v>
      </c>
      <c r="H417" s="13">
        <f t="shared" si="0"/>
        <v>262.49698999999964</v>
      </c>
      <c r="I417" s="13">
        <f t="shared" si="1"/>
        <v>262.50046000000293</v>
      </c>
      <c r="J417" s="13">
        <f t="shared" si="2"/>
        <v>262.49872500000129</v>
      </c>
      <c r="K417" s="7">
        <v>43727.498724999998</v>
      </c>
      <c r="L417" s="4">
        <v>1611.2</v>
      </c>
      <c r="M417" s="4"/>
      <c r="N417">
        <v>12.78</v>
      </c>
      <c r="Q417">
        <v>9.2874916283863307</v>
      </c>
      <c r="R417" s="6">
        <v>-1.8719001399837401E-5</v>
      </c>
    </row>
    <row r="418" spans="1:18" x14ac:dyDescent="0.2">
      <c r="A418" t="s">
        <v>7</v>
      </c>
      <c r="B418">
        <v>5</v>
      </c>
      <c r="C418" t="s">
        <v>4</v>
      </c>
      <c r="D418" s="2">
        <v>43727</v>
      </c>
      <c r="E418" s="11">
        <v>262</v>
      </c>
      <c r="F418" s="3">
        <v>0.50613000000157626</v>
      </c>
      <c r="G418" s="3">
        <v>0.50961000000097556</v>
      </c>
      <c r="H418" s="13">
        <f t="shared" si="0"/>
        <v>262.50613000000158</v>
      </c>
      <c r="I418" s="13">
        <f t="shared" si="1"/>
        <v>262.50961000000098</v>
      </c>
      <c r="J418" s="13">
        <f t="shared" si="2"/>
        <v>262.50787000000128</v>
      </c>
      <c r="K418" s="7">
        <v>43727.507870000001</v>
      </c>
      <c r="L418" s="4">
        <v>1633.7</v>
      </c>
      <c r="M418" s="4">
        <v>8.4</v>
      </c>
      <c r="N418">
        <v>17.22</v>
      </c>
      <c r="O418">
        <v>26.8</v>
      </c>
      <c r="P418">
        <v>0.49</v>
      </c>
      <c r="Q418">
        <v>2.3323102142229399</v>
      </c>
      <c r="R418">
        <v>-2.35293210383984E-4</v>
      </c>
    </row>
    <row r="419" spans="1:18" x14ac:dyDescent="0.2">
      <c r="A419" t="s">
        <v>7</v>
      </c>
      <c r="B419">
        <v>5</v>
      </c>
      <c r="C419" t="s">
        <v>3</v>
      </c>
      <c r="D419" s="2">
        <v>43727</v>
      </c>
      <c r="E419" s="11">
        <v>262</v>
      </c>
      <c r="F419" s="3">
        <v>0.5150500000017928</v>
      </c>
      <c r="G419" s="3">
        <v>0.51851999999780674</v>
      </c>
      <c r="H419" s="13">
        <f t="shared" si="0"/>
        <v>262.51505000000179</v>
      </c>
      <c r="I419" s="13">
        <f t="shared" si="1"/>
        <v>262.51851999999781</v>
      </c>
      <c r="J419" s="13">
        <f t="shared" si="2"/>
        <v>262.5167849999998</v>
      </c>
      <c r="K419" s="7">
        <v>43727.516785</v>
      </c>
      <c r="L419" s="4">
        <v>1643.7</v>
      </c>
      <c r="M419" s="4"/>
      <c r="N419">
        <v>17.22</v>
      </c>
      <c r="Q419">
        <v>19.5613035483746</v>
      </c>
      <c r="R419">
        <v>-2.7997916445643602E-4</v>
      </c>
    </row>
    <row r="420" spans="1:18" x14ac:dyDescent="0.2">
      <c r="A420" t="s">
        <v>7</v>
      </c>
      <c r="B420">
        <v>1</v>
      </c>
      <c r="C420" t="s">
        <v>4</v>
      </c>
      <c r="D420" s="2">
        <v>43727</v>
      </c>
      <c r="E420" s="11">
        <v>262</v>
      </c>
      <c r="F420" s="3">
        <v>0.55324000000109663</v>
      </c>
      <c r="G420" s="3">
        <v>0.55670999999711057</v>
      </c>
      <c r="H420" s="13">
        <f t="shared" si="0"/>
        <v>262.5532400000011</v>
      </c>
      <c r="I420" s="13">
        <f t="shared" si="1"/>
        <v>262.55670999999711</v>
      </c>
      <c r="J420" s="13">
        <f t="shared" si="2"/>
        <v>262.5549749999991</v>
      </c>
      <c r="K420" s="7">
        <v>43727.554974999999</v>
      </c>
      <c r="L420" s="4">
        <v>1656.2</v>
      </c>
      <c r="M420" s="4">
        <v>11.3</v>
      </c>
      <c r="N420">
        <v>17.78</v>
      </c>
      <c r="O420">
        <v>21.9</v>
      </c>
      <c r="P420">
        <v>0.46</v>
      </c>
      <c r="Q420">
        <v>7.0045951724593802</v>
      </c>
      <c r="R420" s="6">
        <v>-4.1308383276125201E-6</v>
      </c>
    </row>
    <row r="421" spans="1:18" x14ac:dyDescent="0.2">
      <c r="A421" t="s">
        <v>7</v>
      </c>
      <c r="B421">
        <v>1</v>
      </c>
      <c r="C421" t="s">
        <v>3</v>
      </c>
      <c r="D421" s="2">
        <v>43727</v>
      </c>
      <c r="E421" s="11">
        <v>262</v>
      </c>
      <c r="F421" s="3">
        <v>0.55943000000115717</v>
      </c>
      <c r="G421" s="3">
        <v>0.56291000000055647</v>
      </c>
      <c r="H421" s="13">
        <f t="shared" si="0"/>
        <v>262.55943000000116</v>
      </c>
      <c r="I421" s="13">
        <f t="shared" si="1"/>
        <v>262.56291000000056</v>
      </c>
      <c r="J421" s="13">
        <f t="shared" si="2"/>
        <v>262.56117000000086</v>
      </c>
      <c r="K421" s="7">
        <v>43727.561170000001</v>
      </c>
      <c r="L421" s="4">
        <v>1638.7</v>
      </c>
      <c r="M421" s="4"/>
      <c r="N421">
        <v>17.78</v>
      </c>
      <c r="Q421">
        <v>8.2679835506738701</v>
      </c>
      <c r="R421">
        <v>-3.7979144849257401E-4</v>
      </c>
    </row>
    <row r="422" spans="1:18" x14ac:dyDescent="0.2">
      <c r="A422" t="s">
        <v>7</v>
      </c>
      <c r="B422">
        <v>2</v>
      </c>
      <c r="C422" t="s">
        <v>4</v>
      </c>
      <c r="D422" s="2">
        <v>43727</v>
      </c>
      <c r="E422" s="11">
        <v>262</v>
      </c>
      <c r="F422" s="3">
        <v>0.56631999999808613</v>
      </c>
      <c r="G422" s="3">
        <v>0.56979000000137603</v>
      </c>
      <c r="H422" s="13">
        <f t="shared" si="0"/>
        <v>262.56631999999809</v>
      </c>
      <c r="I422" s="13">
        <f t="shared" si="1"/>
        <v>262.56979000000138</v>
      </c>
      <c r="J422" s="13">
        <f t="shared" si="2"/>
        <v>262.56805499999973</v>
      </c>
      <c r="K422" s="7">
        <v>43727.568054999996</v>
      </c>
      <c r="L422" s="4">
        <v>1636.2</v>
      </c>
      <c r="M422" s="4">
        <v>15.9</v>
      </c>
      <c r="N422">
        <v>17.78</v>
      </c>
      <c r="O422">
        <v>27.8</v>
      </c>
      <c r="P422">
        <v>0.5</v>
      </c>
      <c r="Q422">
        <v>4.35312274232282</v>
      </c>
      <c r="R422" s="6">
        <v>-7.3763190464276897E-5</v>
      </c>
    </row>
    <row r="423" spans="1:18" x14ac:dyDescent="0.2">
      <c r="A423" t="s">
        <v>7</v>
      </c>
      <c r="B423">
        <v>2</v>
      </c>
      <c r="C423" t="s">
        <v>3</v>
      </c>
      <c r="D423" s="2">
        <v>43727</v>
      </c>
      <c r="E423" s="11">
        <v>262</v>
      </c>
      <c r="F423" s="3">
        <v>0.57454000000143424</v>
      </c>
      <c r="G423" s="3">
        <v>0.57800999999744818</v>
      </c>
      <c r="H423" s="13">
        <f t="shared" si="0"/>
        <v>262.57454000000143</v>
      </c>
      <c r="I423" s="13">
        <f t="shared" si="1"/>
        <v>262.57800999999745</v>
      </c>
      <c r="J423" s="13">
        <f t="shared" si="2"/>
        <v>262.57627499999944</v>
      </c>
      <c r="K423" s="7">
        <v>43727.576274999999</v>
      </c>
      <c r="L423" s="4">
        <v>1613.7</v>
      </c>
      <c r="M423" s="4"/>
      <c r="N423">
        <v>17.78</v>
      </c>
      <c r="Q423">
        <v>5.0746177709405398</v>
      </c>
      <c r="R423">
        <v>-7.4131175039941104E-4</v>
      </c>
    </row>
    <row r="424" spans="1:18" x14ac:dyDescent="0.2">
      <c r="A424" t="s">
        <v>7</v>
      </c>
      <c r="B424">
        <v>3</v>
      </c>
      <c r="C424" t="s">
        <v>4</v>
      </c>
      <c r="D424" s="2">
        <v>43727</v>
      </c>
      <c r="E424" s="11">
        <v>262</v>
      </c>
      <c r="F424" s="3">
        <v>0.58402999999816529</v>
      </c>
      <c r="G424" s="3">
        <v>0.58750000000145519</v>
      </c>
      <c r="H424" s="13">
        <f t="shared" si="0"/>
        <v>262.58402999999817</v>
      </c>
      <c r="I424" s="13">
        <f t="shared" si="1"/>
        <v>262.58750000000146</v>
      </c>
      <c r="J424" s="13">
        <f t="shared" si="2"/>
        <v>262.58576499999981</v>
      </c>
      <c r="K424" s="7">
        <v>43727.585764999996</v>
      </c>
      <c r="L424" s="4">
        <v>1588.7</v>
      </c>
      <c r="M424" s="4">
        <v>9.6</v>
      </c>
      <c r="N424">
        <v>17.78</v>
      </c>
      <c r="O424">
        <v>20.399999999999999</v>
      </c>
      <c r="P424">
        <v>0.52</v>
      </c>
      <c r="Q424">
        <v>4.3879321080911504</v>
      </c>
      <c r="R424" s="6">
        <v>-5.4892905981794999E-5</v>
      </c>
    </row>
    <row r="425" spans="1:18" x14ac:dyDescent="0.2">
      <c r="A425" t="s">
        <v>7</v>
      </c>
      <c r="B425">
        <v>3</v>
      </c>
      <c r="C425" t="s">
        <v>3</v>
      </c>
      <c r="D425" s="2">
        <v>43727</v>
      </c>
      <c r="E425" s="11">
        <v>262</v>
      </c>
      <c r="F425" s="3">
        <v>0.59115000000019791</v>
      </c>
      <c r="G425" s="3">
        <v>0.5946200000034878</v>
      </c>
      <c r="H425" s="13">
        <f t="shared" si="0"/>
        <v>262.5911500000002</v>
      </c>
      <c r="I425" s="13">
        <f t="shared" si="1"/>
        <v>262.59462000000349</v>
      </c>
      <c r="J425" s="13">
        <f t="shared" si="2"/>
        <v>262.59288500000184</v>
      </c>
      <c r="K425" s="7">
        <v>43727.592885000005</v>
      </c>
      <c r="L425" s="4">
        <v>1561.2</v>
      </c>
      <c r="M425" s="4"/>
      <c r="N425">
        <v>17.78</v>
      </c>
      <c r="Q425">
        <v>9.2493572466662997</v>
      </c>
      <c r="R425" s="6">
        <v>-5.6469371199985601E-6</v>
      </c>
    </row>
    <row r="426" spans="1:18" x14ac:dyDescent="0.2">
      <c r="A426" t="s">
        <v>7</v>
      </c>
      <c r="B426">
        <v>4</v>
      </c>
      <c r="C426" t="s">
        <v>4</v>
      </c>
      <c r="D426" s="2">
        <v>43727</v>
      </c>
      <c r="E426" s="11">
        <v>262</v>
      </c>
      <c r="F426" s="3">
        <v>0.59803000000101747</v>
      </c>
      <c r="G426" s="3">
        <v>0.60149999999703141</v>
      </c>
      <c r="H426" s="13">
        <f t="shared" si="0"/>
        <v>262.59803000000102</v>
      </c>
      <c r="I426" s="13">
        <f t="shared" si="1"/>
        <v>262.60149999999703</v>
      </c>
      <c r="J426" s="13">
        <f t="shared" si="2"/>
        <v>262.59976499999902</v>
      </c>
      <c r="K426" s="7">
        <v>43727.599764999999</v>
      </c>
      <c r="L426" s="4">
        <v>1531.2</v>
      </c>
      <c r="M426" s="4">
        <v>12.9</v>
      </c>
      <c r="N426">
        <v>17.78</v>
      </c>
      <c r="O426">
        <v>16.8</v>
      </c>
      <c r="P426">
        <v>0.53</v>
      </c>
      <c r="Q426">
        <v>4.8267576841553499</v>
      </c>
      <c r="R426">
        <v>1.77259492201341E-4</v>
      </c>
    </row>
    <row r="427" spans="1:18" x14ac:dyDescent="0.2">
      <c r="A427" t="s">
        <v>7</v>
      </c>
      <c r="B427">
        <v>4</v>
      </c>
      <c r="C427" t="s">
        <v>3</v>
      </c>
      <c r="D427" s="2">
        <v>43727</v>
      </c>
      <c r="E427" s="11">
        <v>262</v>
      </c>
      <c r="F427" s="3">
        <v>0.60693999999784864</v>
      </c>
      <c r="G427" s="3">
        <v>0.61041999999724794</v>
      </c>
      <c r="H427" s="13">
        <f t="shared" si="0"/>
        <v>262.60693999999785</v>
      </c>
      <c r="I427" s="13">
        <f t="shared" si="1"/>
        <v>262.61041999999725</v>
      </c>
      <c r="J427" s="13">
        <f t="shared" si="2"/>
        <v>262.60867999999755</v>
      </c>
      <c r="K427" s="7">
        <v>43727.608679999998</v>
      </c>
      <c r="L427" s="4">
        <v>1491.2</v>
      </c>
      <c r="M427" s="4"/>
      <c r="N427">
        <v>17.78</v>
      </c>
      <c r="Q427">
        <v>10.253948120374901</v>
      </c>
      <c r="R427" s="6">
        <v>-2.6315329344431201E-5</v>
      </c>
    </row>
    <row r="428" spans="1:18" x14ac:dyDescent="0.2">
      <c r="A428" t="s">
        <v>7</v>
      </c>
      <c r="B428">
        <v>5</v>
      </c>
      <c r="C428" t="s">
        <v>4</v>
      </c>
      <c r="D428" s="2">
        <v>43727</v>
      </c>
      <c r="E428" s="11">
        <v>262</v>
      </c>
      <c r="F428" s="3">
        <v>0.61527999999816529</v>
      </c>
      <c r="G428" s="3">
        <v>0.61875000000145519</v>
      </c>
      <c r="H428" s="13">
        <f t="shared" si="0"/>
        <v>262.61527999999817</v>
      </c>
      <c r="I428" s="13">
        <f t="shared" si="1"/>
        <v>262.61875000000146</v>
      </c>
      <c r="J428" s="13">
        <f t="shared" si="2"/>
        <v>262.61701499999981</v>
      </c>
      <c r="K428" s="7">
        <v>43727.617014999996</v>
      </c>
      <c r="L428" s="4">
        <v>1451.2</v>
      </c>
      <c r="M428" s="4">
        <v>8.6</v>
      </c>
      <c r="N428">
        <v>21.11</v>
      </c>
      <c r="O428">
        <v>29.9</v>
      </c>
      <c r="P428">
        <v>0.52</v>
      </c>
      <c r="Q428">
        <v>3.33950342130397</v>
      </c>
      <c r="R428" s="6">
        <v>7.7149726901536396E-6</v>
      </c>
    </row>
    <row r="429" spans="1:18" x14ac:dyDescent="0.2">
      <c r="A429" t="s">
        <v>7</v>
      </c>
      <c r="B429">
        <v>5</v>
      </c>
      <c r="C429" t="s">
        <v>3</v>
      </c>
      <c r="D429" s="2">
        <v>43727</v>
      </c>
      <c r="E429" s="11">
        <v>262</v>
      </c>
      <c r="F429" s="3">
        <v>0.62240000000019791</v>
      </c>
      <c r="G429" s="3">
        <v>0.6258700000034878</v>
      </c>
      <c r="H429" s="13">
        <f t="shared" si="0"/>
        <v>262.6224000000002</v>
      </c>
      <c r="I429" s="13">
        <f t="shared" si="1"/>
        <v>262.62587000000349</v>
      </c>
      <c r="J429" s="13">
        <f t="shared" si="2"/>
        <v>262.62413500000184</v>
      </c>
      <c r="K429" s="7">
        <v>43727.624135000005</v>
      </c>
      <c r="L429" s="4">
        <v>1413.7</v>
      </c>
      <c r="M429" s="4"/>
      <c r="N429">
        <v>21.11</v>
      </c>
      <c r="Q429">
        <v>19.2777758186411</v>
      </c>
      <c r="R429" s="6">
        <v>4.2546348540898802E-5</v>
      </c>
    </row>
    <row r="430" spans="1:18" x14ac:dyDescent="0.2">
      <c r="A430" t="s">
        <v>7</v>
      </c>
      <c r="B430">
        <v>1</v>
      </c>
      <c r="C430" t="s">
        <v>4</v>
      </c>
      <c r="D430" s="2">
        <v>43734</v>
      </c>
      <c r="E430" s="11">
        <v>269</v>
      </c>
      <c r="F430" s="3">
        <v>0.41249999999854481</v>
      </c>
      <c r="G430" s="3">
        <v>0.41597000000183471</v>
      </c>
      <c r="H430" s="13">
        <f t="shared" si="0"/>
        <v>269.41249999999854</v>
      </c>
      <c r="I430" s="13">
        <f t="shared" si="1"/>
        <v>269.41597000000183</v>
      </c>
      <c r="J430" s="13">
        <f t="shared" si="2"/>
        <v>269.41423500000019</v>
      </c>
      <c r="K430" s="7">
        <v>43734.414235000004</v>
      </c>
      <c r="L430" s="4">
        <v>1361.2</v>
      </c>
      <c r="M430" s="4">
        <v>9.8000000000000007</v>
      </c>
      <c r="N430">
        <v>21.67</v>
      </c>
      <c r="O430">
        <v>9.8000000000000007</v>
      </c>
      <c r="P430">
        <v>0.3</v>
      </c>
      <c r="Q430">
        <v>3.6213897221948401</v>
      </c>
      <c r="R430">
        <v>9.8746516479803796E-5</v>
      </c>
    </row>
    <row r="431" spans="1:18" x14ac:dyDescent="0.2">
      <c r="A431" t="s">
        <v>7</v>
      </c>
      <c r="B431">
        <v>1</v>
      </c>
      <c r="C431" t="s">
        <v>3</v>
      </c>
      <c r="D431" s="2">
        <v>43734</v>
      </c>
      <c r="E431" s="11">
        <v>269</v>
      </c>
      <c r="F431" s="3">
        <v>0.4213000000017928</v>
      </c>
      <c r="G431" s="3">
        <v>0.42476999999780674</v>
      </c>
      <c r="H431" s="13">
        <f t="shared" si="0"/>
        <v>269.42130000000179</v>
      </c>
      <c r="I431" s="13">
        <f t="shared" si="1"/>
        <v>269.42476999999781</v>
      </c>
      <c r="J431" s="13">
        <f t="shared" si="2"/>
        <v>269.4230349999998</v>
      </c>
      <c r="K431" s="7">
        <v>43734.423035</v>
      </c>
      <c r="L431" s="4">
        <v>1488.7</v>
      </c>
      <c r="M431" s="4"/>
      <c r="N431">
        <v>21.67</v>
      </c>
      <c r="Q431">
        <v>3.6176542241798599</v>
      </c>
      <c r="R431">
        <v>-4.7901543937419597E-6</v>
      </c>
    </row>
    <row r="432" spans="1:18" x14ac:dyDescent="0.2">
      <c r="A432" t="s">
        <v>7</v>
      </c>
      <c r="B432">
        <v>2</v>
      </c>
      <c r="C432" t="s">
        <v>4</v>
      </c>
      <c r="D432" s="2">
        <v>43734</v>
      </c>
      <c r="E432" s="11">
        <v>269</v>
      </c>
      <c r="F432" s="3">
        <v>0.43194000000221422</v>
      </c>
      <c r="G432" s="3">
        <v>0.43542000000161352</v>
      </c>
      <c r="H432" s="13">
        <f t="shared" si="0"/>
        <v>269.43194000000221</v>
      </c>
      <c r="I432" s="13">
        <f t="shared" si="1"/>
        <v>269.43542000000161</v>
      </c>
      <c r="J432" s="13">
        <f t="shared" si="2"/>
        <v>269.43368000000191</v>
      </c>
      <c r="K432" s="7">
        <v>43734.433680000002</v>
      </c>
      <c r="L432" s="4">
        <v>1283.7</v>
      </c>
      <c r="M432" s="4">
        <v>11.4</v>
      </c>
      <c r="N432">
        <v>21.67</v>
      </c>
      <c r="O432">
        <v>23.6</v>
      </c>
      <c r="P432">
        <v>0.38</v>
      </c>
      <c r="Q432">
        <v>5.9580539418201699</v>
      </c>
      <c r="R432">
        <v>-1.494039387828E-4</v>
      </c>
    </row>
    <row r="433" spans="1:18" x14ac:dyDescent="0.2">
      <c r="A433" t="s">
        <v>7</v>
      </c>
      <c r="B433">
        <v>2</v>
      </c>
      <c r="C433" t="s">
        <v>3</v>
      </c>
      <c r="D433" s="2">
        <v>43734</v>
      </c>
      <c r="E433" s="11">
        <v>269</v>
      </c>
      <c r="F433" s="3">
        <v>0.43865999999979977</v>
      </c>
      <c r="G433" s="3">
        <v>0.44213000000308966</v>
      </c>
      <c r="H433" s="13">
        <f t="shared" si="0"/>
        <v>269.4386599999998</v>
      </c>
      <c r="I433" s="13">
        <f t="shared" si="1"/>
        <v>269.44213000000309</v>
      </c>
      <c r="J433" s="13">
        <f t="shared" si="2"/>
        <v>269.44039500000144</v>
      </c>
      <c r="K433" s="7">
        <v>43734.440394999998</v>
      </c>
      <c r="L433" s="4">
        <v>1408.7</v>
      </c>
      <c r="M433" s="4"/>
      <c r="N433">
        <v>21.67</v>
      </c>
      <c r="Q433">
        <v>5.4203918895958401</v>
      </c>
      <c r="R433">
        <v>-1.7594663134808301E-4</v>
      </c>
    </row>
    <row r="434" spans="1:18" x14ac:dyDescent="0.2">
      <c r="A434" t="s">
        <v>7</v>
      </c>
      <c r="B434">
        <v>3</v>
      </c>
      <c r="C434" t="s">
        <v>4</v>
      </c>
      <c r="D434" s="2">
        <v>43734</v>
      </c>
      <c r="E434" s="11">
        <v>269</v>
      </c>
      <c r="F434" s="3">
        <v>0.44443999999930384</v>
      </c>
      <c r="G434" s="3">
        <v>0.44791999999870313</v>
      </c>
      <c r="H434" s="13">
        <f t="shared" si="0"/>
        <v>269.4444399999993</v>
      </c>
      <c r="I434" s="13">
        <f t="shared" si="1"/>
        <v>269.4479199999987</v>
      </c>
      <c r="J434" s="13">
        <f t="shared" si="2"/>
        <v>269.446179999999</v>
      </c>
      <c r="K434" s="7">
        <v>43734.446179999999</v>
      </c>
      <c r="L434" s="4">
        <v>1458.7</v>
      </c>
      <c r="M434" s="4">
        <v>7.3</v>
      </c>
      <c r="N434">
        <v>21.67</v>
      </c>
      <c r="O434">
        <v>9.8000000000000007</v>
      </c>
      <c r="P434">
        <v>0.35</v>
      </c>
      <c r="Q434">
        <v>3.6285703528023801</v>
      </c>
      <c r="R434">
        <v>-7.9485884646805208E-6</v>
      </c>
    </row>
    <row r="435" spans="1:18" x14ac:dyDescent="0.2">
      <c r="A435" t="s">
        <v>7</v>
      </c>
      <c r="B435">
        <v>3</v>
      </c>
      <c r="C435" t="s">
        <v>3</v>
      </c>
      <c r="D435" s="2">
        <v>43734</v>
      </c>
      <c r="E435" s="11">
        <v>269</v>
      </c>
      <c r="F435" s="3">
        <v>0.45139000000199303</v>
      </c>
      <c r="G435" s="3">
        <v>0.45485999999800697</v>
      </c>
      <c r="H435" s="13">
        <f t="shared" si="0"/>
        <v>269.45139000000199</v>
      </c>
      <c r="I435" s="13">
        <f t="shared" si="1"/>
        <v>269.45485999999801</v>
      </c>
      <c r="J435" s="13">
        <f t="shared" si="2"/>
        <v>269.453125</v>
      </c>
      <c r="K435" s="7">
        <v>43734.453125</v>
      </c>
      <c r="L435" s="4">
        <v>1423.7</v>
      </c>
      <c r="M435" s="4"/>
      <c r="N435">
        <v>21.67</v>
      </c>
      <c r="Q435">
        <v>5.6906656538834302</v>
      </c>
      <c r="R435">
        <v>-5.6764622911858402E-4</v>
      </c>
    </row>
    <row r="436" spans="1:18" x14ac:dyDescent="0.2">
      <c r="A436" t="s">
        <v>7</v>
      </c>
      <c r="B436">
        <v>4</v>
      </c>
      <c r="C436" t="s">
        <v>4</v>
      </c>
      <c r="D436" s="2">
        <v>43734</v>
      </c>
      <c r="E436" s="11">
        <v>269</v>
      </c>
      <c r="F436" s="3">
        <v>0.45833000000129687</v>
      </c>
      <c r="G436" s="3">
        <v>0.46181000000069616</v>
      </c>
      <c r="H436" s="13">
        <f t="shared" si="0"/>
        <v>269.4583300000013</v>
      </c>
      <c r="I436" s="13">
        <f t="shared" si="1"/>
        <v>269.4618100000007</v>
      </c>
      <c r="J436" s="13">
        <f t="shared" si="2"/>
        <v>269.460070000001</v>
      </c>
      <c r="K436" s="7">
        <v>43734.460070000001</v>
      </c>
      <c r="L436" s="4">
        <v>1338.7</v>
      </c>
      <c r="M436" s="4">
        <v>9.1</v>
      </c>
      <c r="N436">
        <v>22.22</v>
      </c>
      <c r="O436">
        <v>12.7</v>
      </c>
      <c r="P436">
        <v>0.32</v>
      </c>
      <c r="Q436">
        <v>2.0987383697165001</v>
      </c>
      <c r="R436">
        <v>-6.5462154174990704E-5</v>
      </c>
    </row>
    <row r="437" spans="1:18" x14ac:dyDescent="0.2">
      <c r="A437" t="s">
        <v>7</v>
      </c>
      <c r="B437">
        <v>4</v>
      </c>
      <c r="C437" t="s">
        <v>3</v>
      </c>
      <c r="D437" s="2">
        <v>43734</v>
      </c>
      <c r="E437" s="11">
        <v>269</v>
      </c>
      <c r="F437" s="3">
        <v>0.4652799999967101</v>
      </c>
      <c r="G437" s="3">
        <v>0.46875</v>
      </c>
      <c r="H437" s="13">
        <f t="shared" si="0"/>
        <v>269.46527999999671</v>
      </c>
      <c r="I437" s="13">
        <f t="shared" si="1"/>
        <v>269.46875</v>
      </c>
      <c r="J437" s="13">
        <f t="shared" si="2"/>
        <v>269.46701499999836</v>
      </c>
      <c r="K437" s="7">
        <v>43734.467015000002</v>
      </c>
      <c r="L437" s="4">
        <v>1338.7</v>
      </c>
      <c r="M437" s="4"/>
      <c r="N437">
        <v>22.22</v>
      </c>
      <c r="Q437">
        <v>5.5680424148850101</v>
      </c>
      <c r="R437">
        <v>-4.5112490527495598E-4</v>
      </c>
    </row>
    <row r="438" spans="1:18" x14ac:dyDescent="0.2">
      <c r="A438" t="s">
        <v>7</v>
      </c>
      <c r="B438">
        <v>5</v>
      </c>
      <c r="C438" t="s">
        <v>4</v>
      </c>
      <c r="D438" s="2">
        <v>43734</v>
      </c>
      <c r="E438" s="11">
        <v>269</v>
      </c>
      <c r="F438" s="3">
        <v>0.47430999999778578</v>
      </c>
      <c r="G438" s="3">
        <v>0.47778000000107568</v>
      </c>
      <c r="H438" s="13">
        <f t="shared" si="0"/>
        <v>269.47430999999779</v>
      </c>
      <c r="I438" s="13">
        <f t="shared" si="1"/>
        <v>269.47778000000108</v>
      </c>
      <c r="J438" s="13">
        <f t="shared" si="2"/>
        <v>269.47604499999943</v>
      </c>
      <c r="K438" s="7">
        <v>43734.476045000003</v>
      </c>
      <c r="L438" s="4">
        <v>1501.2</v>
      </c>
      <c r="M438" s="4">
        <v>5.3</v>
      </c>
      <c r="N438">
        <v>22.22</v>
      </c>
      <c r="O438">
        <v>19.7</v>
      </c>
      <c r="P438">
        <v>0.38</v>
      </c>
      <c r="Q438">
        <v>3.1059202322958401</v>
      </c>
      <c r="R438">
        <v>-1.29490281494247E-4</v>
      </c>
    </row>
    <row r="439" spans="1:18" x14ac:dyDescent="0.2">
      <c r="A439" t="s">
        <v>7</v>
      </c>
      <c r="B439">
        <v>5</v>
      </c>
      <c r="C439" t="s">
        <v>3</v>
      </c>
      <c r="D439" s="2">
        <v>43734</v>
      </c>
      <c r="E439" s="11">
        <v>269</v>
      </c>
      <c r="F439" s="3">
        <v>0.48610999999800697</v>
      </c>
      <c r="G439" s="3">
        <v>0.48958000000129687</v>
      </c>
      <c r="H439" s="13">
        <f t="shared" si="0"/>
        <v>269.48610999999801</v>
      </c>
      <c r="I439" s="13">
        <f t="shared" si="1"/>
        <v>269.4895800000013</v>
      </c>
      <c r="J439" s="13">
        <f t="shared" si="2"/>
        <v>269.48784499999965</v>
      </c>
      <c r="K439" s="7">
        <v>43734.487844999996</v>
      </c>
      <c r="L439" s="4">
        <v>2183.6999999999998</v>
      </c>
      <c r="M439" s="4"/>
      <c r="N439">
        <v>22.22</v>
      </c>
      <c r="Q439">
        <v>11.056536820462799</v>
      </c>
      <c r="R439">
        <v>-3.7364066612318098E-4</v>
      </c>
    </row>
    <row r="440" spans="1:18" x14ac:dyDescent="0.2">
      <c r="A440" t="s">
        <v>7</v>
      </c>
      <c r="B440">
        <v>1</v>
      </c>
      <c r="C440" t="s">
        <v>4</v>
      </c>
      <c r="D440" s="2">
        <v>43734</v>
      </c>
      <c r="E440" s="11">
        <v>269</v>
      </c>
      <c r="F440" s="3">
        <v>0.53588000000308966</v>
      </c>
      <c r="G440" s="3">
        <v>0.5393499999991036</v>
      </c>
      <c r="H440" s="13">
        <f t="shared" si="0"/>
        <v>269.53588000000309</v>
      </c>
      <c r="I440" s="13">
        <f t="shared" si="1"/>
        <v>269.5393499999991</v>
      </c>
      <c r="J440" s="13">
        <f t="shared" si="2"/>
        <v>269.5376150000011</v>
      </c>
      <c r="K440" s="7">
        <v>43734.537615000001</v>
      </c>
      <c r="L440" s="4">
        <v>168.7</v>
      </c>
      <c r="M440" s="4">
        <v>10.8</v>
      </c>
      <c r="N440" s="4">
        <v>21.11</v>
      </c>
      <c r="O440">
        <v>15.8</v>
      </c>
      <c r="P440">
        <v>0.32</v>
      </c>
      <c r="Q440">
        <v>5.0796562046149898</v>
      </c>
      <c r="R440">
        <v>-3.3495657528618601E-4</v>
      </c>
    </row>
    <row r="441" spans="1:18" x14ac:dyDescent="0.2">
      <c r="A441" t="s">
        <v>7</v>
      </c>
      <c r="B441">
        <v>1</v>
      </c>
      <c r="C441" t="s">
        <v>3</v>
      </c>
      <c r="D441" s="2">
        <v>43734</v>
      </c>
      <c r="E441" s="11">
        <v>269</v>
      </c>
      <c r="F441" s="3">
        <v>0.54409999999916181</v>
      </c>
      <c r="G441" s="3">
        <v>0.54757000000245171</v>
      </c>
      <c r="H441" s="13">
        <f t="shared" si="0"/>
        <v>269.54409999999916</v>
      </c>
      <c r="I441" s="13">
        <f t="shared" si="1"/>
        <v>269.54757000000245</v>
      </c>
      <c r="J441" s="13">
        <f t="shared" si="2"/>
        <v>269.54583500000081</v>
      </c>
      <c r="K441" s="7">
        <v>43734.545834999997</v>
      </c>
      <c r="L441" s="4">
        <v>83.7</v>
      </c>
      <c r="M441" s="4"/>
      <c r="N441" s="4">
        <v>21.11</v>
      </c>
      <c r="Q441">
        <v>5.7105456973782696</v>
      </c>
      <c r="R441">
        <v>-3.91152678737804E-4</v>
      </c>
    </row>
    <row r="442" spans="1:18" x14ac:dyDescent="0.2">
      <c r="A442" t="s">
        <v>7</v>
      </c>
      <c r="B442">
        <v>2</v>
      </c>
      <c r="C442" t="s">
        <v>4</v>
      </c>
      <c r="D442" s="2">
        <v>43734</v>
      </c>
      <c r="E442" s="11">
        <v>269</v>
      </c>
      <c r="F442" s="3">
        <v>0.55068999999639345</v>
      </c>
      <c r="G442" s="3">
        <v>0.55417000000306871</v>
      </c>
      <c r="H442" s="13">
        <f t="shared" si="0"/>
        <v>269.55068999999639</v>
      </c>
      <c r="I442" s="13">
        <f t="shared" si="1"/>
        <v>269.55417000000307</v>
      </c>
      <c r="J442" s="13">
        <f t="shared" si="2"/>
        <v>269.55242999999973</v>
      </c>
      <c r="K442" s="7">
        <v>43734.552429999996</v>
      </c>
      <c r="L442" s="4">
        <v>86.2</v>
      </c>
      <c r="M442" s="4">
        <v>15.5</v>
      </c>
      <c r="N442" s="4">
        <v>21.11</v>
      </c>
      <c r="O442">
        <v>16.399999999999999</v>
      </c>
      <c r="P442">
        <v>0.32</v>
      </c>
      <c r="Q442">
        <v>6.3214004506946102</v>
      </c>
      <c r="R442">
        <v>-4.01262801010207E-4</v>
      </c>
    </row>
    <row r="443" spans="1:18" x14ac:dyDescent="0.2">
      <c r="A443" t="s">
        <v>7</v>
      </c>
      <c r="B443">
        <v>2</v>
      </c>
      <c r="C443" t="s">
        <v>3</v>
      </c>
      <c r="D443" s="2">
        <v>43734</v>
      </c>
      <c r="E443" s="11">
        <v>269</v>
      </c>
      <c r="F443" s="3">
        <v>0.55763999999908265</v>
      </c>
      <c r="G443" s="3">
        <v>0.56111000000237254</v>
      </c>
      <c r="H443" s="13">
        <f t="shared" ref="H443:H506" si="3">E443+F443</f>
        <v>269.55763999999908</v>
      </c>
      <c r="I443" s="13">
        <f t="shared" ref="I443:I506" si="4">E443+G443</f>
        <v>269.56111000000237</v>
      </c>
      <c r="J443" s="13">
        <f t="shared" ref="J443:J506" si="5">AVERAGE(H443:I443)</f>
        <v>269.55937500000073</v>
      </c>
      <c r="K443" s="7">
        <v>43734.559374999997</v>
      </c>
      <c r="L443" s="4">
        <v>86.2</v>
      </c>
      <c r="M443" s="4"/>
      <c r="N443" s="4">
        <v>21.11</v>
      </c>
      <c r="Q443">
        <v>7.1028495917201697</v>
      </c>
      <c r="R443">
        <v>-2.1439949236411399E-4</v>
      </c>
    </row>
    <row r="444" spans="1:18" x14ac:dyDescent="0.2">
      <c r="A444" t="s">
        <v>7</v>
      </c>
      <c r="B444">
        <v>3</v>
      </c>
      <c r="C444" t="s">
        <v>4</v>
      </c>
      <c r="D444" s="2">
        <v>43734</v>
      </c>
      <c r="E444" s="11">
        <v>269</v>
      </c>
      <c r="F444" s="3">
        <v>0.56457999999838648</v>
      </c>
      <c r="G444" s="3">
        <v>0.56805999999778578</v>
      </c>
      <c r="H444" s="13">
        <f t="shared" si="3"/>
        <v>269.56457999999839</v>
      </c>
      <c r="I444" s="13">
        <f t="shared" si="4"/>
        <v>269.56805999999779</v>
      </c>
      <c r="J444" s="13">
        <f t="shared" si="5"/>
        <v>269.56631999999809</v>
      </c>
      <c r="K444" s="7">
        <v>43734.566319999998</v>
      </c>
      <c r="L444" s="4">
        <v>136.19999999999999</v>
      </c>
      <c r="M444" s="4">
        <v>6.3</v>
      </c>
      <c r="N444" s="4">
        <v>20</v>
      </c>
      <c r="O444">
        <v>14.9</v>
      </c>
      <c r="P444">
        <v>0.39</v>
      </c>
      <c r="Q444">
        <v>6.7270796556560102</v>
      </c>
      <c r="R444">
        <v>-3.6374377464263902E-4</v>
      </c>
    </row>
    <row r="445" spans="1:18" x14ac:dyDescent="0.2">
      <c r="A445" t="s">
        <v>7</v>
      </c>
      <c r="B445">
        <v>3</v>
      </c>
      <c r="C445" t="s">
        <v>3</v>
      </c>
      <c r="D445" s="2">
        <v>43734</v>
      </c>
      <c r="E445" s="11">
        <v>269</v>
      </c>
      <c r="F445" s="3">
        <v>0.57222000000183471</v>
      </c>
      <c r="G445" s="3">
        <v>0.57568999999784864</v>
      </c>
      <c r="H445" s="13">
        <f t="shared" si="3"/>
        <v>269.57222000000183</v>
      </c>
      <c r="I445" s="13">
        <f t="shared" si="4"/>
        <v>269.57568999999785</v>
      </c>
      <c r="J445" s="13">
        <f t="shared" si="5"/>
        <v>269.57395499999984</v>
      </c>
      <c r="K445" s="7">
        <v>43734.573955</v>
      </c>
      <c r="L445" s="4">
        <v>93.7</v>
      </c>
      <c r="M445" s="4"/>
      <c r="N445" s="4">
        <v>20</v>
      </c>
      <c r="Q445">
        <v>6.7386880366500899</v>
      </c>
      <c r="R445">
        <v>-1.8974073828077699E-4</v>
      </c>
    </row>
    <row r="446" spans="1:18" x14ac:dyDescent="0.2">
      <c r="A446" t="s">
        <v>7</v>
      </c>
      <c r="B446">
        <v>1</v>
      </c>
      <c r="C446" t="s">
        <v>4</v>
      </c>
      <c r="D446" s="2">
        <v>43741</v>
      </c>
      <c r="E446" s="11">
        <v>276</v>
      </c>
      <c r="F446" s="3">
        <v>0.41735999999946216</v>
      </c>
      <c r="G446" s="3">
        <v>0.42083000000275206</v>
      </c>
      <c r="H446" s="13">
        <f t="shared" si="3"/>
        <v>276.41735999999946</v>
      </c>
      <c r="I446" s="13">
        <f t="shared" si="4"/>
        <v>276.42083000000275</v>
      </c>
      <c r="J446" s="13">
        <f t="shared" si="5"/>
        <v>276.41909500000111</v>
      </c>
      <c r="K446" s="7">
        <v>43741.419095000005</v>
      </c>
      <c r="L446" s="4">
        <v>116.2</v>
      </c>
      <c r="M446" s="4">
        <v>16.899999999999999</v>
      </c>
      <c r="N446" s="4">
        <v>8.89</v>
      </c>
      <c r="O446">
        <v>13.1</v>
      </c>
      <c r="P446">
        <v>0.25</v>
      </c>
      <c r="Q446">
        <v>5.3518524460621002</v>
      </c>
      <c r="R446">
        <v>-5.6469817005605602E-5</v>
      </c>
    </row>
    <row r="447" spans="1:18" x14ac:dyDescent="0.2">
      <c r="A447" t="s">
        <v>7</v>
      </c>
      <c r="B447">
        <v>1</v>
      </c>
      <c r="C447" t="s">
        <v>3</v>
      </c>
      <c r="D447" s="2">
        <v>43741</v>
      </c>
      <c r="E447" s="11">
        <v>276</v>
      </c>
      <c r="F447" s="3">
        <v>0.42360999999800697</v>
      </c>
      <c r="G447" s="3">
        <v>0.42708000000129687</v>
      </c>
      <c r="H447" s="13">
        <f t="shared" si="3"/>
        <v>276.42360999999801</v>
      </c>
      <c r="I447" s="13">
        <f t="shared" si="4"/>
        <v>276.4270800000013</v>
      </c>
      <c r="J447" s="13">
        <f t="shared" si="5"/>
        <v>276.42534499999965</v>
      </c>
      <c r="K447" s="7">
        <v>43741.425344999996</v>
      </c>
      <c r="L447" s="4">
        <v>206.2</v>
      </c>
      <c r="M447" s="4"/>
      <c r="N447" s="4">
        <v>8.89</v>
      </c>
      <c r="Q447">
        <v>4.9523837430186397</v>
      </c>
      <c r="R447">
        <v>-1.20483429667645E-4</v>
      </c>
    </row>
    <row r="448" spans="1:18" x14ac:dyDescent="0.2">
      <c r="A448" t="s">
        <v>7</v>
      </c>
      <c r="B448">
        <v>2</v>
      </c>
      <c r="C448" t="s">
        <v>4</v>
      </c>
      <c r="D448" s="2">
        <v>43741</v>
      </c>
      <c r="E448" s="11">
        <v>276</v>
      </c>
      <c r="F448" s="3">
        <v>0.43056000000069616</v>
      </c>
      <c r="G448" s="3">
        <v>0.4340299999967101</v>
      </c>
      <c r="H448" s="13">
        <f t="shared" si="3"/>
        <v>276.4305600000007</v>
      </c>
      <c r="I448" s="13">
        <f t="shared" si="4"/>
        <v>276.43402999999671</v>
      </c>
      <c r="J448" s="13">
        <f t="shared" si="5"/>
        <v>276.4322949999987</v>
      </c>
      <c r="K448" s="7">
        <v>43741.432294999999</v>
      </c>
      <c r="L448" s="4">
        <v>281.2</v>
      </c>
      <c r="M448" s="4">
        <v>20.9</v>
      </c>
      <c r="N448" s="4">
        <v>8.89</v>
      </c>
      <c r="O448">
        <v>9.8000000000000007</v>
      </c>
      <c r="P448">
        <v>0.34</v>
      </c>
      <c r="Q448">
        <v>3.3409023616062501</v>
      </c>
      <c r="R448">
        <v>-4.1739624292375101E-5</v>
      </c>
    </row>
    <row r="449" spans="1:18" x14ac:dyDescent="0.2">
      <c r="A449" t="s">
        <v>7</v>
      </c>
      <c r="B449">
        <v>2</v>
      </c>
      <c r="C449" t="s">
        <v>3</v>
      </c>
      <c r="D449" s="2">
        <v>43741</v>
      </c>
      <c r="E449" s="11">
        <v>276</v>
      </c>
      <c r="F449" s="3">
        <v>0.4375</v>
      </c>
      <c r="G449" s="3">
        <v>0.4409700000032899</v>
      </c>
      <c r="H449" s="13">
        <f t="shared" si="3"/>
        <v>276.4375</v>
      </c>
      <c r="I449" s="13">
        <f t="shared" si="4"/>
        <v>276.44097000000329</v>
      </c>
      <c r="J449" s="13">
        <f t="shared" si="5"/>
        <v>276.43923500000164</v>
      </c>
      <c r="K449" s="7">
        <v>43741.439234999998</v>
      </c>
      <c r="L449" s="4">
        <v>273.7</v>
      </c>
      <c r="M449" s="4"/>
      <c r="N449" s="4">
        <v>8.89</v>
      </c>
      <c r="Q449">
        <v>3.5845874360023999</v>
      </c>
      <c r="R449">
        <v>-2.9206335970142099E-5</v>
      </c>
    </row>
    <row r="450" spans="1:18" x14ac:dyDescent="0.2">
      <c r="A450" t="s">
        <v>7</v>
      </c>
      <c r="B450">
        <v>3</v>
      </c>
      <c r="C450" t="s">
        <v>4</v>
      </c>
      <c r="D450" s="2">
        <v>43741</v>
      </c>
      <c r="E450" s="11">
        <v>276</v>
      </c>
      <c r="F450" s="3">
        <v>0.44443999999930384</v>
      </c>
      <c r="G450" s="3">
        <v>0.44791999999870313</v>
      </c>
      <c r="H450" s="13">
        <f t="shared" si="3"/>
        <v>276.4444399999993</v>
      </c>
      <c r="I450" s="13">
        <f t="shared" si="4"/>
        <v>276.4479199999987</v>
      </c>
      <c r="J450" s="13">
        <f t="shared" si="5"/>
        <v>276.446179999999</v>
      </c>
      <c r="K450" s="7">
        <v>43741.446179999999</v>
      </c>
      <c r="L450" s="4">
        <v>241.2</v>
      </c>
      <c r="M450" s="4">
        <v>18.100000000000001</v>
      </c>
      <c r="N450" s="4">
        <v>8.89</v>
      </c>
      <c r="O450">
        <v>24</v>
      </c>
      <c r="P450">
        <v>0.28999999999999998</v>
      </c>
      <c r="Q450">
        <v>3.7691814254204701</v>
      </c>
      <c r="R450">
        <v>-1.29274849967286E-4</v>
      </c>
    </row>
    <row r="451" spans="1:18" x14ac:dyDescent="0.2">
      <c r="A451" t="s">
        <v>7</v>
      </c>
      <c r="B451">
        <v>3</v>
      </c>
      <c r="C451" t="s">
        <v>3</v>
      </c>
      <c r="D451" s="2">
        <v>43741</v>
      </c>
      <c r="E451" s="11">
        <v>276</v>
      </c>
      <c r="F451" s="3">
        <v>0.45139000000199303</v>
      </c>
      <c r="G451" s="3">
        <v>0.45485999999800697</v>
      </c>
      <c r="H451" s="13">
        <f t="shared" si="3"/>
        <v>276.45139000000199</v>
      </c>
      <c r="I451" s="13">
        <f t="shared" si="4"/>
        <v>276.45485999999801</v>
      </c>
      <c r="J451" s="13">
        <f t="shared" si="5"/>
        <v>276.453125</v>
      </c>
      <c r="K451" s="7">
        <v>43741.453125</v>
      </c>
      <c r="L451" s="4">
        <v>278.7</v>
      </c>
      <c r="M451" s="4"/>
      <c r="N451" s="4">
        <v>8.89</v>
      </c>
      <c r="Q451">
        <v>4.6133717505975804</v>
      </c>
      <c r="R451">
        <v>-1.05475528507041E-4</v>
      </c>
    </row>
    <row r="452" spans="1:18" x14ac:dyDescent="0.2">
      <c r="A452" t="s">
        <v>7</v>
      </c>
      <c r="B452">
        <v>4</v>
      </c>
      <c r="C452" t="s">
        <v>4</v>
      </c>
      <c r="D452" s="2">
        <v>43741</v>
      </c>
      <c r="E452" s="11">
        <v>276</v>
      </c>
      <c r="F452" s="3">
        <v>0.45833000000129687</v>
      </c>
      <c r="G452" s="3">
        <v>0.46181000000069616</v>
      </c>
      <c r="H452" s="13">
        <f t="shared" si="3"/>
        <v>276.4583300000013</v>
      </c>
      <c r="I452" s="13">
        <f t="shared" si="4"/>
        <v>276.4618100000007</v>
      </c>
      <c r="J452" s="13">
        <f t="shared" si="5"/>
        <v>276.460070000001</v>
      </c>
      <c r="K452" s="7">
        <v>43741.460070000001</v>
      </c>
      <c r="L452" s="4">
        <v>228.7</v>
      </c>
      <c r="M452" s="4">
        <v>21.4</v>
      </c>
      <c r="N452" s="4">
        <v>9.44</v>
      </c>
      <c r="O452">
        <v>12.8</v>
      </c>
      <c r="P452">
        <v>0.28999999999999998</v>
      </c>
      <c r="Q452">
        <v>2.8510226855768601</v>
      </c>
      <c r="R452">
        <v>-1.3517293701374101E-4</v>
      </c>
    </row>
    <row r="453" spans="1:18" x14ac:dyDescent="0.2">
      <c r="A453" t="s">
        <v>7</v>
      </c>
      <c r="B453">
        <v>4</v>
      </c>
      <c r="C453" t="s">
        <v>3</v>
      </c>
      <c r="D453" s="2">
        <v>43741</v>
      </c>
      <c r="E453" s="11">
        <v>276</v>
      </c>
      <c r="F453" s="3">
        <v>0.46457999999984168</v>
      </c>
      <c r="G453" s="3">
        <v>0.46805999999924097</v>
      </c>
      <c r="H453" s="13">
        <f t="shared" si="3"/>
        <v>276.46457999999984</v>
      </c>
      <c r="I453" s="13">
        <f t="shared" si="4"/>
        <v>276.46805999999924</v>
      </c>
      <c r="J453" s="13">
        <f t="shared" si="5"/>
        <v>276.46631999999954</v>
      </c>
      <c r="K453" s="7">
        <v>43741.46632</v>
      </c>
      <c r="L453" s="4">
        <v>258.7</v>
      </c>
      <c r="M453" s="4"/>
      <c r="N453" s="4">
        <v>9.44</v>
      </c>
      <c r="Q453">
        <v>3.43015971735587</v>
      </c>
      <c r="R453">
        <v>-8.8972586166011794E-5</v>
      </c>
    </row>
    <row r="454" spans="1:18" x14ac:dyDescent="0.2">
      <c r="A454" t="s">
        <v>7</v>
      </c>
      <c r="B454">
        <v>5</v>
      </c>
      <c r="C454" t="s">
        <v>4</v>
      </c>
      <c r="D454" s="2">
        <v>43741</v>
      </c>
      <c r="E454" s="11">
        <v>276</v>
      </c>
      <c r="F454" s="3">
        <v>0.47153000000253087</v>
      </c>
      <c r="G454" s="3">
        <v>0.47499999999854481</v>
      </c>
      <c r="H454" s="13">
        <f t="shared" si="3"/>
        <v>276.47153000000253</v>
      </c>
      <c r="I454" s="13">
        <f t="shared" si="4"/>
        <v>276.47499999999854</v>
      </c>
      <c r="J454" s="13">
        <f t="shared" si="5"/>
        <v>276.47326500000054</v>
      </c>
      <c r="K454" s="7">
        <v>43741.473265000001</v>
      </c>
      <c r="L454" s="4">
        <v>291.2</v>
      </c>
      <c r="M454" s="4">
        <v>18.5</v>
      </c>
      <c r="N454" s="4">
        <v>9.44</v>
      </c>
      <c r="O454">
        <v>24.4</v>
      </c>
      <c r="P454">
        <v>0.34</v>
      </c>
      <c r="Q454">
        <v>4.3448734001302398</v>
      </c>
      <c r="R454">
        <v>-2.6307084402414399E-4</v>
      </c>
    </row>
    <row r="455" spans="1:18" x14ac:dyDescent="0.2">
      <c r="A455" t="s">
        <v>7</v>
      </c>
      <c r="B455">
        <v>5</v>
      </c>
      <c r="C455" t="s">
        <v>3</v>
      </c>
      <c r="D455" s="2">
        <v>43741</v>
      </c>
      <c r="E455" s="11">
        <v>276</v>
      </c>
      <c r="F455" s="3">
        <v>0.47847000000183471</v>
      </c>
      <c r="G455" s="3">
        <v>0.48264000000199303</v>
      </c>
      <c r="H455" s="13">
        <f t="shared" si="3"/>
        <v>276.47847000000183</v>
      </c>
      <c r="I455" s="13">
        <f t="shared" si="4"/>
        <v>276.48264000000199</v>
      </c>
      <c r="J455" s="13">
        <f t="shared" si="5"/>
        <v>276.48055500000191</v>
      </c>
      <c r="K455" s="7">
        <v>43741.480555000002</v>
      </c>
      <c r="L455" s="4">
        <v>156.19999999999999</v>
      </c>
      <c r="M455" s="4"/>
      <c r="N455" s="4">
        <v>9.44</v>
      </c>
      <c r="Q455">
        <v>5.6274408886251202</v>
      </c>
      <c r="R455">
        <v>-3.06160745455766E-4</v>
      </c>
    </row>
    <row r="456" spans="1:18" x14ac:dyDescent="0.2">
      <c r="A456" t="s">
        <v>7</v>
      </c>
      <c r="B456">
        <v>1</v>
      </c>
      <c r="C456" t="s">
        <v>4</v>
      </c>
      <c r="D456" s="2">
        <v>43741</v>
      </c>
      <c r="E456" s="11">
        <v>276</v>
      </c>
      <c r="F456" s="3">
        <v>0.5034700000032899</v>
      </c>
      <c r="G456" s="3">
        <v>0.50693999999930384</v>
      </c>
      <c r="H456" s="13">
        <f t="shared" si="3"/>
        <v>276.50347000000329</v>
      </c>
      <c r="I456" s="13">
        <f t="shared" si="4"/>
        <v>276.5069399999993</v>
      </c>
      <c r="J456" s="13">
        <f t="shared" si="5"/>
        <v>276.5052050000013</v>
      </c>
      <c r="K456" s="7">
        <v>43741.505205000001</v>
      </c>
      <c r="L456" s="4">
        <v>116.2</v>
      </c>
      <c r="M456" s="4">
        <v>19.3</v>
      </c>
      <c r="N456">
        <v>9.44</v>
      </c>
      <c r="O456">
        <v>24.8</v>
      </c>
      <c r="P456">
        <v>0.24</v>
      </c>
      <c r="Q456">
        <v>5.3396049268839301</v>
      </c>
      <c r="R456" s="6">
        <v>-8.5799999999999998E-5</v>
      </c>
    </row>
    <row r="457" spans="1:18" x14ac:dyDescent="0.2">
      <c r="A457" t="s">
        <v>7</v>
      </c>
      <c r="B457">
        <v>1</v>
      </c>
      <c r="C457" t="s">
        <v>3</v>
      </c>
      <c r="D457" s="2">
        <v>43741</v>
      </c>
      <c r="E457" s="11">
        <v>276</v>
      </c>
      <c r="F457" s="3">
        <v>0.51041999999870313</v>
      </c>
      <c r="G457" s="3">
        <v>0.51389000000199303</v>
      </c>
      <c r="H457" s="13">
        <f t="shared" si="3"/>
        <v>276.5104199999987</v>
      </c>
      <c r="I457" s="13">
        <f t="shared" si="4"/>
        <v>276.51389000000199</v>
      </c>
      <c r="J457" s="13">
        <f t="shared" si="5"/>
        <v>276.51215500000035</v>
      </c>
      <c r="K457" s="7">
        <v>43741.512155000004</v>
      </c>
      <c r="L457" s="4">
        <v>116.2</v>
      </c>
      <c r="M457" s="4"/>
      <c r="N457">
        <v>9.44</v>
      </c>
      <c r="Q457">
        <v>5.1247330188174001</v>
      </c>
      <c r="R457" s="6">
        <v>-4.1100000000000003E-5</v>
      </c>
    </row>
    <row r="458" spans="1:18" x14ac:dyDescent="0.2">
      <c r="A458" t="s">
        <v>7</v>
      </c>
      <c r="B458">
        <v>2</v>
      </c>
      <c r="C458" t="s">
        <v>4</v>
      </c>
      <c r="D458" s="2">
        <v>43741</v>
      </c>
      <c r="E458" s="11">
        <v>276</v>
      </c>
      <c r="F458" s="3">
        <v>0.51597000000037951</v>
      </c>
      <c r="G458" s="3">
        <v>0.51943999999639345</v>
      </c>
      <c r="H458" s="13">
        <f t="shared" si="3"/>
        <v>276.51597000000038</v>
      </c>
      <c r="I458" s="13">
        <f t="shared" si="4"/>
        <v>276.51943999999639</v>
      </c>
      <c r="J458" s="13">
        <f t="shared" si="5"/>
        <v>276.51770499999839</v>
      </c>
      <c r="K458" s="7">
        <v>43741.517704999998</v>
      </c>
      <c r="L458" s="4">
        <v>193.7</v>
      </c>
      <c r="M458" s="4">
        <v>27.3</v>
      </c>
      <c r="N458">
        <v>9.44</v>
      </c>
      <c r="O458">
        <v>12.3</v>
      </c>
      <c r="P458">
        <v>0.34</v>
      </c>
      <c r="Q458">
        <v>4.0906906848503999</v>
      </c>
      <c r="R458" s="6">
        <v>-4.0299999999999997E-5</v>
      </c>
    </row>
    <row r="459" spans="1:18" x14ac:dyDescent="0.2">
      <c r="A459" t="s">
        <v>7</v>
      </c>
      <c r="B459">
        <v>2</v>
      </c>
      <c r="C459" t="s">
        <v>3</v>
      </c>
      <c r="D459" s="2">
        <v>43741</v>
      </c>
      <c r="E459" s="11">
        <v>276</v>
      </c>
      <c r="F459" s="3">
        <v>0.52292000000306871</v>
      </c>
      <c r="G459" s="3">
        <v>0.52638999999908265</v>
      </c>
      <c r="H459" s="13">
        <f t="shared" si="3"/>
        <v>276.52292000000307</v>
      </c>
      <c r="I459" s="13">
        <f t="shared" si="4"/>
        <v>276.52638999999908</v>
      </c>
      <c r="J459" s="13">
        <f t="shared" si="5"/>
        <v>276.52465500000108</v>
      </c>
      <c r="K459" s="7">
        <v>43741.524655000001</v>
      </c>
      <c r="L459" s="4">
        <v>216.2</v>
      </c>
      <c r="M459" s="4"/>
      <c r="N459">
        <v>9.44</v>
      </c>
      <c r="Q459">
        <v>4.4717378581566098</v>
      </c>
      <c r="R459" s="6">
        <v>-2.69E-5</v>
      </c>
    </row>
    <row r="460" spans="1:18" x14ac:dyDescent="0.2">
      <c r="A460" t="s">
        <v>7</v>
      </c>
      <c r="B460">
        <v>3</v>
      </c>
      <c r="C460" t="s">
        <v>4</v>
      </c>
      <c r="D460" s="2">
        <v>43741</v>
      </c>
      <c r="E460" s="11">
        <v>276</v>
      </c>
      <c r="F460" s="3">
        <v>0.53055999999924097</v>
      </c>
      <c r="G460" s="3">
        <v>0.53403000000253087</v>
      </c>
      <c r="H460" s="13">
        <f t="shared" si="3"/>
        <v>276.53055999999924</v>
      </c>
      <c r="I460" s="13">
        <f t="shared" si="4"/>
        <v>276.53403000000253</v>
      </c>
      <c r="J460" s="13">
        <f t="shared" si="5"/>
        <v>276.53229500000089</v>
      </c>
      <c r="K460" s="7">
        <v>43741.532294999997</v>
      </c>
      <c r="L460" s="4">
        <v>263.7</v>
      </c>
      <c r="M460" s="4">
        <v>20.399999999999999</v>
      </c>
      <c r="N460">
        <v>9.44</v>
      </c>
      <c r="O460">
        <v>17.399999999999999</v>
      </c>
      <c r="P460">
        <v>0.36</v>
      </c>
      <c r="Q460">
        <v>4.3383513100665603</v>
      </c>
      <c r="R460">
        <v>-1.08837E-4</v>
      </c>
    </row>
    <row r="461" spans="1:18" x14ac:dyDescent="0.2">
      <c r="A461" t="s">
        <v>7</v>
      </c>
      <c r="B461">
        <v>3</v>
      </c>
      <c r="C461" t="s">
        <v>3</v>
      </c>
      <c r="D461" s="2">
        <v>43741</v>
      </c>
      <c r="E461" s="11">
        <v>276</v>
      </c>
      <c r="F461" s="3">
        <v>0.53749999999854481</v>
      </c>
      <c r="G461" s="3">
        <v>0.54097000000183471</v>
      </c>
      <c r="H461" s="13">
        <f t="shared" si="3"/>
        <v>276.53749999999854</v>
      </c>
      <c r="I461" s="13">
        <f t="shared" si="4"/>
        <v>276.54097000000183</v>
      </c>
      <c r="J461" s="13">
        <f t="shared" si="5"/>
        <v>276.53923500000019</v>
      </c>
      <c r="K461" s="7">
        <v>43741.539235000004</v>
      </c>
      <c r="L461" s="4">
        <v>348.7</v>
      </c>
      <c r="M461" s="4"/>
      <c r="N461">
        <v>9.44</v>
      </c>
      <c r="Q461">
        <v>5.02035339773379</v>
      </c>
      <c r="R461">
        <v>-1.38956E-4</v>
      </c>
    </row>
    <row r="462" spans="1:18" x14ac:dyDescent="0.2">
      <c r="A462" t="s">
        <v>7</v>
      </c>
      <c r="B462">
        <v>4</v>
      </c>
      <c r="C462" t="s">
        <v>4</v>
      </c>
      <c r="D462" s="2">
        <v>43741</v>
      </c>
      <c r="E462" s="11">
        <v>276</v>
      </c>
      <c r="F462" s="3">
        <v>0.54306000000360655</v>
      </c>
      <c r="G462" s="3">
        <v>0.54652999999962049</v>
      </c>
      <c r="H462" s="13">
        <f t="shared" si="3"/>
        <v>276.54306000000361</v>
      </c>
      <c r="I462" s="13">
        <f t="shared" si="4"/>
        <v>276.54652999999962</v>
      </c>
      <c r="J462" s="13">
        <f t="shared" si="5"/>
        <v>276.54479500000161</v>
      </c>
      <c r="K462" s="7">
        <v>43741.544795000002</v>
      </c>
      <c r="L462" s="4">
        <v>248.7</v>
      </c>
      <c r="M462" s="4">
        <v>17.399999999999999</v>
      </c>
      <c r="N462">
        <v>9.44</v>
      </c>
      <c r="O462">
        <v>9.6</v>
      </c>
      <c r="P462">
        <v>0.24</v>
      </c>
      <c r="Q462">
        <v>3.4899942547945502</v>
      </c>
      <c r="R462">
        <v>-1.07241E-4</v>
      </c>
    </row>
    <row r="463" spans="1:18" x14ac:dyDescent="0.2">
      <c r="A463" t="s">
        <v>7</v>
      </c>
      <c r="B463">
        <v>4</v>
      </c>
      <c r="C463" t="s">
        <v>3</v>
      </c>
      <c r="D463" s="2">
        <v>43741</v>
      </c>
      <c r="E463" s="11">
        <v>276</v>
      </c>
      <c r="F463" s="3">
        <v>0.55000000000291038</v>
      </c>
      <c r="G463" s="3">
        <v>0.55346999999892432</v>
      </c>
      <c r="H463" s="13">
        <f t="shared" si="3"/>
        <v>276.55000000000291</v>
      </c>
      <c r="I463" s="13">
        <f t="shared" si="4"/>
        <v>276.55346999999892</v>
      </c>
      <c r="J463" s="13">
        <f t="shared" si="5"/>
        <v>276.55173500000092</v>
      </c>
      <c r="K463" s="7">
        <v>43741.551735000001</v>
      </c>
      <c r="L463" s="4">
        <v>233.7</v>
      </c>
      <c r="M463" s="4"/>
      <c r="N463">
        <v>9.44</v>
      </c>
      <c r="Q463">
        <v>3.6623672678213102</v>
      </c>
      <c r="R463" s="6">
        <v>-9.4699999999999998E-5</v>
      </c>
    </row>
    <row r="464" spans="1:18" x14ac:dyDescent="0.2">
      <c r="A464" t="s">
        <v>7</v>
      </c>
      <c r="B464">
        <v>5</v>
      </c>
      <c r="C464" t="s">
        <v>4</v>
      </c>
      <c r="D464" s="2">
        <v>43741</v>
      </c>
      <c r="E464" s="11">
        <v>276</v>
      </c>
      <c r="F464" s="3">
        <v>0.55763999999908265</v>
      </c>
      <c r="G464" s="3">
        <v>0.56111000000237254</v>
      </c>
      <c r="H464" s="13">
        <f t="shared" si="3"/>
        <v>276.55763999999908</v>
      </c>
      <c r="I464" s="13">
        <f t="shared" si="4"/>
        <v>276.56111000000237</v>
      </c>
      <c r="J464" s="13">
        <f t="shared" si="5"/>
        <v>276.55937500000073</v>
      </c>
      <c r="K464" s="7">
        <v>43741.559374999997</v>
      </c>
      <c r="L464" s="4">
        <v>426.2</v>
      </c>
      <c r="M464" s="4">
        <v>22.22</v>
      </c>
      <c r="N464">
        <v>8.89</v>
      </c>
      <c r="O464">
        <v>15</v>
      </c>
      <c r="P464">
        <v>0.36</v>
      </c>
      <c r="Q464">
        <v>5.29181682442041</v>
      </c>
      <c r="R464">
        <v>-2.3320400000000001E-4</v>
      </c>
    </row>
    <row r="465" spans="1:18" x14ac:dyDescent="0.2">
      <c r="A465" t="s">
        <v>7</v>
      </c>
      <c r="B465">
        <v>5</v>
      </c>
      <c r="C465" t="s">
        <v>3</v>
      </c>
      <c r="D465" s="2">
        <v>43741</v>
      </c>
      <c r="E465" s="11">
        <v>276</v>
      </c>
      <c r="F465" s="3">
        <v>0.56457999999838648</v>
      </c>
      <c r="G465" s="3">
        <v>0.56805999999778578</v>
      </c>
      <c r="H465" s="13">
        <f t="shared" si="3"/>
        <v>276.56457999999839</v>
      </c>
      <c r="I465" s="13">
        <f t="shared" si="4"/>
        <v>276.56805999999779</v>
      </c>
      <c r="J465" s="13">
        <f t="shared" si="5"/>
        <v>276.56631999999809</v>
      </c>
      <c r="K465" s="7">
        <v>43741.566319999998</v>
      </c>
      <c r="L465" s="4">
        <v>308.7</v>
      </c>
      <c r="M465" s="4"/>
      <c r="N465">
        <v>8.89</v>
      </c>
      <c r="Q465">
        <v>6.2918386337345096</v>
      </c>
      <c r="R465">
        <v>-3.0626900000000002E-4</v>
      </c>
    </row>
    <row r="466" spans="1:18" x14ac:dyDescent="0.2">
      <c r="A466" t="s">
        <v>7</v>
      </c>
      <c r="B466">
        <v>1</v>
      </c>
      <c r="C466" t="s">
        <v>4</v>
      </c>
      <c r="D466" s="2">
        <v>43746</v>
      </c>
      <c r="E466" s="11">
        <v>281</v>
      </c>
      <c r="F466" s="3">
        <v>0.42476999999780674</v>
      </c>
      <c r="G466" s="3">
        <v>0.42824000000109663</v>
      </c>
      <c r="H466" s="13">
        <f t="shared" si="3"/>
        <v>281.42476999999781</v>
      </c>
      <c r="I466" s="13">
        <f t="shared" si="4"/>
        <v>281.4282400000011</v>
      </c>
      <c r="J466" s="13">
        <f t="shared" si="5"/>
        <v>281.42650499999945</v>
      </c>
      <c r="K466" s="7">
        <v>43746.426504999996</v>
      </c>
      <c r="L466" s="4">
        <v>628.70000000000005</v>
      </c>
      <c r="M466" s="4">
        <v>24.2</v>
      </c>
      <c r="N466">
        <v>14.44</v>
      </c>
      <c r="P466">
        <v>0.27</v>
      </c>
      <c r="Q466">
        <v>6.1546347674413102</v>
      </c>
      <c r="R466">
        <v>-1.33450302768823E-4</v>
      </c>
    </row>
    <row r="467" spans="1:18" x14ac:dyDescent="0.2">
      <c r="A467" t="s">
        <v>7</v>
      </c>
      <c r="B467">
        <v>1</v>
      </c>
      <c r="C467" t="s">
        <v>3</v>
      </c>
      <c r="D467" s="2">
        <v>43746</v>
      </c>
      <c r="E467" s="11">
        <v>281</v>
      </c>
      <c r="F467" s="3">
        <v>0.43020999999862397</v>
      </c>
      <c r="G467" s="3">
        <v>0.43368000000191387</v>
      </c>
      <c r="H467" s="13">
        <f t="shared" si="3"/>
        <v>281.43020999999862</v>
      </c>
      <c r="I467" s="13">
        <f t="shared" si="4"/>
        <v>281.43368000000191</v>
      </c>
      <c r="J467" s="13">
        <f t="shared" si="5"/>
        <v>281.43194500000027</v>
      </c>
      <c r="K467" s="7">
        <v>43746.431945000004</v>
      </c>
      <c r="L467" s="4">
        <v>1103.7</v>
      </c>
      <c r="M467" s="4"/>
      <c r="N467">
        <v>14.44</v>
      </c>
      <c r="Q467">
        <v>5.5161455248688096</v>
      </c>
      <c r="R467" s="6">
        <v>-8.8502343186962803E-5</v>
      </c>
    </row>
    <row r="468" spans="1:18" x14ac:dyDescent="0.2">
      <c r="A468" t="s">
        <v>7</v>
      </c>
      <c r="B468">
        <v>2</v>
      </c>
      <c r="C468" t="s">
        <v>4</v>
      </c>
      <c r="D468" s="2">
        <v>43746</v>
      </c>
      <c r="E468" s="11">
        <v>281</v>
      </c>
      <c r="F468" s="3">
        <v>0.43542000000161352</v>
      </c>
      <c r="G468" s="3">
        <v>0.43888999999762746</v>
      </c>
      <c r="H468" s="13">
        <f t="shared" si="3"/>
        <v>281.43542000000161</v>
      </c>
      <c r="I468" s="13">
        <f t="shared" si="4"/>
        <v>281.43888999999763</v>
      </c>
      <c r="J468" s="13">
        <f t="shared" si="5"/>
        <v>281.43715499999962</v>
      </c>
      <c r="K468" s="7">
        <v>43746.437155</v>
      </c>
      <c r="L468" s="4">
        <v>861.2</v>
      </c>
      <c r="M468" s="4">
        <v>26.1</v>
      </c>
      <c r="N468">
        <v>14.44</v>
      </c>
      <c r="P468">
        <v>0.3</v>
      </c>
      <c r="Q468">
        <v>4.7530975464591201</v>
      </c>
      <c r="R468" s="6">
        <v>2.9454208833159098E-5</v>
      </c>
    </row>
    <row r="469" spans="1:18" x14ac:dyDescent="0.2">
      <c r="A469" t="s">
        <v>7</v>
      </c>
      <c r="B469">
        <v>2</v>
      </c>
      <c r="C469" t="s">
        <v>3</v>
      </c>
      <c r="D469" s="2">
        <v>43746</v>
      </c>
      <c r="E469" s="11">
        <v>281</v>
      </c>
      <c r="F469" s="3">
        <v>0.44514000000344822</v>
      </c>
      <c r="G469" s="3">
        <v>0.44860999999946216</v>
      </c>
      <c r="H469" s="13">
        <f t="shared" si="3"/>
        <v>281.44514000000345</v>
      </c>
      <c r="I469" s="13">
        <f t="shared" si="4"/>
        <v>281.44860999999946</v>
      </c>
      <c r="J469" s="13">
        <f t="shared" si="5"/>
        <v>281.44687500000146</v>
      </c>
      <c r="K469" s="7">
        <v>43746.446875000001</v>
      </c>
      <c r="L469" s="4">
        <v>1131.2</v>
      </c>
      <c r="M469" s="4"/>
      <c r="N469">
        <v>14.44</v>
      </c>
      <c r="Q469">
        <v>4.11397856910098</v>
      </c>
      <c r="R469" s="6">
        <v>2.2456826413262499E-5</v>
      </c>
    </row>
    <row r="470" spans="1:18" x14ac:dyDescent="0.2">
      <c r="A470" t="s">
        <v>7</v>
      </c>
      <c r="B470">
        <v>3</v>
      </c>
      <c r="C470" t="s">
        <v>4</v>
      </c>
      <c r="D470" s="2">
        <v>43746</v>
      </c>
      <c r="E470" s="11">
        <v>281</v>
      </c>
      <c r="F470" s="3">
        <v>0.45208000000275206</v>
      </c>
      <c r="G470" s="3">
        <v>0.45556000000215136</v>
      </c>
      <c r="H470" s="13">
        <f t="shared" si="3"/>
        <v>281.45208000000275</v>
      </c>
      <c r="I470" s="13">
        <f t="shared" si="4"/>
        <v>281.45556000000215</v>
      </c>
      <c r="J470" s="13">
        <f t="shared" si="5"/>
        <v>281.45382000000245</v>
      </c>
      <c r="K470" s="7">
        <v>43746.453820000002</v>
      </c>
      <c r="L470" s="4">
        <v>1518.7</v>
      </c>
      <c r="M470" s="4">
        <v>18.100000000000001</v>
      </c>
      <c r="N470">
        <v>16.11</v>
      </c>
      <c r="P470">
        <v>0.24</v>
      </c>
      <c r="Q470">
        <v>10.170701126748799</v>
      </c>
      <c r="R470" s="6">
        <v>5.4360329386851902E-5</v>
      </c>
    </row>
    <row r="471" spans="1:18" x14ac:dyDescent="0.2">
      <c r="A471" t="s">
        <v>7</v>
      </c>
      <c r="B471">
        <v>3</v>
      </c>
      <c r="C471" t="s">
        <v>3</v>
      </c>
      <c r="D471" s="2">
        <v>43746</v>
      </c>
      <c r="E471" s="11">
        <v>281</v>
      </c>
      <c r="F471" s="3">
        <v>0.45764000000053784</v>
      </c>
      <c r="G471" s="3">
        <v>0.46110999999655178</v>
      </c>
      <c r="H471" s="13">
        <f t="shared" si="3"/>
        <v>281.45764000000054</v>
      </c>
      <c r="I471" s="13">
        <f t="shared" si="4"/>
        <v>281.46110999999655</v>
      </c>
      <c r="J471" s="13">
        <f t="shared" si="5"/>
        <v>281.45937499999854</v>
      </c>
      <c r="K471" s="7">
        <v>43746.459374999999</v>
      </c>
      <c r="L471" s="4">
        <v>1338.7</v>
      </c>
      <c r="M471" s="4"/>
      <c r="N471">
        <v>16.11</v>
      </c>
      <c r="Q471">
        <v>9.7161153339506008</v>
      </c>
      <c r="R471" s="6">
        <v>-8.8744326900458904E-6</v>
      </c>
    </row>
    <row r="472" spans="1:18" x14ac:dyDescent="0.2">
      <c r="A472" t="s">
        <v>7</v>
      </c>
      <c r="B472">
        <v>4</v>
      </c>
      <c r="C472" t="s">
        <v>4</v>
      </c>
      <c r="D472" s="2">
        <v>43746</v>
      </c>
      <c r="E472" s="11">
        <v>281</v>
      </c>
      <c r="F472" s="3">
        <v>0.46388999999908265</v>
      </c>
      <c r="G472" s="3">
        <v>0.46736000000237254</v>
      </c>
      <c r="H472" s="13">
        <f t="shared" si="3"/>
        <v>281.46388999999908</v>
      </c>
      <c r="I472" s="13">
        <f t="shared" si="4"/>
        <v>281.46736000000237</v>
      </c>
      <c r="J472" s="13">
        <f t="shared" si="5"/>
        <v>281.46562500000073</v>
      </c>
      <c r="K472" s="7">
        <v>43746.465624999997</v>
      </c>
      <c r="L472" s="4">
        <v>1213.7</v>
      </c>
      <c r="M472" s="4">
        <v>24.7</v>
      </c>
      <c r="N472">
        <v>16.670000000000002</v>
      </c>
      <c r="P472">
        <v>0.28000000000000003</v>
      </c>
      <c r="Q472">
        <v>5.70042926192765</v>
      </c>
      <c r="R472" s="6">
        <v>4.6477493678786398E-5</v>
      </c>
    </row>
    <row r="473" spans="1:18" x14ac:dyDescent="0.2">
      <c r="A473" t="s">
        <v>7</v>
      </c>
      <c r="B473">
        <v>4</v>
      </c>
      <c r="C473" t="s">
        <v>3</v>
      </c>
      <c r="D473" s="2">
        <v>43746</v>
      </c>
      <c r="E473" s="11">
        <v>281</v>
      </c>
      <c r="F473" s="3">
        <v>0.47013999999762746</v>
      </c>
      <c r="G473" s="3">
        <v>0.47361000000091735</v>
      </c>
      <c r="H473" s="13">
        <f t="shared" si="3"/>
        <v>281.47013999999763</v>
      </c>
      <c r="I473" s="13">
        <f t="shared" si="4"/>
        <v>281.47361000000092</v>
      </c>
      <c r="J473" s="13">
        <f t="shared" si="5"/>
        <v>281.47187499999927</v>
      </c>
      <c r="K473" s="7">
        <v>43746.471875000003</v>
      </c>
      <c r="L473" s="4">
        <v>851.2</v>
      </c>
      <c r="M473" s="4"/>
      <c r="N473">
        <v>16.670000000000002</v>
      </c>
      <c r="Q473">
        <v>4.5855846705129197</v>
      </c>
      <c r="R473" s="6">
        <v>7.8628507182292102E-5</v>
      </c>
    </row>
    <row r="474" spans="1:18" x14ac:dyDescent="0.2">
      <c r="A474" t="s">
        <v>7</v>
      </c>
      <c r="B474">
        <v>5</v>
      </c>
      <c r="C474" t="s">
        <v>4</v>
      </c>
      <c r="D474" s="2">
        <v>43746</v>
      </c>
      <c r="E474" s="11">
        <v>281</v>
      </c>
      <c r="F474" s="3">
        <v>0.47639000000344822</v>
      </c>
      <c r="G474" s="3">
        <v>0.47985999999946216</v>
      </c>
      <c r="H474" s="13">
        <f t="shared" si="3"/>
        <v>281.47639000000345</v>
      </c>
      <c r="I474" s="13">
        <f t="shared" si="4"/>
        <v>281.47985999999946</v>
      </c>
      <c r="J474" s="13">
        <f t="shared" si="5"/>
        <v>281.47812500000146</v>
      </c>
      <c r="K474" s="7">
        <v>43746.478125000001</v>
      </c>
      <c r="L474" s="4">
        <v>1273.7</v>
      </c>
      <c r="M474" s="4">
        <v>25.4</v>
      </c>
      <c r="N474">
        <v>16.670000000000002</v>
      </c>
      <c r="P474">
        <v>0.31</v>
      </c>
      <c r="Q474">
        <v>7.4457158608367404</v>
      </c>
      <c r="R474" s="6">
        <v>-3.3056196170081003E-5</v>
      </c>
    </row>
    <row r="475" spans="1:18" x14ac:dyDescent="0.2">
      <c r="A475" t="s">
        <v>7</v>
      </c>
      <c r="B475">
        <v>5</v>
      </c>
      <c r="C475" t="s">
        <v>3</v>
      </c>
      <c r="D475" s="2">
        <v>43746</v>
      </c>
      <c r="E475" s="11">
        <v>281</v>
      </c>
      <c r="F475" s="3">
        <v>0.48264000000199303</v>
      </c>
      <c r="G475" s="3">
        <v>0.48610999999800697</v>
      </c>
      <c r="H475" s="13">
        <f t="shared" si="3"/>
        <v>281.48264000000199</v>
      </c>
      <c r="I475" s="13">
        <f t="shared" si="4"/>
        <v>281.48610999999801</v>
      </c>
      <c r="J475" s="13">
        <f t="shared" si="5"/>
        <v>281.484375</v>
      </c>
      <c r="K475" s="7">
        <v>43746.484375</v>
      </c>
      <c r="L475" s="4">
        <v>1293.7</v>
      </c>
      <c r="M475" s="4"/>
      <c r="N475">
        <v>16.670000000000002</v>
      </c>
      <c r="Q475">
        <v>8.0298146855749604</v>
      </c>
      <c r="R475" s="6">
        <v>-6.2516638616109398E-5</v>
      </c>
    </row>
    <row r="476" spans="1:18" x14ac:dyDescent="0.2">
      <c r="A476" t="s">
        <v>7</v>
      </c>
      <c r="B476">
        <v>1</v>
      </c>
      <c r="C476" t="s">
        <v>4</v>
      </c>
      <c r="D476" s="2">
        <v>43746</v>
      </c>
      <c r="E476" s="11">
        <v>281</v>
      </c>
      <c r="F476" s="3">
        <v>0.5347200000032899</v>
      </c>
      <c r="G476" s="3">
        <v>0.53818999999930384</v>
      </c>
      <c r="H476" s="13">
        <f t="shared" si="3"/>
        <v>281.53472000000329</v>
      </c>
      <c r="I476" s="13">
        <f t="shared" si="4"/>
        <v>281.5381899999993</v>
      </c>
      <c r="J476" s="13">
        <f t="shared" si="5"/>
        <v>281.5364550000013</v>
      </c>
      <c r="K476" s="7">
        <v>43746.536455000001</v>
      </c>
      <c r="L476" s="4">
        <v>1236.2</v>
      </c>
      <c r="M476" s="4">
        <v>21.1</v>
      </c>
      <c r="N476">
        <v>17.78</v>
      </c>
      <c r="P476">
        <v>0.26</v>
      </c>
      <c r="Q476">
        <v>7.621157964</v>
      </c>
      <c r="R476" s="6">
        <v>3.5528352241369003E-5</v>
      </c>
    </row>
    <row r="477" spans="1:18" x14ac:dyDescent="0.2">
      <c r="A477" t="s">
        <v>7</v>
      </c>
      <c r="B477">
        <v>1</v>
      </c>
      <c r="C477" t="s">
        <v>3</v>
      </c>
      <c r="D477" s="2">
        <v>43746</v>
      </c>
      <c r="E477" s="11">
        <v>281</v>
      </c>
      <c r="F477" s="3">
        <v>0.54166999999870313</v>
      </c>
      <c r="G477" s="3">
        <v>0.54514000000199303</v>
      </c>
      <c r="H477" s="13">
        <f t="shared" si="3"/>
        <v>281.5416699999987</v>
      </c>
      <c r="I477" s="13">
        <f t="shared" si="4"/>
        <v>281.54514000000199</v>
      </c>
      <c r="J477" s="13">
        <f t="shared" si="5"/>
        <v>281.54340500000035</v>
      </c>
      <c r="K477" s="7">
        <v>43746.543405000004</v>
      </c>
      <c r="L477" s="4">
        <v>1251.2</v>
      </c>
      <c r="M477" s="4"/>
      <c r="N477">
        <v>17.78</v>
      </c>
      <c r="Q477">
        <v>5.955077942</v>
      </c>
      <c r="R477">
        <v>1.5799141945049299E-4</v>
      </c>
    </row>
    <row r="478" spans="1:18" x14ac:dyDescent="0.2">
      <c r="A478" t="s">
        <v>7</v>
      </c>
      <c r="B478">
        <v>2</v>
      </c>
      <c r="C478" t="s">
        <v>4</v>
      </c>
      <c r="D478" s="2">
        <v>43746</v>
      </c>
      <c r="E478" s="11">
        <v>281</v>
      </c>
      <c r="F478" s="3">
        <v>0.54722000000037951</v>
      </c>
      <c r="G478" s="3">
        <v>0.55068999999639345</v>
      </c>
      <c r="H478" s="13">
        <f t="shared" si="3"/>
        <v>281.54722000000038</v>
      </c>
      <c r="I478" s="13">
        <f t="shared" si="4"/>
        <v>281.55068999999639</v>
      </c>
      <c r="J478" s="13">
        <f t="shared" si="5"/>
        <v>281.54895499999839</v>
      </c>
      <c r="K478" s="7">
        <v>43746.548954999998</v>
      </c>
      <c r="L478" s="4">
        <v>1053.7</v>
      </c>
      <c r="M478" s="4">
        <v>22.5</v>
      </c>
      <c r="N478">
        <v>17.78</v>
      </c>
      <c r="P478">
        <v>0.27</v>
      </c>
      <c r="Q478">
        <v>5.9530348630000001</v>
      </c>
      <c r="R478" s="6">
        <v>-4.02993618862216E-5</v>
      </c>
    </row>
    <row r="479" spans="1:18" x14ac:dyDescent="0.2">
      <c r="A479" t="s">
        <v>7</v>
      </c>
      <c r="B479">
        <v>2</v>
      </c>
      <c r="C479" t="s">
        <v>3</v>
      </c>
      <c r="D479" s="2">
        <v>43746</v>
      </c>
      <c r="E479" s="11">
        <v>281</v>
      </c>
      <c r="F479" s="3">
        <v>0.55277999999816529</v>
      </c>
      <c r="G479" s="3">
        <v>0.55625000000145519</v>
      </c>
      <c r="H479" s="13">
        <f t="shared" si="3"/>
        <v>281.55277999999817</v>
      </c>
      <c r="I479" s="13">
        <f t="shared" si="4"/>
        <v>281.55625000000146</v>
      </c>
      <c r="J479" s="13">
        <f t="shared" si="5"/>
        <v>281.55451499999981</v>
      </c>
      <c r="K479" s="7">
        <v>43746.554514999996</v>
      </c>
      <c r="L479" s="4">
        <v>1163.7</v>
      </c>
      <c r="M479" s="4"/>
      <c r="N479">
        <v>17.78</v>
      </c>
      <c r="Q479">
        <v>5.435713861</v>
      </c>
      <c r="R479" s="6">
        <v>-8.6461678835824207E-5</v>
      </c>
    </row>
    <row r="480" spans="1:18" x14ac:dyDescent="0.2">
      <c r="A480" t="s">
        <v>7</v>
      </c>
      <c r="B480">
        <v>3</v>
      </c>
      <c r="C480" t="s">
        <v>4</v>
      </c>
      <c r="D480" s="2">
        <v>43746</v>
      </c>
      <c r="E480" s="11">
        <v>281</v>
      </c>
      <c r="F480" s="3">
        <v>0.5590299999967101</v>
      </c>
      <c r="G480" s="3">
        <v>0.5625</v>
      </c>
      <c r="H480" s="13">
        <f t="shared" si="3"/>
        <v>281.55902999999671</v>
      </c>
      <c r="I480" s="13">
        <f t="shared" si="4"/>
        <v>281.5625</v>
      </c>
      <c r="J480" s="13">
        <f t="shared" si="5"/>
        <v>281.56076499999836</v>
      </c>
      <c r="K480" s="7">
        <v>43746.560765000002</v>
      </c>
      <c r="L480" s="4">
        <v>1138.7</v>
      </c>
      <c r="M480" s="4">
        <v>24.9</v>
      </c>
      <c r="N480">
        <v>17.78</v>
      </c>
      <c r="P480">
        <v>0.28999999999999998</v>
      </c>
      <c r="Q480">
        <v>7.26755292</v>
      </c>
      <c r="R480">
        <v>-1.0387580456688199E-4</v>
      </c>
    </row>
    <row r="481" spans="1:18" x14ac:dyDescent="0.2">
      <c r="A481" t="s">
        <v>7</v>
      </c>
      <c r="B481">
        <v>3</v>
      </c>
      <c r="C481" t="s">
        <v>3</v>
      </c>
      <c r="D481" s="2">
        <v>43746</v>
      </c>
      <c r="E481" s="11">
        <v>281</v>
      </c>
      <c r="F481" s="3">
        <v>0.56457999999838648</v>
      </c>
      <c r="G481" s="3">
        <v>0.56805999999778578</v>
      </c>
      <c r="H481" s="13">
        <f t="shared" si="3"/>
        <v>281.56457999999839</v>
      </c>
      <c r="I481" s="13">
        <f t="shared" si="4"/>
        <v>281.56805999999779</v>
      </c>
      <c r="J481" s="13">
        <f t="shared" si="5"/>
        <v>281.56631999999809</v>
      </c>
      <c r="K481" s="7">
        <v>43746.566319999998</v>
      </c>
      <c r="L481" s="4">
        <v>1031.2</v>
      </c>
      <c r="M481" s="4"/>
      <c r="N481">
        <v>17.78</v>
      </c>
      <c r="Q481">
        <v>6.0724737549999999</v>
      </c>
      <c r="R481" s="6">
        <v>-1.08638228694333E-5</v>
      </c>
    </row>
    <row r="482" spans="1:18" x14ac:dyDescent="0.2">
      <c r="A482" t="s">
        <v>7</v>
      </c>
      <c r="B482">
        <v>4</v>
      </c>
      <c r="C482" t="s">
        <v>4</v>
      </c>
      <c r="D482" s="2">
        <v>43746</v>
      </c>
      <c r="E482" s="11">
        <v>281</v>
      </c>
      <c r="F482" s="3">
        <v>0.57014000000344822</v>
      </c>
      <c r="G482" s="3">
        <v>0.57360999999946216</v>
      </c>
      <c r="H482" s="13">
        <f t="shared" si="3"/>
        <v>281.57014000000345</v>
      </c>
      <c r="I482" s="13">
        <f t="shared" si="4"/>
        <v>281.57360999999946</v>
      </c>
      <c r="J482" s="13">
        <f t="shared" si="5"/>
        <v>281.57187500000146</v>
      </c>
      <c r="K482" s="7">
        <v>43746.571875000001</v>
      </c>
      <c r="L482" s="4">
        <v>738.7</v>
      </c>
      <c r="M482" s="4">
        <v>23.6</v>
      </c>
      <c r="N482">
        <v>17.78</v>
      </c>
      <c r="P482">
        <v>0.28999999999999998</v>
      </c>
      <c r="Q482">
        <v>4.6387407019999998</v>
      </c>
      <c r="R482">
        <v>-1.1346998502907E-4</v>
      </c>
    </row>
    <row r="483" spans="1:18" x14ac:dyDescent="0.2">
      <c r="A483" t="s">
        <v>7</v>
      </c>
      <c r="B483">
        <v>4</v>
      </c>
      <c r="C483" t="s">
        <v>3</v>
      </c>
      <c r="D483" s="2">
        <v>43746</v>
      </c>
      <c r="E483" s="11">
        <v>281</v>
      </c>
      <c r="F483" s="3">
        <v>0.57568999999784864</v>
      </c>
      <c r="G483" s="3">
        <v>0.57916999999724794</v>
      </c>
      <c r="H483" s="13">
        <f t="shared" si="3"/>
        <v>281.57568999999785</v>
      </c>
      <c r="I483" s="13">
        <f t="shared" si="4"/>
        <v>281.57916999999725</v>
      </c>
      <c r="J483" s="13">
        <f t="shared" si="5"/>
        <v>281.57742999999755</v>
      </c>
      <c r="K483" s="7">
        <v>43746.577429999998</v>
      </c>
      <c r="L483" s="4">
        <v>663.7</v>
      </c>
      <c r="M483" s="4"/>
      <c r="N483">
        <v>17.78</v>
      </c>
      <c r="Q483">
        <v>3.8443702869999998</v>
      </c>
      <c r="R483">
        <v>-1.4310128682456201E-4</v>
      </c>
    </row>
    <row r="484" spans="1:18" x14ac:dyDescent="0.2">
      <c r="A484" t="s">
        <v>7</v>
      </c>
      <c r="B484">
        <v>5</v>
      </c>
      <c r="C484" t="s">
        <v>4</v>
      </c>
      <c r="D484" s="2">
        <v>43746</v>
      </c>
      <c r="E484" s="11">
        <v>281</v>
      </c>
      <c r="F484" s="3">
        <v>0.58125000000291038</v>
      </c>
      <c r="G484" s="3">
        <v>0.58471999999892432</v>
      </c>
      <c r="H484" s="13">
        <f t="shared" si="3"/>
        <v>281.58125000000291</v>
      </c>
      <c r="I484" s="13">
        <f t="shared" si="4"/>
        <v>281.58471999999892</v>
      </c>
      <c r="J484" s="13">
        <f t="shared" si="5"/>
        <v>281.58298500000092</v>
      </c>
      <c r="K484" s="7">
        <v>43746.582985000001</v>
      </c>
      <c r="L484" s="4">
        <v>891.2</v>
      </c>
      <c r="M484" s="4">
        <v>22.4</v>
      </c>
      <c r="N484">
        <v>18.329999999999998</v>
      </c>
      <c r="P484">
        <v>0.3</v>
      </c>
      <c r="Q484">
        <v>4.9985844019999996</v>
      </c>
      <c r="R484">
        <v>-1.7875824541355401E-4</v>
      </c>
    </row>
    <row r="485" spans="1:18" x14ac:dyDescent="0.2">
      <c r="A485" t="s">
        <v>7</v>
      </c>
      <c r="B485">
        <v>5</v>
      </c>
      <c r="C485" t="s">
        <v>3</v>
      </c>
      <c r="D485" s="2">
        <v>43746</v>
      </c>
      <c r="E485" s="11">
        <v>281</v>
      </c>
      <c r="F485" s="3">
        <v>0.58795999999711057</v>
      </c>
      <c r="G485" s="3">
        <v>0.59143999999650987</v>
      </c>
      <c r="H485" s="13">
        <f t="shared" si="3"/>
        <v>281.58795999999711</v>
      </c>
      <c r="I485" s="13">
        <f t="shared" si="4"/>
        <v>281.59143999999651</v>
      </c>
      <c r="J485" s="13">
        <f t="shared" si="5"/>
        <v>281.58969999999681</v>
      </c>
      <c r="K485" s="7">
        <v>43746.589699999997</v>
      </c>
      <c r="L485" s="4">
        <v>1148.7</v>
      </c>
      <c r="M485" s="4"/>
      <c r="N485">
        <v>18.329999999999998</v>
      </c>
      <c r="Q485">
        <v>6.3557562799999996</v>
      </c>
      <c r="R485" s="6">
        <v>-8.3185344152981596E-5</v>
      </c>
    </row>
    <row r="486" spans="1:18" x14ac:dyDescent="0.2">
      <c r="A486" t="s">
        <v>7</v>
      </c>
      <c r="B486">
        <v>1</v>
      </c>
      <c r="C486" t="s">
        <v>4</v>
      </c>
      <c r="D486" s="2">
        <v>43753</v>
      </c>
      <c r="E486" s="11">
        <v>288</v>
      </c>
      <c r="F486" s="3">
        <v>0.39699000000109663</v>
      </c>
      <c r="G486" s="3">
        <v>0.40045999999711057</v>
      </c>
      <c r="H486" s="13">
        <f t="shared" si="3"/>
        <v>288.3969900000011</v>
      </c>
      <c r="I486" s="13">
        <f t="shared" si="4"/>
        <v>288.40045999999711</v>
      </c>
      <c r="J486" s="13">
        <f t="shared" si="5"/>
        <v>288.3987249999991</v>
      </c>
      <c r="K486" s="7">
        <v>43753.398724999999</v>
      </c>
      <c r="L486" s="4">
        <v>773.7</v>
      </c>
      <c r="M486" s="4">
        <v>16.100000000000001</v>
      </c>
      <c r="N486">
        <v>7.78</v>
      </c>
      <c r="P486">
        <v>0.21</v>
      </c>
      <c r="Q486">
        <v>2.9492746206593199</v>
      </c>
      <c r="R486">
        <v>-1.2456937971431001E-4</v>
      </c>
    </row>
    <row r="487" spans="1:18" x14ac:dyDescent="0.2">
      <c r="A487" t="s">
        <v>7</v>
      </c>
      <c r="B487">
        <v>1</v>
      </c>
      <c r="C487" t="s">
        <v>3</v>
      </c>
      <c r="D487" s="2">
        <v>43753</v>
      </c>
      <c r="E487" s="11">
        <v>288</v>
      </c>
      <c r="F487" s="3">
        <v>0.4027799999967101</v>
      </c>
      <c r="G487" s="3">
        <v>0.40625</v>
      </c>
      <c r="H487" s="13">
        <f t="shared" si="3"/>
        <v>288.40277999999671</v>
      </c>
      <c r="I487" s="13">
        <f t="shared" si="4"/>
        <v>288.40625</v>
      </c>
      <c r="J487" s="13">
        <f t="shared" si="5"/>
        <v>288.40451499999836</v>
      </c>
      <c r="K487" s="7">
        <v>43753.404515000002</v>
      </c>
      <c r="L487" s="4">
        <v>821.2</v>
      </c>
      <c r="M487" s="4"/>
      <c r="N487">
        <v>7.78</v>
      </c>
      <c r="Q487">
        <v>2.6846627464247699</v>
      </c>
      <c r="R487">
        <v>-1.5316802318981099E-4</v>
      </c>
    </row>
    <row r="488" spans="1:18" x14ac:dyDescent="0.2">
      <c r="A488" t="s">
        <v>7</v>
      </c>
      <c r="B488">
        <v>2</v>
      </c>
      <c r="C488" t="s">
        <v>4</v>
      </c>
      <c r="D488" s="2">
        <v>43753</v>
      </c>
      <c r="E488" s="11">
        <v>288</v>
      </c>
      <c r="F488" s="3">
        <v>0.40903000000253087</v>
      </c>
      <c r="G488" s="3">
        <v>0.41249999999854481</v>
      </c>
      <c r="H488" s="13">
        <f t="shared" si="3"/>
        <v>288.40903000000253</v>
      </c>
      <c r="I488" s="13">
        <f t="shared" si="4"/>
        <v>288.41249999999854</v>
      </c>
      <c r="J488" s="13">
        <f t="shared" si="5"/>
        <v>288.41076500000054</v>
      </c>
      <c r="K488" s="7">
        <v>43753.410765000001</v>
      </c>
      <c r="L488" s="4">
        <v>868.7</v>
      </c>
      <c r="M488" s="4">
        <v>22.3</v>
      </c>
      <c r="N488">
        <v>7.78</v>
      </c>
      <c r="P488">
        <v>0.24</v>
      </c>
      <c r="Q488">
        <v>2.39418772711843</v>
      </c>
      <c r="R488">
        <v>-2.0995632521333599E-4</v>
      </c>
    </row>
    <row r="489" spans="1:18" x14ac:dyDescent="0.2">
      <c r="A489" t="s">
        <v>7</v>
      </c>
      <c r="B489">
        <v>2</v>
      </c>
      <c r="C489" t="s">
        <v>3</v>
      </c>
      <c r="D489" s="2">
        <v>43753</v>
      </c>
      <c r="E489" s="11">
        <v>288</v>
      </c>
      <c r="F489" s="3">
        <v>0.41528000000107568</v>
      </c>
      <c r="G489" s="3">
        <v>0.41874999999708962</v>
      </c>
      <c r="H489" s="13">
        <f t="shared" si="3"/>
        <v>288.41528000000108</v>
      </c>
      <c r="I489" s="13">
        <f t="shared" si="4"/>
        <v>288.41874999999709</v>
      </c>
      <c r="J489" s="13">
        <f t="shared" si="5"/>
        <v>288.41701499999908</v>
      </c>
      <c r="K489" s="7">
        <v>43753.417014999999</v>
      </c>
      <c r="L489" s="4">
        <v>913.7</v>
      </c>
      <c r="M489" s="4"/>
      <c r="N489">
        <v>7.78</v>
      </c>
      <c r="Q489">
        <v>2.1164548811794099</v>
      </c>
      <c r="R489" s="6">
        <v>-7.7690806019420204E-5</v>
      </c>
    </row>
    <row r="490" spans="1:18" x14ac:dyDescent="0.2">
      <c r="A490" t="s">
        <v>7</v>
      </c>
      <c r="B490">
        <v>3</v>
      </c>
      <c r="C490" t="s">
        <v>4</v>
      </c>
      <c r="D490" s="2">
        <v>43753</v>
      </c>
      <c r="E490" s="11">
        <v>288</v>
      </c>
      <c r="F490" s="3">
        <v>0.42291999999724794</v>
      </c>
      <c r="G490" s="3">
        <v>0.42639000000053784</v>
      </c>
      <c r="H490" s="13">
        <f t="shared" si="3"/>
        <v>288.42291999999725</v>
      </c>
      <c r="I490" s="13">
        <f t="shared" si="4"/>
        <v>288.42639000000054</v>
      </c>
      <c r="J490" s="13">
        <f t="shared" si="5"/>
        <v>288.42465499999889</v>
      </c>
      <c r="K490" s="7">
        <v>43753.424654999995</v>
      </c>
      <c r="L490" s="4">
        <v>963.7</v>
      </c>
      <c r="M490" s="4">
        <v>16.600000000000001</v>
      </c>
      <c r="N490">
        <v>7.78</v>
      </c>
      <c r="P490">
        <v>0.26</v>
      </c>
      <c r="Q490">
        <v>2.6216618652642301</v>
      </c>
      <c r="R490">
        <v>-1.9486802373475199E-4</v>
      </c>
    </row>
    <row r="491" spans="1:18" x14ac:dyDescent="0.2">
      <c r="A491" t="s">
        <v>7</v>
      </c>
      <c r="B491">
        <v>3</v>
      </c>
      <c r="C491" t="s">
        <v>3</v>
      </c>
      <c r="D491" s="2">
        <v>43753</v>
      </c>
      <c r="E491" s="11">
        <v>288</v>
      </c>
      <c r="F491" s="3">
        <v>0.42917000000306871</v>
      </c>
      <c r="G491" s="3">
        <v>0.43263999999908265</v>
      </c>
      <c r="H491" s="13">
        <f t="shared" si="3"/>
        <v>288.42917000000307</v>
      </c>
      <c r="I491" s="13">
        <f t="shared" si="4"/>
        <v>288.43263999999908</v>
      </c>
      <c r="J491" s="13">
        <f t="shared" si="5"/>
        <v>288.43090500000108</v>
      </c>
      <c r="K491" s="7">
        <v>43753.430905000001</v>
      </c>
      <c r="L491" s="4">
        <v>1011.2</v>
      </c>
      <c r="M491" s="4"/>
      <c r="N491">
        <v>7.78</v>
      </c>
      <c r="Q491">
        <v>2.3637026448426899</v>
      </c>
      <c r="R491">
        <v>-1.890129878145E-4</v>
      </c>
    </row>
    <row r="492" spans="1:18" x14ac:dyDescent="0.2">
      <c r="A492" t="s">
        <v>7</v>
      </c>
      <c r="B492">
        <v>4</v>
      </c>
      <c r="C492" t="s">
        <v>4</v>
      </c>
      <c r="D492" s="2">
        <v>43753</v>
      </c>
      <c r="E492" s="11">
        <v>288</v>
      </c>
      <c r="F492" s="3">
        <v>0.4375</v>
      </c>
      <c r="G492" s="3">
        <v>0.4409700000032899</v>
      </c>
      <c r="H492" s="13">
        <f t="shared" si="3"/>
        <v>288.4375</v>
      </c>
      <c r="I492" s="13">
        <f t="shared" si="4"/>
        <v>288.44097000000329</v>
      </c>
      <c r="J492" s="13">
        <f t="shared" si="5"/>
        <v>288.43923500000164</v>
      </c>
      <c r="K492" s="7">
        <v>43753.439234999998</v>
      </c>
      <c r="L492" s="4">
        <v>1063.7</v>
      </c>
      <c r="M492" s="4">
        <v>16.7</v>
      </c>
      <c r="N492">
        <v>7.78</v>
      </c>
      <c r="P492">
        <v>0.21</v>
      </c>
      <c r="Q492">
        <v>2.0092276113029701</v>
      </c>
      <c r="R492" s="6">
        <v>-3.7664908979541698E-5</v>
      </c>
    </row>
    <row r="493" spans="1:18" x14ac:dyDescent="0.2">
      <c r="A493" t="s">
        <v>7</v>
      </c>
      <c r="B493">
        <v>4</v>
      </c>
      <c r="C493" t="s">
        <v>3</v>
      </c>
      <c r="D493" s="2">
        <v>43753</v>
      </c>
      <c r="E493" s="11">
        <v>288</v>
      </c>
      <c r="F493" s="3">
        <v>0.44305999999778578</v>
      </c>
      <c r="G493" s="3">
        <v>0.44653000000107568</v>
      </c>
      <c r="H493" s="13">
        <f t="shared" si="3"/>
        <v>288.44305999999779</v>
      </c>
      <c r="I493" s="13">
        <f t="shared" si="4"/>
        <v>288.44653000000108</v>
      </c>
      <c r="J493" s="13">
        <f t="shared" si="5"/>
        <v>288.44479499999943</v>
      </c>
      <c r="K493" s="7">
        <v>43753.444795000003</v>
      </c>
      <c r="L493" s="4">
        <v>1091.2</v>
      </c>
      <c r="M493" s="4"/>
      <c r="N493">
        <v>7.78</v>
      </c>
      <c r="Q493">
        <v>1.9445801387933801</v>
      </c>
      <c r="R493">
        <v>-1.62802366588177E-4</v>
      </c>
    </row>
    <row r="494" spans="1:18" x14ac:dyDescent="0.2">
      <c r="A494" t="s">
        <v>7</v>
      </c>
      <c r="B494">
        <v>5</v>
      </c>
      <c r="C494" t="s">
        <v>4</v>
      </c>
      <c r="D494" s="2">
        <v>43753</v>
      </c>
      <c r="E494" s="11">
        <v>288</v>
      </c>
      <c r="F494" s="3">
        <v>0.44931000000360655</v>
      </c>
      <c r="G494" s="3">
        <v>0.45277999999962049</v>
      </c>
      <c r="H494" s="13">
        <f t="shared" si="3"/>
        <v>288.44931000000361</v>
      </c>
      <c r="I494" s="13">
        <f t="shared" si="4"/>
        <v>288.45277999999962</v>
      </c>
      <c r="J494" s="13">
        <f t="shared" si="5"/>
        <v>288.45104500000161</v>
      </c>
      <c r="K494" s="7">
        <v>43753.451045000002</v>
      </c>
      <c r="L494" s="4">
        <v>1116.2</v>
      </c>
      <c r="M494" s="4">
        <v>15.7</v>
      </c>
      <c r="N494">
        <v>11.67</v>
      </c>
      <c r="P494">
        <v>0.21</v>
      </c>
      <c r="Q494">
        <v>3.10837966088399</v>
      </c>
      <c r="R494">
        <v>-2.28907866017137E-4</v>
      </c>
    </row>
    <row r="495" spans="1:18" x14ac:dyDescent="0.2">
      <c r="A495" t="s">
        <v>7</v>
      </c>
      <c r="B495">
        <v>5</v>
      </c>
      <c r="C495" t="s">
        <v>3</v>
      </c>
      <c r="D495" s="2">
        <v>43753</v>
      </c>
      <c r="E495" s="11">
        <v>288</v>
      </c>
      <c r="F495" s="3">
        <v>0.45693999999639345</v>
      </c>
      <c r="G495" s="3">
        <v>0.46042000000306871</v>
      </c>
      <c r="H495" s="13">
        <f t="shared" si="3"/>
        <v>288.45693999999639</v>
      </c>
      <c r="I495" s="13">
        <f t="shared" si="4"/>
        <v>288.46042000000307</v>
      </c>
      <c r="J495" s="13">
        <f t="shared" si="5"/>
        <v>288.45867999999973</v>
      </c>
      <c r="K495" s="7">
        <v>43753.458679999996</v>
      </c>
      <c r="L495" s="4">
        <v>1186.2</v>
      </c>
      <c r="M495" s="4"/>
      <c r="N495">
        <v>11.67</v>
      </c>
      <c r="Q495">
        <v>3.6928601223302602</v>
      </c>
      <c r="R495">
        <v>-3.3897749230685302E-4</v>
      </c>
    </row>
    <row r="496" spans="1:18" x14ac:dyDescent="0.2">
      <c r="A496" t="s">
        <v>7</v>
      </c>
      <c r="B496">
        <v>1</v>
      </c>
      <c r="C496" t="s">
        <v>4</v>
      </c>
      <c r="D496" s="2">
        <v>43753</v>
      </c>
      <c r="E496" s="11">
        <v>288</v>
      </c>
      <c r="F496" s="3">
        <v>0.49768999999650987</v>
      </c>
      <c r="G496" s="3">
        <v>0.50115999999979977</v>
      </c>
      <c r="H496" s="13">
        <f t="shared" si="3"/>
        <v>288.49768999999651</v>
      </c>
      <c r="I496" s="13">
        <f t="shared" si="4"/>
        <v>288.5011599999998</v>
      </c>
      <c r="J496" s="13">
        <f t="shared" si="5"/>
        <v>288.49942499999815</v>
      </c>
      <c r="K496" s="7">
        <v>43753.499425000002</v>
      </c>
      <c r="L496" s="4">
        <v>1301.2</v>
      </c>
      <c r="M496" s="4">
        <v>17</v>
      </c>
      <c r="N496">
        <v>12.78</v>
      </c>
      <c r="P496">
        <v>0.2</v>
      </c>
      <c r="Q496">
        <v>3.4026681639028298</v>
      </c>
      <c r="R496">
        <v>-1.0296061460880699E-4</v>
      </c>
    </row>
    <row r="497" spans="1:18" x14ac:dyDescent="0.2">
      <c r="A497" t="s">
        <v>7</v>
      </c>
      <c r="B497">
        <v>1</v>
      </c>
      <c r="C497" t="s">
        <v>3</v>
      </c>
      <c r="D497" s="2">
        <v>43753</v>
      </c>
      <c r="E497" s="11">
        <v>288</v>
      </c>
      <c r="F497" s="3">
        <v>0.50417000000015832</v>
      </c>
      <c r="G497" s="3">
        <v>0.50764000000344822</v>
      </c>
      <c r="H497" s="13">
        <f t="shared" si="3"/>
        <v>288.50417000000016</v>
      </c>
      <c r="I497" s="13">
        <f t="shared" si="4"/>
        <v>288.50764000000345</v>
      </c>
      <c r="J497" s="13">
        <f t="shared" si="5"/>
        <v>288.5059050000018</v>
      </c>
      <c r="K497" s="7">
        <v>43753.505904999998</v>
      </c>
      <c r="L497" s="4">
        <v>1313.7</v>
      </c>
      <c r="M497" s="4"/>
      <c r="N497">
        <v>12.78</v>
      </c>
      <c r="Q497">
        <v>2.85569829626878</v>
      </c>
      <c r="R497" s="6">
        <v>-9.3724050586742503E-5</v>
      </c>
    </row>
    <row r="498" spans="1:18" x14ac:dyDescent="0.2">
      <c r="A498" t="s">
        <v>7</v>
      </c>
      <c r="B498">
        <v>2</v>
      </c>
      <c r="C498" t="s">
        <v>4</v>
      </c>
      <c r="D498" s="2">
        <v>43753</v>
      </c>
      <c r="E498" s="11">
        <v>288</v>
      </c>
      <c r="F498" s="3">
        <v>0.51041999999870313</v>
      </c>
      <c r="G498" s="3">
        <v>0.51389000000199303</v>
      </c>
      <c r="H498" s="13">
        <f t="shared" si="3"/>
        <v>288.5104199999987</v>
      </c>
      <c r="I498" s="13">
        <f t="shared" si="4"/>
        <v>288.51389000000199</v>
      </c>
      <c r="J498" s="13">
        <f t="shared" si="5"/>
        <v>288.51215500000035</v>
      </c>
      <c r="K498" s="7">
        <v>43753.512155000004</v>
      </c>
      <c r="L498" s="4">
        <v>1381.2</v>
      </c>
      <c r="M498" s="4">
        <v>17.600000000000001</v>
      </c>
      <c r="N498">
        <v>12.78</v>
      </c>
      <c r="P498">
        <v>0.22</v>
      </c>
      <c r="Q498">
        <v>2.6262768286896301</v>
      </c>
      <c r="R498" s="6">
        <v>-3.5639790067684E-5</v>
      </c>
    </row>
    <row r="499" spans="1:18" x14ac:dyDescent="0.2">
      <c r="A499" t="s">
        <v>7</v>
      </c>
      <c r="B499">
        <v>2</v>
      </c>
      <c r="C499" t="s">
        <v>3</v>
      </c>
      <c r="D499" s="2">
        <v>43753</v>
      </c>
      <c r="E499" s="11">
        <v>288</v>
      </c>
      <c r="F499" s="3">
        <v>0.51597000000037951</v>
      </c>
      <c r="G499" s="3">
        <v>0.51943999999639345</v>
      </c>
      <c r="H499" s="13">
        <f t="shared" si="3"/>
        <v>288.51597000000038</v>
      </c>
      <c r="I499" s="13">
        <f t="shared" si="4"/>
        <v>288.51943999999639</v>
      </c>
      <c r="J499" s="13">
        <f t="shared" si="5"/>
        <v>288.51770499999839</v>
      </c>
      <c r="K499" s="7">
        <v>43753.517704999998</v>
      </c>
      <c r="L499" s="4">
        <v>1381.2</v>
      </c>
      <c r="M499" s="4"/>
      <c r="N499">
        <v>12.78</v>
      </c>
      <c r="Q499">
        <v>2.6689421580517698</v>
      </c>
      <c r="R499">
        <v>-1.01914269272874E-4</v>
      </c>
    </row>
    <row r="500" spans="1:18" x14ac:dyDescent="0.2">
      <c r="A500" t="s">
        <v>7</v>
      </c>
      <c r="B500">
        <v>3</v>
      </c>
      <c r="C500" t="s">
        <v>4</v>
      </c>
      <c r="D500" s="2">
        <v>43753</v>
      </c>
      <c r="E500" s="11">
        <v>288</v>
      </c>
      <c r="F500" s="3">
        <v>0.52152999999816529</v>
      </c>
      <c r="G500" s="3">
        <v>0.52500000000145519</v>
      </c>
      <c r="H500" s="13">
        <f t="shared" si="3"/>
        <v>288.52152999999817</v>
      </c>
      <c r="I500" s="13">
        <f t="shared" si="4"/>
        <v>288.52500000000146</v>
      </c>
      <c r="J500" s="13">
        <f t="shared" si="5"/>
        <v>288.52326499999981</v>
      </c>
      <c r="K500" s="7">
        <v>43753.523264999996</v>
      </c>
      <c r="L500" s="4">
        <v>1353.7</v>
      </c>
      <c r="M500" s="4">
        <v>15.2</v>
      </c>
      <c r="N500">
        <v>12.78</v>
      </c>
      <c r="P500">
        <v>0.21</v>
      </c>
      <c r="Q500">
        <v>2.4926676884503598</v>
      </c>
      <c r="R500">
        <v>-1.4080723720916901E-4</v>
      </c>
    </row>
    <row r="501" spans="1:18" x14ac:dyDescent="0.2">
      <c r="A501" t="s">
        <v>7</v>
      </c>
      <c r="B501">
        <v>3</v>
      </c>
      <c r="C501" t="s">
        <v>3</v>
      </c>
      <c r="D501" s="2">
        <v>43753</v>
      </c>
      <c r="E501" s="11">
        <v>288</v>
      </c>
      <c r="F501" s="3">
        <v>0.5277799999967101</v>
      </c>
      <c r="G501" s="3">
        <v>0.53125</v>
      </c>
      <c r="H501" s="13">
        <f t="shared" si="3"/>
        <v>288.52777999999671</v>
      </c>
      <c r="I501" s="13">
        <f t="shared" si="4"/>
        <v>288.53125</v>
      </c>
      <c r="J501" s="13">
        <f t="shared" si="5"/>
        <v>288.52951499999836</v>
      </c>
      <c r="K501" s="7">
        <v>43753.529515000002</v>
      </c>
      <c r="L501" s="4">
        <v>1453.7</v>
      </c>
      <c r="M501" s="4"/>
      <c r="N501">
        <v>12.78</v>
      </c>
      <c r="Q501">
        <v>2.7253033555160702</v>
      </c>
      <c r="R501">
        <v>-2.1378985027687499E-4</v>
      </c>
    </row>
    <row r="502" spans="1:18" x14ac:dyDescent="0.2">
      <c r="A502" t="s">
        <v>7</v>
      </c>
      <c r="B502">
        <v>4</v>
      </c>
      <c r="C502" t="s">
        <v>4</v>
      </c>
      <c r="D502" s="2">
        <v>43753</v>
      </c>
      <c r="E502" s="11">
        <v>288</v>
      </c>
      <c r="F502" s="3">
        <v>0.53403000000253087</v>
      </c>
      <c r="G502" s="3">
        <v>0.53749999999854481</v>
      </c>
      <c r="H502" s="13">
        <f t="shared" si="3"/>
        <v>288.53403000000253</v>
      </c>
      <c r="I502" s="13">
        <f t="shared" si="4"/>
        <v>288.53749999999854</v>
      </c>
      <c r="J502" s="13">
        <f t="shared" si="5"/>
        <v>288.53576500000054</v>
      </c>
      <c r="K502" s="7">
        <v>43753.535765000001</v>
      </c>
      <c r="L502" s="4">
        <v>1398.7</v>
      </c>
      <c r="M502" s="4">
        <v>18.7</v>
      </c>
      <c r="N502">
        <v>12.78</v>
      </c>
      <c r="P502">
        <v>0.21</v>
      </c>
      <c r="Q502">
        <v>2.06001946711502</v>
      </c>
      <c r="R502">
        <v>-1.6202820030535801E-4</v>
      </c>
    </row>
    <row r="503" spans="1:18" x14ac:dyDescent="0.2">
      <c r="A503" t="s">
        <v>7</v>
      </c>
      <c r="B503">
        <v>4</v>
      </c>
      <c r="C503" t="s">
        <v>3</v>
      </c>
      <c r="D503" s="2">
        <v>43753</v>
      </c>
      <c r="E503" s="11">
        <v>288</v>
      </c>
      <c r="F503" s="3">
        <v>0.53957999999693129</v>
      </c>
      <c r="G503" s="3">
        <v>0.54306000000360655</v>
      </c>
      <c r="H503" s="13">
        <f t="shared" si="3"/>
        <v>288.53957999999693</v>
      </c>
      <c r="I503" s="13">
        <f t="shared" si="4"/>
        <v>288.54306000000361</v>
      </c>
      <c r="J503" s="13">
        <f t="shared" si="5"/>
        <v>288.54132000000027</v>
      </c>
      <c r="K503" s="7">
        <v>43753.541320000004</v>
      </c>
      <c r="L503" s="4">
        <v>1383.7</v>
      </c>
      <c r="M503" s="4"/>
      <c r="N503">
        <v>12.78</v>
      </c>
      <c r="Q503">
        <v>2.2430115147504699</v>
      </c>
      <c r="R503">
        <v>-1.12488001938625E-4</v>
      </c>
    </row>
    <row r="504" spans="1:18" x14ac:dyDescent="0.2">
      <c r="A504" t="s">
        <v>7</v>
      </c>
      <c r="B504">
        <v>5</v>
      </c>
      <c r="C504" t="s">
        <v>4</v>
      </c>
      <c r="D504" s="2">
        <v>43753</v>
      </c>
      <c r="E504" s="11">
        <v>288</v>
      </c>
      <c r="F504" s="3">
        <v>0.54722000000037951</v>
      </c>
      <c r="G504" s="3">
        <v>0.55068999999639345</v>
      </c>
      <c r="H504" s="13">
        <f t="shared" si="3"/>
        <v>288.54722000000038</v>
      </c>
      <c r="I504" s="13">
        <f t="shared" si="4"/>
        <v>288.55068999999639</v>
      </c>
      <c r="J504" s="13">
        <f t="shared" si="5"/>
        <v>288.54895499999839</v>
      </c>
      <c r="K504" s="7">
        <v>43753.548954999998</v>
      </c>
      <c r="L504" s="4">
        <v>1333.7</v>
      </c>
      <c r="M504" s="4">
        <v>13.6</v>
      </c>
      <c r="N504">
        <v>14.44</v>
      </c>
      <c r="P504">
        <v>0.21</v>
      </c>
      <c r="Q504">
        <v>3.8918879414051402</v>
      </c>
      <c r="R504">
        <v>-2.08737828024275E-4</v>
      </c>
    </row>
    <row r="505" spans="1:18" x14ac:dyDescent="0.2">
      <c r="A505" t="s">
        <v>7</v>
      </c>
      <c r="B505">
        <v>5</v>
      </c>
      <c r="C505" t="s">
        <v>3</v>
      </c>
      <c r="D505" s="2">
        <v>43753</v>
      </c>
      <c r="E505" s="11">
        <v>288</v>
      </c>
      <c r="F505" s="3">
        <v>0.55346999999892432</v>
      </c>
      <c r="G505" s="3">
        <v>0.55694000000221422</v>
      </c>
      <c r="H505" s="13">
        <f t="shared" si="3"/>
        <v>288.55346999999892</v>
      </c>
      <c r="I505" s="13">
        <f t="shared" si="4"/>
        <v>288.55694000000221</v>
      </c>
      <c r="J505" s="13">
        <f t="shared" si="5"/>
        <v>288.55520500000057</v>
      </c>
      <c r="K505" s="7">
        <v>43753.555204999997</v>
      </c>
      <c r="L505" s="4">
        <v>1318.7</v>
      </c>
      <c r="M505" s="4"/>
      <c r="N505">
        <v>14.44</v>
      </c>
      <c r="Q505">
        <v>4.44893742401515</v>
      </c>
      <c r="R505">
        <v>-1.45614947158564E-4</v>
      </c>
    </row>
    <row r="506" spans="1:18" x14ac:dyDescent="0.2">
      <c r="A506" t="s">
        <v>7</v>
      </c>
      <c r="B506">
        <v>1</v>
      </c>
      <c r="C506" t="s">
        <v>4</v>
      </c>
      <c r="D506" s="2">
        <v>43762</v>
      </c>
      <c r="E506" s="11">
        <v>297</v>
      </c>
      <c r="F506" s="3">
        <v>0.4409700000032899</v>
      </c>
      <c r="G506" s="3">
        <v>0.44443999999930384</v>
      </c>
      <c r="H506" s="13">
        <f t="shared" si="3"/>
        <v>297.44097000000329</v>
      </c>
      <c r="I506" s="13">
        <f t="shared" si="4"/>
        <v>297.4444399999993</v>
      </c>
      <c r="J506" s="13">
        <f t="shared" si="5"/>
        <v>297.4427050000013</v>
      </c>
      <c r="K506" s="7">
        <v>43762.442705000001</v>
      </c>
      <c r="L506" s="4">
        <v>918.7</v>
      </c>
      <c r="M506" s="4">
        <v>21.1</v>
      </c>
      <c r="N506">
        <v>12.78</v>
      </c>
      <c r="P506">
        <v>0.17</v>
      </c>
      <c r="Q506">
        <v>2.3123210232628</v>
      </c>
      <c r="R506">
        <v>5.6204300000000003E-4</v>
      </c>
    </row>
    <row r="507" spans="1:18" x14ac:dyDescent="0.2">
      <c r="A507" t="s">
        <v>7</v>
      </c>
      <c r="B507">
        <v>1</v>
      </c>
      <c r="C507" t="s">
        <v>3</v>
      </c>
      <c r="D507" s="2">
        <v>43762</v>
      </c>
      <c r="E507" s="11">
        <v>297</v>
      </c>
      <c r="F507" s="3">
        <v>0.44688000000314787</v>
      </c>
      <c r="G507" s="3">
        <v>0.45034999999916181</v>
      </c>
      <c r="H507" s="13">
        <f t="shared" ref="H507:H570" si="6">E507+F507</f>
        <v>297.44688000000315</v>
      </c>
      <c r="I507" s="13">
        <f t="shared" ref="I507:I570" si="7">E507+G507</f>
        <v>297.45034999999916</v>
      </c>
      <c r="J507" s="13">
        <f t="shared" ref="J507:J570" si="8">AVERAGE(H507:I507)</f>
        <v>297.44861500000115</v>
      </c>
      <c r="K507" s="7">
        <v>43762.448615000001</v>
      </c>
      <c r="L507" s="4">
        <v>956.2</v>
      </c>
      <c r="M507" s="4"/>
      <c r="N507">
        <v>12.78</v>
      </c>
      <c r="Q507">
        <v>2.3736379351647798</v>
      </c>
      <c r="R507" s="6">
        <v>9.87E-5</v>
      </c>
    </row>
    <row r="508" spans="1:18" x14ac:dyDescent="0.2">
      <c r="A508" t="s">
        <v>7</v>
      </c>
      <c r="B508">
        <v>2</v>
      </c>
      <c r="C508" t="s">
        <v>4</v>
      </c>
      <c r="D508" s="2">
        <v>43762</v>
      </c>
      <c r="E508" s="11">
        <v>297</v>
      </c>
      <c r="F508" s="3">
        <v>0.45347000000037951</v>
      </c>
      <c r="G508" s="3">
        <v>0.45693999999639345</v>
      </c>
      <c r="H508" s="13">
        <f t="shared" si="6"/>
        <v>297.45347000000038</v>
      </c>
      <c r="I508" s="13">
        <f t="shared" si="7"/>
        <v>297.45693999999639</v>
      </c>
      <c r="J508" s="13">
        <f t="shared" si="8"/>
        <v>297.45520499999839</v>
      </c>
      <c r="K508" s="7">
        <v>43762.455204999998</v>
      </c>
      <c r="L508" s="4">
        <v>996.2</v>
      </c>
      <c r="M508" s="4">
        <v>21.4</v>
      </c>
      <c r="N508">
        <v>12.78</v>
      </c>
      <c r="P508">
        <v>0.2</v>
      </c>
      <c r="Q508">
        <v>1.9401552639450701</v>
      </c>
      <c r="R508">
        <v>-4.8476299999999998E-4</v>
      </c>
    </row>
    <row r="509" spans="1:18" x14ac:dyDescent="0.2">
      <c r="A509" t="s">
        <v>7</v>
      </c>
      <c r="B509">
        <v>2</v>
      </c>
      <c r="C509" t="s">
        <v>3</v>
      </c>
      <c r="D509" s="2">
        <v>43762</v>
      </c>
      <c r="E509" s="11">
        <v>297</v>
      </c>
      <c r="F509" s="3">
        <v>0.45938000000023749</v>
      </c>
      <c r="G509" s="3">
        <v>0.46285000000352738</v>
      </c>
      <c r="H509" s="13">
        <f t="shared" si="6"/>
        <v>297.45938000000024</v>
      </c>
      <c r="I509" s="13">
        <f t="shared" si="7"/>
        <v>297.46285000000353</v>
      </c>
      <c r="J509" s="13">
        <f t="shared" si="8"/>
        <v>297.46111500000188</v>
      </c>
      <c r="K509" s="7">
        <v>43762.461114999998</v>
      </c>
      <c r="L509" s="4">
        <v>1028.7</v>
      </c>
      <c r="M509" s="4"/>
      <c r="N509">
        <v>12.78</v>
      </c>
      <c r="Q509">
        <v>2.2790286680048899</v>
      </c>
      <c r="R509">
        <v>-2.6592299999999999E-4</v>
      </c>
    </row>
    <row r="510" spans="1:18" x14ac:dyDescent="0.2">
      <c r="A510" t="s">
        <v>7</v>
      </c>
      <c r="B510">
        <v>3</v>
      </c>
      <c r="C510" t="s">
        <v>4</v>
      </c>
      <c r="D510" s="2">
        <v>43762</v>
      </c>
      <c r="E510" s="11">
        <v>297</v>
      </c>
      <c r="F510" s="3">
        <v>0.4652799999967101</v>
      </c>
      <c r="G510" s="3">
        <v>0.46875</v>
      </c>
      <c r="H510" s="13">
        <f t="shared" si="6"/>
        <v>297.46527999999671</v>
      </c>
      <c r="I510" s="13">
        <f t="shared" si="7"/>
        <v>297.46875</v>
      </c>
      <c r="J510" s="13">
        <f t="shared" si="8"/>
        <v>297.46701499999836</v>
      </c>
      <c r="K510" s="7">
        <v>43762.467015000002</v>
      </c>
      <c r="L510" s="4">
        <v>1061.2</v>
      </c>
      <c r="M510" s="4">
        <v>20.6</v>
      </c>
      <c r="N510">
        <v>12.78</v>
      </c>
      <c r="P510">
        <v>0.2</v>
      </c>
      <c r="Q510">
        <v>2.2806892465333402</v>
      </c>
      <c r="R510">
        <v>-1.5546599999999999E-4</v>
      </c>
    </row>
    <row r="511" spans="1:18" x14ac:dyDescent="0.2">
      <c r="A511" t="s">
        <v>7</v>
      </c>
      <c r="B511">
        <v>3</v>
      </c>
      <c r="C511" t="s">
        <v>3</v>
      </c>
      <c r="D511" s="2">
        <v>43762</v>
      </c>
      <c r="E511" s="11">
        <v>297</v>
      </c>
      <c r="F511" s="3">
        <v>0.47153000000253087</v>
      </c>
      <c r="G511" s="3">
        <v>0.47499999999854481</v>
      </c>
      <c r="H511" s="13">
        <f t="shared" si="6"/>
        <v>297.47153000000253</v>
      </c>
      <c r="I511" s="13">
        <f t="shared" si="7"/>
        <v>297.47499999999854</v>
      </c>
      <c r="J511" s="13">
        <f t="shared" si="8"/>
        <v>297.47326500000054</v>
      </c>
      <c r="K511" s="7">
        <v>43762.473265000001</v>
      </c>
      <c r="L511" s="4">
        <v>1091.2</v>
      </c>
      <c r="M511" s="4"/>
      <c r="N511">
        <v>12.78</v>
      </c>
      <c r="Q511">
        <v>1.9744280832015899</v>
      </c>
      <c r="R511" s="6">
        <v>-3.9700000000000003E-5</v>
      </c>
    </row>
    <row r="512" spans="1:18" x14ac:dyDescent="0.2">
      <c r="A512" t="s">
        <v>7</v>
      </c>
      <c r="B512">
        <v>4</v>
      </c>
      <c r="C512" t="s">
        <v>4</v>
      </c>
      <c r="D512" s="2">
        <v>43762</v>
      </c>
      <c r="E512" s="11">
        <v>297</v>
      </c>
      <c r="F512" s="3">
        <v>0.47707999999693129</v>
      </c>
      <c r="G512" s="3">
        <v>0.48056000000360655</v>
      </c>
      <c r="H512" s="13">
        <f t="shared" si="6"/>
        <v>297.47707999999693</v>
      </c>
      <c r="I512" s="13">
        <f t="shared" si="7"/>
        <v>297.48056000000361</v>
      </c>
      <c r="J512" s="13">
        <f t="shared" si="8"/>
        <v>297.47882000000027</v>
      </c>
      <c r="K512" s="7">
        <v>43762.478820000004</v>
      </c>
      <c r="L512" s="4">
        <v>1111.2</v>
      </c>
      <c r="M512" s="4">
        <v>21.9</v>
      </c>
      <c r="N512">
        <v>12.78</v>
      </c>
      <c r="P512">
        <v>0.2</v>
      </c>
      <c r="Q512">
        <v>1.54573413579531</v>
      </c>
      <c r="R512">
        <v>1.3428600000000001E-4</v>
      </c>
    </row>
    <row r="513" spans="1:18" x14ac:dyDescent="0.2">
      <c r="A513" t="s">
        <v>7</v>
      </c>
      <c r="B513">
        <v>4</v>
      </c>
      <c r="C513" t="s">
        <v>3</v>
      </c>
      <c r="D513" s="2">
        <v>43762</v>
      </c>
      <c r="E513" s="11">
        <v>297</v>
      </c>
      <c r="F513" s="3">
        <v>0.48193999999784864</v>
      </c>
      <c r="G513" s="3">
        <v>0.48541999999724794</v>
      </c>
      <c r="H513" s="13">
        <f t="shared" si="6"/>
        <v>297.48193999999785</v>
      </c>
      <c r="I513" s="13">
        <f t="shared" si="7"/>
        <v>297.48541999999725</v>
      </c>
      <c r="J513" s="13">
        <f t="shared" si="8"/>
        <v>297.48367999999755</v>
      </c>
      <c r="K513" s="7">
        <v>43762.483679999998</v>
      </c>
      <c r="L513" s="4">
        <v>1128.7</v>
      </c>
      <c r="M513" s="4"/>
      <c r="N513">
        <v>12.78</v>
      </c>
      <c r="Q513">
        <v>1.2382918584953799</v>
      </c>
      <c r="R513" s="6">
        <v>2.8900000000000001E-5</v>
      </c>
    </row>
    <row r="514" spans="1:18" x14ac:dyDescent="0.2">
      <c r="A514" t="s">
        <v>7</v>
      </c>
      <c r="B514">
        <v>5</v>
      </c>
      <c r="C514" t="s">
        <v>4</v>
      </c>
      <c r="D514" s="2">
        <v>43762</v>
      </c>
      <c r="E514" s="11">
        <v>297</v>
      </c>
      <c r="F514" s="3">
        <v>0.48818999999639345</v>
      </c>
      <c r="G514" s="3">
        <v>0.49167000000306871</v>
      </c>
      <c r="H514" s="13">
        <f t="shared" si="6"/>
        <v>297.48818999999639</v>
      </c>
      <c r="I514" s="13">
        <f t="shared" si="7"/>
        <v>297.49167000000307</v>
      </c>
      <c r="J514" s="13">
        <f t="shared" si="8"/>
        <v>297.48992999999973</v>
      </c>
      <c r="K514" s="7">
        <v>43762.489929999996</v>
      </c>
      <c r="L514" s="4">
        <v>1156.2</v>
      </c>
      <c r="M514" s="4">
        <v>23.7</v>
      </c>
      <c r="N514">
        <v>15</v>
      </c>
      <c r="P514">
        <v>0.19</v>
      </c>
      <c r="Q514">
        <v>3.5820449716950602</v>
      </c>
      <c r="R514">
        <v>-1.2131E-4</v>
      </c>
    </row>
    <row r="515" spans="1:18" x14ac:dyDescent="0.2">
      <c r="A515" t="s">
        <v>7</v>
      </c>
      <c r="B515">
        <v>5</v>
      </c>
      <c r="C515" t="s">
        <v>3</v>
      </c>
      <c r="D515" s="2">
        <v>43762</v>
      </c>
      <c r="E515" s="11">
        <v>297</v>
      </c>
      <c r="F515" s="3">
        <v>0.49444000000221422</v>
      </c>
      <c r="G515" s="3">
        <v>0.49792000000161352</v>
      </c>
      <c r="H515" s="13">
        <f t="shared" si="6"/>
        <v>297.49444000000221</v>
      </c>
      <c r="I515" s="13">
        <f t="shared" si="7"/>
        <v>297.49792000000161</v>
      </c>
      <c r="J515" s="13">
        <f t="shared" si="8"/>
        <v>297.49618000000191</v>
      </c>
      <c r="K515" s="7">
        <v>43762.496180000002</v>
      </c>
      <c r="L515" s="4">
        <v>1176.2</v>
      </c>
      <c r="M515" s="4"/>
      <c r="N515">
        <v>15</v>
      </c>
      <c r="Q515">
        <v>3.0437061342343301</v>
      </c>
      <c r="R515">
        <v>-1.4125100000000001E-4</v>
      </c>
    </row>
    <row r="516" spans="1:18" x14ac:dyDescent="0.2">
      <c r="A516" t="s">
        <v>7</v>
      </c>
      <c r="B516">
        <v>1</v>
      </c>
      <c r="C516" t="s">
        <v>4</v>
      </c>
      <c r="D516" s="2">
        <v>43762</v>
      </c>
      <c r="E516" s="11">
        <v>297</v>
      </c>
      <c r="F516" s="3">
        <v>0.51284999999916181</v>
      </c>
      <c r="G516" s="3">
        <v>0.51632000000245171</v>
      </c>
      <c r="H516" s="13">
        <f t="shared" si="6"/>
        <v>297.51284999999916</v>
      </c>
      <c r="I516" s="13">
        <f t="shared" si="7"/>
        <v>297.51632000000245</v>
      </c>
      <c r="J516" s="13">
        <f t="shared" si="8"/>
        <v>297.51458500000081</v>
      </c>
      <c r="K516" s="7">
        <v>43762.514584999997</v>
      </c>
      <c r="L516" s="4">
        <v>1226.2</v>
      </c>
      <c r="M516" s="4">
        <v>22.3</v>
      </c>
      <c r="N516">
        <v>15.56</v>
      </c>
      <c r="P516">
        <v>0.2</v>
      </c>
      <c r="Q516">
        <v>2.8297321823959098</v>
      </c>
      <c r="R516" s="6">
        <v>-2.7823270534699798E-6</v>
      </c>
    </row>
    <row r="517" spans="1:18" x14ac:dyDescent="0.2">
      <c r="A517" t="s">
        <v>7</v>
      </c>
      <c r="B517">
        <v>1</v>
      </c>
      <c r="C517" t="s">
        <v>3</v>
      </c>
      <c r="D517" s="2">
        <v>43762</v>
      </c>
      <c r="E517" s="11">
        <v>297</v>
      </c>
      <c r="F517" s="3">
        <v>0.51840000000083819</v>
      </c>
      <c r="G517" s="3">
        <v>0.52188000000023749</v>
      </c>
      <c r="H517" s="13">
        <f t="shared" si="6"/>
        <v>297.51840000000084</v>
      </c>
      <c r="I517" s="13">
        <f t="shared" si="7"/>
        <v>297.52188000000024</v>
      </c>
      <c r="J517" s="13">
        <f t="shared" si="8"/>
        <v>297.52014000000054</v>
      </c>
      <c r="K517" s="7">
        <v>43762.520140000001</v>
      </c>
      <c r="L517" s="4">
        <v>1236.2</v>
      </c>
      <c r="M517" s="4"/>
      <c r="N517">
        <v>15.56</v>
      </c>
      <c r="Q517">
        <v>2.86818535450749</v>
      </c>
      <c r="R517" s="6">
        <v>-8.4283078927766696E-6</v>
      </c>
    </row>
    <row r="518" spans="1:18" x14ac:dyDescent="0.2">
      <c r="A518" t="s">
        <v>7</v>
      </c>
      <c r="B518">
        <v>2</v>
      </c>
      <c r="C518" t="s">
        <v>4</v>
      </c>
      <c r="D518" s="2">
        <v>43762</v>
      </c>
      <c r="E518" s="11">
        <v>297</v>
      </c>
      <c r="F518" s="3">
        <v>0.52360999999655178</v>
      </c>
      <c r="G518" s="3">
        <v>0.52707999999984168</v>
      </c>
      <c r="H518" s="13">
        <f t="shared" si="6"/>
        <v>297.52360999999655</v>
      </c>
      <c r="I518" s="13">
        <f t="shared" si="7"/>
        <v>297.52707999999984</v>
      </c>
      <c r="J518" s="13">
        <f t="shared" si="8"/>
        <v>297.5253449999982</v>
      </c>
      <c r="K518" s="7">
        <v>43762.525345000002</v>
      </c>
      <c r="L518" s="4">
        <v>1241.2</v>
      </c>
      <c r="M518" s="4">
        <v>20.9</v>
      </c>
      <c r="N518">
        <v>15.56</v>
      </c>
      <c r="P518">
        <v>0.19</v>
      </c>
      <c r="Q518">
        <v>2.3549537736297901</v>
      </c>
      <c r="R518">
        <v>2.3388825145203199E-4</v>
      </c>
    </row>
    <row r="519" spans="1:18" x14ac:dyDescent="0.2">
      <c r="A519" t="s">
        <v>7</v>
      </c>
      <c r="B519">
        <v>2</v>
      </c>
      <c r="C519" t="s">
        <v>3</v>
      </c>
      <c r="D519" s="2">
        <v>43762</v>
      </c>
      <c r="E519" s="11">
        <v>297</v>
      </c>
      <c r="F519" s="3">
        <v>0.52951000000030035</v>
      </c>
      <c r="G519" s="3">
        <v>0.53298999999969965</v>
      </c>
      <c r="H519" s="13">
        <f t="shared" si="6"/>
        <v>297.5295100000003</v>
      </c>
      <c r="I519" s="13">
        <f t="shared" si="7"/>
        <v>297.5329899999997</v>
      </c>
      <c r="J519" s="13">
        <f t="shared" si="8"/>
        <v>297.53125</v>
      </c>
      <c r="K519" s="7">
        <v>43762.53125</v>
      </c>
      <c r="L519" s="4">
        <v>1246.2</v>
      </c>
      <c r="M519" s="4"/>
      <c r="N519">
        <v>15.56</v>
      </c>
      <c r="Q519">
        <v>1.85569617810795</v>
      </c>
      <c r="R519" s="6">
        <v>9.2805327069889798E-5</v>
      </c>
    </row>
    <row r="520" spans="1:18" x14ac:dyDescent="0.2">
      <c r="A520" t="s">
        <v>7</v>
      </c>
      <c r="B520">
        <v>3</v>
      </c>
      <c r="C520" t="s">
        <v>4</v>
      </c>
      <c r="D520" s="2">
        <v>43762</v>
      </c>
      <c r="E520" s="11">
        <v>297</v>
      </c>
      <c r="F520" s="3">
        <v>0.53575999999884516</v>
      </c>
      <c r="G520" s="3">
        <v>0.53923999999824446</v>
      </c>
      <c r="H520" s="13">
        <f t="shared" si="6"/>
        <v>297.53575999999885</v>
      </c>
      <c r="I520" s="13">
        <f t="shared" si="7"/>
        <v>297.53923999999824</v>
      </c>
      <c r="J520" s="13">
        <f t="shared" si="8"/>
        <v>297.53749999999854</v>
      </c>
      <c r="K520" s="7">
        <v>43762.537499999999</v>
      </c>
      <c r="L520" s="4">
        <v>1248.7</v>
      </c>
      <c r="M520" s="4">
        <v>20.2</v>
      </c>
      <c r="N520">
        <v>15.56</v>
      </c>
      <c r="P520">
        <v>0.18</v>
      </c>
      <c r="Q520">
        <v>2.5736415181821002</v>
      </c>
      <c r="R520">
        <v>2.02601565682139E-4</v>
      </c>
    </row>
    <row r="521" spans="1:18" x14ac:dyDescent="0.2">
      <c r="A521" t="s">
        <v>7</v>
      </c>
      <c r="B521">
        <v>3</v>
      </c>
      <c r="C521" t="s">
        <v>3</v>
      </c>
      <c r="D521" s="2">
        <v>43762</v>
      </c>
      <c r="E521" s="11">
        <v>297</v>
      </c>
      <c r="F521" s="3">
        <v>0.54131999999663094</v>
      </c>
      <c r="G521" s="3">
        <v>0.54478999999992084</v>
      </c>
      <c r="H521" s="13">
        <f t="shared" si="6"/>
        <v>297.54131999999663</v>
      </c>
      <c r="I521" s="13">
        <f t="shared" si="7"/>
        <v>297.54478999999992</v>
      </c>
      <c r="J521" s="13">
        <f t="shared" si="8"/>
        <v>297.54305499999828</v>
      </c>
      <c r="K521" s="7">
        <v>43762.543055000002</v>
      </c>
      <c r="L521" s="4">
        <v>1248.7</v>
      </c>
      <c r="M521" s="4"/>
      <c r="N521">
        <v>15.56</v>
      </c>
      <c r="Q521">
        <v>1.96130120030404</v>
      </c>
      <c r="R521" s="6">
        <v>7.5769347921579594E-5</v>
      </c>
    </row>
    <row r="522" spans="1:18" x14ac:dyDescent="0.2">
      <c r="A522" t="s">
        <v>7</v>
      </c>
      <c r="B522">
        <v>4</v>
      </c>
      <c r="C522" t="s">
        <v>4</v>
      </c>
      <c r="D522" s="2">
        <v>43762</v>
      </c>
      <c r="E522" s="11">
        <v>297</v>
      </c>
      <c r="F522" s="3">
        <v>0.54722000000037951</v>
      </c>
      <c r="G522" s="3">
        <v>0.55068999999639345</v>
      </c>
      <c r="H522" s="13">
        <f t="shared" si="6"/>
        <v>297.54722000000038</v>
      </c>
      <c r="I522" s="13">
        <f t="shared" si="7"/>
        <v>297.55068999999639</v>
      </c>
      <c r="J522" s="13">
        <f t="shared" si="8"/>
        <v>297.54895499999839</v>
      </c>
      <c r="K522" s="7">
        <v>43762.548954999998</v>
      </c>
      <c r="L522" s="4">
        <v>1243.7</v>
      </c>
      <c r="M522" s="4">
        <v>22.8</v>
      </c>
      <c r="N522">
        <v>15.56</v>
      </c>
      <c r="P522">
        <v>0.2</v>
      </c>
      <c r="Q522">
        <v>1.5370366640814399</v>
      </c>
      <c r="R522">
        <v>1.04062867532674E-4</v>
      </c>
    </row>
    <row r="523" spans="1:18" x14ac:dyDescent="0.2">
      <c r="A523" t="s">
        <v>7</v>
      </c>
      <c r="B523">
        <v>4</v>
      </c>
      <c r="C523" t="s">
        <v>3</v>
      </c>
      <c r="D523" s="2">
        <v>43762</v>
      </c>
      <c r="E523" s="11">
        <v>297</v>
      </c>
      <c r="F523" s="3">
        <v>0.55277999999816529</v>
      </c>
      <c r="G523" s="3">
        <v>0.55625000000145519</v>
      </c>
      <c r="H523" s="13">
        <f t="shared" si="6"/>
        <v>297.55277999999817</v>
      </c>
      <c r="I523" s="13">
        <f t="shared" si="7"/>
        <v>297.55625000000146</v>
      </c>
      <c r="J523" s="13">
        <f t="shared" si="8"/>
        <v>297.55451499999981</v>
      </c>
      <c r="K523" s="7">
        <v>43762.554514999996</v>
      </c>
      <c r="L523" s="4">
        <v>1233.7</v>
      </c>
      <c r="M523" s="4"/>
      <c r="N523">
        <v>15.56</v>
      </c>
      <c r="Q523">
        <v>1.5347508349982599</v>
      </c>
      <c r="R523" s="6">
        <v>-2.2029024006965499E-6</v>
      </c>
    </row>
    <row r="524" spans="1:18" x14ac:dyDescent="0.2">
      <c r="A524" t="s">
        <v>7</v>
      </c>
      <c r="B524">
        <v>5</v>
      </c>
      <c r="C524" t="s">
        <v>4</v>
      </c>
      <c r="D524" s="2">
        <v>43762</v>
      </c>
      <c r="E524" s="11">
        <v>297</v>
      </c>
      <c r="F524" s="3">
        <v>0.5590299999967101</v>
      </c>
      <c r="G524" s="3">
        <v>0.5625</v>
      </c>
      <c r="H524" s="13">
        <f t="shared" si="6"/>
        <v>297.55902999999671</v>
      </c>
      <c r="I524" s="13">
        <f t="shared" si="7"/>
        <v>297.5625</v>
      </c>
      <c r="J524" s="13">
        <f t="shared" si="8"/>
        <v>297.56076499999836</v>
      </c>
      <c r="K524" s="7">
        <v>43762.560765000002</v>
      </c>
      <c r="L524" s="4">
        <v>1226.2</v>
      </c>
      <c r="M524" s="4">
        <v>20.7</v>
      </c>
      <c r="N524">
        <v>16.670000000000002</v>
      </c>
      <c r="P524">
        <v>0.17</v>
      </c>
      <c r="Q524">
        <v>3.7718052576538801</v>
      </c>
      <c r="R524">
        <v>1.0556983448371199E-4</v>
      </c>
    </row>
    <row r="525" spans="1:18" x14ac:dyDescent="0.2">
      <c r="A525" t="s">
        <v>7</v>
      </c>
      <c r="B525">
        <v>5</v>
      </c>
      <c r="C525" t="s">
        <v>3</v>
      </c>
      <c r="D525" s="2">
        <v>43762</v>
      </c>
      <c r="E525" s="11">
        <v>297</v>
      </c>
      <c r="F525" s="3">
        <v>0.56528000000253087</v>
      </c>
      <c r="G525" s="3">
        <v>0.56874999999854481</v>
      </c>
      <c r="H525" s="13">
        <f t="shared" si="6"/>
        <v>297.56528000000253</v>
      </c>
      <c r="I525" s="13">
        <f t="shared" si="7"/>
        <v>297.56874999999854</v>
      </c>
      <c r="J525" s="13">
        <f t="shared" si="8"/>
        <v>297.56701500000054</v>
      </c>
      <c r="K525" s="7">
        <v>43762.567015000001</v>
      </c>
      <c r="L525" s="4">
        <v>1211.2</v>
      </c>
      <c r="M525" s="4"/>
      <c r="N525">
        <v>16.670000000000002</v>
      </c>
      <c r="Q525">
        <v>3.62190242533819</v>
      </c>
      <c r="R525" s="6">
        <v>-2.2891017082479401E-5</v>
      </c>
    </row>
    <row r="526" spans="1:18" x14ac:dyDescent="0.2">
      <c r="A526" t="s">
        <v>7</v>
      </c>
      <c r="B526">
        <v>1</v>
      </c>
      <c r="C526" t="s">
        <v>4</v>
      </c>
      <c r="D526" s="2">
        <v>43767</v>
      </c>
      <c r="E526" s="11">
        <v>302</v>
      </c>
      <c r="F526" s="3">
        <v>0.43125000000145519</v>
      </c>
      <c r="G526" s="3">
        <v>0.43471999999746913</v>
      </c>
      <c r="H526" s="13">
        <f t="shared" si="6"/>
        <v>302.43125000000146</v>
      </c>
      <c r="I526" s="13">
        <f t="shared" si="7"/>
        <v>302.43471999999747</v>
      </c>
      <c r="J526" s="13">
        <f t="shared" si="8"/>
        <v>302.43298499999946</v>
      </c>
      <c r="K526" s="7">
        <v>43767.432984999999</v>
      </c>
      <c r="L526" s="4">
        <v>693.7</v>
      </c>
      <c r="M526" s="4">
        <v>22.6</v>
      </c>
      <c r="N526">
        <v>14.44</v>
      </c>
      <c r="P526">
        <v>0.18</v>
      </c>
      <c r="Q526">
        <v>2.6694735009446702</v>
      </c>
      <c r="R526" s="6">
        <v>-9.3227360770519003E-5</v>
      </c>
    </row>
    <row r="527" spans="1:18" x14ac:dyDescent="0.2">
      <c r="A527" t="s">
        <v>7</v>
      </c>
      <c r="B527">
        <v>1</v>
      </c>
      <c r="C527" t="s">
        <v>3</v>
      </c>
      <c r="D527" s="2">
        <v>43767</v>
      </c>
      <c r="E527" s="11">
        <v>302</v>
      </c>
      <c r="F527" s="3">
        <v>0.43680999999924097</v>
      </c>
      <c r="G527" s="3">
        <v>0.44028000000253087</v>
      </c>
      <c r="H527" s="13">
        <f t="shared" si="6"/>
        <v>302.43680999999924</v>
      </c>
      <c r="I527" s="13">
        <f t="shared" si="7"/>
        <v>302.44028000000253</v>
      </c>
      <c r="J527" s="13">
        <f t="shared" si="8"/>
        <v>302.43854500000089</v>
      </c>
      <c r="K527" s="7">
        <v>43767.438544999997</v>
      </c>
      <c r="L527" s="4">
        <v>583.70000000000005</v>
      </c>
      <c r="M527" s="4"/>
      <c r="N527">
        <v>14.44</v>
      </c>
      <c r="Q527">
        <v>2.71899683882762</v>
      </c>
      <c r="R527">
        <v>-1.3537122739318999E-4</v>
      </c>
    </row>
    <row r="528" spans="1:18" x14ac:dyDescent="0.2">
      <c r="A528" t="s">
        <v>7</v>
      </c>
      <c r="B528">
        <v>2</v>
      </c>
      <c r="C528" t="s">
        <v>4</v>
      </c>
      <c r="D528" s="2">
        <v>43767</v>
      </c>
      <c r="E528" s="11">
        <v>302</v>
      </c>
      <c r="F528" s="3">
        <v>0.44236000000091735</v>
      </c>
      <c r="G528" s="3">
        <v>0.44582999999693129</v>
      </c>
      <c r="H528" s="13">
        <f t="shared" si="6"/>
        <v>302.44236000000092</v>
      </c>
      <c r="I528" s="13">
        <f t="shared" si="7"/>
        <v>302.44582999999693</v>
      </c>
      <c r="J528" s="13">
        <f t="shared" si="8"/>
        <v>302.44409499999892</v>
      </c>
      <c r="K528" s="7">
        <v>43767.444094999999</v>
      </c>
      <c r="L528" s="4">
        <v>468.7</v>
      </c>
      <c r="M528" s="4">
        <v>22.1</v>
      </c>
      <c r="N528">
        <v>14.44</v>
      </c>
      <c r="P528">
        <v>0.19</v>
      </c>
      <c r="Q528">
        <v>2.6540558459736698</v>
      </c>
      <c r="R528">
        <v>-1.11668382388117E-4</v>
      </c>
    </row>
    <row r="529" spans="1:18" x14ac:dyDescent="0.2">
      <c r="A529" t="s">
        <v>7</v>
      </c>
      <c r="B529">
        <v>2</v>
      </c>
      <c r="C529" t="s">
        <v>3</v>
      </c>
      <c r="D529" s="2">
        <v>43767</v>
      </c>
      <c r="E529" s="11">
        <v>302</v>
      </c>
      <c r="F529" s="3">
        <v>0.44931000000360655</v>
      </c>
      <c r="G529" s="3">
        <v>0.45277999999962049</v>
      </c>
      <c r="H529" s="13">
        <f t="shared" si="6"/>
        <v>302.44931000000361</v>
      </c>
      <c r="I529" s="13">
        <f t="shared" si="7"/>
        <v>302.45277999999962</v>
      </c>
      <c r="J529" s="13">
        <f t="shared" si="8"/>
        <v>302.45104500000161</v>
      </c>
      <c r="K529" s="7">
        <v>43767.451045000002</v>
      </c>
      <c r="L529" s="4">
        <v>391.2</v>
      </c>
      <c r="M529" s="4"/>
      <c r="N529">
        <v>14.44</v>
      </c>
      <c r="Q529">
        <v>2.2954148090012501</v>
      </c>
      <c r="R529">
        <v>-1.06214625114467E-4</v>
      </c>
    </row>
    <row r="530" spans="1:18" x14ac:dyDescent="0.2">
      <c r="A530" t="s">
        <v>7</v>
      </c>
      <c r="B530">
        <v>3</v>
      </c>
      <c r="C530" t="s">
        <v>4</v>
      </c>
      <c r="D530" s="2">
        <v>43767</v>
      </c>
      <c r="E530" s="11">
        <v>302</v>
      </c>
      <c r="F530" s="3">
        <v>0.45625000000291038</v>
      </c>
      <c r="G530" s="3">
        <v>0.45971999999892432</v>
      </c>
      <c r="H530" s="13">
        <f t="shared" si="6"/>
        <v>302.45625000000291</v>
      </c>
      <c r="I530" s="13">
        <f t="shared" si="7"/>
        <v>302.45971999999892</v>
      </c>
      <c r="J530" s="13">
        <f t="shared" si="8"/>
        <v>302.45798500000092</v>
      </c>
      <c r="K530" s="7">
        <v>43767.457985000001</v>
      </c>
      <c r="L530" s="4">
        <v>356.2</v>
      </c>
      <c r="M530" s="4">
        <v>22.1</v>
      </c>
      <c r="N530">
        <v>14.44</v>
      </c>
      <c r="P530">
        <v>0.17</v>
      </c>
      <c r="Q530">
        <v>2.6835397480356198</v>
      </c>
      <c r="R530">
        <v>-1.8738195088947E-4</v>
      </c>
    </row>
    <row r="531" spans="1:18" x14ac:dyDescent="0.2">
      <c r="A531" t="s">
        <v>7</v>
      </c>
      <c r="B531">
        <v>3</v>
      </c>
      <c r="C531" t="s">
        <v>3</v>
      </c>
      <c r="D531" s="2">
        <v>43767</v>
      </c>
      <c r="E531" s="11">
        <v>302</v>
      </c>
      <c r="F531" s="3">
        <v>0.46181000000069616</v>
      </c>
      <c r="G531" s="3">
        <v>0.4652799999967101</v>
      </c>
      <c r="H531" s="13">
        <f t="shared" si="6"/>
        <v>302.4618100000007</v>
      </c>
      <c r="I531" s="13">
        <f t="shared" si="7"/>
        <v>302.46527999999671</v>
      </c>
      <c r="J531" s="13">
        <f t="shared" si="8"/>
        <v>302.4635449999987</v>
      </c>
      <c r="K531" s="7">
        <v>43767.463544999999</v>
      </c>
      <c r="L531" s="4">
        <v>441.2</v>
      </c>
      <c r="M531" s="4"/>
      <c r="N531">
        <v>14.44</v>
      </c>
      <c r="Q531">
        <v>2.58434242959328</v>
      </c>
      <c r="R531">
        <v>-1.60384585200361E-4</v>
      </c>
    </row>
    <row r="532" spans="1:18" x14ac:dyDescent="0.2">
      <c r="A532" t="s">
        <v>7</v>
      </c>
      <c r="B532">
        <v>4</v>
      </c>
      <c r="C532" t="s">
        <v>4</v>
      </c>
      <c r="D532" s="2">
        <v>43767</v>
      </c>
      <c r="E532" s="11">
        <v>302</v>
      </c>
      <c r="F532" s="3">
        <v>0.46770999999716878</v>
      </c>
      <c r="G532" s="3">
        <v>0.47118000000045868</v>
      </c>
      <c r="H532" s="13">
        <f t="shared" si="6"/>
        <v>302.46770999999717</v>
      </c>
      <c r="I532" s="13">
        <f t="shared" si="7"/>
        <v>302.47118000000046</v>
      </c>
      <c r="J532" s="13">
        <f t="shared" si="8"/>
        <v>302.46944499999881</v>
      </c>
      <c r="K532" s="7">
        <v>43767.469444999995</v>
      </c>
      <c r="L532" s="4">
        <v>488.7</v>
      </c>
      <c r="M532" s="4">
        <v>25.1</v>
      </c>
      <c r="N532">
        <v>14.44</v>
      </c>
      <c r="P532">
        <v>0.19</v>
      </c>
      <c r="Q532">
        <v>1.7591687457451</v>
      </c>
      <c r="R532">
        <v>-1.34353197593417E-4</v>
      </c>
    </row>
    <row r="533" spans="1:18" x14ac:dyDescent="0.2">
      <c r="A533" t="s">
        <v>7</v>
      </c>
      <c r="B533">
        <v>4</v>
      </c>
      <c r="C533" t="s">
        <v>3</v>
      </c>
      <c r="D533" s="2">
        <v>43767</v>
      </c>
      <c r="E533" s="11">
        <v>302</v>
      </c>
      <c r="F533" s="3">
        <v>0.47325999999884516</v>
      </c>
      <c r="G533" s="3">
        <v>0.47673999999824446</v>
      </c>
      <c r="H533" s="13">
        <f t="shared" si="6"/>
        <v>302.47325999999885</v>
      </c>
      <c r="I533" s="13">
        <f t="shared" si="7"/>
        <v>302.47673999999824</v>
      </c>
      <c r="J533" s="13">
        <f t="shared" si="8"/>
        <v>302.47499999999854</v>
      </c>
      <c r="K533" s="7">
        <v>43767.474999999999</v>
      </c>
      <c r="L533" s="4">
        <v>328.7</v>
      </c>
      <c r="M533" s="4"/>
      <c r="N533">
        <v>14.44</v>
      </c>
      <c r="Q533">
        <v>1.5531954133555601</v>
      </c>
      <c r="R533">
        <v>-1.10268332372926E-4</v>
      </c>
    </row>
    <row r="534" spans="1:18" x14ac:dyDescent="0.2">
      <c r="A534" t="s">
        <v>7</v>
      </c>
      <c r="B534">
        <v>5</v>
      </c>
      <c r="C534" t="s">
        <v>4</v>
      </c>
      <c r="D534" s="2">
        <v>43767</v>
      </c>
      <c r="E534" s="11">
        <v>302</v>
      </c>
      <c r="F534" s="3">
        <v>0.47916999999870313</v>
      </c>
      <c r="G534" s="3">
        <v>0.48264000000199303</v>
      </c>
      <c r="H534" s="13">
        <f t="shared" si="6"/>
        <v>302.4791699999987</v>
      </c>
      <c r="I534" s="13">
        <f t="shared" si="7"/>
        <v>302.48264000000199</v>
      </c>
      <c r="J534" s="13">
        <f t="shared" si="8"/>
        <v>302.48090500000035</v>
      </c>
      <c r="K534" s="7">
        <v>43767.480905000004</v>
      </c>
      <c r="L534" s="4">
        <v>436.2</v>
      </c>
      <c r="M534" s="4">
        <v>23.4</v>
      </c>
      <c r="N534">
        <v>14.44</v>
      </c>
      <c r="P534">
        <v>0.18</v>
      </c>
      <c r="Q534">
        <v>3.1490734019950302</v>
      </c>
      <c r="R534">
        <v>-1.6977283065154299E-4</v>
      </c>
    </row>
    <row r="535" spans="1:18" x14ac:dyDescent="0.2">
      <c r="A535" t="s">
        <v>7</v>
      </c>
      <c r="B535">
        <v>5</v>
      </c>
      <c r="C535" t="s">
        <v>3</v>
      </c>
      <c r="D535" s="2">
        <v>43767</v>
      </c>
      <c r="E535" s="11">
        <v>302</v>
      </c>
      <c r="F535" s="3">
        <v>0.48610999999800697</v>
      </c>
      <c r="G535" s="3">
        <v>0.48958000000129687</v>
      </c>
      <c r="H535" s="13">
        <f t="shared" si="6"/>
        <v>302.48610999999801</v>
      </c>
      <c r="I535" s="13">
        <f t="shared" si="7"/>
        <v>302.4895800000013</v>
      </c>
      <c r="J535" s="13">
        <f t="shared" si="8"/>
        <v>302.48784499999965</v>
      </c>
      <c r="K535" s="7">
        <v>43767.487844999996</v>
      </c>
      <c r="L535" s="4">
        <v>351.2</v>
      </c>
      <c r="M535" s="4"/>
      <c r="N535">
        <v>14.44</v>
      </c>
      <c r="Q535">
        <v>3.1367322982266899</v>
      </c>
      <c r="R535">
        <v>-1.7587677034876199E-4</v>
      </c>
    </row>
    <row r="536" spans="1:18" x14ac:dyDescent="0.2">
      <c r="A536" t="s">
        <v>7</v>
      </c>
      <c r="B536">
        <v>1</v>
      </c>
      <c r="C536" t="s">
        <v>4</v>
      </c>
      <c r="D536" s="2">
        <v>43767</v>
      </c>
      <c r="E536" s="11">
        <v>302</v>
      </c>
      <c r="F536" s="3">
        <v>0.53332999999838648</v>
      </c>
      <c r="G536" s="3">
        <v>0.53680999999778578</v>
      </c>
      <c r="H536" s="13">
        <f t="shared" si="6"/>
        <v>302.53332999999839</v>
      </c>
      <c r="I536" s="13">
        <f t="shared" si="7"/>
        <v>302.53680999999779</v>
      </c>
      <c r="J536" s="13">
        <f t="shared" si="8"/>
        <v>302.53506999999809</v>
      </c>
      <c r="K536" s="7">
        <v>43767.535069999998</v>
      </c>
      <c r="L536" s="4">
        <v>646.20000000000005</v>
      </c>
      <c r="M536" s="4">
        <v>21.8</v>
      </c>
      <c r="N536">
        <v>15</v>
      </c>
      <c r="P536">
        <v>0.18</v>
      </c>
      <c r="Q536">
        <v>2.542718378</v>
      </c>
      <c r="R536">
        <v>-1.0363646847249601E-4</v>
      </c>
    </row>
    <row r="537" spans="1:18" x14ac:dyDescent="0.2">
      <c r="A537" t="s">
        <v>7</v>
      </c>
      <c r="B537">
        <v>1</v>
      </c>
      <c r="C537" t="s">
        <v>3</v>
      </c>
      <c r="D537" s="2">
        <v>43767</v>
      </c>
      <c r="E537" s="11">
        <v>302</v>
      </c>
      <c r="F537" s="3">
        <v>0.53957999999693129</v>
      </c>
      <c r="G537" s="3">
        <v>0.54306000000360655</v>
      </c>
      <c r="H537" s="13">
        <f t="shared" si="6"/>
        <v>302.53957999999693</v>
      </c>
      <c r="I537" s="13">
        <f t="shared" si="7"/>
        <v>302.54306000000361</v>
      </c>
      <c r="J537" s="13">
        <f t="shared" si="8"/>
        <v>302.54132000000027</v>
      </c>
      <c r="K537" s="7">
        <v>43767.541320000004</v>
      </c>
      <c r="L537" s="4">
        <v>711.2</v>
      </c>
      <c r="M537" s="4"/>
      <c r="N537">
        <v>15</v>
      </c>
      <c r="Q537">
        <v>2.2802505100000001</v>
      </c>
      <c r="R537">
        <v>-1.12025640541344E-4</v>
      </c>
    </row>
    <row r="538" spans="1:18" x14ac:dyDescent="0.2">
      <c r="A538" t="s">
        <v>7</v>
      </c>
      <c r="B538">
        <v>2</v>
      </c>
      <c r="C538" t="s">
        <v>4</v>
      </c>
      <c r="D538" s="2">
        <v>43767</v>
      </c>
      <c r="E538" s="11">
        <v>302</v>
      </c>
      <c r="F538" s="3">
        <v>0.54583000000275206</v>
      </c>
      <c r="G538" s="3">
        <v>0.54931000000215136</v>
      </c>
      <c r="H538" s="13">
        <f t="shared" si="6"/>
        <v>302.54583000000275</v>
      </c>
      <c r="I538" s="13">
        <f t="shared" si="7"/>
        <v>302.54931000000215</v>
      </c>
      <c r="J538" s="13">
        <f t="shared" si="8"/>
        <v>302.54757000000245</v>
      </c>
      <c r="K538" s="7">
        <v>43767.547570000002</v>
      </c>
      <c r="L538" s="4">
        <v>733.7</v>
      </c>
      <c r="M538" s="4">
        <v>21.4</v>
      </c>
      <c r="N538">
        <v>15.56</v>
      </c>
      <c r="P538">
        <v>0.18</v>
      </c>
      <c r="Q538">
        <v>2.3990151210000001</v>
      </c>
      <c r="R538" s="6">
        <v>5.50261698377441E-5</v>
      </c>
    </row>
    <row r="539" spans="1:18" x14ac:dyDescent="0.2">
      <c r="A539" t="s">
        <v>7</v>
      </c>
      <c r="B539">
        <v>2</v>
      </c>
      <c r="C539" t="s">
        <v>3</v>
      </c>
      <c r="D539" s="2">
        <v>43767</v>
      </c>
      <c r="E539" s="11">
        <v>302</v>
      </c>
      <c r="F539" s="3">
        <v>0.55139000000053784</v>
      </c>
      <c r="G539" s="3">
        <v>0.55485999999655178</v>
      </c>
      <c r="H539" s="13">
        <f t="shared" si="6"/>
        <v>302.55139000000054</v>
      </c>
      <c r="I539" s="13">
        <f t="shared" si="7"/>
        <v>302.55485999999655</v>
      </c>
      <c r="J539" s="13">
        <f t="shared" si="8"/>
        <v>302.55312499999854</v>
      </c>
      <c r="K539" s="7">
        <v>43767.553124999999</v>
      </c>
      <c r="L539" s="4">
        <v>616.20000000000005</v>
      </c>
      <c r="M539" s="4"/>
      <c r="N539">
        <v>15.56</v>
      </c>
      <c r="Q539">
        <v>2.42708827</v>
      </c>
      <c r="R539" s="6">
        <v>-6.6486709778196097E-5</v>
      </c>
    </row>
    <row r="540" spans="1:18" x14ac:dyDescent="0.2">
      <c r="A540" t="s">
        <v>7</v>
      </c>
      <c r="B540">
        <v>3</v>
      </c>
      <c r="C540" t="s">
        <v>4</v>
      </c>
      <c r="D540" s="2">
        <v>43767</v>
      </c>
      <c r="E540" s="11">
        <v>302</v>
      </c>
      <c r="F540" s="3">
        <v>0.55746999999973923</v>
      </c>
      <c r="G540" s="3">
        <v>0.56094000000302913</v>
      </c>
      <c r="H540" s="13">
        <f t="shared" si="6"/>
        <v>302.55746999999974</v>
      </c>
      <c r="I540" s="13">
        <f t="shared" si="7"/>
        <v>302.56094000000303</v>
      </c>
      <c r="J540" s="13">
        <f t="shared" si="8"/>
        <v>302.55920500000138</v>
      </c>
      <c r="K540" s="7">
        <v>43767.559204999998</v>
      </c>
      <c r="L540" s="4">
        <v>491.2</v>
      </c>
      <c r="M540" s="4">
        <v>23.1</v>
      </c>
      <c r="N540">
        <v>15.56</v>
      </c>
      <c r="P540">
        <v>0.18</v>
      </c>
      <c r="Q540">
        <v>2.7471800599999998</v>
      </c>
      <c r="R540">
        <v>-1.3126803270395099E-4</v>
      </c>
    </row>
    <row r="541" spans="1:18" x14ac:dyDescent="0.2">
      <c r="A541" t="s">
        <v>7</v>
      </c>
      <c r="B541">
        <v>3</v>
      </c>
      <c r="C541" t="s">
        <v>3</v>
      </c>
      <c r="D541" s="2">
        <v>43767</v>
      </c>
      <c r="E541" s="11">
        <v>302</v>
      </c>
      <c r="F541" s="3">
        <v>0.56457999999838648</v>
      </c>
      <c r="G541" s="3">
        <v>0.56805999999778578</v>
      </c>
      <c r="H541" s="13">
        <f t="shared" si="6"/>
        <v>302.56457999999839</v>
      </c>
      <c r="I541" s="13">
        <f t="shared" si="7"/>
        <v>302.56805999999779</v>
      </c>
      <c r="J541" s="13">
        <f t="shared" si="8"/>
        <v>302.56631999999809</v>
      </c>
      <c r="K541" s="7">
        <v>43767.566319999998</v>
      </c>
      <c r="L541" s="4">
        <v>418.7</v>
      </c>
      <c r="M541" s="4"/>
      <c r="N541">
        <v>15.56</v>
      </c>
      <c r="Q541">
        <v>2.5212448049999998</v>
      </c>
      <c r="R541" s="6">
        <v>-8.5633318908037197E-5</v>
      </c>
    </row>
    <row r="542" spans="1:18" x14ac:dyDescent="0.2">
      <c r="A542" t="s">
        <v>7</v>
      </c>
      <c r="B542">
        <v>4</v>
      </c>
      <c r="C542" t="s">
        <v>4</v>
      </c>
      <c r="D542" s="2">
        <v>43767</v>
      </c>
      <c r="E542" s="11">
        <v>302</v>
      </c>
      <c r="F542" s="3">
        <v>0.57222000000183471</v>
      </c>
      <c r="G542" s="3">
        <v>0.57568999999784864</v>
      </c>
      <c r="H542" s="13">
        <f t="shared" si="6"/>
        <v>302.57222000000183</v>
      </c>
      <c r="I542" s="13">
        <f t="shared" si="7"/>
        <v>302.57568999999785</v>
      </c>
      <c r="J542" s="13">
        <f t="shared" si="8"/>
        <v>302.57395499999984</v>
      </c>
      <c r="K542" s="7">
        <v>43767.573955</v>
      </c>
      <c r="L542" s="4">
        <v>538.70000000000005</v>
      </c>
      <c r="M542" s="4">
        <v>23.9</v>
      </c>
      <c r="N542">
        <v>15.56</v>
      </c>
      <c r="P542">
        <v>0.19</v>
      </c>
      <c r="Q542">
        <v>1.8319513359999999</v>
      </c>
      <c r="R542" s="6">
        <v>6.0028949428136296E-7</v>
      </c>
    </row>
    <row r="543" spans="1:18" x14ac:dyDescent="0.2">
      <c r="A543" t="s">
        <v>7</v>
      </c>
      <c r="B543">
        <v>4</v>
      </c>
      <c r="C543" t="s">
        <v>3</v>
      </c>
      <c r="D543" s="2">
        <v>43767</v>
      </c>
      <c r="E543" s="11">
        <v>302</v>
      </c>
      <c r="F543" s="3">
        <v>0.57847000000037951</v>
      </c>
      <c r="G543" s="3">
        <v>0.58193999999639345</v>
      </c>
      <c r="H543" s="13">
        <f t="shared" si="6"/>
        <v>302.57847000000038</v>
      </c>
      <c r="I543" s="13">
        <f t="shared" si="7"/>
        <v>302.58193999999639</v>
      </c>
      <c r="J543" s="13">
        <f t="shared" si="8"/>
        <v>302.58020499999839</v>
      </c>
      <c r="K543" s="7">
        <v>43767.580204999998</v>
      </c>
      <c r="L543" s="4">
        <v>511.2</v>
      </c>
      <c r="M543" s="4"/>
      <c r="N543">
        <v>15.56</v>
      </c>
      <c r="Q543">
        <v>1.8861754829999999</v>
      </c>
      <c r="R543" s="6">
        <v>-6.2172755940186099E-5</v>
      </c>
    </row>
    <row r="544" spans="1:18" x14ac:dyDescent="0.2">
      <c r="A544" t="s">
        <v>7</v>
      </c>
      <c r="B544">
        <v>5</v>
      </c>
      <c r="C544" t="s">
        <v>4</v>
      </c>
      <c r="D544" s="2">
        <v>43767</v>
      </c>
      <c r="E544" s="11">
        <v>302</v>
      </c>
      <c r="F544" s="3">
        <v>0.58507000000099652</v>
      </c>
      <c r="G544" s="3">
        <v>0.58853999999701045</v>
      </c>
      <c r="H544" s="13">
        <f t="shared" si="6"/>
        <v>302.585070000001</v>
      </c>
      <c r="I544" s="13">
        <f t="shared" si="7"/>
        <v>302.58853999999701</v>
      </c>
      <c r="J544" s="13">
        <f t="shared" si="8"/>
        <v>302.586804999999</v>
      </c>
      <c r="K544" s="7">
        <v>43767.586804999999</v>
      </c>
      <c r="L544" s="4">
        <v>491.2</v>
      </c>
      <c r="M544" s="4">
        <v>21.8</v>
      </c>
      <c r="N544">
        <v>15.56</v>
      </c>
      <c r="P544">
        <v>0.19</v>
      </c>
      <c r="Q544">
        <v>3.5444779830000002</v>
      </c>
      <c r="R544">
        <v>-1.31045328312019E-4</v>
      </c>
    </row>
    <row r="545" spans="1:18" x14ac:dyDescent="0.2">
      <c r="A545" t="s">
        <v>7</v>
      </c>
      <c r="B545">
        <v>5</v>
      </c>
      <c r="C545" t="s">
        <v>3</v>
      </c>
      <c r="D545" s="2">
        <v>43767</v>
      </c>
      <c r="E545" s="11">
        <v>302</v>
      </c>
      <c r="F545" s="3">
        <v>0.59131999999954132</v>
      </c>
      <c r="G545" s="3">
        <v>0.59479000000283122</v>
      </c>
      <c r="H545" s="13">
        <f t="shared" si="6"/>
        <v>302.59131999999954</v>
      </c>
      <c r="I545" s="13">
        <f t="shared" si="7"/>
        <v>302.59479000000283</v>
      </c>
      <c r="J545" s="13">
        <f t="shared" si="8"/>
        <v>302.59305500000119</v>
      </c>
      <c r="K545" s="7">
        <v>43767.593055000005</v>
      </c>
      <c r="L545" s="4">
        <v>551.20000000000005</v>
      </c>
      <c r="M545" s="4"/>
      <c r="N545">
        <v>15.56</v>
      </c>
      <c r="Q545">
        <v>3.8047410670000001</v>
      </c>
      <c r="R545">
        <v>-1.6526972310747099E-4</v>
      </c>
    </row>
    <row r="546" spans="1:18" x14ac:dyDescent="0.2">
      <c r="A546" t="s">
        <v>7</v>
      </c>
      <c r="B546">
        <v>1</v>
      </c>
      <c r="C546" t="s">
        <v>4</v>
      </c>
      <c r="D546" s="2">
        <v>43774</v>
      </c>
      <c r="E546" s="11">
        <v>309</v>
      </c>
      <c r="F546" s="3">
        <v>0.42500000000291038</v>
      </c>
      <c r="G546" s="3">
        <v>0.42846999999892432</v>
      </c>
      <c r="H546" s="13">
        <f t="shared" si="6"/>
        <v>309.42500000000291</v>
      </c>
      <c r="I546" s="13">
        <f t="shared" si="7"/>
        <v>309.42846999999892</v>
      </c>
      <c r="J546" s="13">
        <f t="shared" si="8"/>
        <v>309.42673500000092</v>
      </c>
      <c r="K546" s="7">
        <v>43774.426735000001</v>
      </c>
      <c r="L546" s="4">
        <v>313.7</v>
      </c>
      <c r="M546" s="4">
        <v>20.3</v>
      </c>
      <c r="N546">
        <v>12.78</v>
      </c>
      <c r="P546">
        <v>0.17</v>
      </c>
      <c r="Q546">
        <v>1.7455075840976499</v>
      </c>
      <c r="R546">
        <v>-2.6321257483929999E-4</v>
      </c>
    </row>
    <row r="547" spans="1:18" x14ac:dyDescent="0.2">
      <c r="A547" t="s">
        <v>7</v>
      </c>
      <c r="B547">
        <v>1</v>
      </c>
      <c r="C547" t="s">
        <v>3</v>
      </c>
      <c r="D547" s="2">
        <v>43774</v>
      </c>
      <c r="E547" s="11">
        <v>309</v>
      </c>
      <c r="F547" s="3">
        <v>0.43125000000145519</v>
      </c>
      <c r="G547" s="3">
        <v>0.43471999999746913</v>
      </c>
      <c r="H547" s="13">
        <f t="shared" si="6"/>
        <v>309.43125000000146</v>
      </c>
      <c r="I547" s="13">
        <f t="shared" si="7"/>
        <v>309.43471999999747</v>
      </c>
      <c r="J547" s="13">
        <f t="shared" si="8"/>
        <v>309.43298499999946</v>
      </c>
      <c r="K547" s="7">
        <v>43774.432984999999</v>
      </c>
      <c r="L547" s="4">
        <v>438.7</v>
      </c>
      <c r="M547" s="4"/>
      <c r="N547">
        <v>12.78</v>
      </c>
      <c r="Q547">
        <v>1.4913119541467601</v>
      </c>
      <c r="R547">
        <v>-1.1886212271210099E-4</v>
      </c>
    </row>
    <row r="548" spans="1:18" x14ac:dyDescent="0.2">
      <c r="A548" t="s">
        <v>7</v>
      </c>
      <c r="B548">
        <v>2</v>
      </c>
      <c r="C548" t="s">
        <v>4</v>
      </c>
      <c r="D548" s="2">
        <v>43774</v>
      </c>
      <c r="E548" s="11">
        <v>309</v>
      </c>
      <c r="F548" s="3">
        <v>0.43680999999924097</v>
      </c>
      <c r="G548" s="3">
        <v>0.44028000000253087</v>
      </c>
      <c r="H548" s="13">
        <f t="shared" si="6"/>
        <v>309.43680999999924</v>
      </c>
      <c r="I548" s="13">
        <f t="shared" si="7"/>
        <v>309.44028000000253</v>
      </c>
      <c r="J548" s="13">
        <f t="shared" si="8"/>
        <v>309.43854500000089</v>
      </c>
      <c r="K548" s="7">
        <v>43774.438544999997</v>
      </c>
      <c r="L548" s="4">
        <v>606.20000000000005</v>
      </c>
      <c r="M548" s="4">
        <v>20.399999999999999</v>
      </c>
      <c r="N548">
        <v>12.78</v>
      </c>
      <c r="P548">
        <v>0.18</v>
      </c>
      <c r="Q548">
        <v>1.4635994730385</v>
      </c>
      <c r="R548">
        <v>-1.4145613138599199E-4</v>
      </c>
    </row>
    <row r="549" spans="1:18" x14ac:dyDescent="0.2">
      <c r="A549" t="s">
        <v>7</v>
      </c>
      <c r="B549">
        <v>2</v>
      </c>
      <c r="C549" t="s">
        <v>3</v>
      </c>
      <c r="D549" s="2">
        <v>43774</v>
      </c>
      <c r="E549" s="11">
        <v>309</v>
      </c>
      <c r="F549" s="3">
        <v>0.44305999999778578</v>
      </c>
      <c r="G549" s="3">
        <v>0.44653000000107568</v>
      </c>
      <c r="H549" s="13">
        <f t="shared" si="6"/>
        <v>309.44305999999779</v>
      </c>
      <c r="I549" s="13">
        <f t="shared" si="7"/>
        <v>309.44653000000108</v>
      </c>
      <c r="J549" s="13">
        <f t="shared" si="8"/>
        <v>309.44479499999943</v>
      </c>
      <c r="K549" s="7">
        <v>43774.444795000003</v>
      </c>
      <c r="L549" s="4">
        <v>346.2</v>
      </c>
      <c r="M549" s="4"/>
      <c r="N549">
        <v>12.78</v>
      </c>
      <c r="Q549">
        <v>1.3881778089980801</v>
      </c>
      <c r="R549">
        <v>-2.1934979183630001E-4</v>
      </c>
    </row>
    <row r="550" spans="1:18" x14ac:dyDescent="0.2">
      <c r="A550" t="s">
        <v>7</v>
      </c>
      <c r="B550">
        <v>3</v>
      </c>
      <c r="C550" t="s">
        <v>4</v>
      </c>
      <c r="D550" s="2">
        <v>43774</v>
      </c>
      <c r="E550" s="11">
        <v>309</v>
      </c>
      <c r="F550" s="3">
        <v>0.44860999999946216</v>
      </c>
      <c r="G550" s="3">
        <v>0.45208000000275206</v>
      </c>
      <c r="H550" s="13">
        <f t="shared" si="6"/>
        <v>309.44860999999946</v>
      </c>
      <c r="I550" s="13">
        <f t="shared" si="7"/>
        <v>309.45208000000275</v>
      </c>
      <c r="J550" s="13">
        <f t="shared" si="8"/>
        <v>309.45034500000111</v>
      </c>
      <c r="K550" s="7">
        <v>43774.450345000005</v>
      </c>
      <c r="L550" s="4">
        <v>293.7</v>
      </c>
      <c r="M550" s="4">
        <v>22.4</v>
      </c>
      <c r="N550">
        <v>12.78</v>
      </c>
      <c r="P550">
        <v>0.19</v>
      </c>
      <c r="Q550">
        <v>1.69144876432663</v>
      </c>
      <c r="R550">
        <v>-1.9990385003053801E-4</v>
      </c>
    </row>
    <row r="551" spans="1:18" x14ac:dyDescent="0.2">
      <c r="A551" t="s">
        <v>7</v>
      </c>
      <c r="B551">
        <v>3</v>
      </c>
      <c r="C551" t="s">
        <v>3</v>
      </c>
      <c r="D551" s="2">
        <v>43774</v>
      </c>
      <c r="E551" s="11">
        <v>309</v>
      </c>
      <c r="F551" s="3">
        <v>0.45416999999724794</v>
      </c>
      <c r="G551" s="3">
        <v>0.45764000000053784</v>
      </c>
      <c r="H551" s="13">
        <f t="shared" si="6"/>
        <v>309.45416999999725</v>
      </c>
      <c r="I551" s="13">
        <f t="shared" si="7"/>
        <v>309.45764000000054</v>
      </c>
      <c r="J551" s="13">
        <f t="shared" si="8"/>
        <v>309.45590499999889</v>
      </c>
      <c r="K551" s="7">
        <v>43774.455904999995</v>
      </c>
      <c r="L551" s="4">
        <v>243.7</v>
      </c>
      <c r="M551" s="4"/>
      <c r="N551">
        <v>12.78</v>
      </c>
      <c r="Q551">
        <v>1.1742892764562201</v>
      </c>
      <c r="R551">
        <v>-1.63466743764249E-4</v>
      </c>
    </row>
    <row r="552" spans="1:18" x14ac:dyDescent="0.2">
      <c r="A552" t="s">
        <v>7</v>
      </c>
      <c r="B552">
        <v>4</v>
      </c>
      <c r="C552" t="s">
        <v>4</v>
      </c>
      <c r="D552" s="2">
        <v>43774</v>
      </c>
      <c r="E552" s="11">
        <v>309</v>
      </c>
      <c r="F552" s="3">
        <v>0.46042000000306871</v>
      </c>
      <c r="G552" s="3">
        <v>0.46388999999908265</v>
      </c>
      <c r="H552" s="13">
        <f t="shared" si="6"/>
        <v>309.46042000000307</v>
      </c>
      <c r="I552" s="13">
        <f t="shared" si="7"/>
        <v>309.46388999999908</v>
      </c>
      <c r="J552" s="13">
        <f t="shared" si="8"/>
        <v>309.46215500000108</v>
      </c>
      <c r="K552" s="7">
        <v>43774.462155000001</v>
      </c>
      <c r="L552" s="4">
        <v>283.7</v>
      </c>
      <c r="M552" s="4">
        <v>20.9</v>
      </c>
      <c r="N552">
        <v>12.78</v>
      </c>
      <c r="P552">
        <v>0.18</v>
      </c>
      <c r="Q552">
        <v>1.1822812599502901</v>
      </c>
      <c r="R552">
        <v>-1.2590448762315101E-4</v>
      </c>
    </row>
    <row r="553" spans="1:18" x14ac:dyDescent="0.2">
      <c r="A553" t="s">
        <v>7</v>
      </c>
      <c r="B553">
        <v>4</v>
      </c>
      <c r="C553" t="s">
        <v>3</v>
      </c>
      <c r="D553" s="2">
        <v>43774</v>
      </c>
      <c r="E553" s="11">
        <v>309</v>
      </c>
      <c r="F553" s="3">
        <v>0.46667000000161352</v>
      </c>
      <c r="G553" s="3">
        <v>0.47013999999762746</v>
      </c>
      <c r="H553" s="13">
        <f t="shared" si="6"/>
        <v>309.46667000000161</v>
      </c>
      <c r="I553" s="13">
        <f t="shared" si="7"/>
        <v>309.47013999999763</v>
      </c>
      <c r="J553" s="13">
        <f t="shared" si="8"/>
        <v>309.46840499999962</v>
      </c>
      <c r="K553" s="7">
        <v>43774.468405</v>
      </c>
      <c r="L553" s="4">
        <v>213.7</v>
      </c>
      <c r="M553" s="4"/>
      <c r="N553">
        <v>12.78</v>
      </c>
      <c r="Q553">
        <v>1.1907052760988199</v>
      </c>
      <c r="R553">
        <v>-1.58011718937912E-4</v>
      </c>
    </row>
    <row r="554" spans="1:18" x14ac:dyDescent="0.2">
      <c r="A554" t="s">
        <v>7</v>
      </c>
      <c r="B554">
        <v>5</v>
      </c>
      <c r="C554" t="s">
        <v>4</v>
      </c>
      <c r="D554" s="2">
        <v>43774</v>
      </c>
      <c r="E554" s="11">
        <v>309</v>
      </c>
      <c r="F554" s="3">
        <v>0.47396000000298955</v>
      </c>
      <c r="G554" s="3">
        <v>0.47707999999693129</v>
      </c>
      <c r="H554" s="13">
        <f t="shared" si="6"/>
        <v>309.47396000000299</v>
      </c>
      <c r="I554" s="13">
        <f t="shared" si="7"/>
        <v>309.47707999999693</v>
      </c>
      <c r="J554" s="13">
        <f t="shared" si="8"/>
        <v>309.47551999999996</v>
      </c>
      <c r="K554" s="7">
        <v>43774.47552</v>
      </c>
      <c r="L554" s="4">
        <v>256.2</v>
      </c>
      <c r="M554" s="4">
        <v>15.2</v>
      </c>
      <c r="N554">
        <v>12.78</v>
      </c>
      <c r="P554">
        <v>0.18</v>
      </c>
      <c r="Q554">
        <v>1.9481127329697601</v>
      </c>
      <c r="R554">
        <v>-2.20452649613753E-4</v>
      </c>
    </row>
    <row r="555" spans="1:18" x14ac:dyDescent="0.2">
      <c r="A555" t="s">
        <v>7</v>
      </c>
      <c r="B555">
        <v>5</v>
      </c>
      <c r="C555" t="s">
        <v>3</v>
      </c>
      <c r="D555" s="2">
        <v>43774</v>
      </c>
      <c r="E555" s="11">
        <v>309</v>
      </c>
      <c r="F555" s="3">
        <v>0.48056000000360655</v>
      </c>
      <c r="G555" s="3">
        <v>0.48402999999962049</v>
      </c>
      <c r="H555" s="13">
        <f t="shared" si="6"/>
        <v>309.48056000000361</v>
      </c>
      <c r="I555" s="13">
        <f t="shared" si="7"/>
        <v>309.48402999999962</v>
      </c>
      <c r="J555" s="13">
        <f t="shared" si="8"/>
        <v>309.48229500000161</v>
      </c>
      <c r="K555" s="7">
        <v>43774.482295000002</v>
      </c>
      <c r="L555" s="4">
        <v>288.7</v>
      </c>
      <c r="M555" s="4"/>
      <c r="N555">
        <v>12.78</v>
      </c>
      <c r="Q555">
        <v>1.9502749376466799</v>
      </c>
      <c r="R555">
        <v>-2.2253414668097201E-4</v>
      </c>
    </row>
    <row r="556" spans="1:18" x14ac:dyDescent="0.2">
      <c r="A556" t="s">
        <v>5</v>
      </c>
      <c r="B556">
        <v>1</v>
      </c>
      <c r="C556" t="s">
        <v>4</v>
      </c>
      <c r="D556" s="2">
        <v>43572</v>
      </c>
      <c r="E556" s="11">
        <v>107</v>
      </c>
      <c r="F556" s="3">
        <v>0.39514000000053784</v>
      </c>
      <c r="G556" s="3">
        <v>0.39860999999655178</v>
      </c>
      <c r="H556" s="13">
        <f t="shared" si="6"/>
        <v>107.39514000000054</v>
      </c>
      <c r="I556" s="13">
        <f t="shared" si="7"/>
        <v>107.39860999999655</v>
      </c>
      <c r="J556" s="13">
        <f t="shared" si="8"/>
        <v>107.39687499999854</v>
      </c>
      <c r="K556" s="7">
        <v>43572.396874999999</v>
      </c>
      <c r="L556" s="4">
        <v>1153.7</v>
      </c>
      <c r="M556">
        <v>18.7</v>
      </c>
      <c r="N556">
        <v>10</v>
      </c>
      <c r="Q556">
        <v>0.911315833724056</v>
      </c>
      <c r="R556">
        <v>2.5384906934557502E-4</v>
      </c>
    </row>
    <row r="557" spans="1:18" x14ac:dyDescent="0.2">
      <c r="A557" t="s">
        <v>5</v>
      </c>
      <c r="B557">
        <v>1</v>
      </c>
      <c r="C557" t="s">
        <v>6</v>
      </c>
      <c r="D557" s="2">
        <v>43572</v>
      </c>
      <c r="E557" s="11">
        <v>107</v>
      </c>
      <c r="F557" s="3">
        <v>0.40000000000145519</v>
      </c>
      <c r="G557" s="3">
        <v>0.40346999999746913</v>
      </c>
      <c r="H557" s="13">
        <f t="shared" si="6"/>
        <v>107.40000000000146</v>
      </c>
      <c r="I557" s="13">
        <f t="shared" si="7"/>
        <v>107.40346999999747</v>
      </c>
      <c r="J557" s="13">
        <f t="shared" si="8"/>
        <v>107.40173499999946</v>
      </c>
      <c r="K557" s="7">
        <v>43572.401734999999</v>
      </c>
      <c r="L557" s="4">
        <v>1188.7</v>
      </c>
      <c r="N557">
        <v>10</v>
      </c>
      <c r="Q557">
        <v>0.66200187478622696</v>
      </c>
      <c r="R557" s="6">
        <v>6.88761313439549E-5</v>
      </c>
    </row>
    <row r="558" spans="1:18" x14ac:dyDescent="0.2">
      <c r="A558" t="s">
        <v>5</v>
      </c>
      <c r="B558">
        <v>2</v>
      </c>
      <c r="C558" t="s">
        <v>4</v>
      </c>
      <c r="D558" s="2">
        <v>43572</v>
      </c>
      <c r="E558" s="11">
        <v>107</v>
      </c>
      <c r="F558" s="3">
        <v>0.40486000000237254</v>
      </c>
      <c r="G558" s="3">
        <v>0.40832999999838648</v>
      </c>
      <c r="H558" s="13">
        <f t="shared" si="6"/>
        <v>107.40486000000237</v>
      </c>
      <c r="I558" s="13">
        <f t="shared" si="7"/>
        <v>107.40832999999839</v>
      </c>
      <c r="J558" s="13">
        <f t="shared" si="8"/>
        <v>107.40659500000038</v>
      </c>
      <c r="K558" s="7">
        <v>43572.406595</v>
      </c>
      <c r="L558" s="4">
        <v>1228.7</v>
      </c>
      <c r="M558">
        <v>15.7</v>
      </c>
      <c r="N558">
        <v>10</v>
      </c>
      <c r="Q558">
        <v>0.78547813237230901</v>
      </c>
      <c r="R558">
        <v>1.35074243053334E-4</v>
      </c>
    </row>
    <row r="559" spans="1:18" x14ac:dyDescent="0.2">
      <c r="A559" t="s">
        <v>5</v>
      </c>
      <c r="B559">
        <v>2</v>
      </c>
      <c r="C559" t="s">
        <v>6</v>
      </c>
      <c r="D559" s="2">
        <v>43572</v>
      </c>
      <c r="E559" s="11">
        <v>107</v>
      </c>
      <c r="F559" s="3">
        <v>0.4097200000032899</v>
      </c>
      <c r="G559" s="3">
        <v>0.41318999999930384</v>
      </c>
      <c r="H559" s="13">
        <f t="shared" si="6"/>
        <v>107.40972000000329</v>
      </c>
      <c r="I559" s="13">
        <f t="shared" si="7"/>
        <v>107.4131899999993</v>
      </c>
      <c r="J559" s="13">
        <f t="shared" si="8"/>
        <v>107.4114550000013</v>
      </c>
      <c r="K559" s="7">
        <v>43572.411455000001</v>
      </c>
      <c r="L559" s="4">
        <v>1266.2</v>
      </c>
      <c r="N559">
        <v>10</v>
      </c>
      <c r="Q559">
        <v>0.81458634203361902</v>
      </c>
      <c r="R559" s="6">
        <v>8.4562434934297299E-5</v>
      </c>
    </row>
    <row r="560" spans="1:18" x14ac:dyDescent="0.2">
      <c r="A560" t="s">
        <v>5</v>
      </c>
      <c r="B560">
        <v>3</v>
      </c>
      <c r="C560" t="s">
        <v>4</v>
      </c>
      <c r="D560" s="2">
        <v>43572</v>
      </c>
      <c r="E560" s="11">
        <v>107</v>
      </c>
      <c r="F560" s="3">
        <v>0.41457999999693129</v>
      </c>
      <c r="G560" s="3">
        <v>0.41806000000360655</v>
      </c>
      <c r="H560" s="13">
        <f t="shared" si="6"/>
        <v>107.41457999999693</v>
      </c>
      <c r="I560" s="13">
        <f t="shared" si="7"/>
        <v>107.41806000000361</v>
      </c>
      <c r="J560" s="13">
        <f t="shared" si="8"/>
        <v>107.41632000000027</v>
      </c>
      <c r="K560" s="7">
        <v>43572.416320000004</v>
      </c>
      <c r="L560" s="4">
        <v>1298.7</v>
      </c>
      <c r="M560">
        <v>17.5</v>
      </c>
      <c r="N560">
        <v>10</v>
      </c>
      <c r="Q560">
        <v>0.67871053454308805</v>
      </c>
      <c r="R560">
        <v>1.5695819940636201E-4</v>
      </c>
    </row>
    <row r="561" spans="1:18" x14ac:dyDescent="0.2">
      <c r="A561" t="s">
        <v>5</v>
      </c>
      <c r="B561">
        <v>3</v>
      </c>
      <c r="C561" t="s">
        <v>6</v>
      </c>
      <c r="D561" s="2">
        <v>43572</v>
      </c>
      <c r="E561" s="11">
        <v>107</v>
      </c>
      <c r="F561" s="3">
        <v>0.41943999999784864</v>
      </c>
      <c r="G561" s="3">
        <v>0.42291999999724794</v>
      </c>
      <c r="H561" s="13">
        <f t="shared" si="6"/>
        <v>107.41943999999785</v>
      </c>
      <c r="I561" s="13">
        <f t="shared" si="7"/>
        <v>107.42291999999725</v>
      </c>
      <c r="J561" s="13">
        <f t="shared" si="8"/>
        <v>107.42117999999755</v>
      </c>
      <c r="K561" s="7">
        <v>43572.421179999998</v>
      </c>
      <c r="L561" s="4">
        <v>1328.7</v>
      </c>
      <c r="N561">
        <v>10</v>
      </c>
      <c r="Q561">
        <v>0.57536162788712697</v>
      </c>
      <c r="R561" s="6">
        <v>5.4506644463828701E-5</v>
      </c>
    </row>
    <row r="562" spans="1:18" x14ac:dyDescent="0.2">
      <c r="A562" t="s">
        <v>5</v>
      </c>
      <c r="B562">
        <v>4</v>
      </c>
      <c r="C562" t="s">
        <v>4</v>
      </c>
      <c r="D562" s="2">
        <v>43572</v>
      </c>
      <c r="E562" s="11">
        <v>107</v>
      </c>
      <c r="F562" s="3">
        <v>0.42431000000215136</v>
      </c>
      <c r="G562" s="3">
        <v>0.42777999999816529</v>
      </c>
      <c r="H562" s="13">
        <f t="shared" si="6"/>
        <v>107.42431000000215</v>
      </c>
      <c r="I562" s="13">
        <f t="shared" si="7"/>
        <v>107.42777999999817</v>
      </c>
      <c r="J562" s="13">
        <f t="shared" si="8"/>
        <v>107.42604500000016</v>
      </c>
      <c r="K562" s="7">
        <v>43572.426045</v>
      </c>
      <c r="L562" s="4">
        <v>1366.2</v>
      </c>
      <c r="M562">
        <v>22</v>
      </c>
      <c r="N562">
        <v>10</v>
      </c>
      <c r="Q562">
        <v>0.73831015129967104</v>
      </c>
      <c r="R562" s="6">
        <v>5.2699867010925197E-5</v>
      </c>
    </row>
    <row r="563" spans="1:18" x14ac:dyDescent="0.2">
      <c r="A563" t="s">
        <v>5</v>
      </c>
      <c r="B563">
        <v>4</v>
      </c>
      <c r="C563" t="s">
        <v>6</v>
      </c>
      <c r="D563" s="2">
        <v>43572</v>
      </c>
      <c r="E563" s="11">
        <v>107</v>
      </c>
      <c r="F563" s="3">
        <v>0.42917000000306871</v>
      </c>
      <c r="G563" s="3">
        <v>0.43263999999908265</v>
      </c>
      <c r="H563" s="13">
        <f t="shared" si="6"/>
        <v>107.42917000000307</v>
      </c>
      <c r="I563" s="13">
        <f t="shared" si="7"/>
        <v>107.43263999999908</v>
      </c>
      <c r="J563" s="13">
        <f t="shared" si="8"/>
        <v>107.43090500000108</v>
      </c>
      <c r="K563" s="7">
        <v>43572.430905000001</v>
      </c>
      <c r="L563" s="4">
        <v>1396.2</v>
      </c>
      <c r="N563">
        <v>10</v>
      </c>
      <c r="Q563">
        <v>0.76740824744501202</v>
      </c>
      <c r="R563" s="6">
        <v>1.9729246760641099E-5</v>
      </c>
    </row>
    <row r="564" spans="1:18" x14ac:dyDescent="0.2">
      <c r="A564" t="s">
        <v>5</v>
      </c>
      <c r="B564">
        <v>5</v>
      </c>
      <c r="C564" t="s">
        <v>4</v>
      </c>
      <c r="D564" s="2">
        <v>43572</v>
      </c>
      <c r="E564" s="11">
        <v>107</v>
      </c>
      <c r="F564" s="3">
        <v>0.4340299999967101</v>
      </c>
      <c r="G564" s="3">
        <v>0.4375</v>
      </c>
      <c r="H564" s="13">
        <f t="shared" si="6"/>
        <v>107.43402999999671</v>
      </c>
      <c r="I564" s="13">
        <f t="shared" si="7"/>
        <v>107.4375</v>
      </c>
      <c r="J564" s="13">
        <f t="shared" si="8"/>
        <v>107.43576499999836</v>
      </c>
      <c r="K564" s="7">
        <v>43572.435765000002</v>
      </c>
      <c r="L564" s="4">
        <v>1421.2</v>
      </c>
      <c r="M564">
        <v>17.5</v>
      </c>
      <c r="N564">
        <v>10</v>
      </c>
      <c r="Q564">
        <v>0.55061672907727799</v>
      </c>
      <c r="R564">
        <v>1.25734921077252E-4</v>
      </c>
    </row>
    <row r="565" spans="1:18" x14ac:dyDescent="0.2">
      <c r="A565" t="s">
        <v>5</v>
      </c>
      <c r="B565">
        <v>5</v>
      </c>
      <c r="C565" t="s">
        <v>6</v>
      </c>
      <c r="D565" s="2">
        <v>43572</v>
      </c>
      <c r="E565" s="11">
        <v>107</v>
      </c>
      <c r="F565" s="3">
        <v>0.43888999999762746</v>
      </c>
      <c r="G565" s="3">
        <v>0.44236000000091735</v>
      </c>
      <c r="H565" s="13">
        <f t="shared" si="6"/>
        <v>107.43888999999763</v>
      </c>
      <c r="I565" s="13">
        <f t="shared" si="7"/>
        <v>107.44236000000092</v>
      </c>
      <c r="J565" s="13">
        <f t="shared" si="8"/>
        <v>107.44062499999927</v>
      </c>
      <c r="K565" s="7">
        <v>43572.440625000003</v>
      </c>
      <c r="L565" s="4">
        <v>1451.2</v>
      </c>
      <c r="N565">
        <v>10</v>
      </c>
      <c r="Q565">
        <v>0.540340701241798</v>
      </c>
      <c r="R565" s="6">
        <v>-2.0285000903676398E-5</v>
      </c>
    </row>
    <row r="566" spans="1:18" x14ac:dyDescent="0.2">
      <c r="A566" t="s">
        <v>5</v>
      </c>
      <c r="B566">
        <v>1</v>
      </c>
      <c r="C566" t="s">
        <v>4</v>
      </c>
      <c r="D566" s="2">
        <v>43572</v>
      </c>
      <c r="E566" s="11">
        <v>107</v>
      </c>
      <c r="F566" s="3">
        <v>0.64456000000063796</v>
      </c>
      <c r="G566" s="3">
        <v>0.6480299999966519</v>
      </c>
      <c r="H566" s="13">
        <f t="shared" si="6"/>
        <v>107.64456000000064</v>
      </c>
      <c r="I566" s="13">
        <f t="shared" si="7"/>
        <v>107.64802999999665</v>
      </c>
      <c r="J566" s="13">
        <f t="shared" si="8"/>
        <v>107.64629499999864</v>
      </c>
      <c r="K566" s="7">
        <v>43572.646294999999</v>
      </c>
      <c r="L566" s="4">
        <v>1438.7</v>
      </c>
      <c r="M566">
        <v>17.600000000000001</v>
      </c>
      <c r="N566">
        <v>11.11</v>
      </c>
      <c r="Q566">
        <v>1.0711056637885601</v>
      </c>
      <c r="R566">
        <v>4.32148140889698E-4</v>
      </c>
    </row>
    <row r="567" spans="1:18" x14ac:dyDescent="0.2">
      <c r="A567" t="s">
        <v>5</v>
      </c>
      <c r="B567">
        <v>1</v>
      </c>
      <c r="C567" t="s">
        <v>6</v>
      </c>
      <c r="D567" s="2">
        <v>43572</v>
      </c>
      <c r="E567" s="11">
        <v>107</v>
      </c>
      <c r="F567" s="3">
        <v>0.64942000000155531</v>
      </c>
      <c r="G567" s="3">
        <v>0.65288999999756925</v>
      </c>
      <c r="H567" s="13">
        <f t="shared" si="6"/>
        <v>107.64942000000156</v>
      </c>
      <c r="I567" s="13">
        <f t="shared" si="7"/>
        <v>107.65288999999757</v>
      </c>
      <c r="J567" s="13">
        <f t="shared" si="8"/>
        <v>107.65115499999956</v>
      </c>
      <c r="K567" s="7">
        <v>43572.651155</v>
      </c>
      <c r="L567" s="4">
        <v>1383.7</v>
      </c>
      <c r="N567">
        <v>11.11</v>
      </c>
      <c r="Q567">
        <v>0.80473814388368803</v>
      </c>
      <c r="R567" s="6">
        <v>9.9462334192036895E-5</v>
      </c>
    </row>
    <row r="568" spans="1:18" x14ac:dyDescent="0.2">
      <c r="A568" t="s">
        <v>5</v>
      </c>
      <c r="B568">
        <v>2</v>
      </c>
      <c r="C568" t="s">
        <v>4</v>
      </c>
      <c r="D568" s="2">
        <v>43572</v>
      </c>
      <c r="E568" s="11">
        <v>107</v>
      </c>
      <c r="F568" s="3">
        <v>0.65428000000247266</v>
      </c>
      <c r="G568" s="3">
        <v>0.6577499999984866</v>
      </c>
      <c r="H568" s="13">
        <f t="shared" si="6"/>
        <v>107.65428000000247</v>
      </c>
      <c r="I568" s="13">
        <f t="shared" si="7"/>
        <v>107.65774999999849</v>
      </c>
      <c r="J568" s="13">
        <f t="shared" si="8"/>
        <v>107.65601500000048</v>
      </c>
      <c r="K568" s="7">
        <v>43572.656015</v>
      </c>
      <c r="L568" s="4">
        <v>1388.7</v>
      </c>
      <c r="M568">
        <v>13.2</v>
      </c>
      <c r="N568">
        <v>11.11</v>
      </c>
      <c r="Q568">
        <v>1.15777078901055</v>
      </c>
      <c r="R568">
        <v>2.1428382463999399E-4</v>
      </c>
    </row>
    <row r="569" spans="1:18" x14ac:dyDescent="0.2">
      <c r="A569" t="s">
        <v>5</v>
      </c>
      <c r="B569">
        <v>2</v>
      </c>
      <c r="C569" t="s">
        <v>6</v>
      </c>
      <c r="D569" s="2">
        <v>43572</v>
      </c>
      <c r="E569" s="11">
        <v>107</v>
      </c>
      <c r="F569" s="3">
        <v>0.65914000000339001</v>
      </c>
      <c r="G569" s="3">
        <v>0.66262000000278931</v>
      </c>
      <c r="H569" s="13">
        <f t="shared" si="6"/>
        <v>107.65914000000339</v>
      </c>
      <c r="I569" s="13">
        <f t="shared" si="7"/>
        <v>107.66262000000279</v>
      </c>
      <c r="J569" s="13">
        <f t="shared" si="8"/>
        <v>107.66088000000309</v>
      </c>
      <c r="K569" s="7">
        <v>43572.660880000003</v>
      </c>
      <c r="L569" s="4">
        <v>1451.2</v>
      </c>
      <c r="N569">
        <v>11.11</v>
      </c>
      <c r="Q569">
        <v>1.0783789079338</v>
      </c>
      <c r="R569">
        <v>1.79165711689262E-4</v>
      </c>
    </row>
    <row r="570" spans="1:18" x14ac:dyDescent="0.2">
      <c r="A570" t="s">
        <v>5</v>
      </c>
      <c r="B570">
        <v>3</v>
      </c>
      <c r="C570" t="s">
        <v>4</v>
      </c>
      <c r="D570" s="2">
        <v>43572</v>
      </c>
      <c r="E570" s="11">
        <v>107</v>
      </c>
      <c r="F570" s="3">
        <v>0.66399999999703141</v>
      </c>
      <c r="G570" s="3">
        <v>0.66747999999643071</v>
      </c>
      <c r="H570" s="13">
        <f t="shared" si="6"/>
        <v>107.66399999999703</v>
      </c>
      <c r="I570" s="13">
        <f t="shared" si="7"/>
        <v>107.66747999999643</v>
      </c>
      <c r="J570" s="13">
        <f t="shared" si="8"/>
        <v>107.66573999999673</v>
      </c>
      <c r="K570" s="7">
        <v>43572.665739999997</v>
      </c>
      <c r="L570" s="4">
        <v>1298.7</v>
      </c>
      <c r="M570">
        <v>16.399999999999999</v>
      </c>
      <c r="N570">
        <v>11.11</v>
      </c>
      <c r="Q570">
        <v>1.19205603357853</v>
      </c>
      <c r="R570">
        <v>3.2696569826931501E-4</v>
      </c>
    </row>
    <row r="571" spans="1:18" x14ac:dyDescent="0.2">
      <c r="A571" t="s">
        <v>5</v>
      </c>
      <c r="B571">
        <v>3</v>
      </c>
      <c r="C571" t="s">
        <v>6</v>
      </c>
      <c r="D571" s="2">
        <v>43572</v>
      </c>
      <c r="E571" s="11">
        <v>107</v>
      </c>
      <c r="F571" s="3">
        <v>0.66887000000133412</v>
      </c>
      <c r="G571" s="3">
        <v>0.67233999999734806</v>
      </c>
      <c r="H571" s="13">
        <f t="shared" ref="H571:H634" si="9">E571+F571</f>
        <v>107.66887000000133</v>
      </c>
      <c r="I571" s="13">
        <f t="shared" ref="I571:I634" si="10">E571+G571</f>
        <v>107.67233999999735</v>
      </c>
      <c r="J571" s="13">
        <f t="shared" ref="J571:J634" si="11">AVERAGE(H571:I571)</f>
        <v>107.67060499999934</v>
      </c>
      <c r="K571" s="7">
        <v>43572.670604999999</v>
      </c>
      <c r="L571" s="4">
        <v>1291.2</v>
      </c>
      <c r="N571">
        <v>11.11</v>
      </c>
      <c r="Q571">
        <v>0.95040165672656696</v>
      </c>
      <c r="R571">
        <v>2.34514400869137E-4</v>
      </c>
    </row>
    <row r="572" spans="1:18" x14ac:dyDescent="0.2">
      <c r="A572" t="s">
        <v>5</v>
      </c>
      <c r="B572">
        <v>4</v>
      </c>
      <c r="C572" t="s">
        <v>4</v>
      </c>
      <c r="D572" s="2">
        <v>43572</v>
      </c>
      <c r="E572" s="11">
        <v>107</v>
      </c>
      <c r="F572" s="3">
        <v>0.67373000000225147</v>
      </c>
      <c r="G572" s="3">
        <v>0.67719999999826541</v>
      </c>
      <c r="H572" s="13">
        <f t="shared" si="9"/>
        <v>107.67373000000225</v>
      </c>
      <c r="I572" s="13">
        <f t="shared" si="10"/>
        <v>107.67719999999827</v>
      </c>
      <c r="J572" s="13">
        <f t="shared" si="11"/>
        <v>107.67546500000026</v>
      </c>
      <c r="K572" s="7">
        <v>43572.675465</v>
      </c>
      <c r="L572" s="4">
        <v>1188.7</v>
      </c>
      <c r="M572">
        <v>19.899999999999999</v>
      </c>
      <c r="N572">
        <v>11.11</v>
      </c>
      <c r="Q572">
        <v>1.1435324312775701</v>
      </c>
      <c r="R572">
        <v>3.19438315976922E-4</v>
      </c>
    </row>
    <row r="573" spans="1:18" x14ac:dyDescent="0.2">
      <c r="A573" t="s">
        <v>5</v>
      </c>
      <c r="B573">
        <v>4</v>
      </c>
      <c r="C573" t="s">
        <v>6</v>
      </c>
      <c r="D573" s="2">
        <v>43572</v>
      </c>
      <c r="E573" s="11">
        <v>107</v>
      </c>
      <c r="F573" s="3">
        <v>0.67859000000316883</v>
      </c>
      <c r="G573" s="3">
        <v>0.68205999999918276</v>
      </c>
      <c r="H573" s="13">
        <f t="shared" si="9"/>
        <v>107.67859000000317</v>
      </c>
      <c r="I573" s="13">
        <f t="shared" si="10"/>
        <v>107.68205999999918</v>
      </c>
      <c r="J573" s="13">
        <f t="shared" si="11"/>
        <v>107.68032500000118</v>
      </c>
      <c r="K573" s="7">
        <v>43572.680325000001</v>
      </c>
      <c r="L573" s="4">
        <v>1183.7</v>
      </c>
      <c r="N573">
        <v>11.11</v>
      </c>
      <c r="Q573">
        <v>1.1357701199664201</v>
      </c>
      <c r="R573">
        <v>2.3483531771366001E-4</v>
      </c>
    </row>
    <row r="574" spans="1:18" x14ac:dyDescent="0.2">
      <c r="A574" t="s">
        <v>5</v>
      </c>
      <c r="B574">
        <v>5</v>
      </c>
      <c r="C574" t="s">
        <v>4</v>
      </c>
      <c r="D574" s="2">
        <v>43572</v>
      </c>
      <c r="E574" s="11">
        <v>107</v>
      </c>
      <c r="F574" s="3">
        <v>0.68344999999681022</v>
      </c>
      <c r="G574" s="3">
        <v>0.68692000000010012</v>
      </c>
      <c r="H574" s="13">
        <f t="shared" si="9"/>
        <v>107.68344999999681</v>
      </c>
      <c r="I574" s="13">
        <f t="shared" si="10"/>
        <v>107.6869200000001</v>
      </c>
      <c r="J574" s="13">
        <f t="shared" si="11"/>
        <v>107.68518499999846</v>
      </c>
      <c r="K574" s="7">
        <v>43572.685184999995</v>
      </c>
      <c r="L574" s="4">
        <v>1146.2</v>
      </c>
      <c r="M574">
        <v>20.399999999999999</v>
      </c>
      <c r="N574">
        <v>11.11</v>
      </c>
      <c r="Q574">
        <v>1.00503281758478</v>
      </c>
      <c r="R574">
        <v>2.78680679162751E-4</v>
      </c>
    </row>
    <row r="575" spans="1:18" x14ac:dyDescent="0.2">
      <c r="A575" t="s">
        <v>5</v>
      </c>
      <c r="B575">
        <v>5</v>
      </c>
      <c r="C575" t="s">
        <v>6</v>
      </c>
      <c r="D575" s="2">
        <v>43572</v>
      </c>
      <c r="E575" s="11">
        <v>107</v>
      </c>
      <c r="F575" s="3">
        <v>0.68830999999772757</v>
      </c>
      <c r="G575" s="3">
        <v>0.69178000000101747</v>
      </c>
      <c r="H575" s="13">
        <f t="shared" si="9"/>
        <v>107.68830999999773</v>
      </c>
      <c r="I575" s="13">
        <f t="shared" si="10"/>
        <v>107.69178000000102</v>
      </c>
      <c r="J575" s="13">
        <f t="shared" si="11"/>
        <v>107.69004499999937</v>
      </c>
      <c r="K575" s="7">
        <v>43572.690044999996</v>
      </c>
      <c r="L575" s="4">
        <v>1168.7</v>
      </c>
      <c r="N575">
        <v>11.11</v>
      </c>
      <c r="Q575">
        <v>1.06877678775839</v>
      </c>
      <c r="R575">
        <v>2.0480364144827499E-4</v>
      </c>
    </row>
    <row r="576" spans="1:18" x14ac:dyDescent="0.2">
      <c r="A576" t="s">
        <v>5</v>
      </c>
      <c r="B576">
        <v>1</v>
      </c>
      <c r="C576" t="s">
        <v>4</v>
      </c>
      <c r="D576" s="2">
        <v>43578</v>
      </c>
      <c r="E576" s="11">
        <v>113</v>
      </c>
      <c r="F576" s="3">
        <v>0.35624999999708962</v>
      </c>
      <c r="G576" s="3">
        <v>0.35972000000037951</v>
      </c>
      <c r="H576" s="13">
        <f t="shared" si="9"/>
        <v>113.35624999999709</v>
      </c>
      <c r="I576" s="13">
        <f t="shared" si="10"/>
        <v>113.35972000000038</v>
      </c>
      <c r="J576" s="13">
        <f t="shared" si="11"/>
        <v>113.35798499999873</v>
      </c>
      <c r="K576" s="7">
        <v>43578.357984999995</v>
      </c>
      <c r="L576" s="4">
        <v>803.7</v>
      </c>
      <c r="M576">
        <v>17.8</v>
      </c>
      <c r="N576">
        <v>14.44</v>
      </c>
      <c r="Q576">
        <v>0.80684409448010597</v>
      </c>
      <c r="R576" s="6">
        <v>-8.2418582431553097E-5</v>
      </c>
    </row>
    <row r="577" spans="1:18" x14ac:dyDescent="0.2">
      <c r="A577" t="s">
        <v>5</v>
      </c>
      <c r="B577">
        <v>1</v>
      </c>
      <c r="C577" t="s">
        <v>6</v>
      </c>
      <c r="D577" s="2">
        <v>43578</v>
      </c>
      <c r="E577" s="11">
        <v>113</v>
      </c>
      <c r="F577" s="3">
        <v>0.36110999999800697</v>
      </c>
      <c r="G577" s="3">
        <v>0.36458000000129687</v>
      </c>
      <c r="H577" s="13">
        <f t="shared" si="9"/>
        <v>113.36110999999801</v>
      </c>
      <c r="I577" s="13">
        <f t="shared" si="10"/>
        <v>113.3645800000013</v>
      </c>
      <c r="J577" s="13">
        <f t="shared" si="11"/>
        <v>113.36284499999965</v>
      </c>
      <c r="K577" s="7">
        <v>43578.362844999996</v>
      </c>
      <c r="L577" s="4">
        <v>838.7</v>
      </c>
      <c r="N577">
        <v>14.44</v>
      </c>
      <c r="Q577">
        <v>0.71065298808210597</v>
      </c>
      <c r="R577" s="6">
        <v>3.6571223240249799E-5</v>
      </c>
    </row>
    <row r="578" spans="1:18" x14ac:dyDescent="0.2">
      <c r="A578" t="s">
        <v>5</v>
      </c>
      <c r="B578">
        <v>2</v>
      </c>
      <c r="C578" t="s">
        <v>4</v>
      </c>
      <c r="D578" s="2">
        <v>43578</v>
      </c>
      <c r="E578" s="11">
        <v>113</v>
      </c>
      <c r="F578" s="3">
        <v>0.36596999999892432</v>
      </c>
      <c r="G578" s="3">
        <v>0.36944000000221422</v>
      </c>
      <c r="H578" s="13">
        <f t="shared" si="9"/>
        <v>113.36596999999892</v>
      </c>
      <c r="I578" s="13">
        <f t="shared" si="10"/>
        <v>113.36944000000221</v>
      </c>
      <c r="J578" s="13">
        <f t="shared" si="11"/>
        <v>113.36770500000057</v>
      </c>
      <c r="K578" s="7">
        <v>43578.367704999997</v>
      </c>
      <c r="L578" s="4">
        <v>886.2</v>
      </c>
      <c r="M578">
        <v>16.100000000000001</v>
      </c>
      <c r="N578">
        <v>14.44</v>
      </c>
      <c r="Q578">
        <v>0.86190363539596404</v>
      </c>
      <c r="R578">
        <v>1.3908506401593001E-4</v>
      </c>
    </row>
    <row r="579" spans="1:18" x14ac:dyDescent="0.2">
      <c r="A579" t="s">
        <v>5</v>
      </c>
      <c r="B579">
        <v>2</v>
      </c>
      <c r="C579" t="s">
        <v>6</v>
      </c>
      <c r="D579" s="2">
        <v>43578</v>
      </c>
      <c r="E579" s="11">
        <v>113</v>
      </c>
      <c r="F579" s="3">
        <v>0.37082999999984168</v>
      </c>
      <c r="G579" s="3">
        <v>0.37430999999924097</v>
      </c>
      <c r="H579" s="13">
        <f t="shared" si="9"/>
        <v>113.37082999999984</v>
      </c>
      <c r="I579" s="13">
        <f t="shared" si="10"/>
        <v>113.37430999999924</v>
      </c>
      <c r="J579" s="13">
        <f t="shared" si="11"/>
        <v>113.37256999999954</v>
      </c>
      <c r="K579" s="7">
        <v>43578.37257</v>
      </c>
      <c r="L579" s="4">
        <v>926.2</v>
      </c>
      <c r="N579">
        <v>14.44</v>
      </c>
      <c r="Q579">
        <v>0.96062014448567001</v>
      </c>
      <c r="R579" s="6">
        <v>4.5746558812763301E-5</v>
      </c>
    </row>
    <row r="580" spans="1:18" x14ac:dyDescent="0.2">
      <c r="A580" t="s">
        <v>5</v>
      </c>
      <c r="B580">
        <v>3</v>
      </c>
      <c r="C580" t="s">
        <v>4</v>
      </c>
      <c r="D580" s="2">
        <v>43578</v>
      </c>
      <c r="E580" s="11">
        <v>113</v>
      </c>
      <c r="F580" s="3">
        <v>0.37569000000075903</v>
      </c>
      <c r="G580" s="3">
        <v>0.37917000000015832</v>
      </c>
      <c r="H580" s="13">
        <f t="shared" si="9"/>
        <v>113.37569000000076</v>
      </c>
      <c r="I580" s="13">
        <f t="shared" si="10"/>
        <v>113.37917000000016</v>
      </c>
      <c r="J580" s="13">
        <f t="shared" si="11"/>
        <v>113.37743000000046</v>
      </c>
      <c r="K580" s="7">
        <v>43578.37743</v>
      </c>
      <c r="L580" s="4">
        <v>963.7</v>
      </c>
      <c r="M580">
        <v>17.2</v>
      </c>
      <c r="N580">
        <v>14.44</v>
      </c>
      <c r="Q580">
        <v>0.58909640907968397</v>
      </c>
      <c r="R580" s="6">
        <v>4.9749370935023197E-5</v>
      </c>
    </row>
    <row r="581" spans="1:18" x14ac:dyDescent="0.2">
      <c r="A581" t="s">
        <v>5</v>
      </c>
      <c r="B581">
        <v>3</v>
      </c>
      <c r="C581" t="s">
        <v>6</v>
      </c>
      <c r="D581" s="2">
        <v>43578</v>
      </c>
      <c r="E581" s="11">
        <v>113</v>
      </c>
      <c r="F581" s="3">
        <v>0.38055999999778578</v>
      </c>
      <c r="G581" s="3">
        <v>0.38403000000107568</v>
      </c>
      <c r="H581" s="13">
        <f t="shared" si="9"/>
        <v>113.38055999999779</v>
      </c>
      <c r="I581" s="13">
        <f t="shared" si="10"/>
        <v>113.38403000000108</v>
      </c>
      <c r="J581" s="13">
        <f t="shared" si="11"/>
        <v>113.38229499999943</v>
      </c>
      <c r="K581" s="7">
        <v>43578.382295000003</v>
      </c>
      <c r="L581" s="4">
        <v>1006.2</v>
      </c>
      <c r="N581">
        <v>14.44</v>
      </c>
      <c r="Q581">
        <v>0.83268024154377196</v>
      </c>
      <c r="R581" s="6">
        <v>-5.7767964144636603E-5</v>
      </c>
    </row>
    <row r="582" spans="1:18" x14ac:dyDescent="0.2">
      <c r="A582" t="s">
        <v>5</v>
      </c>
      <c r="B582">
        <v>4</v>
      </c>
      <c r="C582" t="s">
        <v>4</v>
      </c>
      <c r="D582" s="2">
        <v>43578</v>
      </c>
      <c r="E582" s="11">
        <v>113</v>
      </c>
      <c r="F582" s="3">
        <v>0.38541999999870313</v>
      </c>
      <c r="G582" s="3">
        <v>0.38889000000199303</v>
      </c>
      <c r="H582" s="13">
        <f t="shared" si="9"/>
        <v>113.3854199999987</v>
      </c>
      <c r="I582" s="13">
        <f t="shared" si="10"/>
        <v>113.38889000000199</v>
      </c>
      <c r="J582" s="13">
        <f t="shared" si="11"/>
        <v>113.38715500000035</v>
      </c>
      <c r="K582" s="7">
        <v>43578.387155000004</v>
      </c>
      <c r="L582" s="4">
        <v>1046.2</v>
      </c>
      <c r="M582">
        <v>19.600000000000001</v>
      </c>
      <c r="N582">
        <v>14.44</v>
      </c>
      <c r="Q582">
        <v>1.07306455494214</v>
      </c>
      <c r="R582" s="6">
        <v>-7.9277244811327196E-5</v>
      </c>
    </row>
    <row r="583" spans="1:18" x14ac:dyDescent="0.2">
      <c r="A583" t="s">
        <v>5</v>
      </c>
      <c r="B583">
        <v>4</v>
      </c>
      <c r="C583" t="s">
        <v>6</v>
      </c>
      <c r="D583" s="2">
        <v>43578</v>
      </c>
      <c r="E583" s="11">
        <v>113</v>
      </c>
      <c r="F583" s="3">
        <v>0.39027999999962049</v>
      </c>
      <c r="G583" s="3">
        <v>0.39375000000291038</v>
      </c>
      <c r="H583" s="13">
        <f t="shared" si="9"/>
        <v>113.39027999999962</v>
      </c>
      <c r="I583" s="13">
        <f t="shared" si="10"/>
        <v>113.39375000000291</v>
      </c>
      <c r="J583" s="13">
        <f t="shared" si="11"/>
        <v>113.39201500000127</v>
      </c>
      <c r="K583" s="7">
        <v>43578.392015000005</v>
      </c>
      <c r="L583" s="4">
        <v>1088.7</v>
      </c>
      <c r="N583">
        <v>14.44</v>
      </c>
      <c r="Q583">
        <v>1.2419035542111401</v>
      </c>
      <c r="R583" s="6">
        <v>-4.4971542578339503E-5</v>
      </c>
    </row>
    <row r="584" spans="1:18" x14ac:dyDescent="0.2">
      <c r="A584" t="s">
        <v>5</v>
      </c>
      <c r="B584">
        <v>5</v>
      </c>
      <c r="C584" t="s">
        <v>4</v>
      </c>
      <c r="D584" s="2">
        <v>43578</v>
      </c>
      <c r="E584" s="11">
        <v>113</v>
      </c>
      <c r="F584" s="3">
        <v>0.39514000000053784</v>
      </c>
      <c r="G584" s="3">
        <v>0.39860999999655178</v>
      </c>
      <c r="H584" s="13">
        <f t="shared" si="9"/>
        <v>113.39514000000054</v>
      </c>
      <c r="I584" s="13">
        <f t="shared" si="10"/>
        <v>113.39860999999655</v>
      </c>
      <c r="J584" s="13">
        <f t="shared" si="11"/>
        <v>113.39687499999854</v>
      </c>
      <c r="K584" s="7">
        <v>43578.396874999999</v>
      </c>
      <c r="L584" s="4">
        <v>1111.2</v>
      </c>
      <c r="M584">
        <v>21.1</v>
      </c>
      <c r="N584">
        <v>14.44</v>
      </c>
      <c r="Q584">
        <v>0.79821664996008901</v>
      </c>
      <c r="R584">
        <v>1.08652130452546E-4</v>
      </c>
    </row>
    <row r="585" spans="1:18" x14ac:dyDescent="0.2">
      <c r="A585" t="s">
        <v>5</v>
      </c>
      <c r="B585">
        <v>5</v>
      </c>
      <c r="C585" t="s">
        <v>6</v>
      </c>
      <c r="D585" s="2">
        <v>43578</v>
      </c>
      <c r="E585" s="11">
        <v>113</v>
      </c>
      <c r="F585" s="3">
        <v>0.40000000000145519</v>
      </c>
      <c r="G585" s="3">
        <v>0.40346999999746913</v>
      </c>
      <c r="H585" s="13">
        <f t="shared" si="9"/>
        <v>113.40000000000146</v>
      </c>
      <c r="I585" s="13">
        <f t="shared" si="10"/>
        <v>113.40346999999747</v>
      </c>
      <c r="J585" s="13">
        <f t="shared" si="11"/>
        <v>113.40173499999946</v>
      </c>
      <c r="K585" s="7">
        <v>43578.401734999999</v>
      </c>
      <c r="L585" s="4">
        <v>1.2</v>
      </c>
      <c r="N585">
        <v>14.44</v>
      </c>
      <c r="Q585">
        <v>0.82101216193195004</v>
      </c>
      <c r="R585" s="6">
        <v>-2.9618608023032201E-5</v>
      </c>
    </row>
    <row r="586" spans="1:18" x14ac:dyDescent="0.2">
      <c r="A586" t="s">
        <v>5</v>
      </c>
      <c r="B586">
        <v>1</v>
      </c>
      <c r="C586" t="s">
        <v>4</v>
      </c>
      <c r="D586" s="2">
        <v>43578</v>
      </c>
      <c r="E586" s="11">
        <v>113</v>
      </c>
      <c r="F586" s="3">
        <v>0.48761999999987893</v>
      </c>
      <c r="G586" s="3">
        <v>0.49109000000316883</v>
      </c>
      <c r="H586" s="13">
        <f t="shared" si="9"/>
        <v>113.48761999999988</v>
      </c>
      <c r="I586" s="13">
        <f t="shared" si="10"/>
        <v>113.49109000000317</v>
      </c>
      <c r="J586" s="13">
        <f t="shared" si="11"/>
        <v>113.48935500000152</v>
      </c>
      <c r="K586" s="7">
        <v>43578.489354999998</v>
      </c>
      <c r="L586" s="4">
        <v>1711.2</v>
      </c>
      <c r="M586">
        <v>15.9</v>
      </c>
      <c r="N586">
        <v>20.56</v>
      </c>
      <c r="Q586">
        <v>1.37136122299344</v>
      </c>
      <c r="R586">
        <v>1.4340960687297201E-4</v>
      </c>
    </row>
    <row r="587" spans="1:18" x14ac:dyDescent="0.2">
      <c r="A587" t="s">
        <v>5</v>
      </c>
      <c r="B587">
        <v>1</v>
      </c>
      <c r="C587" t="s">
        <v>6</v>
      </c>
      <c r="D587" s="2">
        <v>43578</v>
      </c>
      <c r="E587" s="11">
        <v>113</v>
      </c>
      <c r="F587" s="3">
        <v>0.49248000000079628</v>
      </c>
      <c r="G587" s="3">
        <v>0.49594999999681022</v>
      </c>
      <c r="H587" s="13">
        <f t="shared" si="9"/>
        <v>113.4924800000008</v>
      </c>
      <c r="I587" s="13">
        <f t="shared" si="10"/>
        <v>113.49594999999681</v>
      </c>
      <c r="J587" s="13">
        <f t="shared" si="11"/>
        <v>113.4942149999988</v>
      </c>
      <c r="K587" s="7">
        <v>43578.494214999999</v>
      </c>
      <c r="L587" s="4">
        <v>1723.7</v>
      </c>
      <c r="N587">
        <v>20.56</v>
      </c>
      <c r="Q587">
        <v>0.77692420213961999</v>
      </c>
      <c r="R587" s="6">
        <v>-1.7347220092554501E-5</v>
      </c>
    </row>
    <row r="588" spans="1:18" x14ac:dyDescent="0.2">
      <c r="A588" t="s">
        <v>5</v>
      </c>
      <c r="B588">
        <v>2</v>
      </c>
      <c r="C588" t="s">
        <v>4</v>
      </c>
      <c r="D588" s="2">
        <v>43578</v>
      </c>
      <c r="E588" s="11">
        <v>113</v>
      </c>
      <c r="F588" s="3">
        <v>0.49734000000171363</v>
      </c>
      <c r="G588" s="3">
        <v>0.50080999999772757</v>
      </c>
      <c r="H588" s="13">
        <f t="shared" si="9"/>
        <v>113.49734000000171</v>
      </c>
      <c r="I588" s="13">
        <f t="shared" si="10"/>
        <v>113.50080999999773</v>
      </c>
      <c r="J588" s="13">
        <f t="shared" si="11"/>
        <v>113.49907499999972</v>
      </c>
      <c r="K588" s="7">
        <v>43578.499075</v>
      </c>
      <c r="L588" s="4">
        <v>1726.2</v>
      </c>
      <c r="M588">
        <v>15.8</v>
      </c>
      <c r="N588">
        <v>20.56</v>
      </c>
      <c r="Q588">
        <v>1.5434389776537101</v>
      </c>
      <c r="R588">
        <v>2.97215949779515E-4</v>
      </c>
    </row>
    <row r="589" spans="1:18" x14ac:dyDescent="0.2">
      <c r="A589" t="s">
        <v>5</v>
      </c>
      <c r="B589">
        <v>2</v>
      </c>
      <c r="C589" t="s">
        <v>6</v>
      </c>
      <c r="D589" s="2">
        <v>43578</v>
      </c>
      <c r="E589" s="11">
        <v>113</v>
      </c>
      <c r="F589" s="3">
        <v>0.50220000000263099</v>
      </c>
      <c r="G589" s="3">
        <v>0.50566999999864493</v>
      </c>
      <c r="H589" s="13">
        <f t="shared" si="9"/>
        <v>113.50220000000263</v>
      </c>
      <c r="I589" s="13">
        <f t="shared" si="10"/>
        <v>113.50566999999864</v>
      </c>
      <c r="J589" s="13">
        <f t="shared" si="11"/>
        <v>113.50393500000064</v>
      </c>
      <c r="K589" s="7">
        <v>43578.503935000001</v>
      </c>
      <c r="L589" s="4">
        <v>1738.7</v>
      </c>
      <c r="N589">
        <v>20.56</v>
      </c>
      <c r="Q589">
        <v>1.3895444322241499</v>
      </c>
      <c r="R589">
        <v>2.1054504703142999E-4</v>
      </c>
    </row>
    <row r="590" spans="1:18" x14ac:dyDescent="0.2">
      <c r="A590" t="s">
        <v>5</v>
      </c>
      <c r="B590">
        <v>3</v>
      </c>
      <c r="C590" t="s">
        <v>4</v>
      </c>
      <c r="D590" s="2">
        <v>43578</v>
      </c>
      <c r="E590" s="11">
        <v>113</v>
      </c>
      <c r="F590" s="3">
        <v>0.50706000000354834</v>
      </c>
      <c r="G590" s="3">
        <v>0.51052999999956228</v>
      </c>
      <c r="H590" s="13">
        <f t="shared" si="9"/>
        <v>113.50706000000355</v>
      </c>
      <c r="I590" s="13">
        <f t="shared" si="10"/>
        <v>113.51052999999956</v>
      </c>
      <c r="J590" s="13">
        <f t="shared" si="11"/>
        <v>113.50879500000156</v>
      </c>
      <c r="K590" s="7">
        <v>43578.508795000002</v>
      </c>
      <c r="L590" s="4">
        <v>1741.2</v>
      </c>
      <c r="M590">
        <v>13.3</v>
      </c>
      <c r="N590">
        <v>20.56</v>
      </c>
      <c r="Q590">
        <v>1.44704754722546</v>
      </c>
      <c r="R590">
        <v>3.6464704131878602E-4</v>
      </c>
    </row>
    <row r="591" spans="1:18" x14ac:dyDescent="0.2">
      <c r="A591" t="s">
        <v>5</v>
      </c>
      <c r="B591">
        <v>3</v>
      </c>
      <c r="C591" t="s">
        <v>6</v>
      </c>
      <c r="D591" s="2">
        <v>43578</v>
      </c>
      <c r="E591" s="11">
        <v>113</v>
      </c>
      <c r="F591" s="3">
        <v>0.51191999999718973</v>
      </c>
      <c r="G591" s="3">
        <v>0.51539000000047963</v>
      </c>
      <c r="H591" s="13">
        <f t="shared" si="9"/>
        <v>113.51191999999719</v>
      </c>
      <c r="I591" s="13">
        <f t="shared" si="10"/>
        <v>113.51539000000048</v>
      </c>
      <c r="J591" s="13">
        <f t="shared" si="11"/>
        <v>113.51365499999883</v>
      </c>
      <c r="K591" s="7">
        <v>43578.513655000002</v>
      </c>
      <c r="L591" s="4">
        <v>1763.7</v>
      </c>
      <c r="N591">
        <v>20.56</v>
      </c>
      <c r="Q591">
        <v>1.1617472723084901</v>
      </c>
      <c r="R591">
        <v>2.6253603216269401E-4</v>
      </c>
    </row>
    <row r="592" spans="1:18" x14ac:dyDescent="0.2">
      <c r="A592" t="s">
        <v>5</v>
      </c>
      <c r="B592">
        <v>4</v>
      </c>
      <c r="C592" t="s">
        <v>4</v>
      </c>
      <c r="D592" s="2">
        <v>43578</v>
      </c>
      <c r="E592" s="11">
        <v>113</v>
      </c>
      <c r="F592" s="3">
        <v>0.51677999999810709</v>
      </c>
      <c r="G592" s="3">
        <v>0.52025000000139698</v>
      </c>
      <c r="H592" s="13">
        <f t="shared" si="9"/>
        <v>113.51677999999811</v>
      </c>
      <c r="I592" s="13">
        <f t="shared" si="10"/>
        <v>113.5202500000014</v>
      </c>
      <c r="J592" s="13">
        <f t="shared" si="11"/>
        <v>113.51851499999975</v>
      </c>
      <c r="K592" s="7">
        <v>43578.518515000003</v>
      </c>
      <c r="L592" s="4">
        <v>1758.7</v>
      </c>
      <c r="M592">
        <v>20.399999999999999</v>
      </c>
      <c r="N592">
        <v>20.56</v>
      </c>
      <c r="Q592">
        <v>1.55328015517852</v>
      </c>
      <c r="R592">
        <v>1.73637129706822E-4</v>
      </c>
    </row>
    <row r="593" spans="1:18" x14ac:dyDescent="0.2">
      <c r="A593" t="s">
        <v>5</v>
      </c>
      <c r="B593">
        <v>4</v>
      </c>
      <c r="C593" t="s">
        <v>6</v>
      </c>
      <c r="D593" s="2">
        <v>43578</v>
      </c>
      <c r="E593" s="11">
        <v>113</v>
      </c>
      <c r="F593" s="3">
        <v>0.52163999999902444</v>
      </c>
      <c r="G593" s="3">
        <v>0.52511999999842374</v>
      </c>
      <c r="H593" s="13">
        <f t="shared" si="9"/>
        <v>113.52163999999902</v>
      </c>
      <c r="I593" s="13">
        <f t="shared" si="10"/>
        <v>113.52511999999842</v>
      </c>
      <c r="J593" s="13">
        <f t="shared" si="11"/>
        <v>113.52337999999872</v>
      </c>
      <c r="K593" s="7">
        <v>43578.523379999999</v>
      </c>
      <c r="L593" s="4">
        <v>1766.2</v>
      </c>
      <c r="N593">
        <v>20.56</v>
      </c>
      <c r="Q593">
        <v>1.5506499695503</v>
      </c>
      <c r="R593" s="6">
        <v>-7.3187417045876595E-5</v>
      </c>
    </row>
    <row r="594" spans="1:18" x14ac:dyDescent="0.2">
      <c r="A594" t="s">
        <v>5</v>
      </c>
      <c r="B594">
        <v>5</v>
      </c>
      <c r="C594" t="s">
        <v>4</v>
      </c>
      <c r="D594" s="2">
        <v>43578</v>
      </c>
      <c r="E594" s="11">
        <v>113</v>
      </c>
      <c r="F594" s="3">
        <v>0.52649999999994179</v>
      </c>
      <c r="G594" s="3">
        <v>0.52997999999934109</v>
      </c>
      <c r="H594" s="13">
        <f t="shared" si="9"/>
        <v>113.52649999999994</v>
      </c>
      <c r="I594" s="13">
        <f t="shared" si="10"/>
        <v>113.52997999999934</v>
      </c>
      <c r="J594" s="13">
        <f t="shared" si="11"/>
        <v>113.52823999999964</v>
      </c>
      <c r="K594" s="7">
        <v>43578.52824</v>
      </c>
      <c r="L594" s="4">
        <v>1766.2</v>
      </c>
      <c r="M594">
        <v>18.5</v>
      </c>
      <c r="N594">
        <v>20.56</v>
      </c>
      <c r="Q594">
        <v>1.0223413682368601</v>
      </c>
      <c r="R594">
        <v>1.6233391835297501E-4</v>
      </c>
    </row>
    <row r="595" spans="1:18" x14ac:dyDescent="0.2">
      <c r="A595" t="s">
        <v>5</v>
      </c>
      <c r="B595">
        <v>5</v>
      </c>
      <c r="C595" t="s">
        <v>6</v>
      </c>
      <c r="D595" s="2">
        <v>43578</v>
      </c>
      <c r="E595" s="11">
        <v>113</v>
      </c>
      <c r="F595" s="3">
        <v>0.53136999999696855</v>
      </c>
      <c r="G595" s="3">
        <v>0.53484000000025844</v>
      </c>
      <c r="H595" s="13">
        <f t="shared" si="9"/>
        <v>113.53136999999697</v>
      </c>
      <c r="I595" s="13">
        <f t="shared" si="10"/>
        <v>113.53484000000026</v>
      </c>
      <c r="J595" s="13">
        <f t="shared" si="11"/>
        <v>113.53310499999861</v>
      </c>
      <c r="K595" s="7">
        <v>43578.533104999995</v>
      </c>
      <c r="L595" s="4">
        <v>6.2</v>
      </c>
      <c r="N595">
        <v>20.56</v>
      </c>
      <c r="Q595">
        <v>1.04641514115895</v>
      </c>
      <c r="R595" s="6">
        <v>-3.6665686738370599E-5</v>
      </c>
    </row>
    <row r="596" spans="1:18" x14ac:dyDescent="0.2">
      <c r="A596" t="s">
        <v>5</v>
      </c>
      <c r="B596">
        <v>1</v>
      </c>
      <c r="C596" t="s">
        <v>4</v>
      </c>
      <c r="D596" s="2">
        <v>43587</v>
      </c>
      <c r="E596" s="11">
        <v>122</v>
      </c>
      <c r="F596" s="3">
        <v>0.37778000000253087</v>
      </c>
      <c r="G596" s="3">
        <v>0.38124999999854481</v>
      </c>
      <c r="H596" s="13">
        <f t="shared" si="9"/>
        <v>122.37778000000253</v>
      </c>
      <c r="I596" s="13">
        <f t="shared" si="10"/>
        <v>122.38124999999854</v>
      </c>
      <c r="J596" s="13">
        <f t="shared" si="11"/>
        <v>122.37951500000054</v>
      </c>
      <c r="K596" s="7">
        <v>43587.379515000001</v>
      </c>
      <c r="L596" s="4">
        <v>408.7</v>
      </c>
      <c r="M596">
        <v>16.399999999999999</v>
      </c>
      <c r="N596">
        <v>12.22</v>
      </c>
      <c r="Q596">
        <v>0.57814412279324601</v>
      </c>
      <c r="R596">
        <v>1.5579594747900299E-4</v>
      </c>
    </row>
    <row r="597" spans="1:18" x14ac:dyDescent="0.2">
      <c r="A597" t="s">
        <v>5</v>
      </c>
      <c r="B597">
        <v>1</v>
      </c>
      <c r="C597" t="s">
        <v>6</v>
      </c>
      <c r="D597" s="2">
        <v>43587</v>
      </c>
      <c r="E597" s="11">
        <v>122</v>
      </c>
      <c r="F597" s="3">
        <v>0.38264000000344822</v>
      </c>
      <c r="G597" s="3">
        <v>0.38610999999946216</v>
      </c>
      <c r="H597" s="13">
        <f t="shared" si="9"/>
        <v>122.38264000000345</v>
      </c>
      <c r="I597" s="13">
        <f t="shared" si="10"/>
        <v>122.38610999999946</v>
      </c>
      <c r="J597" s="13">
        <f t="shared" si="11"/>
        <v>122.38437500000146</v>
      </c>
      <c r="K597" s="7">
        <v>43587.384375000001</v>
      </c>
      <c r="L597" s="4">
        <v>678.7</v>
      </c>
      <c r="N597">
        <v>12.22</v>
      </c>
      <c r="Q597">
        <v>0.76194662758613896</v>
      </c>
      <c r="R597">
        <v>-1.4672271492505501E-4</v>
      </c>
    </row>
    <row r="598" spans="1:18" x14ac:dyDescent="0.2">
      <c r="A598" t="s">
        <v>5</v>
      </c>
      <c r="B598">
        <v>2</v>
      </c>
      <c r="C598" t="s">
        <v>4</v>
      </c>
      <c r="D598" s="2">
        <v>43587</v>
      </c>
      <c r="E598" s="11">
        <v>122</v>
      </c>
      <c r="F598" s="3">
        <v>0.38749999999708962</v>
      </c>
      <c r="G598" s="3">
        <v>0.39097000000037951</v>
      </c>
      <c r="H598" s="13">
        <f t="shared" si="9"/>
        <v>122.38749999999709</v>
      </c>
      <c r="I598" s="13">
        <f t="shared" si="10"/>
        <v>122.39097000000038</v>
      </c>
      <c r="J598" s="13">
        <f t="shared" si="11"/>
        <v>122.38923499999873</v>
      </c>
      <c r="K598" s="7">
        <v>43587.389234999995</v>
      </c>
      <c r="L598" s="4">
        <v>1038.7</v>
      </c>
      <c r="M598">
        <v>18.3</v>
      </c>
      <c r="N598">
        <v>12.22</v>
      </c>
      <c r="Q598">
        <v>0.585562899407296</v>
      </c>
      <c r="R598" s="6">
        <v>-7.0837739150119406E-5</v>
      </c>
    </row>
    <row r="599" spans="1:18" x14ac:dyDescent="0.2">
      <c r="A599" t="s">
        <v>5</v>
      </c>
      <c r="B599">
        <v>2</v>
      </c>
      <c r="C599" t="s">
        <v>6</v>
      </c>
      <c r="D599" s="2">
        <v>43587</v>
      </c>
      <c r="E599" s="11">
        <v>122</v>
      </c>
      <c r="F599" s="3">
        <v>0.39235999999800697</v>
      </c>
      <c r="G599" s="3">
        <v>0.39583000000129687</v>
      </c>
      <c r="H599" s="13">
        <f t="shared" si="9"/>
        <v>122.39235999999801</v>
      </c>
      <c r="I599" s="13">
        <f t="shared" si="10"/>
        <v>122.3958300000013</v>
      </c>
      <c r="J599" s="13">
        <f t="shared" si="11"/>
        <v>122.39409499999965</v>
      </c>
      <c r="K599" s="7">
        <v>43587.394094999996</v>
      </c>
      <c r="L599" s="4">
        <v>533.70000000000005</v>
      </c>
      <c r="N599">
        <v>12.22</v>
      </c>
      <c r="Q599">
        <v>0.83349577344508996</v>
      </c>
      <c r="R599" s="6">
        <v>-6.4124954918127398E-5</v>
      </c>
    </row>
    <row r="600" spans="1:18" x14ac:dyDescent="0.2">
      <c r="A600" t="s">
        <v>5</v>
      </c>
      <c r="B600">
        <v>3</v>
      </c>
      <c r="C600" t="s">
        <v>4</v>
      </c>
      <c r="D600" s="2">
        <v>43587</v>
      </c>
      <c r="E600" s="11">
        <v>122</v>
      </c>
      <c r="F600" s="3">
        <v>0.39721999999892432</v>
      </c>
      <c r="G600" s="3">
        <v>0.40069000000221422</v>
      </c>
      <c r="H600" s="13">
        <f t="shared" si="9"/>
        <v>122.39721999999892</v>
      </c>
      <c r="I600" s="13">
        <f t="shared" si="10"/>
        <v>122.40069000000221</v>
      </c>
      <c r="J600" s="13">
        <f t="shared" si="11"/>
        <v>122.39895500000057</v>
      </c>
      <c r="K600" s="7">
        <v>43587.398954999997</v>
      </c>
      <c r="L600" s="4">
        <v>356.2</v>
      </c>
      <c r="M600">
        <v>19</v>
      </c>
      <c r="N600">
        <v>12.22</v>
      </c>
      <c r="Q600">
        <v>0.69221166775893594</v>
      </c>
      <c r="R600" s="6">
        <v>-5.1545968986629103E-5</v>
      </c>
    </row>
    <row r="601" spans="1:18" x14ac:dyDescent="0.2">
      <c r="A601" t="s">
        <v>5</v>
      </c>
      <c r="B601">
        <v>3</v>
      </c>
      <c r="C601" t="s">
        <v>6</v>
      </c>
      <c r="D601" s="2">
        <v>43587</v>
      </c>
      <c r="E601" s="11">
        <v>122</v>
      </c>
      <c r="F601" s="3">
        <v>0.40207999999984168</v>
      </c>
      <c r="G601" s="3">
        <v>0.40555999999924097</v>
      </c>
      <c r="H601" s="13">
        <f t="shared" si="9"/>
        <v>122.40207999999984</v>
      </c>
      <c r="I601" s="13">
        <f t="shared" si="10"/>
        <v>122.40555999999924</v>
      </c>
      <c r="J601" s="13">
        <f t="shared" si="11"/>
        <v>122.40381999999954</v>
      </c>
      <c r="K601" s="7">
        <v>43587.40382</v>
      </c>
      <c r="L601" s="4">
        <v>266.2</v>
      </c>
      <c r="N601">
        <v>12.22</v>
      </c>
      <c r="Q601">
        <v>0.97202758273175904</v>
      </c>
      <c r="R601">
        <v>-1.6772854319025299E-4</v>
      </c>
    </row>
    <row r="602" spans="1:18" x14ac:dyDescent="0.2">
      <c r="A602" t="s">
        <v>5</v>
      </c>
      <c r="B602">
        <v>4</v>
      </c>
      <c r="C602" t="s">
        <v>4</v>
      </c>
      <c r="D602" s="2">
        <v>43587</v>
      </c>
      <c r="E602" s="11">
        <v>122</v>
      </c>
      <c r="F602" s="3">
        <v>0.40694000000075903</v>
      </c>
      <c r="G602" s="3">
        <v>0.41042000000015832</v>
      </c>
      <c r="H602" s="13">
        <f t="shared" si="9"/>
        <v>122.40694000000076</v>
      </c>
      <c r="I602" s="13">
        <f t="shared" si="10"/>
        <v>122.41042000000016</v>
      </c>
      <c r="J602" s="13">
        <f t="shared" si="11"/>
        <v>122.40868000000046</v>
      </c>
      <c r="K602" s="7">
        <v>43587.40868</v>
      </c>
      <c r="L602" s="4">
        <v>331.2</v>
      </c>
      <c r="M602">
        <v>21.5</v>
      </c>
      <c r="N602">
        <v>12.22</v>
      </c>
      <c r="Q602">
        <v>1.0061744009842399</v>
      </c>
      <c r="R602">
        <v>-1.7775246000972201E-4</v>
      </c>
    </row>
    <row r="603" spans="1:18" x14ac:dyDescent="0.2">
      <c r="A603" t="s">
        <v>5</v>
      </c>
      <c r="B603">
        <v>4</v>
      </c>
      <c r="C603" t="s">
        <v>6</v>
      </c>
      <c r="D603" s="2">
        <v>43587</v>
      </c>
      <c r="E603" s="11">
        <v>122</v>
      </c>
      <c r="F603" s="3">
        <v>0.41180999999778578</v>
      </c>
      <c r="G603" s="3">
        <v>0.41528000000107568</v>
      </c>
      <c r="H603" s="13">
        <f t="shared" si="9"/>
        <v>122.41180999999779</v>
      </c>
      <c r="I603" s="13">
        <f t="shared" si="10"/>
        <v>122.41528000000108</v>
      </c>
      <c r="J603" s="13">
        <f t="shared" si="11"/>
        <v>122.41354499999943</v>
      </c>
      <c r="K603" s="7">
        <v>43587.413545000003</v>
      </c>
      <c r="L603" s="4">
        <v>298.7</v>
      </c>
      <c r="N603">
        <v>12.22</v>
      </c>
      <c r="Q603">
        <v>1.1025526621055399</v>
      </c>
      <c r="R603" s="6">
        <v>-3.4562894080868198E-5</v>
      </c>
    </row>
    <row r="604" spans="1:18" x14ac:dyDescent="0.2">
      <c r="A604" t="s">
        <v>5</v>
      </c>
      <c r="B604">
        <v>5</v>
      </c>
      <c r="C604" t="s">
        <v>4</v>
      </c>
      <c r="D604" s="2">
        <v>43587</v>
      </c>
      <c r="E604" s="11">
        <v>122</v>
      </c>
      <c r="F604" s="3">
        <v>0.41666999999870313</v>
      </c>
      <c r="G604" s="3">
        <v>0.42014000000199303</v>
      </c>
      <c r="H604" s="13">
        <f t="shared" si="9"/>
        <v>122.4166699999987</v>
      </c>
      <c r="I604" s="13">
        <f t="shared" si="10"/>
        <v>122.42014000000199</v>
      </c>
      <c r="J604" s="13">
        <f t="shared" si="11"/>
        <v>122.41840500000035</v>
      </c>
      <c r="K604" s="7">
        <v>43587.418405000004</v>
      </c>
      <c r="L604" s="4">
        <v>523.70000000000005</v>
      </c>
      <c r="M604">
        <v>16.8</v>
      </c>
      <c r="N604">
        <v>12.22</v>
      </c>
      <c r="Q604">
        <v>0.57889422750561104</v>
      </c>
      <c r="R604" s="6">
        <v>3.2065727336789801E-5</v>
      </c>
    </row>
    <row r="605" spans="1:18" x14ac:dyDescent="0.2">
      <c r="A605" t="s">
        <v>5</v>
      </c>
      <c r="B605">
        <v>5</v>
      </c>
      <c r="C605" t="s">
        <v>6</v>
      </c>
      <c r="D605" s="2">
        <v>43587</v>
      </c>
      <c r="E605" s="11">
        <v>122</v>
      </c>
      <c r="F605" s="3">
        <v>0.42152999999962049</v>
      </c>
      <c r="G605" s="3">
        <v>0.42500000000291038</v>
      </c>
      <c r="H605" s="13">
        <f t="shared" si="9"/>
        <v>122.42152999999962</v>
      </c>
      <c r="I605" s="13">
        <f t="shared" si="10"/>
        <v>122.42500000000291</v>
      </c>
      <c r="J605" s="13">
        <f t="shared" si="11"/>
        <v>122.42326500000127</v>
      </c>
      <c r="K605" s="7">
        <v>43587.423265000005</v>
      </c>
      <c r="L605" s="4">
        <v>436.2</v>
      </c>
      <c r="N605">
        <v>12.22</v>
      </c>
      <c r="Q605">
        <v>0.514307043515013</v>
      </c>
      <c r="R605" s="6">
        <v>-3.8822964640021197E-5</v>
      </c>
    </row>
    <row r="606" spans="1:18" x14ac:dyDescent="0.2">
      <c r="A606" t="s">
        <v>5</v>
      </c>
      <c r="B606">
        <v>1</v>
      </c>
      <c r="C606" t="s">
        <v>4</v>
      </c>
      <c r="D606" s="2">
        <v>43587</v>
      </c>
      <c r="E606" s="11">
        <v>122</v>
      </c>
      <c r="F606" s="3">
        <v>0.49826000000030035</v>
      </c>
      <c r="G606" s="3">
        <v>0.50173999999969965</v>
      </c>
      <c r="H606" s="13">
        <f t="shared" si="9"/>
        <v>122.4982600000003</v>
      </c>
      <c r="I606" s="13">
        <f t="shared" si="10"/>
        <v>122.5017399999997</v>
      </c>
      <c r="J606" s="13">
        <f t="shared" si="11"/>
        <v>122.5</v>
      </c>
      <c r="K606" s="7">
        <v>43587.5</v>
      </c>
      <c r="L606" s="4">
        <v>1088.7</v>
      </c>
      <c r="M606">
        <v>14.9</v>
      </c>
      <c r="N606">
        <v>12.78</v>
      </c>
      <c r="Q606">
        <v>0.72912518007152305</v>
      </c>
      <c r="R606">
        <v>-2.1790109643981601E-4</v>
      </c>
    </row>
    <row r="607" spans="1:18" x14ac:dyDescent="0.2">
      <c r="A607" t="s">
        <v>5</v>
      </c>
      <c r="B607">
        <v>1</v>
      </c>
      <c r="C607" t="s">
        <v>6</v>
      </c>
      <c r="D607" s="2">
        <v>43587</v>
      </c>
      <c r="E607" s="11">
        <v>122</v>
      </c>
      <c r="F607" s="3">
        <v>0.5031299999973271</v>
      </c>
      <c r="G607" s="3">
        <v>0.506600000000617</v>
      </c>
      <c r="H607" s="13">
        <f t="shared" si="9"/>
        <v>122.50312999999733</v>
      </c>
      <c r="I607" s="13">
        <f t="shared" si="10"/>
        <v>122.50660000000062</v>
      </c>
      <c r="J607" s="13">
        <f t="shared" si="11"/>
        <v>122.50486499999897</v>
      </c>
      <c r="K607" s="7">
        <v>43587.504864999995</v>
      </c>
      <c r="L607" s="4">
        <v>428.7</v>
      </c>
      <c r="N607">
        <v>12.78</v>
      </c>
      <c r="Q607">
        <v>1.02799753978513</v>
      </c>
      <c r="R607" s="6">
        <v>-8.8679648770845703E-5</v>
      </c>
    </row>
    <row r="608" spans="1:18" x14ac:dyDescent="0.2">
      <c r="A608" t="s">
        <v>5</v>
      </c>
      <c r="B608">
        <v>2</v>
      </c>
      <c r="C608" t="s">
        <v>4</v>
      </c>
      <c r="D608" s="2">
        <v>43587</v>
      </c>
      <c r="E608" s="11">
        <v>122</v>
      </c>
      <c r="F608" s="3">
        <v>0.50798999999824446</v>
      </c>
      <c r="G608" s="3">
        <v>0.51146000000153435</v>
      </c>
      <c r="H608" s="13">
        <f t="shared" si="9"/>
        <v>122.50798999999824</v>
      </c>
      <c r="I608" s="13">
        <f t="shared" si="10"/>
        <v>122.51146000000153</v>
      </c>
      <c r="J608" s="13">
        <f t="shared" si="11"/>
        <v>122.50972499999989</v>
      </c>
      <c r="K608" s="7">
        <v>43587.509724999996</v>
      </c>
      <c r="L608" s="4">
        <v>366.2</v>
      </c>
      <c r="M608">
        <v>18.899999999999999</v>
      </c>
      <c r="N608">
        <v>12.78</v>
      </c>
      <c r="Q608">
        <v>0.90807321281575304</v>
      </c>
      <c r="R608">
        <v>-1.25364054629671E-4</v>
      </c>
    </row>
    <row r="609" spans="1:18" x14ac:dyDescent="0.2">
      <c r="A609" t="s">
        <v>5</v>
      </c>
      <c r="B609">
        <v>2</v>
      </c>
      <c r="C609" t="s">
        <v>6</v>
      </c>
      <c r="D609" s="2">
        <v>43587</v>
      </c>
      <c r="E609" s="11">
        <v>122</v>
      </c>
      <c r="F609" s="3">
        <v>0.51215000000229338</v>
      </c>
      <c r="G609" s="3">
        <v>0.51563000000169268</v>
      </c>
      <c r="H609" s="13">
        <f t="shared" si="9"/>
        <v>122.51215000000229</v>
      </c>
      <c r="I609" s="13">
        <f t="shared" si="10"/>
        <v>122.51563000000169</v>
      </c>
      <c r="J609" s="13">
        <f t="shared" si="11"/>
        <v>122.51389000000199</v>
      </c>
      <c r="K609" s="7">
        <v>43587.513890000002</v>
      </c>
      <c r="L609" s="4">
        <v>501.2</v>
      </c>
      <c r="N609">
        <v>12.78</v>
      </c>
      <c r="Q609">
        <v>0.978018862635472</v>
      </c>
      <c r="R609">
        <v>-1.4887960581282399E-4</v>
      </c>
    </row>
    <row r="610" spans="1:18" x14ac:dyDescent="0.2">
      <c r="A610" t="s">
        <v>5</v>
      </c>
      <c r="B610">
        <v>3</v>
      </c>
      <c r="C610" t="s">
        <v>4</v>
      </c>
      <c r="D610" s="2">
        <v>43587</v>
      </c>
      <c r="E610" s="11">
        <v>122</v>
      </c>
      <c r="F610" s="3">
        <v>0.51632000000245171</v>
      </c>
      <c r="G610" s="3">
        <v>0.51978999999846565</v>
      </c>
      <c r="H610" s="13">
        <f t="shared" si="9"/>
        <v>122.51632000000245</v>
      </c>
      <c r="I610" s="13">
        <f t="shared" si="10"/>
        <v>122.51978999999847</v>
      </c>
      <c r="J610" s="13">
        <f t="shared" si="11"/>
        <v>122.51805500000046</v>
      </c>
      <c r="K610" s="7">
        <v>43587.518055</v>
      </c>
      <c r="L610" s="4">
        <v>453.7</v>
      </c>
      <c r="M610">
        <v>17.899999999999999</v>
      </c>
      <c r="N610">
        <v>12.78</v>
      </c>
      <c r="Q610">
        <v>0.48219702813999699</v>
      </c>
      <c r="R610">
        <v>-1.4117837738486099E-4</v>
      </c>
    </row>
    <row r="611" spans="1:18" x14ac:dyDescent="0.2">
      <c r="A611" t="s">
        <v>5</v>
      </c>
      <c r="B611">
        <v>3</v>
      </c>
      <c r="C611" t="s">
        <v>6</v>
      </c>
      <c r="D611" s="2">
        <v>43587</v>
      </c>
      <c r="E611" s="11">
        <v>122</v>
      </c>
      <c r="F611" s="3">
        <v>0.52049000000261003</v>
      </c>
      <c r="G611" s="3">
        <v>0.52395999999862397</v>
      </c>
      <c r="H611" s="13">
        <f t="shared" si="9"/>
        <v>122.52049000000261</v>
      </c>
      <c r="I611" s="13">
        <f t="shared" si="10"/>
        <v>122.52395999999862</v>
      </c>
      <c r="J611" s="13">
        <f t="shared" si="11"/>
        <v>122.52222500000062</v>
      </c>
      <c r="K611" s="7">
        <v>43587.522225000001</v>
      </c>
      <c r="L611" s="4">
        <v>428.7</v>
      </c>
      <c r="N611">
        <v>12.78</v>
      </c>
      <c r="Q611">
        <v>0.64417314734291298</v>
      </c>
      <c r="R611" s="6">
        <v>-5.5940857381477701E-5</v>
      </c>
    </row>
    <row r="612" spans="1:18" x14ac:dyDescent="0.2">
      <c r="A612" t="s">
        <v>5</v>
      </c>
      <c r="B612">
        <v>4</v>
      </c>
      <c r="C612" t="s">
        <v>4</v>
      </c>
      <c r="D612" s="2">
        <v>43587</v>
      </c>
      <c r="E612" s="11">
        <v>122</v>
      </c>
      <c r="F612" s="3">
        <v>0.524649999999383</v>
      </c>
      <c r="G612" s="3">
        <v>0.5281299999987823</v>
      </c>
      <c r="H612" s="13">
        <f t="shared" si="9"/>
        <v>122.52464999999938</v>
      </c>
      <c r="I612" s="13">
        <f t="shared" si="10"/>
        <v>122.52812999999878</v>
      </c>
      <c r="J612" s="13">
        <f t="shared" si="11"/>
        <v>122.52638999999908</v>
      </c>
      <c r="K612" s="7">
        <v>43587.526389999999</v>
      </c>
      <c r="L612" s="4">
        <v>431.2</v>
      </c>
      <c r="M612">
        <v>21.5</v>
      </c>
      <c r="N612">
        <v>12.78</v>
      </c>
      <c r="Q612">
        <v>1.36292758231388</v>
      </c>
      <c r="R612">
        <v>-1.3760955334831499E-4</v>
      </c>
    </row>
    <row r="613" spans="1:18" x14ac:dyDescent="0.2">
      <c r="A613" t="s">
        <v>5</v>
      </c>
      <c r="B613">
        <v>4</v>
      </c>
      <c r="C613" t="s">
        <v>6</v>
      </c>
      <c r="D613" s="2">
        <v>43587</v>
      </c>
      <c r="E613" s="11">
        <v>122</v>
      </c>
      <c r="F613" s="3">
        <v>0.52881999999954132</v>
      </c>
      <c r="G613" s="3">
        <v>0.53229000000283122</v>
      </c>
      <c r="H613" s="13">
        <f t="shared" si="9"/>
        <v>122.52881999999954</v>
      </c>
      <c r="I613" s="13">
        <f t="shared" si="10"/>
        <v>122.53229000000283</v>
      </c>
      <c r="J613" s="13">
        <f t="shared" si="11"/>
        <v>122.53055500000119</v>
      </c>
      <c r="K613" s="7">
        <v>43587.530555000005</v>
      </c>
      <c r="L613" s="4">
        <v>346.2</v>
      </c>
      <c r="N613">
        <v>12.78</v>
      </c>
      <c r="Q613">
        <v>1.27828658300681</v>
      </c>
      <c r="R613" s="6">
        <v>-9.9750683403802704E-5</v>
      </c>
    </row>
    <row r="614" spans="1:18" x14ac:dyDescent="0.2">
      <c r="A614" t="s">
        <v>5</v>
      </c>
      <c r="B614">
        <v>5</v>
      </c>
      <c r="C614" t="s">
        <v>4</v>
      </c>
      <c r="D614" s="2">
        <v>43587</v>
      </c>
      <c r="E614" s="11">
        <v>122</v>
      </c>
      <c r="F614" s="3">
        <v>0.53298999999969965</v>
      </c>
      <c r="G614" s="3">
        <v>0.53646000000298955</v>
      </c>
      <c r="H614" s="13">
        <f t="shared" si="9"/>
        <v>122.5329899999997</v>
      </c>
      <c r="I614" s="13">
        <f t="shared" si="10"/>
        <v>122.53646000000299</v>
      </c>
      <c r="J614" s="13">
        <f t="shared" si="11"/>
        <v>122.53472500000134</v>
      </c>
      <c r="K614" s="7">
        <v>43587.534725000005</v>
      </c>
      <c r="L614" s="4">
        <v>121.2</v>
      </c>
      <c r="M614">
        <v>19.100000000000001</v>
      </c>
      <c r="N614">
        <v>12.78</v>
      </c>
      <c r="Q614">
        <v>0.58511614081726604</v>
      </c>
      <c r="R614" s="6">
        <v>-4.9681239852096098E-5</v>
      </c>
    </row>
    <row r="615" spans="1:18" x14ac:dyDescent="0.2">
      <c r="A615" t="s">
        <v>5</v>
      </c>
      <c r="B615">
        <v>5</v>
      </c>
      <c r="C615" t="s">
        <v>6</v>
      </c>
      <c r="D615" s="2">
        <v>43587</v>
      </c>
      <c r="E615" s="11">
        <v>122</v>
      </c>
      <c r="F615" s="3">
        <v>0.53714999999647262</v>
      </c>
      <c r="G615" s="3">
        <v>0.54063000000314787</v>
      </c>
      <c r="H615" s="13">
        <f t="shared" si="9"/>
        <v>122.53714999999647</v>
      </c>
      <c r="I615" s="13">
        <f t="shared" si="10"/>
        <v>122.54063000000315</v>
      </c>
      <c r="J615" s="13">
        <f t="shared" si="11"/>
        <v>122.53888999999981</v>
      </c>
      <c r="K615" s="7">
        <v>43587.538889999996</v>
      </c>
      <c r="L615" s="4">
        <v>96.2</v>
      </c>
      <c r="N615">
        <v>12.78</v>
      </c>
      <c r="Q615">
        <v>0.67819214395684302</v>
      </c>
      <c r="R615" s="6">
        <v>-3.9184815890619303E-5</v>
      </c>
    </row>
    <row r="616" spans="1:18" x14ac:dyDescent="0.2">
      <c r="A616" t="s">
        <v>5</v>
      </c>
      <c r="B616">
        <v>1</v>
      </c>
      <c r="C616" t="s">
        <v>4</v>
      </c>
      <c r="D616" s="2">
        <v>43607</v>
      </c>
      <c r="E616" s="11">
        <v>142</v>
      </c>
      <c r="F616" s="3">
        <v>0.40798999999969965</v>
      </c>
      <c r="G616" s="3">
        <v>0.41146000000298955</v>
      </c>
      <c r="H616" s="13">
        <f t="shared" si="9"/>
        <v>142.4079899999997</v>
      </c>
      <c r="I616" s="13">
        <f t="shared" si="10"/>
        <v>142.41146000000299</v>
      </c>
      <c r="J616" s="13">
        <f t="shared" si="11"/>
        <v>142.40972500000134</v>
      </c>
      <c r="K616" s="7">
        <v>43607.409725000005</v>
      </c>
      <c r="L616" s="4">
        <v>1341.2</v>
      </c>
      <c r="M616">
        <v>14.9</v>
      </c>
      <c r="N616">
        <v>18.3</v>
      </c>
      <c r="Q616">
        <v>-1.21545745518115E-4</v>
      </c>
      <c r="R616">
        <v>-8.3670299999999995E-4</v>
      </c>
    </row>
    <row r="617" spans="1:18" x14ac:dyDescent="0.2">
      <c r="A617" t="s">
        <v>5</v>
      </c>
      <c r="B617">
        <v>1</v>
      </c>
      <c r="C617" t="s">
        <v>6</v>
      </c>
      <c r="D617" s="2">
        <v>43607</v>
      </c>
      <c r="E617" s="11">
        <v>142</v>
      </c>
      <c r="F617" s="3">
        <v>0.412850000000617</v>
      </c>
      <c r="G617" s="3">
        <v>0.41631999999663094</v>
      </c>
      <c r="H617" s="13">
        <f t="shared" si="9"/>
        <v>142.41285000000062</v>
      </c>
      <c r="I617" s="13">
        <f t="shared" si="10"/>
        <v>142.41631999999663</v>
      </c>
      <c r="J617" s="13">
        <f t="shared" si="11"/>
        <v>142.41458499999862</v>
      </c>
      <c r="K617" s="7">
        <v>43607.414584999999</v>
      </c>
      <c r="L617" s="4">
        <v>1381.2</v>
      </c>
      <c r="N617">
        <v>18.3</v>
      </c>
      <c r="Q617">
        <v>-3.1020531742369798E-4</v>
      </c>
      <c r="R617">
        <v>-1.259942E-3</v>
      </c>
    </row>
    <row r="618" spans="1:18" x14ac:dyDescent="0.2">
      <c r="A618" t="s">
        <v>5</v>
      </c>
      <c r="B618">
        <v>2</v>
      </c>
      <c r="C618" t="s">
        <v>4</v>
      </c>
      <c r="D618" s="2">
        <v>43607</v>
      </c>
      <c r="E618" s="11">
        <v>142</v>
      </c>
      <c r="F618" s="3">
        <v>0.41771000000153435</v>
      </c>
      <c r="G618" s="3">
        <v>0.42117999999754829</v>
      </c>
      <c r="H618" s="13">
        <f t="shared" si="9"/>
        <v>142.41771000000153</v>
      </c>
      <c r="I618" s="13">
        <f t="shared" si="10"/>
        <v>142.42117999999755</v>
      </c>
      <c r="J618" s="13">
        <f t="shared" si="11"/>
        <v>142.41944499999954</v>
      </c>
      <c r="K618" s="7">
        <v>43607.419445</v>
      </c>
      <c r="L618" s="4">
        <v>1423.7</v>
      </c>
      <c r="M618">
        <v>12.2</v>
      </c>
      <c r="N618">
        <v>18.3</v>
      </c>
      <c r="Q618">
        <v>-3.5269943018955698E-4</v>
      </c>
      <c r="R618" s="6">
        <v>6.7299999999999996E-5</v>
      </c>
    </row>
    <row r="619" spans="1:18" x14ac:dyDescent="0.2">
      <c r="A619" t="s">
        <v>5</v>
      </c>
      <c r="B619">
        <v>2</v>
      </c>
      <c r="C619" t="s">
        <v>6</v>
      </c>
      <c r="D619" s="2">
        <v>43607</v>
      </c>
      <c r="E619" s="11">
        <v>142</v>
      </c>
      <c r="F619" s="3">
        <v>0.42257000000245171</v>
      </c>
      <c r="G619" s="3">
        <v>0.42603999999846565</v>
      </c>
      <c r="H619" s="13">
        <f t="shared" si="9"/>
        <v>142.42257000000245</v>
      </c>
      <c r="I619" s="13">
        <f t="shared" si="10"/>
        <v>142.42603999999847</v>
      </c>
      <c r="J619" s="13">
        <f t="shared" si="11"/>
        <v>142.42430500000046</v>
      </c>
      <c r="K619" s="7">
        <v>43607.424305</v>
      </c>
      <c r="L619" s="4">
        <v>1436.2</v>
      </c>
      <c r="N619">
        <v>18.3</v>
      </c>
      <c r="Q619">
        <v>6.4384329144877598E-4</v>
      </c>
      <c r="R619" s="6">
        <v>-1.73E-6</v>
      </c>
    </row>
    <row r="620" spans="1:18" x14ac:dyDescent="0.2">
      <c r="A620" t="s">
        <v>5</v>
      </c>
      <c r="B620">
        <v>3</v>
      </c>
      <c r="C620" t="s">
        <v>4</v>
      </c>
      <c r="D620" s="2">
        <v>43607</v>
      </c>
      <c r="E620" s="11">
        <v>142</v>
      </c>
      <c r="F620" s="3">
        <v>0.42743000000336906</v>
      </c>
      <c r="G620" s="3">
        <v>0.430899999999383</v>
      </c>
      <c r="H620" s="13">
        <f t="shared" si="9"/>
        <v>142.42743000000337</v>
      </c>
      <c r="I620" s="13">
        <f t="shared" si="10"/>
        <v>142.43089999999938</v>
      </c>
      <c r="J620" s="13">
        <f t="shared" si="11"/>
        <v>142.42916500000138</v>
      </c>
      <c r="K620" s="7">
        <v>43607.429165000001</v>
      </c>
      <c r="L620" s="4">
        <v>1478.7</v>
      </c>
      <c r="M620">
        <v>15.8</v>
      </c>
      <c r="N620">
        <v>18.3</v>
      </c>
      <c r="Q620">
        <v>-1.42316908133751E-3</v>
      </c>
      <c r="R620" s="6">
        <v>-7.9099999999999998E-5</v>
      </c>
    </row>
    <row r="621" spans="1:18" x14ac:dyDescent="0.2">
      <c r="A621" t="s">
        <v>5</v>
      </c>
      <c r="B621">
        <v>3</v>
      </c>
      <c r="C621" t="s">
        <v>6</v>
      </c>
      <c r="D621" s="2">
        <v>43607</v>
      </c>
      <c r="E621" s="11">
        <v>142</v>
      </c>
      <c r="F621" s="3">
        <v>0.43228999999701045</v>
      </c>
      <c r="G621" s="3">
        <v>0.43576000000030035</v>
      </c>
      <c r="H621" s="13">
        <f t="shared" si="9"/>
        <v>142.43228999999701</v>
      </c>
      <c r="I621" s="13">
        <f t="shared" si="10"/>
        <v>142.4357600000003</v>
      </c>
      <c r="J621" s="13">
        <f t="shared" si="11"/>
        <v>142.43402499999866</v>
      </c>
      <c r="K621" s="7">
        <v>43607.434024999995</v>
      </c>
      <c r="L621" s="4">
        <v>1541.2</v>
      </c>
      <c r="N621">
        <v>18.3</v>
      </c>
      <c r="Q621">
        <v>-4.6699805733004997E-3</v>
      </c>
      <c r="R621" s="6">
        <v>5.8799999999999999E-5</v>
      </c>
    </row>
    <row r="622" spans="1:18" x14ac:dyDescent="0.2">
      <c r="A622" t="s">
        <v>5</v>
      </c>
      <c r="B622">
        <v>4</v>
      </c>
      <c r="C622" t="s">
        <v>4</v>
      </c>
      <c r="D622" s="2">
        <v>43607</v>
      </c>
      <c r="E622" s="11">
        <v>142</v>
      </c>
      <c r="F622" s="3">
        <v>0.43714999999792781</v>
      </c>
      <c r="G622" s="3">
        <v>0.4406299999973271</v>
      </c>
      <c r="H622" s="13">
        <f t="shared" si="9"/>
        <v>142.43714999999793</v>
      </c>
      <c r="I622" s="13">
        <f t="shared" si="10"/>
        <v>142.44062999999733</v>
      </c>
      <c r="J622" s="13">
        <f t="shared" si="11"/>
        <v>142.43888999999763</v>
      </c>
      <c r="K622" s="7">
        <v>43607.438889999998</v>
      </c>
      <c r="L622" s="4">
        <v>1551.2</v>
      </c>
      <c r="M622">
        <v>16.5</v>
      </c>
      <c r="N622">
        <v>18.3</v>
      </c>
      <c r="Q622">
        <v>4.7368394742879999E-4</v>
      </c>
      <c r="R622" s="6">
        <v>-2.5299999999999998E-5</v>
      </c>
    </row>
    <row r="623" spans="1:18" x14ac:dyDescent="0.2">
      <c r="A623" t="s">
        <v>5</v>
      </c>
      <c r="B623">
        <v>4</v>
      </c>
      <c r="C623" t="s">
        <v>6</v>
      </c>
      <c r="D623" s="2">
        <v>43607</v>
      </c>
      <c r="E623" s="11">
        <v>142</v>
      </c>
      <c r="F623" s="3">
        <v>0.44200999999884516</v>
      </c>
      <c r="G623" s="3">
        <v>0.44548999999824446</v>
      </c>
      <c r="H623" s="13">
        <f t="shared" si="9"/>
        <v>142.44200999999885</v>
      </c>
      <c r="I623" s="13">
        <f t="shared" si="10"/>
        <v>142.44548999999824</v>
      </c>
      <c r="J623" s="13">
        <f t="shared" si="11"/>
        <v>142.44374999999854</v>
      </c>
      <c r="K623" s="7">
        <v>43607.443749999999</v>
      </c>
      <c r="L623" s="4">
        <v>1573.7</v>
      </c>
      <c r="N623">
        <v>18.3</v>
      </c>
      <c r="Q623" s="6">
        <v>-5.4782133095120603E-5</v>
      </c>
      <c r="R623">
        <v>-4.45897E-4</v>
      </c>
    </row>
    <row r="624" spans="1:18" x14ac:dyDescent="0.2">
      <c r="A624" t="s">
        <v>5</v>
      </c>
      <c r="B624">
        <v>5</v>
      </c>
      <c r="C624" t="s">
        <v>4</v>
      </c>
      <c r="D624" s="2">
        <v>43607</v>
      </c>
      <c r="E624" s="11">
        <v>142</v>
      </c>
      <c r="F624" s="3">
        <v>0.44688000000314787</v>
      </c>
      <c r="G624" s="3">
        <v>0.45034999999916181</v>
      </c>
      <c r="H624" s="13">
        <f t="shared" si="9"/>
        <v>142.44688000000315</v>
      </c>
      <c r="I624" s="13">
        <f t="shared" si="10"/>
        <v>142.45034999999916</v>
      </c>
      <c r="J624" s="13">
        <f t="shared" si="11"/>
        <v>142.44861500000115</v>
      </c>
      <c r="K624" s="7">
        <v>43607.448615000001</v>
      </c>
      <c r="L624" s="4">
        <v>1608.7</v>
      </c>
      <c r="M624">
        <v>17.100000000000001</v>
      </c>
      <c r="N624">
        <v>18.3</v>
      </c>
      <c r="Q624">
        <v>-2.6794130386313301E-4</v>
      </c>
      <c r="R624">
        <v>-1.6421599999999999E-4</v>
      </c>
    </row>
    <row r="625" spans="1:18" x14ac:dyDescent="0.2">
      <c r="A625" t="s">
        <v>5</v>
      </c>
      <c r="B625">
        <v>5</v>
      </c>
      <c r="C625" t="s">
        <v>6</v>
      </c>
      <c r="D625" s="2">
        <v>43607</v>
      </c>
      <c r="E625" s="11">
        <v>142</v>
      </c>
      <c r="F625" s="3">
        <v>0.45173999999678927</v>
      </c>
      <c r="G625" s="3">
        <v>0.45521000000007916</v>
      </c>
      <c r="H625" s="13">
        <f t="shared" si="9"/>
        <v>142.45173999999679</v>
      </c>
      <c r="I625" s="13">
        <f t="shared" si="10"/>
        <v>142.45521000000008</v>
      </c>
      <c r="J625" s="13">
        <f t="shared" si="11"/>
        <v>142.45347499999843</v>
      </c>
      <c r="K625" s="7">
        <v>43607.453475000002</v>
      </c>
      <c r="L625" s="4">
        <v>1631.2</v>
      </c>
      <c r="N625">
        <v>18.3</v>
      </c>
      <c r="Q625">
        <v>-3.8340931274232902E-4</v>
      </c>
      <c r="R625">
        <v>-1.9787099999999999E-4</v>
      </c>
    </row>
    <row r="626" spans="1:18" x14ac:dyDescent="0.2">
      <c r="A626" t="s">
        <v>5</v>
      </c>
      <c r="B626">
        <v>1</v>
      </c>
      <c r="C626" t="s">
        <v>4</v>
      </c>
      <c r="D626" s="2">
        <v>43607</v>
      </c>
      <c r="E626" s="11">
        <v>142</v>
      </c>
      <c r="F626" s="3">
        <v>0.50972000000183471</v>
      </c>
      <c r="G626" s="3">
        <v>0.51318999999784864</v>
      </c>
      <c r="H626" s="13">
        <f t="shared" si="9"/>
        <v>142.50972000000183</v>
      </c>
      <c r="I626" s="13">
        <f t="shared" si="10"/>
        <v>142.51318999999785</v>
      </c>
      <c r="J626" s="13">
        <f t="shared" si="11"/>
        <v>142.51145499999984</v>
      </c>
      <c r="K626" s="7">
        <v>43607.511455</v>
      </c>
      <c r="L626" s="4">
        <v>1818.7</v>
      </c>
      <c r="M626">
        <v>14.4</v>
      </c>
      <c r="N626">
        <v>21.67</v>
      </c>
      <c r="Q626">
        <v>1.397622809824</v>
      </c>
      <c r="R626">
        <v>-1.21545745518115E-4</v>
      </c>
    </row>
    <row r="627" spans="1:18" x14ac:dyDescent="0.2">
      <c r="A627" t="s">
        <v>5</v>
      </c>
      <c r="B627">
        <v>1</v>
      </c>
      <c r="C627" t="s">
        <v>6</v>
      </c>
      <c r="D627" s="2">
        <v>43607</v>
      </c>
      <c r="E627" s="11">
        <v>142</v>
      </c>
      <c r="F627" s="3">
        <v>0.51458000000275206</v>
      </c>
      <c r="G627" s="3">
        <v>0.51806000000215136</v>
      </c>
      <c r="H627" s="13">
        <f t="shared" si="9"/>
        <v>142.51458000000275</v>
      </c>
      <c r="I627" s="13">
        <f t="shared" si="10"/>
        <v>142.51806000000215</v>
      </c>
      <c r="J627" s="13">
        <f t="shared" si="11"/>
        <v>142.51632000000245</v>
      </c>
      <c r="K627" s="7">
        <v>43607.516320000002</v>
      </c>
      <c r="L627" s="4">
        <v>1811.2</v>
      </c>
      <c r="N627">
        <v>21.67</v>
      </c>
      <c r="Q627">
        <v>-7.65808180714254E-3</v>
      </c>
      <c r="R627">
        <v>-3.1020531742369798E-4</v>
      </c>
    </row>
    <row r="628" spans="1:18" x14ac:dyDescent="0.2">
      <c r="A628" t="s">
        <v>5</v>
      </c>
      <c r="B628">
        <v>2</v>
      </c>
      <c r="C628" t="s">
        <v>4</v>
      </c>
      <c r="D628" s="2">
        <v>43607</v>
      </c>
      <c r="E628" s="11">
        <v>142</v>
      </c>
      <c r="F628" s="3">
        <v>0.51943999999639345</v>
      </c>
      <c r="G628" s="3">
        <v>0.52292000000306871</v>
      </c>
      <c r="H628" s="13">
        <f t="shared" si="9"/>
        <v>142.51943999999639</v>
      </c>
      <c r="I628" s="13">
        <f t="shared" si="10"/>
        <v>142.52292000000307</v>
      </c>
      <c r="J628" s="13">
        <f t="shared" si="11"/>
        <v>142.52117999999973</v>
      </c>
      <c r="K628" s="7">
        <v>43607.521179999996</v>
      </c>
      <c r="L628" s="4">
        <v>1841.2</v>
      </c>
      <c r="M628">
        <v>10.8</v>
      </c>
      <c r="N628">
        <v>21.67</v>
      </c>
      <c r="Q628">
        <v>0.56414660351692802</v>
      </c>
      <c r="R628">
        <v>-3.5269943018955698E-4</v>
      </c>
    </row>
    <row r="629" spans="1:18" x14ac:dyDescent="0.2">
      <c r="A629" t="s">
        <v>5</v>
      </c>
      <c r="B629">
        <v>2</v>
      </c>
      <c r="C629" t="s">
        <v>6</v>
      </c>
      <c r="D629" s="2">
        <v>43607</v>
      </c>
      <c r="E629" s="11">
        <v>142</v>
      </c>
      <c r="F629" s="3">
        <v>0.52431000000069616</v>
      </c>
      <c r="G629" s="3">
        <v>0.5277799999967101</v>
      </c>
      <c r="H629" s="13">
        <f t="shared" si="9"/>
        <v>142.5243100000007</v>
      </c>
      <c r="I629" s="13">
        <f t="shared" si="10"/>
        <v>142.52777999999671</v>
      </c>
      <c r="J629" s="13">
        <f t="shared" si="11"/>
        <v>142.5260449999987</v>
      </c>
      <c r="K629" s="7">
        <v>43607.526044999999</v>
      </c>
      <c r="L629" s="4">
        <v>1873.7</v>
      </c>
      <c r="N629">
        <v>21.67</v>
      </c>
      <c r="Q629">
        <v>-2.1938621326257399</v>
      </c>
      <c r="R629">
        <v>6.4384329144877598E-4</v>
      </c>
    </row>
    <row r="630" spans="1:18" x14ac:dyDescent="0.2">
      <c r="A630" t="s">
        <v>5</v>
      </c>
      <c r="B630">
        <v>3</v>
      </c>
      <c r="C630" t="s">
        <v>4</v>
      </c>
      <c r="D630" s="2">
        <v>43607</v>
      </c>
      <c r="E630" s="11">
        <v>142</v>
      </c>
      <c r="F630" s="3">
        <v>0.52917000000161352</v>
      </c>
      <c r="G630" s="3">
        <v>0.53263999999762746</v>
      </c>
      <c r="H630" s="13">
        <f t="shared" si="9"/>
        <v>142.52917000000161</v>
      </c>
      <c r="I630" s="13">
        <f t="shared" si="10"/>
        <v>142.53263999999763</v>
      </c>
      <c r="J630" s="13">
        <f t="shared" si="11"/>
        <v>142.53090499999962</v>
      </c>
      <c r="K630" s="7">
        <v>43607.530905</v>
      </c>
      <c r="L630" s="4">
        <v>1921.2</v>
      </c>
      <c r="M630">
        <v>13.9</v>
      </c>
      <c r="N630">
        <v>21.67</v>
      </c>
      <c r="Q630">
        <v>2.0447639492286802</v>
      </c>
      <c r="R630">
        <v>-1.42316908133751E-3</v>
      </c>
    </row>
    <row r="631" spans="1:18" x14ac:dyDescent="0.2">
      <c r="A631" t="s">
        <v>5</v>
      </c>
      <c r="B631">
        <v>3</v>
      </c>
      <c r="C631" t="s">
        <v>6</v>
      </c>
      <c r="D631" s="2">
        <v>43607</v>
      </c>
      <c r="E631" s="11">
        <v>142</v>
      </c>
      <c r="F631" s="3">
        <v>0.53403000000253087</v>
      </c>
      <c r="G631" s="3">
        <v>0.53749999999854481</v>
      </c>
      <c r="H631" s="13">
        <f t="shared" si="9"/>
        <v>142.53403000000253</v>
      </c>
      <c r="I631" s="13">
        <f t="shared" si="10"/>
        <v>142.53749999999854</v>
      </c>
      <c r="J631" s="13">
        <f t="shared" si="11"/>
        <v>142.53576500000054</v>
      </c>
      <c r="K631" s="7">
        <v>43607.535765000001</v>
      </c>
      <c r="L631" s="4">
        <v>1793.7</v>
      </c>
      <c r="N631">
        <v>21.67</v>
      </c>
      <c r="Q631">
        <v>-2.33210465266033</v>
      </c>
      <c r="R631">
        <v>-4.6699805733004997E-3</v>
      </c>
    </row>
    <row r="632" spans="1:18" x14ac:dyDescent="0.2">
      <c r="A632" t="s">
        <v>5</v>
      </c>
      <c r="B632">
        <v>4</v>
      </c>
      <c r="C632" t="s">
        <v>4</v>
      </c>
      <c r="D632" s="2">
        <v>43607</v>
      </c>
      <c r="E632" s="11">
        <v>142</v>
      </c>
      <c r="F632" s="3">
        <v>0.53889000000344822</v>
      </c>
      <c r="G632" s="3">
        <v>0.54235999999946216</v>
      </c>
      <c r="H632" s="13">
        <f t="shared" si="9"/>
        <v>142.53889000000345</v>
      </c>
      <c r="I632" s="13">
        <f t="shared" si="10"/>
        <v>142.54235999999946</v>
      </c>
      <c r="J632" s="13">
        <f t="shared" si="11"/>
        <v>142.54062500000146</v>
      </c>
      <c r="K632" s="7">
        <v>43607.540625000001</v>
      </c>
      <c r="L632" s="4">
        <v>1771.2</v>
      </c>
      <c r="M632">
        <v>18.5</v>
      </c>
      <c r="N632">
        <v>21.67</v>
      </c>
      <c r="Q632">
        <v>1.13875710240955</v>
      </c>
      <c r="R632">
        <v>4.7368394742879999E-4</v>
      </c>
    </row>
    <row r="633" spans="1:18" x14ac:dyDescent="0.2">
      <c r="A633" t="s">
        <v>5</v>
      </c>
      <c r="B633">
        <v>4</v>
      </c>
      <c r="C633" t="s">
        <v>6</v>
      </c>
      <c r="D633" s="2">
        <v>43607</v>
      </c>
      <c r="E633" s="11">
        <v>142</v>
      </c>
      <c r="F633" s="3">
        <v>0.54374999999708962</v>
      </c>
      <c r="G633" s="3">
        <v>0.54722000000037951</v>
      </c>
      <c r="H633" s="13">
        <f t="shared" si="9"/>
        <v>142.54374999999709</v>
      </c>
      <c r="I633" s="13">
        <f t="shared" si="10"/>
        <v>142.54722000000038</v>
      </c>
      <c r="J633" s="13">
        <f t="shared" si="11"/>
        <v>142.54548499999873</v>
      </c>
      <c r="K633" s="7">
        <v>43607.545484999995</v>
      </c>
      <c r="L633" s="4">
        <v>1838.7</v>
      </c>
      <c r="N633">
        <v>21.67</v>
      </c>
      <c r="Q633">
        <v>0.24485326112236699</v>
      </c>
      <c r="R633" s="6">
        <v>-5.4782133095120603E-5</v>
      </c>
    </row>
    <row r="634" spans="1:18" x14ac:dyDescent="0.2">
      <c r="A634" t="s">
        <v>5</v>
      </c>
      <c r="B634">
        <v>5</v>
      </c>
      <c r="C634" t="s">
        <v>4</v>
      </c>
      <c r="D634" s="2">
        <v>43607</v>
      </c>
      <c r="E634" s="11">
        <v>142</v>
      </c>
      <c r="F634" s="3">
        <v>0.54860999999800697</v>
      </c>
      <c r="G634" s="3">
        <v>0.55208000000129687</v>
      </c>
      <c r="H634" s="13">
        <f t="shared" si="9"/>
        <v>142.54860999999801</v>
      </c>
      <c r="I634" s="13">
        <f t="shared" si="10"/>
        <v>142.5520800000013</v>
      </c>
      <c r="J634" s="13">
        <f t="shared" si="11"/>
        <v>142.55034499999965</v>
      </c>
      <c r="K634" s="7">
        <v>43607.550344999996</v>
      </c>
      <c r="L634" s="4">
        <v>1823.7</v>
      </c>
      <c r="M634">
        <v>16.2</v>
      </c>
      <c r="N634">
        <v>21.67</v>
      </c>
      <c r="Q634">
        <v>0.88115577523572997</v>
      </c>
      <c r="R634">
        <v>-2.6794130386313301E-4</v>
      </c>
    </row>
    <row r="635" spans="1:18" x14ac:dyDescent="0.2">
      <c r="A635" t="s">
        <v>5</v>
      </c>
      <c r="B635">
        <v>5</v>
      </c>
      <c r="C635" t="s">
        <v>6</v>
      </c>
      <c r="D635" s="2">
        <v>43607</v>
      </c>
      <c r="E635" s="11">
        <v>142</v>
      </c>
      <c r="F635" s="3">
        <v>0.55346999999892432</v>
      </c>
      <c r="G635" s="3">
        <v>0.55694000000221422</v>
      </c>
      <c r="H635" s="13">
        <f t="shared" ref="H635:H698" si="12">E635+F635</f>
        <v>142.55346999999892</v>
      </c>
      <c r="I635" s="13">
        <f t="shared" ref="I635:I698" si="13">E635+G635</f>
        <v>142.55694000000221</v>
      </c>
      <c r="J635" s="13">
        <f t="shared" ref="J635:J698" si="14">AVERAGE(H635:I635)</f>
        <v>142.55520500000057</v>
      </c>
      <c r="K635" s="7">
        <v>43607.555204999997</v>
      </c>
      <c r="L635" s="4">
        <v>1836.2</v>
      </c>
      <c r="N635">
        <v>21.67</v>
      </c>
      <c r="Q635">
        <v>1.2737016622089199</v>
      </c>
      <c r="R635">
        <v>-3.8340931274232902E-4</v>
      </c>
    </row>
    <row r="636" spans="1:18" x14ac:dyDescent="0.2">
      <c r="A636" t="s">
        <v>5</v>
      </c>
      <c r="B636">
        <v>1</v>
      </c>
      <c r="C636" t="s">
        <v>4</v>
      </c>
      <c r="D636" s="2">
        <v>43615</v>
      </c>
      <c r="E636" s="11">
        <v>150</v>
      </c>
      <c r="F636" s="3">
        <v>0.45416999999724794</v>
      </c>
      <c r="G636" s="3">
        <v>0.45764000000053784</v>
      </c>
      <c r="H636" s="13">
        <f t="shared" si="12"/>
        <v>150.45416999999725</v>
      </c>
      <c r="I636" s="13">
        <f t="shared" si="13"/>
        <v>150.45764000000054</v>
      </c>
      <c r="J636" s="13">
        <f t="shared" si="14"/>
        <v>150.45590499999889</v>
      </c>
      <c r="K636" s="7">
        <v>43615.455904999995</v>
      </c>
      <c r="L636" s="4">
        <v>581.20000000000005</v>
      </c>
      <c r="M636">
        <v>26.4</v>
      </c>
      <c r="N636">
        <v>20</v>
      </c>
      <c r="Q636">
        <v>1.92421591380126</v>
      </c>
      <c r="R636">
        <v>6.1407653713160804E-4</v>
      </c>
    </row>
    <row r="637" spans="1:18" x14ac:dyDescent="0.2">
      <c r="A637" t="s">
        <v>5</v>
      </c>
      <c r="B637">
        <v>1</v>
      </c>
      <c r="C637" t="s">
        <v>6</v>
      </c>
      <c r="D637" s="2">
        <v>43615</v>
      </c>
      <c r="E637" s="11">
        <v>150</v>
      </c>
      <c r="F637" s="3">
        <v>0.45902999999816529</v>
      </c>
      <c r="G637" s="3">
        <v>0.46250000000145519</v>
      </c>
      <c r="H637" s="13">
        <f t="shared" si="12"/>
        <v>150.45902999999817</v>
      </c>
      <c r="I637" s="13">
        <f t="shared" si="13"/>
        <v>150.46250000000146</v>
      </c>
      <c r="J637" s="13">
        <f t="shared" si="14"/>
        <v>150.46076499999981</v>
      </c>
      <c r="K637" s="7">
        <v>43615.460764999996</v>
      </c>
      <c r="L637" s="4">
        <v>428.7</v>
      </c>
      <c r="N637">
        <v>20</v>
      </c>
      <c r="Q637">
        <v>1.7814338015237099</v>
      </c>
      <c r="R637">
        <v>3.7440727028493597E-4</v>
      </c>
    </row>
    <row r="638" spans="1:18" x14ac:dyDescent="0.2">
      <c r="A638" t="s">
        <v>5</v>
      </c>
      <c r="B638">
        <v>2</v>
      </c>
      <c r="C638" t="s">
        <v>4</v>
      </c>
      <c r="D638" s="2">
        <v>43615</v>
      </c>
      <c r="E638" s="11">
        <v>150</v>
      </c>
      <c r="F638" s="3">
        <v>0.46388999999908265</v>
      </c>
      <c r="G638" s="3">
        <v>0.46736000000237254</v>
      </c>
      <c r="H638" s="13">
        <f t="shared" si="12"/>
        <v>150.46388999999908</v>
      </c>
      <c r="I638" s="13">
        <f t="shared" si="13"/>
        <v>150.46736000000237</v>
      </c>
      <c r="J638" s="13">
        <f t="shared" si="14"/>
        <v>150.46562500000073</v>
      </c>
      <c r="K638" s="7">
        <v>43615.465624999997</v>
      </c>
      <c r="L638" s="4">
        <v>376.2</v>
      </c>
      <c r="M638">
        <v>26.1</v>
      </c>
      <c r="N638">
        <v>20</v>
      </c>
      <c r="Q638">
        <v>0.57118011446241101</v>
      </c>
      <c r="R638">
        <v>2.41577981047689E-4</v>
      </c>
    </row>
    <row r="639" spans="1:18" x14ac:dyDescent="0.2">
      <c r="A639" t="s">
        <v>5</v>
      </c>
      <c r="B639">
        <v>2</v>
      </c>
      <c r="C639" t="s">
        <v>6</v>
      </c>
      <c r="D639" s="2">
        <v>43615</v>
      </c>
      <c r="E639" s="11">
        <v>150</v>
      </c>
      <c r="F639" s="3">
        <v>0.46875</v>
      </c>
      <c r="G639" s="3">
        <v>0.4722200000032899</v>
      </c>
      <c r="H639" s="13">
        <f t="shared" si="12"/>
        <v>150.46875</v>
      </c>
      <c r="I639" s="13">
        <f t="shared" si="13"/>
        <v>150.47222000000329</v>
      </c>
      <c r="J639" s="13">
        <f t="shared" si="14"/>
        <v>150.47048500000164</v>
      </c>
      <c r="K639" s="7">
        <v>43615.470484999998</v>
      </c>
      <c r="L639" s="4">
        <v>588.70000000000005</v>
      </c>
      <c r="N639">
        <v>20</v>
      </c>
      <c r="Q639">
        <v>1.3493817169423401</v>
      </c>
      <c r="R639">
        <v>4.3503668531710799E-4</v>
      </c>
    </row>
    <row r="640" spans="1:18" x14ac:dyDescent="0.2">
      <c r="A640" t="s">
        <v>5</v>
      </c>
      <c r="B640">
        <v>3</v>
      </c>
      <c r="C640" t="s">
        <v>4</v>
      </c>
      <c r="D640" s="2">
        <v>43615</v>
      </c>
      <c r="E640" s="11">
        <v>150</v>
      </c>
      <c r="F640" s="3">
        <v>0.47361000000091735</v>
      </c>
      <c r="G640" s="3">
        <v>0.47707999999693129</v>
      </c>
      <c r="H640" s="13">
        <f t="shared" si="12"/>
        <v>150.47361000000092</v>
      </c>
      <c r="I640" s="13">
        <f t="shared" si="13"/>
        <v>150.47707999999693</v>
      </c>
      <c r="J640" s="13">
        <f t="shared" si="14"/>
        <v>150.47534499999892</v>
      </c>
      <c r="K640" s="7">
        <v>43615.475344999999</v>
      </c>
      <c r="L640" s="4">
        <v>928.7</v>
      </c>
      <c r="M640">
        <v>18.600000000000001</v>
      </c>
      <c r="N640">
        <v>20</v>
      </c>
      <c r="Q640">
        <v>1.36763037742751</v>
      </c>
      <c r="R640">
        <v>3.95925761786134E-4</v>
      </c>
    </row>
    <row r="641" spans="1:18" x14ac:dyDescent="0.2">
      <c r="A641" t="s">
        <v>5</v>
      </c>
      <c r="B641">
        <v>3</v>
      </c>
      <c r="C641" t="s">
        <v>6</v>
      </c>
      <c r="D641" s="2">
        <v>43615</v>
      </c>
      <c r="E641" s="11">
        <v>150</v>
      </c>
      <c r="F641" s="3">
        <v>0.47847000000183471</v>
      </c>
      <c r="G641" s="3">
        <v>0.48193999999784864</v>
      </c>
      <c r="H641" s="13">
        <f t="shared" si="12"/>
        <v>150.47847000000183</v>
      </c>
      <c r="I641" s="13">
        <f t="shared" si="13"/>
        <v>150.48193999999785</v>
      </c>
      <c r="J641" s="13">
        <f t="shared" si="14"/>
        <v>150.48020499999984</v>
      </c>
      <c r="K641" s="7">
        <v>43615.480205</v>
      </c>
      <c r="L641" s="4">
        <v>823.7</v>
      </c>
      <c r="N641">
        <v>20</v>
      </c>
      <c r="Q641">
        <v>1.6942422361832501</v>
      </c>
      <c r="R641">
        <v>3.3000847067357202E-4</v>
      </c>
    </row>
    <row r="642" spans="1:18" x14ac:dyDescent="0.2">
      <c r="A642" t="s">
        <v>5</v>
      </c>
      <c r="B642">
        <v>4</v>
      </c>
      <c r="C642" t="s">
        <v>4</v>
      </c>
      <c r="D642" s="2">
        <v>43615</v>
      </c>
      <c r="E642" s="11">
        <v>150</v>
      </c>
      <c r="F642" s="3">
        <v>0.48333000000275206</v>
      </c>
      <c r="G642" s="3">
        <v>0.48681000000215136</v>
      </c>
      <c r="H642" s="13">
        <f t="shared" si="12"/>
        <v>150.48333000000275</v>
      </c>
      <c r="I642" s="13">
        <f t="shared" si="13"/>
        <v>150.48681000000215</v>
      </c>
      <c r="J642" s="13">
        <f t="shared" si="14"/>
        <v>150.48507000000245</v>
      </c>
      <c r="K642" s="7">
        <v>43615.485070000002</v>
      </c>
      <c r="L642" s="4">
        <v>728.7</v>
      </c>
      <c r="M642">
        <v>26</v>
      </c>
      <c r="N642">
        <v>20</v>
      </c>
      <c r="Q642">
        <v>1.34194372404926</v>
      </c>
      <c r="R642">
        <v>7.1379266933537596E-4</v>
      </c>
    </row>
    <row r="643" spans="1:18" x14ac:dyDescent="0.2">
      <c r="A643" t="s">
        <v>5</v>
      </c>
      <c r="B643">
        <v>4</v>
      </c>
      <c r="C643" t="s">
        <v>6</v>
      </c>
      <c r="D643" s="2">
        <v>43615</v>
      </c>
      <c r="E643" s="11">
        <v>150</v>
      </c>
      <c r="F643" s="3">
        <v>0.48818999999639345</v>
      </c>
      <c r="G643" s="3">
        <v>0.49167000000306871</v>
      </c>
      <c r="H643" s="13">
        <f t="shared" si="12"/>
        <v>150.48818999999639</v>
      </c>
      <c r="I643" s="13">
        <f t="shared" si="13"/>
        <v>150.49167000000307</v>
      </c>
      <c r="J643" s="13">
        <f t="shared" si="14"/>
        <v>150.48992999999973</v>
      </c>
      <c r="K643" s="7">
        <v>43615.489929999996</v>
      </c>
      <c r="L643" s="4">
        <v>378.7</v>
      </c>
      <c r="N643">
        <v>20</v>
      </c>
      <c r="Q643">
        <v>1.5521372103878099</v>
      </c>
      <c r="R643">
        <v>4.7942249005806999E-4</v>
      </c>
    </row>
    <row r="644" spans="1:18" x14ac:dyDescent="0.2">
      <c r="A644" t="s">
        <v>5</v>
      </c>
      <c r="B644">
        <v>5</v>
      </c>
      <c r="C644" t="s">
        <v>4</v>
      </c>
      <c r="D644" s="2">
        <v>43615</v>
      </c>
      <c r="E644" s="11">
        <v>150</v>
      </c>
      <c r="F644" s="3">
        <v>0.49306000000069616</v>
      </c>
      <c r="G644" s="3">
        <v>0.4965299999967101</v>
      </c>
      <c r="H644" s="13">
        <f t="shared" si="12"/>
        <v>150.4930600000007</v>
      </c>
      <c r="I644" s="13">
        <f t="shared" si="13"/>
        <v>150.49652999999671</v>
      </c>
      <c r="J644" s="13">
        <f t="shared" si="14"/>
        <v>150.4947949999987</v>
      </c>
      <c r="K644" s="7">
        <v>43615.494794999999</v>
      </c>
      <c r="L644" s="4">
        <v>786.2</v>
      </c>
      <c r="M644">
        <v>20.3</v>
      </c>
      <c r="N644">
        <v>20</v>
      </c>
      <c r="Q644">
        <v>1.7634588568084599</v>
      </c>
      <c r="R644">
        <v>5.1187908588529001E-4</v>
      </c>
    </row>
    <row r="645" spans="1:18" x14ac:dyDescent="0.2">
      <c r="A645" t="s">
        <v>5</v>
      </c>
      <c r="B645">
        <v>5</v>
      </c>
      <c r="C645" t="s">
        <v>6</v>
      </c>
      <c r="D645" s="2">
        <v>43615</v>
      </c>
      <c r="E645" s="11">
        <v>150</v>
      </c>
      <c r="F645" s="3">
        <v>0.49792000000161352</v>
      </c>
      <c r="G645" s="3">
        <v>0.50138999999762746</v>
      </c>
      <c r="H645" s="13">
        <f t="shared" si="12"/>
        <v>150.49792000000161</v>
      </c>
      <c r="I645" s="13">
        <f t="shared" si="13"/>
        <v>150.50138999999763</v>
      </c>
      <c r="J645" s="13">
        <f t="shared" si="14"/>
        <v>150.49965499999962</v>
      </c>
      <c r="K645" s="7">
        <v>43615.499655</v>
      </c>
      <c r="L645" s="4">
        <v>683.7</v>
      </c>
      <c r="N645">
        <v>20</v>
      </c>
      <c r="Q645">
        <v>1.5548576209985201</v>
      </c>
      <c r="R645">
        <v>2.8594216010717803E-4</v>
      </c>
    </row>
    <row r="646" spans="1:18" x14ac:dyDescent="0.2">
      <c r="A646" t="s">
        <v>5</v>
      </c>
      <c r="B646">
        <v>1</v>
      </c>
      <c r="C646" t="s">
        <v>4</v>
      </c>
      <c r="D646" s="2">
        <v>43615</v>
      </c>
      <c r="E646" s="11">
        <v>150</v>
      </c>
      <c r="F646" s="3">
        <v>0.52083000000129687</v>
      </c>
      <c r="G646" s="3">
        <v>0.52431000000069616</v>
      </c>
      <c r="H646" s="13">
        <f t="shared" si="12"/>
        <v>150.5208300000013</v>
      </c>
      <c r="I646" s="13">
        <f t="shared" si="13"/>
        <v>150.5243100000007</v>
      </c>
      <c r="J646" s="13">
        <f t="shared" si="14"/>
        <v>150.522570000001</v>
      </c>
      <c r="K646" s="7">
        <v>43615.522570000001</v>
      </c>
      <c r="L646" s="4">
        <v>203.7</v>
      </c>
      <c r="M646">
        <v>20.7</v>
      </c>
      <c r="N646">
        <v>20.56</v>
      </c>
      <c r="Q646">
        <v>2.0804033202996499</v>
      </c>
      <c r="R646">
        <v>6.7638146905755602E-4</v>
      </c>
    </row>
    <row r="647" spans="1:18" x14ac:dyDescent="0.2">
      <c r="A647" t="s">
        <v>5</v>
      </c>
      <c r="B647">
        <v>1</v>
      </c>
      <c r="C647" t="s">
        <v>6</v>
      </c>
      <c r="D647" s="2">
        <v>43615</v>
      </c>
      <c r="E647" s="11">
        <v>150</v>
      </c>
      <c r="F647" s="3">
        <v>0.52569000000221422</v>
      </c>
      <c r="G647" s="3">
        <v>0.52917000000161352</v>
      </c>
      <c r="H647" s="13">
        <f t="shared" si="12"/>
        <v>150.52569000000221</v>
      </c>
      <c r="I647" s="13">
        <f t="shared" si="13"/>
        <v>150.52917000000161</v>
      </c>
      <c r="J647" s="13">
        <f t="shared" si="14"/>
        <v>150.52743000000191</v>
      </c>
      <c r="K647" s="7">
        <v>43615.527430000002</v>
      </c>
      <c r="L647" s="4">
        <v>223.7</v>
      </c>
      <c r="N647">
        <v>20.56</v>
      </c>
      <c r="Q647">
        <v>1.8419263306258</v>
      </c>
      <c r="R647">
        <v>4.1522989338019602E-4</v>
      </c>
    </row>
    <row r="648" spans="1:18" x14ac:dyDescent="0.2">
      <c r="A648" t="s">
        <v>5</v>
      </c>
      <c r="B648">
        <v>2</v>
      </c>
      <c r="C648" t="s">
        <v>4</v>
      </c>
      <c r="D648" s="2">
        <v>43615</v>
      </c>
      <c r="E648" s="11">
        <v>150</v>
      </c>
      <c r="F648" s="3">
        <v>0.53055999999924097</v>
      </c>
      <c r="G648" s="3">
        <v>0.53403000000253087</v>
      </c>
      <c r="H648" s="13">
        <f t="shared" si="12"/>
        <v>150.53055999999924</v>
      </c>
      <c r="I648" s="13">
        <f t="shared" si="13"/>
        <v>150.53403000000253</v>
      </c>
      <c r="J648" s="13">
        <f t="shared" si="14"/>
        <v>150.53229500000089</v>
      </c>
      <c r="K648" s="7">
        <v>43615.532294999997</v>
      </c>
      <c r="L648" s="4">
        <v>261.2</v>
      </c>
      <c r="M648">
        <v>20.399999999999999</v>
      </c>
      <c r="N648">
        <v>20.56</v>
      </c>
      <c r="Q648">
        <v>1.6644459653083299</v>
      </c>
      <c r="R648">
        <v>5.6412518262783295E-4</v>
      </c>
    </row>
    <row r="649" spans="1:18" x14ac:dyDescent="0.2">
      <c r="A649" t="s">
        <v>5</v>
      </c>
      <c r="B649">
        <v>2</v>
      </c>
      <c r="C649" t="s">
        <v>6</v>
      </c>
      <c r="D649" s="2">
        <v>43615</v>
      </c>
      <c r="E649" s="11">
        <v>150</v>
      </c>
      <c r="F649" s="3">
        <v>0.53542000000015832</v>
      </c>
      <c r="G649" s="3">
        <v>0.53889000000344822</v>
      </c>
      <c r="H649" s="13">
        <f t="shared" si="12"/>
        <v>150.53542000000016</v>
      </c>
      <c r="I649" s="13">
        <f t="shared" si="13"/>
        <v>150.53889000000345</v>
      </c>
      <c r="J649" s="13">
        <f t="shared" si="14"/>
        <v>150.5371550000018</v>
      </c>
      <c r="K649" s="7">
        <v>43615.537154999998</v>
      </c>
      <c r="L649" s="4">
        <v>246.2</v>
      </c>
      <c r="N649">
        <v>20.56</v>
      </c>
      <c r="Q649">
        <v>0.21141282534307301</v>
      </c>
      <c r="R649">
        <v>-1.2447218604347499E-4</v>
      </c>
    </row>
    <row r="650" spans="1:18" x14ac:dyDescent="0.2">
      <c r="A650" t="s">
        <v>5</v>
      </c>
      <c r="B650">
        <v>3</v>
      </c>
      <c r="C650" t="s">
        <v>4</v>
      </c>
      <c r="D650" s="2">
        <v>43615</v>
      </c>
      <c r="E650" s="11">
        <v>150</v>
      </c>
      <c r="F650" s="3">
        <v>0.54028000000107568</v>
      </c>
      <c r="G650" s="3">
        <v>0.54374999999708962</v>
      </c>
      <c r="H650" s="13">
        <f t="shared" si="12"/>
        <v>150.54028000000108</v>
      </c>
      <c r="I650" s="13">
        <f t="shared" si="13"/>
        <v>150.54374999999709</v>
      </c>
      <c r="J650" s="13">
        <f t="shared" si="14"/>
        <v>150.54201499999908</v>
      </c>
      <c r="K650" s="7">
        <v>43615.542014999999</v>
      </c>
      <c r="L650" s="4">
        <v>291.2</v>
      </c>
      <c r="M650">
        <v>15.6</v>
      </c>
      <c r="N650">
        <v>20.56</v>
      </c>
      <c r="Q650">
        <v>1.06611061416366</v>
      </c>
      <c r="R650">
        <v>2.9165886207668503E-4</v>
      </c>
    </row>
    <row r="651" spans="1:18" x14ac:dyDescent="0.2">
      <c r="A651" t="s">
        <v>5</v>
      </c>
      <c r="B651">
        <v>3</v>
      </c>
      <c r="C651" t="s">
        <v>6</v>
      </c>
      <c r="D651" s="2">
        <v>43615</v>
      </c>
      <c r="E651" s="11">
        <v>150</v>
      </c>
      <c r="F651" s="3">
        <v>0.54514000000199303</v>
      </c>
      <c r="G651" s="3">
        <v>0.54860999999800697</v>
      </c>
      <c r="H651" s="13">
        <f t="shared" si="12"/>
        <v>150.54514000000199</v>
      </c>
      <c r="I651" s="13">
        <f t="shared" si="13"/>
        <v>150.54860999999801</v>
      </c>
      <c r="J651" s="13">
        <f t="shared" si="14"/>
        <v>150.546875</v>
      </c>
      <c r="K651" s="7">
        <v>43615.546875</v>
      </c>
      <c r="L651" s="4">
        <v>653.70000000000005</v>
      </c>
      <c r="N651">
        <v>20.56</v>
      </c>
      <c r="Q651">
        <v>1.42198534526105</v>
      </c>
      <c r="R651" s="6">
        <v>9.9278945273163395E-5</v>
      </c>
    </row>
    <row r="652" spans="1:18" x14ac:dyDescent="0.2">
      <c r="A652" t="s">
        <v>5</v>
      </c>
      <c r="B652">
        <v>4</v>
      </c>
      <c r="C652" t="s">
        <v>4</v>
      </c>
      <c r="D652" s="2">
        <v>43615</v>
      </c>
      <c r="E652" s="11">
        <v>150</v>
      </c>
      <c r="F652" s="3">
        <v>0.55000000000291038</v>
      </c>
      <c r="G652" s="3">
        <v>0.55346999999892432</v>
      </c>
      <c r="H652" s="13">
        <f t="shared" si="12"/>
        <v>150.55000000000291</v>
      </c>
      <c r="I652" s="13">
        <f t="shared" si="13"/>
        <v>150.55346999999892</v>
      </c>
      <c r="J652" s="13">
        <f t="shared" si="14"/>
        <v>150.55173500000092</v>
      </c>
      <c r="K652" s="7">
        <v>43615.551735000001</v>
      </c>
      <c r="L652" s="4">
        <v>843.7</v>
      </c>
      <c r="M652">
        <v>22.7</v>
      </c>
      <c r="N652">
        <v>20.56</v>
      </c>
      <c r="Q652">
        <v>1.0408945276294299</v>
      </c>
      <c r="R652">
        <v>1.6497787515663999E-4</v>
      </c>
    </row>
    <row r="653" spans="1:18" x14ac:dyDescent="0.2">
      <c r="A653" t="s">
        <v>5</v>
      </c>
      <c r="B653">
        <v>4</v>
      </c>
      <c r="C653" t="s">
        <v>6</v>
      </c>
      <c r="D653" s="2">
        <v>43615</v>
      </c>
      <c r="E653" s="11">
        <v>150</v>
      </c>
      <c r="F653" s="3">
        <v>0.55485999999655178</v>
      </c>
      <c r="G653" s="3">
        <v>0.55832999999984168</v>
      </c>
      <c r="H653" s="13">
        <f t="shared" si="12"/>
        <v>150.55485999999655</v>
      </c>
      <c r="I653" s="13">
        <f t="shared" si="13"/>
        <v>150.55832999999984</v>
      </c>
      <c r="J653" s="13">
        <f t="shared" si="14"/>
        <v>150.5565949999982</v>
      </c>
      <c r="K653" s="7">
        <v>43615.556595000002</v>
      </c>
      <c r="L653" s="4">
        <v>546.20000000000005</v>
      </c>
      <c r="N653">
        <v>20.56</v>
      </c>
      <c r="Q653">
        <v>1.17526072322395</v>
      </c>
      <c r="R653" s="6">
        <v>1.9496208677425601E-5</v>
      </c>
    </row>
    <row r="654" spans="1:18" x14ac:dyDescent="0.2">
      <c r="A654" t="s">
        <v>5</v>
      </c>
      <c r="B654">
        <v>5</v>
      </c>
      <c r="C654" t="s">
        <v>4</v>
      </c>
      <c r="D654" s="2">
        <v>43615</v>
      </c>
      <c r="E654" s="11">
        <v>150</v>
      </c>
      <c r="F654" s="3">
        <v>0.55971999999746913</v>
      </c>
      <c r="G654" s="3">
        <v>0.56319000000075903</v>
      </c>
      <c r="H654" s="13">
        <f t="shared" si="12"/>
        <v>150.55971999999747</v>
      </c>
      <c r="I654" s="13">
        <f t="shared" si="13"/>
        <v>150.56319000000076</v>
      </c>
      <c r="J654" s="13">
        <f t="shared" si="14"/>
        <v>150.56145499999911</v>
      </c>
      <c r="K654" s="7">
        <v>43615.561455000003</v>
      </c>
      <c r="L654" s="4">
        <v>623.70000000000005</v>
      </c>
      <c r="M654">
        <v>20.8</v>
      </c>
      <c r="N654">
        <v>20.56</v>
      </c>
      <c r="Q654">
        <v>1.2968749181797701</v>
      </c>
      <c r="R654">
        <v>5.5027640961047102E-4</v>
      </c>
    </row>
    <row r="655" spans="1:18" x14ac:dyDescent="0.2">
      <c r="A655" t="s">
        <v>5</v>
      </c>
      <c r="B655">
        <v>5</v>
      </c>
      <c r="C655" t="s">
        <v>6</v>
      </c>
      <c r="D655" s="2">
        <v>43615</v>
      </c>
      <c r="E655" s="11">
        <v>150</v>
      </c>
      <c r="F655" s="3">
        <v>0.56457999999838648</v>
      </c>
      <c r="G655" s="3">
        <v>0.56805999999778578</v>
      </c>
      <c r="H655" s="13">
        <f t="shared" si="12"/>
        <v>150.56457999999839</v>
      </c>
      <c r="I655" s="13">
        <f t="shared" si="13"/>
        <v>150.56805999999779</v>
      </c>
      <c r="J655" s="13">
        <f t="shared" si="14"/>
        <v>150.56631999999809</v>
      </c>
      <c r="K655" s="7">
        <v>43615.566319999998</v>
      </c>
      <c r="L655" s="4">
        <v>448.7</v>
      </c>
      <c r="N655">
        <v>20.56</v>
      </c>
      <c r="Q655">
        <v>1.4188742572433699</v>
      </c>
      <c r="R655">
        <v>2.8943569543361098E-4</v>
      </c>
    </row>
    <row r="656" spans="1:18" x14ac:dyDescent="0.2">
      <c r="A656" t="s">
        <v>5</v>
      </c>
      <c r="B656">
        <v>1</v>
      </c>
      <c r="C656" t="s">
        <v>4</v>
      </c>
      <c r="D656" s="2">
        <v>43619</v>
      </c>
      <c r="E656" s="11">
        <v>154</v>
      </c>
      <c r="F656" s="3">
        <v>0.40346999999746913</v>
      </c>
      <c r="G656" s="3">
        <v>0.40694000000075903</v>
      </c>
      <c r="H656" s="13">
        <f t="shared" si="12"/>
        <v>154.40346999999747</v>
      </c>
      <c r="I656" s="13">
        <f t="shared" si="13"/>
        <v>154.40694000000076</v>
      </c>
      <c r="J656" s="13">
        <f t="shared" si="14"/>
        <v>154.40520499999911</v>
      </c>
      <c r="K656" s="7">
        <v>43619.405205000003</v>
      </c>
      <c r="L656" s="4">
        <v>1468.7</v>
      </c>
      <c r="M656">
        <v>15.6</v>
      </c>
      <c r="N656">
        <v>18.329999999999998</v>
      </c>
      <c r="Q656">
        <v>1.5642544298529799</v>
      </c>
      <c r="R656" s="6">
        <v>-4.0326768689024101E-7</v>
      </c>
    </row>
    <row r="657" spans="1:18" x14ac:dyDescent="0.2">
      <c r="A657" t="s">
        <v>5</v>
      </c>
      <c r="B657">
        <v>1</v>
      </c>
      <c r="C657" t="s">
        <v>6</v>
      </c>
      <c r="D657" s="2">
        <v>43619</v>
      </c>
      <c r="E657" s="11">
        <v>154</v>
      </c>
      <c r="F657" s="3">
        <v>0.40832999999838648</v>
      </c>
      <c r="G657" s="3">
        <v>0.41180999999778578</v>
      </c>
      <c r="H657" s="13">
        <f t="shared" si="12"/>
        <v>154.40832999999839</v>
      </c>
      <c r="I657" s="13">
        <f t="shared" si="13"/>
        <v>154.41180999999779</v>
      </c>
      <c r="J657" s="13">
        <f t="shared" si="14"/>
        <v>154.41006999999809</v>
      </c>
      <c r="K657" s="7">
        <v>43619.410069999998</v>
      </c>
      <c r="L657" s="4">
        <v>1458.7</v>
      </c>
      <c r="N657">
        <v>18.329999999999998</v>
      </c>
      <c r="Q657">
        <v>1.5706694645969801</v>
      </c>
      <c r="R657" s="6">
        <v>-3.8933427251222898E-7</v>
      </c>
    </row>
    <row r="658" spans="1:18" x14ac:dyDescent="0.2">
      <c r="A658" t="s">
        <v>5</v>
      </c>
      <c r="B658">
        <v>2</v>
      </c>
      <c r="C658" t="s">
        <v>4</v>
      </c>
      <c r="D658" s="2">
        <v>43619</v>
      </c>
      <c r="E658" s="11">
        <v>154</v>
      </c>
      <c r="F658" s="3">
        <v>0.41318999999930384</v>
      </c>
      <c r="G658" s="3">
        <v>0.41666999999870313</v>
      </c>
      <c r="H658" s="13">
        <f t="shared" si="12"/>
        <v>154.4131899999993</v>
      </c>
      <c r="I658" s="13">
        <f t="shared" si="13"/>
        <v>154.4166699999987</v>
      </c>
      <c r="J658" s="13">
        <f t="shared" si="14"/>
        <v>154.414929999999</v>
      </c>
      <c r="K658" s="7">
        <v>43619.414929999999</v>
      </c>
      <c r="L658" s="4">
        <v>1516.2</v>
      </c>
      <c r="M658">
        <v>11.7</v>
      </c>
      <c r="N658">
        <v>18.329999999999998</v>
      </c>
      <c r="Q658">
        <v>0.64953702069447405</v>
      </c>
      <c r="R658" s="6">
        <v>-2.0607795572794101E-7</v>
      </c>
    </row>
    <row r="659" spans="1:18" x14ac:dyDescent="0.2">
      <c r="A659" t="s">
        <v>5</v>
      </c>
      <c r="B659">
        <v>2</v>
      </c>
      <c r="C659" t="s">
        <v>6</v>
      </c>
      <c r="D659" s="2">
        <v>43619</v>
      </c>
      <c r="E659" s="11">
        <v>154</v>
      </c>
      <c r="F659" s="3">
        <v>0.41806000000360655</v>
      </c>
      <c r="G659" s="3">
        <v>0.42152999999962049</v>
      </c>
      <c r="H659" s="13">
        <f t="shared" si="12"/>
        <v>154.41806000000361</v>
      </c>
      <c r="I659" s="13">
        <f t="shared" si="13"/>
        <v>154.42152999999962</v>
      </c>
      <c r="J659" s="13">
        <f t="shared" si="14"/>
        <v>154.41979500000161</v>
      </c>
      <c r="K659" s="7">
        <v>43619.419795000002</v>
      </c>
      <c r="L659" s="4">
        <v>1543.7</v>
      </c>
      <c r="N659">
        <v>18.329999999999998</v>
      </c>
      <c r="Q659">
        <v>1.5510372133957699</v>
      </c>
      <c r="R659" s="6">
        <v>-3.8662651499078902E-7</v>
      </c>
    </row>
    <row r="660" spans="1:18" x14ac:dyDescent="0.2">
      <c r="A660" t="s">
        <v>5</v>
      </c>
      <c r="B660">
        <v>3</v>
      </c>
      <c r="C660" t="s">
        <v>4</v>
      </c>
      <c r="D660" s="2">
        <v>43619</v>
      </c>
      <c r="E660" s="11">
        <v>154</v>
      </c>
      <c r="F660" s="3">
        <v>0.42291999999724794</v>
      </c>
      <c r="G660" s="3">
        <v>0.42639000000053784</v>
      </c>
      <c r="H660" s="13">
        <f t="shared" si="12"/>
        <v>154.42291999999725</v>
      </c>
      <c r="I660" s="13">
        <f t="shared" si="13"/>
        <v>154.42639000000054</v>
      </c>
      <c r="J660" s="13">
        <f t="shared" si="14"/>
        <v>154.42465499999889</v>
      </c>
      <c r="K660" s="7">
        <v>43619.424654999995</v>
      </c>
      <c r="L660" s="4">
        <v>1593.7</v>
      </c>
      <c r="M660">
        <v>9.5</v>
      </c>
      <c r="N660">
        <v>18.329999999999998</v>
      </c>
      <c r="Q660">
        <v>1.46935880723686</v>
      </c>
      <c r="R660" s="6">
        <v>-3.8408542993696702E-7</v>
      </c>
    </row>
    <row r="661" spans="1:18" x14ac:dyDescent="0.2">
      <c r="A661" t="s">
        <v>5</v>
      </c>
      <c r="B661">
        <v>3</v>
      </c>
      <c r="C661" t="s">
        <v>6</v>
      </c>
      <c r="D661" s="2">
        <v>43619</v>
      </c>
      <c r="E661" s="11">
        <v>154</v>
      </c>
      <c r="F661" s="3">
        <v>0.42777999999816529</v>
      </c>
      <c r="G661" s="3">
        <v>0.43125000000145519</v>
      </c>
      <c r="H661" s="13">
        <f t="shared" si="12"/>
        <v>154.42777999999817</v>
      </c>
      <c r="I661" s="13">
        <f t="shared" si="13"/>
        <v>154.43125000000146</v>
      </c>
      <c r="J661" s="13">
        <f t="shared" si="14"/>
        <v>154.42951499999981</v>
      </c>
      <c r="K661" s="7">
        <v>43619.429514999996</v>
      </c>
      <c r="L661" s="4">
        <v>1678.7</v>
      </c>
      <c r="N661">
        <v>18.329999999999998</v>
      </c>
      <c r="Q661">
        <v>1.62114341996427</v>
      </c>
      <c r="R661" s="6">
        <v>-3.8091571452799001E-7</v>
      </c>
    </row>
    <row r="662" spans="1:18" x14ac:dyDescent="0.2">
      <c r="A662" t="s">
        <v>5</v>
      </c>
      <c r="B662">
        <v>4</v>
      </c>
      <c r="C662" t="s">
        <v>4</v>
      </c>
      <c r="D662" s="2">
        <v>43619</v>
      </c>
      <c r="E662" s="11">
        <v>154</v>
      </c>
      <c r="F662" s="3">
        <v>0.43263999999908265</v>
      </c>
      <c r="G662" s="3">
        <v>0.43611000000237254</v>
      </c>
      <c r="H662" s="13">
        <f t="shared" si="12"/>
        <v>154.43263999999908</v>
      </c>
      <c r="I662" s="13">
        <f t="shared" si="13"/>
        <v>154.43611000000237</v>
      </c>
      <c r="J662" s="13">
        <f t="shared" si="14"/>
        <v>154.43437500000073</v>
      </c>
      <c r="K662" s="7">
        <v>43619.434374999997</v>
      </c>
      <c r="L662" s="4">
        <v>1703.7</v>
      </c>
      <c r="M662">
        <v>13.9</v>
      </c>
      <c r="N662">
        <v>21.67</v>
      </c>
      <c r="Q662">
        <v>1.5630819049584901</v>
      </c>
      <c r="R662" s="6">
        <v>-3.7671299438540798E-7</v>
      </c>
    </row>
    <row r="663" spans="1:18" x14ac:dyDescent="0.2">
      <c r="A663" t="s">
        <v>5</v>
      </c>
      <c r="B663">
        <v>4</v>
      </c>
      <c r="C663" t="s">
        <v>6</v>
      </c>
      <c r="D663" s="2">
        <v>43619</v>
      </c>
      <c r="E663" s="11">
        <v>154</v>
      </c>
      <c r="F663" s="3">
        <v>0.4375</v>
      </c>
      <c r="G663" s="3">
        <v>0.4409700000032899</v>
      </c>
      <c r="H663" s="13">
        <f t="shared" si="12"/>
        <v>154.4375</v>
      </c>
      <c r="I663" s="13">
        <f t="shared" si="13"/>
        <v>154.44097000000329</v>
      </c>
      <c r="J663" s="13">
        <f t="shared" si="14"/>
        <v>154.43923500000164</v>
      </c>
      <c r="K663" s="7">
        <v>43619.439234999998</v>
      </c>
      <c r="L663" s="4">
        <v>1711.2</v>
      </c>
      <c r="N663">
        <v>21.67</v>
      </c>
      <c r="Q663">
        <v>1.3505467936762401</v>
      </c>
      <c r="R663" s="6">
        <v>-3.0212104811314301E-7</v>
      </c>
    </row>
    <row r="664" spans="1:18" x14ac:dyDescent="0.2">
      <c r="A664" t="s">
        <v>5</v>
      </c>
      <c r="B664">
        <v>5</v>
      </c>
      <c r="C664" t="s">
        <v>4</v>
      </c>
      <c r="D664" s="2">
        <v>43619</v>
      </c>
      <c r="E664" s="11">
        <v>154</v>
      </c>
      <c r="F664" s="3">
        <v>0.44236000000091735</v>
      </c>
      <c r="G664" s="3">
        <v>0.44582999999693129</v>
      </c>
      <c r="H664" s="13">
        <f t="shared" si="12"/>
        <v>154.44236000000092</v>
      </c>
      <c r="I664" s="13">
        <f t="shared" si="13"/>
        <v>154.44582999999693</v>
      </c>
      <c r="J664" s="13">
        <f t="shared" si="14"/>
        <v>154.44409499999892</v>
      </c>
      <c r="K664" s="7">
        <v>43619.444094999999</v>
      </c>
      <c r="L664" s="4">
        <v>1706.2</v>
      </c>
      <c r="M664">
        <v>15.8</v>
      </c>
      <c r="N664">
        <v>21.67</v>
      </c>
      <c r="Q664">
        <v>-0.200829057514194</v>
      </c>
      <c r="R664" s="6">
        <v>4.9383944351460403E-8</v>
      </c>
    </row>
    <row r="665" spans="1:18" x14ac:dyDescent="0.2">
      <c r="A665" t="s">
        <v>5</v>
      </c>
      <c r="B665">
        <v>5</v>
      </c>
      <c r="C665" t="s">
        <v>6</v>
      </c>
      <c r="D665" s="2">
        <v>43619</v>
      </c>
      <c r="E665" s="11">
        <v>154</v>
      </c>
      <c r="F665" s="3">
        <v>0.44722000000183471</v>
      </c>
      <c r="G665" s="3">
        <v>0.45068999999784864</v>
      </c>
      <c r="H665" s="13">
        <f t="shared" si="12"/>
        <v>154.44722000000183</v>
      </c>
      <c r="I665" s="13">
        <f t="shared" si="13"/>
        <v>154.45068999999785</v>
      </c>
      <c r="J665" s="13">
        <f t="shared" si="14"/>
        <v>154.44895499999984</v>
      </c>
      <c r="K665" s="7">
        <v>43619.448955</v>
      </c>
      <c r="L665" s="4">
        <v>1681.2</v>
      </c>
      <c r="N665">
        <v>21.67</v>
      </c>
      <c r="Q665">
        <v>1.48648838003135</v>
      </c>
      <c r="R665" s="6">
        <v>-3.3788621444876202E-7</v>
      </c>
    </row>
    <row r="666" spans="1:18" x14ac:dyDescent="0.2">
      <c r="A666" t="s">
        <v>5</v>
      </c>
      <c r="B666">
        <v>1</v>
      </c>
      <c r="C666" t="s">
        <v>4</v>
      </c>
      <c r="D666" s="2">
        <v>43619</v>
      </c>
      <c r="E666" s="11">
        <v>154</v>
      </c>
      <c r="F666" s="3">
        <v>0.50417000000015832</v>
      </c>
      <c r="G666" s="3">
        <v>0.50764000000344822</v>
      </c>
      <c r="H666" s="13">
        <f t="shared" si="12"/>
        <v>154.50417000000016</v>
      </c>
      <c r="I666" s="13">
        <f t="shared" si="13"/>
        <v>154.50764000000345</v>
      </c>
      <c r="J666" s="13">
        <f t="shared" si="14"/>
        <v>154.5059050000018</v>
      </c>
      <c r="K666" s="7">
        <v>43619.505904999998</v>
      </c>
      <c r="L666" s="4">
        <v>1861.2</v>
      </c>
      <c r="M666">
        <v>8.1</v>
      </c>
      <c r="N666">
        <v>23.89</v>
      </c>
      <c r="Q666">
        <v>2.7578583246626498</v>
      </c>
      <c r="R666" s="6">
        <v>-6.4840219128327303E-7</v>
      </c>
    </row>
    <row r="667" spans="1:18" x14ac:dyDescent="0.2">
      <c r="A667" t="s">
        <v>5</v>
      </c>
      <c r="B667">
        <v>1</v>
      </c>
      <c r="C667" t="s">
        <v>6</v>
      </c>
      <c r="D667" s="2">
        <v>43619</v>
      </c>
      <c r="E667" s="11">
        <v>154</v>
      </c>
      <c r="F667" s="3">
        <v>0.50903000000107568</v>
      </c>
      <c r="G667" s="3">
        <v>0.51249999999708962</v>
      </c>
      <c r="H667" s="13">
        <f t="shared" si="12"/>
        <v>154.50903000000108</v>
      </c>
      <c r="I667" s="13">
        <f t="shared" si="13"/>
        <v>154.51249999999709</v>
      </c>
      <c r="J667" s="13">
        <f t="shared" si="14"/>
        <v>154.51076499999908</v>
      </c>
      <c r="K667" s="7">
        <v>43619.510764999999</v>
      </c>
      <c r="L667" s="4">
        <v>1873.7</v>
      </c>
      <c r="N667">
        <v>23.89</v>
      </c>
      <c r="Q667">
        <v>1.95819047180419</v>
      </c>
      <c r="R667" s="6">
        <v>-3.6499136264077799E-7</v>
      </c>
    </row>
    <row r="668" spans="1:18" x14ac:dyDescent="0.2">
      <c r="A668" t="s">
        <v>5</v>
      </c>
      <c r="B668">
        <v>2</v>
      </c>
      <c r="C668" t="s">
        <v>4</v>
      </c>
      <c r="D668" s="2">
        <v>43619</v>
      </c>
      <c r="E668" s="11">
        <v>154</v>
      </c>
      <c r="F668" s="3">
        <v>0.51389000000199303</v>
      </c>
      <c r="G668" s="3">
        <v>0.51735999999800697</v>
      </c>
      <c r="H668" s="13">
        <f t="shared" si="12"/>
        <v>154.51389000000199</v>
      </c>
      <c r="I668" s="13">
        <f t="shared" si="13"/>
        <v>154.51735999999801</v>
      </c>
      <c r="J668" s="13">
        <f t="shared" si="14"/>
        <v>154.515625</v>
      </c>
      <c r="K668" s="7">
        <v>43619.515625</v>
      </c>
      <c r="L668" s="4">
        <v>1866.2</v>
      </c>
      <c r="M668">
        <v>11.3</v>
      </c>
      <c r="N668">
        <v>23.89</v>
      </c>
      <c r="Q668">
        <v>0.75510845517843195</v>
      </c>
      <c r="R668" s="6">
        <v>-1.7361616845597299E-7</v>
      </c>
    </row>
    <row r="669" spans="1:18" x14ac:dyDescent="0.2">
      <c r="A669" t="s">
        <v>5</v>
      </c>
      <c r="B669">
        <v>2</v>
      </c>
      <c r="C669" t="s">
        <v>6</v>
      </c>
      <c r="D669" s="2">
        <v>43619</v>
      </c>
      <c r="E669" s="11">
        <v>154</v>
      </c>
      <c r="F669" s="3">
        <v>0.51875000000291038</v>
      </c>
      <c r="G669" s="3">
        <v>0.52221999999892432</v>
      </c>
      <c r="H669" s="13">
        <f t="shared" si="12"/>
        <v>154.51875000000291</v>
      </c>
      <c r="I669" s="13">
        <f t="shared" si="13"/>
        <v>154.52221999999892</v>
      </c>
      <c r="J669" s="13">
        <f t="shared" si="14"/>
        <v>154.52048500000092</v>
      </c>
      <c r="K669" s="7">
        <v>43619.520485000001</v>
      </c>
      <c r="L669" s="4">
        <v>1883.7</v>
      </c>
      <c r="N669">
        <v>23.89</v>
      </c>
      <c r="Q669">
        <v>1.29450489248411</v>
      </c>
      <c r="R669" s="6">
        <v>-2.9900805639235103E-7</v>
      </c>
    </row>
    <row r="670" spans="1:18" x14ac:dyDescent="0.2">
      <c r="A670" t="s">
        <v>5</v>
      </c>
      <c r="B670">
        <v>3</v>
      </c>
      <c r="C670" t="s">
        <v>4</v>
      </c>
      <c r="D670" s="2">
        <v>43619</v>
      </c>
      <c r="E670" s="11">
        <v>154</v>
      </c>
      <c r="F670" s="3">
        <v>0.52360999999655178</v>
      </c>
      <c r="G670" s="3">
        <v>0.52707999999984168</v>
      </c>
      <c r="H670" s="13">
        <f t="shared" si="12"/>
        <v>154.52360999999655</v>
      </c>
      <c r="I670" s="13">
        <f t="shared" si="13"/>
        <v>154.52707999999984</v>
      </c>
      <c r="J670" s="13">
        <f t="shared" si="14"/>
        <v>154.5253449999982</v>
      </c>
      <c r="K670" s="7">
        <v>43619.525345000002</v>
      </c>
      <c r="L670" s="4">
        <v>1911.2</v>
      </c>
      <c r="M670">
        <v>8.1</v>
      </c>
      <c r="N670">
        <v>23.89</v>
      </c>
      <c r="Q670">
        <v>1.49755540710627</v>
      </c>
      <c r="R670" s="6">
        <v>-3.1991378025691702E-7</v>
      </c>
    </row>
    <row r="671" spans="1:18" x14ac:dyDescent="0.2">
      <c r="A671" t="s">
        <v>5</v>
      </c>
      <c r="B671">
        <v>3</v>
      </c>
      <c r="C671" t="s">
        <v>6</v>
      </c>
      <c r="D671" s="2">
        <v>43619</v>
      </c>
      <c r="E671" s="11">
        <v>154</v>
      </c>
      <c r="F671" s="3">
        <v>0.52846999999746913</v>
      </c>
      <c r="G671" s="3">
        <v>0.53194000000075903</v>
      </c>
      <c r="H671" s="13">
        <f t="shared" si="12"/>
        <v>154.52846999999747</v>
      </c>
      <c r="I671" s="13">
        <f t="shared" si="13"/>
        <v>154.53194000000076</v>
      </c>
      <c r="J671" s="13">
        <f t="shared" si="14"/>
        <v>154.53020499999911</v>
      </c>
      <c r="K671" s="7">
        <v>43619.530205000003</v>
      </c>
      <c r="L671" s="4">
        <v>1926.2</v>
      </c>
      <c r="N671">
        <v>23.89</v>
      </c>
      <c r="Q671">
        <v>1.3941380191738699</v>
      </c>
      <c r="R671" s="6">
        <v>-2.3888592288669597E-7</v>
      </c>
    </row>
    <row r="672" spans="1:18" x14ac:dyDescent="0.2">
      <c r="A672" t="s">
        <v>5</v>
      </c>
      <c r="B672">
        <v>4</v>
      </c>
      <c r="C672" t="s">
        <v>4</v>
      </c>
      <c r="D672" s="2">
        <v>43619</v>
      </c>
      <c r="E672" s="11">
        <v>154</v>
      </c>
      <c r="F672" s="3">
        <v>0.53332999999838648</v>
      </c>
      <c r="G672" s="3">
        <v>0.53680999999778578</v>
      </c>
      <c r="H672" s="13">
        <f t="shared" si="12"/>
        <v>154.53332999999839</v>
      </c>
      <c r="I672" s="13">
        <f t="shared" si="13"/>
        <v>154.53680999999779</v>
      </c>
      <c r="J672" s="13">
        <f t="shared" si="14"/>
        <v>154.53506999999809</v>
      </c>
      <c r="K672" s="7">
        <v>43619.535069999998</v>
      </c>
      <c r="L672" s="4">
        <v>1973.7</v>
      </c>
      <c r="M672">
        <v>12.4</v>
      </c>
      <c r="N672">
        <v>23.89</v>
      </c>
      <c r="Q672">
        <v>3.0281359853180598</v>
      </c>
      <c r="R672" s="6">
        <v>-6.3185191287007996E-7</v>
      </c>
    </row>
    <row r="673" spans="1:18" x14ac:dyDescent="0.2">
      <c r="A673" t="s">
        <v>5</v>
      </c>
      <c r="B673">
        <v>4</v>
      </c>
      <c r="C673" t="s">
        <v>6</v>
      </c>
      <c r="D673" s="2">
        <v>43619</v>
      </c>
      <c r="E673" s="11">
        <v>154</v>
      </c>
      <c r="F673" s="3">
        <v>0.53818999999930384</v>
      </c>
      <c r="G673" s="3">
        <v>0.54166999999870313</v>
      </c>
      <c r="H673" s="13">
        <f t="shared" si="12"/>
        <v>154.5381899999993</v>
      </c>
      <c r="I673" s="13">
        <f t="shared" si="13"/>
        <v>154.5416699999987</v>
      </c>
      <c r="J673" s="13">
        <f t="shared" si="14"/>
        <v>154.539929999999</v>
      </c>
      <c r="K673" s="7">
        <v>43619.539929999999</v>
      </c>
      <c r="L673" s="4">
        <v>1996.2</v>
      </c>
      <c r="N673">
        <v>23.89</v>
      </c>
      <c r="Q673">
        <v>3.1024756762219301</v>
      </c>
      <c r="R673" s="6">
        <v>-5.84957816466122E-7</v>
      </c>
    </row>
    <row r="674" spans="1:18" x14ac:dyDescent="0.2">
      <c r="A674" t="s">
        <v>5</v>
      </c>
      <c r="B674">
        <v>5</v>
      </c>
      <c r="C674" t="s">
        <v>4</v>
      </c>
      <c r="D674" s="2">
        <v>43619</v>
      </c>
      <c r="E674" s="11">
        <v>154</v>
      </c>
      <c r="F674" s="3">
        <v>0.54306000000360655</v>
      </c>
      <c r="G674" s="3">
        <v>0.54652999999962049</v>
      </c>
      <c r="H674" s="13">
        <f t="shared" si="12"/>
        <v>154.54306000000361</v>
      </c>
      <c r="I674" s="13">
        <f t="shared" si="13"/>
        <v>154.54652999999962</v>
      </c>
      <c r="J674" s="13">
        <f t="shared" si="14"/>
        <v>154.54479500000161</v>
      </c>
      <c r="K674" s="7">
        <v>43619.544795000002</v>
      </c>
      <c r="L674" s="4">
        <v>1968.7</v>
      </c>
      <c r="M674">
        <v>10.9</v>
      </c>
      <c r="N674">
        <v>23.89</v>
      </c>
      <c r="Q674">
        <v>2.55690406172653</v>
      </c>
      <c r="R674" s="6">
        <v>-5.1354503394131197E-7</v>
      </c>
    </row>
    <row r="675" spans="1:18" x14ac:dyDescent="0.2">
      <c r="A675" t="s">
        <v>5</v>
      </c>
      <c r="B675">
        <v>5</v>
      </c>
      <c r="C675" t="s">
        <v>6</v>
      </c>
      <c r="D675" s="2">
        <v>43619</v>
      </c>
      <c r="E675" s="11">
        <v>154</v>
      </c>
      <c r="F675" s="3">
        <v>0.54791999999724794</v>
      </c>
      <c r="G675" s="3">
        <v>0.55139000000053784</v>
      </c>
      <c r="H675" s="13">
        <f t="shared" si="12"/>
        <v>154.54791999999725</v>
      </c>
      <c r="I675" s="13">
        <f t="shared" si="13"/>
        <v>154.55139000000054</v>
      </c>
      <c r="J675" s="13">
        <f t="shared" si="14"/>
        <v>154.54965499999889</v>
      </c>
      <c r="K675" s="7">
        <v>43619.549654999995</v>
      </c>
      <c r="L675" s="4">
        <v>1896.2</v>
      </c>
      <c r="N675">
        <v>23.89</v>
      </c>
      <c r="Q675">
        <v>2.3827467662872901</v>
      </c>
      <c r="R675" s="6">
        <v>-4.5447947394993E-7</v>
      </c>
    </row>
    <row r="676" spans="1:18" x14ac:dyDescent="0.2">
      <c r="A676" t="s">
        <v>5</v>
      </c>
      <c r="B676">
        <v>1</v>
      </c>
      <c r="C676" t="s">
        <v>4</v>
      </c>
      <c r="D676" s="2">
        <v>43628</v>
      </c>
      <c r="E676" s="11">
        <v>163</v>
      </c>
      <c r="F676" s="3">
        <v>0.43125000000145519</v>
      </c>
      <c r="G676" s="3">
        <v>0.43471999999746913</v>
      </c>
      <c r="H676" s="13">
        <f t="shared" si="12"/>
        <v>163.43125000000146</v>
      </c>
      <c r="I676" s="13">
        <f t="shared" si="13"/>
        <v>163.43471999999747</v>
      </c>
      <c r="J676" s="13">
        <f t="shared" si="14"/>
        <v>163.43298499999946</v>
      </c>
      <c r="K676" s="7">
        <v>43628.432984999999</v>
      </c>
      <c r="L676" s="4">
        <v>1688.7</v>
      </c>
      <c r="M676">
        <v>17.5</v>
      </c>
      <c r="N676">
        <v>20.56</v>
      </c>
      <c r="Q676">
        <v>2.6500147717507101</v>
      </c>
      <c r="R676" s="6">
        <v>5.9420590588279199E-5</v>
      </c>
    </row>
    <row r="677" spans="1:18" x14ac:dyDescent="0.2">
      <c r="A677" t="s">
        <v>5</v>
      </c>
      <c r="B677">
        <v>1</v>
      </c>
      <c r="C677" t="s">
        <v>6</v>
      </c>
      <c r="D677" s="2">
        <v>43628</v>
      </c>
      <c r="E677" s="11">
        <v>163</v>
      </c>
      <c r="F677" s="3">
        <v>0.43611000000237254</v>
      </c>
      <c r="G677" s="3">
        <v>0.43957999999838648</v>
      </c>
      <c r="H677" s="13">
        <f t="shared" si="12"/>
        <v>163.43611000000237</v>
      </c>
      <c r="I677" s="13">
        <f t="shared" si="13"/>
        <v>163.43957999999839</v>
      </c>
      <c r="J677" s="13">
        <f t="shared" si="14"/>
        <v>163.43784500000038</v>
      </c>
      <c r="K677" s="7">
        <v>43628.437845</v>
      </c>
      <c r="L677" s="4">
        <v>1596.2</v>
      </c>
      <c r="N677">
        <v>20.56</v>
      </c>
      <c r="Q677">
        <v>2.6757370913115901</v>
      </c>
      <c r="R677">
        <v>-1.20051212430965E-4</v>
      </c>
    </row>
    <row r="678" spans="1:18" x14ac:dyDescent="0.2">
      <c r="A678" t="s">
        <v>5</v>
      </c>
      <c r="B678">
        <v>2</v>
      </c>
      <c r="C678" t="s">
        <v>4</v>
      </c>
      <c r="D678" s="2">
        <v>43628</v>
      </c>
      <c r="E678" s="11">
        <v>163</v>
      </c>
      <c r="F678" s="3">
        <v>0.4409700000032899</v>
      </c>
      <c r="G678" s="3">
        <v>0.44443999999930384</v>
      </c>
      <c r="H678" s="13">
        <f t="shared" si="12"/>
        <v>163.44097000000329</v>
      </c>
      <c r="I678" s="13">
        <f t="shared" si="13"/>
        <v>163.4444399999993</v>
      </c>
      <c r="J678" s="13">
        <f t="shared" si="14"/>
        <v>163.4427050000013</v>
      </c>
      <c r="K678" s="7">
        <v>43628.442705000001</v>
      </c>
      <c r="L678" s="4">
        <v>1741.2</v>
      </c>
      <c r="M678">
        <v>15.6</v>
      </c>
      <c r="N678">
        <v>20.56</v>
      </c>
      <c r="Q678">
        <v>-1.21915095724513</v>
      </c>
      <c r="R678" s="6">
        <v>1.07361665842544E-5</v>
      </c>
    </row>
    <row r="679" spans="1:18" x14ac:dyDescent="0.2">
      <c r="A679" t="s">
        <v>5</v>
      </c>
      <c r="B679">
        <v>2</v>
      </c>
      <c r="C679" t="s">
        <v>6</v>
      </c>
      <c r="D679" s="2">
        <v>43628</v>
      </c>
      <c r="E679" s="11">
        <v>163</v>
      </c>
      <c r="F679" s="3">
        <v>0.44582999999693129</v>
      </c>
      <c r="G679" s="3">
        <v>0.44931000000360655</v>
      </c>
      <c r="H679" s="13">
        <f t="shared" si="12"/>
        <v>163.44582999999693</v>
      </c>
      <c r="I679" s="13">
        <f t="shared" si="13"/>
        <v>163.44931000000361</v>
      </c>
      <c r="J679" s="13">
        <f t="shared" si="14"/>
        <v>163.44757000000027</v>
      </c>
      <c r="K679" s="7">
        <v>43628.447570000004</v>
      </c>
      <c r="L679" s="4">
        <v>1781.2</v>
      </c>
      <c r="N679">
        <v>20.56</v>
      </c>
      <c r="Q679">
        <v>2.9512285652323298</v>
      </c>
      <c r="R679" s="6">
        <v>6.6734671230753205E-5</v>
      </c>
    </row>
    <row r="680" spans="1:18" x14ac:dyDescent="0.2">
      <c r="A680" t="s">
        <v>5</v>
      </c>
      <c r="B680">
        <v>3</v>
      </c>
      <c r="C680" t="s">
        <v>4</v>
      </c>
      <c r="D680" s="2">
        <v>43628</v>
      </c>
      <c r="E680" s="11">
        <v>163</v>
      </c>
      <c r="F680" s="3">
        <v>0.45068999999784864</v>
      </c>
      <c r="G680" s="3">
        <v>0.45416999999724794</v>
      </c>
      <c r="H680" s="13">
        <f t="shared" si="12"/>
        <v>163.45068999999785</v>
      </c>
      <c r="I680" s="13">
        <f t="shared" si="13"/>
        <v>163.45416999999725</v>
      </c>
      <c r="J680" s="13">
        <f t="shared" si="14"/>
        <v>163.45242999999755</v>
      </c>
      <c r="K680" s="7">
        <v>43628.452429999998</v>
      </c>
      <c r="L680" s="4">
        <v>1798.7</v>
      </c>
      <c r="M680">
        <v>15.9</v>
      </c>
      <c r="N680">
        <v>20.56</v>
      </c>
      <c r="Q680">
        <v>2.5328920818305201</v>
      </c>
      <c r="R680">
        <v>2.3536841909975199E-4</v>
      </c>
    </row>
    <row r="681" spans="1:18" x14ac:dyDescent="0.2">
      <c r="A681" t="s">
        <v>5</v>
      </c>
      <c r="B681">
        <v>3</v>
      </c>
      <c r="C681" t="s">
        <v>6</v>
      </c>
      <c r="D681" s="2">
        <v>43628</v>
      </c>
      <c r="E681" s="11">
        <v>163</v>
      </c>
      <c r="F681" s="3">
        <v>0.45556000000215136</v>
      </c>
      <c r="G681" s="3">
        <v>0.45902999999816529</v>
      </c>
      <c r="H681" s="13">
        <f t="shared" si="12"/>
        <v>163.45556000000215</v>
      </c>
      <c r="I681" s="13">
        <f t="shared" si="13"/>
        <v>163.45902999999817</v>
      </c>
      <c r="J681" s="13">
        <f t="shared" si="14"/>
        <v>163.45729500000016</v>
      </c>
      <c r="K681" s="7">
        <v>43628.457295</v>
      </c>
      <c r="L681" s="4">
        <v>1816.2</v>
      </c>
      <c r="N681">
        <v>20.56</v>
      </c>
      <c r="Q681">
        <v>2.6857262979572898</v>
      </c>
      <c r="R681">
        <v>1.5656499231745701E-4</v>
      </c>
    </row>
    <row r="682" spans="1:18" x14ac:dyDescent="0.2">
      <c r="A682" t="s">
        <v>5</v>
      </c>
      <c r="B682">
        <v>4</v>
      </c>
      <c r="C682" t="s">
        <v>4</v>
      </c>
      <c r="D682" s="2">
        <v>43628</v>
      </c>
      <c r="E682" s="11">
        <v>163</v>
      </c>
      <c r="F682" s="3">
        <v>0.46042000000306871</v>
      </c>
      <c r="G682" s="3">
        <v>0.46388999999908265</v>
      </c>
      <c r="H682" s="13">
        <f t="shared" si="12"/>
        <v>163.46042000000307</v>
      </c>
      <c r="I682" s="13">
        <f t="shared" si="13"/>
        <v>163.46388999999908</v>
      </c>
      <c r="J682" s="13">
        <f t="shared" si="14"/>
        <v>163.46215500000108</v>
      </c>
      <c r="K682" s="7">
        <v>43628.462155000001</v>
      </c>
      <c r="L682" s="4">
        <v>1671.2</v>
      </c>
      <c r="M682">
        <v>15.8</v>
      </c>
      <c r="N682">
        <v>20.56</v>
      </c>
      <c r="Q682">
        <v>2.6951723746226199</v>
      </c>
      <c r="R682">
        <v>2.6041311713171001E-4</v>
      </c>
    </row>
    <row r="683" spans="1:18" x14ac:dyDescent="0.2">
      <c r="A683" t="s">
        <v>5</v>
      </c>
      <c r="B683">
        <v>4</v>
      </c>
      <c r="C683" t="s">
        <v>6</v>
      </c>
      <c r="D683" s="2">
        <v>43628</v>
      </c>
      <c r="E683" s="11">
        <v>163</v>
      </c>
      <c r="F683" s="3">
        <v>0.4652799999967101</v>
      </c>
      <c r="G683" s="3">
        <v>0.46875</v>
      </c>
      <c r="H683" s="13">
        <f t="shared" si="12"/>
        <v>163.46527999999671</v>
      </c>
      <c r="I683" s="13">
        <f t="shared" si="13"/>
        <v>163.46875</v>
      </c>
      <c r="J683" s="13">
        <f t="shared" si="14"/>
        <v>163.46701499999836</v>
      </c>
      <c r="K683" s="7">
        <v>43628.467015000002</v>
      </c>
      <c r="L683" s="4">
        <v>1876.2</v>
      </c>
      <c r="N683">
        <v>20.56</v>
      </c>
      <c r="Q683">
        <v>3.3968324230095002</v>
      </c>
      <c r="R683" s="6">
        <v>2.5636873377042501E-5</v>
      </c>
    </row>
    <row r="684" spans="1:18" x14ac:dyDescent="0.2">
      <c r="A684" t="s">
        <v>5</v>
      </c>
      <c r="B684">
        <v>5</v>
      </c>
      <c r="C684" t="s">
        <v>4</v>
      </c>
      <c r="D684" s="2">
        <v>43628</v>
      </c>
      <c r="E684" s="11">
        <v>163</v>
      </c>
      <c r="F684" s="3">
        <v>0.47013999999762746</v>
      </c>
      <c r="G684" s="3">
        <v>0.47361000000091735</v>
      </c>
      <c r="H684" s="13">
        <f t="shared" si="12"/>
        <v>163.47013999999763</v>
      </c>
      <c r="I684" s="13">
        <f t="shared" si="13"/>
        <v>163.47361000000092</v>
      </c>
      <c r="J684" s="13">
        <f t="shared" si="14"/>
        <v>163.47187499999927</v>
      </c>
      <c r="K684" s="7">
        <v>43628.471875000003</v>
      </c>
      <c r="L684" s="4">
        <v>1923.7</v>
      </c>
      <c r="M684">
        <v>14.8</v>
      </c>
      <c r="N684">
        <v>20.56</v>
      </c>
      <c r="Q684">
        <v>2.5707924294207198</v>
      </c>
      <c r="R684" s="6">
        <v>5.1308662851752298E-5</v>
      </c>
    </row>
    <row r="685" spans="1:18" x14ac:dyDescent="0.2">
      <c r="A685" t="s">
        <v>5</v>
      </c>
      <c r="B685">
        <v>5</v>
      </c>
      <c r="C685" t="s">
        <v>6</v>
      </c>
      <c r="D685" s="2">
        <v>43628</v>
      </c>
      <c r="E685" s="11">
        <v>163</v>
      </c>
      <c r="F685" s="3">
        <v>0.47499999999854481</v>
      </c>
      <c r="G685" s="3">
        <v>0.47847000000183471</v>
      </c>
      <c r="H685" s="13">
        <f t="shared" si="12"/>
        <v>163.47499999999854</v>
      </c>
      <c r="I685" s="13">
        <f t="shared" si="13"/>
        <v>163.47847000000183</v>
      </c>
      <c r="J685" s="13">
        <f t="shared" si="14"/>
        <v>163.47673500000019</v>
      </c>
      <c r="K685" s="7">
        <v>43628.476735000004</v>
      </c>
      <c r="L685" s="4">
        <v>1788.7</v>
      </c>
      <c r="N685">
        <v>20.56</v>
      </c>
      <c r="Q685">
        <v>2.4330886446309501</v>
      </c>
      <c r="R685">
        <v>-1.4424197107566601E-4</v>
      </c>
    </row>
    <row r="686" spans="1:18" x14ac:dyDescent="0.2">
      <c r="A686" t="s">
        <v>5</v>
      </c>
      <c r="B686">
        <v>1</v>
      </c>
      <c r="C686" t="s">
        <v>4</v>
      </c>
      <c r="D686" s="2">
        <v>43628</v>
      </c>
      <c r="E686" s="11">
        <v>163</v>
      </c>
      <c r="F686" s="3">
        <v>0.51458000000275206</v>
      </c>
      <c r="G686" s="3">
        <v>0.51806000000215136</v>
      </c>
      <c r="H686" s="13">
        <f t="shared" si="12"/>
        <v>163.51458000000275</v>
      </c>
      <c r="I686" s="13">
        <f t="shared" si="13"/>
        <v>163.51806000000215</v>
      </c>
      <c r="J686" s="13">
        <f t="shared" si="14"/>
        <v>163.51632000000245</v>
      </c>
      <c r="K686" s="7">
        <v>43628.516320000002</v>
      </c>
      <c r="L686" s="4">
        <v>1886.2</v>
      </c>
      <c r="M686">
        <v>14.4</v>
      </c>
      <c r="N686">
        <v>23.33</v>
      </c>
      <c r="Q686">
        <v>3.1371016852491298</v>
      </c>
      <c r="R686" s="6">
        <v>-3.3928608777458997E-5</v>
      </c>
    </row>
    <row r="687" spans="1:18" x14ac:dyDescent="0.2">
      <c r="A687" t="s">
        <v>5</v>
      </c>
      <c r="B687">
        <v>1</v>
      </c>
      <c r="C687" t="s">
        <v>6</v>
      </c>
      <c r="D687" s="2">
        <v>43628</v>
      </c>
      <c r="E687" s="11">
        <v>163</v>
      </c>
      <c r="F687" s="3">
        <v>0.51943999999639345</v>
      </c>
      <c r="G687" s="3">
        <v>0.52292000000306871</v>
      </c>
      <c r="H687" s="13">
        <f t="shared" si="12"/>
        <v>163.51943999999639</v>
      </c>
      <c r="I687" s="13">
        <f t="shared" si="13"/>
        <v>163.52292000000307</v>
      </c>
      <c r="J687" s="13">
        <f t="shared" si="14"/>
        <v>163.52117999999973</v>
      </c>
      <c r="K687" s="7">
        <v>43628.521179999996</v>
      </c>
      <c r="L687" s="4">
        <v>1791.2</v>
      </c>
      <c r="N687">
        <v>23.33</v>
      </c>
      <c r="Q687">
        <v>2.8350451823087899</v>
      </c>
      <c r="R687" s="6">
        <v>-5.2835552838582799E-5</v>
      </c>
    </row>
    <row r="688" spans="1:18" x14ac:dyDescent="0.2">
      <c r="A688" t="s">
        <v>5</v>
      </c>
      <c r="B688">
        <v>2</v>
      </c>
      <c r="C688" t="s">
        <v>4</v>
      </c>
      <c r="D688" s="2">
        <v>43628</v>
      </c>
      <c r="E688" s="11">
        <v>163</v>
      </c>
      <c r="F688" s="3">
        <v>0.52431000000069616</v>
      </c>
      <c r="G688" s="3">
        <v>0.5277799999967101</v>
      </c>
      <c r="H688" s="13">
        <f t="shared" si="12"/>
        <v>163.5243100000007</v>
      </c>
      <c r="I688" s="13">
        <f t="shared" si="13"/>
        <v>163.52777999999671</v>
      </c>
      <c r="J688" s="13">
        <f t="shared" si="14"/>
        <v>163.5260449999987</v>
      </c>
      <c r="K688" s="7">
        <v>43628.526044999999</v>
      </c>
      <c r="L688" s="4">
        <v>1981.2</v>
      </c>
      <c r="M688">
        <v>14.6</v>
      </c>
      <c r="N688">
        <v>23.33</v>
      </c>
      <c r="Q688">
        <v>-0.931481752609156</v>
      </c>
      <c r="R688" s="6">
        <v>-7.4512583247780606E-5</v>
      </c>
    </row>
    <row r="689" spans="1:18" x14ac:dyDescent="0.2">
      <c r="A689" t="s">
        <v>5</v>
      </c>
      <c r="B689">
        <v>2</v>
      </c>
      <c r="C689" t="s">
        <v>6</v>
      </c>
      <c r="D689" s="2">
        <v>43628</v>
      </c>
      <c r="E689" s="11">
        <v>163</v>
      </c>
      <c r="F689" s="3">
        <v>0.52917000000161352</v>
      </c>
      <c r="G689" s="3">
        <v>0.53263999999762746</v>
      </c>
      <c r="H689" s="13">
        <f t="shared" si="12"/>
        <v>163.52917000000161</v>
      </c>
      <c r="I689" s="13">
        <f t="shared" si="13"/>
        <v>163.53263999999763</v>
      </c>
      <c r="J689" s="13">
        <f t="shared" si="14"/>
        <v>163.53090499999962</v>
      </c>
      <c r="K689" s="7">
        <v>43628.530905</v>
      </c>
      <c r="L689" s="4">
        <v>1846.2</v>
      </c>
      <c r="N689">
        <v>23.33</v>
      </c>
      <c r="Q689">
        <v>3.7817155345314899</v>
      </c>
      <c r="R689" s="6">
        <v>4.93910720007457E-5</v>
      </c>
    </row>
    <row r="690" spans="1:18" x14ac:dyDescent="0.2">
      <c r="A690" t="s">
        <v>5</v>
      </c>
      <c r="B690">
        <v>3</v>
      </c>
      <c r="C690" t="s">
        <v>4</v>
      </c>
      <c r="D690" s="2">
        <v>43628</v>
      </c>
      <c r="E690" s="11">
        <v>163</v>
      </c>
      <c r="F690" s="3">
        <v>0.53403000000253087</v>
      </c>
      <c r="G690" s="3">
        <v>0.53749999999854481</v>
      </c>
      <c r="H690" s="13">
        <f t="shared" si="12"/>
        <v>163.53403000000253</v>
      </c>
      <c r="I690" s="13">
        <f t="shared" si="13"/>
        <v>163.53749999999854</v>
      </c>
      <c r="J690" s="13">
        <f t="shared" si="14"/>
        <v>163.53576500000054</v>
      </c>
      <c r="K690" s="7">
        <v>43628.535765000001</v>
      </c>
      <c r="L690" s="4">
        <v>1948.7</v>
      </c>
      <c r="M690">
        <v>14.7</v>
      </c>
      <c r="N690">
        <v>23.33</v>
      </c>
      <c r="Q690">
        <v>3.0337382688639098</v>
      </c>
      <c r="R690" s="6">
        <v>6.3392316855608705E-5</v>
      </c>
    </row>
    <row r="691" spans="1:18" x14ac:dyDescent="0.2">
      <c r="A691" t="s">
        <v>5</v>
      </c>
      <c r="B691">
        <v>3</v>
      </c>
      <c r="C691" t="s">
        <v>6</v>
      </c>
      <c r="D691" s="2">
        <v>43628</v>
      </c>
      <c r="E691" s="11">
        <v>163</v>
      </c>
      <c r="F691" s="3">
        <v>0.53889000000344822</v>
      </c>
      <c r="G691" s="3">
        <v>0.54235999999946216</v>
      </c>
      <c r="H691" s="13">
        <f t="shared" si="12"/>
        <v>163.53889000000345</v>
      </c>
      <c r="I691" s="13">
        <f t="shared" si="13"/>
        <v>163.54235999999946</v>
      </c>
      <c r="J691" s="13">
        <f t="shared" si="14"/>
        <v>163.54062500000146</v>
      </c>
      <c r="K691" s="7">
        <v>43628.540625000001</v>
      </c>
      <c r="L691" s="4">
        <v>1896.2</v>
      </c>
      <c r="N691">
        <v>23.33</v>
      </c>
      <c r="Q691">
        <v>3.0513663723580602</v>
      </c>
      <c r="R691">
        <v>-4.0373803606397798E-4</v>
      </c>
    </row>
    <row r="692" spans="1:18" x14ac:dyDescent="0.2">
      <c r="A692" t="s">
        <v>5</v>
      </c>
      <c r="B692">
        <v>4</v>
      </c>
      <c r="C692" t="s">
        <v>4</v>
      </c>
      <c r="D692" s="2">
        <v>43628</v>
      </c>
      <c r="E692" s="11">
        <v>163</v>
      </c>
      <c r="F692" s="3">
        <v>0.54374999999708962</v>
      </c>
      <c r="G692" s="3">
        <v>0.54722000000037951</v>
      </c>
      <c r="H692" s="13">
        <f t="shared" si="12"/>
        <v>163.54374999999709</v>
      </c>
      <c r="I692" s="13">
        <f t="shared" si="13"/>
        <v>163.54722000000038</v>
      </c>
      <c r="J692" s="13">
        <f t="shared" si="14"/>
        <v>163.54548499999873</v>
      </c>
      <c r="K692" s="7">
        <v>43628.545484999995</v>
      </c>
      <c r="L692" s="4">
        <v>1963.7</v>
      </c>
      <c r="M692">
        <v>15.6</v>
      </c>
      <c r="N692">
        <v>23.33</v>
      </c>
      <c r="Q692">
        <v>2.9396794740970802</v>
      </c>
      <c r="R692">
        <v>4.8224806989092102E-4</v>
      </c>
    </row>
    <row r="693" spans="1:18" x14ac:dyDescent="0.2">
      <c r="A693" t="s">
        <v>5</v>
      </c>
      <c r="B693">
        <v>4</v>
      </c>
      <c r="C693" t="s">
        <v>6</v>
      </c>
      <c r="D693" s="2">
        <v>43628</v>
      </c>
      <c r="E693" s="11">
        <v>163</v>
      </c>
      <c r="F693" s="3">
        <v>0.54860999999800697</v>
      </c>
      <c r="G693" s="3">
        <v>0.55208000000129687</v>
      </c>
      <c r="H693" s="13">
        <f t="shared" si="12"/>
        <v>163.54860999999801</v>
      </c>
      <c r="I693" s="13">
        <f t="shared" si="13"/>
        <v>163.5520800000013</v>
      </c>
      <c r="J693" s="13">
        <f t="shared" si="14"/>
        <v>163.55034499999965</v>
      </c>
      <c r="K693" s="7">
        <v>43628.550344999996</v>
      </c>
      <c r="L693" s="4">
        <v>1978.7</v>
      </c>
      <c r="N693">
        <v>23.33</v>
      </c>
      <c r="Q693">
        <v>3.1497670429993501</v>
      </c>
      <c r="R693">
        <v>2.4149000043927101E-4</v>
      </c>
    </row>
    <row r="694" spans="1:18" x14ac:dyDescent="0.2">
      <c r="A694" t="s">
        <v>5</v>
      </c>
      <c r="B694">
        <v>5</v>
      </c>
      <c r="C694" t="s">
        <v>4</v>
      </c>
      <c r="D694" s="2">
        <v>43628</v>
      </c>
      <c r="E694" s="11">
        <v>163</v>
      </c>
      <c r="F694" s="3">
        <v>0.55346999999892432</v>
      </c>
      <c r="G694" s="3">
        <v>0.55694000000221422</v>
      </c>
      <c r="H694" s="13">
        <f t="shared" si="12"/>
        <v>163.55346999999892</v>
      </c>
      <c r="I694" s="13">
        <f t="shared" si="13"/>
        <v>163.55694000000221</v>
      </c>
      <c r="J694" s="13">
        <f t="shared" si="14"/>
        <v>163.55520500000057</v>
      </c>
      <c r="K694" s="7">
        <v>43628.555204999997</v>
      </c>
      <c r="L694" s="4">
        <v>1951.2</v>
      </c>
      <c r="M694">
        <v>17.899999999999999</v>
      </c>
      <c r="N694">
        <v>23.33</v>
      </c>
      <c r="Q694">
        <v>3.0718411163730899</v>
      </c>
      <c r="R694">
        <v>3.1732052125227101E-4</v>
      </c>
    </row>
    <row r="695" spans="1:18" x14ac:dyDescent="0.2">
      <c r="A695" t="s">
        <v>5</v>
      </c>
      <c r="B695">
        <v>5</v>
      </c>
      <c r="C695" t="s">
        <v>6</v>
      </c>
      <c r="D695" s="2">
        <v>43628</v>
      </c>
      <c r="E695" s="11">
        <v>163</v>
      </c>
      <c r="F695" s="3">
        <v>0.55832999999984168</v>
      </c>
      <c r="G695" s="3">
        <v>0.56180999999924097</v>
      </c>
      <c r="H695" s="13">
        <f t="shared" si="12"/>
        <v>163.55832999999984</v>
      </c>
      <c r="I695" s="13">
        <f t="shared" si="13"/>
        <v>163.56180999999924</v>
      </c>
      <c r="J695" s="13">
        <f t="shared" si="14"/>
        <v>163.56006999999954</v>
      </c>
      <c r="K695" s="7">
        <v>43628.56007</v>
      </c>
      <c r="L695" s="4">
        <v>1866.2</v>
      </c>
      <c r="N695">
        <v>23.33</v>
      </c>
      <c r="Q695">
        <v>2.9135837995326699</v>
      </c>
      <c r="R695">
        <v>3.02269780729328E-4</v>
      </c>
    </row>
    <row r="696" spans="1:18" x14ac:dyDescent="0.2">
      <c r="A696" t="s">
        <v>5</v>
      </c>
      <c r="B696">
        <v>1</v>
      </c>
      <c r="C696" t="s">
        <v>4</v>
      </c>
      <c r="D696" s="2">
        <v>43640</v>
      </c>
      <c r="E696" s="11">
        <v>175</v>
      </c>
      <c r="F696" s="3">
        <v>0.41528000000107568</v>
      </c>
      <c r="G696" s="3">
        <v>0.41874999999708962</v>
      </c>
      <c r="H696" s="13">
        <f t="shared" si="12"/>
        <v>175.41528000000108</v>
      </c>
      <c r="I696" s="13">
        <f t="shared" si="13"/>
        <v>175.41874999999709</v>
      </c>
      <c r="J696" s="13">
        <f t="shared" si="14"/>
        <v>175.41701499999908</v>
      </c>
      <c r="K696" s="7">
        <v>43640.417014999999</v>
      </c>
      <c r="L696" s="4">
        <v>1578.7</v>
      </c>
      <c r="M696">
        <v>14.9</v>
      </c>
      <c r="N696">
        <v>21.67</v>
      </c>
      <c r="Q696">
        <v>1.7329797544193699</v>
      </c>
      <c r="R696">
        <v>1.20882546971765E-2</v>
      </c>
    </row>
    <row r="697" spans="1:18" x14ac:dyDescent="0.2">
      <c r="A697" t="s">
        <v>5</v>
      </c>
      <c r="B697">
        <v>1</v>
      </c>
      <c r="C697" t="s">
        <v>6</v>
      </c>
      <c r="D697" s="2">
        <v>43640</v>
      </c>
      <c r="E697" s="11">
        <v>175</v>
      </c>
      <c r="F697" s="3">
        <v>0.42014000000199303</v>
      </c>
      <c r="G697" s="3">
        <v>0.42360999999800697</v>
      </c>
      <c r="H697" s="13">
        <f t="shared" si="12"/>
        <v>175.42014000000199</v>
      </c>
      <c r="I697" s="13">
        <f t="shared" si="13"/>
        <v>175.42360999999801</v>
      </c>
      <c r="J697" s="13">
        <f t="shared" si="14"/>
        <v>175.421875</v>
      </c>
      <c r="K697" s="7">
        <v>43640.421875</v>
      </c>
      <c r="L697" s="4">
        <v>1711.2</v>
      </c>
      <c r="N697">
        <v>21.67</v>
      </c>
      <c r="Q697">
        <v>1.66992595428059</v>
      </c>
      <c r="R697">
        <v>1.01009735672131E-2</v>
      </c>
    </row>
    <row r="698" spans="1:18" x14ac:dyDescent="0.2">
      <c r="A698" t="s">
        <v>5</v>
      </c>
      <c r="B698">
        <v>2</v>
      </c>
      <c r="C698" t="s">
        <v>4</v>
      </c>
      <c r="D698" s="2">
        <v>43640</v>
      </c>
      <c r="E698" s="11">
        <v>175</v>
      </c>
      <c r="F698" s="3">
        <v>0.42500000000291038</v>
      </c>
      <c r="G698" s="3">
        <v>0.42846999999892432</v>
      </c>
      <c r="H698" s="13">
        <f t="shared" si="12"/>
        <v>175.42500000000291</v>
      </c>
      <c r="I698" s="13">
        <f t="shared" si="13"/>
        <v>175.42846999999892</v>
      </c>
      <c r="J698" s="13">
        <f t="shared" si="14"/>
        <v>175.42673500000092</v>
      </c>
      <c r="K698" s="7">
        <v>43640.426735000001</v>
      </c>
      <c r="L698" s="4">
        <v>1718.7</v>
      </c>
      <c r="M698">
        <v>13.2</v>
      </c>
      <c r="N698">
        <v>21.67</v>
      </c>
      <c r="Q698">
        <v>-7.7099690143758197</v>
      </c>
      <c r="R698">
        <v>2.49865913950446E-2</v>
      </c>
    </row>
    <row r="699" spans="1:18" x14ac:dyDescent="0.2">
      <c r="A699" t="s">
        <v>5</v>
      </c>
      <c r="B699">
        <v>2</v>
      </c>
      <c r="C699" t="s">
        <v>6</v>
      </c>
      <c r="D699" s="2">
        <v>43640</v>
      </c>
      <c r="E699" s="11">
        <v>175</v>
      </c>
      <c r="F699" s="3">
        <v>0.42985999999655178</v>
      </c>
      <c r="G699" s="3">
        <v>0.43332999999984168</v>
      </c>
      <c r="H699" s="13">
        <f t="shared" ref="H699:H762" si="15">E699+F699</f>
        <v>175.42985999999655</v>
      </c>
      <c r="I699" s="13">
        <f t="shared" ref="I699:I762" si="16">E699+G699</f>
        <v>175.43332999999984</v>
      </c>
      <c r="J699" s="13">
        <f t="shared" ref="J699:J762" si="17">AVERAGE(H699:I699)</f>
        <v>175.4315949999982</v>
      </c>
      <c r="K699" s="7">
        <v>43640.431595000002</v>
      </c>
      <c r="L699" s="4">
        <v>1438.7</v>
      </c>
      <c r="N699">
        <v>21.67</v>
      </c>
      <c r="Q699">
        <v>3.9770616108335699</v>
      </c>
      <c r="R699">
        <v>1.28979518726945E-3</v>
      </c>
    </row>
    <row r="700" spans="1:18" x14ac:dyDescent="0.2">
      <c r="A700" t="s">
        <v>5</v>
      </c>
      <c r="B700">
        <v>3</v>
      </c>
      <c r="C700" t="s">
        <v>4</v>
      </c>
      <c r="D700" s="2">
        <v>43640</v>
      </c>
      <c r="E700" s="11">
        <v>175</v>
      </c>
      <c r="F700" s="3">
        <v>0.43471999999746913</v>
      </c>
      <c r="G700" s="3">
        <v>0.43819000000075903</v>
      </c>
      <c r="H700" s="13">
        <f t="shared" si="15"/>
        <v>175.43471999999747</v>
      </c>
      <c r="I700" s="13">
        <f t="shared" si="16"/>
        <v>175.43819000000076</v>
      </c>
      <c r="J700" s="13">
        <f t="shared" si="17"/>
        <v>175.43645499999911</v>
      </c>
      <c r="K700" s="7">
        <v>43640.436455000003</v>
      </c>
      <c r="L700" s="4">
        <v>1603.7</v>
      </c>
      <c r="M700">
        <v>10</v>
      </c>
      <c r="N700">
        <v>21.67</v>
      </c>
      <c r="Q700">
        <v>1.7912197556929199</v>
      </c>
      <c r="R700">
        <v>1.6727051840775001E-2</v>
      </c>
    </row>
    <row r="701" spans="1:18" x14ac:dyDescent="0.2">
      <c r="A701" t="s">
        <v>5</v>
      </c>
      <c r="B701">
        <v>3</v>
      </c>
      <c r="C701" t="s">
        <v>6</v>
      </c>
      <c r="D701" s="2">
        <v>43640</v>
      </c>
      <c r="E701" s="11">
        <v>175</v>
      </c>
      <c r="F701" s="3">
        <v>0.43957999999838648</v>
      </c>
      <c r="G701" s="3">
        <v>0.44305999999778578</v>
      </c>
      <c r="H701" s="13">
        <f t="shared" si="15"/>
        <v>175.43957999999839</v>
      </c>
      <c r="I701" s="13">
        <f t="shared" si="16"/>
        <v>175.44305999999779</v>
      </c>
      <c r="J701" s="13">
        <f t="shared" si="17"/>
        <v>175.44131999999809</v>
      </c>
      <c r="K701" s="7">
        <v>43640.441319999998</v>
      </c>
      <c r="L701" s="4">
        <v>1341.2</v>
      </c>
      <c r="N701">
        <v>21.67</v>
      </c>
      <c r="Q701">
        <v>1.67747054824004</v>
      </c>
      <c r="R701">
        <v>1.13618881767041E-2</v>
      </c>
    </row>
    <row r="702" spans="1:18" x14ac:dyDescent="0.2">
      <c r="A702" t="s">
        <v>5</v>
      </c>
      <c r="B702">
        <v>4</v>
      </c>
      <c r="C702" t="s">
        <v>4</v>
      </c>
      <c r="D702" s="2">
        <v>43640</v>
      </c>
      <c r="E702" s="11">
        <v>175</v>
      </c>
      <c r="F702" s="3">
        <v>0.44443999999930384</v>
      </c>
      <c r="G702" s="3">
        <v>0.44791999999870313</v>
      </c>
      <c r="H702" s="13">
        <f t="shared" si="15"/>
        <v>175.4444399999993</v>
      </c>
      <c r="I702" s="13">
        <f t="shared" si="16"/>
        <v>175.4479199999987</v>
      </c>
      <c r="J702" s="13">
        <f t="shared" si="17"/>
        <v>175.446179999999</v>
      </c>
      <c r="K702" s="7">
        <v>43640.446179999999</v>
      </c>
      <c r="L702" s="4">
        <v>1718.7</v>
      </c>
      <c r="M702">
        <v>15.2</v>
      </c>
      <c r="N702">
        <v>21.67</v>
      </c>
      <c r="Q702">
        <v>0.30958007834530699</v>
      </c>
      <c r="R702">
        <v>2.00840343826529E-2</v>
      </c>
    </row>
    <row r="703" spans="1:18" x14ac:dyDescent="0.2">
      <c r="A703" t="s">
        <v>5</v>
      </c>
      <c r="B703">
        <v>4</v>
      </c>
      <c r="C703" t="s">
        <v>6</v>
      </c>
      <c r="D703" s="2">
        <v>43640</v>
      </c>
      <c r="E703" s="11">
        <v>175</v>
      </c>
      <c r="F703" s="3">
        <v>0.44931000000360655</v>
      </c>
      <c r="G703" s="3">
        <v>0.45277999999962049</v>
      </c>
      <c r="H703" s="13">
        <f t="shared" si="15"/>
        <v>175.44931000000361</v>
      </c>
      <c r="I703" s="13">
        <f t="shared" si="16"/>
        <v>175.45277999999962</v>
      </c>
      <c r="J703" s="13">
        <f t="shared" si="17"/>
        <v>175.45104500000161</v>
      </c>
      <c r="K703" s="7">
        <v>43640.451045000002</v>
      </c>
      <c r="L703" s="4">
        <v>1881.2</v>
      </c>
      <c r="N703">
        <v>21.67</v>
      </c>
      <c r="Q703">
        <v>2.3928205110565601</v>
      </c>
      <c r="R703">
        <v>1.44804592372124E-2</v>
      </c>
    </row>
    <row r="704" spans="1:18" x14ac:dyDescent="0.2">
      <c r="A704" t="s">
        <v>5</v>
      </c>
      <c r="B704">
        <v>5</v>
      </c>
      <c r="C704" t="s">
        <v>4</v>
      </c>
      <c r="D704" s="2">
        <v>43640</v>
      </c>
      <c r="E704" s="11">
        <v>175</v>
      </c>
      <c r="F704" s="3">
        <v>0.45416999999724794</v>
      </c>
      <c r="G704" s="3">
        <v>0.45764000000053784</v>
      </c>
      <c r="H704" s="13">
        <f t="shared" si="15"/>
        <v>175.45416999999725</v>
      </c>
      <c r="I704" s="13">
        <f t="shared" si="16"/>
        <v>175.45764000000054</v>
      </c>
      <c r="J704" s="13">
        <f t="shared" si="17"/>
        <v>175.45590499999889</v>
      </c>
      <c r="K704" s="7">
        <v>43640.455904999995</v>
      </c>
      <c r="L704" s="4">
        <v>1753.7</v>
      </c>
      <c r="M704">
        <v>14.4</v>
      </c>
      <c r="N704">
        <v>21.67</v>
      </c>
      <c r="Q704">
        <v>1.91247639442786</v>
      </c>
      <c r="R704">
        <v>2.0805261625220901E-2</v>
      </c>
    </row>
    <row r="705" spans="1:18" x14ac:dyDescent="0.2">
      <c r="A705" t="s">
        <v>5</v>
      </c>
      <c r="B705">
        <v>5</v>
      </c>
      <c r="C705" t="s">
        <v>6</v>
      </c>
      <c r="D705" s="2">
        <v>43640</v>
      </c>
      <c r="E705" s="11">
        <v>175</v>
      </c>
      <c r="F705" s="3">
        <v>0.45902999999816529</v>
      </c>
      <c r="G705" s="3">
        <v>0.46250000000145519</v>
      </c>
      <c r="H705" s="13">
        <f t="shared" si="15"/>
        <v>175.45902999999817</v>
      </c>
      <c r="I705" s="13">
        <f t="shared" si="16"/>
        <v>175.46250000000146</v>
      </c>
      <c r="J705" s="13">
        <f t="shared" si="17"/>
        <v>175.46076499999981</v>
      </c>
      <c r="K705" s="7">
        <v>43640.460764999996</v>
      </c>
      <c r="L705" s="4">
        <v>33.700000000000003</v>
      </c>
      <c r="N705">
        <v>21.67</v>
      </c>
      <c r="Q705">
        <v>2.0138267991861598</v>
      </c>
      <c r="R705">
        <v>1.16879763521801E-2</v>
      </c>
    </row>
    <row r="706" spans="1:18" x14ac:dyDescent="0.2">
      <c r="A706" t="s">
        <v>5</v>
      </c>
      <c r="B706">
        <v>1</v>
      </c>
      <c r="C706" t="s">
        <v>4</v>
      </c>
      <c r="D706" s="2">
        <v>43640</v>
      </c>
      <c r="E706" s="11">
        <v>175</v>
      </c>
      <c r="F706" s="3">
        <v>0.54860999999800697</v>
      </c>
      <c r="G706" s="3">
        <v>0.55208000000129687</v>
      </c>
      <c r="H706" s="13">
        <f t="shared" si="15"/>
        <v>175.54860999999801</v>
      </c>
      <c r="I706" s="13">
        <f t="shared" si="16"/>
        <v>175.5520800000013</v>
      </c>
      <c r="J706" s="13">
        <f t="shared" si="17"/>
        <v>175.55034499999965</v>
      </c>
      <c r="K706" s="7">
        <v>43640.550344999996</v>
      </c>
      <c r="L706" s="4">
        <v>1598.7</v>
      </c>
      <c r="M706">
        <v>14.9</v>
      </c>
      <c r="N706">
        <v>27.78</v>
      </c>
      <c r="Q706">
        <v>3.1767891381263</v>
      </c>
      <c r="R706">
        <v>7.0227240000000002E-3</v>
      </c>
    </row>
    <row r="707" spans="1:18" x14ac:dyDescent="0.2">
      <c r="A707" t="s">
        <v>5</v>
      </c>
      <c r="B707">
        <v>1</v>
      </c>
      <c r="C707" t="s">
        <v>6</v>
      </c>
      <c r="D707" s="2">
        <v>43640</v>
      </c>
      <c r="E707" s="11">
        <v>175</v>
      </c>
      <c r="F707" s="3">
        <v>0.55346999999892432</v>
      </c>
      <c r="G707" s="3">
        <v>0.55694000000221422</v>
      </c>
      <c r="H707" s="13">
        <f t="shared" si="15"/>
        <v>175.55346999999892</v>
      </c>
      <c r="I707" s="13">
        <f t="shared" si="16"/>
        <v>175.55694000000221</v>
      </c>
      <c r="J707" s="13">
        <f t="shared" si="17"/>
        <v>175.55520500000057</v>
      </c>
      <c r="K707" s="7">
        <v>43640.555204999997</v>
      </c>
      <c r="L707" s="4">
        <v>1403.7</v>
      </c>
      <c r="N707">
        <v>27.78</v>
      </c>
      <c r="Q707">
        <v>2.89410183263367</v>
      </c>
      <c r="R707" s="6">
        <v>-1.7099999999999999E-5</v>
      </c>
    </row>
    <row r="708" spans="1:18" x14ac:dyDescent="0.2">
      <c r="A708" t="s">
        <v>5</v>
      </c>
      <c r="B708">
        <v>2</v>
      </c>
      <c r="C708" t="s">
        <v>4</v>
      </c>
      <c r="D708" s="2">
        <v>43640</v>
      </c>
      <c r="E708" s="11">
        <v>175</v>
      </c>
      <c r="F708" s="3">
        <v>0.55832999999984168</v>
      </c>
      <c r="G708" s="3">
        <v>0.56180999999924097</v>
      </c>
      <c r="H708" s="13">
        <f t="shared" si="15"/>
        <v>175.55832999999984</v>
      </c>
      <c r="I708" s="13">
        <f t="shared" si="16"/>
        <v>175.56180999999924</v>
      </c>
      <c r="J708" s="13">
        <f t="shared" si="17"/>
        <v>175.56006999999954</v>
      </c>
      <c r="K708" s="7">
        <v>43640.56007</v>
      </c>
      <c r="L708" s="4">
        <v>2153.6999999999998</v>
      </c>
      <c r="M708">
        <v>9.9</v>
      </c>
      <c r="N708">
        <v>27.78</v>
      </c>
      <c r="Q708">
        <v>-6.0030436258829498</v>
      </c>
      <c r="R708" s="6">
        <v>1.7499999999999999E-7</v>
      </c>
    </row>
    <row r="709" spans="1:18" x14ac:dyDescent="0.2">
      <c r="A709" t="s">
        <v>5</v>
      </c>
      <c r="B709">
        <v>2</v>
      </c>
      <c r="C709" t="s">
        <v>6</v>
      </c>
      <c r="D709" s="2">
        <v>43640</v>
      </c>
      <c r="E709" s="11">
        <v>175</v>
      </c>
      <c r="F709" s="3">
        <v>0.56319000000075903</v>
      </c>
      <c r="G709" s="3">
        <v>0.56667000000015832</v>
      </c>
      <c r="H709" s="13">
        <f t="shared" si="15"/>
        <v>175.56319000000076</v>
      </c>
      <c r="I709" s="13">
        <f t="shared" si="16"/>
        <v>175.56667000000016</v>
      </c>
      <c r="J709" s="13">
        <f t="shared" si="17"/>
        <v>175.56493000000046</v>
      </c>
      <c r="K709" s="7">
        <v>43640.56493</v>
      </c>
      <c r="L709" s="4">
        <v>1966.2</v>
      </c>
      <c r="N709">
        <v>27.78</v>
      </c>
      <c r="Q709">
        <v>5.1126486664920403</v>
      </c>
      <c r="R709" s="6">
        <v>-1.3400000000000001E-7</v>
      </c>
    </row>
    <row r="710" spans="1:18" x14ac:dyDescent="0.2">
      <c r="A710" t="s">
        <v>5</v>
      </c>
      <c r="B710">
        <v>3</v>
      </c>
      <c r="C710" t="s">
        <v>4</v>
      </c>
      <c r="D710" s="2">
        <v>43640</v>
      </c>
      <c r="E710" s="11">
        <v>175</v>
      </c>
      <c r="F710" s="3">
        <v>0.56805999999778578</v>
      </c>
      <c r="G710" s="3">
        <v>0.57153000000107568</v>
      </c>
      <c r="H710" s="13">
        <f t="shared" si="15"/>
        <v>175.56805999999779</v>
      </c>
      <c r="I710" s="13">
        <f t="shared" si="16"/>
        <v>175.57153000000108</v>
      </c>
      <c r="J710" s="13">
        <f t="shared" si="17"/>
        <v>175.56979499999943</v>
      </c>
      <c r="K710" s="7">
        <v>43640.569795000003</v>
      </c>
      <c r="L710" s="4">
        <v>1006.2</v>
      </c>
      <c r="M710">
        <v>8.5</v>
      </c>
      <c r="N710">
        <v>27.78</v>
      </c>
      <c r="Q710">
        <v>2.8677634070829199</v>
      </c>
      <c r="R710" s="6">
        <v>-2.33E-8</v>
      </c>
    </row>
    <row r="711" spans="1:18" x14ac:dyDescent="0.2">
      <c r="A711" t="s">
        <v>5</v>
      </c>
      <c r="B711">
        <v>3</v>
      </c>
      <c r="C711" t="s">
        <v>6</v>
      </c>
      <c r="D711" s="2">
        <v>43640</v>
      </c>
      <c r="E711" s="11">
        <v>175</v>
      </c>
      <c r="F711" s="3">
        <v>0.57291999999870313</v>
      </c>
      <c r="G711" s="3">
        <v>0.57639000000199303</v>
      </c>
      <c r="H711" s="13">
        <f t="shared" si="15"/>
        <v>175.5729199999987</v>
      </c>
      <c r="I711" s="13">
        <f t="shared" si="16"/>
        <v>175.57639000000199</v>
      </c>
      <c r="J711" s="13">
        <f t="shared" si="17"/>
        <v>175.57465500000035</v>
      </c>
      <c r="K711" s="7">
        <v>43640.574655000004</v>
      </c>
      <c r="L711" s="4">
        <v>1778.7</v>
      </c>
      <c r="N711">
        <v>27.78</v>
      </c>
      <c r="Q711">
        <v>2.7140714936706098</v>
      </c>
      <c r="R711" s="6">
        <v>1.04E-7</v>
      </c>
    </row>
    <row r="712" spans="1:18" x14ac:dyDescent="0.2">
      <c r="A712" t="s">
        <v>5</v>
      </c>
      <c r="B712">
        <v>4</v>
      </c>
      <c r="C712" t="s">
        <v>4</v>
      </c>
      <c r="D712" s="2">
        <v>43640</v>
      </c>
      <c r="E712" s="11">
        <v>175</v>
      </c>
      <c r="F712" s="3">
        <v>0.57777999999962049</v>
      </c>
      <c r="G712" s="3">
        <v>0.58125000000291038</v>
      </c>
      <c r="H712" s="13">
        <f t="shared" si="15"/>
        <v>175.57777999999962</v>
      </c>
      <c r="I712" s="13">
        <f t="shared" si="16"/>
        <v>175.58125000000291</v>
      </c>
      <c r="J712" s="13">
        <f t="shared" si="17"/>
        <v>175.57951500000127</v>
      </c>
      <c r="K712" s="7">
        <v>43640.579515000005</v>
      </c>
      <c r="L712" s="4">
        <v>1258.7</v>
      </c>
      <c r="M712">
        <v>13.7</v>
      </c>
      <c r="N712">
        <v>27.78</v>
      </c>
      <c r="Q712">
        <v>0.52282869429961998</v>
      </c>
      <c r="R712" s="6">
        <v>-1.7E-8</v>
      </c>
    </row>
    <row r="713" spans="1:18" x14ac:dyDescent="0.2">
      <c r="A713" t="s">
        <v>5</v>
      </c>
      <c r="B713">
        <v>4</v>
      </c>
      <c r="C713" t="s">
        <v>6</v>
      </c>
      <c r="D713" s="2">
        <v>43640</v>
      </c>
      <c r="E713" s="11">
        <v>175</v>
      </c>
      <c r="F713" s="3">
        <v>0.58264000000053784</v>
      </c>
      <c r="G713" s="3">
        <v>0.58610999999655178</v>
      </c>
      <c r="H713" s="13">
        <f t="shared" si="15"/>
        <v>175.58264000000054</v>
      </c>
      <c r="I713" s="13">
        <f t="shared" si="16"/>
        <v>175.58610999999655</v>
      </c>
      <c r="J713" s="13">
        <f t="shared" si="17"/>
        <v>175.58437499999854</v>
      </c>
      <c r="K713" s="7">
        <v>43640.584374999999</v>
      </c>
      <c r="L713" s="4">
        <v>2418.6999999999998</v>
      </c>
      <c r="N713">
        <v>27.78</v>
      </c>
      <c r="Q713">
        <v>3.2315142803371502</v>
      </c>
      <c r="R713" s="6">
        <v>1.44E-8</v>
      </c>
    </row>
    <row r="714" spans="1:18" x14ac:dyDescent="0.2">
      <c r="A714" t="s">
        <v>5</v>
      </c>
      <c r="B714">
        <v>5</v>
      </c>
      <c r="C714" t="s">
        <v>4</v>
      </c>
      <c r="D714" s="2">
        <v>43640</v>
      </c>
      <c r="E714" s="11">
        <v>175</v>
      </c>
      <c r="F714" s="3">
        <v>0.58750000000145519</v>
      </c>
      <c r="G714" s="3">
        <v>0.59096999999746913</v>
      </c>
      <c r="H714" s="13">
        <f t="shared" si="15"/>
        <v>175.58750000000146</v>
      </c>
      <c r="I714" s="13">
        <f t="shared" si="16"/>
        <v>175.59096999999747</v>
      </c>
      <c r="J714" s="13">
        <f t="shared" si="17"/>
        <v>175.58923499999946</v>
      </c>
      <c r="K714" s="7">
        <v>43640.589234999999</v>
      </c>
      <c r="L714" s="4">
        <v>1388.7</v>
      </c>
      <c r="M714">
        <v>13.4</v>
      </c>
      <c r="N714">
        <v>27.78</v>
      </c>
      <c r="Q714">
        <v>2.0832193966586501</v>
      </c>
      <c r="R714" s="6">
        <v>-6.6500000000000007E-8</v>
      </c>
    </row>
    <row r="715" spans="1:18" x14ac:dyDescent="0.2">
      <c r="A715" t="s">
        <v>5</v>
      </c>
      <c r="B715">
        <v>5</v>
      </c>
      <c r="C715" t="s">
        <v>6</v>
      </c>
      <c r="D715" s="2">
        <v>43640</v>
      </c>
      <c r="E715" s="11">
        <v>175</v>
      </c>
      <c r="F715" s="3">
        <v>0.59236000000237254</v>
      </c>
      <c r="G715" s="3">
        <v>0.59582999999838648</v>
      </c>
      <c r="H715" s="13">
        <f t="shared" si="15"/>
        <v>175.59236000000237</v>
      </c>
      <c r="I715" s="13">
        <f t="shared" si="16"/>
        <v>175.59582999999839</v>
      </c>
      <c r="J715" s="13">
        <f t="shared" si="17"/>
        <v>175.59409500000038</v>
      </c>
      <c r="K715" s="7">
        <v>43640.594095</v>
      </c>
      <c r="L715" s="4">
        <v>3.7</v>
      </c>
      <c r="N715">
        <v>27.78</v>
      </c>
      <c r="Q715">
        <v>2.8394482893661199</v>
      </c>
      <c r="R715" s="6">
        <v>-1.04E-7</v>
      </c>
    </row>
    <row r="716" spans="1:18" x14ac:dyDescent="0.2">
      <c r="A716" t="s">
        <v>5</v>
      </c>
      <c r="B716">
        <v>1</v>
      </c>
      <c r="C716" t="s">
        <v>4</v>
      </c>
      <c r="D716" s="2">
        <v>43655</v>
      </c>
      <c r="E716" s="11">
        <v>190</v>
      </c>
      <c r="F716" s="3">
        <v>0.48056000000360655</v>
      </c>
      <c r="G716" s="3">
        <v>0.48402999999962049</v>
      </c>
      <c r="H716" s="13">
        <f t="shared" si="15"/>
        <v>190.48056000000361</v>
      </c>
      <c r="I716" s="13">
        <f t="shared" si="16"/>
        <v>190.48402999999962</v>
      </c>
      <c r="J716" s="13">
        <f t="shared" si="17"/>
        <v>190.48229500000161</v>
      </c>
      <c r="K716" s="7">
        <v>43655.482295000002</v>
      </c>
      <c r="L716" s="4">
        <v>1803.7</v>
      </c>
      <c r="M716">
        <v>14.5</v>
      </c>
      <c r="N716">
        <v>23.89</v>
      </c>
      <c r="Q716">
        <v>3.46870502130849</v>
      </c>
      <c r="R716" s="6">
        <v>-6.6670342875345395E-5</v>
      </c>
    </row>
    <row r="717" spans="1:18" x14ac:dyDescent="0.2">
      <c r="A717" t="s">
        <v>5</v>
      </c>
      <c r="B717">
        <v>1</v>
      </c>
      <c r="C717" t="s">
        <v>6</v>
      </c>
      <c r="D717" s="2">
        <v>43655</v>
      </c>
      <c r="E717" s="11">
        <v>190</v>
      </c>
      <c r="F717" s="3">
        <v>0.48541999999724794</v>
      </c>
      <c r="G717" s="3">
        <v>0.48889000000053784</v>
      </c>
      <c r="H717" s="13">
        <f t="shared" si="15"/>
        <v>190.48541999999725</v>
      </c>
      <c r="I717" s="13">
        <f t="shared" si="16"/>
        <v>190.48889000000054</v>
      </c>
      <c r="J717" s="13">
        <f t="shared" si="17"/>
        <v>190.48715499999889</v>
      </c>
      <c r="K717" s="7">
        <v>43655.487154999995</v>
      </c>
      <c r="L717" s="4">
        <v>1821.2</v>
      </c>
      <c r="N717">
        <v>23.89</v>
      </c>
      <c r="Q717">
        <v>4.7651745490486999</v>
      </c>
      <c r="R717">
        <v>-4.51388022245987E-4</v>
      </c>
    </row>
    <row r="718" spans="1:18" x14ac:dyDescent="0.2">
      <c r="A718" t="s">
        <v>5</v>
      </c>
      <c r="B718">
        <v>2</v>
      </c>
      <c r="C718" t="s">
        <v>4</v>
      </c>
      <c r="D718" s="2">
        <v>43655</v>
      </c>
      <c r="E718" s="11">
        <v>190</v>
      </c>
      <c r="F718" s="3">
        <v>0.49027999999816529</v>
      </c>
      <c r="G718" s="3">
        <v>0.49375000000145519</v>
      </c>
      <c r="H718" s="13">
        <f t="shared" si="15"/>
        <v>190.49027999999817</v>
      </c>
      <c r="I718" s="13">
        <f t="shared" si="16"/>
        <v>190.49375000000146</v>
      </c>
      <c r="J718" s="13">
        <f t="shared" si="17"/>
        <v>190.49201499999981</v>
      </c>
      <c r="K718" s="7">
        <v>43655.492014999996</v>
      </c>
      <c r="L718" s="4">
        <v>1833.7</v>
      </c>
      <c r="M718">
        <v>6.5</v>
      </c>
      <c r="N718">
        <v>23.89</v>
      </c>
      <c r="Q718">
        <v>-15.0860426628753</v>
      </c>
      <c r="R718" s="6">
        <v>1.74198367470682E-5</v>
      </c>
    </row>
    <row r="719" spans="1:18" x14ac:dyDescent="0.2">
      <c r="A719" t="s">
        <v>5</v>
      </c>
      <c r="B719">
        <v>2</v>
      </c>
      <c r="C719" t="s">
        <v>6</v>
      </c>
      <c r="D719" s="2">
        <v>43655</v>
      </c>
      <c r="E719" s="11">
        <v>190</v>
      </c>
      <c r="F719" s="3">
        <v>0.49513999999908265</v>
      </c>
      <c r="G719" s="3">
        <v>0.49861000000237254</v>
      </c>
      <c r="H719" s="13">
        <f t="shared" si="15"/>
        <v>190.49513999999908</v>
      </c>
      <c r="I719" s="13">
        <f t="shared" si="16"/>
        <v>190.49861000000237</v>
      </c>
      <c r="J719" s="13">
        <f t="shared" si="17"/>
        <v>190.49687500000073</v>
      </c>
      <c r="K719" s="7">
        <v>43655.496874999997</v>
      </c>
      <c r="L719" s="4">
        <v>1853.7</v>
      </c>
      <c r="N719">
        <v>23.89</v>
      </c>
      <c r="Q719">
        <v>19.865299980404</v>
      </c>
      <c r="R719">
        <v>-2.6405640930450498E-4</v>
      </c>
    </row>
    <row r="720" spans="1:18" x14ac:dyDescent="0.2">
      <c r="A720" t="s">
        <v>5</v>
      </c>
      <c r="B720">
        <v>3</v>
      </c>
      <c r="C720" t="s">
        <v>4</v>
      </c>
      <c r="D720" s="2">
        <v>43655</v>
      </c>
      <c r="E720" s="11">
        <v>190</v>
      </c>
      <c r="F720" s="3">
        <v>0.5</v>
      </c>
      <c r="G720" s="3">
        <v>0.5034700000032899</v>
      </c>
      <c r="H720" s="13">
        <f t="shared" si="15"/>
        <v>190.5</v>
      </c>
      <c r="I720" s="13">
        <f t="shared" si="16"/>
        <v>190.50347000000329</v>
      </c>
      <c r="J720" s="13">
        <f t="shared" si="17"/>
        <v>190.50173500000164</v>
      </c>
      <c r="K720" s="7">
        <v>43655.501734999998</v>
      </c>
      <c r="L720" s="4">
        <v>1866.2</v>
      </c>
      <c r="M720">
        <v>6</v>
      </c>
      <c r="N720">
        <v>23.89</v>
      </c>
      <c r="Q720">
        <v>4.1636985273705296</v>
      </c>
      <c r="R720">
        <v>-2.5778286399397599E-4</v>
      </c>
    </row>
    <row r="721" spans="1:18" x14ac:dyDescent="0.2">
      <c r="A721" t="s">
        <v>5</v>
      </c>
      <c r="B721">
        <v>3</v>
      </c>
      <c r="C721" t="s">
        <v>6</v>
      </c>
      <c r="D721" s="2">
        <v>43655</v>
      </c>
      <c r="E721" s="11">
        <v>190</v>
      </c>
      <c r="F721" s="3">
        <v>0.50486000000091735</v>
      </c>
      <c r="G721" s="3">
        <v>0.50832999999693129</v>
      </c>
      <c r="H721" s="13">
        <f t="shared" si="15"/>
        <v>190.50486000000092</v>
      </c>
      <c r="I721" s="13">
        <f t="shared" si="16"/>
        <v>190.50832999999693</v>
      </c>
      <c r="J721" s="13">
        <f t="shared" si="17"/>
        <v>190.50659499999892</v>
      </c>
      <c r="K721" s="7">
        <v>43655.506594999999</v>
      </c>
      <c r="L721" s="4">
        <v>1873.7</v>
      </c>
      <c r="N721">
        <v>23.89</v>
      </c>
      <c r="Q721">
        <v>4.2385029750273899</v>
      </c>
      <c r="R721" s="6">
        <v>3.3156094327304098E-5</v>
      </c>
    </row>
    <row r="722" spans="1:18" x14ac:dyDescent="0.2">
      <c r="A722" t="s">
        <v>5</v>
      </c>
      <c r="B722">
        <v>4</v>
      </c>
      <c r="C722" t="s">
        <v>4</v>
      </c>
      <c r="D722" s="2">
        <v>43655</v>
      </c>
      <c r="E722" s="11">
        <v>190</v>
      </c>
      <c r="F722" s="3">
        <v>0.50972000000183471</v>
      </c>
      <c r="G722" s="3">
        <v>0.51318999999784864</v>
      </c>
      <c r="H722" s="13">
        <f t="shared" si="15"/>
        <v>190.50972000000183</v>
      </c>
      <c r="I722" s="13">
        <f t="shared" si="16"/>
        <v>190.51318999999785</v>
      </c>
      <c r="J722" s="13">
        <f t="shared" si="17"/>
        <v>190.51145499999984</v>
      </c>
      <c r="K722" s="7">
        <v>43655.511455</v>
      </c>
      <c r="L722" s="4">
        <v>1878.7</v>
      </c>
      <c r="M722">
        <v>5.3</v>
      </c>
      <c r="N722">
        <v>23.89</v>
      </c>
      <c r="Q722">
        <v>-3.0970812717814402</v>
      </c>
      <c r="R722">
        <v>2.5952860136737102E-4</v>
      </c>
    </row>
    <row r="723" spans="1:18" x14ac:dyDescent="0.2">
      <c r="A723" t="s">
        <v>5</v>
      </c>
      <c r="B723">
        <v>4</v>
      </c>
      <c r="C723" t="s">
        <v>6</v>
      </c>
      <c r="D723" s="2">
        <v>43655</v>
      </c>
      <c r="E723" s="11">
        <v>190</v>
      </c>
      <c r="F723" s="3">
        <v>0.51458000000275206</v>
      </c>
      <c r="G723" s="3">
        <v>0.51806000000215136</v>
      </c>
      <c r="H723" s="13">
        <f t="shared" si="15"/>
        <v>190.51458000000275</v>
      </c>
      <c r="I723" s="13">
        <f t="shared" si="16"/>
        <v>190.51806000000215</v>
      </c>
      <c r="J723" s="13">
        <f t="shared" si="17"/>
        <v>190.51632000000245</v>
      </c>
      <c r="K723" s="7">
        <v>43655.516320000002</v>
      </c>
      <c r="L723" s="4">
        <v>1866.2</v>
      </c>
      <c r="N723">
        <v>23.89</v>
      </c>
      <c r="Q723">
        <v>13.576979847452201</v>
      </c>
      <c r="R723">
        <v>-1.1084547956391201E-4</v>
      </c>
    </row>
    <row r="724" spans="1:18" x14ac:dyDescent="0.2">
      <c r="A724" t="s">
        <v>5</v>
      </c>
      <c r="B724">
        <v>5</v>
      </c>
      <c r="C724" t="s">
        <v>4</v>
      </c>
      <c r="D724" s="2">
        <v>43655</v>
      </c>
      <c r="E724" s="11">
        <v>190</v>
      </c>
      <c r="F724" s="3">
        <v>0.51943999999639345</v>
      </c>
      <c r="G724" s="3">
        <v>0.52292000000306871</v>
      </c>
      <c r="H724" s="13">
        <f t="shared" si="15"/>
        <v>190.51943999999639</v>
      </c>
      <c r="I724" s="13">
        <f t="shared" si="16"/>
        <v>190.52292000000307</v>
      </c>
      <c r="J724" s="13">
        <f t="shared" si="17"/>
        <v>190.52117999999973</v>
      </c>
      <c r="K724" s="7">
        <v>43655.521179999996</v>
      </c>
      <c r="L724" s="4">
        <v>1878.7</v>
      </c>
      <c r="M724">
        <v>9.1999999999999993</v>
      </c>
      <c r="N724">
        <v>23.89</v>
      </c>
      <c r="Q724">
        <v>5.0753129004236399</v>
      </c>
      <c r="R724" s="6">
        <v>-5.98363709165398E-5</v>
      </c>
    </row>
    <row r="725" spans="1:18" x14ac:dyDescent="0.2">
      <c r="A725" t="s">
        <v>5</v>
      </c>
      <c r="B725">
        <v>5</v>
      </c>
      <c r="C725" t="s">
        <v>6</v>
      </c>
      <c r="D725" s="2">
        <v>43655</v>
      </c>
      <c r="E725" s="11">
        <v>190</v>
      </c>
      <c r="F725" s="3">
        <v>0.52431000000069616</v>
      </c>
      <c r="G725" s="3">
        <v>0.5277799999967101</v>
      </c>
      <c r="H725" s="13">
        <f t="shared" si="15"/>
        <v>190.5243100000007</v>
      </c>
      <c r="I725" s="13">
        <f t="shared" si="16"/>
        <v>190.52777999999671</v>
      </c>
      <c r="J725" s="13">
        <f t="shared" si="17"/>
        <v>190.5260449999987</v>
      </c>
      <c r="K725" s="7">
        <v>43655.526044999999</v>
      </c>
      <c r="L725" s="4">
        <v>1896.2</v>
      </c>
      <c r="N725">
        <v>23.89</v>
      </c>
      <c r="Q725">
        <v>5.6401490097104503</v>
      </c>
      <c r="R725">
        <v>2.33043991617192E-4</v>
      </c>
    </row>
    <row r="726" spans="1:18" x14ac:dyDescent="0.2">
      <c r="A726" t="s">
        <v>5</v>
      </c>
      <c r="B726">
        <v>1</v>
      </c>
      <c r="C726" t="s">
        <v>4</v>
      </c>
      <c r="D726" s="2">
        <v>43655</v>
      </c>
      <c r="E726" s="11">
        <v>190</v>
      </c>
      <c r="F726" s="3">
        <v>0.57222000000183471</v>
      </c>
      <c r="G726" s="3">
        <v>0.57568999999784864</v>
      </c>
      <c r="H726" s="13">
        <f t="shared" si="15"/>
        <v>190.57222000000183</v>
      </c>
      <c r="I726" s="13">
        <f t="shared" si="16"/>
        <v>190.57568999999785</v>
      </c>
      <c r="J726" s="13">
        <f t="shared" si="17"/>
        <v>190.57395499999984</v>
      </c>
      <c r="K726" s="7">
        <v>43655.573955</v>
      </c>
      <c r="L726" s="4">
        <v>1816.2</v>
      </c>
      <c r="M726">
        <v>13.3</v>
      </c>
      <c r="N726">
        <v>28.33</v>
      </c>
      <c r="Q726">
        <v>2.3909972139673599</v>
      </c>
      <c r="R726">
        <v>4.96985967036359E-4</v>
      </c>
    </row>
    <row r="727" spans="1:18" x14ac:dyDescent="0.2">
      <c r="A727" t="s">
        <v>5</v>
      </c>
      <c r="B727">
        <v>1</v>
      </c>
      <c r="C727" t="s">
        <v>6</v>
      </c>
      <c r="D727" s="2">
        <v>43655</v>
      </c>
      <c r="E727" s="11">
        <v>190</v>
      </c>
      <c r="F727" s="3">
        <v>0.57708000000275206</v>
      </c>
      <c r="G727" s="3">
        <v>0.58056000000215136</v>
      </c>
      <c r="H727" s="13">
        <f t="shared" si="15"/>
        <v>190.57708000000275</v>
      </c>
      <c r="I727" s="13">
        <f t="shared" si="16"/>
        <v>190.58056000000215</v>
      </c>
      <c r="J727" s="13">
        <f t="shared" si="17"/>
        <v>190.57882000000245</v>
      </c>
      <c r="K727" s="7">
        <v>43655.578820000002</v>
      </c>
      <c r="L727" s="4">
        <v>1868.7</v>
      </c>
      <c r="N727">
        <v>28.33</v>
      </c>
      <c r="Q727">
        <v>3.1074498403465598</v>
      </c>
      <c r="R727">
        <v>3.7039294755690402E-4</v>
      </c>
    </row>
    <row r="728" spans="1:18" x14ac:dyDescent="0.2">
      <c r="A728" t="s">
        <v>5</v>
      </c>
      <c r="B728">
        <v>2</v>
      </c>
      <c r="C728" t="s">
        <v>4</v>
      </c>
      <c r="D728" s="2">
        <v>43655</v>
      </c>
      <c r="E728" s="11">
        <v>190</v>
      </c>
      <c r="F728" s="3">
        <v>0.58193999999639345</v>
      </c>
      <c r="G728" s="3">
        <v>0.58542000000306871</v>
      </c>
      <c r="H728" s="13">
        <f t="shared" si="15"/>
        <v>190.58193999999639</v>
      </c>
      <c r="I728" s="13">
        <f t="shared" si="16"/>
        <v>190.58542000000307</v>
      </c>
      <c r="J728" s="13">
        <f t="shared" si="17"/>
        <v>190.58367999999973</v>
      </c>
      <c r="K728" s="7">
        <v>43655.583679999996</v>
      </c>
      <c r="L728" s="4">
        <v>1856.2</v>
      </c>
      <c r="M728">
        <v>5.6</v>
      </c>
      <c r="N728">
        <v>28.33</v>
      </c>
      <c r="Q728">
        <v>-12.9543534208336</v>
      </c>
      <c r="R728">
        <v>2.6231417555296901E-4</v>
      </c>
    </row>
    <row r="729" spans="1:18" x14ac:dyDescent="0.2">
      <c r="A729" t="s">
        <v>5</v>
      </c>
      <c r="B729">
        <v>2</v>
      </c>
      <c r="C729" t="s">
        <v>6</v>
      </c>
      <c r="D729" s="2">
        <v>43655</v>
      </c>
      <c r="E729" s="11">
        <v>190</v>
      </c>
      <c r="F729" s="3">
        <v>0.58681000000069616</v>
      </c>
      <c r="G729" s="3">
        <v>0.5902799999967101</v>
      </c>
      <c r="H729" s="13">
        <f t="shared" si="15"/>
        <v>190.5868100000007</v>
      </c>
      <c r="I729" s="13">
        <f t="shared" si="16"/>
        <v>190.59027999999671</v>
      </c>
      <c r="J729" s="13">
        <f t="shared" si="17"/>
        <v>190.5885449999987</v>
      </c>
      <c r="K729" s="7">
        <v>43655.588544999999</v>
      </c>
      <c r="L729" s="4">
        <v>1846.2</v>
      </c>
      <c r="N729">
        <v>28.33</v>
      </c>
      <c r="Q729">
        <v>16.694259196573999</v>
      </c>
      <c r="R729" s="6">
        <v>-6.8644656574763703E-5</v>
      </c>
    </row>
    <row r="730" spans="1:18" x14ac:dyDescent="0.2">
      <c r="A730" t="s">
        <v>5</v>
      </c>
      <c r="B730">
        <v>3</v>
      </c>
      <c r="C730" t="s">
        <v>4</v>
      </c>
      <c r="D730" s="2">
        <v>43655</v>
      </c>
      <c r="E730" s="11">
        <v>190</v>
      </c>
      <c r="F730" s="3">
        <v>0.59167000000161352</v>
      </c>
      <c r="G730" s="3">
        <v>0.59513999999762746</v>
      </c>
      <c r="H730" s="13">
        <f t="shared" si="15"/>
        <v>190.59167000000161</v>
      </c>
      <c r="I730" s="13">
        <f t="shared" si="16"/>
        <v>190.59513999999763</v>
      </c>
      <c r="J730" s="13">
        <f t="shared" si="17"/>
        <v>190.59340499999962</v>
      </c>
      <c r="K730" s="7">
        <v>43655.593405</v>
      </c>
      <c r="L730" s="4">
        <v>1811.2</v>
      </c>
      <c r="M730">
        <v>4.3</v>
      </c>
      <c r="N730">
        <v>28.33</v>
      </c>
      <c r="Q730">
        <v>4.3770475109014502</v>
      </c>
      <c r="R730">
        <v>-1.72039514696353E-4</v>
      </c>
    </row>
    <row r="731" spans="1:18" x14ac:dyDescent="0.2">
      <c r="A731" t="s">
        <v>5</v>
      </c>
      <c r="B731">
        <v>3</v>
      </c>
      <c r="C731" t="s">
        <v>6</v>
      </c>
      <c r="D731" s="2">
        <v>43655</v>
      </c>
      <c r="E731" s="11">
        <v>190</v>
      </c>
      <c r="F731" s="3">
        <v>0.59653000000253087</v>
      </c>
      <c r="G731" s="3">
        <v>0.59999999999854481</v>
      </c>
      <c r="H731" s="13">
        <f t="shared" si="15"/>
        <v>190.59653000000253</v>
      </c>
      <c r="I731" s="13">
        <f t="shared" si="16"/>
        <v>190.59999999999854</v>
      </c>
      <c r="J731" s="13">
        <f t="shared" si="17"/>
        <v>190.59826500000054</v>
      </c>
      <c r="K731" s="7">
        <v>43655.598265000001</v>
      </c>
      <c r="L731" s="4">
        <v>1828.7</v>
      </c>
      <c r="N731">
        <v>28.33</v>
      </c>
      <c r="Q731">
        <v>3.6436265275208202</v>
      </c>
      <c r="R731">
        <v>1.08665021292746E-4</v>
      </c>
    </row>
    <row r="732" spans="1:18" x14ac:dyDescent="0.2">
      <c r="A732" t="s">
        <v>5</v>
      </c>
      <c r="B732">
        <v>4</v>
      </c>
      <c r="C732" t="s">
        <v>4</v>
      </c>
      <c r="D732" s="2">
        <v>43655</v>
      </c>
      <c r="E732" s="11">
        <v>190</v>
      </c>
      <c r="F732" s="3">
        <v>0.60139000000344822</v>
      </c>
      <c r="G732" s="3">
        <v>0.60485999999946216</v>
      </c>
      <c r="H732" s="13">
        <f t="shared" si="15"/>
        <v>190.60139000000345</v>
      </c>
      <c r="I732" s="13">
        <f t="shared" si="16"/>
        <v>190.60485999999946</v>
      </c>
      <c r="J732" s="13">
        <f t="shared" si="17"/>
        <v>190.60312500000146</v>
      </c>
      <c r="K732" s="7">
        <v>43655.603125000001</v>
      </c>
      <c r="L732" s="4">
        <v>1811.2</v>
      </c>
      <c r="M732">
        <v>5.3</v>
      </c>
      <c r="N732">
        <v>28.33</v>
      </c>
      <c r="Q732">
        <v>-1.99162749826056</v>
      </c>
      <c r="R732">
        <v>5.4372238001839605E-4</v>
      </c>
    </row>
    <row r="733" spans="1:18" x14ac:dyDescent="0.2">
      <c r="A733" t="s">
        <v>5</v>
      </c>
      <c r="B733">
        <v>4</v>
      </c>
      <c r="C733" t="s">
        <v>6</v>
      </c>
      <c r="D733" s="2">
        <v>43655</v>
      </c>
      <c r="E733" s="11">
        <v>190</v>
      </c>
      <c r="F733" s="3">
        <v>0.60624999999708962</v>
      </c>
      <c r="G733" s="3">
        <v>0.60972000000037951</v>
      </c>
      <c r="H733" s="13">
        <f t="shared" si="15"/>
        <v>190.60624999999709</v>
      </c>
      <c r="I733" s="13">
        <f t="shared" si="16"/>
        <v>190.60972000000038</v>
      </c>
      <c r="J733" s="13">
        <f t="shared" si="17"/>
        <v>190.60798499999873</v>
      </c>
      <c r="K733" s="7">
        <v>43655.607984999995</v>
      </c>
      <c r="L733" s="4">
        <v>1793.7</v>
      </c>
      <c r="N733">
        <v>28.33</v>
      </c>
      <c r="Q733">
        <v>7.5733219056368997</v>
      </c>
      <c r="R733">
        <v>2.8506846566921399E-4</v>
      </c>
    </row>
    <row r="734" spans="1:18" x14ac:dyDescent="0.2">
      <c r="A734" t="s">
        <v>5</v>
      </c>
      <c r="B734">
        <v>5</v>
      </c>
      <c r="C734" t="s">
        <v>4</v>
      </c>
      <c r="D734" s="2">
        <v>43655</v>
      </c>
      <c r="E734" s="11">
        <v>190</v>
      </c>
      <c r="F734" s="3">
        <v>0.61110999999800697</v>
      </c>
      <c r="G734" s="3">
        <v>0.61458000000129687</v>
      </c>
      <c r="H734" s="13">
        <f t="shared" si="15"/>
        <v>190.61110999999801</v>
      </c>
      <c r="I734" s="13">
        <f t="shared" si="16"/>
        <v>190.6145800000013</v>
      </c>
      <c r="J734" s="13">
        <f t="shared" si="17"/>
        <v>190.61284499999965</v>
      </c>
      <c r="K734" s="7">
        <v>43655.612844999996</v>
      </c>
      <c r="L734" s="4">
        <v>1778.7</v>
      </c>
      <c r="M734">
        <v>9.9</v>
      </c>
      <c r="N734">
        <v>28.33</v>
      </c>
      <c r="Q734">
        <v>3.0119287188225301</v>
      </c>
      <c r="R734">
        <v>2.35673013981434E-4</v>
      </c>
    </row>
    <row r="735" spans="1:18" x14ac:dyDescent="0.2">
      <c r="A735" t="s">
        <v>5</v>
      </c>
      <c r="B735">
        <v>5</v>
      </c>
      <c r="C735" t="s">
        <v>6</v>
      </c>
      <c r="D735" s="2">
        <v>43655</v>
      </c>
      <c r="E735" s="11">
        <v>190</v>
      </c>
      <c r="F735" s="3">
        <v>0.61596999999892432</v>
      </c>
      <c r="G735" s="3">
        <v>0.61944000000221422</v>
      </c>
      <c r="H735" s="13">
        <f t="shared" si="15"/>
        <v>190.61596999999892</v>
      </c>
      <c r="I735" s="13">
        <f t="shared" si="16"/>
        <v>190.61944000000221</v>
      </c>
      <c r="J735" s="13">
        <f t="shared" si="17"/>
        <v>190.61770500000057</v>
      </c>
      <c r="K735" s="7">
        <v>43655.617704999997</v>
      </c>
      <c r="L735" s="4">
        <v>1758.7</v>
      </c>
      <c r="N735">
        <v>28.33</v>
      </c>
      <c r="Q735">
        <v>2.9839986925205402</v>
      </c>
      <c r="R735" s="6">
        <v>9.7724967201875395E-5</v>
      </c>
    </row>
    <row r="736" spans="1:18" x14ac:dyDescent="0.2">
      <c r="A736" t="s">
        <v>5</v>
      </c>
      <c r="B736">
        <v>1</v>
      </c>
      <c r="C736" t="s">
        <v>4</v>
      </c>
      <c r="D736" s="2">
        <v>43672</v>
      </c>
      <c r="E736" s="11">
        <v>207</v>
      </c>
      <c r="F736" s="3">
        <v>0.44167000000015832</v>
      </c>
      <c r="G736" s="3">
        <v>0.44514000000344822</v>
      </c>
      <c r="H736" s="13">
        <f t="shared" si="15"/>
        <v>207.44167000000016</v>
      </c>
      <c r="I736" s="13">
        <f t="shared" si="16"/>
        <v>207.44514000000345</v>
      </c>
      <c r="J736" s="13">
        <f t="shared" si="17"/>
        <v>207.4434050000018</v>
      </c>
      <c r="K736" s="7">
        <v>43672.443404999998</v>
      </c>
      <c r="L736" s="4">
        <v>1578.7</v>
      </c>
      <c r="M736">
        <v>10.9</v>
      </c>
      <c r="N736">
        <v>26.11</v>
      </c>
      <c r="Q736">
        <v>-8.6928212560388199E-2</v>
      </c>
      <c r="R736">
        <v>-1.9874773943638499E-4</v>
      </c>
    </row>
    <row r="737" spans="1:18" x14ac:dyDescent="0.2">
      <c r="A737" t="s">
        <v>5</v>
      </c>
      <c r="B737">
        <v>1</v>
      </c>
      <c r="C737" t="s">
        <v>6</v>
      </c>
      <c r="D737" s="2">
        <v>43672</v>
      </c>
      <c r="E737" s="11">
        <v>207</v>
      </c>
      <c r="F737" s="3">
        <v>0.44653000000107568</v>
      </c>
      <c r="G737" s="3">
        <v>0.44999999999708962</v>
      </c>
      <c r="H737" s="13">
        <f t="shared" si="15"/>
        <v>207.44653000000108</v>
      </c>
      <c r="I737" s="13">
        <f t="shared" si="16"/>
        <v>207.44999999999709</v>
      </c>
      <c r="J737" s="13">
        <f t="shared" si="17"/>
        <v>207.44826499999908</v>
      </c>
      <c r="K737" s="7">
        <v>43672.448264999999</v>
      </c>
      <c r="L737" s="4">
        <v>1611.2</v>
      </c>
      <c r="N737">
        <v>26.11</v>
      </c>
      <c r="Q737">
        <v>4.5682034430920302</v>
      </c>
      <c r="R737">
        <v>3.7558890555254901E-4</v>
      </c>
    </row>
    <row r="738" spans="1:18" x14ac:dyDescent="0.2">
      <c r="A738" t="s">
        <v>5</v>
      </c>
      <c r="B738">
        <v>2</v>
      </c>
      <c r="C738" t="s">
        <v>4</v>
      </c>
      <c r="D738" s="2">
        <v>43672</v>
      </c>
      <c r="E738" s="11">
        <v>207</v>
      </c>
      <c r="F738" s="3">
        <v>0.45139000000199303</v>
      </c>
      <c r="G738" s="3">
        <v>0.45485999999800697</v>
      </c>
      <c r="H738" s="13">
        <f t="shared" si="15"/>
        <v>207.45139000000199</v>
      </c>
      <c r="I738" s="13">
        <f t="shared" si="16"/>
        <v>207.45485999999801</v>
      </c>
      <c r="J738" s="13">
        <f t="shared" si="17"/>
        <v>207.453125</v>
      </c>
      <c r="K738" s="7">
        <v>43672.453125</v>
      </c>
      <c r="L738" s="4">
        <v>1626.2</v>
      </c>
      <c r="M738">
        <v>7.8</v>
      </c>
      <c r="N738">
        <v>26.11</v>
      </c>
      <c r="Q738">
        <v>-21.818206808723701</v>
      </c>
      <c r="R738">
        <v>5.8412688117890396E-4</v>
      </c>
    </row>
    <row r="739" spans="1:18" x14ac:dyDescent="0.2">
      <c r="A739" t="s">
        <v>5</v>
      </c>
      <c r="B739">
        <v>2</v>
      </c>
      <c r="C739" t="s">
        <v>6</v>
      </c>
      <c r="D739" s="2">
        <v>43672</v>
      </c>
      <c r="E739" s="11">
        <v>207</v>
      </c>
      <c r="F739" s="3">
        <v>0.45625000000291038</v>
      </c>
      <c r="G739" s="3">
        <v>0.45971999999892432</v>
      </c>
      <c r="H739" s="13">
        <f t="shared" si="15"/>
        <v>207.45625000000291</v>
      </c>
      <c r="I739" s="13">
        <f t="shared" si="16"/>
        <v>207.45971999999892</v>
      </c>
      <c r="J739" s="13">
        <f t="shared" si="17"/>
        <v>207.45798500000092</v>
      </c>
      <c r="K739" s="7">
        <v>43672.457985000001</v>
      </c>
      <c r="L739" s="4">
        <v>1656.2</v>
      </c>
      <c r="N739">
        <v>26.11</v>
      </c>
      <c r="Q739">
        <v>23.5011559660262</v>
      </c>
      <c r="R739" s="6">
        <v>2.6954071223693701E-5</v>
      </c>
    </row>
    <row r="740" spans="1:18" x14ac:dyDescent="0.2">
      <c r="A740" t="s">
        <v>5</v>
      </c>
      <c r="B740">
        <v>3</v>
      </c>
      <c r="C740" t="s">
        <v>4</v>
      </c>
      <c r="D740" s="2">
        <v>43672</v>
      </c>
      <c r="E740" s="11">
        <v>207</v>
      </c>
      <c r="F740" s="3">
        <v>0.46110999999655178</v>
      </c>
      <c r="G740" s="3">
        <v>0.46457999999984168</v>
      </c>
      <c r="H740" s="13">
        <f t="shared" si="15"/>
        <v>207.46110999999655</v>
      </c>
      <c r="I740" s="13">
        <f t="shared" si="16"/>
        <v>207.46457999999984</v>
      </c>
      <c r="J740" s="13">
        <f t="shared" si="17"/>
        <v>207.4628449999982</v>
      </c>
      <c r="K740" s="7">
        <v>43672.462845000002</v>
      </c>
      <c r="L740" s="4">
        <v>1676.2</v>
      </c>
      <c r="M740">
        <v>14.9</v>
      </c>
      <c r="N740">
        <v>26.11</v>
      </c>
      <c r="Q740">
        <v>-20.1204463210025</v>
      </c>
      <c r="R740">
        <v>-2.7447021651585301E-4</v>
      </c>
    </row>
    <row r="741" spans="1:18" x14ac:dyDescent="0.2">
      <c r="A741" t="s">
        <v>5</v>
      </c>
      <c r="B741">
        <v>3</v>
      </c>
      <c r="C741" t="s">
        <v>6</v>
      </c>
      <c r="D741" s="2">
        <v>43672</v>
      </c>
      <c r="E741" s="11">
        <v>207</v>
      </c>
      <c r="F741" s="3">
        <v>0.46596999999746913</v>
      </c>
      <c r="G741" s="3">
        <v>0.46944000000075903</v>
      </c>
      <c r="H741" s="13">
        <f t="shared" si="15"/>
        <v>207.46596999999747</v>
      </c>
      <c r="I741" s="13">
        <f t="shared" si="16"/>
        <v>207.46944000000076</v>
      </c>
      <c r="J741" s="13">
        <f t="shared" si="17"/>
        <v>207.46770499999911</v>
      </c>
      <c r="K741" s="7">
        <v>43672.467705000003</v>
      </c>
      <c r="L741" s="4">
        <v>1698.7</v>
      </c>
      <c r="N741">
        <v>26.11</v>
      </c>
      <c r="Q741">
        <v>17.0909439436169</v>
      </c>
      <c r="R741">
        <v>-2.6686374240546501E-4</v>
      </c>
    </row>
    <row r="742" spans="1:18" x14ac:dyDescent="0.2">
      <c r="A742" t="s">
        <v>5</v>
      </c>
      <c r="B742">
        <v>4</v>
      </c>
      <c r="C742" t="s">
        <v>4</v>
      </c>
      <c r="D742" s="2">
        <v>43672</v>
      </c>
      <c r="E742" s="11">
        <v>207</v>
      </c>
      <c r="F742" s="3">
        <v>0.47146999999677064</v>
      </c>
      <c r="G742" s="3">
        <v>0.47494000000006054</v>
      </c>
      <c r="H742" s="13">
        <f t="shared" si="15"/>
        <v>207.47146999999677</v>
      </c>
      <c r="I742" s="13">
        <f t="shared" si="16"/>
        <v>207.47494000000006</v>
      </c>
      <c r="J742" s="13">
        <f t="shared" si="17"/>
        <v>207.47320499999842</v>
      </c>
      <c r="K742" s="7">
        <v>43672.473205000002</v>
      </c>
      <c r="L742" s="4">
        <v>1718.7</v>
      </c>
      <c r="M742">
        <v>12.9</v>
      </c>
      <c r="N742">
        <v>26.11</v>
      </c>
      <c r="Q742">
        <v>-9.48326059482131</v>
      </c>
      <c r="R742">
        <v>-1.13221467644879E-4</v>
      </c>
    </row>
    <row r="743" spans="1:18" x14ac:dyDescent="0.2">
      <c r="A743" t="s">
        <v>5</v>
      </c>
      <c r="B743">
        <v>4</v>
      </c>
      <c r="C743" t="s">
        <v>6</v>
      </c>
      <c r="D743" s="2">
        <v>43672</v>
      </c>
      <c r="E743" s="11">
        <v>207</v>
      </c>
      <c r="F743" s="3">
        <v>0.47632999999768799</v>
      </c>
      <c r="G743" s="3">
        <v>0.47980000000097789</v>
      </c>
      <c r="H743" s="13">
        <f t="shared" si="15"/>
        <v>207.47632999999769</v>
      </c>
      <c r="I743" s="13">
        <f t="shared" si="16"/>
        <v>207.47980000000098</v>
      </c>
      <c r="J743" s="13">
        <f t="shared" si="17"/>
        <v>207.47806499999933</v>
      </c>
      <c r="K743" s="7">
        <v>43672.478065000003</v>
      </c>
      <c r="L743" s="4">
        <v>1738.7</v>
      </c>
      <c r="N743">
        <v>26.11</v>
      </c>
      <c r="Q743">
        <v>10.526307855372201</v>
      </c>
      <c r="R743">
        <v>-1.6546996515405001E-4</v>
      </c>
    </row>
    <row r="744" spans="1:18" x14ac:dyDescent="0.2">
      <c r="A744" t="s">
        <v>5</v>
      </c>
      <c r="B744">
        <v>5</v>
      </c>
      <c r="C744" t="s">
        <v>4</v>
      </c>
      <c r="D744" s="2">
        <v>43672</v>
      </c>
      <c r="E744" s="11">
        <v>207</v>
      </c>
      <c r="F744" s="3">
        <v>0.48118999999860534</v>
      </c>
      <c r="G744" s="3">
        <v>0.48466000000189524</v>
      </c>
      <c r="H744" s="13">
        <f t="shared" si="15"/>
        <v>207.48118999999861</v>
      </c>
      <c r="I744" s="13">
        <f t="shared" si="16"/>
        <v>207.4846600000019</v>
      </c>
      <c r="J744" s="13">
        <f t="shared" si="17"/>
        <v>207.48292500000025</v>
      </c>
      <c r="K744" s="7">
        <v>43672.482925000004</v>
      </c>
      <c r="L744" s="4">
        <v>1758.7</v>
      </c>
      <c r="M744">
        <v>15.3</v>
      </c>
      <c r="N744">
        <v>26.11</v>
      </c>
      <c r="Q744">
        <v>-15.4504338969743</v>
      </c>
      <c r="R744" s="6">
        <v>6.0784090954816703E-5</v>
      </c>
    </row>
    <row r="745" spans="1:18" x14ac:dyDescent="0.2">
      <c r="A745" t="s">
        <v>5</v>
      </c>
      <c r="B745">
        <v>5</v>
      </c>
      <c r="C745" t="s">
        <v>6</v>
      </c>
      <c r="D745" s="2">
        <v>43672</v>
      </c>
      <c r="E745" s="11">
        <v>207</v>
      </c>
      <c r="F745" s="3">
        <v>0.4860499999995227</v>
      </c>
      <c r="G745" s="3">
        <v>0.48952999999892199</v>
      </c>
      <c r="H745" s="13">
        <f t="shared" si="15"/>
        <v>207.48604999999952</v>
      </c>
      <c r="I745" s="13">
        <f t="shared" si="16"/>
        <v>207.48952999999892</v>
      </c>
      <c r="J745" s="13">
        <f t="shared" si="17"/>
        <v>207.48778999999922</v>
      </c>
      <c r="K745" s="7">
        <v>43672.487789999999</v>
      </c>
      <c r="L745" s="4">
        <v>1778.7</v>
      </c>
      <c r="N745">
        <v>26.11</v>
      </c>
      <c r="Q745">
        <v>16.941184276545801</v>
      </c>
      <c r="R745" s="6">
        <v>5.0318432726382499E-5</v>
      </c>
    </row>
    <row r="746" spans="1:18" x14ac:dyDescent="0.2">
      <c r="A746" t="s">
        <v>5</v>
      </c>
      <c r="B746">
        <v>1</v>
      </c>
      <c r="C746" t="s">
        <v>4</v>
      </c>
      <c r="D746" s="2">
        <v>43676</v>
      </c>
      <c r="E746" s="11">
        <v>211</v>
      </c>
      <c r="F746" s="3">
        <v>0.39235999999800697</v>
      </c>
      <c r="G746" s="3">
        <v>0.39583000000129687</v>
      </c>
      <c r="H746" s="13">
        <f t="shared" si="15"/>
        <v>211.39235999999801</v>
      </c>
      <c r="I746" s="13">
        <f t="shared" si="16"/>
        <v>211.3958300000013</v>
      </c>
      <c r="J746" s="13">
        <f t="shared" si="17"/>
        <v>211.39409499999965</v>
      </c>
      <c r="K746" s="7">
        <v>43676.394094999996</v>
      </c>
      <c r="L746" s="4">
        <v>1231.2</v>
      </c>
      <c r="M746">
        <v>2.9</v>
      </c>
      <c r="N746">
        <v>28.33</v>
      </c>
      <c r="O746">
        <v>32</v>
      </c>
      <c r="P746">
        <v>0.83</v>
      </c>
      <c r="Q746">
        <v>-9.06709166639207</v>
      </c>
      <c r="R746">
        <v>-7.1397400000000003E-4</v>
      </c>
    </row>
    <row r="747" spans="1:18" x14ac:dyDescent="0.2">
      <c r="A747" t="s">
        <v>5</v>
      </c>
      <c r="B747">
        <v>1</v>
      </c>
      <c r="C747" t="s">
        <v>6</v>
      </c>
      <c r="D747" s="2">
        <v>43676</v>
      </c>
      <c r="E747" s="11">
        <v>211</v>
      </c>
      <c r="F747" s="3">
        <v>0.39721999999892432</v>
      </c>
      <c r="G747" s="3">
        <v>0.40069000000221422</v>
      </c>
      <c r="H747" s="13">
        <f t="shared" si="15"/>
        <v>211.39721999999892</v>
      </c>
      <c r="I747" s="13">
        <f t="shared" si="16"/>
        <v>211.40069000000221</v>
      </c>
      <c r="J747" s="13">
        <f t="shared" si="17"/>
        <v>211.39895500000057</v>
      </c>
      <c r="K747" s="7">
        <v>43676.398954999997</v>
      </c>
      <c r="L747" s="4">
        <v>1271.2</v>
      </c>
      <c r="N747">
        <v>28.33</v>
      </c>
      <c r="Q747">
        <v>8.9969798646176393</v>
      </c>
      <c r="R747">
        <v>3.1303339999999998E-3</v>
      </c>
    </row>
    <row r="748" spans="1:18" x14ac:dyDescent="0.2">
      <c r="A748" t="s">
        <v>5</v>
      </c>
      <c r="B748">
        <v>2</v>
      </c>
      <c r="C748" t="s">
        <v>4</v>
      </c>
      <c r="D748" s="2">
        <v>43676</v>
      </c>
      <c r="E748" s="11">
        <v>211</v>
      </c>
      <c r="F748" s="3">
        <v>0.40207999999984168</v>
      </c>
      <c r="G748" s="3">
        <v>0.40555999999924097</v>
      </c>
      <c r="H748" s="13">
        <f t="shared" si="15"/>
        <v>211.40207999999984</v>
      </c>
      <c r="I748" s="13">
        <f t="shared" si="16"/>
        <v>211.40555999999924</v>
      </c>
      <c r="J748" s="13">
        <f t="shared" si="17"/>
        <v>211.40381999999954</v>
      </c>
      <c r="K748" s="7">
        <v>43676.40382</v>
      </c>
      <c r="L748" s="4">
        <v>1306.2</v>
      </c>
      <c r="M748">
        <v>3.1</v>
      </c>
      <c r="N748">
        <v>28.33</v>
      </c>
      <c r="O748">
        <v>42.1</v>
      </c>
      <c r="P748">
        <v>0.84</v>
      </c>
      <c r="Q748">
        <v>-14.547253613423599</v>
      </c>
      <c r="R748" s="6">
        <v>3.4400000000000003E-5</v>
      </c>
    </row>
    <row r="749" spans="1:18" x14ac:dyDescent="0.2">
      <c r="A749" t="s">
        <v>5</v>
      </c>
      <c r="B749">
        <v>2</v>
      </c>
      <c r="C749" t="s">
        <v>6</v>
      </c>
      <c r="D749" s="2">
        <v>43676</v>
      </c>
      <c r="E749" s="11">
        <v>211</v>
      </c>
      <c r="F749" s="3">
        <v>0.40694000000075903</v>
      </c>
      <c r="G749" s="3">
        <v>0.41042000000015832</v>
      </c>
      <c r="H749" s="13">
        <f t="shared" si="15"/>
        <v>211.40694000000076</v>
      </c>
      <c r="I749" s="13">
        <f t="shared" si="16"/>
        <v>211.41042000000016</v>
      </c>
      <c r="J749" s="13">
        <f t="shared" si="17"/>
        <v>211.40868000000046</v>
      </c>
      <c r="K749" s="7">
        <v>43676.40868</v>
      </c>
      <c r="L749" s="4">
        <v>1333.7</v>
      </c>
      <c r="N749">
        <v>28.33</v>
      </c>
      <c r="Q749">
        <v>0.62963455086900799</v>
      </c>
      <c r="R749">
        <v>7.5722400000000003E-4</v>
      </c>
    </row>
    <row r="750" spans="1:18" x14ac:dyDescent="0.2">
      <c r="A750" t="s">
        <v>5</v>
      </c>
      <c r="B750">
        <v>3</v>
      </c>
      <c r="C750" t="s">
        <v>4</v>
      </c>
      <c r="D750" s="2">
        <v>43676</v>
      </c>
      <c r="E750" s="11">
        <v>211</v>
      </c>
      <c r="F750" s="3">
        <v>0.41180999999778578</v>
      </c>
      <c r="G750" s="3">
        <v>0.41528000000107568</v>
      </c>
      <c r="H750" s="13">
        <f t="shared" si="15"/>
        <v>211.41180999999779</v>
      </c>
      <c r="I750" s="13">
        <f t="shared" si="16"/>
        <v>211.41528000000108</v>
      </c>
      <c r="J750" s="13">
        <f t="shared" si="17"/>
        <v>211.41354499999943</v>
      </c>
      <c r="K750" s="7">
        <v>43676.413545000003</v>
      </c>
      <c r="L750" s="4">
        <v>1383.7</v>
      </c>
      <c r="M750">
        <v>4.2</v>
      </c>
      <c r="N750">
        <v>28.33</v>
      </c>
      <c r="O750">
        <v>36.9</v>
      </c>
      <c r="P750">
        <v>0.83</v>
      </c>
      <c r="Q750">
        <v>-13.670085845968201</v>
      </c>
      <c r="R750">
        <v>-2.3670900000000001E-4</v>
      </c>
    </row>
    <row r="751" spans="1:18" x14ac:dyDescent="0.2">
      <c r="A751" t="s">
        <v>5</v>
      </c>
      <c r="B751">
        <v>3</v>
      </c>
      <c r="C751" t="s">
        <v>6</v>
      </c>
      <c r="D751" s="2">
        <v>43676</v>
      </c>
      <c r="E751" s="11">
        <v>211</v>
      </c>
      <c r="F751" s="3">
        <v>0.41666999999870313</v>
      </c>
      <c r="G751" s="3">
        <v>0.42014000000199303</v>
      </c>
      <c r="H751" s="13">
        <f t="shared" si="15"/>
        <v>211.4166699999987</v>
      </c>
      <c r="I751" s="13">
        <f t="shared" si="16"/>
        <v>211.42014000000199</v>
      </c>
      <c r="J751" s="13">
        <f t="shared" si="17"/>
        <v>211.41840500000035</v>
      </c>
      <c r="K751" s="7">
        <v>43676.418405000004</v>
      </c>
      <c r="L751" s="4">
        <v>1416.2</v>
      </c>
      <c r="N751">
        <v>28.33</v>
      </c>
      <c r="Q751">
        <v>31.533559706363199</v>
      </c>
      <c r="R751">
        <v>-1.4768499999999999E-4</v>
      </c>
    </row>
    <row r="752" spans="1:18" x14ac:dyDescent="0.2">
      <c r="A752" t="s">
        <v>5</v>
      </c>
      <c r="B752">
        <v>4</v>
      </c>
      <c r="C752" t="s">
        <v>4</v>
      </c>
      <c r="D752" s="2">
        <v>43676</v>
      </c>
      <c r="E752" s="11">
        <v>211</v>
      </c>
      <c r="F752" s="3">
        <v>0.42152999999962049</v>
      </c>
      <c r="G752" s="3">
        <v>0.42500000000291038</v>
      </c>
      <c r="H752" s="13">
        <f t="shared" si="15"/>
        <v>211.42152999999962</v>
      </c>
      <c r="I752" s="13">
        <f t="shared" si="16"/>
        <v>211.42500000000291</v>
      </c>
      <c r="J752" s="13">
        <f t="shared" si="17"/>
        <v>211.42326500000127</v>
      </c>
      <c r="K752" s="7">
        <v>43676.423265000005</v>
      </c>
      <c r="L752" s="4">
        <v>1451.2</v>
      </c>
      <c r="M752">
        <v>4.0999999999999996</v>
      </c>
      <c r="N752">
        <v>28.33</v>
      </c>
      <c r="O752">
        <v>34.299999999999997</v>
      </c>
      <c r="P752">
        <v>0.85</v>
      </c>
      <c r="Q752">
        <v>-11.771412094589801</v>
      </c>
      <c r="R752" s="6">
        <v>-4.6900000000000002E-5</v>
      </c>
    </row>
    <row r="753" spans="1:18" x14ac:dyDescent="0.2">
      <c r="A753" t="s">
        <v>5</v>
      </c>
      <c r="B753">
        <v>4</v>
      </c>
      <c r="C753" t="s">
        <v>6</v>
      </c>
      <c r="D753" s="2">
        <v>43676</v>
      </c>
      <c r="E753" s="11">
        <v>211</v>
      </c>
      <c r="F753" s="3">
        <v>0.42639000000053784</v>
      </c>
      <c r="G753" s="3">
        <v>0.42985999999655178</v>
      </c>
      <c r="H753" s="13">
        <f t="shared" si="15"/>
        <v>211.42639000000054</v>
      </c>
      <c r="I753" s="13">
        <f t="shared" si="16"/>
        <v>211.42985999999655</v>
      </c>
      <c r="J753" s="13">
        <f t="shared" si="17"/>
        <v>211.42812499999854</v>
      </c>
      <c r="K753" s="7">
        <v>43676.428124999999</v>
      </c>
      <c r="L753" s="4">
        <v>1488.7</v>
      </c>
      <c r="N753">
        <v>28.33</v>
      </c>
      <c r="Q753">
        <v>8.7980573074863209</v>
      </c>
      <c r="R753" s="6">
        <v>-5.1799999999999999E-5</v>
      </c>
    </row>
    <row r="754" spans="1:18" x14ac:dyDescent="0.2">
      <c r="A754" t="s">
        <v>5</v>
      </c>
      <c r="B754">
        <v>5</v>
      </c>
      <c r="C754" t="s">
        <v>4</v>
      </c>
      <c r="D754" s="2">
        <v>43676</v>
      </c>
      <c r="E754" s="11">
        <v>211</v>
      </c>
      <c r="F754" s="3">
        <v>0.43125000000145519</v>
      </c>
      <c r="G754" s="3">
        <v>0.43471999999746913</v>
      </c>
      <c r="H754" s="13">
        <f t="shared" si="15"/>
        <v>211.43125000000146</v>
      </c>
      <c r="I754" s="13">
        <f t="shared" si="16"/>
        <v>211.43471999999747</v>
      </c>
      <c r="J754" s="13">
        <f t="shared" si="17"/>
        <v>211.43298499999946</v>
      </c>
      <c r="K754" s="7">
        <v>43676.432984999999</v>
      </c>
      <c r="L754" s="4">
        <v>1523.7</v>
      </c>
      <c r="M754">
        <v>5.7</v>
      </c>
      <c r="N754">
        <v>28.33</v>
      </c>
      <c r="O754">
        <v>39.4</v>
      </c>
      <c r="P754">
        <v>0.76</v>
      </c>
      <c r="Q754">
        <v>-12.166529318540301</v>
      </c>
      <c r="R754" s="6">
        <v>1.2E-5</v>
      </c>
    </row>
    <row r="755" spans="1:18" x14ac:dyDescent="0.2">
      <c r="A755" t="s">
        <v>5</v>
      </c>
      <c r="B755">
        <v>5</v>
      </c>
      <c r="C755" t="s">
        <v>6</v>
      </c>
      <c r="D755" s="2">
        <v>43676</v>
      </c>
      <c r="E755" s="11">
        <v>211</v>
      </c>
      <c r="F755" s="3">
        <v>0.43611000000237254</v>
      </c>
      <c r="G755" s="3">
        <v>0.43957999999838648</v>
      </c>
      <c r="H755" s="13">
        <f t="shared" si="15"/>
        <v>211.43611000000237</v>
      </c>
      <c r="I755" s="13">
        <f t="shared" si="16"/>
        <v>211.43957999999839</v>
      </c>
      <c r="J755" s="13">
        <f t="shared" si="17"/>
        <v>211.43784500000038</v>
      </c>
      <c r="K755" s="7">
        <v>43676.437845</v>
      </c>
      <c r="L755" s="4">
        <v>1546.2</v>
      </c>
      <c r="N755">
        <v>28.33</v>
      </c>
      <c r="Q755">
        <v>9.2753198863164492</v>
      </c>
      <c r="R755">
        <v>1.68089E-3</v>
      </c>
    </row>
    <row r="756" spans="1:18" x14ac:dyDescent="0.2">
      <c r="A756" t="s">
        <v>5</v>
      </c>
      <c r="B756">
        <v>1</v>
      </c>
      <c r="C756" t="s">
        <v>4</v>
      </c>
      <c r="D756" s="2">
        <v>43676</v>
      </c>
      <c r="E756" s="11">
        <v>211</v>
      </c>
      <c r="F756" s="3">
        <v>0.59236000000237254</v>
      </c>
      <c r="G756" s="3">
        <v>0.59582999999838648</v>
      </c>
      <c r="H756" s="13">
        <f t="shared" si="15"/>
        <v>211.59236000000237</v>
      </c>
      <c r="I756" s="13">
        <f t="shared" si="16"/>
        <v>211.59582999999839</v>
      </c>
      <c r="J756" s="13">
        <f t="shared" si="17"/>
        <v>211.59409500000038</v>
      </c>
      <c r="K756" s="7">
        <v>43676.594095</v>
      </c>
      <c r="L756" s="4">
        <v>1943.7</v>
      </c>
      <c r="M756">
        <v>2.7</v>
      </c>
      <c r="N756">
        <v>31.67</v>
      </c>
      <c r="O756">
        <v>42.1</v>
      </c>
      <c r="P756">
        <v>0.79</v>
      </c>
      <c r="Q756">
        <v>-10.1591803600607</v>
      </c>
      <c r="R756">
        <v>-1.10314E-4</v>
      </c>
    </row>
    <row r="757" spans="1:18" x14ac:dyDescent="0.2">
      <c r="A757" t="s">
        <v>5</v>
      </c>
      <c r="B757">
        <v>1</v>
      </c>
      <c r="C757" t="s">
        <v>6</v>
      </c>
      <c r="D757" s="2">
        <v>43676</v>
      </c>
      <c r="E757" s="11">
        <v>211</v>
      </c>
      <c r="F757" s="3">
        <v>0.5972200000032899</v>
      </c>
      <c r="G757" s="3">
        <v>0.60068999999930384</v>
      </c>
      <c r="H757" s="13">
        <f t="shared" si="15"/>
        <v>211.59722000000329</v>
      </c>
      <c r="I757" s="13">
        <f t="shared" si="16"/>
        <v>211.6006899999993</v>
      </c>
      <c r="J757" s="13">
        <f t="shared" si="17"/>
        <v>211.5989550000013</v>
      </c>
      <c r="K757" s="7">
        <v>43676.598955000001</v>
      </c>
      <c r="L757" s="4">
        <v>1981.2</v>
      </c>
      <c r="N757">
        <v>32.78</v>
      </c>
      <c r="Q757">
        <v>18.974667096833901</v>
      </c>
      <c r="R757" s="6">
        <v>5.7000000000000003E-5</v>
      </c>
    </row>
    <row r="758" spans="1:18" x14ac:dyDescent="0.2">
      <c r="A758" t="s">
        <v>5</v>
      </c>
      <c r="B758">
        <v>2</v>
      </c>
      <c r="C758" t="s">
        <v>4</v>
      </c>
      <c r="D758" s="2">
        <v>43676</v>
      </c>
      <c r="E758" s="11">
        <v>211</v>
      </c>
      <c r="F758" s="3">
        <v>0.60207999999693129</v>
      </c>
      <c r="G758" s="3">
        <v>0.60556000000360655</v>
      </c>
      <c r="H758" s="13">
        <f t="shared" si="15"/>
        <v>211.60207999999693</v>
      </c>
      <c r="I758" s="13">
        <f t="shared" si="16"/>
        <v>211.60556000000361</v>
      </c>
      <c r="J758" s="13">
        <f t="shared" si="17"/>
        <v>211.60382000000027</v>
      </c>
      <c r="K758" s="7">
        <v>43676.603820000004</v>
      </c>
      <c r="L758" s="4">
        <v>1951.2</v>
      </c>
      <c r="M758">
        <v>1.9</v>
      </c>
      <c r="N758">
        <v>32.78</v>
      </c>
      <c r="O758">
        <v>36.9</v>
      </c>
      <c r="P758">
        <v>0.79</v>
      </c>
      <c r="Q758">
        <v>-6.2010424550988104</v>
      </c>
      <c r="R758">
        <v>-2.3713200000000001E-4</v>
      </c>
    </row>
    <row r="759" spans="1:18" x14ac:dyDescent="0.2">
      <c r="A759" t="s">
        <v>5</v>
      </c>
      <c r="B759">
        <v>2</v>
      </c>
      <c r="C759" t="s">
        <v>6</v>
      </c>
      <c r="D759" s="2">
        <v>43676</v>
      </c>
      <c r="E759" s="11">
        <v>211</v>
      </c>
      <c r="F759" s="3">
        <v>0.60693999999784864</v>
      </c>
      <c r="G759" s="3">
        <v>0.61041999999724794</v>
      </c>
      <c r="H759" s="13">
        <f t="shared" si="15"/>
        <v>211.60693999999785</v>
      </c>
      <c r="I759" s="13">
        <f t="shared" si="16"/>
        <v>211.61041999999725</v>
      </c>
      <c r="J759" s="13">
        <f t="shared" si="17"/>
        <v>211.60867999999755</v>
      </c>
      <c r="K759" s="7">
        <v>43676.608679999998</v>
      </c>
      <c r="L759" s="4">
        <v>1948.7</v>
      </c>
      <c r="N759">
        <v>32.78</v>
      </c>
      <c r="Q759">
        <v>22.879279729536801</v>
      </c>
      <c r="R759" s="6">
        <v>-3.82E-5</v>
      </c>
    </row>
    <row r="760" spans="1:18" x14ac:dyDescent="0.2">
      <c r="A760" t="s">
        <v>5</v>
      </c>
      <c r="B760">
        <v>3</v>
      </c>
      <c r="C760" t="s">
        <v>4</v>
      </c>
      <c r="D760" s="2">
        <v>43676</v>
      </c>
      <c r="E760" s="11">
        <v>211</v>
      </c>
      <c r="F760" s="3">
        <v>0.61181000000215136</v>
      </c>
      <c r="G760" s="3">
        <v>0.61527999999816529</v>
      </c>
      <c r="H760" s="13">
        <f t="shared" si="15"/>
        <v>211.61181000000215</v>
      </c>
      <c r="I760" s="13">
        <f t="shared" si="16"/>
        <v>211.61527999999817</v>
      </c>
      <c r="J760" s="13">
        <f t="shared" si="17"/>
        <v>211.61354500000016</v>
      </c>
      <c r="K760" s="7">
        <v>43676.613545</v>
      </c>
      <c r="L760" s="4">
        <v>853.7</v>
      </c>
      <c r="M760">
        <v>3.9</v>
      </c>
      <c r="N760">
        <v>32.78</v>
      </c>
      <c r="O760">
        <v>32.5</v>
      </c>
      <c r="P760">
        <v>0.79</v>
      </c>
      <c r="Q760">
        <v>-15.0709546552528</v>
      </c>
      <c r="R760">
        <v>3.3042829999999999E-3</v>
      </c>
    </row>
    <row r="761" spans="1:18" x14ac:dyDescent="0.2">
      <c r="A761" t="s">
        <v>5</v>
      </c>
      <c r="B761">
        <v>3</v>
      </c>
      <c r="C761" t="s">
        <v>6</v>
      </c>
      <c r="D761" s="2">
        <v>43676</v>
      </c>
      <c r="E761" s="11">
        <v>211</v>
      </c>
      <c r="F761" s="3">
        <v>0.61667000000306871</v>
      </c>
      <c r="G761" s="3">
        <v>0.62013999999908265</v>
      </c>
      <c r="H761" s="13">
        <f t="shared" si="15"/>
        <v>211.61667000000307</v>
      </c>
      <c r="I761" s="13">
        <f t="shared" si="16"/>
        <v>211.62013999999908</v>
      </c>
      <c r="J761" s="13">
        <f t="shared" si="17"/>
        <v>211.61840500000108</v>
      </c>
      <c r="K761" s="7">
        <v>43676.618405000001</v>
      </c>
      <c r="L761" s="4">
        <v>821.2</v>
      </c>
      <c r="N761">
        <v>32.78</v>
      </c>
      <c r="Q761">
        <v>13.6488800746887</v>
      </c>
      <c r="R761">
        <v>3.400106E-3</v>
      </c>
    </row>
    <row r="762" spans="1:18" x14ac:dyDescent="0.2">
      <c r="A762" t="s">
        <v>5</v>
      </c>
      <c r="B762">
        <v>4</v>
      </c>
      <c r="C762" t="s">
        <v>4</v>
      </c>
      <c r="D762" s="2">
        <v>43676</v>
      </c>
      <c r="E762" s="11">
        <v>211</v>
      </c>
      <c r="F762" s="3">
        <v>0.6215299999967101</v>
      </c>
      <c r="G762" s="3">
        <v>0.625</v>
      </c>
      <c r="H762" s="13">
        <f t="shared" si="15"/>
        <v>211.62152999999671</v>
      </c>
      <c r="I762" s="13">
        <f t="shared" si="16"/>
        <v>211.625</v>
      </c>
      <c r="J762" s="13">
        <f t="shared" si="17"/>
        <v>211.62326499999836</v>
      </c>
      <c r="K762" s="7">
        <v>43676.623265000002</v>
      </c>
      <c r="L762" s="4">
        <v>1961.2</v>
      </c>
      <c r="M762">
        <v>2</v>
      </c>
      <c r="N762">
        <v>32.78</v>
      </c>
      <c r="O762">
        <v>37</v>
      </c>
      <c r="P762">
        <v>0.82</v>
      </c>
      <c r="Q762">
        <v>-0.47641688327447601</v>
      </c>
      <c r="R762">
        <v>1.8750700000000001E-4</v>
      </c>
    </row>
    <row r="763" spans="1:18" x14ac:dyDescent="0.2">
      <c r="A763" t="s">
        <v>5</v>
      </c>
      <c r="B763">
        <v>4</v>
      </c>
      <c r="C763" t="s">
        <v>6</v>
      </c>
      <c r="D763" s="2">
        <v>43676</v>
      </c>
      <c r="E763" s="11">
        <v>211</v>
      </c>
      <c r="F763" s="3">
        <v>0.62638999999762746</v>
      </c>
      <c r="G763" s="3">
        <v>0.62986000000091735</v>
      </c>
      <c r="H763" s="13">
        <f t="shared" ref="H763:H826" si="18">E763+F763</f>
        <v>211.62638999999763</v>
      </c>
      <c r="I763" s="13">
        <f t="shared" ref="I763:I826" si="19">E763+G763</f>
        <v>211.62986000000092</v>
      </c>
      <c r="J763" s="13">
        <f t="shared" ref="J763:J826" si="20">AVERAGE(H763:I763)</f>
        <v>211.62812499999927</v>
      </c>
      <c r="K763" s="7">
        <v>43676.628125000003</v>
      </c>
      <c r="L763" s="4">
        <v>1841.2</v>
      </c>
      <c r="N763">
        <v>32.78</v>
      </c>
      <c r="Q763">
        <v>5.4662838206201201</v>
      </c>
      <c r="R763">
        <v>1.41302E-4</v>
      </c>
    </row>
    <row r="764" spans="1:18" x14ac:dyDescent="0.2">
      <c r="A764" t="s">
        <v>5</v>
      </c>
      <c r="B764">
        <v>5</v>
      </c>
      <c r="C764" t="s">
        <v>4</v>
      </c>
      <c r="D764" s="2">
        <v>43676</v>
      </c>
      <c r="E764" s="11">
        <v>211</v>
      </c>
      <c r="F764" s="3">
        <v>0.63124999999854481</v>
      </c>
      <c r="G764" s="3">
        <v>0.63472000000183471</v>
      </c>
      <c r="H764" s="13">
        <f t="shared" si="18"/>
        <v>211.63124999999854</v>
      </c>
      <c r="I764" s="13">
        <f t="shared" si="19"/>
        <v>211.63472000000183</v>
      </c>
      <c r="J764" s="13">
        <f t="shared" si="20"/>
        <v>211.63298500000019</v>
      </c>
      <c r="K764" s="7">
        <v>43676.632985000004</v>
      </c>
      <c r="L764" s="4">
        <v>1716.2</v>
      </c>
      <c r="M764">
        <v>0.8</v>
      </c>
      <c r="N764">
        <v>32.78</v>
      </c>
      <c r="O764">
        <v>39.5</v>
      </c>
      <c r="P764">
        <v>0.7</v>
      </c>
      <c r="Q764">
        <v>-7.2803970136722098</v>
      </c>
      <c r="R764">
        <v>7.0629500000000001E-4</v>
      </c>
    </row>
    <row r="765" spans="1:18" x14ac:dyDescent="0.2">
      <c r="A765" t="s">
        <v>5</v>
      </c>
      <c r="B765">
        <v>5</v>
      </c>
      <c r="C765" t="s">
        <v>6</v>
      </c>
      <c r="D765" s="2">
        <v>43676</v>
      </c>
      <c r="E765" s="11">
        <v>211</v>
      </c>
      <c r="F765" s="3">
        <v>0.63610999999946216</v>
      </c>
      <c r="G765" s="3">
        <v>0.63958000000275206</v>
      </c>
      <c r="H765" s="13">
        <f t="shared" si="18"/>
        <v>211.63610999999946</v>
      </c>
      <c r="I765" s="13">
        <f t="shared" si="19"/>
        <v>211.63958000000275</v>
      </c>
      <c r="J765" s="13">
        <f t="shared" si="20"/>
        <v>211.63784500000111</v>
      </c>
      <c r="K765" s="7">
        <v>43676.637845000005</v>
      </c>
      <c r="L765" s="4">
        <v>1728.7</v>
      </c>
      <c r="N765">
        <v>32.78</v>
      </c>
      <c r="Q765">
        <v>11.3627034457982</v>
      </c>
      <c r="R765">
        <v>3.6533148000000001E-2</v>
      </c>
    </row>
    <row r="766" spans="1:18" x14ac:dyDescent="0.2">
      <c r="A766" t="s">
        <v>5</v>
      </c>
      <c r="B766">
        <v>1</v>
      </c>
      <c r="C766" t="s">
        <v>4</v>
      </c>
      <c r="D766" s="2">
        <v>43684</v>
      </c>
      <c r="E766" s="11">
        <v>219</v>
      </c>
      <c r="F766" s="3">
        <v>0.43471999999746913</v>
      </c>
      <c r="G766" s="3">
        <v>0.43819000000075903</v>
      </c>
      <c r="H766" s="13">
        <f t="shared" si="18"/>
        <v>219.43471999999747</v>
      </c>
      <c r="I766" s="13">
        <f t="shared" si="19"/>
        <v>219.43819000000076</v>
      </c>
      <c r="J766" s="13">
        <f t="shared" si="20"/>
        <v>219.43645499999911</v>
      </c>
      <c r="K766" s="7">
        <v>43684.436455000003</v>
      </c>
      <c r="L766" s="4">
        <v>1506.2</v>
      </c>
      <c r="M766">
        <v>3.2</v>
      </c>
      <c r="N766">
        <v>25.56</v>
      </c>
      <c r="O766">
        <v>36.1</v>
      </c>
      <c r="P766">
        <v>0.84</v>
      </c>
      <c r="Q766">
        <v>-11.55094534</v>
      </c>
      <c r="R766">
        <v>-1.4078533969754E-4</v>
      </c>
    </row>
    <row r="767" spans="1:18" x14ac:dyDescent="0.2">
      <c r="A767" t="s">
        <v>5</v>
      </c>
      <c r="B767">
        <v>1</v>
      </c>
      <c r="C767" t="s">
        <v>6</v>
      </c>
      <c r="D767" s="2">
        <v>43684</v>
      </c>
      <c r="E767" s="11">
        <v>219</v>
      </c>
      <c r="F767" s="3">
        <v>0.44090999999752967</v>
      </c>
      <c r="G767" s="3">
        <v>0.44438999999692896</v>
      </c>
      <c r="H767" s="13">
        <f t="shared" si="18"/>
        <v>219.44090999999753</v>
      </c>
      <c r="I767" s="13">
        <f t="shared" si="19"/>
        <v>219.44438999999693</v>
      </c>
      <c r="J767" s="13">
        <f t="shared" si="20"/>
        <v>219.44264999999723</v>
      </c>
      <c r="K767" s="7">
        <v>43684.442649999997</v>
      </c>
      <c r="L767" s="4">
        <v>1533.7</v>
      </c>
      <c r="N767">
        <v>25.56</v>
      </c>
      <c r="Q767">
        <v>29.74967406</v>
      </c>
      <c r="R767">
        <v>-5.1838068877268996E-4</v>
      </c>
    </row>
    <row r="768" spans="1:18" x14ac:dyDescent="0.2">
      <c r="A768" t="s">
        <v>5</v>
      </c>
      <c r="B768">
        <v>2</v>
      </c>
      <c r="C768" t="s">
        <v>4</v>
      </c>
      <c r="D768" s="2">
        <v>43684</v>
      </c>
      <c r="E768" s="11">
        <v>219</v>
      </c>
      <c r="F768" s="3">
        <v>0.44681999999738764</v>
      </c>
      <c r="G768" s="3">
        <v>0.45029000000067754</v>
      </c>
      <c r="H768" s="13">
        <f t="shared" si="18"/>
        <v>219.44681999999739</v>
      </c>
      <c r="I768" s="13">
        <f t="shared" si="19"/>
        <v>219.45029000000068</v>
      </c>
      <c r="J768" s="13">
        <f t="shared" si="20"/>
        <v>219.44855499999903</v>
      </c>
      <c r="K768" s="7">
        <v>43684.448554999995</v>
      </c>
      <c r="L768" s="4">
        <v>1551.2</v>
      </c>
      <c r="M768">
        <v>4.7</v>
      </c>
      <c r="N768">
        <v>25.56</v>
      </c>
      <c r="O768">
        <v>40.299999999999997</v>
      </c>
      <c r="P768">
        <v>0.83</v>
      </c>
      <c r="Q768">
        <v>-10.86525003</v>
      </c>
      <c r="R768">
        <v>-5.3260419271857905E-4</v>
      </c>
    </row>
    <row r="769" spans="1:18" x14ac:dyDescent="0.2">
      <c r="A769" t="s">
        <v>5</v>
      </c>
      <c r="B769">
        <v>2</v>
      </c>
      <c r="C769" t="s">
        <v>6</v>
      </c>
      <c r="D769" s="2">
        <v>43684</v>
      </c>
      <c r="E769" s="11">
        <v>219</v>
      </c>
      <c r="F769" s="3">
        <v>0.45313000000169268</v>
      </c>
      <c r="G769" s="3">
        <v>0.45659999999770662</v>
      </c>
      <c r="H769" s="13">
        <f t="shared" si="18"/>
        <v>219.45313000000169</v>
      </c>
      <c r="I769" s="13">
        <f t="shared" si="19"/>
        <v>219.45659999999771</v>
      </c>
      <c r="J769" s="13">
        <f t="shared" si="20"/>
        <v>219.4548649999997</v>
      </c>
      <c r="K769" s="7">
        <v>43684.454865</v>
      </c>
      <c r="L769" s="4">
        <v>1688.7</v>
      </c>
      <c r="N769">
        <v>25.56</v>
      </c>
      <c r="Q769">
        <v>35.662731389999998</v>
      </c>
      <c r="R769">
        <v>-3.68135266780737E-4</v>
      </c>
    </row>
    <row r="770" spans="1:18" x14ac:dyDescent="0.2">
      <c r="A770" t="s">
        <v>5</v>
      </c>
      <c r="B770">
        <v>3</v>
      </c>
      <c r="C770" t="s">
        <v>4</v>
      </c>
      <c r="D770" s="2">
        <v>43684</v>
      </c>
      <c r="E770" s="11">
        <v>219</v>
      </c>
      <c r="F770" s="3">
        <v>0.45956000000296626</v>
      </c>
      <c r="G770" s="3">
        <v>0.4630299999989802</v>
      </c>
      <c r="H770" s="13">
        <f t="shared" si="18"/>
        <v>219.45956000000297</v>
      </c>
      <c r="I770" s="13">
        <f t="shared" si="19"/>
        <v>219.46302999999898</v>
      </c>
      <c r="J770" s="13">
        <f t="shared" si="20"/>
        <v>219.46129500000097</v>
      </c>
      <c r="K770" s="7">
        <v>43684.461295000001</v>
      </c>
      <c r="L770" s="4">
        <v>1661.2</v>
      </c>
      <c r="M770">
        <v>7.7</v>
      </c>
      <c r="N770">
        <v>25.56</v>
      </c>
      <c r="O770">
        <v>35.9</v>
      </c>
      <c r="P770">
        <v>0.83</v>
      </c>
      <c r="Q770">
        <v>-5.0602860859999996</v>
      </c>
      <c r="R770">
        <v>-2.1667038971766699E-4</v>
      </c>
    </row>
    <row r="771" spans="1:18" x14ac:dyDescent="0.2">
      <c r="A771" t="s">
        <v>5</v>
      </c>
      <c r="B771">
        <v>3</v>
      </c>
      <c r="C771" t="s">
        <v>6</v>
      </c>
      <c r="D771" s="2">
        <v>43684</v>
      </c>
      <c r="E771" s="11">
        <v>219</v>
      </c>
      <c r="F771" s="3">
        <v>0.46648999999888474</v>
      </c>
      <c r="G771" s="3">
        <v>0.46996999999828404</v>
      </c>
      <c r="H771" s="13">
        <f t="shared" si="18"/>
        <v>219.46648999999888</v>
      </c>
      <c r="I771" s="13">
        <f t="shared" si="19"/>
        <v>219.46996999999828</v>
      </c>
      <c r="J771" s="13">
        <f t="shared" si="20"/>
        <v>219.46822999999858</v>
      </c>
      <c r="K771" s="7">
        <v>43684.468229999999</v>
      </c>
      <c r="L771" s="4">
        <v>1826.2</v>
      </c>
      <c r="N771">
        <v>25.56</v>
      </c>
      <c r="Q771">
        <v>49.679934799999998</v>
      </c>
      <c r="R771">
        <v>-1.4445588037288601E-4</v>
      </c>
    </row>
    <row r="772" spans="1:18" x14ac:dyDescent="0.2">
      <c r="A772" t="s">
        <v>5</v>
      </c>
      <c r="B772">
        <v>4</v>
      </c>
      <c r="C772" t="s">
        <v>4</v>
      </c>
      <c r="D772" s="2">
        <v>43684</v>
      </c>
      <c r="E772" s="11">
        <v>219</v>
      </c>
      <c r="F772" s="3">
        <v>0.47303000000101747</v>
      </c>
      <c r="G772" s="3">
        <v>0.47649999999703141</v>
      </c>
      <c r="H772" s="13">
        <f t="shared" si="18"/>
        <v>219.47303000000102</v>
      </c>
      <c r="I772" s="13">
        <f t="shared" si="19"/>
        <v>219.47649999999703</v>
      </c>
      <c r="J772" s="13">
        <f t="shared" si="20"/>
        <v>219.47476499999902</v>
      </c>
      <c r="K772" s="7">
        <v>43684.474764999999</v>
      </c>
      <c r="L772" s="4">
        <v>931.2</v>
      </c>
      <c r="M772">
        <v>5.2</v>
      </c>
      <c r="N772">
        <v>25.56</v>
      </c>
      <c r="O772">
        <v>44.9</v>
      </c>
      <c r="P772">
        <v>0.82</v>
      </c>
      <c r="Q772">
        <v>-6.7156368459999998</v>
      </c>
      <c r="R772" s="6">
        <v>-8.4027305343072401E-5</v>
      </c>
    </row>
    <row r="773" spans="1:18" x14ac:dyDescent="0.2">
      <c r="A773" t="s">
        <v>5</v>
      </c>
      <c r="B773">
        <v>4</v>
      </c>
      <c r="C773" t="s">
        <v>6</v>
      </c>
      <c r="D773" s="2">
        <v>43684</v>
      </c>
      <c r="E773" s="11">
        <v>219</v>
      </c>
      <c r="F773" s="3">
        <v>0.47985999999946216</v>
      </c>
      <c r="G773" s="3">
        <v>0.48333000000275206</v>
      </c>
      <c r="H773" s="13">
        <f t="shared" si="18"/>
        <v>219.47985999999946</v>
      </c>
      <c r="I773" s="13">
        <f t="shared" si="19"/>
        <v>219.48333000000275</v>
      </c>
      <c r="J773" s="13">
        <f t="shared" si="20"/>
        <v>219.48159500000111</v>
      </c>
      <c r="K773" s="7">
        <v>43684.481595000005</v>
      </c>
      <c r="L773" s="4">
        <v>746.2</v>
      </c>
      <c r="N773">
        <v>25.56</v>
      </c>
      <c r="Q773">
        <v>17.213794400000001</v>
      </c>
      <c r="R773">
        <v>-2.9164924987336598E-4</v>
      </c>
    </row>
    <row r="774" spans="1:18" x14ac:dyDescent="0.2">
      <c r="A774" t="s">
        <v>5</v>
      </c>
      <c r="B774">
        <v>5</v>
      </c>
      <c r="C774" t="s">
        <v>4</v>
      </c>
      <c r="D774" s="2">
        <v>43684</v>
      </c>
      <c r="E774" s="11">
        <v>219</v>
      </c>
      <c r="F774" s="3">
        <v>0.48662000000331318</v>
      </c>
      <c r="G774" s="3">
        <v>0.49008999999932712</v>
      </c>
      <c r="H774" s="13">
        <f t="shared" si="18"/>
        <v>219.48662000000331</v>
      </c>
      <c r="I774" s="13">
        <f t="shared" si="19"/>
        <v>219.49008999999933</v>
      </c>
      <c r="J774" s="13">
        <f t="shared" si="20"/>
        <v>219.48835500000132</v>
      </c>
      <c r="K774" s="7">
        <v>43684.488355000001</v>
      </c>
      <c r="L774" s="4">
        <v>1118.7</v>
      </c>
      <c r="M774">
        <v>3.5</v>
      </c>
      <c r="N774">
        <v>26.67</v>
      </c>
      <c r="O774">
        <v>41.3</v>
      </c>
      <c r="P774">
        <v>0.84</v>
      </c>
      <c r="Q774">
        <v>-5.9018980990000003</v>
      </c>
      <c r="R774">
        <v>-2.2523216825322099E-4</v>
      </c>
    </row>
    <row r="775" spans="1:18" x14ac:dyDescent="0.2">
      <c r="A775" t="s">
        <v>5</v>
      </c>
      <c r="B775">
        <v>5</v>
      </c>
      <c r="C775" t="s">
        <v>6</v>
      </c>
      <c r="D775" s="2">
        <v>43684</v>
      </c>
      <c r="E775" s="11">
        <v>219</v>
      </c>
      <c r="F775" s="3">
        <v>0.49306000000069616</v>
      </c>
      <c r="G775" s="3">
        <v>0.4965299999967101</v>
      </c>
      <c r="H775" s="13">
        <f t="shared" si="18"/>
        <v>219.4930600000007</v>
      </c>
      <c r="I775" s="13">
        <f t="shared" si="19"/>
        <v>219.49652999999671</v>
      </c>
      <c r="J775" s="13">
        <f t="shared" si="20"/>
        <v>219.4947949999987</v>
      </c>
      <c r="K775" s="7">
        <v>43684.494794999999</v>
      </c>
      <c r="L775" s="4">
        <v>1918.7</v>
      </c>
      <c r="N775">
        <v>26.67</v>
      </c>
      <c r="Q775">
        <v>24.109396799999999</v>
      </c>
      <c r="R775">
        <v>-2.4822949837057602E-4</v>
      </c>
    </row>
    <row r="776" spans="1:18" x14ac:dyDescent="0.2">
      <c r="A776" t="s">
        <v>5</v>
      </c>
      <c r="B776">
        <v>1</v>
      </c>
      <c r="C776" t="s">
        <v>4</v>
      </c>
      <c r="D776" s="2">
        <v>43684</v>
      </c>
      <c r="E776" s="11">
        <v>219</v>
      </c>
      <c r="F776" s="3">
        <v>0.55660999999963678</v>
      </c>
      <c r="G776" s="3">
        <v>0.56008000000292668</v>
      </c>
      <c r="H776" s="13">
        <f t="shared" si="18"/>
        <v>219.55660999999964</v>
      </c>
      <c r="I776" s="13">
        <f t="shared" si="19"/>
        <v>219.56008000000293</v>
      </c>
      <c r="J776" s="13">
        <f t="shared" si="20"/>
        <v>219.55834500000128</v>
      </c>
      <c r="K776" s="7">
        <v>43684.558344999998</v>
      </c>
      <c r="L776" s="4">
        <v>1656.2</v>
      </c>
      <c r="M776">
        <v>2.2999999999999998</v>
      </c>
      <c r="N776">
        <v>27.78</v>
      </c>
      <c r="O776">
        <v>43.7</v>
      </c>
      <c r="P776">
        <v>0.75</v>
      </c>
      <c r="Q776">
        <v>-6.0011252749491399</v>
      </c>
      <c r="R776" s="6">
        <v>-2.9499999999999999E-5</v>
      </c>
    </row>
    <row r="777" spans="1:18" x14ac:dyDescent="0.2">
      <c r="A777" t="s">
        <v>5</v>
      </c>
      <c r="B777">
        <v>1</v>
      </c>
      <c r="C777" t="s">
        <v>6</v>
      </c>
      <c r="D777" s="2">
        <v>43684</v>
      </c>
      <c r="E777" s="11">
        <v>219</v>
      </c>
      <c r="F777" s="3">
        <v>0.56218999999691732</v>
      </c>
      <c r="G777" s="3">
        <v>0.56566000000020722</v>
      </c>
      <c r="H777" s="13">
        <f t="shared" si="18"/>
        <v>219.56218999999692</v>
      </c>
      <c r="I777" s="13">
        <f t="shared" si="19"/>
        <v>219.56566000000021</v>
      </c>
      <c r="J777" s="13">
        <f t="shared" si="20"/>
        <v>219.56392499999856</v>
      </c>
      <c r="K777" s="7">
        <v>43684.563924999995</v>
      </c>
      <c r="L777" s="4">
        <v>2156.1999999999998</v>
      </c>
      <c r="N777">
        <v>27.78</v>
      </c>
      <c r="Q777">
        <v>29.838820601966599</v>
      </c>
      <c r="R777">
        <v>-2.8870499999999999E-4</v>
      </c>
    </row>
    <row r="778" spans="1:18" x14ac:dyDescent="0.2">
      <c r="A778" t="s">
        <v>5</v>
      </c>
      <c r="B778">
        <v>2</v>
      </c>
      <c r="C778" t="s">
        <v>4</v>
      </c>
      <c r="D778" s="2">
        <v>43684</v>
      </c>
      <c r="E778" s="11">
        <v>219</v>
      </c>
      <c r="F778" s="3">
        <v>0.56805999999778578</v>
      </c>
      <c r="G778" s="3">
        <v>0.57153000000107568</v>
      </c>
      <c r="H778" s="13">
        <f t="shared" si="18"/>
        <v>219.56805999999779</v>
      </c>
      <c r="I778" s="13">
        <f t="shared" si="19"/>
        <v>219.57153000000108</v>
      </c>
      <c r="J778" s="13">
        <f t="shared" si="20"/>
        <v>219.56979499999943</v>
      </c>
      <c r="K778" s="7">
        <v>43684.569795000003</v>
      </c>
      <c r="L778" s="4">
        <v>656.2</v>
      </c>
      <c r="M778">
        <v>2.2999999999999998</v>
      </c>
      <c r="N778">
        <v>27.78</v>
      </c>
      <c r="O778">
        <v>40.299999999999997</v>
      </c>
      <c r="P778">
        <v>0.75</v>
      </c>
      <c r="Q778">
        <v>-4.0152110405527699</v>
      </c>
      <c r="R778">
        <v>-2.0147599999999999E-4</v>
      </c>
    </row>
    <row r="779" spans="1:18" x14ac:dyDescent="0.2">
      <c r="A779" t="s">
        <v>5</v>
      </c>
      <c r="B779">
        <v>2</v>
      </c>
      <c r="C779" t="s">
        <v>6</v>
      </c>
      <c r="D779" s="2">
        <v>43684</v>
      </c>
      <c r="E779" s="11">
        <v>219</v>
      </c>
      <c r="F779" s="3">
        <v>0.57463000000279862</v>
      </c>
      <c r="G779" s="3">
        <v>0.57809999999881256</v>
      </c>
      <c r="H779" s="13">
        <f t="shared" si="18"/>
        <v>219.5746300000028</v>
      </c>
      <c r="I779" s="13">
        <f t="shared" si="19"/>
        <v>219.57809999999881</v>
      </c>
      <c r="J779" s="13">
        <f t="shared" si="20"/>
        <v>219.57636500000081</v>
      </c>
      <c r="K779" s="7">
        <v>43684.576365000001</v>
      </c>
      <c r="L779" s="4">
        <v>1198.7</v>
      </c>
      <c r="N779">
        <v>27.78</v>
      </c>
      <c r="Q779">
        <v>30.526116590412499</v>
      </c>
      <c r="R779">
        <v>7.0503600000000003E-3</v>
      </c>
    </row>
    <row r="780" spans="1:18" x14ac:dyDescent="0.2">
      <c r="A780" t="s">
        <v>5</v>
      </c>
      <c r="B780">
        <v>3</v>
      </c>
      <c r="C780" t="s">
        <v>4</v>
      </c>
      <c r="D780" s="2">
        <v>43684</v>
      </c>
      <c r="E780" s="11">
        <v>219</v>
      </c>
      <c r="F780" s="3">
        <v>0.58095000000321306</v>
      </c>
      <c r="G780" s="3">
        <v>0.584419999999227</v>
      </c>
      <c r="H780" s="13">
        <f t="shared" si="18"/>
        <v>219.58095000000321</v>
      </c>
      <c r="I780" s="13">
        <f t="shared" si="19"/>
        <v>219.58441999999923</v>
      </c>
      <c r="J780" s="13">
        <f t="shared" si="20"/>
        <v>219.58268500000122</v>
      </c>
      <c r="K780" s="7">
        <v>43684.582685000001</v>
      </c>
      <c r="L780" s="4">
        <v>1683.7</v>
      </c>
      <c r="M780">
        <v>7.7</v>
      </c>
      <c r="N780">
        <v>27.78</v>
      </c>
      <c r="O780">
        <v>37.700000000000003</v>
      </c>
      <c r="P780">
        <v>0.81</v>
      </c>
      <c r="Q780">
        <v>-7.7665341065816298</v>
      </c>
      <c r="R780">
        <v>-2.84075E-3</v>
      </c>
    </row>
    <row r="781" spans="1:18" x14ac:dyDescent="0.2">
      <c r="A781" t="s">
        <v>5</v>
      </c>
      <c r="B781">
        <v>3</v>
      </c>
      <c r="C781" t="s">
        <v>6</v>
      </c>
      <c r="D781" s="2">
        <v>43684</v>
      </c>
      <c r="E781" s="11">
        <v>219</v>
      </c>
      <c r="F781" s="3">
        <v>0.58735999999771593</v>
      </c>
      <c r="G781" s="3">
        <v>0.59083000000100583</v>
      </c>
      <c r="H781" s="13">
        <f t="shared" si="18"/>
        <v>219.58735999999772</v>
      </c>
      <c r="I781" s="13">
        <f t="shared" si="19"/>
        <v>219.59083000000101</v>
      </c>
      <c r="J781" s="13">
        <f t="shared" si="20"/>
        <v>219.58909499999936</v>
      </c>
      <c r="K781" s="7">
        <v>43684.589095000003</v>
      </c>
      <c r="L781" s="4">
        <v>1773.7</v>
      </c>
      <c r="N781">
        <v>27.78</v>
      </c>
      <c r="Q781">
        <v>40.198948508238502</v>
      </c>
      <c r="R781" s="6">
        <v>2.05E-7</v>
      </c>
    </row>
    <row r="782" spans="1:18" x14ac:dyDescent="0.2">
      <c r="A782" t="s">
        <v>5</v>
      </c>
      <c r="B782">
        <v>4</v>
      </c>
      <c r="C782" t="s">
        <v>4</v>
      </c>
      <c r="D782" s="2">
        <v>43684</v>
      </c>
      <c r="E782" s="11">
        <v>219</v>
      </c>
      <c r="F782" s="3">
        <v>0.59348000000318279</v>
      </c>
      <c r="G782" s="3">
        <v>0.59696000000258209</v>
      </c>
      <c r="H782" s="13">
        <f t="shared" si="18"/>
        <v>219.59348000000318</v>
      </c>
      <c r="I782" s="13">
        <f t="shared" si="19"/>
        <v>219.59696000000258</v>
      </c>
      <c r="J782" s="13">
        <f t="shared" si="20"/>
        <v>219.59522000000288</v>
      </c>
      <c r="K782" s="7">
        <v>43684.595220000003</v>
      </c>
      <c r="L782" s="4">
        <v>1921.2</v>
      </c>
      <c r="M782">
        <v>3.9</v>
      </c>
      <c r="N782">
        <v>28.89</v>
      </c>
      <c r="O782">
        <v>49.6</v>
      </c>
      <c r="P782">
        <v>0.81</v>
      </c>
      <c r="Q782">
        <v>-4.5973835595273496</v>
      </c>
      <c r="R782" s="6">
        <v>-4.07E-8</v>
      </c>
    </row>
    <row r="783" spans="1:18" x14ac:dyDescent="0.2">
      <c r="A783" t="s">
        <v>5</v>
      </c>
      <c r="B783">
        <v>4</v>
      </c>
      <c r="C783" t="s">
        <v>6</v>
      </c>
      <c r="D783" s="2">
        <v>43684</v>
      </c>
      <c r="E783" s="11">
        <v>219</v>
      </c>
      <c r="F783" s="3">
        <v>0.59982999999920139</v>
      </c>
      <c r="G783" s="3">
        <v>0.60330000000249129</v>
      </c>
      <c r="H783" s="13">
        <f t="shared" si="18"/>
        <v>219.5998299999992</v>
      </c>
      <c r="I783" s="13">
        <f t="shared" si="19"/>
        <v>219.60330000000249</v>
      </c>
      <c r="J783" s="13">
        <f t="shared" si="20"/>
        <v>219.60156500000085</v>
      </c>
      <c r="K783" s="7">
        <v>43684.601565000004</v>
      </c>
      <c r="L783" s="4">
        <v>1698.7</v>
      </c>
      <c r="N783">
        <v>28.89</v>
      </c>
      <c r="Q783">
        <v>15.946684783885001</v>
      </c>
      <c r="R783" s="6">
        <v>3.9700000000000002E-7</v>
      </c>
    </row>
    <row r="784" spans="1:18" x14ac:dyDescent="0.2">
      <c r="A784" t="s">
        <v>5</v>
      </c>
      <c r="B784">
        <v>5</v>
      </c>
      <c r="C784" t="s">
        <v>4</v>
      </c>
      <c r="D784" s="2">
        <v>43684</v>
      </c>
      <c r="E784" s="11">
        <v>219</v>
      </c>
      <c r="F784" s="3">
        <v>0.60613000000012107</v>
      </c>
      <c r="G784" s="3">
        <v>0.60960999999952037</v>
      </c>
      <c r="H784" s="13">
        <f t="shared" si="18"/>
        <v>219.60613000000012</v>
      </c>
      <c r="I784" s="13">
        <f t="shared" si="19"/>
        <v>219.60960999999952</v>
      </c>
      <c r="J784" s="13">
        <f t="shared" si="20"/>
        <v>219.60786999999982</v>
      </c>
      <c r="K784" s="7">
        <v>43684.60787</v>
      </c>
      <c r="L784" s="4">
        <v>818.7</v>
      </c>
      <c r="M784">
        <v>0.9</v>
      </c>
      <c r="N784">
        <v>28.89</v>
      </c>
      <c r="O784">
        <v>42.5</v>
      </c>
      <c r="P784">
        <v>0.76</v>
      </c>
      <c r="Q784">
        <v>-6.0937826280620904</v>
      </c>
      <c r="R784" s="6">
        <v>7.6300000000000002E-8</v>
      </c>
    </row>
    <row r="785" spans="1:18" x14ac:dyDescent="0.2">
      <c r="A785" t="s">
        <v>5</v>
      </c>
      <c r="B785">
        <v>5</v>
      </c>
      <c r="C785" t="s">
        <v>6</v>
      </c>
      <c r="D785" s="2">
        <v>43684</v>
      </c>
      <c r="E785" s="11">
        <v>219</v>
      </c>
      <c r="F785" s="3">
        <v>0.61250000000291038</v>
      </c>
      <c r="G785" s="3">
        <v>0.61596999999892432</v>
      </c>
      <c r="H785" s="13">
        <f t="shared" si="18"/>
        <v>219.61250000000291</v>
      </c>
      <c r="I785" s="13">
        <f t="shared" si="19"/>
        <v>219.61596999999892</v>
      </c>
      <c r="J785" s="13">
        <f t="shared" si="20"/>
        <v>219.61423500000092</v>
      </c>
      <c r="K785" s="7">
        <v>43684.614235000001</v>
      </c>
      <c r="L785" s="4">
        <v>1661.2</v>
      </c>
      <c r="N785">
        <v>28.89</v>
      </c>
      <c r="Q785">
        <v>24.659175066951299</v>
      </c>
      <c r="R785" s="6">
        <v>1.6400000000000001E-8</v>
      </c>
    </row>
    <row r="786" spans="1:18" x14ac:dyDescent="0.2">
      <c r="A786" t="s">
        <v>5</v>
      </c>
      <c r="B786">
        <v>1</v>
      </c>
      <c r="C786" t="s">
        <v>4</v>
      </c>
      <c r="D786" s="2">
        <v>43689</v>
      </c>
      <c r="E786" s="11">
        <v>224</v>
      </c>
      <c r="F786" s="3">
        <v>0.4406299999973271</v>
      </c>
      <c r="G786" s="3">
        <v>0.444100000000617</v>
      </c>
      <c r="H786" s="13">
        <f t="shared" si="18"/>
        <v>224.44062999999733</v>
      </c>
      <c r="I786" s="13">
        <f t="shared" si="19"/>
        <v>224.44410000000062</v>
      </c>
      <c r="J786" s="13">
        <f t="shared" si="20"/>
        <v>224.44236499999897</v>
      </c>
      <c r="K786" s="7">
        <v>43689.442364999995</v>
      </c>
      <c r="L786" s="4">
        <v>1493.7</v>
      </c>
      <c r="M786">
        <v>2.2999999999999998</v>
      </c>
      <c r="N786">
        <v>22.22</v>
      </c>
      <c r="O786">
        <v>34.700000000000003</v>
      </c>
      <c r="P786">
        <v>0.67</v>
      </c>
      <c r="Q786">
        <v>3.8178373613970198</v>
      </c>
      <c r="R786">
        <v>-3.43641E-4</v>
      </c>
    </row>
    <row r="787" spans="1:18" x14ac:dyDescent="0.2">
      <c r="A787" t="s">
        <v>5</v>
      </c>
      <c r="B787">
        <v>1</v>
      </c>
      <c r="C787" t="s">
        <v>6</v>
      </c>
      <c r="D787" s="2">
        <v>43689</v>
      </c>
      <c r="E787" s="11">
        <v>224</v>
      </c>
      <c r="F787" s="3">
        <v>0.4467000000004191</v>
      </c>
      <c r="G787" s="3">
        <v>0.45016999999643303</v>
      </c>
      <c r="H787" s="13">
        <f t="shared" si="18"/>
        <v>224.44670000000042</v>
      </c>
      <c r="I787" s="13">
        <f t="shared" si="19"/>
        <v>224.45016999999643</v>
      </c>
      <c r="J787" s="13">
        <f t="shared" si="20"/>
        <v>224.44843499999843</v>
      </c>
      <c r="K787" s="7">
        <v>43689.448434999998</v>
      </c>
      <c r="L787" s="4">
        <v>1523.7</v>
      </c>
      <c r="N787">
        <v>22.22</v>
      </c>
      <c r="Q787">
        <v>24.628849142218701</v>
      </c>
      <c r="R787">
        <v>-2.2737899999999999E-4</v>
      </c>
    </row>
    <row r="788" spans="1:18" x14ac:dyDescent="0.2">
      <c r="A788" t="s">
        <v>5</v>
      </c>
      <c r="B788">
        <v>2</v>
      </c>
      <c r="C788" t="s">
        <v>4</v>
      </c>
      <c r="D788" s="2">
        <v>43689</v>
      </c>
      <c r="E788" s="11">
        <v>224</v>
      </c>
      <c r="F788" s="3">
        <v>0.45347000000037951</v>
      </c>
      <c r="G788" s="3">
        <v>0.45693999999639345</v>
      </c>
      <c r="H788" s="13">
        <f t="shared" si="18"/>
        <v>224.45347000000038</v>
      </c>
      <c r="I788" s="13">
        <f t="shared" si="19"/>
        <v>224.45693999999639</v>
      </c>
      <c r="J788" s="13">
        <f t="shared" si="20"/>
        <v>224.45520499999839</v>
      </c>
      <c r="K788" s="7">
        <v>43689.455204999998</v>
      </c>
      <c r="L788" s="4">
        <v>1558.7</v>
      </c>
      <c r="M788">
        <v>2.2999999999999998</v>
      </c>
      <c r="N788">
        <v>22.22</v>
      </c>
      <c r="O788">
        <v>42</v>
      </c>
      <c r="P788">
        <v>0.76</v>
      </c>
      <c r="Q788">
        <v>3.9425131469966002</v>
      </c>
      <c r="R788">
        <v>-1.3715900000000001E-4</v>
      </c>
    </row>
    <row r="789" spans="1:18" x14ac:dyDescent="0.2">
      <c r="A789" t="s">
        <v>5</v>
      </c>
      <c r="B789">
        <v>2</v>
      </c>
      <c r="C789" t="s">
        <v>6</v>
      </c>
      <c r="D789" s="2">
        <v>43689</v>
      </c>
      <c r="E789" s="11">
        <v>224</v>
      </c>
      <c r="F789" s="3">
        <v>0.46080000000074506</v>
      </c>
      <c r="G789" s="3">
        <v>0.464269999996759</v>
      </c>
      <c r="H789" s="13">
        <f t="shared" si="18"/>
        <v>224.46080000000075</v>
      </c>
      <c r="I789" s="13">
        <f t="shared" si="19"/>
        <v>224.46426999999676</v>
      </c>
      <c r="J789" s="13">
        <f t="shared" si="20"/>
        <v>224.46253499999875</v>
      </c>
      <c r="K789" s="7">
        <v>43689.462534999999</v>
      </c>
      <c r="L789" s="4">
        <v>1596.2</v>
      </c>
      <c r="N789">
        <v>22.22</v>
      </c>
      <c r="Q789">
        <v>31.032681325649399</v>
      </c>
      <c r="R789">
        <v>-3.5870800000000001E-4</v>
      </c>
    </row>
    <row r="790" spans="1:18" x14ac:dyDescent="0.2">
      <c r="A790" t="s">
        <v>5</v>
      </c>
      <c r="B790">
        <v>3</v>
      </c>
      <c r="C790" t="s">
        <v>4</v>
      </c>
      <c r="D790" s="2">
        <v>43689</v>
      </c>
      <c r="E790" s="11">
        <v>224</v>
      </c>
      <c r="F790" s="3">
        <v>0.46910000000207219</v>
      </c>
      <c r="G790" s="3">
        <v>0.47256999999808613</v>
      </c>
      <c r="H790" s="13">
        <f t="shared" si="18"/>
        <v>224.46910000000207</v>
      </c>
      <c r="I790" s="13">
        <f t="shared" si="19"/>
        <v>224.47256999999809</v>
      </c>
      <c r="J790" s="13">
        <f t="shared" si="20"/>
        <v>224.47083500000008</v>
      </c>
      <c r="K790" s="7">
        <v>43689.470835</v>
      </c>
      <c r="L790" s="4">
        <v>1618.7</v>
      </c>
      <c r="M790">
        <v>2.7</v>
      </c>
      <c r="N790">
        <v>26.11</v>
      </c>
      <c r="O790">
        <v>39.200000000000003</v>
      </c>
      <c r="P790">
        <v>0.77</v>
      </c>
      <c r="Q790">
        <v>9.7513825330575905</v>
      </c>
      <c r="R790">
        <v>-3.1439199999999998E-4</v>
      </c>
    </row>
    <row r="791" spans="1:18" x14ac:dyDescent="0.2">
      <c r="A791" t="s">
        <v>5</v>
      </c>
      <c r="B791">
        <v>3</v>
      </c>
      <c r="C791" t="s">
        <v>6</v>
      </c>
      <c r="D791" s="2">
        <v>43689</v>
      </c>
      <c r="E791" s="11">
        <v>224</v>
      </c>
      <c r="F791" s="3">
        <v>0.47656999999890104</v>
      </c>
      <c r="G791" s="3">
        <v>0.48004999999830034</v>
      </c>
      <c r="H791" s="13">
        <f t="shared" si="18"/>
        <v>224.4765699999989</v>
      </c>
      <c r="I791" s="13">
        <f t="shared" si="19"/>
        <v>224.4800499999983</v>
      </c>
      <c r="J791" s="13">
        <f t="shared" si="20"/>
        <v>224.4783099999986</v>
      </c>
      <c r="K791" s="7">
        <v>43689.478309999999</v>
      </c>
      <c r="L791" s="4">
        <v>1663.7</v>
      </c>
      <c r="N791">
        <v>26.11</v>
      </c>
      <c r="Q791">
        <v>51.876571489484</v>
      </c>
      <c r="R791">
        <v>-2.3324000000000001E-4</v>
      </c>
    </row>
    <row r="792" spans="1:18" x14ac:dyDescent="0.2">
      <c r="A792" t="s">
        <v>5</v>
      </c>
      <c r="B792">
        <v>4</v>
      </c>
      <c r="C792" t="s">
        <v>4</v>
      </c>
      <c r="D792" s="2">
        <v>43689</v>
      </c>
      <c r="E792" s="11">
        <v>224</v>
      </c>
      <c r="F792" s="3">
        <v>0.48440000000118744</v>
      </c>
      <c r="G792" s="3">
        <v>0.48750000000291038</v>
      </c>
      <c r="H792" s="13">
        <f t="shared" si="18"/>
        <v>224.48440000000119</v>
      </c>
      <c r="I792" s="13">
        <f t="shared" si="19"/>
        <v>224.48750000000291</v>
      </c>
      <c r="J792" s="13">
        <f t="shared" si="20"/>
        <v>224.48595000000205</v>
      </c>
      <c r="K792" s="7">
        <v>43689.485950000002</v>
      </c>
      <c r="L792" s="4">
        <v>1683.7</v>
      </c>
      <c r="M792">
        <v>2.2999999999999998</v>
      </c>
      <c r="N792">
        <v>26.11</v>
      </c>
      <c r="O792">
        <v>37.1</v>
      </c>
      <c r="P792">
        <v>0.67</v>
      </c>
      <c r="Q792">
        <v>0.961975802050968</v>
      </c>
      <c r="R792">
        <v>-1.10822E-4</v>
      </c>
    </row>
    <row r="793" spans="1:18" x14ac:dyDescent="0.2">
      <c r="A793" t="s">
        <v>5</v>
      </c>
      <c r="B793">
        <v>4</v>
      </c>
      <c r="C793" t="s">
        <v>6</v>
      </c>
      <c r="D793" s="2">
        <v>43689</v>
      </c>
      <c r="E793" s="11">
        <v>224</v>
      </c>
      <c r="F793" s="3">
        <v>0.49106000000028871</v>
      </c>
      <c r="G793" s="3">
        <v>0.49453999999968801</v>
      </c>
      <c r="H793" s="13">
        <f t="shared" si="18"/>
        <v>224.49106000000029</v>
      </c>
      <c r="I793" s="13">
        <f t="shared" si="19"/>
        <v>224.49453999999969</v>
      </c>
      <c r="J793" s="13">
        <f t="shared" si="20"/>
        <v>224.49279999999999</v>
      </c>
      <c r="K793" s="7">
        <v>43689.4928</v>
      </c>
      <c r="L793" s="4">
        <v>1711.2</v>
      </c>
      <c r="N793">
        <v>26.11</v>
      </c>
      <c r="Q793">
        <v>10.2836190175361</v>
      </c>
      <c r="R793">
        <v>-1.6071799999999999E-4</v>
      </c>
    </row>
    <row r="794" spans="1:18" x14ac:dyDescent="0.2">
      <c r="A794" t="s">
        <v>5</v>
      </c>
      <c r="B794">
        <v>5</v>
      </c>
      <c r="C794" t="s">
        <v>4</v>
      </c>
      <c r="D794" s="2">
        <v>43689</v>
      </c>
      <c r="E794" s="11">
        <v>224</v>
      </c>
      <c r="F794" s="3">
        <v>0.49846000000252388</v>
      </c>
      <c r="G794" s="3">
        <v>0.50192999999853782</v>
      </c>
      <c r="H794" s="13">
        <f t="shared" si="18"/>
        <v>224.49846000000252</v>
      </c>
      <c r="I794" s="13">
        <f t="shared" si="19"/>
        <v>224.50192999999854</v>
      </c>
      <c r="J794" s="13">
        <f t="shared" si="20"/>
        <v>224.50019500000053</v>
      </c>
      <c r="K794" s="7">
        <v>43689.500195000001</v>
      </c>
      <c r="L794" s="4">
        <v>1761.2</v>
      </c>
      <c r="M794">
        <v>0.4</v>
      </c>
      <c r="N794">
        <v>26.11</v>
      </c>
      <c r="O794">
        <v>41.8</v>
      </c>
      <c r="P794">
        <v>0.74</v>
      </c>
      <c r="Q794">
        <v>2.71415422318699</v>
      </c>
      <c r="R794" s="6">
        <v>-8.8900000000000006E-5</v>
      </c>
    </row>
    <row r="795" spans="1:18" x14ac:dyDescent="0.2">
      <c r="A795" t="s">
        <v>5</v>
      </c>
      <c r="B795">
        <v>5</v>
      </c>
      <c r="C795" t="s">
        <v>6</v>
      </c>
      <c r="D795" s="2">
        <v>43689</v>
      </c>
      <c r="E795" s="11">
        <v>224</v>
      </c>
      <c r="F795" s="3">
        <v>0.50641999999788823</v>
      </c>
      <c r="G795" s="3">
        <v>0.50989999999728752</v>
      </c>
      <c r="H795" s="13">
        <f t="shared" si="18"/>
        <v>224.50641999999789</v>
      </c>
      <c r="I795" s="13">
        <f t="shared" si="19"/>
        <v>224.50989999999729</v>
      </c>
      <c r="J795" s="13">
        <f t="shared" si="20"/>
        <v>224.50815999999759</v>
      </c>
      <c r="K795" s="7">
        <v>43689.508159999998</v>
      </c>
      <c r="L795" s="4">
        <v>1756.2</v>
      </c>
      <c r="N795">
        <v>26.11</v>
      </c>
      <c r="Q795">
        <v>21.9727332661584</v>
      </c>
      <c r="R795">
        <v>-2.07238E-4</v>
      </c>
    </row>
    <row r="796" spans="1:18" x14ac:dyDescent="0.2">
      <c r="A796" t="s">
        <v>5</v>
      </c>
      <c r="B796">
        <v>1</v>
      </c>
      <c r="C796" t="s">
        <v>4</v>
      </c>
      <c r="D796" s="2">
        <v>43689</v>
      </c>
      <c r="E796" s="11">
        <v>224</v>
      </c>
      <c r="F796" s="3">
        <v>0.56857999999920139</v>
      </c>
      <c r="G796" s="3">
        <v>0.57205000000249129</v>
      </c>
      <c r="H796" s="13">
        <f t="shared" si="18"/>
        <v>224.5685799999992</v>
      </c>
      <c r="I796" s="13">
        <f t="shared" si="19"/>
        <v>224.57205000000249</v>
      </c>
      <c r="J796" s="13">
        <f t="shared" si="20"/>
        <v>224.57031500000085</v>
      </c>
      <c r="K796" s="7">
        <v>43689.570315000004</v>
      </c>
      <c r="L796" s="4">
        <v>1783.7</v>
      </c>
      <c r="M796">
        <v>1.3</v>
      </c>
      <c r="N796">
        <v>28.33</v>
      </c>
      <c r="O796">
        <v>41.1</v>
      </c>
      <c r="P796">
        <v>0.66</v>
      </c>
      <c r="Q796">
        <v>7.3649887720000002</v>
      </c>
      <c r="R796">
        <v>-1.9052199999999999E-4</v>
      </c>
    </row>
    <row r="797" spans="1:18" x14ac:dyDescent="0.2">
      <c r="A797" t="s">
        <v>5</v>
      </c>
      <c r="B797">
        <v>1</v>
      </c>
      <c r="C797" t="s">
        <v>6</v>
      </c>
      <c r="D797" s="2">
        <v>43689</v>
      </c>
      <c r="E797" s="11">
        <v>224</v>
      </c>
      <c r="F797" s="3">
        <v>0.57546000000002095</v>
      </c>
      <c r="G797" s="3">
        <v>0.57893999999942025</v>
      </c>
      <c r="H797" s="13">
        <f t="shared" si="18"/>
        <v>224.57546000000002</v>
      </c>
      <c r="I797" s="13">
        <f t="shared" si="19"/>
        <v>224.57893999999942</v>
      </c>
      <c r="J797" s="13">
        <f t="shared" si="20"/>
        <v>224.57719999999972</v>
      </c>
      <c r="K797" s="7">
        <v>43689.5772</v>
      </c>
      <c r="L797" s="4">
        <v>1626.2</v>
      </c>
      <c r="N797">
        <v>28.33</v>
      </c>
      <c r="Q797">
        <v>23.25149923</v>
      </c>
      <c r="R797">
        <v>-2.5638400000000002E-4</v>
      </c>
    </row>
    <row r="798" spans="1:18" x14ac:dyDescent="0.2">
      <c r="A798" t="s">
        <v>5</v>
      </c>
      <c r="B798">
        <v>2</v>
      </c>
      <c r="C798" t="s">
        <v>4</v>
      </c>
      <c r="D798" s="2">
        <v>43689</v>
      </c>
      <c r="E798" s="11">
        <v>224</v>
      </c>
      <c r="F798" s="3">
        <v>0.58294000000023516</v>
      </c>
      <c r="G798" s="3">
        <v>0.58641000000352506</v>
      </c>
      <c r="H798" s="13">
        <f t="shared" si="18"/>
        <v>224.58294000000024</v>
      </c>
      <c r="I798" s="13">
        <f t="shared" si="19"/>
        <v>224.58641000000353</v>
      </c>
      <c r="J798" s="13">
        <f t="shared" si="20"/>
        <v>224.58467500000188</v>
      </c>
      <c r="K798" s="7">
        <v>43689.584675000006</v>
      </c>
      <c r="L798" s="4">
        <v>1788.7</v>
      </c>
      <c r="M798">
        <v>1.4</v>
      </c>
      <c r="N798">
        <v>28.33</v>
      </c>
      <c r="O798">
        <v>39.299999999999997</v>
      </c>
      <c r="P798">
        <v>0.75</v>
      </c>
      <c r="Q798">
        <v>6.2397755239999997</v>
      </c>
      <c r="R798">
        <v>-2.18889E-4</v>
      </c>
    </row>
    <row r="799" spans="1:18" x14ac:dyDescent="0.2">
      <c r="A799" t="s">
        <v>5</v>
      </c>
      <c r="B799">
        <v>2</v>
      </c>
      <c r="C799" t="s">
        <v>6</v>
      </c>
      <c r="D799" s="2">
        <v>43689</v>
      </c>
      <c r="E799" s="11">
        <v>224</v>
      </c>
      <c r="F799" s="3">
        <v>0.59096999999746913</v>
      </c>
      <c r="G799" s="3">
        <v>0.59444000000075903</v>
      </c>
      <c r="H799" s="13">
        <f t="shared" si="18"/>
        <v>224.59096999999747</v>
      </c>
      <c r="I799" s="13">
        <f t="shared" si="19"/>
        <v>224.59444000000076</v>
      </c>
      <c r="J799" s="13">
        <f t="shared" si="20"/>
        <v>224.59270499999911</v>
      </c>
      <c r="K799" s="7">
        <v>43689.592705000003</v>
      </c>
      <c r="L799" s="4">
        <v>1718.7</v>
      </c>
      <c r="N799">
        <v>28.33</v>
      </c>
      <c r="Q799">
        <v>37.2419692</v>
      </c>
      <c r="R799">
        <v>-4.42781E-4</v>
      </c>
    </row>
    <row r="800" spans="1:18" x14ac:dyDescent="0.2">
      <c r="A800" t="s">
        <v>5</v>
      </c>
      <c r="B800">
        <v>3</v>
      </c>
      <c r="C800" t="s">
        <v>4</v>
      </c>
      <c r="D800" s="2">
        <v>43689</v>
      </c>
      <c r="E800" s="11">
        <v>224</v>
      </c>
      <c r="F800" s="3">
        <v>0.59878000000026077</v>
      </c>
      <c r="G800" s="3">
        <v>0.60225999999966007</v>
      </c>
      <c r="H800" s="13">
        <f t="shared" si="18"/>
        <v>224.59878000000026</v>
      </c>
      <c r="I800" s="13">
        <f t="shared" si="19"/>
        <v>224.60225999999966</v>
      </c>
      <c r="J800" s="13">
        <f t="shared" si="20"/>
        <v>224.60051999999996</v>
      </c>
      <c r="K800" s="7">
        <v>43689.60052</v>
      </c>
      <c r="L800" s="4">
        <v>1723.7</v>
      </c>
      <c r="M800">
        <v>4.3</v>
      </c>
      <c r="N800">
        <v>29.44</v>
      </c>
      <c r="O800">
        <v>37.6</v>
      </c>
      <c r="P800">
        <v>0.72</v>
      </c>
      <c r="Q800">
        <v>11.2515553</v>
      </c>
      <c r="R800">
        <v>-3.4172800000000002E-4</v>
      </c>
    </row>
    <row r="801" spans="1:18" x14ac:dyDescent="0.2">
      <c r="A801" t="s">
        <v>5</v>
      </c>
      <c r="B801">
        <v>3</v>
      </c>
      <c r="C801" t="s">
        <v>6</v>
      </c>
      <c r="D801" s="2">
        <v>43689</v>
      </c>
      <c r="E801" s="11">
        <v>224</v>
      </c>
      <c r="F801" s="3">
        <v>0.60656000000017229</v>
      </c>
      <c r="G801" s="3">
        <v>0.61003000000346219</v>
      </c>
      <c r="H801" s="13">
        <f t="shared" si="18"/>
        <v>224.60656000000017</v>
      </c>
      <c r="I801" s="13">
        <f t="shared" si="19"/>
        <v>224.61003000000346</v>
      </c>
      <c r="J801" s="13">
        <f t="shared" si="20"/>
        <v>224.60829500000182</v>
      </c>
      <c r="K801" s="7">
        <v>43689.608294999998</v>
      </c>
      <c r="L801" s="4">
        <v>1276.2</v>
      </c>
      <c r="N801">
        <v>29.44</v>
      </c>
      <c r="Q801">
        <v>51.773815880000001</v>
      </c>
      <c r="R801">
        <v>-2.5520300000000002E-4</v>
      </c>
    </row>
    <row r="802" spans="1:18" x14ac:dyDescent="0.2">
      <c r="A802" t="s">
        <v>5</v>
      </c>
      <c r="B802">
        <v>4</v>
      </c>
      <c r="C802" t="s">
        <v>4</v>
      </c>
      <c r="D802" s="2">
        <v>43689</v>
      </c>
      <c r="E802" s="11">
        <v>224</v>
      </c>
      <c r="F802" s="3">
        <v>0.61323999999876833</v>
      </c>
      <c r="G802" s="3">
        <v>0.61671000000205822</v>
      </c>
      <c r="H802" s="13">
        <f t="shared" si="18"/>
        <v>224.61323999999877</v>
      </c>
      <c r="I802" s="13">
        <f t="shared" si="19"/>
        <v>224.61671000000206</v>
      </c>
      <c r="J802" s="13">
        <f t="shared" si="20"/>
        <v>224.61497500000041</v>
      </c>
      <c r="K802" s="7">
        <v>43689.614975000004</v>
      </c>
      <c r="L802" s="4">
        <v>1231.2</v>
      </c>
      <c r="M802">
        <v>1.9</v>
      </c>
      <c r="N802">
        <v>29.44</v>
      </c>
      <c r="O802">
        <v>39.200000000000003</v>
      </c>
      <c r="P802">
        <v>0.71</v>
      </c>
      <c r="Q802">
        <v>1.9186605080000001</v>
      </c>
      <c r="R802">
        <v>-1.6006399999999999E-4</v>
      </c>
    </row>
    <row r="803" spans="1:18" x14ac:dyDescent="0.2">
      <c r="A803" t="s">
        <v>5</v>
      </c>
      <c r="B803">
        <v>4</v>
      </c>
      <c r="C803" t="s">
        <v>6</v>
      </c>
      <c r="D803" s="2">
        <v>43689</v>
      </c>
      <c r="E803" s="11">
        <v>224</v>
      </c>
      <c r="F803" s="3">
        <v>0.61944000000221422</v>
      </c>
      <c r="G803" s="3">
        <v>0.62292000000161352</v>
      </c>
      <c r="H803" s="13">
        <f t="shared" si="18"/>
        <v>224.61944000000221</v>
      </c>
      <c r="I803" s="13">
        <f t="shared" si="19"/>
        <v>224.62292000000161</v>
      </c>
      <c r="J803" s="13">
        <f t="shared" si="20"/>
        <v>224.62118000000191</v>
      </c>
      <c r="K803" s="7">
        <v>43689.621180000002</v>
      </c>
      <c r="L803" s="4">
        <v>633.70000000000005</v>
      </c>
      <c r="N803">
        <v>29.44</v>
      </c>
      <c r="Q803">
        <v>10.13095023</v>
      </c>
      <c r="R803">
        <v>-2.07853E-4</v>
      </c>
    </row>
    <row r="804" spans="1:18" x14ac:dyDescent="0.2">
      <c r="A804" t="s">
        <v>5</v>
      </c>
      <c r="B804">
        <v>5</v>
      </c>
      <c r="C804" t="s">
        <v>4</v>
      </c>
      <c r="D804" s="2">
        <v>43689</v>
      </c>
      <c r="E804" s="11">
        <v>224</v>
      </c>
      <c r="F804" s="3">
        <v>0.62608000000182074</v>
      </c>
      <c r="G804" s="3">
        <v>0.62954999999783468</v>
      </c>
      <c r="H804" s="13">
        <f t="shared" si="18"/>
        <v>224.62608000000182</v>
      </c>
      <c r="I804" s="13">
        <f t="shared" si="19"/>
        <v>224.62954999999783</v>
      </c>
      <c r="J804" s="13">
        <f t="shared" si="20"/>
        <v>224.62781499999983</v>
      </c>
      <c r="K804" s="7">
        <v>43689.627815</v>
      </c>
      <c r="L804" s="4">
        <v>1553.7</v>
      </c>
      <c r="M804">
        <v>3.1</v>
      </c>
      <c r="N804">
        <v>29.44</v>
      </c>
      <c r="O804">
        <v>38.5</v>
      </c>
      <c r="P804">
        <v>0.74</v>
      </c>
      <c r="Q804">
        <v>-0.55774502299999995</v>
      </c>
      <c r="R804" s="6">
        <v>-2.69E-5</v>
      </c>
    </row>
    <row r="805" spans="1:18" x14ac:dyDescent="0.2">
      <c r="A805" t="s">
        <v>5</v>
      </c>
      <c r="B805">
        <v>5</v>
      </c>
      <c r="C805" t="s">
        <v>6</v>
      </c>
      <c r="D805" s="2">
        <v>43689</v>
      </c>
      <c r="E805" s="11">
        <v>224</v>
      </c>
      <c r="F805" s="3">
        <v>0.63306000000011409</v>
      </c>
      <c r="G805" s="3">
        <v>0.63653000000340398</v>
      </c>
      <c r="H805" s="13">
        <f t="shared" si="18"/>
        <v>224.63306000000011</v>
      </c>
      <c r="I805" s="13">
        <f t="shared" si="19"/>
        <v>224.6365300000034</v>
      </c>
      <c r="J805" s="13">
        <f t="shared" si="20"/>
        <v>224.63479500000176</v>
      </c>
      <c r="K805" s="7">
        <v>43689.634795000005</v>
      </c>
      <c r="L805" s="4">
        <v>1258.7</v>
      </c>
      <c r="N805">
        <v>29.44</v>
      </c>
      <c r="Q805">
        <v>18.12815187</v>
      </c>
      <c r="R805">
        <v>-1.76548E-4</v>
      </c>
    </row>
    <row r="806" spans="1:18" x14ac:dyDescent="0.2">
      <c r="A806" t="s">
        <v>5</v>
      </c>
      <c r="B806">
        <v>1</v>
      </c>
      <c r="C806" t="s">
        <v>4</v>
      </c>
      <c r="D806" s="2">
        <v>43693</v>
      </c>
      <c r="E806" s="11">
        <v>228</v>
      </c>
      <c r="F806" s="3">
        <v>0.52649999999994179</v>
      </c>
      <c r="G806" s="3">
        <v>0.52997999999934109</v>
      </c>
      <c r="H806" s="13">
        <f t="shared" si="18"/>
        <v>228.52649999999994</v>
      </c>
      <c r="I806" s="13">
        <f t="shared" si="19"/>
        <v>228.52997999999934</v>
      </c>
      <c r="J806" s="13">
        <f t="shared" si="20"/>
        <v>228.52823999999964</v>
      </c>
      <c r="K806" s="7">
        <v>43693.52824</v>
      </c>
      <c r="L806" s="4">
        <v>1916.2</v>
      </c>
      <c r="M806">
        <v>2</v>
      </c>
      <c r="N806">
        <v>25</v>
      </c>
      <c r="O806">
        <v>44.4</v>
      </c>
      <c r="P806">
        <v>0.73</v>
      </c>
      <c r="Q806">
        <v>-0.95211265776332499</v>
      </c>
      <c r="R806" s="6">
        <v>-7.8287875451922196E-5</v>
      </c>
    </row>
    <row r="807" spans="1:18" x14ac:dyDescent="0.2">
      <c r="A807" t="s">
        <v>5</v>
      </c>
      <c r="B807">
        <v>1</v>
      </c>
      <c r="C807" t="s">
        <v>6</v>
      </c>
      <c r="D807" s="2">
        <v>43693</v>
      </c>
      <c r="E807" s="11">
        <v>228</v>
      </c>
      <c r="F807" s="3">
        <v>0.53141999999934342</v>
      </c>
      <c r="G807" s="3">
        <v>0.53489999999874271</v>
      </c>
      <c r="H807" s="13">
        <f t="shared" si="18"/>
        <v>228.53141999999934</v>
      </c>
      <c r="I807" s="13">
        <f t="shared" si="19"/>
        <v>228.53489999999874</v>
      </c>
      <c r="J807" s="13">
        <f t="shared" si="20"/>
        <v>228.53315999999904</v>
      </c>
      <c r="K807" s="7">
        <v>43693.533159999999</v>
      </c>
      <c r="L807" s="4">
        <v>1841.2</v>
      </c>
      <c r="N807">
        <v>25</v>
      </c>
      <c r="Q807">
        <v>22.199886513472201</v>
      </c>
      <c r="R807">
        <v>-4.35224883955791E-4</v>
      </c>
    </row>
    <row r="808" spans="1:18" x14ac:dyDescent="0.2">
      <c r="A808" t="s">
        <v>5</v>
      </c>
      <c r="B808">
        <v>2</v>
      </c>
      <c r="C808" t="s">
        <v>4</v>
      </c>
      <c r="D808" s="2">
        <v>43693</v>
      </c>
      <c r="E808" s="11">
        <v>228</v>
      </c>
      <c r="F808" s="3">
        <v>0.53686000000016065</v>
      </c>
      <c r="G808" s="3">
        <v>0.54033999999955995</v>
      </c>
      <c r="H808" s="13">
        <f t="shared" si="18"/>
        <v>228.53686000000016</v>
      </c>
      <c r="I808" s="13">
        <f t="shared" si="19"/>
        <v>228.54033999999956</v>
      </c>
      <c r="J808" s="13">
        <f t="shared" si="20"/>
        <v>228.53859999999986</v>
      </c>
      <c r="K808" s="7">
        <v>43693.5386</v>
      </c>
      <c r="L808" s="4">
        <v>1806.2</v>
      </c>
      <c r="M808">
        <v>2.9</v>
      </c>
      <c r="N808">
        <v>25</v>
      </c>
      <c r="O808">
        <v>41.4</v>
      </c>
      <c r="P808">
        <v>0.71</v>
      </c>
      <c r="Q808">
        <v>2.5696687816874202</v>
      </c>
      <c r="R808">
        <v>-3.21976805227636E-4</v>
      </c>
    </row>
    <row r="809" spans="1:18" x14ac:dyDescent="0.2">
      <c r="A809" t="s">
        <v>5</v>
      </c>
      <c r="B809">
        <v>2</v>
      </c>
      <c r="C809" t="s">
        <v>6</v>
      </c>
      <c r="D809" s="2">
        <v>43693</v>
      </c>
      <c r="E809" s="11">
        <v>228</v>
      </c>
      <c r="F809" s="3">
        <v>0.54196000000229105</v>
      </c>
      <c r="G809" s="3">
        <v>0.54542999999830499</v>
      </c>
      <c r="H809" s="13">
        <f t="shared" si="18"/>
        <v>228.54196000000229</v>
      </c>
      <c r="I809" s="13">
        <f t="shared" si="19"/>
        <v>228.5454299999983</v>
      </c>
      <c r="J809" s="13">
        <f t="shared" si="20"/>
        <v>228.5436950000003</v>
      </c>
      <c r="K809" s="7">
        <v>43693.543695</v>
      </c>
      <c r="L809" s="4">
        <v>1011.2</v>
      </c>
      <c r="N809">
        <v>25</v>
      </c>
      <c r="Q809">
        <v>27.371432810179101</v>
      </c>
      <c r="R809">
        <v>-2.2668220904701399E-4</v>
      </c>
    </row>
    <row r="810" spans="1:18" x14ac:dyDescent="0.2">
      <c r="A810" t="s">
        <v>5</v>
      </c>
      <c r="B810">
        <v>3</v>
      </c>
      <c r="C810" t="s">
        <v>4</v>
      </c>
      <c r="D810" s="2">
        <v>43693</v>
      </c>
      <c r="E810" s="11">
        <v>228</v>
      </c>
      <c r="F810" s="3">
        <v>0.5470500000010361</v>
      </c>
      <c r="G810" s="3">
        <v>0.55051999999705004</v>
      </c>
      <c r="H810" s="13">
        <f t="shared" si="18"/>
        <v>228.54705000000104</v>
      </c>
      <c r="I810" s="13">
        <f t="shared" si="19"/>
        <v>228.55051999999705</v>
      </c>
      <c r="J810" s="13">
        <f t="shared" si="20"/>
        <v>228.54878499999904</v>
      </c>
      <c r="K810" s="7">
        <v>43693.548784999999</v>
      </c>
      <c r="L810" s="4">
        <v>1456.2</v>
      </c>
      <c r="M810">
        <v>2.2000000000000002</v>
      </c>
      <c r="N810">
        <v>25</v>
      </c>
      <c r="O810">
        <v>42.5</v>
      </c>
      <c r="P810">
        <v>0.71</v>
      </c>
      <c r="Q810">
        <v>3.2857712378822699</v>
      </c>
      <c r="R810">
        <v>-2.72380814163273E-4</v>
      </c>
    </row>
    <row r="811" spans="1:18" x14ac:dyDescent="0.2">
      <c r="A811" t="s">
        <v>5</v>
      </c>
      <c r="B811">
        <v>3</v>
      </c>
      <c r="C811" t="s">
        <v>6</v>
      </c>
      <c r="D811" s="2">
        <v>43693</v>
      </c>
      <c r="E811" s="11">
        <v>228</v>
      </c>
      <c r="F811" s="3">
        <v>0.55191000000195345</v>
      </c>
      <c r="G811" s="3">
        <v>0.55537999999796739</v>
      </c>
      <c r="H811" s="13">
        <f t="shared" si="18"/>
        <v>228.55191000000195</v>
      </c>
      <c r="I811" s="13">
        <f t="shared" si="19"/>
        <v>228.55537999999797</v>
      </c>
      <c r="J811" s="13">
        <f t="shared" si="20"/>
        <v>228.55364499999996</v>
      </c>
      <c r="K811" s="7">
        <v>43693.553645</v>
      </c>
      <c r="L811" s="4">
        <v>1303.7</v>
      </c>
      <c r="N811">
        <v>25</v>
      </c>
      <c r="Q811">
        <v>40.2021090529989</v>
      </c>
      <c r="R811" s="6">
        <v>-4.24624719624299E-5</v>
      </c>
    </row>
    <row r="812" spans="1:18" x14ac:dyDescent="0.2">
      <c r="A812" t="s">
        <v>5</v>
      </c>
      <c r="B812">
        <v>4</v>
      </c>
      <c r="C812" t="s">
        <v>4</v>
      </c>
      <c r="D812" s="2">
        <v>43693</v>
      </c>
      <c r="E812" s="11">
        <v>228</v>
      </c>
      <c r="F812" s="3">
        <v>0.55728999999701045</v>
      </c>
      <c r="G812" s="3">
        <v>0.56076000000030035</v>
      </c>
      <c r="H812" s="13">
        <f t="shared" si="18"/>
        <v>228.55728999999701</v>
      </c>
      <c r="I812" s="13">
        <f t="shared" si="19"/>
        <v>228.5607600000003</v>
      </c>
      <c r="J812" s="13">
        <f t="shared" si="20"/>
        <v>228.55902499999866</v>
      </c>
      <c r="K812" s="7">
        <v>43693.559024999995</v>
      </c>
      <c r="L812" s="4">
        <v>2038.7</v>
      </c>
      <c r="M812">
        <v>4.3</v>
      </c>
      <c r="N812">
        <v>25</v>
      </c>
      <c r="O812">
        <v>41.9</v>
      </c>
      <c r="P812">
        <v>0.78</v>
      </c>
      <c r="Q812">
        <v>-1.00949939884317</v>
      </c>
      <c r="R812" s="6">
        <v>-4.1247149851961901E-5</v>
      </c>
    </row>
    <row r="813" spans="1:18" x14ac:dyDescent="0.2">
      <c r="A813" t="s">
        <v>5</v>
      </c>
      <c r="B813">
        <v>4</v>
      </c>
      <c r="C813" t="s">
        <v>6</v>
      </c>
      <c r="D813" s="2">
        <v>43693</v>
      </c>
      <c r="E813" s="11">
        <v>228</v>
      </c>
      <c r="F813" s="3">
        <v>0.56214999999792781</v>
      </c>
      <c r="G813" s="3">
        <v>0.5656299999973271</v>
      </c>
      <c r="H813" s="13">
        <f t="shared" si="18"/>
        <v>228.56214999999793</v>
      </c>
      <c r="I813" s="13">
        <f t="shared" si="19"/>
        <v>228.56562999999733</v>
      </c>
      <c r="J813" s="13">
        <f t="shared" si="20"/>
        <v>228.56388999999763</v>
      </c>
      <c r="K813" s="7">
        <v>43693.563889999998</v>
      </c>
      <c r="L813" s="4">
        <v>1908.7</v>
      </c>
      <c r="N813">
        <v>25</v>
      </c>
      <c r="Q813">
        <v>9.8973562452043993</v>
      </c>
      <c r="R813" s="6">
        <v>2.7453027943480002E-5</v>
      </c>
    </row>
    <row r="814" spans="1:18" x14ac:dyDescent="0.2">
      <c r="A814" t="s">
        <v>5</v>
      </c>
      <c r="B814">
        <v>5</v>
      </c>
      <c r="C814" t="s">
        <v>4</v>
      </c>
      <c r="D814" s="2">
        <v>43693</v>
      </c>
      <c r="E814" s="11">
        <v>228</v>
      </c>
      <c r="F814" s="3">
        <v>0.56667000000015832</v>
      </c>
      <c r="G814" s="3">
        <v>0.57014000000344822</v>
      </c>
      <c r="H814" s="13">
        <f t="shared" si="18"/>
        <v>228.56667000000016</v>
      </c>
      <c r="I814" s="13">
        <f t="shared" si="19"/>
        <v>228.57014000000345</v>
      </c>
      <c r="J814" s="13">
        <f t="shared" si="20"/>
        <v>228.5684050000018</v>
      </c>
      <c r="K814" s="7">
        <v>43693.568404999998</v>
      </c>
      <c r="L814" s="4">
        <v>1903.7</v>
      </c>
      <c r="M814">
        <v>3.2</v>
      </c>
      <c r="N814">
        <v>26.11</v>
      </c>
      <c r="O814">
        <v>44</v>
      </c>
      <c r="P814">
        <v>0.68</v>
      </c>
      <c r="Q814">
        <v>-3.0400976927450798</v>
      </c>
      <c r="R814">
        <v>1.7302057249841699E-4</v>
      </c>
    </row>
    <row r="815" spans="1:18" x14ac:dyDescent="0.2">
      <c r="A815" t="s">
        <v>5</v>
      </c>
      <c r="B815">
        <v>5</v>
      </c>
      <c r="C815" t="s">
        <v>6</v>
      </c>
      <c r="D815" s="2">
        <v>43693</v>
      </c>
      <c r="E815" s="11">
        <v>228</v>
      </c>
      <c r="F815" s="3">
        <v>0.57175999999890337</v>
      </c>
      <c r="G815" s="3">
        <v>0.57523000000219326</v>
      </c>
      <c r="H815" s="13">
        <f t="shared" si="18"/>
        <v>228.5717599999989</v>
      </c>
      <c r="I815" s="13">
        <f t="shared" si="19"/>
        <v>228.57523000000219</v>
      </c>
      <c r="J815" s="13">
        <f t="shared" si="20"/>
        <v>228.57349500000055</v>
      </c>
      <c r="K815" s="7">
        <v>43693.573495000004</v>
      </c>
      <c r="L815" s="4">
        <v>1903.7</v>
      </c>
      <c r="N815">
        <v>26.11</v>
      </c>
      <c r="Q815">
        <v>18.016869135634501</v>
      </c>
      <c r="R815" s="6">
        <v>-7.3611569768397905E-5</v>
      </c>
    </row>
    <row r="816" spans="1:18" x14ac:dyDescent="0.2">
      <c r="A816" t="s">
        <v>5</v>
      </c>
      <c r="B816">
        <v>1</v>
      </c>
      <c r="C816" t="s">
        <v>4</v>
      </c>
      <c r="D816" s="2">
        <v>43693</v>
      </c>
      <c r="E816" s="11">
        <v>228</v>
      </c>
      <c r="F816" s="3">
        <v>0.61514999999781139</v>
      </c>
      <c r="G816" s="3">
        <v>0.61862000000110129</v>
      </c>
      <c r="H816" s="13">
        <f t="shared" si="18"/>
        <v>228.61514999999781</v>
      </c>
      <c r="I816" s="13">
        <f t="shared" si="19"/>
        <v>228.6186200000011</v>
      </c>
      <c r="J816" s="13">
        <f t="shared" si="20"/>
        <v>228.61688499999946</v>
      </c>
      <c r="K816" s="7">
        <v>43693.616884999996</v>
      </c>
      <c r="L816" s="4">
        <v>1588.7</v>
      </c>
      <c r="M816">
        <v>3.9</v>
      </c>
      <c r="N816">
        <v>26.67</v>
      </c>
      <c r="O816">
        <v>42.3</v>
      </c>
      <c r="P816">
        <v>0.74</v>
      </c>
      <c r="Q816">
        <v>-1.2291192935136599</v>
      </c>
      <c r="R816">
        <v>-1.9753956327653199E-4</v>
      </c>
    </row>
    <row r="817" spans="1:18" x14ac:dyDescent="0.2">
      <c r="A817" t="s">
        <v>5</v>
      </c>
      <c r="B817">
        <v>1</v>
      </c>
      <c r="C817" t="s">
        <v>6</v>
      </c>
      <c r="D817" s="2">
        <v>43693</v>
      </c>
      <c r="E817" s="11">
        <v>228</v>
      </c>
      <c r="F817" s="3">
        <v>0.62320999999792548</v>
      </c>
      <c r="G817" s="3">
        <v>0.62668000000121538</v>
      </c>
      <c r="H817" s="13">
        <f t="shared" si="18"/>
        <v>228.62320999999793</v>
      </c>
      <c r="I817" s="13">
        <f t="shared" si="19"/>
        <v>228.62668000000122</v>
      </c>
      <c r="J817" s="13">
        <f t="shared" si="20"/>
        <v>228.62494499999957</v>
      </c>
      <c r="K817" s="7">
        <v>43693.624945000003</v>
      </c>
      <c r="L817" s="4">
        <v>1576.2</v>
      </c>
      <c r="N817">
        <v>26.67</v>
      </c>
      <c r="Q817">
        <v>15.601741367958301</v>
      </c>
      <c r="R817" s="6">
        <v>-3.7615512864046402E-5</v>
      </c>
    </row>
    <row r="818" spans="1:18" x14ac:dyDescent="0.2">
      <c r="A818" t="s">
        <v>5</v>
      </c>
      <c r="B818">
        <v>2</v>
      </c>
      <c r="C818" t="s">
        <v>4</v>
      </c>
      <c r="D818" s="2">
        <v>43693</v>
      </c>
      <c r="E818" s="11">
        <v>228</v>
      </c>
      <c r="F818" s="3">
        <v>0.62829999999667052</v>
      </c>
      <c r="G818" s="3">
        <v>0.63176999999996042</v>
      </c>
      <c r="H818" s="13">
        <f t="shared" si="18"/>
        <v>228.62829999999667</v>
      </c>
      <c r="I818" s="13">
        <f t="shared" si="19"/>
        <v>228.63176999999996</v>
      </c>
      <c r="J818" s="13">
        <f t="shared" si="20"/>
        <v>228.63003499999832</v>
      </c>
      <c r="K818" s="7">
        <v>43693.630034999995</v>
      </c>
      <c r="L818" s="4">
        <v>1581.2</v>
      </c>
      <c r="M818">
        <v>3.1</v>
      </c>
      <c r="N818">
        <v>26.67</v>
      </c>
      <c r="O818">
        <v>42.1</v>
      </c>
      <c r="P818">
        <v>0.73</v>
      </c>
      <c r="Q818">
        <v>3.3093660837491901</v>
      </c>
      <c r="R818" s="6">
        <v>-8.5359467017712202E-5</v>
      </c>
    </row>
    <row r="819" spans="1:18" x14ac:dyDescent="0.2">
      <c r="A819" t="s">
        <v>5</v>
      </c>
      <c r="B819">
        <v>2</v>
      </c>
      <c r="C819" t="s">
        <v>6</v>
      </c>
      <c r="D819" s="2">
        <v>43693</v>
      </c>
      <c r="E819" s="11">
        <v>228</v>
      </c>
      <c r="F819" s="3">
        <v>0.63345000000117579</v>
      </c>
      <c r="G819" s="3">
        <v>0.63691999999718973</v>
      </c>
      <c r="H819" s="13">
        <f t="shared" si="18"/>
        <v>228.63345000000118</v>
      </c>
      <c r="I819" s="13">
        <f t="shared" si="19"/>
        <v>228.63691999999719</v>
      </c>
      <c r="J819" s="13">
        <f t="shared" si="20"/>
        <v>228.63518499999918</v>
      </c>
      <c r="K819" s="7">
        <v>43693.635184999999</v>
      </c>
      <c r="L819" s="4">
        <v>1503.7</v>
      </c>
      <c r="N819">
        <v>26.67</v>
      </c>
      <c r="Q819">
        <v>21.281817162693098</v>
      </c>
      <c r="R819" s="6">
        <v>-4.5496489935444502E-5</v>
      </c>
    </row>
    <row r="820" spans="1:18" x14ac:dyDescent="0.2">
      <c r="A820" t="s">
        <v>5</v>
      </c>
      <c r="B820">
        <v>3</v>
      </c>
      <c r="C820" t="s">
        <v>4</v>
      </c>
      <c r="D820" s="2">
        <v>43693</v>
      </c>
      <c r="E820" s="11">
        <v>228</v>
      </c>
      <c r="F820" s="3">
        <v>0.63853999999992084</v>
      </c>
      <c r="G820" s="3">
        <v>0.64201000000321073</v>
      </c>
      <c r="H820" s="13">
        <f t="shared" si="18"/>
        <v>228.63853999999992</v>
      </c>
      <c r="I820" s="13">
        <f t="shared" si="19"/>
        <v>228.64201000000321</v>
      </c>
      <c r="J820" s="13">
        <f t="shared" si="20"/>
        <v>228.64027500000157</v>
      </c>
      <c r="K820" s="7">
        <v>43693.640274999998</v>
      </c>
      <c r="L820" s="4">
        <v>1453.7</v>
      </c>
      <c r="M820">
        <v>4.7</v>
      </c>
      <c r="N820">
        <v>26.67</v>
      </c>
      <c r="O820">
        <v>44.1</v>
      </c>
      <c r="P820">
        <v>0.74</v>
      </c>
      <c r="Q820">
        <v>0.60623462697721398</v>
      </c>
      <c r="R820" s="6">
        <v>6.6997112230268206E-5</v>
      </c>
    </row>
    <row r="821" spans="1:18" x14ac:dyDescent="0.2">
      <c r="A821" t="s">
        <v>5</v>
      </c>
      <c r="B821">
        <v>3</v>
      </c>
      <c r="C821" t="s">
        <v>6</v>
      </c>
      <c r="D821" s="2">
        <v>43693</v>
      </c>
      <c r="E821" s="11">
        <v>228</v>
      </c>
      <c r="F821" s="3">
        <v>0.64362999999866588</v>
      </c>
      <c r="G821" s="3">
        <v>0.64710999999806518</v>
      </c>
      <c r="H821" s="13">
        <f t="shared" si="18"/>
        <v>228.64362999999867</v>
      </c>
      <c r="I821" s="13">
        <f t="shared" si="19"/>
        <v>228.64710999999807</v>
      </c>
      <c r="J821" s="13">
        <f t="shared" si="20"/>
        <v>228.64536999999837</v>
      </c>
      <c r="K821" s="7">
        <v>43693.645369999998</v>
      </c>
      <c r="L821" s="4">
        <v>1533.7</v>
      </c>
      <c r="N821">
        <v>26.67</v>
      </c>
      <c r="Q821">
        <v>26.355275843693502</v>
      </c>
      <c r="R821">
        <v>1.3305772215711E-4</v>
      </c>
    </row>
    <row r="822" spans="1:18" x14ac:dyDescent="0.2">
      <c r="A822" t="s">
        <v>5</v>
      </c>
      <c r="B822">
        <v>4</v>
      </c>
      <c r="C822" t="s">
        <v>4</v>
      </c>
      <c r="D822" s="2">
        <v>43693</v>
      </c>
      <c r="E822" s="11">
        <v>228</v>
      </c>
      <c r="F822" s="3">
        <v>0.64837999999872409</v>
      </c>
      <c r="G822" s="3">
        <v>0.65185000000201399</v>
      </c>
      <c r="H822" s="13">
        <f t="shared" si="18"/>
        <v>228.64837999999872</v>
      </c>
      <c r="I822" s="13">
        <f t="shared" si="19"/>
        <v>228.65185000000201</v>
      </c>
      <c r="J822" s="13">
        <f t="shared" si="20"/>
        <v>228.65011500000037</v>
      </c>
      <c r="K822" s="7">
        <v>43693.650114999997</v>
      </c>
      <c r="L822" s="4">
        <v>1488.7</v>
      </c>
      <c r="M822">
        <v>3.9</v>
      </c>
      <c r="N822">
        <v>27.78</v>
      </c>
      <c r="O822">
        <v>39.799999999999997</v>
      </c>
      <c r="P822">
        <v>0.79</v>
      </c>
      <c r="Q822">
        <v>-2.8885200750920599</v>
      </c>
      <c r="R822" s="6">
        <v>2.63984353931506E-5</v>
      </c>
    </row>
    <row r="823" spans="1:18" x14ac:dyDescent="0.2">
      <c r="A823" t="s">
        <v>5</v>
      </c>
      <c r="B823">
        <v>4</v>
      </c>
      <c r="C823" t="s">
        <v>6</v>
      </c>
      <c r="D823" s="2">
        <v>43693</v>
      </c>
      <c r="E823" s="11">
        <v>228</v>
      </c>
      <c r="F823" s="3">
        <v>0.65398999999888474</v>
      </c>
      <c r="G823" s="3">
        <v>0.65746999999828404</v>
      </c>
      <c r="H823" s="13">
        <f t="shared" si="18"/>
        <v>228.65398999999888</v>
      </c>
      <c r="I823" s="13">
        <f t="shared" si="19"/>
        <v>228.65746999999828</v>
      </c>
      <c r="J823" s="13">
        <f t="shared" si="20"/>
        <v>228.65572999999858</v>
      </c>
      <c r="K823" s="7">
        <v>43693.655729999999</v>
      </c>
      <c r="L823" s="4">
        <v>1336.2</v>
      </c>
      <c r="N823">
        <v>27.78</v>
      </c>
      <c r="Q823">
        <v>7.4719514863961098</v>
      </c>
      <c r="R823" s="6">
        <v>-8.8843471763801895E-5</v>
      </c>
    </row>
    <row r="824" spans="1:18" x14ac:dyDescent="0.2">
      <c r="A824" t="s">
        <v>5</v>
      </c>
      <c r="B824">
        <v>5</v>
      </c>
      <c r="C824" t="s">
        <v>4</v>
      </c>
      <c r="D824" s="2">
        <v>43693</v>
      </c>
      <c r="E824" s="11">
        <v>228</v>
      </c>
      <c r="F824" s="3">
        <v>0.65815999999904307</v>
      </c>
      <c r="G824" s="3">
        <v>0.66163000000233296</v>
      </c>
      <c r="H824" s="13">
        <f t="shared" si="18"/>
        <v>228.65815999999904</v>
      </c>
      <c r="I824" s="13">
        <f t="shared" si="19"/>
        <v>228.66163000000233</v>
      </c>
      <c r="J824" s="13">
        <f t="shared" si="20"/>
        <v>228.65989500000069</v>
      </c>
      <c r="K824" s="7">
        <v>43693.659895000004</v>
      </c>
      <c r="L824" s="4">
        <v>1321.2</v>
      </c>
      <c r="M824">
        <v>3.9</v>
      </c>
      <c r="N824">
        <v>27.78</v>
      </c>
      <c r="O824">
        <v>43.7</v>
      </c>
      <c r="P824">
        <v>0.69</v>
      </c>
      <c r="Q824">
        <v>-1.9230938977546399</v>
      </c>
      <c r="R824">
        <v>-1.10887780471113E-4</v>
      </c>
    </row>
    <row r="825" spans="1:18" x14ac:dyDescent="0.2">
      <c r="A825" t="s">
        <v>5</v>
      </c>
      <c r="B825">
        <v>5</v>
      </c>
      <c r="C825" t="s">
        <v>6</v>
      </c>
      <c r="D825" s="2">
        <v>43693</v>
      </c>
      <c r="E825" s="11">
        <v>228</v>
      </c>
      <c r="F825" s="3">
        <v>0.66266999999788823</v>
      </c>
      <c r="G825" s="3">
        <v>0.66614999999728752</v>
      </c>
      <c r="H825" s="13">
        <f t="shared" si="18"/>
        <v>228.66266999999789</v>
      </c>
      <c r="I825" s="13">
        <f t="shared" si="19"/>
        <v>228.66614999999729</v>
      </c>
      <c r="J825" s="13">
        <f t="shared" si="20"/>
        <v>228.66440999999759</v>
      </c>
      <c r="K825" s="7">
        <v>43693.664409999998</v>
      </c>
      <c r="L825" s="4">
        <v>1316.2</v>
      </c>
      <c r="N825">
        <v>27.78</v>
      </c>
      <c r="Q825">
        <v>15.6332075592737</v>
      </c>
      <c r="R825">
        <v>-1.20064417566567E-4</v>
      </c>
    </row>
    <row r="826" spans="1:18" x14ac:dyDescent="0.2">
      <c r="A826" t="s">
        <v>5</v>
      </c>
      <c r="B826">
        <v>1</v>
      </c>
      <c r="C826" t="s">
        <v>4</v>
      </c>
      <c r="D826" s="2">
        <v>43696</v>
      </c>
      <c r="E826" s="11">
        <v>231</v>
      </c>
      <c r="F826" s="3">
        <v>0.50248999999894295</v>
      </c>
      <c r="G826" s="3">
        <v>0.50596000000223285</v>
      </c>
      <c r="H826" s="13">
        <f t="shared" si="18"/>
        <v>231.50248999999894</v>
      </c>
      <c r="I826" s="13">
        <f t="shared" si="19"/>
        <v>231.50596000000223</v>
      </c>
      <c r="J826" s="13">
        <f t="shared" si="20"/>
        <v>231.50422500000059</v>
      </c>
      <c r="K826" s="7">
        <v>43696.504224999997</v>
      </c>
      <c r="L826" s="4">
        <v>783.7</v>
      </c>
      <c r="M826">
        <v>14.7</v>
      </c>
      <c r="N826">
        <v>28.33</v>
      </c>
      <c r="O826">
        <v>42.3</v>
      </c>
      <c r="P826">
        <v>0.83</v>
      </c>
      <c r="Q826">
        <v>-10.7719596073501</v>
      </c>
      <c r="R826" s="6">
        <v>-9.1387026380695396E-5</v>
      </c>
    </row>
    <row r="827" spans="1:18" x14ac:dyDescent="0.2">
      <c r="A827" t="s">
        <v>5</v>
      </c>
      <c r="B827">
        <v>1</v>
      </c>
      <c r="C827" t="s">
        <v>6</v>
      </c>
      <c r="D827" s="2">
        <v>43696</v>
      </c>
      <c r="E827" s="11">
        <v>231</v>
      </c>
      <c r="F827" s="3">
        <v>0.50873999999748776</v>
      </c>
      <c r="G827" s="3">
        <v>0.51221000000077765</v>
      </c>
      <c r="H827" s="13">
        <f t="shared" ref="H827:H890" si="21">E827+F827</f>
        <v>231.50873999999749</v>
      </c>
      <c r="I827" s="13">
        <f t="shared" ref="I827:I890" si="22">E827+G827</f>
        <v>231.51221000000078</v>
      </c>
      <c r="J827" s="13">
        <f t="shared" ref="J827:J890" si="23">AVERAGE(H827:I827)</f>
        <v>231.51047499999913</v>
      </c>
      <c r="K827" s="7">
        <v>43696.510475000003</v>
      </c>
      <c r="L827" s="4">
        <v>2021.2</v>
      </c>
      <c r="N827">
        <v>28.33</v>
      </c>
      <c r="Q827">
        <v>37.229219802055503</v>
      </c>
      <c r="R827">
        <v>-1.2523843731701201E-4</v>
      </c>
    </row>
    <row r="828" spans="1:18" x14ac:dyDescent="0.2">
      <c r="A828" t="s">
        <v>5</v>
      </c>
      <c r="B828">
        <v>2</v>
      </c>
      <c r="C828" t="s">
        <v>4</v>
      </c>
      <c r="D828" s="2">
        <v>43696</v>
      </c>
      <c r="E828" s="11">
        <v>231</v>
      </c>
      <c r="F828" s="3">
        <v>0.51441000000340864</v>
      </c>
      <c r="G828" s="3">
        <v>0.51787999999942258</v>
      </c>
      <c r="H828" s="13">
        <f t="shared" si="21"/>
        <v>231.51441000000341</v>
      </c>
      <c r="I828" s="13">
        <f t="shared" si="22"/>
        <v>231.51787999999942</v>
      </c>
      <c r="J828" s="13">
        <f t="shared" si="23"/>
        <v>231.51614500000142</v>
      </c>
      <c r="K828" s="7">
        <v>43696.516145000001</v>
      </c>
      <c r="L828" s="4">
        <v>1873.7</v>
      </c>
      <c r="M828">
        <v>18.7</v>
      </c>
      <c r="N828">
        <v>28.33</v>
      </c>
      <c r="O828">
        <v>35.799999999999997</v>
      </c>
      <c r="P828">
        <v>0.83</v>
      </c>
      <c r="Q828">
        <v>-9.6689057344957092</v>
      </c>
      <c r="R828">
        <v>-1.08913387676708E-4</v>
      </c>
    </row>
    <row r="829" spans="1:18" x14ac:dyDescent="0.2">
      <c r="A829" t="s">
        <v>5</v>
      </c>
      <c r="B829">
        <v>2</v>
      </c>
      <c r="C829" t="s">
        <v>6</v>
      </c>
      <c r="D829" s="2">
        <v>43696</v>
      </c>
      <c r="E829" s="11">
        <v>231</v>
      </c>
      <c r="F829" s="3">
        <v>0.52014000000053784</v>
      </c>
      <c r="G829" s="3">
        <v>0.52360999999655178</v>
      </c>
      <c r="H829" s="13">
        <f t="shared" si="21"/>
        <v>231.52014000000054</v>
      </c>
      <c r="I829" s="13">
        <f t="shared" si="22"/>
        <v>231.52360999999655</v>
      </c>
      <c r="J829" s="13">
        <f t="shared" si="23"/>
        <v>231.52187499999854</v>
      </c>
      <c r="K829" s="7">
        <v>43696.521874999999</v>
      </c>
      <c r="L829" s="4">
        <v>1018.7</v>
      </c>
      <c r="N829">
        <v>28.33</v>
      </c>
      <c r="Q829">
        <v>38.043379995329801</v>
      </c>
      <c r="R829">
        <v>-1.44827177957467E-4</v>
      </c>
    </row>
    <row r="830" spans="1:18" x14ac:dyDescent="0.2">
      <c r="A830" t="s">
        <v>5</v>
      </c>
      <c r="B830">
        <v>3</v>
      </c>
      <c r="C830" t="s">
        <v>4</v>
      </c>
      <c r="D830" s="2">
        <v>43696</v>
      </c>
      <c r="E830" s="11">
        <v>231</v>
      </c>
      <c r="F830" s="3">
        <v>0.52545999999711057</v>
      </c>
      <c r="G830" s="3">
        <v>0.52893999999650987</v>
      </c>
      <c r="H830" s="13">
        <f t="shared" si="21"/>
        <v>231.52545999999711</v>
      </c>
      <c r="I830" s="13">
        <f t="shared" si="22"/>
        <v>231.52893999999651</v>
      </c>
      <c r="J830" s="13">
        <f t="shared" si="23"/>
        <v>231.52719999999681</v>
      </c>
      <c r="K830" s="7">
        <v>43696.527199999997</v>
      </c>
      <c r="L830" s="4">
        <v>953.7</v>
      </c>
      <c r="M830">
        <v>12.9</v>
      </c>
      <c r="N830">
        <v>28.33</v>
      </c>
      <c r="O830">
        <v>46</v>
      </c>
      <c r="P830">
        <v>0.81</v>
      </c>
      <c r="Q830">
        <v>-4.1043253153247603</v>
      </c>
      <c r="R830">
        <v>1.4183579678924999E-4</v>
      </c>
    </row>
    <row r="831" spans="1:18" x14ac:dyDescent="0.2">
      <c r="A831" t="s">
        <v>5</v>
      </c>
      <c r="B831">
        <v>3</v>
      </c>
      <c r="C831" t="s">
        <v>6</v>
      </c>
      <c r="D831" s="2">
        <v>43696</v>
      </c>
      <c r="E831" s="11">
        <v>231</v>
      </c>
      <c r="F831" s="3">
        <v>0.53182999999989988</v>
      </c>
      <c r="G831" s="3">
        <v>0.53530000000318978</v>
      </c>
      <c r="H831" s="13">
        <f t="shared" si="21"/>
        <v>231.5318299999999</v>
      </c>
      <c r="I831" s="13">
        <f t="shared" si="22"/>
        <v>231.53530000000319</v>
      </c>
      <c r="J831" s="13">
        <f t="shared" si="23"/>
        <v>231.53356500000154</v>
      </c>
      <c r="K831" s="7">
        <v>43696.533565000005</v>
      </c>
      <c r="L831" s="4">
        <v>1908.7</v>
      </c>
      <c r="N831">
        <v>28.33</v>
      </c>
      <c r="Q831">
        <v>49.172763377248103</v>
      </c>
      <c r="R831" s="6">
        <v>5.4071806650331903E-5</v>
      </c>
    </row>
    <row r="832" spans="1:18" x14ac:dyDescent="0.2">
      <c r="A832" t="s">
        <v>5</v>
      </c>
      <c r="B832">
        <v>4</v>
      </c>
      <c r="C832" t="s">
        <v>4</v>
      </c>
      <c r="D832" s="2">
        <v>43696</v>
      </c>
      <c r="E832" s="11">
        <v>231</v>
      </c>
      <c r="F832" s="3">
        <v>0.53738000000157626</v>
      </c>
      <c r="G832" s="3">
        <v>0.54086000000097556</v>
      </c>
      <c r="H832" s="13">
        <f t="shared" si="21"/>
        <v>231.53738000000158</v>
      </c>
      <c r="I832" s="13">
        <f t="shared" si="22"/>
        <v>231.54086000000098</v>
      </c>
      <c r="J832" s="13">
        <f t="shared" si="23"/>
        <v>231.53912000000128</v>
      </c>
      <c r="K832" s="7">
        <v>43696.539120000001</v>
      </c>
      <c r="L832" s="4">
        <v>1718.7</v>
      </c>
      <c r="M832">
        <v>16.3</v>
      </c>
      <c r="N832">
        <v>28.33</v>
      </c>
      <c r="O832">
        <v>43.4</v>
      </c>
      <c r="P832">
        <v>0.84</v>
      </c>
      <c r="Q832">
        <v>-6.8608071547852996</v>
      </c>
      <c r="R832">
        <v>1.13368194214694E-4</v>
      </c>
    </row>
    <row r="833" spans="1:18" x14ac:dyDescent="0.2">
      <c r="A833" t="s">
        <v>5</v>
      </c>
      <c r="B833">
        <v>4</v>
      </c>
      <c r="C833" t="s">
        <v>6</v>
      </c>
      <c r="D833" s="2">
        <v>43696</v>
      </c>
      <c r="E833" s="11">
        <v>231</v>
      </c>
      <c r="F833" s="3">
        <v>0.54306000000360655</v>
      </c>
      <c r="G833" s="3">
        <v>0.54652999999962049</v>
      </c>
      <c r="H833" s="13">
        <f t="shared" si="21"/>
        <v>231.54306000000361</v>
      </c>
      <c r="I833" s="13">
        <f t="shared" si="22"/>
        <v>231.54652999999962</v>
      </c>
      <c r="J833" s="13">
        <f t="shared" si="23"/>
        <v>231.54479500000161</v>
      </c>
      <c r="K833" s="7">
        <v>43696.544795000002</v>
      </c>
      <c r="L833" s="4">
        <v>1113.7</v>
      </c>
      <c r="N833">
        <v>28.33</v>
      </c>
      <c r="Q833">
        <v>12.667914665633401</v>
      </c>
      <c r="R833" s="6">
        <v>1.70037780878857E-5</v>
      </c>
    </row>
    <row r="834" spans="1:18" x14ac:dyDescent="0.2">
      <c r="A834" t="s">
        <v>5</v>
      </c>
      <c r="B834">
        <v>5</v>
      </c>
      <c r="C834" t="s">
        <v>4</v>
      </c>
      <c r="D834" s="2">
        <v>43696</v>
      </c>
      <c r="E834" s="11">
        <v>231</v>
      </c>
      <c r="F834" s="3">
        <v>0.54890000000159489</v>
      </c>
      <c r="G834" s="3">
        <v>0.55236999999760883</v>
      </c>
      <c r="H834" s="13">
        <f t="shared" si="21"/>
        <v>231.54890000000159</v>
      </c>
      <c r="I834" s="13">
        <f t="shared" si="22"/>
        <v>231.55236999999761</v>
      </c>
      <c r="J834" s="13">
        <f t="shared" si="23"/>
        <v>231.5506349999996</v>
      </c>
      <c r="K834" s="7">
        <v>43696.550635</v>
      </c>
      <c r="L834" s="4">
        <v>2118.6999999999998</v>
      </c>
      <c r="M834">
        <v>16.7</v>
      </c>
      <c r="N834">
        <v>29.44</v>
      </c>
      <c r="O834">
        <v>41.2</v>
      </c>
      <c r="P834">
        <v>0.78</v>
      </c>
      <c r="Q834">
        <v>-5.7954610285615802</v>
      </c>
      <c r="R834">
        <v>-1.27067670451677E-4</v>
      </c>
    </row>
    <row r="835" spans="1:18" x14ac:dyDescent="0.2">
      <c r="A835" t="s">
        <v>5</v>
      </c>
      <c r="B835">
        <v>5</v>
      </c>
      <c r="C835" t="s">
        <v>6</v>
      </c>
      <c r="D835" s="2">
        <v>43696</v>
      </c>
      <c r="E835" s="11">
        <v>231</v>
      </c>
      <c r="F835" s="3">
        <v>0.5542799999966519</v>
      </c>
      <c r="G835" s="3">
        <v>0.55774999999994179</v>
      </c>
      <c r="H835" s="13">
        <f t="shared" si="21"/>
        <v>231.55427999999665</v>
      </c>
      <c r="I835" s="13">
        <f t="shared" si="22"/>
        <v>231.55774999999994</v>
      </c>
      <c r="J835" s="13">
        <f t="shared" si="23"/>
        <v>231.5560149999983</v>
      </c>
      <c r="K835" s="7">
        <v>43696.556014999995</v>
      </c>
      <c r="L835" s="4">
        <v>1183.7</v>
      </c>
      <c r="N835">
        <v>29.44</v>
      </c>
      <c r="Q835">
        <v>28.4446436107519</v>
      </c>
      <c r="R835">
        <v>-1.8065554915972699E-4</v>
      </c>
    </row>
    <row r="836" spans="1:18" x14ac:dyDescent="0.2">
      <c r="A836" t="s">
        <v>5</v>
      </c>
      <c r="B836">
        <v>1</v>
      </c>
      <c r="C836" t="s">
        <v>4</v>
      </c>
      <c r="D836" s="2">
        <v>43696</v>
      </c>
      <c r="E836" s="11">
        <v>231</v>
      </c>
      <c r="F836" s="3">
        <v>0.61845999999786727</v>
      </c>
      <c r="G836" s="3">
        <v>0.62193000000115717</v>
      </c>
      <c r="H836" s="13">
        <f t="shared" si="21"/>
        <v>231.61845999999787</v>
      </c>
      <c r="I836" s="13">
        <f t="shared" si="22"/>
        <v>231.62193000000116</v>
      </c>
      <c r="J836" s="13">
        <f t="shared" si="23"/>
        <v>231.62019499999951</v>
      </c>
      <c r="K836" s="7">
        <v>43696.620194999996</v>
      </c>
      <c r="L836" s="4">
        <v>1996.2</v>
      </c>
      <c r="M836">
        <v>14.7</v>
      </c>
      <c r="N836">
        <v>30.56</v>
      </c>
      <c r="O836">
        <v>42.7</v>
      </c>
      <c r="P836">
        <v>0.87</v>
      </c>
      <c r="Q836">
        <v>-3.90524198376737</v>
      </c>
      <c r="R836">
        <v>-2.7936066974572501E-4</v>
      </c>
    </row>
    <row r="837" spans="1:18" x14ac:dyDescent="0.2">
      <c r="A837" t="s">
        <v>5</v>
      </c>
      <c r="B837">
        <v>1</v>
      </c>
      <c r="C837" t="s">
        <v>6</v>
      </c>
      <c r="D837" s="2">
        <v>43696</v>
      </c>
      <c r="E837" s="11">
        <v>231</v>
      </c>
      <c r="F837" s="3">
        <v>0.6233799999972689</v>
      </c>
      <c r="G837" s="3">
        <v>0.62685000000055879</v>
      </c>
      <c r="H837" s="13">
        <f t="shared" si="21"/>
        <v>231.62337999999727</v>
      </c>
      <c r="I837" s="13">
        <f t="shared" si="22"/>
        <v>231.62685000000056</v>
      </c>
      <c r="J837" s="13">
        <f t="shared" si="23"/>
        <v>231.62511499999891</v>
      </c>
      <c r="K837" s="7">
        <v>43696.625115000003</v>
      </c>
      <c r="L837" s="4">
        <v>956.2</v>
      </c>
      <c r="N837">
        <v>30.56</v>
      </c>
      <c r="Q837">
        <v>27.3535437298268</v>
      </c>
      <c r="R837">
        <v>2.0286848184678999E-4</v>
      </c>
    </row>
    <row r="838" spans="1:18" x14ac:dyDescent="0.2">
      <c r="A838" t="s">
        <v>5</v>
      </c>
      <c r="B838">
        <v>2</v>
      </c>
      <c r="C838" t="s">
        <v>4</v>
      </c>
      <c r="D838" s="2">
        <v>43696</v>
      </c>
      <c r="E838" s="11">
        <v>231</v>
      </c>
      <c r="F838" s="3">
        <v>0.62795000000187429</v>
      </c>
      <c r="G838" s="3">
        <v>0.63141999999788823</v>
      </c>
      <c r="H838" s="13">
        <f t="shared" si="21"/>
        <v>231.62795000000187</v>
      </c>
      <c r="I838" s="13">
        <f t="shared" si="22"/>
        <v>231.63141999999789</v>
      </c>
      <c r="J838" s="13">
        <f t="shared" si="23"/>
        <v>231.62968499999988</v>
      </c>
      <c r="K838" s="7">
        <v>43696.629685</v>
      </c>
      <c r="L838" s="4">
        <v>1493.7</v>
      </c>
      <c r="M838">
        <v>20.7</v>
      </c>
      <c r="N838">
        <v>30.56</v>
      </c>
      <c r="O838">
        <v>43.9</v>
      </c>
      <c r="P838">
        <v>0.86</v>
      </c>
      <c r="Q838">
        <v>-9.7409399700470498</v>
      </c>
      <c r="R838">
        <v>-1.89530072934902E-4</v>
      </c>
    </row>
    <row r="839" spans="1:18" x14ac:dyDescent="0.2">
      <c r="A839" t="s">
        <v>5</v>
      </c>
      <c r="B839">
        <v>2</v>
      </c>
      <c r="C839" t="s">
        <v>6</v>
      </c>
      <c r="D839" s="2">
        <v>43696</v>
      </c>
      <c r="E839" s="11">
        <v>231</v>
      </c>
      <c r="F839" s="3">
        <v>0.63246999999682885</v>
      </c>
      <c r="G839" s="3">
        <v>0.63594000000011874</v>
      </c>
      <c r="H839" s="13">
        <f t="shared" si="21"/>
        <v>231.63246999999683</v>
      </c>
      <c r="I839" s="13">
        <f t="shared" si="22"/>
        <v>231.63594000000012</v>
      </c>
      <c r="J839" s="13">
        <f t="shared" si="23"/>
        <v>231.63420499999847</v>
      </c>
      <c r="K839" s="7">
        <v>43696.634204999995</v>
      </c>
      <c r="L839" s="4">
        <v>883.7</v>
      </c>
      <c r="N839">
        <v>30.56</v>
      </c>
      <c r="Q839">
        <v>34.436464491574199</v>
      </c>
      <c r="R839" s="6">
        <v>-7.5262520302016205E-5</v>
      </c>
    </row>
    <row r="840" spans="1:18" x14ac:dyDescent="0.2">
      <c r="A840" t="s">
        <v>5</v>
      </c>
      <c r="B840">
        <v>3</v>
      </c>
      <c r="C840" t="s">
        <v>4</v>
      </c>
      <c r="D840" s="2">
        <v>43696</v>
      </c>
      <c r="E840" s="11">
        <v>231</v>
      </c>
      <c r="F840" s="3">
        <v>0.63698000000294996</v>
      </c>
      <c r="G840" s="3">
        <v>0.64115000000310829</v>
      </c>
      <c r="H840" s="13">
        <f t="shared" si="21"/>
        <v>231.63698000000295</v>
      </c>
      <c r="I840" s="13">
        <f t="shared" si="22"/>
        <v>231.64115000000311</v>
      </c>
      <c r="J840" s="13">
        <f t="shared" si="23"/>
        <v>231.63906500000303</v>
      </c>
      <c r="K840" s="7">
        <v>43696.639065000003</v>
      </c>
      <c r="L840" s="4">
        <v>938.7</v>
      </c>
      <c r="M840">
        <v>14.3</v>
      </c>
      <c r="N840">
        <v>30.56</v>
      </c>
      <c r="O840">
        <v>35</v>
      </c>
      <c r="P840">
        <v>0.86</v>
      </c>
      <c r="Q840">
        <v>-5.0155227479078501</v>
      </c>
      <c r="R840" s="6">
        <v>-4.82821563476002E-5</v>
      </c>
    </row>
    <row r="841" spans="1:18" x14ac:dyDescent="0.2">
      <c r="A841" t="s">
        <v>5</v>
      </c>
      <c r="B841">
        <v>3</v>
      </c>
      <c r="C841" t="s">
        <v>6</v>
      </c>
      <c r="D841" s="2">
        <v>43696</v>
      </c>
      <c r="E841" s="11">
        <v>231</v>
      </c>
      <c r="F841" s="3">
        <v>0.64207000000169501</v>
      </c>
      <c r="G841" s="3">
        <v>0.64553999999770895</v>
      </c>
      <c r="H841" s="13">
        <f t="shared" si="21"/>
        <v>231.6420700000017</v>
      </c>
      <c r="I841" s="13">
        <f t="shared" si="22"/>
        <v>231.64553999999771</v>
      </c>
      <c r="J841" s="13">
        <f t="shared" si="23"/>
        <v>231.6438049999997</v>
      </c>
      <c r="K841" s="7">
        <v>43696.643805</v>
      </c>
      <c r="L841" s="4">
        <v>1763.7</v>
      </c>
      <c r="N841">
        <v>30.56</v>
      </c>
      <c r="Q841">
        <v>38.8880903771799</v>
      </c>
      <c r="R841" s="6">
        <v>2.6241735898450001E-5</v>
      </c>
    </row>
    <row r="842" spans="1:18" x14ac:dyDescent="0.2">
      <c r="A842" t="s">
        <v>5</v>
      </c>
      <c r="B842">
        <v>4</v>
      </c>
      <c r="C842" t="s">
        <v>4</v>
      </c>
      <c r="D842" s="2">
        <v>43696</v>
      </c>
      <c r="E842" s="11">
        <v>231</v>
      </c>
      <c r="F842" s="3">
        <v>0.64688000000023749</v>
      </c>
      <c r="G842" s="3">
        <v>0.65035000000352738</v>
      </c>
      <c r="H842" s="13">
        <f t="shared" si="21"/>
        <v>231.64688000000024</v>
      </c>
      <c r="I842" s="13">
        <f t="shared" si="22"/>
        <v>231.65035000000353</v>
      </c>
      <c r="J842" s="13">
        <f t="shared" si="23"/>
        <v>231.64861500000188</v>
      </c>
      <c r="K842" s="7">
        <v>43696.648614999998</v>
      </c>
      <c r="L842" s="4">
        <v>1446.2</v>
      </c>
      <c r="M842">
        <v>19.7</v>
      </c>
      <c r="N842">
        <v>30.56</v>
      </c>
      <c r="O842">
        <v>39.1</v>
      </c>
      <c r="P842">
        <v>0.87</v>
      </c>
      <c r="Q842">
        <v>-2.7299970408309702</v>
      </c>
      <c r="R842" s="6">
        <v>-1.7785282837198601E-5</v>
      </c>
    </row>
    <row r="843" spans="1:18" x14ac:dyDescent="0.2">
      <c r="A843" t="s">
        <v>5</v>
      </c>
      <c r="B843">
        <v>4</v>
      </c>
      <c r="C843" t="s">
        <v>6</v>
      </c>
      <c r="D843" s="2">
        <v>43696</v>
      </c>
      <c r="E843" s="11">
        <v>231</v>
      </c>
      <c r="F843" s="3">
        <v>0.65155999999842606</v>
      </c>
      <c r="G843" s="3">
        <v>0.65503000000171596</v>
      </c>
      <c r="H843" s="13">
        <f t="shared" si="21"/>
        <v>231.65155999999843</v>
      </c>
      <c r="I843" s="13">
        <f t="shared" si="22"/>
        <v>231.65503000000172</v>
      </c>
      <c r="J843" s="13">
        <f t="shared" si="23"/>
        <v>231.65329500000007</v>
      </c>
      <c r="K843" s="7">
        <v>43696.653294999996</v>
      </c>
      <c r="L843" s="4">
        <v>1011.2</v>
      </c>
      <c r="N843">
        <v>30.56</v>
      </c>
      <c r="Q843">
        <v>8.9494919432834497</v>
      </c>
      <c r="R843" s="6">
        <v>-4.9487462813438698E-5</v>
      </c>
    </row>
    <row r="844" spans="1:18" x14ac:dyDescent="0.2">
      <c r="A844" t="s">
        <v>5</v>
      </c>
      <c r="B844">
        <v>5</v>
      </c>
      <c r="C844" t="s">
        <v>4</v>
      </c>
      <c r="D844" s="2">
        <v>43696</v>
      </c>
      <c r="E844" s="11">
        <v>231</v>
      </c>
      <c r="F844" s="3">
        <v>0.65677000000141561</v>
      </c>
      <c r="G844" s="3">
        <v>0.66023999999742955</v>
      </c>
      <c r="H844" s="13">
        <f t="shared" si="21"/>
        <v>231.65677000000142</v>
      </c>
      <c r="I844" s="13">
        <f t="shared" si="22"/>
        <v>231.66023999999743</v>
      </c>
      <c r="J844" s="13">
        <f t="shared" si="23"/>
        <v>231.65850499999942</v>
      </c>
      <c r="K844" s="7">
        <v>43696.658504999999</v>
      </c>
      <c r="L844" s="4">
        <v>1576.2</v>
      </c>
      <c r="M844">
        <v>18.100000000000001</v>
      </c>
      <c r="N844">
        <v>30.56</v>
      </c>
      <c r="O844">
        <v>46.6</v>
      </c>
      <c r="P844">
        <v>0.82</v>
      </c>
      <c r="Q844">
        <v>-6.4556159180199302</v>
      </c>
      <c r="R844">
        <v>-1.4457159515075401E-4</v>
      </c>
    </row>
    <row r="845" spans="1:18" x14ac:dyDescent="0.2">
      <c r="A845" t="s">
        <v>5</v>
      </c>
      <c r="B845">
        <v>5</v>
      </c>
      <c r="C845" t="s">
        <v>6</v>
      </c>
      <c r="D845" s="2">
        <v>43696</v>
      </c>
      <c r="E845" s="11">
        <v>231</v>
      </c>
      <c r="F845" s="3">
        <v>0.66232999999920139</v>
      </c>
      <c r="G845" s="3">
        <v>0.66580000000249129</v>
      </c>
      <c r="H845" s="13">
        <f t="shared" si="21"/>
        <v>231.6623299999992</v>
      </c>
      <c r="I845" s="13">
        <f t="shared" si="22"/>
        <v>231.66580000000249</v>
      </c>
      <c r="J845" s="13">
        <f t="shared" si="23"/>
        <v>231.66406500000085</v>
      </c>
      <c r="K845" s="7">
        <v>43696.664065000004</v>
      </c>
      <c r="L845" s="4">
        <v>883.7</v>
      </c>
      <c r="N845">
        <v>30.56</v>
      </c>
      <c r="Q845">
        <v>25.694958850203999</v>
      </c>
      <c r="R845">
        <v>-1.5863699142743901E-4</v>
      </c>
    </row>
    <row r="846" spans="1:18" x14ac:dyDescent="0.2">
      <c r="A846" t="s">
        <v>5</v>
      </c>
      <c r="B846">
        <v>1</v>
      </c>
      <c r="C846" t="s">
        <v>4</v>
      </c>
      <c r="D846" s="2">
        <v>43707</v>
      </c>
      <c r="E846" s="11">
        <v>242</v>
      </c>
      <c r="F846" s="3">
        <v>0.37535000000207219</v>
      </c>
      <c r="G846" s="3">
        <v>0.37881999999808613</v>
      </c>
      <c r="H846" s="13">
        <f t="shared" si="21"/>
        <v>242.37535000000207</v>
      </c>
      <c r="I846" s="13">
        <f t="shared" si="22"/>
        <v>242.37881999999809</v>
      </c>
      <c r="J846" s="13">
        <f t="shared" si="23"/>
        <v>242.37708500000008</v>
      </c>
      <c r="K846" s="7">
        <v>43707.377085</v>
      </c>
      <c r="L846" s="4">
        <v>896.2</v>
      </c>
      <c r="M846">
        <v>11.4</v>
      </c>
      <c r="N846">
        <v>21.67</v>
      </c>
      <c r="O846">
        <v>38.799999999999997</v>
      </c>
      <c r="P846">
        <v>0.81</v>
      </c>
      <c r="Q846">
        <v>-15.1722307049092</v>
      </c>
      <c r="R846">
        <v>-3.4591038828031198E-4</v>
      </c>
    </row>
    <row r="847" spans="1:18" x14ac:dyDescent="0.2">
      <c r="A847" t="s">
        <v>5</v>
      </c>
      <c r="B847">
        <v>1</v>
      </c>
      <c r="C847" t="s">
        <v>6</v>
      </c>
      <c r="D847" s="2">
        <v>43707</v>
      </c>
      <c r="E847" s="11">
        <v>242</v>
      </c>
      <c r="F847" s="3">
        <v>0.38332999999693129</v>
      </c>
      <c r="G847" s="3">
        <v>0.38681000000360655</v>
      </c>
      <c r="H847" s="13">
        <f t="shared" si="21"/>
        <v>242.38332999999693</v>
      </c>
      <c r="I847" s="13">
        <f t="shared" si="22"/>
        <v>242.38681000000361</v>
      </c>
      <c r="J847" s="13">
        <f t="shared" si="23"/>
        <v>242.38507000000027</v>
      </c>
      <c r="K847" s="7">
        <v>43707.385070000004</v>
      </c>
      <c r="L847" s="4">
        <v>963.7</v>
      </c>
      <c r="N847">
        <v>21.67</v>
      </c>
      <c r="Q847">
        <v>20.511058168664501</v>
      </c>
      <c r="R847">
        <v>-2.85054980490449E-4</v>
      </c>
    </row>
    <row r="848" spans="1:18" x14ac:dyDescent="0.2">
      <c r="A848" t="s">
        <v>5</v>
      </c>
      <c r="B848">
        <v>2</v>
      </c>
      <c r="C848" t="s">
        <v>4</v>
      </c>
      <c r="D848" s="2">
        <v>43707</v>
      </c>
      <c r="E848" s="11">
        <v>242</v>
      </c>
      <c r="F848" s="3">
        <v>0.38981000000057975</v>
      </c>
      <c r="G848" s="3">
        <v>0.39328999999997905</v>
      </c>
      <c r="H848" s="13">
        <f t="shared" si="21"/>
        <v>242.38981000000058</v>
      </c>
      <c r="I848" s="13">
        <f t="shared" si="22"/>
        <v>242.39328999999998</v>
      </c>
      <c r="J848" s="13">
        <f t="shared" si="23"/>
        <v>242.39155000000028</v>
      </c>
      <c r="K848" s="7">
        <v>43707.39155</v>
      </c>
      <c r="L848" s="4">
        <v>1016.2</v>
      </c>
      <c r="M848">
        <v>4.0999999999999996</v>
      </c>
      <c r="N848">
        <v>22.78</v>
      </c>
      <c r="O848">
        <v>38.200000000000003</v>
      </c>
      <c r="P848">
        <v>0.84</v>
      </c>
      <c r="Q848">
        <v>-10.286312380394801</v>
      </c>
      <c r="R848">
        <v>-3.3795610274166E-4</v>
      </c>
    </row>
    <row r="849" spans="1:18" x14ac:dyDescent="0.2">
      <c r="A849" t="s">
        <v>5</v>
      </c>
      <c r="B849">
        <v>2</v>
      </c>
      <c r="C849" t="s">
        <v>6</v>
      </c>
      <c r="D849" s="2">
        <v>43707</v>
      </c>
      <c r="E849" s="11">
        <v>242</v>
      </c>
      <c r="F849" s="3">
        <v>0.39669999999750871</v>
      </c>
      <c r="G849" s="3">
        <v>0.40017000000079861</v>
      </c>
      <c r="H849" s="13">
        <f t="shared" si="21"/>
        <v>242.39669999999751</v>
      </c>
      <c r="I849" s="13">
        <f t="shared" si="22"/>
        <v>242.4001700000008</v>
      </c>
      <c r="J849" s="13">
        <f t="shared" si="23"/>
        <v>242.39843499999915</v>
      </c>
      <c r="K849" s="7">
        <v>43707.398434999996</v>
      </c>
      <c r="L849" s="4">
        <v>1073.7</v>
      </c>
      <c r="N849">
        <v>22.78</v>
      </c>
      <c r="Q849">
        <v>20.8115256442881</v>
      </c>
      <c r="R849">
        <v>-1.90492813431865E-4</v>
      </c>
    </row>
    <row r="850" spans="1:18" x14ac:dyDescent="0.2">
      <c r="A850" t="s">
        <v>5</v>
      </c>
      <c r="B850">
        <v>3</v>
      </c>
      <c r="C850" t="s">
        <v>4</v>
      </c>
      <c r="D850" s="2">
        <v>43707</v>
      </c>
      <c r="E850" s="11">
        <v>242</v>
      </c>
      <c r="F850" s="3">
        <v>0.4027799999967101</v>
      </c>
      <c r="G850" s="3">
        <v>0.40625</v>
      </c>
      <c r="H850" s="13">
        <f t="shared" si="21"/>
        <v>242.40277999999671</v>
      </c>
      <c r="I850" s="13">
        <f t="shared" si="22"/>
        <v>242.40625</v>
      </c>
      <c r="J850" s="13">
        <f t="shared" si="23"/>
        <v>242.40451499999836</v>
      </c>
      <c r="K850" s="7">
        <v>43707.404515000002</v>
      </c>
      <c r="L850" s="4">
        <v>1118.7</v>
      </c>
      <c r="M850">
        <v>3.9</v>
      </c>
      <c r="N850">
        <v>22.78</v>
      </c>
      <c r="O850">
        <v>43.2</v>
      </c>
      <c r="P850">
        <v>0.81</v>
      </c>
      <c r="Q850">
        <v>-10.4937825744594</v>
      </c>
      <c r="R850" s="6">
        <v>-7.0368768745373905E-5</v>
      </c>
    </row>
    <row r="851" spans="1:18" x14ac:dyDescent="0.2">
      <c r="A851" t="s">
        <v>5</v>
      </c>
      <c r="B851">
        <v>3</v>
      </c>
      <c r="C851" t="s">
        <v>6</v>
      </c>
      <c r="D851" s="2">
        <v>43707</v>
      </c>
      <c r="E851" s="11">
        <v>242</v>
      </c>
      <c r="F851" s="3">
        <v>0.41023000000132015</v>
      </c>
      <c r="G851" s="3">
        <v>0.41369999999733409</v>
      </c>
      <c r="H851" s="13">
        <f t="shared" si="21"/>
        <v>242.41023000000132</v>
      </c>
      <c r="I851" s="13">
        <f t="shared" si="22"/>
        <v>242.41369999999733</v>
      </c>
      <c r="J851" s="13">
        <f t="shared" si="23"/>
        <v>242.41196499999933</v>
      </c>
      <c r="K851" s="7">
        <v>43707.411964999999</v>
      </c>
      <c r="L851" s="4">
        <v>1173.7</v>
      </c>
      <c r="N851">
        <v>22.78</v>
      </c>
      <c r="Q851">
        <v>34.826501996779697</v>
      </c>
      <c r="R851">
        <v>-1.6618227714894099E-4</v>
      </c>
    </row>
    <row r="852" spans="1:18" x14ac:dyDescent="0.2">
      <c r="A852" t="s">
        <v>5</v>
      </c>
      <c r="B852">
        <v>4</v>
      </c>
      <c r="C852" t="s">
        <v>4</v>
      </c>
      <c r="D852" s="2">
        <v>43707</v>
      </c>
      <c r="E852" s="11">
        <v>242</v>
      </c>
      <c r="F852" s="3">
        <v>0.41735999999946216</v>
      </c>
      <c r="G852" s="3">
        <v>0.42083000000275206</v>
      </c>
      <c r="H852" s="13">
        <f t="shared" si="21"/>
        <v>242.41735999999946</v>
      </c>
      <c r="I852" s="13">
        <f t="shared" si="22"/>
        <v>242.42083000000275</v>
      </c>
      <c r="J852" s="13">
        <f t="shared" si="23"/>
        <v>242.41909500000111</v>
      </c>
      <c r="K852" s="7">
        <v>43707.419095000005</v>
      </c>
      <c r="L852" s="4">
        <v>1221.2</v>
      </c>
      <c r="M852">
        <v>2.7</v>
      </c>
      <c r="N852">
        <v>22.78</v>
      </c>
      <c r="O852">
        <v>41.6</v>
      </c>
      <c r="P852">
        <v>0.82</v>
      </c>
      <c r="Q852">
        <v>-7.5252278630075002</v>
      </c>
      <c r="R852" s="6">
        <v>3.3136609912461203E-5</v>
      </c>
    </row>
    <row r="853" spans="1:18" x14ac:dyDescent="0.2">
      <c r="A853" t="s">
        <v>5</v>
      </c>
      <c r="B853">
        <v>4</v>
      </c>
      <c r="C853" t="s">
        <v>6</v>
      </c>
      <c r="D853" s="2">
        <v>43707</v>
      </c>
      <c r="E853" s="11">
        <v>242</v>
      </c>
      <c r="F853" s="3">
        <v>0.42500000000291038</v>
      </c>
      <c r="G853" s="3">
        <v>0.42846999999892432</v>
      </c>
      <c r="H853" s="13">
        <f t="shared" si="21"/>
        <v>242.42500000000291</v>
      </c>
      <c r="I853" s="13">
        <f t="shared" si="22"/>
        <v>242.42846999999892</v>
      </c>
      <c r="J853" s="13">
        <f t="shared" si="23"/>
        <v>242.42673500000092</v>
      </c>
      <c r="K853" s="7">
        <v>43707.426735000001</v>
      </c>
      <c r="L853" s="4">
        <v>1273.7</v>
      </c>
      <c r="N853">
        <v>22.78</v>
      </c>
      <c r="Q853">
        <v>17.448349672498001</v>
      </c>
      <c r="R853" s="6">
        <v>-1.5865634956658302E-5</v>
      </c>
    </row>
    <row r="854" spans="1:18" x14ac:dyDescent="0.2">
      <c r="A854" t="s">
        <v>5</v>
      </c>
      <c r="B854">
        <v>5</v>
      </c>
      <c r="C854" t="s">
        <v>4</v>
      </c>
      <c r="D854" s="2">
        <v>43707</v>
      </c>
      <c r="E854" s="11">
        <v>242</v>
      </c>
      <c r="F854" s="3">
        <v>0.43166000000201166</v>
      </c>
      <c r="G854" s="3">
        <v>0.4351299999980256</v>
      </c>
      <c r="H854" s="13">
        <f t="shared" si="21"/>
        <v>242.43166000000201</v>
      </c>
      <c r="I854" s="13">
        <f t="shared" si="22"/>
        <v>242.43512999999803</v>
      </c>
      <c r="J854" s="13">
        <f t="shared" si="23"/>
        <v>242.43339500000002</v>
      </c>
      <c r="K854" s="7">
        <v>43707.433395</v>
      </c>
      <c r="L854" s="4">
        <v>1316.2</v>
      </c>
      <c r="M854">
        <v>1.5</v>
      </c>
      <c r="N854">
        <v>22.78</v>
      </c>
      <c r="O854">
        <v>38</v>
      </c>
      <c r="P854">
        <v>0.8</v>
      </c>
      <c r="Q854">
        <v>-6.45330021367075</v>
      </c>
      <c r="R854" s="6">
        <v>-3.9437137478048702E-5</v>
      </c>
    </row>
    <row r="855" spans="1:18" x14ac:dyDescent="0.2">
      <c r="A855" t="s">
        <v>5</v>
      </c>
      <c r="B855">
        <v>5</v>
      </c>
      <c r="C855" t="s">
        <v>6</v>
      </c>
      <c r="D855" s="2">
        <v>43707</v>
      </c>
      <c r="E855" s="11">
        <v>242</v>
      </c>
      <c r="F855" s="3">
        <v>0.43888999999762746</v>
      </c>
      <c r="G855" s="3">
        <v>0.44236000000091735</v>
      </c>
      <c r="H855" s="13">
        <f t="shared" si="21"/>
        <v>242.43888999999763</v>
      </c>
      <c r="I855" s="13">
        <f t="shared" si="22"/>
        <v>242.44236000000092</v>
      </c>
      <c r="J855" s="13">
        <f t="shared" si="23"/>
        <v>242.44062499999927</v>
      </c>
      <c r="K855" s="7">
        <v>43707.440625000003</v>
      </c>
      <c r="L855" s="4">
        <v>1358.7</v>
      </c>
      <c r="N855">
        <v>22.78</v>
      </c>
      <c r="Q855">
        <v>17.021012613917001</v>
      </c>
      <c r="R855">
        <v>-1.2566586029552E-4</v>
      </c>
    </row>
    <row r="856" spans="1:18" x14ac:dyDescent="0.2">
      <c r="A856" t="s">
        <v>5</v>
      </c>
      <c r="B856">
        <v>1</v>
      </c>
      <c r="C856" t="s">
        <v>4</v>
      </c>
      <c r="D856" s="2">
        <v>43707</v>
      </c>
      <c r="E856" s="11">
        <v>242</v>
      </c>
      <c r="F856" s="3">
        <v>0.50246999999944819</v>
      </c>
      <c r="G856" s="3">
        <v>0.50594000000273809</v>
      </c>
      <c r="H856" s="13">
        <f t="shared" si="21"/>
        <v>242.50246999999945</v>
      </c>
      <c r="I856" s="13">
        <f t="shared" si="22"/>
        <v>242.50594000000274</v>
      </c>
      <c r="J856" s="13">
        <f t="shared" si="23"/>
        <v>242.50420500000109</v>
      </c>
      <c r="K856" s="7">
        <v>43707.504205000005</v>
      </c>
      <c r="L856" s="4">
        <v>1626.2</v>
      </c>
      <c r="M856">
        <v>6.3</v>
      </c>
      <c r="N856">
        <v>23.89</v>
      </c>
      <c r="O856">
        <v>40.4</v>
      </c>
      <c r="P856">
        <v>0.75</v>
      </c>
      <c r="Q856">
        <v>-3.0239491678034902</v>
      </c>
      <c r="R856">
        <v>1.1492274144144099E-4</v>
      </c>
    </row>
    <row r="857" spans="1:18" x14ac:dyDescent="0.2">
      <c r="A857" t="s">
        <v>5</v>
      </c>
      <c r="B857">
        <v>1</v>
      </c>
      <c r="C857" t="s">
        <v>6</v>
      </c>
      <c r="D857" s="2">
        <v>43707</v>
      </c>
      <c r="E857" s="11">
        <v>242</v>
      </c>
      <c r="F857" s="3">
        <v>0.50938000000314787</v>
      </c>
      <c r="G857" s="3">
        <v>0.51284999999916181</v>
      </c>
      <c r="H857" s="13">
        <f t="shared" si="21"/>
        <v>242.50938000000315</v>
      </c>
      <c r="I857" s="13">
        <f t="shared" si="22"/>
        <v>242.51284999999916</v>
      </c>
      <c r="J857" s="13">
        <f t="shared" si="23"/>
        <v>242.51111500000115</v>
      </c>
      <c r="K857" s="7">
        <v>43707.511115000001</v>
      </c>
      <c r="L857" s="4">
        <v>1746.2</v>
      </c>
      <c r="N857">
        <v>23.89</v>
      </c>
      <c r="Q857">
        <v>29.305449875209799</v>
      </c>
      <c r="R857">
        <v>-2.3227937047449299E-4</v>
      </c>
    </row>
    <row r="858" spans="1:18" x14ac:dyDescent="0.2">
      <c r="A858" t="s">
        <v>5</v>
      </c>
      <c r="B858">
        <v>2</v>
      </c>
      <c r="C858" t="s">
        <v>4</v>
      </c>
      <c r="D858" s="2">
        <v>43707</v>
      </c>
      <c r="E858" s="11">
        <v>242</v>
      </c>
      <c r="F858" s="3">
        <v>0.51597000000037951</v>
      </c>
      <c r="G858" s="3">
        <v>0.51943999999639345</v>
      </c>
      <c r="H858" s="13">
        <f t="shared" si="21"/>
        <v>242.51597000000038</v>
      </c>
      <c r="I858" s="13">
        <f t="shared" si="22"/>
        <v>242.51943999999639</v>
      </c>
      <c r="J858" s="13">
        <f t="shared" si="23"/>
        <v>242.51770499999839</v>
      </c>
      <c r="K858" s="7">
        <v>43707.517704999998</v>
      </c>
      <c r="L858" s="4">
        <v>1826.2</v>
      </c>
      <c r="M858">
        <v>5.3</v>
      </c>
      <c r="N858">
        <v>25.56</v>
      </c>
      <c r="O858">
        <v>40.700000000000003</v>
      </c>
      <c r="P858">
        <v>0.76</v>
      </c>
      <c r="Q858">
        <v>-6.7292700850670197</v>
      </c>
      <c r="R858">
        <v>-1.25988127438191E-4</v>
      </c>
    </row>
    <row r="859" spans="1:18" x14ac:dyDescent="0.2">
      <c r="A859" t="s">
        <v>5</v>
      </c>
      <c r="B859">
        <v>2</v>
      </c>
      <c r="C859" t="s">
        <v>6</v>
      </c>
      <c r="D859" s="2">
        <v>43707</v>
      </c>
      <c r="E859" s="11">
        <v>242</v>
      </c>
      <c r="F859" s="3">
        <v>0.52309000000241213</v>
      </c>
      <c r="G859" s="3">
        <v>0.52655999999842606</v>
      </c>
      <c r="H859" s="13">
        <f t="shared" si="21"/>
        <v>242.52309000000241</v>
      </c>
      <c r="I859" s="13">
        <f t="shared" si="22"/>
        <v>242.52655999999843</v>
      </c>
      <c r="J859" s="13">
        <f t="shared" si="23"/>
        <v>242.52482500000042</v>
      </c>
      <c r="K859" s="7">
        <v>43707.524825</v>
      </c>
      <c r="L859" s="4">
        <v>1886.2</v>
      </c>
      <c r="N859">
        <v>25.56</v>
      </c>
      <c r="Q859">
        <v>33.495009642104598</v>
      </c>
      <c r="R859">
        <v>-2.48979719511352E-4</v>
      </c>
    </row>
    <row r="860" spans="1:18" x14ac:dyDescent="0.2">
      <c r="A860" t="s">
        <v>5</v>
      </c>
      <c r="B860">
        <v>3</v>
      </c>
      <c r="C860" t="s">
        <v>4</v>
      </c>
      <c r="D860" s="2">
        <v>43707</v>
      </c>
      <c r="E860" s="11">
        <v>242</v>
      </c>
      <c r="F860" s="3">
        <v>0.53020999999716878</v>
      </c>
      <c r="G860" s="3">
        <v>0.53368000000045868</v>
      </c>
      <c r="H860" s="13">
        <f t="shared" si="21"/>
        <v>242.53020999999717</v>
      </c>
      <c r="I860" s="13">
        <f t="shared" si="22"/>
        <v>242.53368000000046</v>
      </c>
      <c r="J860" s="13">
        <f t="shared" si="23"/>
        <v>242.53194499999881</v>
      </c>
      <c r="K860" s="7">
        <v>43707.531944999995</v>
      </c>
      <c r="L860" s="4">
        <v>2123.6999999999998</v>
      </c>
      <c r="M860">
        <v>4.5999999999999996</v>
      </c>
      <c r="N860">
        <v>26.67</v>
      </c>
      <c r="O860">
        <v>42.8</v>
      </c>
      <c r="P860">
        <v>0.79</v>
      </c>
      <c r="Q860">
        <v>3.3724221164708799</v>
      </c>
      <c r="R860">
        <v>-2.12434569302047E-4</v>
      </c>
    </row>
    <row r="861" spans="1:18" x14ac:dyDescent="0.2">
      <c r="A861" t="s">
        <v>5</v>
      </c>
      <c r="B861">
        <v>3</v>
      </c>
      <c r="C861" t="s">
        <v>6</v>
      </c>
      <c r="D861" s="2">
        <v>43707</v>
      </c>
      <c r="E861" s="11">
        <v>242</v>
      </c>
      <c r="F861" s="3">
        <v>0.53708999999798834</v>
      </c>
      <c r="G861" s="3">
        <v>0.54056999999738764</v>
      </c>
      <c r="H861" s="13">
        <f t="shared" si="21"/>
        <v>242.53708999999799</v>
      </c>
      <c r="I861" s="13">
        <f t="shared" si="22"/>
        <v>242.54056999999739</v>
      </c>
      <c r="J861" s="13">
        <f t="shared" si="23"/>
        <v>242.53882999999769</v>
      </c>
      <c r="K861" s="7">
        <v>43707.538829999998</v>
      </c>
      <c r="L861" s="4">
        <v>646.20000000000005</v>
      </c>
      <c r="N861">
        <v>26.67</v>
      </c>
      <c r="Q861">
        <v>37.8249157306524</v>
      </c>
      <c r="R861">
        <v>1.15943899716672E-4</v>
      </c>
    </row>
    <row r="862" spans="1:18" x14ac:dyDescent="0.2">
      <c r="A862" t="s">
        <v>5</v>
      </c>
      <c r="B862">
        <v>4</v>
      </c>
      <c r="C862" t="s">
        <v>4</v>
      </c>
      <c r="D862" s="2">
        <v>43707</v>
      </c>
      <c r="E862" s="11">
        <v>242</v>
      </c>
      <c r="F862" s="3">
        <v>0.54409999999916181</v>
      </c>
      <c r="G862" s="3">
        <v>0.54757000000245171</v>
      </c>
      <c r="H862" s="13">
        <f t="shared" si="21"/>
        <v>242.54409999999916</v>
      </c>
      <c r="I862" s="13">
        <f t="shared" si="22"/>
        <v>242.54757000000245</v>
      </c>
      <c r="J862" s="13">
        <f t="shared" si="23"/>
        <v>242.54583500000081</v>
      </c>
      <c r="K862" s="7">
        <v>43707.545834999997</v>
      </c>
      <c r="L862" s="4">
        <v>1428.7</v>
      </c>
      <c r="M862">
        <v>4.9000000000000004</v>
      </c>
      <c r="N862">
        <v>26.67</v>
      </c>
      <c r="O862">
        <v>44.5</v>
      </c>
      <c r="P862">
        <v>0.7</v>
      </c>
      <c r="Q862">
        <v>-2.08209983019808</v>
      </c>
      <c r="R862" s="6">
        <v>-6.3058177316887998E-5</v>
      </c>
    </row>
    <row r="863" spans="1:18" x14ac:dyDescent="0.2">
      <c r="A863" t="s">
        <v>5</v>
      </c>
      <c r="B863">
        <v>4</v>
      </c>
      <c r="C863" t="s">
        <v>6</v>
      </c>
      <c r="D863" s="2">
        <v>43707</v>
      </c>
      <c r="E863" s="11">
        <v>242</v>
      </c>
      <c r="F863" s="3">
        <v>0.55000000000291038</v>
      </c>
      <c r="G863" s="3">
        <v>0.55346999999892432</v>
      </c>
      <c r="H863" s="13">
        <f t="shared" si="21"/>
        <v>242.55000000000291</v>
      </c>
      <c r="I863" s="13">
        <f t="shared" si="22"/>
        <v>242.55346999999892</v>
      </c>
      <c r="J863" s="13">
        <f t="shared" si="23"/>
        <v>242.55173500000092</v>
      </c>
      <c r="K863" s="7">
        <v>43707.551735000001</v>
      </c>
      <c r="L863" s="4">
        <v>411.2</v>
      </c>
      <c r="N863">
        <v>26.67</v>
      </c>
      <c r="Q863">
        <v>17.0061552481598</v>
      </c>
      <c r="R863">
        <v>1.6385538800181199E-4</v>
      </c>
    </row>
    <row r="864" spans="1:18" x14ac:dyDescent="0.2">
      <c r="A864" t="s">
        <v>5</v>
      </c>
      <c r="B864">
        <v>5</v>
      </c>
      <c r="C864" t="s">
        <v>4</v>
      </c>
      <c r="D864" s="2">
        <v>43707</v>
      </c>
      <c r="E864" s="11">
        <v>242</v>
      </c>
      <c r="F864" s="3">
        <v>0.55625000000145519</v>
      </c>
      <c r="G864" s="3">
        <v>0.55971999999746913</v>
      </c>
      <c r="H864" s="13">
        <f t="shared" si="21"/>
        <v>242.55625000000146</v>
      </c>
      <c r="I864" s="13">
        <f t="shared" si="22"/>
        <v>242.55971999999747</v>
      </c>
      <c r="J864" s="13">
        <f t="shared" si="23"/>
        <v>242.55798499999946</v>
      </c>
      <c r="K864" s="7">
        <v>43707.557984999999</v>
      </c>
      <c r="L864" s="4">
        <v>561.20000000000005</v>
      </c>
      <c r="M864">
        <v>4.2</v>
      </c>
      <c r="N864">
        <v>26.67</v>
      </c>
      <c r="O864">
        <v>37</v>
      </c>
      <c r="P864">
        <v>0.69</v>
      </c>
      <c r="Q864">
        <v>-2.26485517807293</v>
      </c>
      <c r="R864" s="6">
        <v>-8.2334937598235299E-5</v>
      </c>
    </row>
    <row r="865" spans="1:18" x14ac:dyDescent="0.2">
      <c r="A865" t="s">
        <v>5</v>
      </c>
      <c r="B865">
        <v>5</v>
      </c>
      <c r="C865" t="s">
        <v>6</v>
      </c>
      <c r="D865" s="2">
        <v>43707</v>
      </c>
      <c r="E865" s="11">
        <v>242</v>
      </c>
      <c r="F865" s="3">
        <v>0.56285000000207219</v>
      </c>
      <c r="G865" s="3">
        <v>0.56631999999808613</v>
      </c>
      <c r="H865" s="13">
        <f t="shared" si="21"/>
        <v>242.56285000000207</v>
      </c>
      <c r="I865" s="13">
        <f t="shared" si="22"/>
        <v>242.56631999999809</v>
      </c>
      <c r="J865" s="13">
        <f t="shared" si="23"/>
        <v>242.56458500000008</v>
      </c>
      <c r="K865" s="7">
        <v>43707.564585</v>
      </c>
      <c r="L865" s="4">
        <v>678.7</v>
      </c>
      <c r="N865">
        <v>26.67</v>
      </c>
      <c r="Q865">
        <v>13.5642789701767</v>
      </c>
      <c r="R865" s="6">
        <v>-9.7229741583624397E-5</v>
      </c>
    </row>
    <row r="866" spans="1:18" x14ac:dyDescent="0.2">
      <c r="A866" t="s">
        <v>5</v>
      </c>
      <c r="B866">
        <v>1</v>
      </c>
      <c r="C866" t="s">
        <v>4</v>
      </c>
      <c r="D866" s="2">
        <v>43713</v>
      </c>
      <c r="E866" s="11">
        <v>248</v>
      </c>
      <c r="F866" s="3">
        <v>0.42210999999952037</v>
      </c>
      <c r="G866" s="3">
        <v>0.42558000000281027</v>
      </c>
      <c r="H866" s="13">
        <f t="shared" si="21"/>
        <v>248.42210999999952</v>
      </c>
      <c r="I866" s="13">
        <f t="shared" si="22"/>
        <v>248.42558000000281</v>
      </c>
      <c r="J866" s="13">
        <f t="shared" si="23"/>
        <v>248.42384500000117</v>
      </c>
      <c r="K866" s="7">
        <v>43713.423844999998</v>
      </c>
      <c r="L866" s="10" t="s">
        <v>11</v>
      </c>
      <c r="M866">
        <v>7.1</v>
      </c>
      <c r="N866">
        <v>17.78</v>
      </c>
      <c r="O866">
        <v>43.4</v>
      </c>
      <c r="P866">
        <v>0.8</v>
      </c>
      <c r="Q866">
        <v>-25.120791500074599</v>
      </c>
      <c r="R866">
        <v>4.6147469010327202E-4</v>
      </c>
    </row>
    <row r="867" spans="1:18" x14ac:dyDescent="0.2">
      <c r="A867" t="s">
        <v>5</v>
      </c>
      <c r="B867">
        <v>1</v>
      </c>
      <c r="C867" t="s">
        <v>6</v>
      </c>
      <c r="D867" s="2">
        <v>43713</v>
      </c>
      <c r="E867" s="11">
        <v>248</v>
      </c>
      <c r="F867" s="3">
        <v>0.42921999999816762</v>
      </c>
      <c r="G867" s="3">
        <v>0.43269999999756692</v>
      </c>
      <c r="H867" s="13">
        <f t="shared" si="21"/>
        <v>248.42921999999817</v>
      </c>
      <c r="I867" s="13">
        <f t="shared" si="22"/>
        <v>248.43269999999757</v>
      </c>
      <c r="J867" s="13">
        <f t="shared" si="23"/>
        <v>248.43095999999787</v>
      </c>
      <c r="K867" s="7">
        <v>43713.430959999998</v>
      </c>
      <c r="L867" s="10" t="s">
        <v>11</v>
      </c>
      <c r="N867">
        <v>17.78</v>
      </c>
      <c r="Q867">
        <v>16.592558599691898</v>
      </c>
      <c r="R867" s="6">
        <v>-7.9434871846912101E-5</v>
      </c>
    </row>
    <row r="868" spans="1:18" x14ac:dyDescent="0.2">
      <c r="A868" t="s">
        <v>5</v>
      </c>
      <c r="B868">
        <v>2</v>
      </c>
      <c r="C868" t="s">
        <v>4</v>
      </c>
      <c r="D868" s="2">
        <v>43713</v>
      </c>
      <c r="E868" s="11">
        <v>248</v>
      </c>
      <c r="F868" s="3">
        <v>0.43652000000292901</v>
      </c>
      <c r="G868" s="3">
        <v>0.43998999999894295</v>
      </c>
      <c r="H868" s="13">
        <f t="shared" si="21"/>
        <v>248.43652000000293</v>
      </c>
      <c r="I868" s="13">
        <f t="shared" si="22"/>
        <v>248.43998999999894</v>
      </c>
      <c r="J868" s="13">
        <f t="shared" si="23"/>
        <v>248.43825500000094</v>
      </c>
      <c r="K868" s="7">
        <v>43713.438255000001</v>
      </c>
      <c r="L868" s="10" t="s">
        <v>11</v>
      </c>
      <c r="M868">
        <v>4.4000000000000004</v>
      </c>
      <c r="N868">
        <v>17.78</v>
      </c>
      <c r="O868">
        <v>41.8</v>
      </c>
      <c r="P868">
        <v>0.78</v>
      </c>
      <c r="Q868">
        <v>-23.620773467147</v>
      </c>
      <c r="R868">
        <v>-1.89027387532447E-4</v>
      </c>
    </row>
    <row r="869" spans="1:18" x14ac:dyDescent="0.2">
      <c r="A869" t="s">
        <v>5</v>
      </c>
      <c r="B869">
        <v>2</v>
      </c>
      <c r="C869" t="s">
        <v>6</v>
      </c>
      <c r="D869" s="2">
        <v>43713</v>
      </c>
      <c r="E869" s="11">
        <v>248</v>
      </c>
      <c r="F869" s="3">
        <v>0.44426999999996042</v>
      </c>
      <c r="G869" s="3">
        <v>0.44774000000325032</v>
      </c>
      <c r="H869" s="13">
        <f t="shared" si="21"/>
        <v>248.44426999999996</v>
      </c>
      <c r="I869" s="13">
        <f t="shared" si="22"/>
        <v>248.44774000000325</v>
      </c>
      <c r="J869" s="13">
        <f t="shared" si="23"/>
        <v>248.44600500000161</v>
      </c>
      <c r="K869" s="7">
        <v>43713.446005000005</v>
      </c>
      <c r="L869" s="10" t="s">
        <v>11</v>
      </c>
      <c r="N869">
        <v>17.78</v>
      </c>
      <c r="Q869">
        <v>17.567979878285801</v>
      </c>
      <c r="R869">
        <v>-2.7843738488933203E-4</v>
      </c>
    </row>
    <row r="870" spans="1:18" x14ac:dyDescent="0.2">
      <c r="A870" t="s">
        <v>5</v>
      </c>
      <c r="B870">
        <v>3</v>
      </c>
      <c r="C870" t="s">
        <v>4</v>
      </c>
      <c r="D870" s="2">
        <v>43713</v>
      </c>
      <c r="E870" s="11">
        <v>248</v>
      </c>
      <c r="F870" s="3">
        <v>0.45098000000143657</v>
      </c>
      <c r="G870" s="3">
        <v>0.45446000000083586</v>
      </c>
      <c r="H870" s="13">
        <f t="shared" si="21"/>
        <v>248.45098000000144</v>
      </c>
      <c r="I870" s="13">
        <f t="shared" si="22"/>
        <v>248.45446000000084</v>
      </c>
      <c r="J870" s="13">
        <f t="shared" si="23"/>
        <v>248.45272000000114</v>
      </c>
      <c r="K870" s="7">
        <v>43713.452720000001</v>
      </c>
      <c r="L870" s="10" t="s">
        <v>11</v>
      </c>
      <c r="M870">
        <v>6.4</v>
      </c>
      <c r="N870">
        <v>17.78</v>
      </c>
      <c r="O870">
        <v>45.3</v>
      </c>
      <c r="P870">
        <v>0.78</v>
      </c>
      <c r="Q870">
        <v>-24.972260513036499</v>
      </c>
      <c r="R870" s="6">
        <v>-8.1354085509613801E-5</v>
      </c>
    </row>
    <row r="871" spans="1:18" x14ac:dyDescent="0.2">
      <c r="A871" t="s">
        <v>5</v>
      </c>
      <c r="B871">
        <v>3</v>
      </c>
      <c r="C871" t="s">
        <v>6</v>
      </c>
      <c r="D871" s="2">
        <v>43713</v>
      </c>
      <c r="E871" s="11">
        <v>248</v>
      </c>
      <c r="F871" s="3">
        <v>0.45861999999760883</v>
      </c>
      <c r="G871" s="3">
        <v>0.46209000000089873</v>
      </c>
      <c r="H871" s="13">
        <f t="shared" si="21"/>
        <v>248.45861999999761</v>
      </c>
      <c r="I871" s="13">
        <f t="shared" si="22"/>
        <v>248.4620900000009</v>
      </c>
      <c r="J871" s="13">
        <f t="shared" si="23"/>
        <v>248.46035499999925</v>
      </c>
      <c r="K871" s="7">
        <v>43713.460355000003</v>
      </c>
      <c r="L871" s="10" t="s">
        <v>11</v>
      </c>
      <c r="N871">
        <v>17.78</v>
      </c>
      <c r="Q871">
        <v>25.018710112477201</v>
      </c>
      <c r="R871">
        <v>-1.23626343786743E-4</v>
      </c>
    </row>
    <row r="872" spans="1:18" x14ac:dyDescent="0.2">
      <c r="A872" t="s">
        <v>5</v>
      </c>
      <c r="B872">
        <v>4</v>
      </c>
      <c r="C872" t="s">
        <v>4</v>
      </c>
      <c r="D872" s="2">
        <v>43713</v>
      </c>
      <c r="E872" s="11">
        <v>248</v>
      </c>
      <c r="F872" s="3">
        <v>0.46684000000095693</v>
      </c>
      <c r="G872" s="3">
        <v>0.47030999999697087</v>
      </c>
      <c r="H872" s="13">
        <f t="shared" si="21"/>
        <v>248.46684000000096</v>
      </c>
      <c r="I872" s="13">
        <f t="shared" si="22"/>
        <v>248.47030999999697</v>
      </c>
      <c r="J872" s="13">
        <f t="shared" si="23"/>
        <v>248.46857499999896</v>
      </c>
      <c r="K872" s="7">
        <v>43713.468574999999</v>
      </c>
      <c r="L872" s="10" t="s">
        <v>11</v>
      </c>
      <c r="M872">
        <v>6.4</v>
      </c>
      <c r="N872">
        <v>17.78</v>
      </c>
      <c r="O872">
        <v>49.5</v>
      </c>
      <c r="P872">
        <v>0.83</v>
      </c>
      <c r="Q872">
        <v>-26.606519155232899</v>
      </c>
      <c r="R872">
        <v>-2.20725657176518E-4</v>
      </c>
    </row>
    <row r="873" spans="1:18" x14ac:dyDescent="0.2">
      <c r="A873" t="s">
        <v>5</v>
      </c>
      <c r="B873">
        <v>4</v>
      </c>
      <c r="C873" t="s">
        <v>6</v>
      </c>
      <c r="D873" s="2">
        <v>43713</v>
      </c>
      <c r="E873" s="11">
        <v>248</v>
      </c>
      <c r="F873" s="3">
        <v>0.47366999999940163</v>
      </c>
      <c r="G873" s="3">
        <v>0.47714000000269152</v>
      </c>
      <c r="H873" s="13">
        <f t="shared" si="21"/>
        <v>248.4736699999994</v>
      </c>
      <c r="I873" s="13">
        <f t="shared" si="22"/>
        <v>248.47714000000269</v>
      </c>
      <c r="J873" s="13">
        <f t="shared" si="23"/>
        <v>248.47540500000105</v>
      </c>
      <c r="K873" s="7">
        <v>43713.475405000005</v>
      </c>
      <c r="L873" s="10" t="s">
        <v>11</v>
      </c>
      <c r="N873">
        <v>17.78</v>
      </c>
      <c r="Q873">
        <v>16.941803256753399</v>
      </c>
      <c r="R873" s="6">
        <v>-3.3273835137792998E-5</v>
      </c>
    </row>
    <row r="874" spans="1:18" x14ac:dyDescent="0.2">
      <c r="A874" t="s">
        <v>5</v>
      </c>
      <c r="B874">
        <v>5</v>
      </c>
      <c r="C874" t="s">
        <v>4</v>
      </c>
      <c r="D874" s="2">
        <v>43713</v>
      </c>
      <c r="E874" s="11">
        <v>248</v>
      </c>
      <c r="F874" s="3">
        <v>0.4810799999977462</v>
      </c>
      <c r="G874" s="3">
        <v>0.4845500000010361</v>
      </c>
      <c r="H874" s="13">
        <f t="shared" si="21"/>
        <v>248.48107999999775</v>
      </c>
      <c r="I874" s="13">
        <f t="shared" si="22"/>
        <v>248.48455000000104</v>
      </c>
      <c r="J874" s="13">
        <f t="shared" si="23"/>
        <v>248.48281499999939</v>
      </c>
      <c r="K874" s="7">
        <v>43713.482814999996</v>
      </c>
      <c r="L874" s="10" t="s">
        <v>11</v>
      </c>
      <c r="M874">
        <v>3.8</v>
      </c>
      <c r="N874">
        <v>18.89</v>
      </c>
      <c r="O874">
        <v>40.200000000000003</v>
      </c>
      <c r="P874">
        <v>0.71</v>
      </c>
      <c r="Q874">
        <v>-9.2155943521925305</v>
      </c>
      <c r="R874">
        <v>-1.9009737758963501E-4</v>
      </c>
    </row>
    <row r="875" spans="1:18" x14ac:dyDescent="0.2">
      <c r="A875" t="s">
        <v>5</v>
      </c>
      <c r="B875">
        <v>5</v>
      </c>
      <c r="C875" t="s">
        <v>6</v>
      </c>
      <c r="D875" s="2">
        <v>43713</v>
      </c>
      <c r="E875" s="11">
        <v>248</v>
      </c>
      <c r="F875" s="3">
        <v>0.48733000000356697</v>
      </c>
      <c r="G875" s="3">
        <v>0.4907999999995809</v>
      </c>
      <c r="H875" s="13">
        <f t="shared" si="21"/>
        <v>248.48733000000357</v>
      </c>
      <c r="I875" s="13">
        <f t="shared" si="22"/>
        <v>248.49079999999958</v>
      </c>
      <c r="J875" s="13">
        <f t="shared" si="23"/>
        <v>248.48906500000157</v>
      </c>
      <c r="K875" s="7">
        <v>43713.489065000002</v>
      </c>
      <c r="L875" s="10" t="s">
        <v>11</v>
      </c>
      <c r="N875">
        <v>18.89</v>
      </c>
      <c r="Q875">
        <v>14.176707162504901</v>
      </c>
      <c r="R875" s="6">
        <v>4.0893192971495103E-5</v>
      </c>
    </row>
    <row r="876" spans="1:18" x14ac:dyDescent="0.2">
      <c r="A876" t="s">
        <v>5</v>
      </c>
      <c r="B876">
        <v>1</v>
      </c>
      <c r="C876" t="s">
        <v>4</v>
      </c>
      <c r="D876" s="2">
        <v>43713</v>
      </c>
      <c r="E876" s="11">
        <v>248</v>
      </c>
      <c r="F876" s="3">
        <v>0.51608999999734806</v>
      </c>
      <c r="G876" s="3">
        <v>0.51956000000063796</v>
      </c>
      <c r="H876" s="13">
        <f t="shared" si="21"/>
        <v>248.51608999999735</v>
      </c>
      <c r="I876" s="13">
        <f t="shared" si="22"/>
        <v>248.51956000000064</v>
      </c>
      <c r="J876" s="13">
        <f t="shared" si="23"/>
        <v>248.51782499999899</v>
      </c>
      <c r="K876" s="7">
        <v>43713.517825000003</v>
      </c>
      <c r="L876" s="10" t="s">
        <v>11</v>
      </c>
      <c r="M876">
        <v>4.3</v>
      </c>
      <c r="N876">
        <v>19.440000000000001</v>
      </c>
      <c r="O876">
        <v>46.4</v>
      </c>
      <c r="P876">
        <v>0.77</v>
      </c>
      <c r="Q876">
        <v>-26.422364917126199</v>
      </c>
      <c r="R876">
        <v>-1.4409502760429001E-4</v>
      </c>
    </row>
    <row r="877" spans="1:18" x14ac:dyDescent="0.2">
      <c r="A877" t="s">
        <v>5</v>
      </c>
      <c r="B877">
        <v>1</v>
      </c>
      <c r="C877" t="s">
        <v>6</v>
      </c>
      <c r="D877" s="2">
        <v>43713</v>
      </c>
      <c r="E877" s="11">
        <v>248</v>
      </c>
      <c r="F877" s="3">
        <v>0.52360999999655178</v>
      </c>
      <c r="G877" s="3">
        <v>0.52707999999984168</v>
      </c>
      <c r="H877" s="13">
        <f t="shared" si="21"/>
        <v>248.52360999999655</v>
      </c>
      <c r="I877" s="13">
        <f t="shared" si="22"/>
        <v>248.52707999999984</v>
      </c>
      <c r="J877" s="13">
        <f t="shared" si="23"/>
        <v>248.5253449999982</v>
      </c>
      <c r="K877" s="7">
        <v>43713.525345000002</v>
      </c>
      <c r="L877" s="10" t="s">
        <v>11</v>
      </c>
      <c r="N877">
        <v>19.440000000000001</v>
      </c>
      <c r="Q877">
        <v>21.616868187713902</v>
      </c>
      <c r="R877">
        <v>-2.0861793656207499E-4</v>
      </c>
    </row>
    <row r="878" spans="1:18" x14ac:dyDescent="0.2">
      <c r="A878" t="s">
        <v>5</v>
      </c>
      <c r="B878">
        <v>2</v>
      </c>
      <c r="C878" t="s">
        <v>4</v>
      </c>
      <c r="D878" s="2">
        <v>43713</v>
      </c>
      <c r="E878" s="11">
        <v>248</v>
      </c>
      <c r="F878" s="3">
        <v>0.52986000000237254</v>
      </c>
      <c r="G878" s="3">
        <v>0.53332999999838648</v>
      </c>
      <c r="H878" s="13">
        <f t="shared" si="21"/>
        <v>248.52986000000237</v>
      </c>
      <c r="I878" s="13">
        <f t="shared" si="22"/>
        <v>248.53332999999839</v>
      </c>
      <c r="J878" s="13">
        <f t="shared" si="23"/>
        <v>248.53159500000038</v>
      </c>
      <c r="K878" s="7">
        <v>43713.531595</v>
      </c>
      <c r="L878" s="10" t="s">
        <v>11</v>
      </c>
      <c r="M878">
        <v>3.8</v>
      </c>
      <c r="N878">
        <v>19.440000000000001</v>
      </c>
      <c r="O878">
        <v>41.2</v>
      </c>
      <c r="P878">
        <v>0.72</v>
      </c>
      <c r="Q878">
        <v>-18.575390189854701</v>
      </c>
      <c r="R878">
        <v>-2.4105406755835199E-4</v>
      </c>
    </row>
    <row r="879" spans="1:18" x14ac:dyDescent="0.2">
      <c r="A879" t="s">
        <v>5</v>
      </c>
      <c r="B879">
        <v>2</v>
      </c>
      <c r="C879" t="s">
        <v>6</v>
      </c>
      <c r="D879" s="2">
        <v>43713</v>
      </c>
      <c r="E879" s="11">
        <v>248</v>
      </c>
      <c r="F879" s="3">
        <v>0.53646000000298955</v>
      </c>
      <c r="G879" s="3">
        <v>0.53992999999900348</v>
      </c>
      <c r="H879" s="13">
        <f t="shared" si="21"/>
        <v>248.53646000000299</v>
      </c>
      <c r="I879" s="13">
        <f t="shared" si="22"/>
        <v>248.539929999999</v>
      </c>
      <c r="J879" s="13">
        <f t="shared" si="23"/>
        <v>248.538195000001</v>
      </c>
      <c r="K879" s="7">
        <v>43713.538195000001</v>
      </c>
      <c r="L879" s="10" t="s">
        <v>11</v>
      </c>
      <c r="N879">
        <v>19.440000000000001</v>
      </c>
      <c r="Q879">
        <v>24.880646541010499</v>
      </c>
      <c r="R879">
        <v>-4.2871011766949102E-4</v>
      </c>
    </row>
    <row r="880" spans="1:18" x14ac:dyDescent="0.2">
      <c r="A880" t="s">
        <v>5</v>
      </c>
      <c r="B880">
        <v>3</v>
      </c>
      <c r="C880" t="s">
        <v>4</v>
      </c>
      <c r="D880" s="2">
        <v>43713</v>
      </c>
      <c r="E880" s="11">
        <v>248</v>
      </c>
      <c r="F880" s="3">
        <v>0.54293999999936204</v>
      </c>
      <c r="G880" s="3">
        <v>0.54641000000265194</v>
      </c>
      <c r="H880" s="13">
        <f t="shared" si="21"/>
        <v>248.54293999999936</v>
      </c>
      <c r="I880" s="13">
        <f t="shared" si="22"/>
        <v>248.54641000000265</v>
      </c>
      <c r="J880" s="13">
        <f t="shared" si="23"/>
        <v>248.54467500000101</v>
      </c>
      <c r="K880" s="7">
        <v>43713.544674999997</v>
      </c>
      <c r="L880" s="10" t="s">
        <v>11</v>
      </c>
      <c r="M880">
        <v>4.7</v>
      </c>
      <c r="N880">
        <v>19.440000000000001</v>
      </c>
      <c r="O880">
        <v>48.7</v>
      </c>
      <c r="P880">
        <v>0.73</v>
      </c>
      <c r="Q880">
        <v>-19.2925864094695</v>
      </c>
      <c r="R880">
        <v>-3.6730606061432001E-4</v>
      </c>
    </row>
    <row r="881" spans="1:18" x14ac:dyDescent="0.2">
      <c r="A881" t="s">
        <v>5</v>
      </c>
      <c r="B881">
        <v>3</v>
      </c>
      <c r="C881" t="s">
        <v>6</v>
      </c>
      <c r="D881" s="2">
        <v>43713</v>
      </c>
      <c r="E881" s="11">
        <v>248</v>
      </c>
      <c r="F881" s="3">
        <v>0.55058000000281027</v>
      </c>
      <c r="G881" s="3">
        <v>0.55404999999882421</v>
      </c>
      <c r="H881" s="13">
        <f t="shared" si="21"/>
        <v>248.55058000000281</v>
      </c>
      <c r="I881" s="13">
        <f t="shared" si="22"/>
        <v>248.55404999999882</v>
      </c>
      <c r="J881" s="13">
        <f t="shared" si="23"/>
        <v>248.55231500000082</v>
      </c>
      <c r="K881" s="7">
        <v>43713.552315000001</v>
      </c>
      <c r="L881" s="10" t="s">
        <v>11</v>
      </c>
      <c r="N881">
        <v>19.440000000000001</v>
      </c>
      <c r="Q881">
        <v>25.511229883242699</v>
      </c>
      <c r="R881" s="6">
        <v>-8.05953415756271E-5</v>
      </c>
    </row>
    <row r="882" spans="1:18" x14ac:dyDescent="0.2">
      <c r="A882" t="s">
        <v>5</v>
      </c>
      <c r="B882">
        <v>4</v>
      </c>
      <c r="C882" t="s">
        <v>4</v>
      </c>
      <c r="D882" s="2">
        <v>43713</v>
      </c>
      <c r="E882" s="11">
        <v>248</v>
      </c>
      <c r="F882" s="3">
        <v>0.55984000000171363</v>
      </c>
      <c r="G882" s="3">
        <v>0.56330999999772757</v>
      </c>
      <c r="H882" s="13">
        <f t="shared" si="21"/>
        <v>248.55984000000171</v>
      </c>
      <c r="I882" s="13">
        <f t="shared" si="22"/>
        <v>248.56330999999773</v>
      </c>
      <c r="J882" s="13">
        <f t="shared" si="23"/>
        <v>248.56157499999972</v>
      </c>
      <c r="K882" s="7">
        <v>43713.561575</v>
      </c>
      <c r="L882" s="10" t="s">
        <v>11</v>
      </c>
      <c r="M882">
        <v>6.1</v>
      </c>
      <c r="N882">
        <v>19.440000000000001</v>
      </c>
      <c r="O882">
        <v>47.1</v>
      </c>
      <c r="P882">
        <v>0.8</v>
      </c>
      <c r="Q882">
        <v>-24.571131252294499</v>
      </c>
      <c r="R882" s="6">
        <v>-2.1696030309447301E-5</v>
      </c>
    </row>
    <row r="883" spans="1:18" x14ac:dyDescent="0.2">
      <c r="A883" t="s">
        <v>5</v>
      </c>
      <c r="B883">
        <v>4</v>
      </c>
      <c r="C883" t="s">
        <v>6</v>
      </c>
      <c r="D883" s="2">
        <v>43713</v>
      </c>
      <c r="E883" s="11">
        <v>248</v>
      </c>
      <c r="F883" s="3">
        <v>0.56771000000298955</v>
      </c>
      <c r="G883" s="3">
        <v>0.57117999999900348</v>
      </c>
      <c r="H883" s="13">
        <f t="shared" si="21"/>
        <v>248.56771000000299</v>
      </c>
      <c r="I883" s="13">
        <f t="shared" si="22"/>
        <v>248.571179999999</v>
      </c>
      <c r="J883" s="13">
        <f t="shared" si="23"/>
        <v>248.569445000001</v>
      </c>
      <c r="K883" s="7">
        <v>43713.569445000001</v>
      </c>
      <c r="L883" s="10" t="s">
        <v>11</v>
      </c>
      <c r="N883">
        <v>19.440000000000001</v>
      </c>
      <c r="Q883">
        <v>21.095589059151902</v>
      </c>
      <c r="R883" s="6">
        <v>-7.5366813909632802E-5</v>
      </c>
    </row>
    <row r="884" spans="1:18" x14ac:dyDescent="0.2">
      <c r="A884" t="s">
        <v>5</v>
      </c>
      <c r="B884">
        <v>5</v>
      </c>
      <c r="C884" t="s">
        <v>4</v>
      </c>
      <c r="D884" s="2">
        <v>43713</v>
      </c>
      <c r="E884" s="11">
        <v>248</v>
      </c>
      <c r="F884" s="3">
        <v>0.57529000000067754</v>
      </c>
      <c r="G884" s="3">
        <v>0.57875999999669148</v>
      </c>
      <c r="H884" s="13">
        <f t="shared" si="21"/>
        <v>248.57529000000068</v>
      </c>
      <c r="I884" s="13">
        <f t="shared" si="22"/>
        <v>248.57875999999669</v>
      </c>
      <c r="J884" s="13">
        <f t="shared" si="23"/>
        <v>248.57702499999868</v>
      </c>
      <c r="K884" s="7">
        <v>43713.577024999999</v>
      </c>
      <c r="L884" s="10" t="s">
        <v>11</v>
      </c>
      <c r="M884">
        <v>3.5</v>
      </c>
      <c r="N884">
        <v>21.67</v>
      </c>
      <c r="O884">
        <v>35.5</v>
      </c>
      <c r="P884">
        <v>0.64</v>
      </c>
      <c r="Q884">
        <v>-5.4180129115497602</v>
      </c>
      <c r="R884">
        <v>2.9120794126456502E-4</v>
      </c>
    </row>
    <row r="885" spans="1:18" x14ac:dyDescent="0.2">
      <c r="A885" t="s">
        <v>5</v>
      </c>
      <c r="B885">
        <v>5</v>
      </c>
      <c r="C885" t="s">
        <v>6</v>
      </c>
      <c r="D885" s="2">
        <v>43713</v>
      </c>
      <c r="E885" s="11">
        <v>248</v>
      </c>
      <c r="F885" s="3">
        <v>0.5821799999976065</v>
      </c>
      <c r="G885" s="3">
        <v>0.5856500000008964</v>
      </c>
      <c r="H885" s="13">
        <f t="shared" si="21"/>
        <v>248.58217999999761</v>
      </c>
      <c r="I885" s="13">
        <f t="shared" si="22"/>
        <v>248.5856500000009</v>
      </c>
      <c r="J885" s="13">
        <f t="shared" si="23"/>
        <v>248.58391499999925</v>
      </c>
      <c r="K885" s="7">
        <v>43713.583914999996</v>
      </c>
      <c r="L885" s="10" t="s">
        <v>11</v>
      </c>
      <c r="N885">
        <v>21.67</v>
      </c>
      <c r="Q885">
        <v>17.873416358034699</v>
      </c>
      <c r="R885">
        <v>-1.08185511931413E-4</v>
      </c>
    </row>
    <row r="886" spans="1:18" x14ac:dyDescent="0.2">
      <c r="A886" t="s">
        <v>5</v>
      </c>
      <c r="B886">
        <v>1</v>
      </c>
      <c r="C886" t="s">
        <v>4</v>
      </c>
      <c r="D886" s="2">
        <v>43724</v>
      </c>
      <c r="E886" s="11">
        <v>259</v>
      </c>
      <c r="F886" s="3">
        <v>0.39138000000093598</v>
      </c>
      <c r="G886" s="3">
        <v>0.39484999999694992</v>
      </c>
      <c r="H886" s="13">
        <f t="shared" si="21"/>
        <v>259.39138000000094</v>
      </c>
      <c r="I886" s="13">
        <f t="shared" si="22"/>
        <v>259.39484999999695</v>
      </c>
      <c r="J886" s="13">
        <f t="shared" si="23"/>
        <v>259.39311499999894</v>
      </c>
      <c r="K886" s="7">
        <v>43724.393114999999</v>
      </c>
      <c r="L886" s="4">
        <v>243.7</v>
      </c>
      <c r="M886">
        <v>9.8000000000000007</v>
      </c>
      <c r="N886">
        <v>15.56</v>
      </c>
      <c r="O886">
        <v>31.1</v>
      </c>
      <c r="P886">
        <v>0.69</v>
      </c>
      <c r="Q886">
        <v>-1.311761884784</v>
      </c>
      <c r="R886">
        <v>3.4284171343644499E-4</v>
      </c>
    </row>
    <row r="887" spans="1:18" x14ac:dyDescent="0.2">
      <c r="A887" t="s">
        <v>5</v>
      </c>
      <c r="B887">
        <v>1</v>
      </c>
      <c r="C887" t="s">
        <v>6</v>
      </c>
      <c r="D887" s="2">
        <v>43724</v>
      </c>
      <c r="E887" s="11">
        <v>259</v>
      </c>
      <c r="F887" s="3">
        <v>0.39710999999806518</v>
      </c>
      <c r="G887" s="3">
        <v>0.40058000000135507</v>
      </c>
      <c r="H887" s="13">
        <f t="shared" si="21"/>
        <v>259.39710999999807</v>
      </c>
      <c r="I887" s="13">
        <f t="shared" si="22"/>
        <v>259.40058000000136</v>
      </c>
      <c r="J887" s="13">
        <f t="shared" si="23"/>
        <v>259.39884499999971</v>
      </c>
      <c r="K887" s="7">
        <v>43724.398845000003</v>
      </c>
      <c r="L887" s="4">
        <v>198.7</v>
      </c>
      <c r="N887">
        <v>15.56</v>
      </c>
      <c r="Q887">
        <v>10.072969030952899</v>
      </c>
      <c r="R887" s="6">
        <v>-8.3135869854091097E-5</v>
      </c>
    </row>
    <row r="888" spans="1:18" x14ac:dyDescent="0.2">
      <c r="A888" t="s">
        <v>5</v>
      </c>
      <c r="B888">
        <v>2</v>
      </c>
      <c r="C888" t="s">
        <v>4</v>
      </c>
      <c r="D888" s="2">
        <v>43724</v>
      </c>
      <c r="E888" s="11">
        <v>259</v>
      </c>
      <c r="F888" s="3">
        <v>0.40398999999888474</v>
      </c>
      <c r="G888" s="3">
        <v>0.40746999999828404</v>
      </c>
      <c r="H888" s="13">
        <f t="shared" si="21"/>
        <v>259.40398999999888</v>
      </c>
      <c r="I888" s="13">
        <f t="shared" si="22"/>
        <v>259.40746999999828</v>
      </c>
      <c r="J888" s="13">
        <f t="shared" si="23"/>
        <v>259.40572999999858</v>
      </c>
      <c r="K888" s="7">
        <v>43724.405729999999</v>
      </c>
      <c r="L888" s="4">
        <v>308.7</v>
      </c>
      <c r="M888">
        <v>5.9</v>
      </c>
      <c r="N888">
        <v>15.56</v>
      </c>
      <c r="O888">
        <v>14.3</v>
      </c>
      <c r="P888">
        <v>0.62</v>
      </c>
      <c r="Q888">
        <v>1.14305140668269</v>
      </c>
      <c r="R888" s="6">
        <v>-8.7172859986850095E-5</v>
      </c>
    </row>
    <row r="889" spans="1:18" x14ac:dyDescent="0.2">
      <c r="A889" t="s">
        <v>5</v>
      </c>
      <c r="B889">
        <v>2</v>
      </c>
      <c r="C889" t="s">
        <v>6</v>
      </c>
      <c r="D889" s="2">
        <v>43724</v>
      </c>
      <c r="E889" s="11">
        <v>259</v>
      </c>
      <c r="F889" s="3">
        <v>0.40989999999874271</v>
      </c>
      <c r="G889" s="3">
        <v>0.41337000000203261</v>
      </c>
      <c r="H889" s="13">
        <f t="shared" si="21"/>
        <v>259.40989999999874</v>
      </c>
      <c r="I889" s="13">
        <f t="shared" si="22"/>
        <v>259.41337000000203</v>
      </c>
      <c r="J889" s="13">
        <f t="shared" si="23"/>
        <v>259.41163500000039</v>
      </c>
      <c r="K889" s="7">
        <v>43724.411634999997</v>
      </c>
      <c r="L889" s="4">
        <v>296.2</v>
      </c>
      <c r="N889">
        <v>15.56</v>
      </c>
      <c r="Q889">
        <v>9.3187465826857991</v>
      </c>
      <c r="R889" s="6">
        <v>-7.2802107519415895E-5</v>
      </c>
    </row>
    <row r="890" spans="1:18" x14ac:dyDescent="0.2">
      <c r="A890" t="s">
        <v>5</v>
      </c>
      <c r="B890">
        <v>3</v>
      </c>
      <c r="C890" t="s">
        <v>4</v>
      </c>
      <c r="D890" s="2">
        <v>43724</v>
      </c>
      <c r="E890" s="11">
        <v>259</v>
      </c>
      <c r="F890" s="3">
        <v>0.41608999999880325</v>
      </c>
      <c r="G890" s="3">
        <v>0.41956000000209315</v>
      </c>
      <c r="H890" s="13">
        <f t="shared" si="21"/>
        <v>259.4160899999988</v>
      </c>
      <c r="I890" s="13">
        <f t="shared" si="22"/>
        <v>259.41956000000209</v>
      </c>
      <c r="J890" s="13">
        <f t="shared" si="23"/>
        <v>259.41782500000045</v>
      </c>
      <c r="K890" s="7">
        <v>43724.417824999997</v>
      </c>
      <c r="L890" s="4">
        <v>391.2</v>
      </c>
      <c r="M890">
        <v>7.5</v>
      </c>
      <c r="N890">
        <v>15.56</v>
      </c>
      <c r="O890">
        <v>14.2</v>
      </c>
      <c r="P890">
        <v>0.56000000000000005</v>
      </c>
      <c r="Q890">
        <v>-8.2533550930239894</v>
      </c>
      <c r="R890" s="6">
        <v>-5.8954934871993497E-5</v>
      </c>
    </row>
    <row r="891" spans="1:18" x14ac:dyDescent="0.2">
      <c r="A891" t="s">
        <v>5</v>
      </c>
      <c r="B891">
        <v>3</v>
      </c>
      <c r="C891" t="s">
        <v>6</v>
      </c>
      <c r="D891" s="2">
        <v>43724</v>
      </c>
      <c r="E891" s="11">
        <v>259</v>
      </c>
      <c r="F891" s="3">
        <v>0.4220500000010361</v>
      </c>
      <c r="G891" s="3">
        <v>0.42551999999705004</v>
      </c>
      <c r="H891" s="13">
        <f t="shared" ref="H891:H954" si="24">E891+F891</f>
        <v>259.42205000000104</v>
      </c>
      <c r="I891" s="13">
        <f t="shared" ref="I891:I954" si="25">E891+G891</f>
        <v>259.42551999999705</v>
      </c>
      <c r="J891" s="13">
        <f t="shared" ref="J891:J954" si="26">AVERAGE(H891:I891)</f>
        <v>259.42378499999904</v>
      </c>
      <c r="K891" s="7">
        <v>43724.423784999999</v>
      </c>
      <c r="L891" s="4">
        <v>448.7</v>
      </c>
      <c r="N891">
        <v>15.56</v>
      </c>
      <c r="Q891">
        <v>12.9499860203338</v>
      </c>
      <c r="R891">
        <v>-1.1208069727233699E-4</v>
      </c>
    </row>
    <row r="892" spans="1:18" x14ac:dyDescent="0.2">
      <c r="A892" t="s">
        <v>5</v>
      </c>
      <c r="B892">
        <v>4</v>
      </c>
      <c r="C892" t="s">
        <v>4</v>
      </c>
      <c r="D892" s="2">
        <v>43724</v>
      </c>
      <c r="E892" s="11">
        <v>259</v>
      </c>
      <c r="F892" s="3">
        <v>0.4286500000016531</v>
      </c>
      <c r="G892" s="3">
        <v>0.43211999999766704</v>
      </c>
      <c r="H892" s="13">
        <f t="shared" si="24"/>
        <v>259.42865000000165</v>
      </c>
      <c r="I892" s="13">
        <f t="shared" si="25"/>
        <v>259.43211999999767</v>
      </c>
      <c r="J892" s="13">
        <f t="shared" si="26"/>
        <v>259.43038499999966</v>
      </c>
      <c r="K892" s="7">
        <v>43724.430385</v>
      </c>
      <c r="L892" s="4">
        <v>446.2</v>
      </c>
      <c r="M892">
        <v>10.9</v>
      </c>
      <c r="N892">
        <v>15.56</v>
      </c>
      <c r="O892">
        <v>7.5</v>
      </c>
      <c r="P892">
        <v>0.72</v>
      </c>
      <c r="Q892">
        <v>-10.2744261779567</v>
      </c>
      <c r="R892">
        <v>1.34430256092606E-4</v>
      </c>
    </row>
    <row r="893" spans="1:18" x14ac:dyDescent="0.2">
      <c r="A893" t="s">
        <v>5</v>
      </c>
      <c r="B893">
        <v>4</v>
      </c>
      <c r="C893" t="s">
        <v>6</v>
      </c>
      <c r="D893" s="2">
        <v>43724</v>
      </c>
      <c r="E893" s="11">
        <v>259</v>
      </c>
      <c r="F893" s="3">
        <v>0.43465999999898486</v>
      </c>
      <c r="G893" s="3">
        <v>0.43813999999838416</v>
      </c>
      <c r="H893" s="13">
        <f t="shared" si="24"/>
        <v>259.43465999999898</v>
      </c>
      <c r="I893" s="13">
        <f t="shared" si="25"/>
        <v>259.43813999999838</v>
      </c>
      <c r="J893" s="13">
        <f t="shared" si="26"/>
        <v>259.43639999999868</v>
      </c>
      <c r="K893" s="7">
        <v>43724.436399999999</v>
      </c>
      <c r="L893" s="4">
        <v>486.2</v>
      </c>
      <c r="N893">
        <v>15.56</v>
      </c>
      <c r="Q893">
        <v>9.7340228405261602</v>
      </c>
      <c r="R893" s="6">
        <v>3.61339257440058E-5</v>
      </c>
    </row>
    <row r="894" spans="1:18" x14ac:dyDescent="0.2">
      <c r="A894" t="s">
        <v>5</v>
      </c>
      <c r="B894">
        <v>5</v>
      </c>
      <c r="C894" t="s">
        <v>4</v>
      </c>
      <c r="D894" s="2">
        <v>43724</v>
      </c>
      <c r="E894" s="11">
        <v>259</v>
      </c>
      <c r="F894" s="3">
        <v>0.44109000000025844</v>
      </c>
      <c r="G894" s="3">
        <v>0.44456000000354834</v>
      </c>
      <c r="H894" s="13">
        <f t="shared" si="24"/>
        <v>259.44109000000026</v>
      </c>
      <c r="I894" s="13">
        <f t="shared" si="25"/>
        <v>259.44456000000355</v>
      </c>
      <c r="J894" s="13">
        <f t="shared" si="26"/>
        <v>259.4428250000019</v>
      </c>
      <c r="K894" s="7">
        <v>43724.442825000006</v>
      </c>
      <c r="L894" s="4">
        <v>336.2</v>
      </c>
      <c r="M894">
        <v>9.1999999999999993</v>
      </c>
      <c r="N894">
        <v>17.78</v>
      </c>
      <c r="O894">
        <v>17</v>
      </c>
      <c r="P894">
        <v>0.68</v>
      </c>
      <c r="Q894">
        <v>-5.0255565989190796</v>
      </c>
      <c r="R894" s="6">
        <v>-2.3080746600069998E-5</v>
      </c>
    </row>
    <row r="895" spans="1:18" x14ac:dyDescent="0.2">
      <c r="A895" t="s">
        <v>5</v>
      </c>
      <c r="B895">
        <v>5</v>
      </c>
      <c r="C895" t="s">
        <v>6</v>
      </c>
      <c r="D895" s="2">
        <v>43724</v>
      </c>
      <c r="E895" s="11">
        <v>259</v>
      </c>
      <c r="F895" s="3">
        <v>0.44877999999880558</v>
      </c>
      <c r="G895" s="3">
        <v>0.45225999999820488</v>
      </c>
      <c r="H895" s="13">
        <f t="shared" si="24"/>
        <v>259.44877999999881</v>
      </c>
      <c r="I895" s="13">
        <f t="shared" si="25"/>
        <v>259.4522599999982</v>
      </c>
      <c r="J895" s="13">
        <f t="shared" si="26"/>
        <v>259.45051999999851</v>
      </c>
      <c r="K895" s="7">
        <v>43724.450519999999</v>
      </c>
      <c r="L895" s="4">
        <v>688.7</v>
      </c>
      <c r="N895">
        <v>17.78</v>
      </c>
      <c r="Q895">
        <v>12.0525400719548</v>
      </c>
      <c r="R895" s="6">
        <v>-1.31033983286974E-5</v>
      </c>
    </row>
    <row r="896" spans="1:18" x14ac:dyDescent="0.2">
      <c r="A896" t="s">
        <v>5</v>
      </c>
      <c r="B896">
        <v>1</v>
      </c>
      <c r="C896" t="s">
        <v>4</v>
      </c>
      <c r="D896" s="2">
        <v>43724</v>
      </c>
      <c r="E896" s="11">
        <v>259</v>
      </c>
      <c r="F896" s="3">
        <v>0.46394999999756692</v>
      </c>
      <c r="G896" s="3">
        <v>0.47436000000016065</v>
      </c>
      <c r="H896" s="13">
        <f t="shared" si="24"/>
        <v>259.46394999999757</v>
      </c>
      <c r="I896" s="13">
        <f t="shared" si="25"/>
        <v>259.47436000000016</v>
      </c>
      <c r="J896" s="13">
        <f t="shared" si="26"/>
        <v>259.46915499999886</v>
      </c>
      <c r="K896" s="7">
        <v>43724.469154999999</v>
      </c>
      <c r="L896" s="4">
        <v>1576.2</v>
      </c>
      <c r="M896">
        <v>10.4</v>
      </c>
      <c r="N896">
        <v>18.89</v>
      </c>
      <c r="O896">
        <v>24.3</v>
      </c>
      <c r="P896">
        <v>0.62</v>
      </c>
      <c r="Q896">
        <v>-13.217589213114</v>
      </c>
      <c r="R896" s="6">
        <v>-4.70426140640226E-5</v>
      </c>
    </row>
    <row r="897" spans="1:18" x14ac:dyDescent="0.2">
      <c r="A897" t="s">
        <v>5</v>
      </c>
      <c r="B897">
        <v>1</v>
      </c>
      <c r="C897" t="s">
        <v>6</v>
      </c>
      <c r="D897" s="2">
        <v>43724</v>
      </c>
      <c r="E897" s="11">
        <v>259</v>
      </c>
      <c r="F897" s="3">
        <v>0.47731000000203494</v>
      </c>
      <c r="G897" s="3">
        <v>0.48079000000143424</v>
      </c>
      <c r="H897" s="13">
        <f t="shared" si="24"/>
        <v>259.47731000000203</v>
      </c>
      <c r="I897" s="13">
        <f t="shared" si="25"/>
        <v>259.48079000000143</v>
      </c>
      <c r="J897" s="13">
        <f t="shared" si="26"/>
        <v>259.47905000000173</v>
      </c>
      <c r="K897" s="7">
        <v>43724.479050000002</v>
      </c>
      <c r="L897" s="4">
        <v>811.2</v>
      </c>
      <c r="N897">
        <v>18.89</v>
      </c>
      <c r="Q897">
        <v>18.8444665423979</v>
      </c>
      <c r="R897">
        <v>-1.7215303489595801E-4</v>
      </c>
    </row>
    <row r="898" spans="1:18" x14ac:dyDescent="0.2">
      <c r="A898" t="s">
        <v>5</v>
      </c>
      <c r="B898">
        <v>2</v>
      </c>
      <c r="C898" t="s">
        <v>4</v>
      </c>
      <c r="D898" s="2">
        <v>43724</v>
      </c>
      <c r="E898" s="11">
        <v>259</v>
      </c>
      <c r="F898" s="3">
        <v>0.48438000000169268</v>
      </c>
      <c r="G898" s="3">
        <v>0.48784999999770662</v>
      </c>
      <c r="H898" s="13">
        <f t="shared" si="24"/>
        <v>259.48438000000169</v>
      </c>
      <c r="I898" s="13">
        <f t="shared" si="25"/>
        <v>259.48784999999771</v>
      </c>
      <c r="J898" s="13">
        <f t="shared" si="26"/>
        <v>259.4861149999997</v>
      </c>
      <c r="K898" s="7">
        <v>43724.486115</v>
      </c>
      <c r="L898" s="4">
        <v>1236.2</v>
      </c>
      <c r="M898">
        <v>6.5</v>
      </c>
      <c r="N898">
        <v>18.89</v>
      </c>
      <c r="O898">
        <v>15</v>
      </c>
      <c r="P898">
        <v>0.54</v>
      </c>
      <c r="Q898">
        <v>-4.8698897137873702</v>
      </c>
      <c r="R898">
        <v>-1.8637049996789501E-4</v>
      </c>
    </row>
    <row r="899" spans="1:18" x14ac:dyDescent="0.2">
      <c r="A899" t="s">
        <v>5</v>
      </c>
      <c r="B899">
        <v>2</v>
      </c>
      <c r="C899" t="s">
        <v>6</v>
      </c>
      <c r="D899" s="2">
        <v>43724</v>
      </c>
      <c r="E899" s="11">
        <v>259</v>
      </c>
      <c r="F899" s="3">
        <v>0.49119999999675201</v>
      </c>
      <c r="G899" s="3">
        <v>0.49468000000342727</v>
      </c>
      <c r="H899" s="13">
        <f t="shared" si="24"/>
        <v>259.49119999999675</v>
      </c>
      <c r="I899" s="13">
        <f t="shared" si="25"/>
        <v>259.49468000000343</v>
      </c>
      <c r="J899" s="13">
        <f t="shared" si="26"/>
        <v>259.49294000000009</v>
      </c>
      <c r="K899" s="7">
        <v>43724.492939999996</v>
      </c>
      <c r="L899" s="4">
        <v>1193.7</v>
      </c>
      <c r="N899">
        <v>18.89</v>
      </c>
      <c r="Q899">
        <v>16.753944296102599</v>
      </c>
      <c r="R899">
        <v>-1.7349843801957001E-4</v>
      </c>
    </row>
    <row r="900" spans="1:18" x14ac:dyDescent="0.2">
      <c r="A900" t="s">
        <v>5</v>
      </c>
      <c r="B900">
        <v>3</v>
      </c>
      <c r="C900" t="s">
        <v>4</v>
      </c>
      <c r="D900" s="2">
        <v>43724</v>
      </c>
      <c r="E900" s="11">
        <v>259</v>
      </c>
      <c r="F900" s="3">
        <v>0.49751000000105705</v>
      </c>
      <c r="G900" s="3">
        <v>0.50097999999707099</v>
      </c>
      <c r="H900" s="13">
        <f t="shared" si="24"/>
        <v>259.49751000000106</v>
      </c>
      <c r="I900" s="13">
        <f t="shared" si="25"/>
        <v>259.50097999999707</v>
      </c>
      <c r="J900" s="13">
        <f t="shared" si="26"/>
        <v>259.49924499999906</v>
      </c>
      <c r="K900" s="7">
        <v>43724.499244999999</v>
      </c>
      <c r="L900" s="4">
        <v>1141.2</v>
      </c>
      <c r="M900">
        <v>6.5</v>
      </c>
      <c r="N900">
        <v>18.89</v>
      </c>
      <c r="O900">
        <v>16.600000000000001</v>
      </c>
      <c r="P900">
        <v>0.48</v>
      </c>
      <c r="Q900">
        <v>-15.4520377920791</v>
      </c>
      <c r="R900">
        <v>-4.0339725992323203E-4</v>
      </c>
    </row>
    <row r="901" spans="1:18" x14ac:dyDescent="0.2">
      <c r="A901" t="s">
        <v>5</v>
      </c>
      <c r="B901">
        <v>3</v>
      </c>
      <c r="C901" t="s">
        <v>6</v>
      </c>
      <c r="D901" s="2">
        <v>43724</v>
      </c>
      <c r="E901" s="11">
        <v>259</v>
      </c>
      <c r="F901" s="3">
        <v>0.50394000000233063</v>
      </c>
      <c r="G901" s="3">
        <v>0.50740999999834457</v>
      </c>
      <c r="H901" s="13">
        <f t="shared" si="24"/>
        <v>259.50394000000233</v>
      </c>
      <c r="I901" s="13">
        <f t="shared" si="25"/>
        <v>259.50740999999834</v>
      </c>
      <c r="J901" s="13">
        <f t="shared" si="26"/>
        <v>259.50567500000034</v>
      </c>
      <c r="K901" s="7">
        <v>43724.505675</v>
      </c>
      <c r="L901" s="4">
        <v>838.7</v>
      </c>
      <c r="N901">
        <v>18.89</v>
      </c>
      <c r="Q901">
        <v>28.0460344626593</v>
      </c>
      <c r="R901">
        <v>-2.0019252581350599E-4</v>
      </c>
    </row>
    <row r="902" spans="1:18" x14ac:dyDescent="0.2">
      <c r="A902" t="s">
        <v>5</v>
      </c>
      <c r="B902">
        <v>4</v>
      </c>
      <c r="C902" t="s">
        <v>4</v>
      </c>
      <c r="D902" s="2">
        <v>43724</v>
      </c>
      <c r="E902" s="11">
        <v>259</v>
      </c>
      <c r="F902" s="3">
        <v>0.51181000000360655</v>
      </c>
      <c r="G902" s="3">
        <v>0.51527999999962049</v>
      </c>
      <c r="H902" s="13">
        <f t="shared" si="24"/>
        <v>259.51181000000361</v>
      </c>
      <c r="I902" s="13">
        <f t="shared" si="25"/>
        <v>259.51527999999962</v>
      </c>
      <c r="J902" s="13">
        <f t="shared" si="26"/>
        <v>259.51354500000161</v>
      </c>
      <c r="K902" s="7">
        <v>43724.513545000002</v>
      </c>
      <c r="L902" s="4">
        <v>1876.2</v>
      </c>
      <c r="M902">
        <v>10.9</v>
      </c>
      <c r="N902">
        <v>18.89</v>
      </c>
      <c r="O902">
        <v>14.6</v>
      </c>
      <c r="P902">
        <v>0.66</v>
      </c>
      <c r="Q902">
        <v>-8.8217447472348294</v>
      </c>
      <c r="R902" s="6">
        <v>-6.3687837481470907E-5</v>
      </c>
    </row>
    <row r="903" spans="1:18" x14ac:dyDescent="0.2">
      <c r="A903" t="s">
        <v>5</v>
      </c>
      <c r="B903">
        <v>4</v>
      </c>
      <c r="C903" t="s">
        <v>6</v>
      </c>
      <c r="D903" s="2">
        <v>43724</v>
      </c>
      <c r="E903" s="11">
        <v>259</v>
      </c>
      <c r="F903" s="3">
        <v>0.51858000000356697</v>
      </c>
      <c r="G903" s="3">
        <v>0.5220499999995809</v>
      </c>
      <c r="H903" s="13">
        <f t="shared" si="24"/>
        <v>259.51858000000357</v>
      </c>
      <c r="I903" s="13">
        <f t="shared" si="25"/>
        <v>259.52204999999958</v>
      </c>
      <c r="J903" s="13">
        <f t="shared" si="26"/>
        <v>259.52031500000157</v>
      </c>
      <c r="K903" s="7">
        <v>43724.520315000002</v>
      </c>
      <c r="L903" s="4">
        <v>953.7</v>
      </c>
      <c r="N903">
        <v>18.89</v>
      </c>
      <c r="Q903">
        <v>21.776172812555199</v>
      </c>
      <c r="R903">
        <v>1.10328808910275E-4</v>
      </c>
    </row>
    <row r="904" spans="1:18" x14ac:dyDescent="0.2">
      <c r="A904" t="s">
        <v>5</v>
      </c>
      <c r="B904">
        <v>5</v>
      </c>
      <c r="C904" t="s">
        <v>4</v>
      </c>
      <c r="D904" s="2">
        <v>43724</v>
      </c>
      <c r="E904" s="11">
        <v>259</v>
      </c>
      <c r="F904" s="3">
        <v>0.52603999999701045</v>
      </c>
      <c r="G904" s="3">
        <v>0.52951000000030035</v>
      </c>
      <c r="H904" s="13">
        <f t="shared" si="24"/>
        <v>259.52603999999701</v>
      </c>
      <c r="I904" s="13">
        <f t="shared" si="25"/>
        <v>259.5295100000003</v>
      </c>
      <c r="J904" s="13">
        <f t="shared" si="26"/>
        <v>259.52777499999866</v>
      </c>
      <c r="K904" s="7">
        <v>43724.527774999995</v>
      </c>
      <c r="L904" s="4">
        <v>946.2</v>
      </c>
      <c r="M904">
        <v>9.6999999999999993</v>
      </c>
      <c r="N904">
        <v>20.56</v>
      </c>
      <c r="O904">
        <v>15.3</v>
      </c>
      <c r="P904">
        <v>0.69</v>
      </c>
      <c r="Q904">
        <v>3.4394572629861702</v>
      </c>
      <c r="R904">
        <v>-1.24736041928549E-4</v>
      </c>
    </row>
    <row r="905" spans="1:18" x14ac:dyDescent="0.2">
      <c r="A905" t="s">
        <v>5</v>
      </c>
      <c r="B905">
        <v>5</v>
      </c>
      <c r="C905" t="s">
        <v>6</v>
      </c>
      <c r="D905" s="2">
        <v>43724</v>
      </c>
      <c r="E905" s="11">
        <v>259</v>
      </c>
      <c r="F905" s="3">
        <v>0.5328700000027311</v>
      </c>
      <c r="G905" s="3">
        <v>0.53633999999874504</v>
      </c>
      <c r="H905" s="13">
        <f t="shared" si="24"/>
        <v>259.53287000000273</v>
      </c>
      <c r="I905" s="13">
        <f t="shared" si="25"/>
        <v>259.53633999999875</v>
      </c>
      <c r="J905" s="13">
        <f t="shared" si="26"/>
        <v>259.53460500000074</v>
      </c>
      <c r="K905" s="7">
        <v>43724.534605000001</v>
      </c>
      <c r="L905" s="4">
        <v>1516.2</v>
      </c>
      <c r="N905">
        <v>20.56</v>
      </c>
      <c r="Q905">
        <v>21.3003982950306</v>
      </c>
      <c r="R905">
        <v>1.0528128009359E-4</v>
      </c>
    </row>
    <row r="906" spans="1:18" x14ac:dyDescent="0.2">
      <c r="A906" t="s">
        <v>5</v>
      </c>
      <c r="B906">
        <v>1</v>
      </c>
      <c r="C906" t="s">
        <v>4</v>
      </c>
      <c r="D906" s="2">
        <v>43735</v>
      </c>
      <c r="E906" s="11">
        <v>270</v>
      </c>
      <c r="F906" s="3">
        <v>0.39583000000129687</v>
      </c>
      <c r="G906" s="3">
        <v>0.39931000000069616</v>
      </c>
      <c r="H906" s="13">
        <f t="shared" si="24"/>
        <v>270.3958300000013</v>
      </c>
      <c r="I906" s="13">
        <f t="shared" si="25"/>
        <v>270.3993100000007</v>
      </c>
      <c r="J906" s="13">
        <f t="shared" si="26"/>
        <v>270.397570000001</v>
      </c>
      <c r="K906" s="7">
        <v>43735.397570000001</v>
      </c>
      <c r="L906" s="4">
        <v>843.7</v>
      </c>
      <c r="M906">
        <v>11.1</v>
      </c>
      <c r="N906">
        <v>16.11</v>
      </c>
      <c r="O906">
        <v>13.6</v>
      </c>
      <c r="P906">
        <v>0.25</v>
      </c>
      <c r="Q906">
        <v>6.2133387226072703</v>
      </c>
      <c r="R906">
        <v>-2.8138456877137101E-4</v>
      </c>
    </row>
    <row r="907" spans="1:18" x14ac:dyDescent="0.2">
      <c r="A907" t="s">
        <v>5</v>
      </c>
      <c r="B907">
        <v>1</v>
      </c>
      <c r="C907" t="s">
        <v>6</v>
      </c>
      <c r="D907" s="2">
        <v>43735</v>
      </c>
      <c r="E907" s="11">
        <v>270</v>
      </c>
      <c r="F907" s="3">
        <v>0.4027799999967101</v>
      </c>
      <c r="G907" s="3">
        <v>0.40625</v>
      </c>
      <c r="H907" s="13">
        <f t="shared" si="24"/>
        <v>270.40277999999671</v>
      </c>
      <c r="I907" s="13">
        <f t="shared" si="25"/>
        <v>270.40625</v>
      </c>
      <c r="J907" s="13">
        <f t="shared" si="26"/>
        <v>270.40451499999836</v>
      </c>
      <c r="K907" s="7">
        <v>43735.404515000002</v>
      </c>
      <c r="L907" s="4">
        <v>898.7</v>
      </c>
      <c r="N907">
        <v>16.11</v>
      </c>
      <c r="Q907">
        <v>6.84452652440942</v>
      </c>
      <c r="R907">
        <v>-2.83016441402752E-4</v>
      </c>
    </row>
    <row r="908" spans="1:18" x14ac:dyDescent="0.2">
      <c r="A908" t="s">
        <v>5</v>
      </c>
      <c r="B908">
        <v>2</v>
      </c>
      <c r="C908" t="s">
        <v>4</v>
      </c>
      <c r="D908" s="2">
        <v>43735</v>
      </c>
      <c r="E908" s="11">
        <v>270</v>
      </c>
      <c r="F908" s="3">
        <v>0.4097200000032899</v>
      </c>
      <c r="G908" s="3">
        <v>0.41318999999930384</v>
      </c>
      <c r="H908" s="13">
        <f t="shared" si="24"/>
        <v>270.40972000000329</v>
      </c>
      <c r="I908" s="13">
        <f t="shared" si="25"/>
        <v>270.4131899999993</v>
      </c>
      <c r="J908" s="13">
        <f t="shared" si="26"/>
        <v>270.4114550000013</v>
      </c>
      <c r="K908" s="7">
        <v>43735.411455000001</v>
      </c>
      <c r="L908" s="4">
        <v>951.2</v>
      </c>
      <c r="M908">
        <v>9.1</v>
      </c>
      <c r="N908">
        <v>16.11</v>
      </c>
      <c r="O908">
        <v>8.9</v>
      </c>
      <c r="P908">
        <v>0.21</v>
      </c>
      <c r="Q908">
        <v>7.7101290042062196</v>
      </c>
      <c r="R908">
        <v>-3.0994321030781199E-4</v>
      </c>
    </row>
    <row r="909" spans="1:18" x14ac:dyDescent="0.2">
      <c r="A909" t="s">
        <v>5</v>
      </c>
      <c r="B909">
        <v>2</v>
      </c>
      <c r="C909" t="s">
        <v>6</v>
      </c>
      <c r="D909" s="2">
        <v>43735</v>
      </c>
      <c r="E909" s="11">
        <v>270</v>
      </c>
      <c r="F909" s="3">
        <v>0.41597000000183471</v>
      </c>
      <c r="G909" s="3">
        <v>0.41943999999784864</v>
      </c>
      <c r="H909" s="13">
        <f t="shared" si="24"/>
        <v>270.41597000000183</v>
      </c>
      <c r="I909" s="13">
        <f t="shared" si="25"/>
        <v>270.41943999999785</v>
      </c>
      <c r="J909" s="13">
        <f t="shared" si="26"/>
        <v>270.41770499999984</v>
      </c>
      <c r="K909" s="7">
        <v>43735.417705</v>
      </c>
      <c r="L909" s="4">
        <v>998.7</v>
      </c>
      <c r="N909">
        <v>16.11</v>
      </c>
      <c r="Q909">
        <v>6.6157234513654597</v>
      </c>
      <c r="R909">
        <v>-3.4186630619705298E-4</v>
      </c>
    </row>
    <row r="910" spans="1:18" x14ac:dyDescent="0.2">
      <c r="A910" t="s">
        <v>5</v>
      </c>
      <c r="B910">
        <v>3</v>
      </c>
      <c r="C910" t="s">
        <v>4</v>
      </c>
      <c r="D910" s="2">
        <v>43735</v>
      </c>
      <c r="E910" s="11">
        <v>270</v>
      </c>
      <c r="F910" s="3">
        <v>0.42360999999800697</v>
      </c>
      <c r="G910" s="3">
        <v>0.42708000000129687</v>
      </c>
      <c r="H910" s="13">
        <f t="shared" si="24"/>
        <v>270.42360999999801</v>
      </c>
      <c r="I910" s="13">
        <f t="shared" si="25"/>
        <v>270.4270800000013</v>
      </c>
      <c r="J910" s="13">
        <f t="shared" si="26"/>
        <v>270.42534499999965</v>
      </c>
      <c r="K910" s="7">
        <v>43735.425344999996</v>
      </c>
      <c r="L910" s="4">
        <v>1053.7</v>
      </c>
      <c r="M910">
        <v>6.2</v>
      </c>
      <c r="N910">
        <v>16.11</v>
      </c>
      <c r="O910">
        <v>8.6999999999999993</v>
      </c>
      <c r="P910">
        <v>0.25</v>
      </c>
      <c r="Q910">
        <v>9.1649978739307407</v>
      </c>
      <c r="R910">
        <v>-3.53858026757399E-4</v>
      </c>
    </row>
    <row r="911" spans="1:18" x14ac:dyDescent="0.2">
      <c r="A911" t="s">
        <v>5</v>
      </c>
      <c r="B911">
        <v>3</v>
      </c>
      <c r="C911" t="s">
        <v>6</v>
      </c>
      <c r="D911" s="2">
        <v>43735</v>
      </c>
      <c r="E911" s="11">
        <v>270</v>
      </c>
      <c r="F911" s="3">
        <v>0.4340299999967101</v>
      </c>
      <c r="G911" s="3">
        <v>0.4375</v>
      </c>
      <c r="H911" s="13">
        <f t="shared" si="24"/>
        <v>270.43402999999671</v>
      </c>
      <c r="I911" s="13">
        <f t="shared" si="25"/>
        <v>270.4375</v>
      </c>
      <c r="J911" s="13">
        <f t="shared" si="26"/>
        <v>270.43576499999836</v>
      </c>
      <c r="K911" s="7">
        <v>43735.435765000002</v>
      </c>
      <c r="L911" s="4">
        <v>1123.7</v>
      </c>
      <c r="N911">
        <v>16.11</v>
      </c>
      <c r="Q911">
        <v>9.8033797144448904</v>
      </c>
      <c r="R911">
        <v>-3.9050687229041703E-4</v>
      </c>
    </row>
    <row r="912" spans="1:18" x14ac:dyDescent="0.2">
      <c r="A912" t="s">
        <v>5</v>
      </c>
      <c r="B912">
        <v>4</v>
      </c>
      <c r="C912" t="s">
        <v>4</v>
      </c>
      <c r="D912" s="2">
        <v>43735</v>
      </c>
      <c r="E912" s="11">
        <v>270</v>
      </c>
      <c r="F912" s="3">
        <v>0.44443999999930384</v>
      </c>
      <c r="G912" s="3">
        <v>0.44791999999870313</v>
      </c>
      <c r="H912" s="13">
        <f t="shared" si="24"/>
        <v>270.4444399999993</v>
      </c>
      <c r="I912" s="13">
        <f t="shared" si="25"/>
        <v>270.4479199999987</v>
      </c>
      <c r="J912" s="13">
        <f t="shared" si="26"/>
        <v>270.446179999999</v>
      </c>
      <c r="K912" s="7">
        <v>43735.446179999999</v>
      </c>
      <c r="L912" s="4">
        <v>1183.7</v>
      </c>
      <c r="M912">
        <v>11.8</v>
      </c>
      <c r="N912">
        <v>16.11</v>
      </c>
      <c r="O912">
        <v>7.8</v>
      </c>
      <c r="P912">
        <v>0.25</v>
      </c>
      <c r="Q912">
        <v>5.4831507277609202</v>
      </c>
      <c r="R912" s="6">
        <v>-3.7989345041561097E-5</v>
      </c>
    </row>
    <row r="913" spans="1:18" x14ac:dyDescent="0.2">
      <c r="A913" t="s">
        <v>5</v>
      </c>
      <c r="B913">
        <v>4</v>
      </c>
      <c r="C913" t="s">
        <v>6</v>
      </c>
      <c r="D913" s="2">
        <v>43735</v>
      </c>
      <c r="E913" s="11">
        <v>270</v>
      </c>
      <c r="F913" s="3">
        <v>0.45139000000199303</v>
      </c>
      <c r="G913" s="3">
        <v>0.45485999999800697</v>
      </c>
      <c r="H913" s="13">
        <f t="shared" si="24"/>
        <v>270.45139000000199</v>
      </c>
      <c r="I913" s="13">
        <f t="shared" si="25"/>
        <v>270.45485999999801</v>
      </c>
      <c r="J913" s="13">
        <f t="shared" si="26"/>
        <v>270.453125</v>
      </c>
      <c r="K913" s="7">
        <v>43735.453125</v>
      </c>
      <c r="L913" s="4">
        <v>1226.2</v>
      </c>
      <c r="N913">
        <v>16.11</v>
      </c>
      <c r="Q913">
        <v>7.1797229330660199</v>
      </c>
      <c r="R913">
        <v>-1.23262327931116E-4</v>
      </c>
    </row>
    <row r="914" spans="1:18" x14ac:dyDescent="0.2">
      <c r="A914" t="s">
        <v>5</v>
      </c>
      <c r="B914">
        <v>5</v>
      </c>
      <c r="C914" t="s">
        <v>4</v>
      </c>
      <c r="D914" s="2">
        <v>43735</v>
      </c>
      <c r="E914" s="11">
        <v>270</v>
      </c>
      <c r="F914" s="3">
        <v>0.45902999999816529</v>
      </c>
      <c r="G914" s="3">
        <v>0.46250000000145519</v>
      </c>
      <c r="H914" s="13">
        <f t="shared" si="24"/>
        <v>270.45902999999817</v>
      </c>
      <c r="I914" s="13">
        <f t="shared" si="25"/>
        <v>270.46250000000146</v>
      </c>
      <c r="J914" s="13">
        <f t="shared" si="26"/>
        <v>270.46076499999981</v>
      </c>
      <c r="K914" s="7">
        <v>43735.460764999996</v>
      </c>
      <c r="L914" s="4">
        <v>1266.2</v>
      </c>
      <c r="M914">
        <v>10.4</v>
      </c>
      <c r="N914">
        <v>18.329999999999998</v>
      </c>
      <c r="O914">
        <v>3.1</v>
      </c>
      <c r="P914">
        <v>0.27</v>
      </c>
      <c r="Q914">
        <v>9.7788884994169898</v>
      </c>
      <c r="R914" s="6">
        <v>-1.8670444253391299E-5</v>
      </c>
    </row>
    <row r="915" spans="1:18" x14ac:dyDescent="0.2">
      <c r="A915" t="s">
        <v>5</v>
      </c>
      <c r="B915">
        <v>5</v>
      </c>
      <c r="C915" t="s">
        <v>6</v>
      </c>
      <c r="D915" s="2">
        <v>43735</v>
      </c>
      <c r="E915" s="11">
        <v>270</v>
      </c>
      <c r="F915" s="3">
        <v>0.46596999999746913</v>
      </c>
      <c r="G915" s="3">
        <v>0.46944000000075903</v>
      </c>
      <c r="H915" s="13">
        <f t="shared" si="24"/>
        <v>270.46596999999747</v>
      </c>
      <c r="I915" s="13">
        <f t="shared" si="25"/>
        <v>270.46944000000076</v>
      </c>
      <c r="J915" s="13">
        <f t="shared" si="26"/>
        <v>270.46770499999911</v>
      </c>
      <c r="K915" s="7">
        <v>43735.467705000003</v>
      </c>
      <c r="L915" s="4">
        <v>1293.7</v>
      </c>
      <c r="N915">
        <v>18.329999999999998</v>
      </c>
      <c r="Q915">
        <v>8.7796853336676808</v>
      </c>
      <c r="R915" s="6">
        <v>6.1946538057454104E-6</v>
      </c>
    </row>
    <row r="916" spans="1:18" x14ac:dyDescent="0.2">
      <c r="A916" t="s">
        <v>5</v>
      </c>
      <c r="B916">
        <v>1</v>
      </c>
      <c r="C916" t="s">
        <v>4</v>
      </c>
      <c r="D916" s="2">
        <v>43735</v>
      </c>
      <c r="E916" s="11">
        <v>270</v>
      </c>
      <c r="F916" s="3">
        <v>0.50207999999838648</v>
      </c>
      <c r="G916" s="3">
        <v>0.50555999999778578</v>
      </c>
      <c r="H916" s="13">
        <f t="shared" si="24"/>
        <v>270.50207999999839</v>
      </c>
      <c r="I916" s="13">
        <f t="shared" si="25"/>
        <v>270.50555999999779</v>
      </c>
      <c r="J916" s="13">
        <f t="shared" si="26"/>
        <v>270.50381999999809</v>
      </c>
      <c r="K916" s="7">
        <v>43735.503819999998</v>
      </c>
      <c r="L916" s="4">
        <v>1416.2</v>
      </c>
      <c r="M916">
        <v>8.6999999999999993</v>
      </c>
      <c r="N916">
        <v>18.89</v>
      </c>
      <c r="O916">
        <v>7.8</v>
      </c>
      <c r="P916">
        <v>0.25</v>
      </c>
      <c r="Q916">
        <v>8.5387611029495201</v>
      </c>
      <c r="R916">
        <v>-1.7880301511944099E-4</v>
      </c>
    </row>
    <row r="917" spans="1:18" x14ac:dyDescent="0.2">
      <c r="A917" t="s">
        <v>5</v>
      </c>
      <c r="B917">
        <v>1</v>
      </c>
      <c r="C917" t="s">
        <v>6</v>
      </c>
      <c r="D917" s="2">
        <v>43735</v>
      </c>
      <c r="E917" s="11">
        <v>270</v>
      </c>
      <c r="F917" s="3">
        <v>0.50729000000137603</v>
      </c>
      <c r="G917" s="3">
        <v>0.51075999999738997</v>
      </c>
      <c r="H917" s="13">
        <f t="shared" si="24"/>
        <v>270.50729000000138</v>
      </c>
      <c r="I917" s="13">
        <f t="shared" si="25"/>
        <v>270.51075999999739</v>
      </c>
      <c r="J917" s="13">
        <f t="shared" si="26"/>
        <v>270.50902499999938</v>
      </c>
      <c r="K917" s="7">
        <v>43735.509024999999</v>
      </c>
      <c r="L917" s="4">
        <v>1428.7</v>
      </c>
      <c r="N917">
        <v>18.89</v>
      </c>
      <c r="Q917">
        <v>8.6554175106653997</v>
      </c>
      <c r="R917">
        <v>-1.2485313238769E-4</v>
      </c>
    </row>
    <row r="918" spans="1:18" x14ac:dyDescent="0.2">
      <c r="A918" t="s">
        <v>5</v>
      </c>
      <c r="B918">
        <v>2</v>
      </c>
      <c r="C918" t="s">
        <v>4</v>
      </c>
      <c r="D918" s="2">
        <v>43735</v>
      </c>
      <c r="E918" s="11">
        <v>270</v>
      </c>
      <c r="F918" s="3">
        <v>0.51389000000199303</v>
      </c>
      <c r="G918" s="3">
        <v>0.51735999999800697</v>
      </c>
      <c r="H918" s="13">
        <f t="shared" si="24"/>
        <v>270.51389000000199</v>
      </c>
      <c r="I918" s="13">
        <f t="shared" si="25"/>
        <v>270.51735999999801</v>
      </c>
      <c r="J918" s="13">
        <f t="shared" si="26"/>
        <v>270.515625</v>
      </c>
      <c r="K918" s="7">
        <v>43735.515625</v>
      </c>
      <c r="L918" s="4">
        <v>1436.2</v>
      </c>
      <c r="M918">
        <v>7.4</v>
      </c>
      <c r="N918">
        <v>18.89</v>
      </c>
      <c r="O918">
        <v>20.100000000000001</v>
      </c>
      <c r="P918">
        <v>0.25</v>
      </c>
      <c r="Q918">
        <v>8.5252060523847604</v>
      </c>
      <c r="R918">
        <v>-2.1465605538952399E-4</v>
      </c>
    </row>
    <row r="919" spans="1:18" x14ac:dyDescent="0.2">
      <c r="A919" t="s">
        <v>5</v>
      </c>
      <c r="B919">
        <v>2</v>
      </c>
      <c r="C919" t="s">
        <v>6</v>
      </c>
      <c r="D919" s="2">
        <v>43735</v>
      </c>
      <c r="E919" s="11">
        <v>270</v>
      </c>
      <c r="F919" s="3">
        <v>0.51943999999639345</v>
      </c>
      <c r="G919" s="3">
        <v>0.52083000000129687</v>
      </c>
      <c r="H919" s="13">
        <f t="shared" si="24"/>
        <v>270.51943999999639</v>
      </c>
      <c r="I919" s="13">
        <f t="shared" si="25"/>
        <v>270.5208300000013</v>
      </c>
      <c r="J919" s="13">
        <f t="shared" si="26"/>
        <v>270.52013499999885</v>
      </c>
      <c r="K919" s="7">
        <v>43735.520134999999</v>
      </c>
      <c r="L919" s="4">
        <v>1438.7</v>
      </c>
      <c r="N919">
        <v>18.89</v>
      </c>
      <c r="Q919">
        <v>7.8995670468623702</v>
      </c>
      <c r="R919">
        <v>-1.44024675464404E-4</v>
      </c>
    </row>
    <row r="920" spans="1:18" x14ac:dyDescent="0.2">
      <c r="A920" t="s">
        <v>5</v>
      </c>
      <c r="B920">
        <v>3</v>
      </c>
      <c r="C920" t="s">
        <v>4</v>
      </c>
      <c r="D920" s="2">
        <v>43735</v>
      </c>
      <c r="E920" s="11">
        <v>270</v>
      </c>
      <c r="F920" s="3">
        <v>0.52500000000145519</v>
      </c>
      <c r="G920" s="3">
        <v>0.52846999999746913</v>
      </c>
      <c r="H920" s="13">
        <f t="shared" si="24"/>
        <v>270.52500000000146</v>
      </c>
      <c r="I920" s="13">
        <f t="shared" si="25"/>
        <v>270.52846999999747</v>
      </c>
      <c r="J920" s="13">
        <f t="shared" si="26"/>
        <v>270.52673499999946</v>
      </c>
      <c r="K920" s="7">
        <v>43735.526734999999</v>
      </c>
      <c r="L920" s="4">
        <v>1453.7</v>
      </c>
      <c r="M920">
        <v>7</v>
      </c>
      <c r="N920">
        <v>18.89</v>
      </c>
      <c r="O920">
        <v>8.1999999999999993</v>
      </c>
      <c r="P920">
        <v>0.24</v>
      </c>
      <c r="Q920">
        <v>10.5299526372788</v>
      </c>
      <c r="R920">
        <v>-2.5200837826748799E-4</v>
      </c>
    </row>
    <row r="921" spans="1:18" x14ac:dyDescent="0.2">
      <c r="A921" t="s">
        <v>5</v>
      </c>
      <c r="B921">
        <v>3</v>
      </c>
      <c r="C921" t="s">
        <v>6</v>
      </c>
      <c r="D921" s="2">
        <v>43735</v>
      </c>
      <c r="E921" s="11">
        <v>270</v>
      </c>
      <c r="F921" s="3">
        <v>0.53055999999924097</v>
      </c>
      <c r="G921" s="3">
        <v>0.53403000000253087</v>
      </c>
      <c r="H921" s="13">
        <f t="shared" si="24"/>
        <v>270.53055999999924</v>
      </c>
      <c r="I921" s="13">
        <f t="shared" si="25"/>
        <v>270.53403000000253</v>
      </c>
      <c r="J921" s="13">
        <f t="shared" si="26"/>
        <v>270.53229500000089</v>
      </c>
      <c r="K921" s="7">
        <v>43735.532294999997</v>
      </c>
      <c r="L921" s="4">
        <v>1453.7</v>
      </c>
      <c r="N921">
        <v>18.89</v>
      </c>
      <c r="Q921">
        <v>10.872408184069</v>
      </c>
      <c r="R921">
        <v>-2.32698839784571E-4</v>
      </c>
    </row>
    <row r="922" spans="1:18" x14ac:dyDescent="0.2">
      <c r="A922" t="s">
        <v>5</v>
      </c>
      <c r="B922">
        <v>4</v>
      </c>
      <c r="C922" t="s">
        <v>4</v>
      </c>
      <c r="D922" s="2">
        <v>43735</v>
      </c>
      <c r="E922" s="11">
        <v>270</v>
      </c>
      <c r="F922" s="3">
        <v>0.53680999999778578</v>
      </c>
      <c r="G922" s="3">
        <v>0.54028000000107568</v>
      </c>
      <c r="H922" s="13">
        <f t="shared" si="24"/>
        <v>270.53680999999779</v>
      </c>
      <c r="I922" s="13">
        <f t="shared" si="25"/>
        <v>270.54028000000108</v>
      </c>
      <c r="J922" s="13">
        <f t="shared" si="26"/>
        <v>270.53854499999943</v>
      </c>
      <c r="K922" s="7">
        <v>43735.538545000003</v>
      </c>
      <c r="L922" s="4">
        <v>1453.7</v>
      </c>
      <c r="M922">
        <v>11.1</v>
      </c>
      <c r="N922">
        <v>18.89</v>
      </c>
      <c r="O922">
        <v>9.8000000000000007</v>
      </c>
      <c r="P922">
        <v>0.24</v>
      </c>
      <c r="Q922">
        <v>5.8532230086190999</v>
      </c>
      <c r="R922">
        <v>-1.44866952732625E-4</v>
      </c>
    </row>
    <row r="923" spans="1:18" x14ac:dyDescent="0.2">
      <c r="A923" t="s">
        <v>5</v>
      </c>
      <c r="B923">
        <v>4</v>
      </c>
      <c r="C923" t="s">
        <v>6</v>
      </c>
      <c r="D923" s="2">
        <v>43735</v>
      </c>
      <c r="E923" s="11">
        <v>270</v>
      </c>
      <c r="F923" s="3">
        <v>0.54235999999946216</v>
      </c>
      <c r="G923" s="3">
        <v>0.54583000000275206</v>
      </c>
      <c r="H923" s="13">
        <f t="shared" si="24"/>
        <v>270.54235999999946</v>
      </c>
      <c r="I923" s="13">
        <f t="shared" si="25"/>
        <v>270.54583000000275</v>
      </c>
      <c r="J923" s="13">
        <f t="shared" si="26"/>
        <v>270.54409500000111</v>
      </c>
      <c r="K923" s="7">
        <v>43735.544095000005</v>
      </c>
      <c r="L923" s="4">
        <v>1456.2</v>
      </c>
      <c r="N923">
        <v>18.89</v>
      </c>
      <c r="Q923">
        <v>7.3723364445299602</v>
      </c>
      <c r="R923">
        <v>-1.3916033979632499E-4</v>
      </c>
    </row>
    <row r="924" spans="1:18" x14ac:dyDescent="0.2">
      <c r="A924" t="s">
        <v>5</v>
      </c>
      <c r="B924">
        <v>5</v>
      </c>
      <c r="C924" t="s">
        <v>4</v>
      </c>
      <c r="D924" s="2">
        <v>43735</v>
      </c>
      <c r="E924" s="11">
        <v>270</v>
      </c>
      <c r="F924" s="3">
        <v>0.54860999999800697</v>
      </c>
      <c r="G924" s="3">
        <v>0.55208000000129687</v>
      </c>
      <c r="H924" s="13">
        <f t="shared" si="24"/>
        <v>270.54860999999801</v>
      </c>
      <c r="I924" s="13">
        <f t="shared" si="25"/>
        <v>270.5520800000013</v>
      </c>
      <c r="J924" s="13">
        <f t="shared" si="26"/>
        <v>270.55034499999965</v>
      </c>
      <c r="K924" s="7">
        <v>43735.550344999996</v>
      </c>
      <c r="L924" s="4">
        <v>1446.2</v>
      </c>
      <c r="M924">
        <v>9.6999999999999993</v>
      </c>
      <c r="N924">
        <v>20.56</v>
      </c>
      <c r="O924">
        <v>4.5</v>
      </c>
      <c r="P924">
        <v>0.26</v>
      </c>
      <c r="Q924">
        <v>8.3396638026933001</v>
      </c>
      <c r="R924" s="6">
        <v>-6.8682981915240798E-5</v>
      </c>
    </row>
    <row r="925" spans="1:18" x14ac:dyDescent="0.2">
      <c r="A925" t="s">
        <v>5</v>
      </c>
      <c r="B925">
        <v>5</v>
      </c>
      <c r="C925" t="s">
        <v>6</v>
      </c>
      <c r="D925" s="2">
        <v>43735</v>
      </c>
      <c r="E925" s="11">
        <v>270</v>
      </c>
      <c r="F925" s="3">
        <v>0.55625000000145519</v>
      </c>
      <c r="G925" s="3">
        <v>0.55971999999746913</v>
      </c>
      <c r="H925" s="13">
        <f t="shared" si="24"/>
        <v>270.55625000000146</v>
      </c>
      <c r="I925" s="13">
        <f t="shared" si="25"/>
        <v>270.55971999999747</v>
      </c>
      <c r="J925" s="13">
        <f t="shared" si="26"/>
        <v>270.55798499999946</v>
      </c>
      <c r="K925" s="7">
        <v>43735.557984999999</v>
      </c>
      <c r="L925" s="4">
        <v>1436.2</v>
      </c>
      <c r="N925">
        <v>20.56</v>
      </c>
      <c r="Q925">
        <v>9.4876236416503001</v>
      </c>
      <c r="R925" s="6">
        <v>-7.0145720586874905E-5</v>
      </c>
    </row>
    <row r="926" spans="1:18" x14ac:dyDescent="0.2">
      <c r="A926" t="s">
        <v>5</v>
      </c>
      <c r="B926">
        <v>1</v>
      </c>
      <c r="C926" t="s">
        <v>4</v>
      </c>
      <c r="D926" s="2">
        <v>43740</v>
      </c>
      <c r="E926" s="11">
        <v>275</v>
      </c>
      <c r="F926" s="3">
        <v>0.49167000000306871</v>
      </c>
      <c r="G926" s="3">
        <v>0.49513999999908265</v>
      </c>
      <c r="H926" s="13">
        <f t="shared" si="24"/>
        <v>275.49167000000307</v>
      </c>
      <c r="I926" s="13">
        <f t="shared" si="25"/>
        <v>275.49513999999908</v>
      </c>
      <c r="J926" s="13">
        <f t="shared" si="26"/>
        <v>275.49340500000108</v>
      </c>
      <c r="K926" s="7">
        <v>43740.493405000001</v>
      </c>
      <c r="L926" s="4">
        <v>1143.7</v>
      </c>
      <c r="M926">
        <v>10.199999999999999</v>
      </c>
      <c r="N926">
        <v>26.11</v>
      </c>
      <c r="O926">
        <v>7.2</v>
      </c>
      <c r="P926">
        <v>0.21</v>
      </c>
      <c r="Q926">
        <v>6.0713701289999999</v>
      </c>
      <c r="R926" s="6">
        <v>-7.6637568380828695E-5</v>
      </c>
    </row>
    <row r="927" spans="1:18" x14ac:dyDescent="0.2">
      <c r="A927" t="s">
        <v>5</v>
      </c>
      <c r="B927">
        <v>1</v>
      </c>
      <c r="C927" t="s">
        <v>6</v>
      </c>
      <c r="D927" s="2">
        <v>43740</v>
      </c>
      <c r="E927" s="11">
        <v>275</v>
      </c>
      <c r="F927" s="3">
        <v>0.49756999999954132</v>
      </c>
      <c r="G927" s="3">
        <v>0.50104000000283122</v>
      </c>
      <c r="H927" s="13">
        <f t="shared" si="24"/>
        <v>275.49756999999954</v>
      </c>
      <c r="I927" s="13">
        <f t="shared" si="25"/>
        <v>275.50104000000283</v>
      </c>
      <c r="J927" s="13">
        <f t="shared" si="26"/>
        <v>275.49930500000119</v>
      </c>
      <c r="K927" s="7">
        <v>43740.499305000005</v>
      </c>
      <c r="L927" s="4">
        <v>1156.2</v>
      </c>
      <c r="N927">
        <v>26.11</v>
      </c>
      <c r="Q927">
        <v>4.0963989119999997</v>
      </c>
      <c r="R927" s="6">
        <v>7.13730731320307E-5</v>
      </c>
    </row>
    <row r="928" spans="1:18" x14ac:dyDescent="0.2">
      <c r="A928" t="s">
        <v>5</v>
      </c>
      <c r="B928">
        <v>2</v>
      </c>
      <c r="C928" t="s">
        <v>4</v>
      </c>
      <c r="D928" s="2">
        <v>43740</v>
      </c>
      <c r="E928" s="11">
        <v>275</v>
      </c>
      <c r="F928" s="3">
        <v>0.54028000000107568</v>
      </c>
      <c r="G928" s="3">
        <v>0.54374999999708962</v>
      </c>
      <c r="H928" s="13">
        <f t="shared" si="24"/>
        <v>275.54028000000108</v>
      </c>
      <c r="I928" s="13">
        <f t="shared" si="25"/>
        <v>275.54374999999709</v>
      </c>
      <c r="J928" s="13">
        <f t="shared" si="26"/>
        <v>275.54201499999908</v>
      </c>
      <c r="K928" s="7">
        <v>43740.542014999999</v>
      </c>
      <c r="L928" s="4">
        <v>526.20000000000005</v>
      </c>
      <c r="M928">
        <v>8.4</v>
      </c>
      <c r="N928">
        <v>26.11</v>
      </c>
      <c r="O928">
        <v>6.2</v>
      </c>
      <c r="P928">
        <v>0.21</v>
      </c>
      <c r="Q928">
        <v>5.8762278620000004</v>
      </c>
      <c r="R928">
        <v>-2.2075383639005001E-4</v>
      </c>
    </row>
    <row r="929" spans="1:18" x14ac:dyDescent="0.2">
      <c r="A929" t="s">
        <v>5</v>
      </c>
      <c r="B929">
        <v>2</v>
      </c>
      <c r="C929" t="s">
        <v>6</v>
      </c>
      <c r="D929" s="2">
        <v>43740</v>
      </c>
      <c r="E929" s="11">
        <v>275</v>
      </c>
      <c r="F929" s="3">
        <v>0.54652999999962049</v>
      </c>
      <c r="G929" s="3">
        <v>0.55000000000291038</v>
      </c>
      <c r="H929" s="13">
        <f t="shared" si="24"/>
        <v>275.54652999999962</v>
      </c>
      <c r="I929" s="13">
        <f t="shared" si="25"/>
        <v>275.55000000000291</v>
      </c>
      <c r="J929" s="13">
        <f t="shared" si="26"/>
        <v>275.54826500000127</v>
      </c>
      <c r="K929" s="7">
        <v>43740.548265000005</v>
      </c>
      <c r="L929" s="4">
        <v>698.7</v>
      </c>
      <c r="N929">
        <v>26.11</v>
      </c>
      <c r="R929" s="6">
        <v>-8.8071028071651101E-5</v>
      </c>
    </row>
    <row r="930" spans="1:18" x14ac:dyDescent="0.2">
      <c r="A930" t="s">
        <v>5</v>
      </c>
      <c r="B930">
        <v>3</v>
      </c>
      <c r="C930" t="s">
        <v>4</v>
      </c>
      <c r="D930" s="2">
        <v>43740</v>
      </c>
      <c r="E930" s="11">
        <v>275</v>
      </c>
      <c r="F930" s="3">
        <v>0.55277999999816529</v>
      </c>
      <c r="G930" s="3">
        <v>0.55625000000145519</v>
      </c>
      <c r="H930" s="13">
        <f t="shared" si="24"/>
        <v>275.55277999999817</v>
      </c>
      <c r="I930" s="13">
        <f t="shared" si="25"/>
        <v>275.55625000000146</v>
      </c>
      <c r="J930" s="13">
        <f t="shared" si="26"/>
        <v>275.55451499999981</v>
      </c>
      <c r="K930" s="7">
        <v>43740.554514999996</v>
      </c>
      <c r="L930" s="4">
        <v>533.70000000000005</v>
      </c>
      <c r="M930">
        <v>7.3</v>
      </c>
      <c r="N930">
        <v>26.11</v>
      </c>
      <c r="O930">
        <v>20.100000000000001</v>
      </c>
      <c r="P930">
        <v>0.22</v>
      </c>
      <c r="R930">
        <v>1.06483502444899E-4</v>
      </c>
    </row>
    <row r="931" spans="1:18" x14ac:dyDescent="0.2">
      <c r="A931" t="s">
        <v>5</v>
      </c>
      <c r="B931">
        <v>3</v>
      </c>
      <c r="C931" t="s">
        <v>6</v>
      </c>
      <c r="D931" s="2">
        <v>43740</v>
      </c>
      <c r="E931" s="11">
        <v>275</v>
      </c>
      <c r="F931" s="3">
        <v>0.61041999999724794</v>
      </c>
      <c r="G931" s="3">
        <v>0.61389000000053784</v>
      </c>
      <c r="H931" s="13">
        <f t="shared" si="24"/>
        <v>275.61041999999725</v>
      </c>
      <c r="I931" s="13">
        <f t="shared" si="25"/>
        <v>275.61389000000054</v>
      </c>
      <c r="J931" s="13">
        <f t="shared" si="26"/>
        <v>275.61215499999889</v>
      </c>
      <c r="K931" s="7">
        <v>43740.612154999995</v>
      </c>
      <c r="L931" s="4">
        <v>668.7</v>
      </c>
      <c r="N931">
        <v>23.33</v>
      </c>
      <c r="Q931">
        <v>4.1568341632748202</v>
      </c>
      <c r="R931" s="6">
        <v>7.4900817706710494E-5</v>
      </c>
    </row>
    <row r="932" spans="1:18" x14ac:dyDescent="0.2">
      <c r="A932" t="s">
        <v>5</v>
      </c>
      <c r="B932">
        <v>4</v>
      </c>
      <c r="C932" t="s">
        <v>4</v>
      </c>
      <c r="D932" s="2">
        <v>43740</v>
      </c>
      <c r="E932" s="11">
        <v>275</v>
      </c>
      <c r="F932" s="3">
        <v>0.61667000000306871</v>
      </c>
      <c r="G932" s="3">
        <v>0.62013999999908265</v>
      </c>
      <c r="H932" s="13">
        <f t="shared" si="24"/>
        <v>275.61667000000307</v>
      </c>
      <c r="I932" s="13">
        <f t="shared" si="25"/>
        <v>275.62013999999908</v>
      </c>
      <c r="J932" s="13">
        <f t="shared" si="26"/>
        <v>275.61840500000108</v>
      </c>
      <c r="K932" s="7">
        <v>43740.618405000001</v>
      </c>
      <c r="L932" s="4">
        <v>671.2</v>
      </c>
      <c r="M932">
        <v>11.3</v>
      </c>
      <c r="N932">
        <v>23.33</v>
      </c>
      <c r="O932">
        <v>7.5</v>
      </c>
      <c r="P932">
        <v>0.22</v>
      </c>
      <c r="Q932">
        <v>3.6104483360017201</v>
      </c>
      <c r="R932">
        <v>3.0174016335317901E-4</v>
      </c>
    </row>
    <row r="933" spans="1:18" x14ac:dyDescent="0.2">
      <c r="A933" t="s">
        <v>5</v>
      </c>
      <c r="B933">
        <v>4</v>
      </c>
      <c r="C933" t="s">
        <v>6</v>
      </c>
      <c r="D933" s="2">
        <v>43740</v>
      </c>
      <c r="E933" s="11">
        <v>275</v>
      </c>
      <c r="F933" s="3">
        <v>0.62221999999746913</v>
      </c>
      <c r="G933" s="3">
        <v>0.62569000000075903</v>
      </c>
      <c r="H933" s="13">
        <f t="shared" si="24"/>
        <v>275.62221999999747</v>
      </c>
      <c r="I933" s="13">
        <f t="shared" si="25"/>
        <v>275.62569000000076</v>
      </c>
      <c r="J933" s="13">
        <f t="shared" si="26"/>
        <v>275.62395499999911</v>
      </c>
      <c r="K933" s="7">
        <v>43740.623955000003</v>
      </c>
      <c r="L933" s="4">
        <v>566.20000000000005</v>
      </c>
      <c r="N933">
        <v>23.33</v>
      </c>
      <c r="Q933">
        <v>4.0353584302716303</v>
      </c>
      <c r="R933" s="6">
        <v>-8.72449968604297E-5</v>
      </c>
    </row>
    <row r="934" spans="1:18" x14ac:dyDescent="0.2">
      <c r="A934" t="s">
        <v>5</v>
      </c>
      <c r="B934">
        <v>5</v>
      </c>
      <c r="C934" t="s">
        <v>4</v>
      </c>
      <c r="D934" s="2">
        <v>43740</v>
      </c>
      <c r="E934" s="11">
        <v>275</v>
      </c>
      <c r="F934" s="3">
        <v>0.62743000000045868</v>
      </c>
      <c r="G934" s="3">
        <v>0.63089999999647262</v>
      </c>
      <c r="H934" s="13">
        <f t="shared" si="24"/>
        <v>275.62743000000046</v>
      </c>
      <c r="I934" s="13">
        <f t="shared" si="25"/>
        <v>275.63089999999647</v>
      </c>
      <c r="J934" s="13">
        <f t="shared" si="26"/>
        <v>275.62916499999847</v>
      </c>
      <c r="K934" s="7">
        <v>43740.629164999998</v>
      </c>
      <c r="L934" s="4">
        <v>666.2</v>
      </c>
      <c r="M934">
        <v>10.7</v>
      </c>
      <c r="N934">
        <v>23.33</v>
      </c>
      <c r="O934">
        <v>2.6</v>
      </c>
      <c r="P934">
        <v>0.22</v>
      </c>
      <c r="Q934">
        <v>4.3844347537110897</v>
      </c>
      <c r="R934">
        <v>1.4279103222192201E-4</v>
      </c>
    </row>
    <row r="935" spans="1:18" x14ac:dyDescent="0.2">
      <c r="A935" t="s">
        <v>5</v>
      </c>
      <c r="B935">
        <v>5</v>
      </c>
      <c r="C935" t="s">
        <v>6</v>
      </c>
      <c r="D935" s="2">
        <v>43740</v>
      </c>
      <c r="E935" s="11">
        <v>275</v>
      </c>
      <c r="F935" s="3">
        <v>0.63367999999900348</v>
      </c>
      <c r="G935" s="3">
        <v>0.63715000000229338</v>
      </c>
      <c r="H935" s="13">
        <f t="shared" si="24"/>
        <v>275.633679999999</v>
      </c>
      <c r="I935" s="13">
        <f t="shared" si="25"/>
        <v>275.63715000000229</v>
      </c>
      <c r="J935" s="13">
        <f t="shared" si="26"/>
        <v>275.63541500000065</v>
      </c>
      <c r="K935" s="7">
        <v>43740.635414999997</v>
      </c>
      <c r="L935" s="4">
        <v>241.2</v>
      </c>
      <c r="N935">
        <v>23.33</v>
      </c>
      <c r="Q935">
        <v>3.6890092880952499</v>
      </c>
      <c r="R935" s="6">
        <v>-7.7182581165402702E-5</v>
      </c>
    </row>
    <row r="936" spans="1:18" x14ac:dyDescent="0.2">
      <c r="A936" t="s">
        <v>5</v>
      </c>
      <c r="B936">
        <v>1</v>
      </c>
      <c r="C936" t="s">
        <v>4</v>
      </c>
      <c r="D936" s="2">
        <v>43747</v>
      </c>
      <c r="E936" s="11">
        <v>282</v>
      </c>
      <c r="F936" s="3">
        <v>0.46944000000075903</v>
      </c>
      <c r="G936" s="3">
        <v>0.47292000000015832</v>
      </c>
      <c r="H936" s="13">
        <f t="shared" si="24"/>
        <v>282.46944000000076</v>
      </c>
      <c r="I936" s="13">
        <f t="shared" si="25"/>
        <v>282.47292000000016</v>
      </c>
      <c r="J936" s="13">
        <f t="shared" si="26"/>
        <v>282.47118000000046</v>
      </c>
      <c r="K936" s="7">
        <v>43747.47118</v>
      </c>
      <c r="L936" s="4">
        <v>461.2</v>
      </c>
      <c r="M936">
        <v>17.399999999999999</v>
      </c>
      <c r="N936">
        <v>13.33</v>
      </c>
      <c r="P936">
        <v>0.19</v>
      </c>
      <c r="Q936">
        <v>2.2902475507700699</v>
      </c>
      <c r="R936">
        <v>-1.4007411528481201E-4</v>
      </c>
    </row>
    <row r="937" spans="1:18" x14ac:dyDescent="0.2">
      <c r="A937" t="s">
        <v>5</v>
      </c>
      <c r="B937">
        <v>1</v>
      </c>
      <c r="C937" t="s">
        <v>6</v>
      </c>
      <c r="D937" s="2">
        <v>43747</v>
      </c>
      <c r="E937" s="11">
        <v>282</v>
      </c>
      <c r="F937" s="3">
        <v>0.47639000000344822</v>
      </c>
      <c r="G937" s="3">
        <v>0.47985999999946216</v>
      </c>
      <c r="H937" s="13">
        <f t="shared" si="24"/>
        <v>282.47639000000345</v>
      </c>
      <c r="I937" s="13">
        <f t="shared" si="25"/>
        <v>282.47985999999946</v>
      </c>
      <c r="J937" s="13">
        <f t="shared" si="26"/>
        <v>282.47812500000146</v>
      </c>
      <c r="K937" s="7">
        <v>43747.478125000001</v>
      </c>
      <c r="L937" s="4">
        <v>503.7</v>
      </c>
      <c r="N937">
        <v>13.33</v>
      </c>
      <c r="Q937">
        <v>1.9797710289927299</v>
      </c>
      <c r="R937" s="6">
        <v>-8.2371465142553897E-5</v>
      </c>
    </row>
    <row r="938" spans="1:18" x14ac:dyDescent="0.2">
      <c r="A938" t="s">
        <v>5</v>
      </c>
      <c r="B938">
        <v>2</v>
      </c>
      <c r="C938" t="s">
        <v>4</v>
      </c>
      <c r="D938" s="2">
        <v>43747</v>
      </c>
      <c r="E938" s="11">
        <v>282</v>
      </c>
      <c r="F938" s="3">
        <v>0.48333000000275206</v>
      </c>
      <c r="G938" s="3">
        <v>0.48681000000215136</v>
      </c>
      <c r="H938" s="13">
        <f t="shared" si="24"/>
        <v>282.48333000000275</v>
      </c>
      <c r="I938" s="13">
        <f t="shared" si="25"/>
        <v>282.48681000000215</v>
      </c>
      <c r="J938" s="13">
        <f t="shared" si="26"/>
        <v>282.48507000000245</v>
      </c>
      <c r="K938" s="7">
        <v>43747.485070000002</v>
      </c>
      <c r="L938" s="4">
        <v>463.7</v>
      </c>
      <c r="M938">
        <v>18.899999999999999</v>
      </c>
      <c r="N938">
        <v>13.33</v>
      </c>
      <c r="P938">
        <v>0.19</v>
      </c>
      <c r="Q938">
        <v>2.1809402300370699</v>
      </c>
      <c r="R938">
        <v>-1.3409769282779599E-4</v>
      </c>
    </row>
    <row r="939" spans="1:18" x14ac:dyDescent="0.2">
      <c r="A939" t="s">
        <v>5</v>
      </c>
      <c r="B939">
        <v>2</v>
      </c>
      <c r="C939" t="s">
        <v>6</v>
      </c>
      <c r="D939" s="2">
        <v>43747</v>
      </c>
      <c r="E939" s="11">
        <v>282</v>
      </c>
      <c r="F939" s="3">
        <v>0.49375000000145519</v>
      </c>
      <c r="G939" s="3">
        <v>0.49721999999746913</v>
      </c>
      <c r="H939" s="13">
        <f t="shared" si="24"/>
        <v>282.49375000000146</v>
      </c>
      <c r="I939" s="13">
        <f t="shared" si="25"/>
        <v>282.49721999999747</v>
      </c>
      <c r="J939" s="13">
        <f t="shared" si="26"/>
        <v>282.49548499999946</v>
      </c>
      <c r="K939" s="7">
        <v>43747.495484999999</v>
      </c>
      <c r="L939" s="4">
        <v>388.7</v>
      </c>
      <c r="N939">
        <v>13.33</v>
      </c>
      <c r="Q939">
        <v>1.6071422199246399</v>
      </c>
      <c r="R939">
        <v>-1.03938351609003E-4</v>
      </c>
    </row>
    <row r="940" spans="1:18" x14ac:dyDescent="0.2">
      <c r="A940" t="s">
        <v>5</v>
      </c>
      <c r="B940">
        <v>4</v>
      </c>
      <c r="C940" t="s">
        <v>4</v>
      </c>
      <c r="D940" s="2">
        <v>43747</v>
      </c>
      <c r="E940" s="11">
        <v>282</v>
      </c>
      <c r="F940" s="3">
        <v>0.5</v>
      </c>
      <c r="G940" s="3">
        <v>0.5034700000032899</v>
      </c>
      <c r="H940" s="13">
        <f t="shared" si="24"/>
        <v>282.5</v>
      </c>
      <c r="I940" s="13">
        <f t="shared" si="25"/>
        <v>282.50347000000329</v>
      </c>
      <c r="J940" s="13">
        <f t="shared" si="26"/>
        <v>282.50173500000164</v>
      </c>
      <c r="K940" s="7">
        <v>43747.501734999998</v>
      </c>
      <c r="L940" s="4">
        <v>473.7</v>
      </c>
      <c r="M940">
        <v>17.5</v>
      </c>
      <c r="N940">
        <v>13.33</v>
      </c>
      <c r="P940">
        <v>0.19</v>
      </c>
      <c r="Q940">
        <v>1.99871366742593</v>
      </c>
      <c r="R940" s="6">
        <v>-4.09950636124875E-5</v>
      </c>
    </row>
    <row r="941" spans="1:18" x14ac:dyDescent="0.2">
      <c r="A941" t="s">
        <v>5</v>
      </c>
      <c r="B941">
        <v>4</v>
      </c>
      <c r="C941" t="s">
        <v>6</v>
      </c>
      <c r="D941" s="2">
        <v>43747</v>
      </c>
      <c r="E941" s="11">
        <v>282</v>
      </c>
      <c r="F941" s="3">
        <v>0.50764000000344822</v>
      </c>
      <c r="G941" s="3">
        <v>0.51110999999946216</v>
      </c>
      <c r="H941" s="13">
        <f t="shared" si="24"/>
        <v>282.50764000000345</v>
      </c>
      <c r="I941" s="13">
        <f t="shared" si="25"/>
        <v>282.51110999999946</v>
      </c>
      <c r="J941" s="13">
        <f t="shared" si="26"/>
        <v>282.50937500000146</v>
      </c>
      <c r="K941" s="7">
        <v>43747.509375000001</v>
      </c>
      <c r="L941" s="4">
        <v>863.7</v>
      </c>
      <c r="N941">
        <v>13.33</v>
      </c>
      <c r="Q941">
        <v>1.74768156642394</v>
      </c>
      <c r="R941" s="6">
        <v>-6.5589079132736603E-5</v>
      </c>
    </row>
    <row r="942" spans="1:18" x14ac:dyDescent="0.2">
      <c r="A942" t="s">
        <v>5</v>
      </c>
      <c r="B942">
        <v>5</v>
      </c>
      <c r="C942" t="s">
        <v>4</v>
      </c>
      <c r="D942" s="2">
        <v>43747</v>
      </c>
      <c r="E942" s="11">
        <v>282</v>
      </c>
      <c r="F942" s="3">
        <v>0.51458000000275206</v>
      </c>
      <c r="G942" s="3">
        <v>0.51806000000215136</v>
      </c>
      <c r="H942" s="13">
        <f t="shared" si="24"/>
        <v>282.51458000000275</v>
      </c>
      <c r="I942" s="13">
        <f t="shared" si="25"/>
        <v>282.51806000000215</v>
      </c>
      <c r="J942" s="13">
        <f t="shared" si="26"/>
        <v>282.51632000000245</v>
      </c>
      <c r="K942" s="7">
        <v>43747.516320000002</v>
      </c>
      <c r="L942" s="4">
        <v>933.7</v>
      </c>
      <c r="M942">
        <v>18.399999999999999</v>
      </c>
      <c r="N942">
        <v>13.89</v>
      </c>
      <c r="P942">
        <v>0.2</v>
      </c>
      <c r="Q942">
        <v>3.1007073357240098</v>
      </c>
      <c r="R942" s="6">
        <v>7.8169580994385404E-5</v>
      </c>
    </row>
    <row r="943" spans="1:18" x14ac:dyDescent="0.2">
      <c r="A943" t="s">
        <v>5</v>
      </c>
      <c r="B943">
        <v>5</v>
      </c>
      <c r="C943" t="s">
        <v>6</v>
      </c>
      <c r="D943" s="2">
        <v>43747</v>
      </c>
      <c r="E943" s="11">
        <v>282</v>
      </c>
      <c r="F943" s="3">
        <v>0.52152999999816529</v>
      </c>
      <c r="G943" s="3">
        <v>0.52500000000145519</v>
      </c>
      <c r="H943" s="13">
        <f t="shared" si="24"/>
        <v>282.52152999999817</v>
      </c>
      <c r="I943" s="13">
        <f t="shared" si="25"/>
        <v>282.52500000000146</v>
      </c>
      <c r="J943" s="13">
        <f t="shared" si="26"/>
        <v>282.52326499999981</v>
      </c>
      <c r="K943" s="7">
        <v>43747.523264999996</v>
      </c>
      <c r="L943" s="4">
        <v>1018.7</v>
      </c>
      <c r="N943">
        <v>13.89</v>
      </c>
      <c r="Q943">
        <v>2.0273242445137298</v>
      </c>
      <c r="R943" s="6">
        <v>-3.3413474359342998E-5</v>
      </c>
    </row>
    <row r="944" spans="1:18" x14ac:dyDescent="0.2">
      <c r="A944" t="s">
        <v>5</v>
      </c>
      <c r="B944">
        <v>1</v>
      </c>
      <c r="C944" t="s">
        <v>4</v>
      </c>
      <c r="D944" s="2">
        <v>43747</v>
      </c>
      <c r="E944" s="11">
        <v>282</v>
      </c>
      <c r="F944" s="3">
        <v>0.55763999999908265</v>
      </c>
      <c r="G944" s="3">
        <v>0.56111000000237254</v>
      </c>
      <c r="H944" s="13">
        <f t="shared" si="24"/>
        <v>282.55763999999908</v>
      </c>
      <c r="I944" s="13">
        <f t="shared" si="25"/>
        <v>282.56111000000237</v>
      </c>
      <c r="J944" s="13">
        <f t="shared" si="26"/>
        <v>282.55937500000073</v>
      </c>
      <c r="K944" s="7">
        <v>43747.559374999997</v>
      </c>
      <c r="L944" s="4">
        <v>566.20000000000005</v>
      </c>
      <c r="M944">
        <v>17.899999999999999</v>
      </c>
      <c r="N944">
        <v>14.44</v>
      </c>
      <c r="P944">
        <v>0.2</v>
      </c>
      <c r="Q944">
        <v>3.08851405840106</v>
      </c>
      <c r="R944" s="6">
        <v>7.9264160332106301E-6</v>
      </c>
    </row>
    <row r="945" spans="1:18" x14ac:dyDescent="0.2">
      <c r="A945" t="s">
        <v>5</v>
      </c>
      <c r="B945">
        <v>1</v>
      </c>
      <c r="C945" t="s">
        <v>6</v>
      </c>
      <c r="D945" s="2">
        <v>43747</v>
      </c>
      <c r="E945" s="11">
        <v>282</v>
      </c>
      <c r="F945" s="3">
        <v>0.56388999999762746</v>
      </c>
      <c r="G945" s="3">
        <v>0.56736000000091735</v>
      </c>
      <c r="H945" s="13">
        <f t="shared" si="24"/>
        <v>282.56388999999763</v>
      </c>
      <c r="I945" s="13">
        <f t="shared" si="25"/>
        <v>282.56736000000092</v>
      </c>
      <c r="J945" s="13">
        <f t="shared" si="26"/>
        <v>282.56562499999927</v>
      </c>
      <c r="K945" s="7">
        <v>43747.565625000003</v>
      </c>
      <c r="L945" s="4">
        <v>508.7</v>
      </c>
      <c r="N945">
        <v>14.44</v>
      </c>
      <c r="Q945">
        <v>2.7363618850095701</v>
      </c>
      <c r="R945" s="6">
        <v>-5.1563052433334002E-5</v>
      </c>
    </row>
    <row r="946" spans="1:18" x14ac:dyDescent="0.2">
      <c r="A946" t="s">
        <v>5</v>
      </c>
      <c r="B946">
        <v>2</v>
      </c>
      <c r="C946" t="s">
        <v>4</v>
      </c>
      <c r="D946" s="2">
        <v>43747</v>
      </c>
      <c r="E946" s="11">
        <v>282</v>
      </c>
      <c r="F946" s="3">
        <v>0.57082999999693129</v>
      </c>
      <c r="G946" s="3">
        <v>0.57431000000360655</v>
      </c>
      <c r="H946" s="13">
        <f t="shared" si="24"/>
        <v>282.57082999999693</v>
      </c>
      <c r="I946" s="13">
        <f t="shared" si="25"/>
        <v>282.57431000000361</v>
      </c>
      <c r="J946" s="13">
        <f t="shared" si="26"/>
        <v>282.57257000000027</v>
      </c>
      <c r="K946" s="7">
        <v>43747.572570000004</v>
      </c>
      <c r="L946" s="4">
        <v>468.7</v>
      </c>
      <c r="M946">
        <v>18.899999999999999</v>
      </c>
      <c r="N946">
        <v>14.44</v>
      </c>
      <c r="P946">
        <v>0.17</v>
      </c>
      <c r="Q946">
        <v>2.1144236929266098</v>
      </c>
      <c r="R946" s="6">
        <v>3.5747646377187501E-5</v>
      </c>
    </row>
    <row r="947" spans="1:18" x14ac:dyDescent="0.2">
      <c r="A947" t="s">
        <v>5</v>
      </c>
      <c r="B947">
        <v>2</v>
      </c>
      <c r="C947" t="s">
        <v>6</v>
      </c>
      <c r="D947" s="2">
        <v>43747</v>
      </c>
      <c r="E947" s="11">
        <v>282</v>
      </c>
      <c r="F947" s="3">
        <v>0.57847000000037951</v>
      </c>
      <c r="G947" s="3">
        <v>0.58193999999639345</v>
      </c>
      <c r="H947" s="13">
        <f t="shared" si="24"/>
        <v>282.57847000000038</v>
      </c>
      <c r="I947" s="13">
        <f t="shared" si="25"/>
        <v>282.58193999999639</v>
      </c>
      <c r="J947" s="13">
        <f t="shared" si="26"/>
        <v>282.58020499999839</v>
      </c>
      <c r="K947" s="7">
        <v>43747.580204999998</v>
      </c>
      <c r="L947" s="4">
        <v>438.7</v>
      </c>
      <c r="N947">
        <v>14.44</v>
      </c>
      <c r="Q947">
        <v>2.1116868934145101</v>
      </c>
      <c r="R947" s="6">
        <v>-1.4476590361816001E-5</v>
      </c>
    </row>
    <row r="948" spans="1:18" x14ac:dyDescent="0.2">
      <c r="A948" t="s">
        <v>5</v>
      </c>
      <c r="B948">
        <v>4</v>
      </c>
      <c r="C948" t="s">
        <v>4</v>
      </c>
      <c r="D948" s="2">
        <v>43747</v>
      </c>
      <c r="E948" s="11">
        <v>282</v>
      </c>
      <c r="F948" s="3">
        <v>0.58542000000306871</v>
      </c>
      <c r="G948" s="3">
        <v>0.58888999999908265</v>
      </c>
      <c r="H948" s="13">
        <f t="shared" si="24"/>
        <v>282.58542000000307</v>
      </c>
      <c r="I948" s="13">
        <f t="shared" si="25"/>
        <v>282.58888999999908</v>
      </c>
      <c r="J948" s="13">
        <f t="shared" si="26"/>
        <v>282.58715500000108</v>
      </c>
      <c r="K948" s="7">
        <v>43747.587155000001</v>
      </c>
      <c r="L948" s="4">
        <v>506.2</v>
      </c>
      <c r="M948">
        <v>19.5</v>
      </c>
      <c r="N948">
        <v>14.44</v>
      </c>
      <c r="P948">
        <v>0.2</v>
      </c>
      <c r="Q948">
        <v>2.2829467920287199</v>
      </c>
      <c r="R948" s="6">
        <v>6.2862152098147007E-5</v>
      </c>
    </row>
    <row r="949" spans="1:18" x14ac:dyDescent="0.2">
      <c r="A949" t="s">
        <v>5</v>
      </c>
      <c r="B949">
        <v>4</v>
      </c>
      <c r="C949" t="s">
        <v>6</v>
      </c>
      <c r="D949" s="2">
        <v>43747</v>
      </c>
      <c r="E949" s="11">
        <v>282</v>
      </c>
      <c r="F949" s="3">
        <v>0.59236000000237254</v>
      </c>
      <c r="G949" s="3">
        <v>0.59582999999838648</v>
      </c>
      <c r="H949" s="13">
        <f t="shared" si="24"/>
        <v>282.59236000000237</v>
      </c>
      <c r="I949" s="13">
        <f t="shared" si="25"/>
        <v>282.59582999999839</v>
      </c>
      <c r="J949" s="13">
        <f t="shared" si="26"/>
        <v>282.59409500000038</v>
      </c>
      <c r="K949" s="7">
        <v>43747.594095</v>
      </c>
      <c r="L949" s="4">
        <v>531.20000000000005</v>
      </c>
      <c r="N949">
        <v>14.44</v>
      </c>
      <c r="Q949">
        <v>2.0540669719752498</v>
      </c>
      <c r="R949" s="6">
        <v>5.4036326362283402E-6</v>
      </c>
    </row>
    <row r="950" spans="1:18" x14ac:dyDescent="0.2">
      <c r="A950" t="s">
        <v>5</v>
      </c>
      <c r="B950">
        <v>5</v>
      </c>
      <c r="C950" t="s">
        <v>4</v>
      </c>
      <c r="D950" s="2">
        <v>43747</v>
      </c>
      <c r="E950" s="11">
        <v>282</v>
      </c>
      <c r="F950" s="3">
        <v>0.59930999999778578</v>
      </c>
      <c r="G950" s="3">
        <v>0.60278000000107568</v>
      </c>
      <c r="H950" s="13">
        <f t="shared" si="24"/>
        <v>282.59930999999779</v>
      </c>
      <c r="I950" s="13">
        <f t="shared" si="25"/>
        <v>282.60278000000108</v>
      </c>
      <c r="J950" s="13">
        <f t="shared" si="26"/>
        <v>282.60104499999943</v>
      </c>
      <c r="K950" s="7">
        <v>43747.601045000003</v>
      </c>
      <c r="L950" s="4">
        <v>603.70000000000005</v>
      </c>
      <c r="M950">
        <v>21.2</v>
      </c>
      <c r="N950">
        <v>15.56</v>
      </c>
      <c r="P950">
        <v>0.2</v>
      </c>
      <c r="Q950">
        <v>2.7955187067040099</v>
      </c>
      <c r="R950" s="6">
        <v>9.3526181661785504E-6</v>
      </c>
    </row>
    <row r="951" spans="1:18" x14ac:dyDescent="0.2">
      <c r="A951" t="s">
        <v>5</v>
      </c>
      <c r="B951">
        <v>5</v>
      </c>
      <c r="C951" t="s">
        <v>6</v>
      </c>
      <c r="D951" s="2">
        <v>43747</v>
      </c>
      <c r="E951" s="11">
        <v>282</v>
      </c>
      <c r="F951" s="3">
        <v>0.60624999999708962</v>
      </c>
      <c r="G951" s="3">
        <v>0.60972000000037951</v>
      </c>
      <c r="H951" s="13">
        <f t="shared" si="24"/>
        <v>282.60624999999709</v>
      </c>
      <c r="I951" s="13">
        <f t="shared" si="25"/>
        <v>282.60972000000038</v>
      </c>
      <c r="J951" s="13">
        <f t="shared" si="26"/>
        <v>282.60798499999873</v>
      </c>
      <c r="K951" s="7">
        <v>43747.607984999995</v>
      </c>
      <c r="L951" s="4">
        <v>523.70000000000005</v>
      </c>
      <c r="N951">
        <v>15.56</v>
      </c>
      <c r="Q951">
        <v>2.1688820250224801</v>
      </c>
      <c r="R951">
        <v>1.2745547099255101E-4</v>
      </c>
    </row>
    <row r="952" spans="1:18" x14ac:dyDescent="0.2">
      <c r="A952" t="s">
        <v>5</v>
      </c>
      <c r="B952">
        <v>1</v>
      </c>
      <c r="C952" t="s">
        <v>4</v>
      </c>
      <c r="D952" s="2">
        <v>43754</v>
      </c>
      <c r="E952" s="11">
        <v>289</v>
      </c>
      <c r="F952" s="3">
        <v>0.43471999999746913</v>
      </c>
      <c r="G952" s="3">
        <v>0.43819000000075903</v>
      </c>
      <c r="H952" s="13">
        <f t="shared" si="24"/>
        <v>289.43471999999747</v>
      </c>
      <c r="I952" s="13">
        <f t="shared" si="25"/>
        <v>289.43819000000076</v>
      </c>
      <c r="J952" s="13">
        <f t="shared" si="26"/>
        <v>289.43645499999911</v>
      </c>
      <c r="K952" s="7">
        <v>43754.436455000003</v>
      </c>
      <c r="L952" s="4">
        <v>688.7</v>
      </c>
      <c r="M952">
        <v>15.4</v>
      </c>
      <c r="N952">
        <v>12.22</v>
      </c>
      <c r="P952">
        <v>0.19</v>
      </c>
      <c r="Q952">
        <v>1.8772451621772199</v>
      </c>
      <c r="R952">
        <v>-1.81926286829702E-4</v>
      </c>
    </row>
    <row r="953" spans="1:18" x14ac:dyDescent="0.2">
      <c r="A953" t="s">
        <v>5</v>
      </c>
      <c r="B953">
        <v>1</v>
      </c>
      <c r="C953" t="s">
        <v>6</v>
      </c>
      <c r="D953" s="2">
        <v>43754</v>
      </c>
      <c r="E953" s="11">
        <v>289</v>
      </c>
      <c r="F953" s="3">
        <v>0.44028000000253087</v>
      </c>
      <c r="G953" s="3">
        <v>0.44374999999854481</v>
      </c>
      <c r="H953" s="13">
        <f t="shared" si="24"/>
        <v>289.44028000000253</v>
      </c>
      <c r="I953" s="13">
        <f t="shared" si="25"/>
        <v>289.44374999999854</v>
      </c>
      <c r="J953" s="13">
        <f t="shared" si="26"/>
        <v>289.44201500000054</v>
      </c>
      <c r="K953" s="7">
        <v>43754.442015000001</v>
      </c>
      <c r="L953" s="4">
        <v>551.20000000000005</v>
      </c>
      <c r="N953">
        <v>12.22</v>
      </c>
      <c r="Q953">
        <v>1.5949057878901101</v>
      </c>
      <c r="R953">
        <v>-1.09279860873472E-4</v>
      </c>
    </row>
    <row r="954" spans="1:18" x14ac:dyDescent="0.2">
      <c r="A954" t="s">
        <v>5</v>
      </c>
      <c r="B954">
        <v>2</v>
      </c>
      <c r="C954" t="s">
        <v>4</v>
      </c>
      <c r="D954" s="2">
        <v>43754</v>
      </c>
      <c r="E954" s="11">
        <v>289</v>
      </c>
      <c r="F954" s="3">
        <v>0.44653000000107568</v>
      </c>
      <c r="G954" s="3">
        <v>0.44999999999708962</v>
      </c>
      <c r="H954" s="13">
        <f t="shared" si="24"/>
        <v>289.44653000000108</v>
      </c>
      <c r="I954" s="13">
        <f t="shared" si="25"/>
        <v>289.44999999999709</v>
      </c>
      <c r="J954" s="13">
        <f t="shared" si="26"/>
        <v>289.44826499999908</v>
      </c>
      <c r="K954" s="7">
        <v>43754.448264999999</v>
      </c>
      <c r="L954" s="4">
        <v>251.2</v>
      </c>
      <c r="M954">
        <v>13.7</v>
      </c>
      <c r="N954">
        <v>12.22</v>
      </c>
      <c r="P954">
        <v>0.17</v>
      </c>
      <c r="Q954">
        <v>1.58861524373368</v>
      </c>
      <c r="R954">
        <v>-1.1803904438124E-4</v>
      </c>
    </row>
    <row r="955" spans="1:18" x14ac:dyDescent="0.2">
      <c r="A955" t="s">
        <v>5</v>
      </c>
      <c r="B955">
        <v>2</v>
      </c>
      <c r="C955" t="s">
        <v>6</v>
      </c>
      <c r="D955" s="2">
        <v>43754</v>
      </c>
      <c r="E955" s="11">
        <v>289</v>
      </c>
      <c r="F955" s="3">
        <v>0.45416999999724794</v>
      </c>
      <c r="G955" s="3">
        <v>0.45764000000053784</v>
      </c>
      <c r="H955" s="13">
        <f t="shared" ref="H955:H1018" si="27">E955+F955</f>
        <v>289.45416999999725</v>
      </c>
      <c r="I955" s="13">
        <f t="shared" ref="I955:I1018" si="28">E955+G955</f>
        <v>289.45764000000054</v>
      </c>
      <c r="J955" s="13">
        <f t="shared" ref="J955:J1018" si="29">AVERAGE(H955:I955)</f>
        <v>289.45590499999889</v>
      </c>
      <c r="K955" s="7">
        <v>43754.455904999995</v>
      </c>
      <c r="L955" s="4">
        <v>503.7</v>
      </c>
      <c r="N955">
        <v>12.22</v>
      </c>
      <c r="Q955">
        <v>0.91102612984286402</v>
      </c>
      <c r="R955">
        <v>-1.15759716533359E-4</v>
      </c>
    </row>
    <row r="956" spans="1:18" x14ac:dyDescent="0.2">
      <c r="A956" t="s">
        <v>5</v>
      </c>
      <c r="B956">
        <v>3</v>
      </c>
      <c r="C956" t="s">
        <v>4</v>
      </c>
      <c r="D956" s="2">
        <v>43754</v>
      </c>
      <c r="E956" s="11">
        <v>289</v>
      </c>
      <c r="F956" s="3">
        <v>0.46110999999655178</v>
      </c>
      <c r="G956" s="3">
        <v>0.4652799999967101</v>
      </c>
      <c r="H956" s="13">
        <f t="shared" si="27"/>
        <v>289.46110999999655</v>
      </c>
      <c r="I956" s="13">
        <f t="shared" si="28"/>
        <v>289.46527999999671</v>
      </c>
      <c r="J956" s="13">
        <f t="shared" si="29"/>
        <v>289.46319499999663</v>
      </c>
      <c r="K956" s="7">
        <v>43754.463194999997</v>
      </c>
      <c r="L956" s="4">
        <v>116.2</v>
      </c>
      <c r="M956">
        <v>14</v>
      </c>
      <c r="N956">
        <v>12.22</v>
      </c>
      <c r="P956">
        <v>0.18</v>
      </c>
      <c r="Q956">
        <v>1.7140384749559701</v>
      </c>
      <c r="R956">
        <v>-1.08585522663916E-4</v>
      </c>
    </row>
    <row r="957" spans="1:18" x14ac:dyDescent="0.2">
      <c r="A957" t="s">
        <v>5</v>
      </c>
      <c r="B957">
        <v>3</v>
      </c>
      <c r="C957" t="s">
        <v>6</v>
      </c>
      <c r="D957" s="2">
        <v>43754</v>
      </c>
      <c r="E957" s="11">
        <v>289</v>
      </c>
      <c r="F957" s="3">
        <v>0.47082999999838648</v>
      </c>
      <c r="G957" s="3">
        <v>0.47430999999778578</v>
      </c>
      <c r="H957" s="13">
        <f t="shared" si="27"/>
        <v>289.47082999999839</v>
      </c>
      <c r="I957" s="13">
        <f t="shared" si="28"/>
        <v>289.47430999999779</v>
      </c>
      <c r="J957" s="13">
        <f t="shared" si="29"/>
        <v>289.47256999999809</v>
      </c>
      <c r="K957" s="7">
        <v>43754.472569999998</v>
      </c>
      <c r="L957" s="4">
        <v>243.7</v>
      </c>
      <c r="N957">
        <v>12.22</v>
      </c>
      <c r="Q957">
        <v>1.4612496777374899</v>
      </c>
      <c r="R957">
        <v>-1.7507105992391501E-4</v>
      </c>
    </row>
    <row r="958" spans="1:18" x14ac:dyDescent="0.2">
      <c r="A958" t="s">
        <v>5</v>
      </c>
      <c r="B958">
        <v>4</v>
      </c>
      <c r="C958" t="s">
        <v>4</v>
      </c>
      <c r="D958" s="2">
        <v>43754</v>
      </c>
      <c r="E958" s="11">
        <v>289</v>
      </c>
      <c r="F958" s="3">
        <v>0.47916999999870313</v>
      </c>
      <c r="G958" s="3">
        <v>0.48264000000199303</v>
      </c>
      <c r="H958" s="13">
        <f t="shared" si="27"/>
        <v>289.4791699999987</v>
      </c>
      <c r="I958" s="13">
        <f t="shared" si="28"/>
        <v>289.48264000000199</v>
      </c>
      <c r="J958" s="13">
        <f t="shared" si="29"/>
        <v>289.48090500000035</v>
      </c>
      <c r="K958" s="7">
        <v>43754.480905000004</v>
      </c>
      <c r="L958" s="4">
        <v>868.7</v>
      </c>
      <c r="M958">
        <v>13.9</v>
      </c>
      <c r="N958">
        <v>12.22</v>
      </c>
      <c r="P958">
        <v>0.17</v>
      </c>
      <c r="Q958">
        <v>1.3862186320779399</v>
      </c>
      <c r="R958" s="6">
        <v>-3.74843786346221E-6</v>
      </c>
    </row>
    <row r="959" spans="1:18" x14ac:dyDescent="0.2">
      <c r="A959" t="s">
        <v>5</v>
      </c>
      <c r="B959">
        <v>4</v>
      </c>
      <c r="C959" t="s">
        <v>6</v>
      </c>
      <c r="D959" s="2">
        <v>43754</v>
      </c>
      <c r="E959" s="11">
        <v>289</v>
      </c>
      <c r="F959" s="3">
        <v>0.48576000000321073</v>
      </c>
      <c r="G959" s="3">
        <v>0.48924000000261003</v>
      </c>
      <c r="H959" s="13">
        <f t="shared" si="27"/>
        <v>289.48576000000321</v>
      </c>
      <c r="I959" s="13">
        <f t="shared" si="28"/>
        <v>289.48924000000261</v>
      </c>
      <c r="J959" s="13">
        <f t="shared" si="29"/>
        <v>289.48750000000291</v>
      </c>
      <c r="K959" s="7">
        <v>43754.487500000003</v>
      </c>
      <c r="L959" s="4">
        <v>683.7</v>
      </c>
      <c r="N959">
        <v>12.22</v>
      </c>
      <c r="Q959">
        <v>1.3427707763676699</v>
      </c>
      <c r="R959" s="6">
        <v>-9.4989967370461698E-5</v>
      </c>
    </row>
    <row r="960" spans="1:18" x14ac:dyDescent="0.2">
      <c r="A960" t="s">
        <v>5</v>
      </c>
      <c r="B960">
        <v>5</v>
      </c>
      <c r="C960" t="s">
        <v>4</v>
      </c>
      <c r="D960" s="2">
        <v>43754</v>
      </c>
      <c r="E960" s="11">
        <v>289</v>
      </c>
      <c r="F960" s="3">
        <v>0.49235999999655178</v>
      </c>
      <c r="G960" s="3">
        <v>0.49582999999984168</v>
      </c>
      <c r="H960" s="13">
        <f t="shared" si="27"/>
        <v>289.49235999999655</v>
      </c>
      <c r="I960" s="13">
        <f t="shared" si="28"/>
        <v>289.49582999999984</v>
      </c>
      <c r="J960" s="13">
        <f t="shared" si="29"/>
        <v>289.4940949999982</v>
      </c>
      <c r="K960" s="7">
        <v>43754.494095000002</v>
      </c>
      <c r="L960" s="4">
        <v>756.2</v>
      </c>
      <c r="M960">
        <v>16.100000000000001</v>
      </c>
      <c r="N960">
        <v>14.44</v>
      </c>
      <c r="P960">
        <v>0.18</v>
      </c>
      <c r="Q960">
        <v>1.90497139691797</v>
      </c>
      <c r="R960" s="6">
        <v>-4.4762593820810201E-5</v>
      </c>
    </row>
    <row r="961" spans="1:18" x14ac:dyDescent="0.2">
      <c r="A961" t="s">
        <v>5</v>
      </c>
      <c r="B961">
        <v>5</v>
      </c>
      <c r="C961" t="s">
        <v>6</v>
      </c>
      <c r="D961" s="2">
        <v>43754</v>
      </c>
      <c r="E961" s="11">
        <v>289</v>
      </c>
      <c r="F961" s="3">
        <v>0.50555999999778578</v>
      </c>
      <c r="G961" s="3">
        <v>0.50903000000107568</v>
      </c>
      <c r="H961" s="13">
        <f t="shared" si="27"/>
        <v>289.50555999999779</v>
      </c>
      <c r="I961" s="13">
        <f t="shared" si="28"/>
        <v>289.50903000000108</v>
      </c>
      <c r="J961" s="13">
        <f t="shared" si="29"/>
        <v>289.50729499999943</v>
      </c>
      <c r="K961" s="7">
        <v>43754.507295000003</v>
      </c>
      <c r="L961" s="4">
        <v>461.2</v>
      </c>
      <c r="N961">
        <v>14.44</v>
      </c>
      <c r="Q961">
        <v>1.76528277618704</v>
      </c>
      <c r="R961">
        <v>-1.00576369535749E-4</v>
      </c>
    </row>
    <row r="962" spans="1:18" x14ac:dyDescent="0.2">
      <c r="A962" t="s">
        <v>5</v>
      </c>
      <c r="B962">
        <v>1</v>
      </c>
      <c r="C962" t="s">
        <v>4</v>
      </c>
      <c r="D962" s="2">
        <v>43754</v>
      </c>
      <c r="E962" s="11">
        <v>289</v>
      </c>
      <c r="F962" s="3">
        <v>0.51943999999639345</v>
      </c>
      <c r="G962" s="3">
        <v>0.52292000000306871</v>
      </c>
      <c r="H962" s="13">
        <f t="shared" si="27"/>
        <v>289.51943999999639</v>
      </c>
      <c r="I962" s="13">
        <f t="shared" si="28"/>
        <v>289.52292000000307</v>
      </c>
      <c r="J962" s="13">
        <f t="shared" si="29"/>
        <v>289.52117999999973</v>
      </c>
      <c r="K962" s="7">
        <v>43754.521179999996</v>
      </c>
      <c r="L962" s="4">
        <v>296.2</v>
      </c>
      <c r="M962">
        <v>13.7</v>
      </c>
      <c r="N962">
        <v>20</v>
      </c>
      <c r="P962">
        <v>0.18</v>
      </c>
      <c r="Q962">
        <v>1.6428395501848401</v>
      </c>
      <c r="R962">
        <v>-1.3576859796179001E-4</v>
      </c>
    </row>
    <row r="963" spans="1:18" x14ac:dyDescent="0.2">
      <c r="A963" t="s">
        <v>5</v>
      </c>
      <c r="B963">
        <v>1</v>
      </c>
      <c r="C963" t="s">
        <v>6</v>
      </c>
      <c r="D963" s="2">
        <v>43754</v>
      </c>
      <c r="E963" s="11">
        <v>289</v>
      </c>
      <c r="F963" s="3">
        <v>0.52638999999908265</v>
      </c>
      <c r="G963" s="3">
        <v>0.52986000000237254</v>
      </c>
      <c r="H963" s="13">
        <f t="shared" si="27"/>
        <v>289.52638999999908</v>
      </c>
      <c r="I963" s="13">
        <f t="shared" si="28"/>
        <v>289.52986000000237</v>
      </c>
      <c r="J963" s="13">
        <f t="shared" si="29"/>
        <v>289.52812500000073</v>
      </c>
      <c r="K963" s="7">
        <v>43754.528124999997</v>
      </c>
      <c r="L963" s="4">
        <v>416.2</v>
      </c>
      <c r="N963">
        <v>20</v>
      </c>
      <c r="Q963">
        <v>1.66282339598369</v>
      </c>
      <c r="R963">
        <v>-1.1079109570186699E-4</v>
      </c>
    </row>
    <row r="964" spans="1:18" x14ac:dyDescent="0.2">
      <c r="A964" t="s">
        <v>5</v>
      </c>
      <c r="B964">
        <v>2</v>
      </c>
      <c r="C964" t="s">
        <v>4</v>
      </c>
      <c r="D964" s="2">
        <v>43754</v>
      </c>
      <c r="E964" s="11">
        <v>289</v>
      </c>
      <c r="F964" s="3">
        <v>0.53611000000091735</v>
      </c>
      <c r="G964" s="3">
        <v>0.53957999999693129</v>
      </c>
      <c r="H964" s="13">
        <f t="shared" si="27"/>
        <v>289.53611000000092</v>
      </c>
      <c r="I964" s="13">
        <f t="shared" si="28"/>
        <v>289.53957999999693</v>
      </c>
      <c r="J964" s="13">
        <f t="shared" si="29"/>
        <v>289.53784499999892</v>
      </c>
      <c r="K964" s="7">
        <v>43754.537844999999</v>
      </c>
      <c r="L964" s="4">
        <v>386.2</v>
      </c>
      <c r="M964">
        <v>13.7</v>
      </c>
      <c r="N964">
        <v>20</v>
      </c>
      <c r="P964">
        <v>0.17</v>
      </c>
      <c r="Q964">
        <v>1.1210262303637999</v>
      </c>
      <c r="R964" s="6">
        <v>-7.6433986299856096E-5</v>
      </c>
    </row>
    <row r="965" spans="1:18" x14ac:dyDescent="0.2">
      <c r="A965" t="s">
        <v>5</v>
      </c>
      <c r="B965">
        <v>2</v>
      </c>
      <c r="C965" t="s">
        <v>6</v>
      </c>
      <c r="D965" s="2">
        <v>43754</v>
      </c>
      <c r="E965" s="11">
        <v>289</v>
      </c>
      <c r="F965" s="3">
        <v>0.54306000000360655</v>
      </c>
      <c r="G965" s="3">
        <v>0.54652999999962049</v>
      </c>
      <c r="H965" s="13">
        <f t="shared" si="27"/>
        <v>289.54306000000361</v>
      </c>
      <c r="I965" s="13">
        <f t="shared" si="28"/>
        <v>289.54652999999962</v>
      </c>
      <c r="J965" s="13">
        <f t="shared" si="29"/>
        <v>289.54479500000161</v>
      </c>
      <c r="K965" s="7">
        <v>43754.544795000002</v>
      </c>
      <c r="L965" s="4">
        <v>431.2</v>
      </c>
      <c r="N965">
        <v>20</v>
      </c>
      <c r="Q965">
        <v>0.97619292100260902</v>
      </c>
      <c r="R965">
        <v>-1.0064590018357199E-4</v>
      </c>
    </row>
    <row r="966" spans="1:18" x14ac:dyDescent="0.2">
      <c r="A966" t="s">
        <v>5</v>
      </c>
      <c r="B966">
        <v>3</v>
      </c>
      <c r="C966" t="s">
        <v>4</v>
      </c>
      <c r="D966" s="2">
        <v>43754</v>
      </c>
      <c r="E966" s="11">
        <v>289</v>
      </c>
      <c r="F966" s="3">
        <v>0.55000000000291038</v>
      </c>
      <c r="G966" s="3">
        <v>0.55346999999892432</v>
      </c>
      <c r="H966" s="13">
        <f t="shared" si="27"/>
        <v>289.55000000000291</v>
      </c>
      <c r="I966" s="13">
        <f t="shared" si="28"/>
        <v>289.55346999999892</v>
      </c>
      <c r="J966" s="13">
        <f t="shared" si="29"/>
        <v>289.55173500000092</v>
      </c>
      <c r="K966" s="7">
        <v>43754.551735000001</v>
      </c>
      <c r="L966" s="4">
        <v>333.7</v>
      </c>
      <c r="M966">
        <v>13.7</v>
      </c>
      <c r="N966">
        <v>20</v>
      </c>
      <c r="P966">
        <v>0.14000000000000001</v>
      </c>
      <c r="Q966">
        <v>1.39915631051807</v>
      </c>
      <c r="R966" s="6">
        <v>-8.1544362181616096E-5</v>
      </c>
    </row>
    <row r="967" spans="1:18" x14ac:dyDescent="0.2">
      <c r="A967" t="s">
        <v>5</v>
      </c>
      <c r="B967">
        <v>3</v>
      </c>
      <c r="C967" t="s">
        <v>6</v>
      </c>
      <c r="D967" s="2">
        <v>43754</v>
      </c>
      <c r="E967" s="11">
        <v>289</v>
      </c>
      <c r="F967" s="3">
        <v>0.55763999999908265</v>
      </c>
      <c r="G967" s="3">
        <v>0.56111000000237254</v>
      </c>
      <c r="H967" s="13">
        <f t="shared" si="27"/>
        <v>289.55763999999908</v>
      </c>
      <c r="I967" s="13">
        <f t="shared" si="28"/>
        <v>289.56111000000237</v>
      </c>
      <c r="J967" s="13">
        <f t="shared" si="29"/>
        <v>289.55937500000073</v>
      </c>
      <c r="K967" s="7">
        <v>43754.559374999997</v>
      </c>
      <c r="L967" s="4">
        <v>296.2</v>
      </c>
      <c r="N967">
        <v>20</v>
      </c>
      <c r="Q967">
        <v>1.3696204509557299</v>
      </c>
      <c r="R967">
        <v>-1.0647616869288999E-4</v>
      </c>
    </row>
    <row r="968" spans="1:18" x14ac:dyDescent="0.2">
      <c r="A968" t="s">
        <v>5</v>
      </c>
      <c r="B968">
        <v>4</v>
      </c>
      <c r="C968" t="s">
        <v>4</v>
      </c>
      <c r="D968" s="2">
        <v>43754</v>
      </c>
      <c r="E968" s="11">
        <v>289</v>
      </c>
      <c r="F968" s="3">
        <v>0.56528000000253087</v>
      </c>
      <c r="G968" s="3">
        <v>0.56874999999854481</v>
      </c>
      <c r="H968" s="13">
        <f t="shared" si="27"/>
        <v>289.56528000000253</v>
      </c>
      <c r="I968" s="13">
        <f t="shared" si="28"/>
        <v>289.56874999999854</v>
      </c>
      <c r="J968" s="13">
        <f t="shared" si="29"/>
        <v>289.56701500000054</v>
      </c>
      <c r="K968" s="7">
        <v>43754.567015000001</v>
      </c>
      <c r="L968" s="4">
        <v>251.2</v>
      </c>
      <c r="M968">
        <v>12.9</v>
      </c>
      <c r="N968">
        <v>20</v>
      </c>
      <c r="P968">
        <v>0.17</v>
      </c>
      <c r="Q968">
        <v>1.29243405822445</v>
      </c>
      <c r="R968" s="6">
        <v>-6.78333336765719E-5</v>
      </c>
    </row>
    <row r="969" spans="1:18" x14ac:dyDescent="0.2">
      <c r="A969" t="s">
        <v>5</v>
      </c>
      <c r="B969">
        <v>4</v>
      </c>
      <c r="C969" t="s">
        <v>6</v>
      </c>
      <c r="D969" s="2">
        <v>43754</v>
      </c>
      <c r="E969" s="11">
        <v>289</v>
      </c>
      <c r="F969" s="3">
        <v>0.57188000000314787</v>
      </c>
      <c r="G969" s="3">
        <v>0.57534999999916181</v>
      </c>
      <c r="H969" s="13">
        <f t="shared" si="27"/>
        <v>289.57188000000315</v>
      </c>
      <c r="I969" s="13">
        <f t="shared" si="28"/>
        <v>289.57534999999916</v>
      </c>
      <c r="J969" s="13">
        <f t="shared" si="29"/>
        <v>289.57361500000115</v>
      </c>
      <c r="K969" s="7">
        <v>43754.573615000001</v>
      </c>
      <c r="L969" s="4">
        <v>458.7</v>
      </c>
      <c r="N969">
        <v>20</v>
      </c>
      <c r="Q969">
        <v>1.2476840154430699</v>
      </c>
      <c r="R969" s="6">
        <v>-6.9981369393000298E-5</v>
      </c>
    </row>
    <row r="970" spans="1:18" x14ac:dyDescent="0.2">
      <c r="A970" t="s">
        <v>5</v>
      </c>
      <c r="B970">
        <v>5</v>
      </c>
      <c r="C970" t="s">
        <v>4</v>
      </c>
      <c r="D970" s="2">
        <v>43754</v>
      </c>
      <c r="E970" s="11">
        <v>289</v>
      </c>
      <c r="F970" s="3">
        <v>0.57847000000037951</v>
      </c>
      <c r="G970" s="3">
        <v>0.58193999999639345</v>
      </c>
      <c r="H970" s="13">
        <f t="shared" si="27"/>
        <v>289.57847000000038</v>
      </c>
      <c r="I970" s="13">
        <f t="shared" si="28"/>
        <v>289.58193999999639</v>
      </c>
      <c r="J970" s="13">
        <f t="shared" si="29"/>
        <v>289.58020499999839</v>
      </c>
      <c r="K970" s="7">
        <v>43754.580204999998</v>
      </c>
      <c r="L970" s="4">
        <v>201.2</v>
      </c>
      <c r="M970">
        <v>16.5</v>
      </c>
      <c r="N970">
        <v>19.440000000000001</v>
      </c>
      <c r="P970">
        <v>0.17</v>
      </c>
      <c r="Q970">
        <v>1.63083198165674</v>
      </c>
      <c r="R970" s="6">
        <v>-3.0023735888234599E-5</v>
      </c>
    </row>
    <row r="971" spans="1:18" x14ac:dyDescent="0.2">
      <c r="A971" t="s">
        <v>5</v>
      </c>
      <c r="B971">
        <v>5</v>
      </c>
      <c r="C971" t="s">
        <v>6</v>
      </c>
      <c r="D971" s="2">
        <v>43754</v>
      </c>
      <c r="E971" s="11">
        <v>289</v>
      </c>
      <c r="F971" s="3">
        <v>0.58681000000069616</v>
      </c>
      <c r="G971" s="3">
        <v>0.5902799999967101</v>
      </c>
      <c r="H971" s="13">
        <f t="shared" si="27"/>
        <v>289.5868100000007</v>
      </c>
      <c r="I971" s="13">
        <f t="shared" si="28"/>
        <v>289.59027999999671</v>
      </c>
      <c r="J971" s="13">
        <f t="shared" si="29"/>
        <v>289.5885449999987</v>
      </c>
      <c r="K971" s="7">
        <v>43754.588544999999</v>
      </c>
      <c r="L971" s="4">
        <v>176.2</v>
      </c>
      <c r="N971">
        <v>19.440000000000001</v>
      </c>
      <c r="Q971">
        <v>1.3861755780631899</v>
      </c>
      <c r="R971" s="6">
        <v>-5.8312140042247303E-5</v>
      </c>
    </row>
    <row r="972" spans="1:18" x14ac:dyDescent="0.2">
      <c r="A972" t="s">
        <v>5</v>
      </c>
      <c r="B972">
        <v>1</v>
      </c>
      <c r="C972" t="s">
        <v>4</v>
      </c>
      <c r="D972" s="2">
        <v>43762</v>
      </c>
      <c r="E972" s="11">
        <v>297</v>
      </c>
      <c r="F972" s="3">
        <v>0.63264000000344822</v>
      </c>
      <c r="G972" s="3">
        <v>0.63610999999946216</v>
      </c>
      <c r="H972" s="13">
        <f t="shared" si="27"/>
        <v>297.63264000000345</v>
      </c>
      <c r="I972" s="13">
        <f t="shared" si="28"/>
        <v>297.63610999999946</v>
      </c>
      <c r="J972" s="13">
        <f t="shared" si="29"/>
        <v>297.63437500000146</v>
      </c>
      <c r="K972" s="7">
        <v>43762.634375000001</v>
      </c>
      <c r="L972" s="4">
        <v>828.7</v>
      </c>
      <c r="M972">
        <v>15.6</v>
      </c>
      <c r="N972">
        <v>20.56</v>
      </c>
      <c r="P972">
        <v>0.17</v>
      </c>
      <c r="Q972">
        <v>2.38366757947328</v>
      </c>
      <c r="R972" s="6">
        <v>6.5099999999999997E-5</v>
      </c>
    </row>
    <row r="973" spans="1:18" x14ac:dyDescent="0.2">
      <c r="A973" t="s">
        <v>5</v>
      </c>
      <c r="B973">
        <v>1</v>
      </c>
      <c r="C973" t="s">
        <v>6</v>
      </c>
      <c r="D973" s="2">
        <v>43762</v>
      </c>
      <c r="E973" s="11">
        <v>297</v>
      </c>
      <c r="F973" s="3">
        <v>0.63818999999784864</v>
      </c>
      <c r="G973" s="3">
        <v>0.64166999999724794</v>
      </c>
      <c r="H973" s="13">
        <f t="shared" si="27"/>
        <v>297.63818999999785</v>
      </c>
      <c r="I973" s="13">
        <f t="shared" si="28"/>
        <v>297.64166999999725</v>
      </c>
      <c r="J973" s="13">
        <f t="shared" si="29"/>
        <v>297.63992999999755</v>
      </c>
      <c r="K973" s="7">
        <v>43762.639929999998</v>
      </c>
      <c r="L973" s="4">
        <v>791.2</v>
      </c>
      <c r="N973">
        <v>20.56</v>
      </c>
      <c r="Q973">
        <v>2.0263456685983701</v>
      </c>
      <c r="R973" s="6">
        <v>-2.2799999999999999E-5</v>
      </c>
    </row>
    <row r="974" spans="1:18" x14ac:dyDescent="0.2">
      <c r="A974" t="s">
        <v>5</v>
      </c>
      <c r="B974">
        <v>2</v>
      </c>
      <c r="C974" t="s">
        <v>4</v>
      </c>
      <c r="D974" s="2">
        <v>43762</v>
      </c>
      <c r="E974" s="11">
        <v>297</v>
      </c>
      <c r="F974" s="3">
        <v>0.64340000000083819</v>
      </c>
      <c r="G974" s="3">
        <v>0.64688000000023749</v>
      </c>
      <c r="H974" s="13">
        <f t="shared" si="27"/>
        <v>297.64340000000084</v>
      </c>
      <c r="I974" s="13">
        <f t="shared" si="28"/>
        <v>297.64688000000024</v>
      </c>
      <c r="J974" s="13">
        <f t="shared" si="29"/>
        <v>297.64514000000054</v>
      </c>
      <c r="K974" s="7">
        <v>43762.645140000001</v>
      </c>
      <c r="L974" s="4">
        <v>753.7</v>
      </c>
      <c r="M974">
        <v>19.7</v>
      </c>
      <c r="N974">
        <v>20.56</v>
      </c>
      <c r="P974">
        <v>0.17</v>
      </c>
      <c r="Q974">
        <v>1.68617387518856</v>
      </c>
      <c r="R974">
        <v>1.1589799999999999E-4</v>
      </c>
    </row>
    <row r="975" spans="1:18" x14ac:dyDescent="0.2">
      <c r="A975" t="s">
        <v>5</v>
      </c>
      <c r="B975">
        <v>2</v>
      </c>
      <c r="C975" t="s">
        <v>6</v>
      </c>
      <c r="D975" s="2">
        <v>43762</v>
      </c>
      <c r="E975" s="11">
        <v>297</v>
      </c>
      <c r="F975" s="3">
        <v>0.64895999999862397</v>
      </c>
      <c r="G975" s="3">
        <v>0.65243000000191387</v>
      </c>
      <c r="H975" s="13">
        <f t="shared" si="27"/>
        <v>297.64895999999862</v>
      </c>
      <c r="I975" s="13">
        <f t="shared" si="28"/>
        <v>297.65243000000191</v>
      </c>
      <c r="J975" s="13">
        <f t="shared" si="29"/>
        <v>297.65069500000027</v>
      </c>
      <c r="K975" s="7">
        <v>43762.650695000004</v>
      </c>
      <c r="L975" s="4">
        <v>713.7</v>
      </c>
      <c r="N975">
        <v>20.56</v>
      </c>
      <c r="Q975">
        <v>1.33616641237821</v>
      </c>
      <c r="R975" s="6">
        <v>-9.0099999999999995E-5</v>
      </c>
    </row>
    <row r="976" spans="1:18" x14ac:dyDescent="0.2">
      <c r="A976" t="s">
        <v>5</v>
      </c>
      <c r="B976">
        <v>3</v>
      </c>
      <c r="C976" t="s">
        <v>4</v>
      </c>
      <c r="D976" s="2">
        <v>43762</v>
      </c>
      <c r="E976" s="11">
        <v>297</v>
      </c>
      <c r="F976" s="3">
        <v>0.65486000000237254</v>
      </c>
      <c r="G976" s="3">
        <v>0.65832999999838648</v>
      </c>
      <c r="H976" s="13">
        <f t="shared" si="27"/>
        <v>297.65486000000237</v>
      </c>
      <c r="I976" s="13">
        <f t="shared" si="28"/>
        <v>297.65832999999839</v>
      </c>
      <c r="J976" s="13">
        <f t="shared" si="29"/>
        <v>297.65659500000038</v>
      </c>
      <c r="K976" s="7">
        <v>43762.656595</v>
      </c>
      <c r="L976" s="4">
        <v>668.7</v>
      </c>
      <c r="M976">
        <v>17.399999999999999</v>
      </c>
      <c r="N976">
        <v>20.56</v>
      </c>
      <c r="P976">
        <v>0.18</v>
      </c>
      <c r="Q976">
        <v>2.3692511878832598</v>
      </c>
      <c r="R976" s="6">
        <v>-7.3899999999999994E-5</v>
      </c>
    </row>
    <row r="977" spans="1:18" x14ac:dyDescent="0.2">
      <c r="A977" t="s">
        <v>5</v>
      </c>
      <c r="B977">
        <v>3</v>
      </c>
      <c r="C977" t="s">
        <v>6</v>
      </c>
      <c r="D977" s="2">
        <v>43762</v>
      </c>
      <c r="E977" s="11">
        <v>297</v>
      </c>
      <c r="F977" s="3">
        <v>0.66042000000015832</v>
      </c>
      <c r="G977" s="3">
        <v>0.66389000000344822</v>
      </c>
      <c r="H977" s="13">
        <f t="shared" si="27"/>
        <v>297.66042000000016</v>
      </c>
      <c r="I977" s="13">
        <f t="shared" si="28"/>
        <v>297.66389000000345</v>
      </c>
      <c r="J977" s="13">
        <f t="shared" si="29"/>
        <v>297.6621550000018</v>
      </c>
      <c r="K977" s="7">
        <v>43762.662154999998</v>
      </c>
      <c r="L977" s="4">
        <v>626.20000000000005</v>
      </c>
      <c r="N977">
        <v>20.56</v>
      </c>
      <c r="Q977">
        <v>2.0653065441662801</v>
      </c>
      <c r="R977" s="6">
        <v>-4.9299999999999999E-5</v>
      </c>
    </row>
    <row r="978" spans="1:18" x14ac:dyDescent="0.2">
      <c r="A978" t="s">
        <v>5</v>
      </c>
      <c r="B978">
        <v>4</v>
      </c>
      <c r="C978" t="s">
        <v>4</v>
      </c>
      <c r="D978" s="2">
        <v>43762</v>
      </c>
      <c r="E978" s="11">
        <v>297</v>
      </c>
      <c r="F978" s="3">
        <v>0.66666999999870313</v>
      </c>
      <c r="G978" s="3">
        <v>0.67014000000199303</v>
      </c>
      <c r="H978" s="13">
        <f t="shared" si="27"/>
        <v>297.6666699999987</v>
      </c>
      <c r="I978" s="13">
        <f t="shared" si="28"/>
        <v>297.67014000000199</v>
      </c>
      <c r="J978" s="13">
        <f t="shared" si="29"/>
        <v>297.66840500000035</v>
      </c>
      <c r="K978" s="7">
        <v>43762.668405000004</v>
      </c>
      <c r="L978" s="4">
        <v>563.70000000000005</v>
      </c>
      <c r="M978">
        <v>20.6</v>
      </c>
      <c r="N978">
        <v>20.56</v>
      </c>
      <c r="P978">
        <v>0.18</v>
      </c>
      <c r="Q978">
        <v>1.40011847609594</v>
      </c>
      <c r="R978" s="6">
        <v>6.0999999999999999E-5</v>
      </c>
    </row>
    <row r="979" spans="1:18" x14ac:dyDescent="0.2">
      <c r="A979" t="s">
        <v>5</v>
      </c>
      <c r="B979">
        <v>4</v>
      </c>
      <c r="C979" t="s">
        <v>6</v>
      </c>
      <c r="D979" s="2">
        <v>43762</v>
      </c>
      <c r="E979" s="11">
        <v>297</v>
      </c>
      <c r="F979" s="3">
        <v>0.67257000000245171</v>
      </c>
      <c r="G979" s="3">
        <v>0.67603999999846565</v>
      </c>
      <c r="H979" s="13">
        <f t="shared" si="27"/>
        <v>297.67257000000245</v>
      </c>
      <c r="I979" s="13">
        <f t="shared" si="28"/>
        <v>297.67603999999847</v>
      </c>
      <c r="J979" s="13">
        <f t="shared" si="29"/>
        <v>297.67430500000046</v>
      </c>
      <c r="K979" s="7">
        <v>43762.674305</v>
      </c>
      <c r="L979" s="4">
        <v>533.70000000000005</v>
      </c>
      <c r="N979">
        <v>20.56</v>
      </c>
      <c r="Q979">
        <v>1.52298687093617</v>
      </c>
      <c r="R979" s="6">
        <v>-3.2700000000000002E-5</v>
      </c>
    </row>
    <row r="980" spans="1:18" x14ac:dyDescent="0.2">
      <c r="A980" t="s">
        <v>5</v>
      </c>
      <c r="B980">
        <v>5</v>
      </c>
      <c r="C980" t="s">
        <v>4</v>
      </c>
      <c r="D980" s="2">
        <v>43762</v>
      </c>
      <c r="E980" s="11">
        <v>297</v>
      </c>
      <c r="F980" s="3">
        <v>0.67813000000023749</v>
      </c>
      <c r="G980" s="3">
        <v>0.68160000000352738</v>
      </c>
      <c r="H980" s="13">
        <f t="shared" si="27"/>
        <v>297.67813000000024</v>
      </c>
      <c r="I980" s="13">
        <f t="shared" si="28"/>
        <v>297.68160000000353</v>
      </c>
      <c r="J980" s="13">
        <f t="shared" si="29"/>
        <v>297.67986500000188</v>
      </c>
      <c r="K980" s="7">
        <v>43762.679864999998</v>
      </c>
      <c r="L980" s="4">
        <v>486.2</v>
      </c>
      <c r="M980">
        <v>20.2</v>
      </c>
      <c r="N980">
        <v>20</v>
      </c>
      <c r="P980">
        <v>0.17</v>
      </c>
      <c r="Q980">
        <v>1.7068901537302901</v>
      </c>
      <c r="R980" s="6">
        <v>1.2500000000000001E-5</v>
      </c>
    </row>
    <row r="981" spans="1:18" x14ac:dyDescent="0.2">
      <c r="A981" t="s">
        <v>5</v>
      </c>
      <c r="B981">
        <v>5</v>
      </c>
      <c r="C981" t="s">
        <v>6</v>
      </c>
      <c r="D981" s="2">
        <v>43762</v>
      </c>
      <c r="E981" s="11">
        <v>297</v>
      </c>
      <c r="F981" s="3">
        <v>0.6843799999987823</v>
      </c>
      <c r="G981" s="3">
        <v>0.68785000000207219</v>
      </c>
      <c r="H981" s="13">
        <f t="shared" si="27"/>
        <v>297.68437999999878</v>
      </c>
      <c r="I981" s="13">
        <f t="shared" si="28"/>
        <v>297.68785000000207</v>
      </c>
      <c r="J981" s="13">
        <f t="shared" si="29"/>
        <v>297.68611500000043</v>
      </c>
      <c r="K981" s="7">
        <v>43762.686115000004</v>
      </c>
      <c r="L981" s="4">
        <v>438.7</v>
      </c>
      <c r="N981">
        <v>20</v>
      </c>
      <c r="Q981">
        <v>1.59168545322191</v>
      </c>
      <c r="R981" s="6">
        <v>-4.1900000000000002E-5</v>
      </c>
    </row>
    <row r="982" spans="1:18" x14ac:dyDescent="0.2">
      <c r="A982" t="s">
        <v>5</v>
      </c>
      <c r="B982">
        <v>1</v>
      </c>
      <c r="C982" t="s">
        <v>4</v>
      </c>
      <c r="D982" s="2">
        <v>43762</v>
      </c>
      <c r="E982" s="11">
        <v>297</v>
      </c>
      <c r="F982" s="3">
        <v>0.70023000000219326</v>
      </c>
      <c r="G982" s="3">
        <v>0.7036999999982072</v>
      </c>
      <c r="H982" s="13">
        <f t="shared" si="27"/>
        <v>297.70023000000219</v>
      </c>
      <c r="I982" s="13">
        <f t="shared" si="28"/>
        <v>297.70369999999821</v>
      </c>
      <c r="J982" s="13">
        <f t="shared" si="29"/>
        <v>297.7019650000002</v>
      </c>
      <c r="K982" s="7">
        <v>43762.701965</v>
      </c>
      <c r="L982" s="4">
        <v>308.7</v>
      </c>
      <c r="M982">
        <v>14.6</v>
      </c>
      <c r="N982">
        <v>20</v>
      </c>
      <c r="P982">
        <v>0.17</v>
      </c>
      <c r="Q982">
        <v>2.0605727000812002</v>
      </c>
      <c r="R982" s="6">
        <v>-6.5044444814805699E-5</v>
      </c>
    </row>
    <row r="983" spans="1:18" x14ac:dyDescent="0.2">
      <c r="A983" t="s">
        <v>5</v>
      </c>
      <c r="B983">
        <v>1</v>
      </c>
      <c r="C983" t="s">
        <v>6</v>
      </c>
      <c r="D983" s="2">
        <v>43762</v>
      </c>
      <c r="E983" s="11">
        <v>297</v>
      </c>
      <c r="F983" s="3">
        <v>0.70521000000007916</v>
      </c>
      <c r="G983" s="3">
        <v>0.70868000000336906</v>
      </c>
      <c r="H983" s="13">
        <f t="shared" si="27"/>
        <v>297.70521000000008</v>
      </c>
      <c r="I983" s="13">
        <f t="shared" si="28"/>
        <v>297.70868000000337</v>
      </c>
      <c r="J983" s="13">
        <f t="shared" si="29"/>
        <v>297.70694500000172</v>
      </c>
      <c r="K983" s="7">
        <v>43762.706944999998</v>
      </c>
      <c r="L983" s="4">
        <v>266.2</v>
      </c>
      <c r="N983">
        <v>20</v>
      </c>
      <c r="Q983">
        <v>1.6521645736758199</v>
      </c>
      <c r="R983" s="6">
        <v>-2.2989067724420001E-5</v>
      </c>
    </row>
    <row r="984" spans="1:18" x14ac:dyDescent="0.2">
      <c r="A984" t="s">
        <v>5</v>
      </c>
      <c r="B984">
        <v>2</v>
      </c>
      <c r="C984" t="s">
        <v>4</v>
      </c>
      <c r="D984" s="2">
        <v>43762</v>
      </c>
      <c r="E984" s="11">
        <v>297</v>
      </c>
      <c r="F984" s="3">
        <v>0.71042000000306871</v>
      </c>
      <c r="G984" s="3">
        <v>0.71388999999908265</v>
      </c>
      <c r="H984" s="13">
        <f t="shared" si="27"/>
        <v>297.71042000000307</v>
      </c>
      <c r="I984" s="13">
        <f t="shared" si="28"/>
        <v>297.71388999999908</v>
      </c>
      <c r="J984" s="13">
        <f t="shared" si="29"/>
        <v>297.71215500000108</v>
      </c>
      <c r="K984" s="7">
        <v>43762.712155000001</v>
      </c>
      <c r="L984" s="4">
        <v>226.2</v>
      </c>
      <c r="M984">
        <v>19.100000000000001</v>
      </c>
      <c r="N984">
        <v>20</v>
      </c>
      <c r="P984">
        <v>0.16</v>
      </c>
      <c r="Q984">
        <v>1.15604355291854</v>
      </c>
      <c r="R984" s="6">
        <v>8.4516554325793799E-6</v>
      </c>
    </row>
    <row r="985" spans="1:18" x14ac:dyDescent="0.2">
      <c r="A985" t="s">
        <v>5</v>
      </c>
      <c r="B985">
        <v>2</v>
      </c>
      <c r="C985" t="s">
        <v>6</v>
      </c>
      <c r="D985" s="2">
        <v>43762</v>
      </c>
      <c r="E985" s="11">
        <v>297</v>
      </c>
      <c r="F985" s="3">
        <v>0.7156299999987823</v>
      </c>
      <c r="G985" s="3">
        <v>0.71910000000207219</v>
      </c>
      <c r="H985" s="13">
        <f t="shared" si="27"/>
        <v>297.71562999999878</v>
      </c>
      <c r="I985" s="13">
        <f t="shared" si="28"/>
        <v>297.71910000000207</v>
      </c>
      <c r="J985" s="13">
        <f t="shared" si="29"/>
        <v>297.71736500000043</v>
      </c>
      <c r="K985" s="7">
        <v>43762.717365000004</v>
      </c>
      <c r="L985" s="4">
        <v>181.2</v>
      </c>
      <c r="N985">
        <v>20</v>
      </c>
      <c r="Q985">
        <v>1.1281896736586901</v>
      </c>
      <c r="R985" s="6">
        <v>3.2230448327923297E-5</v>
      </c>
    </row>
    <row r="986" spans="1:18" x14ac:dyDescent="0.2">
      <c r="A986" t="s">
        <v>5</v>
      </c>
      <c r="B986">
        <v>3</v>
      </c>
      <c r="C986" t="s">
        <v>4</v>
      </c>
      <c r="D986" s="2">
        <v>43762</v>
      </c>
      <c r="E986" s="11">
        <v>297</v>
      </c>
      <c r="F986" s="3">
        <v>0.7218799999973271</v>
      </c>
      <c r="G986" s="3">
        <v>0.725350000000617</v>
      </c>
      <c r="H986" s="13">
        <f t="shared" si="27"/>
        <v>297.72187999999733</v>
      </c>
      <c r="I986" s="13">
        <f t="shared" si="28"/>
        <v>297.72535000000062</v>
      </c>
      <c r="J986" s="13">
        <f t="shared" si="29"/>
        <v>297.72361499999897</v>
      </c>
      <c r="K986" s="7">
        <v>43762.723614999995</v>
      </c>
      <c r="L986" s="4">
        <v>131.19999999999999</v>
      </c>
      <c r="M986">
        <v>17.2</v>
      </c>
      <c r="N986">
        <v>20</v>
      </c>
      <c r="P986">
        <v>0.16</v>
      </c>
      <c r="Q986">
        <v>1.7131338892549299</v>
      </c>
      <c r="R986" s="6">
        <v>-3.79668128518625E-6</v>
      </c>
    </row>
    <row r="987" spans="1:18" x14ac:dyDescent="0.2">
      <c r="A987" t="s">
        <v>5</v>
      </c>
      <c r="B987">
        <v>3</v>
      </c>
      <c r="C987" t="s">
        <v>6</v>
      </c>
      <c r="D987" s="2">
        <v>43762</v>
      </c>
      <c r="E987" s="11">
        <v>297</v>
      </c>
      <c r="F987" s="3">
        <v>0.72813000000314787</v>
      </c>
      <c r="G987" s="3">
        <v>0.73124999999708962</v>
      </c>
      <c r="H987" s="13">
        <f t="shared" si="27"/>
        <v>297.72813000000315</v>
      </c>
      <c r="I987" s="13">
        <f t="shared" si="28"/>
        <v>297.73124999999709</v>
      </c>
      <c r="J987" s="13">
        <f t="shared" si="29"/>
        <v>297.72969000000012</v>
      </c>
      <c r="K987" s="7">
        <v>43762.72969</v>
      </c>
      <c r="L987" s="4">
        <v>88.7</v>
      </c>
      <c r="N987">
        <v>20</v>
      </c>
      <c r="Q987">
        <v>1.5777434769007399</v>
      </c>
      <c r="R987" s="6">
        <v>2.6868589972208098E-5</v>
      </c>
    </row>
    <row r="988" spans="1:18" x14ac:dyDescent="0.2">
      <c r="A988" t="s">
        <v>5</v>
      </c>
      <c r="B988">
        <v>4</v>
      </c>
      <c r="C988" t="s">
        <v>4</v>
      </c>
      <c r="D988" s="2">
        <v>43762</v>
      </c>
      <c r="E988" s="11">
        <v>297</v>
      </c>
      <c r="F988" s="3">
        <v>0.73402999999962049</v>
      </c>
      <c r="G988" s="3">
        <v>0.73750000000291038</v>
      </c>
      <c r="H988" s="13">
        <f t="shared" si="27"/>
        <v>297.73402999999962</v>
      </c>
      <c r="I988" s="13">
        <f t="shared" si="28"/>
        <v>297.73750000000291</v>
      </c>
      <c r="J988" s="13">
        <f t="shared" si="29"/>
        <v>297.73576500000127</v>
      </c>
      <c r="K988" s="7">
        <v>43762.735765000005</v>
      </c>
      <c r="L988" s="4">
        <v>56.2</v>
      </c>
      <c r="M988">
        <v>20</v>
      </c>
      <c r="N988">
        <v>20</v>
      </c>
      <c r="P988">
        <v>0.16</v>
      </c>
      <c r="Q988">
        <v>1.20066078301944</v>
      </c>
      <c r="R988" s="6">
        <v>3.0076790507079498E-5</v>
      </c>
    </row>
    <row r="989" spans="1:18" x14ac:dyDescent="0.2">
      <c r="A989" t="s">
        <v>5</v>
      </c>
      <c r="B989">
        <v>4</v>
      </c>
      <c r="C989" t="s">
        <v>6</v>
      </c>
      <c r="D989" s="2">
        <v>43762</v>
      </c>
      <c r="E989" s="11">
        <v>297</v>
      </c>
      <c r="F989" s="3">
        <v>0.73958000000129687</v>
      </c>
      <c r="G989" s="3">
        <v>0.74306000000069616</v>
      </c>
      <c r="H989" s="13">
        <f t="shared" si="27"/>
        <v>297.7395800000013</v>
      </c>
      <c r="I989" s="13">
        <f t="shared" si="28"/>
        <v>297.7430600000007</v>
      </c>
      <c r="J989" s="13">
        <f t="shared" si="29"/>
        <v>297.741320000001</v>
      </c>
      <c r="K989" s="7">
        <v>43762.741320000001</v>
      </c>
      <c r="L989" s="4">
        <v>33.700000000000003</v>
      </c>
      <c r="N989">
        <v>20</v>
      </c>
      <c r="Q989">
        <v>1.2404430609796999</v>
      </c>
      <c r="R989" s="6">
        <v>-1.5102497100964799E-5</v>
      </c>
    </row>
    <row r="990" spans="1:18" x14ac:dyDescent="0.2">
      <c r="A990" t="s">
        <v>5</v>
      </c>
      <c r="B990">
        <v>5</v>
      </c>
      <c r="C990" t="s">
        <v>4</v>
      </c>
      <c r="D990" s="2">
        <v>43762</v>
      </c>
      <c r="E990" s="11">
        <v>297</v>
      </c>
      <c r="F990" s="3">
        <v>0.74513999999908265</v>
      </c>
      <c r="G990" s="3">
        <v>0.74861000000237254</v>
      </c>
      <c r="H990" s="13">
        <f t="shared" si="27"/>
        <v>297.74513999999908</v>
      </c>
      <c r="I990" s="13">
        <f t="shared" si="28"/>
        <v>297.74861000000237</v>
      </c>
      <c r="J990" s="13">
        <f t="shared" si="29"/>
        <v>297.74687500000073</v>
      </c>
      <c r="K990" s="7">
        <v>43762.746874999997</v>
      </c>
      <c r="L990" s="4">
        <v>16.2</v>
      </c>
      <c r="M990">
        <v>19.8</v>
      </c>
      <c r="N990">
        <v>19.440000000000001</v>
      </c>
      <c r="P990">
        <v>0.16</v>
      </c>
      <c r="Q990">
        <v>1.4026911184312001</v>
      </c>
      <c r="R990" s="6">
        <v>4.1974149035487403E-5</v>
      </c>
    </row>
    <row r="991" spans="1:18" x14ac:dyDescent="0.2">
      <c r="A991" t="s">
        <v>5</v>
      </c>
      <c r="B991">
        <v>5</v>
      </c>
      <c r="C991" t="s">
        <v>6</v>
      </c>
      <c r="D991" s="2">
        <v>43762</v>
      </c>
      <c r="E991" s="11">
        <v>297</v>
      </c>
      <c r="F991" s="3">
        <v>0.75069000000075903</v>
      </c>
      <c r="G991" s="3">
        <v>0.75417000000015832</v>
      </c>
      <c r="H991" s="13">
        <f t="shared" si="27"/>
        <v>297.75069000000076</v>
      </c>
      <c r="I991" s="13">
        <f t="shared" si="28"/>
        <v>297.75417000000016</v>
      </c>
      <c r="J991" s="13">
        <f t="shared" si="29"/>
        <v>297.75243000000046</v>
      </c>
      <c r="K991" s="7">
        <v>43762.75243</v>
      </c>
      <c r="L991" s="4">
        <v>1.2</v>
      </c>
      <c r="N991">
        <v>19.440000000000001</v>
      </c>
      <c r="Q991">
        <v>1.52703242440722</v>
      </c>
      <c r="R991" s="6">
        <v>-1.9142904842304501E-5</v>
      </c>
    </row>
    <row r="992" spans="1:18" x14ac:dyDescent="0.2">
      <c r="A992" t="s">
        <v>5</v>
      </c>
      <c r="B992">
        <v>1</v>
      </c>
      <c r="C992" t="s">
        <v>4</v>
      </c>
      <c r="D992" s="2">
        <v>43768</v>
      </c>
      <c r="E992" s="11">
        <v>303</v>
      </c>
      <c r="F992" s="3">
        <v>0.39860999999655178</v>
      </c>
      <c r="G992" s="3">
        <v>0.40207999999984168</v>
      </c>
      <c r="H992" s="13">
        <f t="shared" si="27"/>
        <v>303.39860999999655</v>
      </c>
      <c r="I992" s="13">
        <f t="shared" si="28"/>
        <v>303.40207999999984</v>
      </c>
      <c r="J992" s="13">
        <f t="shared" si="29"/>
        <v>303.4003449999982</v>
      </c>
      <c r="K992" s="7">
        <v>43768.400345000002</v>
      </c>
      <c r="L992" s="4">
        <v>278.7</v>
      </c>
      <c r="M992">
        <v>18</v>
      </c>
      <c r="N992">
        <v>13.89</v>
      </c>
      <c r="P992">
        <v>0.17</v>
      </c>
      <c r="Q992">
        <v>1.84367773359989</v>
      </c>
      <c r="R992" s="6">
        <v>5.0450111851712503E-5</v>
      </c>
    </row>
    <row r="993" spans="1:18" x14ac:dyDescent="0.2">
      <c r="A993" t="s">
        <v>5</v>
      </c>
      <c r="B993">
        <v>1</v>
      </c>
      <c r="C993" t="s">
        <v>6</v>
      </c>
      <c r="D993" s="2">
        <v>43768</v>
      </c>
      <c r="E993" s="11">
        <v>303</v>
      </c>
      <c r="F993" s="3">
        <v>0.40451000000030035</v>
      </c>
      <c r="G993" s="3">
        <v>0.40798999999969965</v>
      </c>
      <c r="H993" s="13">
        <f t="shared" si="27"/>
        <v>303.4045100000003</v>
      </c>
      <c r="I993" s="13">
        <f t="shared" si="28"/>
        <v>303.4079899999997</v>
      </c>
      <c r="J993" s="13">
        <f t="shared" si="29"/>
        <v>303.40625</v>
      </c>
      <c r="K993" s="7">
        <v>43768.40625</v>
      </c>
      <c r="L993" s="4">
        <v>303.7</v>
      </c>
      <c r="N993">
        <v>13.89</v>
      </c>
      <c r="Q993">
        <v>1.76240805145274</v>
      </c>
      <c r="R993" s="6">
        <v>-1.6130537006855999E-5</v>
      </c>
    </row>
    <row r="994" spans="1:18" x14ac:dyDescent="0.2">
      <c r="A994" t="s">
        <v>5</v>
      </c>
      <c r="B994">
        <v>2</v>
      </c>
      <c r="C994" t="s">
        <v>4</v>
      </c>
      <c r="D994" s="2">
        <v>43768</v>
      </c>
      <c r="E994" s="11">
        <v>303</v>
      </c>
      <c r="F994" s="3">
        <v>0.41111000000091735</v>
      </c>
      <c r="G994" s="3">
        <v>0.41457999999693129</v>
      </c>
      <c r="H994" s="13">
        <f t="shared" si="27"/>
        <v>303.41111000000092</v>
      </c>
      <c r="I994" s="13">
        <f t="shared" si="28"/>
        <v>303.41457999999693</v>
      </c>
      <c r="J994" s="13">
        <f t="shared" si="29"/>
        <v>303.41284499999892</v>
      </c>
      <c r="K994" s="7">
        <v>43768.412844999999</v>
      </c>
      <c r="L994" s="4">
        <v>298.7</v>
      </c>
      <c r="M994">
        <v>21</v>
      </c>
      <c r="N994">
        <v>13.89</v>
      </c>
      <c r="P994">
        <v>0.16</v>
      </c>
      <c r="Q994">
        <v>1.56686687223294</v>
      </c>
      <c r="R994" s="6">
        <v>-2.9031685465581499E-5</v>
      </c>
    </row>
    <row r="995" spans="1:18" x14ac:dyDescent="0.2">
      <c r="A995" t="s">
        <v>5</v>
      </c>
      <c r="B995">
        <v>2</v>
      </c>
      <c r="C995" t="s">
        <v>6</v>
      </c>
      <c r="D995" s="2">
        <v>43768</v>
      </c>
      <c r="E995" s="11">
        <v>303</v>
      </c>
      <c r="F995" s="3">
        <v>0.41666999999870313</v>
      </c>
      <c r="G995" s="3">
        <v>0.42014000000199303</v>
      </c>
      <c r="H995" s="13">
        <f t="shared" si="27"/>
        <v>303.4166699999987</v>
      </c>
      <c r="I995" s="13">
        <f t="shared" si="28"/>
        <v>303.42014000000199</v>
      </c>
      <c r="J995" s="13">
        <f t="shared" si="29"/>
        <v>303.41840500000035</v>
      </c>
      <c r="K995" s="7">
        <v>43768.418405000004</v>
      </c>
      <c r="L995" s="4">
        <v>386.2</v>
      </c>
      <c r="N995">
        <v>13.89</v>
      </c>
      <c r="Q995">
        <v>1.60081785328738</v>
      </c>
      <c r="R995" s="6">
        <v>-7.1264270102265804E-5</v>
      </c>
    </row>
    <row r="996" spans="1:18" x14ac:dyDescent="0.2">
      <c r="A996" t="s">
        <v>5</v>
      </c>
      <c r="B996">
        <v>3</v>
      </c>
      <c r="C996" t="s">
        <v>4</v>
      </c>
      <c r="D996" s="2">
        <v>43768</v>
      </c>
      <c r="E996" s="11">
        <v>303</v>
      </c>
      <c r="F996" s="3">
        <v>0.42257000000245171</v>
      </c>
      <c r="G996" s="3">
        <v>0.42603999999846565</v>
      </c>
      <c r="H996" s="13">
        <f t="shared" si="27"/>
        <v>303.42257000000245</v>
      </c>
      <c r="I996" s="13">
        <f t="shared" si="28"/>
        <v>303.42603999999847</v>
      </c>
      <c r="J996" s="13">
        <f t="shared" si="29"/>
        <v>303.42430500000046</v>
      </c>
      <c r="K996" s="7">
        <v>43768.424305</v>
      </c>
      <c r="L996" s="4">
        <v>508.7</v>
      </c>
      <c r="M996">
        <v>20.9</v>
      </c>
      <c r="N996">
        <v>13.89</v>
      </c>
      <c r="P996">
        <v>0.17</v>
      </c>
      <c r="Q996">
        <v>2.4947169529098701</v>
      </c>
      <c r="R996" s="6">
        <v>-7.7913856618816202E-5</v>
      </c>
    </row>
    <row r="997" spans="1:18" x14ac:dyDescent="0.2">
      <c r="A997" t="s">
        <v>5</v>
      </c>
      <c r="B997">
        <v>3</v>
      </c>
      <c r="C997" t="s">
        <v>6</v>
      </c>
      <c r="D997" s="2">
        <v>43768</v>
      </c>
      <c r="E997" s="11">
        <v>303</v>
      </c>
      <c r="F997" s="3">
        <v>0.42824000000109663</v>
      </c>
      <c r="G997" s="3">
        <v>0.43170999999711057</v>
      </c>
      <c r="H997" s="13">
        <f t="shared" si="27"/>
        <v>303.4282400000011</v>
      </c>
      <c r="I997" s="13">
        <f t="shared" si="28"/>
        <v>303.43170999999711</v>
      </c>
      <c r="J997" s="13">
        <f t="shared" si="29"/>
        <v>303.4299749999991</v>
      </c>
      <c r="K997" s="7">
        <v>43768.429974999999</v>
      </c>
      <c r="L997" s="4">
        <v>393.7</v>
      </c>
      <c r="N997">
        <v>13.89</v>
      </c>
      <c r="Q997">
        <v>2.13720758646333</v>
      </c>
      <c r="R997" s="6">
        <v>-8.8057604445248696E-5</v>
      </c>
    </row>
    <row r="998" spans="1:18" x14ac:dyDescent="0.2">
      <c r="A998" t="s">
        <v>5</v>
      </c>
      <c r="B998">
        <v>4</v>
      </c>
      <c r="C998" t="s">
        <v>4</v>
      </c>
      <c r="D998" s="2">
        <v>43768</v>
      </c>
      <c r="E998" s="11">
        <v>303</v>
      </c>
      <c r="F998" s="3">
        <v>0.4343799999987823</v>
      </c>
      <c r="G998" s="3">
        <v>0.43785000000207219</v>
      </c>
      <c r="H998" s="13">
        <f t="shared" si="27"/>
        <v>303.43437999999878</v>
      </c>
      <c r="I998" s="13">
        <f t="shared" si="28"/>
        <v>303.43785000000207</v>
      </c>
      <c r="J998" s="13">
        <f t="shared" si="29"/>
        <v>303.43611500000043</v>
      </c>
      <c r="K998" s="7">
        <v>43768.436115000004</v>
      </c>
      <c r="L998" s="4">
        <v>423.7</v>
      </c>
      <c r="M998">
        <v>21.5</v>
      </c>
      <c r="N998">
        <v>13.89</v>
      </c>
      <c r="P998">
        <v>0.15</v>
      </c>
      <c r="Q998">
        <v>1.90748414293996</v>
      </c>
      <c r="R998" s="6">
        <v>-2.0344368610475599E-5</v>
      </c>
    </row>
    <row r="999" spans="1:18" x14ac:dyDescent="0.2">
      <c r="A999" t="s">
        <v>5</v>
      </c>
      <c r="B999">
        <v>4</v>
      </c>
      <c r="C999" t="s">
        <v>6</v>
      </c>
      <c r="D999" s="2">
        <v>43768</v>
      </c>
      <c r="E999" s="11">
        <v>303</v>
      </c>
      <c r="F999" s="3">
        <v>0.43993000000045868</v>
      </c>
      <c r="G999" s="3">
        <v>0.44339999999647262</v>
      </c>
      <c r="H999" s="13">
        <f t="shared" si="27"/>
        <v>303.43993000000046</v>
      </c>
      <c r="I999" s="13">
        <f t="shared" si="28"/>
        <v>303.44339999999647</v>
      </c>
      <c r="J999" s="13">
        <f t="shared" si="29"/>
        <v>303.44166499999847</v>
      </c>
      <c r="K999" s="7">
        <v>43768.441664999998</v>
      </c>
      <c r="L999" s="4">
        <v>458.7</v>
      </c>
      <c r="N999">
        <v>13.89</v>
      </c>
      <c r="Q999">
        <v>1.2774395756360299</v>
      </c>
      <c r="R999" s="6">
        <v>-2.72754112643786E-5</v>
      </c>
    </row>
    <row r="1000" spans="1:18" x14ac:dyDescent="0.2">
      <c r="A1000" t="s">
        <v>5</v>
      </c>
      <c r="B1000">
        <v>5</v>
      </c>
      <c r="C1000" t="s">
        <v>4</v>
      </c>
      <c r="D1000" s="2">
        <v>43768</v>
      </c>
      <c r="E1000" s="11">
        <v>303</v>
      </c>
      <c r="F1000" s="3">
        <v>0.44705000000249129</v>
      </c>
      <c r="G1000" s="3">
        <v>0.45051999999850523</v>
      </c>
      <c r="H1000" s="13">
        <f t="shared" si="27"/>
        <v>303.44705000000249</v>
      </c>
      <c r="I1000" s="13">
        <f t="shared" si="28"/>
        <v>303.45051999999851</v>
      </c>
      <c r="J1000" s="13">
        <f t="shared" si="29"/>
        <v>303.4487850000005</v>
      </c>
      <c r="K1000" s="7">
        <v>43768.448785</v>
      </c>
      <c r="L1000" s="4">
        <v>511.2</v>
      </c>
      <c r="M1000">
        <v>20.8</v>
      </c>
      <c r="N1000">
        <v>15.56</v>
      </c>
      <c r="P1000">
        <v>0.18</v>
      </c>
      <c r="Q1000">
        <v>1.6107045141066101</v>
      </c>
      <c r="R1000" s="6">
        <v>5.2055434131796999E-6</v>
      </c>
    </row>
    <row r="1001" spans="1:18" x14ac:dyDescent="0.2">
      <c r="A1001" t="s">
        <v>5</v>
      </c>
      <c r="B1001">
        <v>5</v>
      </c>
      <c r="C1001" t="s">
        <v>6</v>
      </c>
      <c r="D1001" s="2">
        <v>43768</v>
      </c>
      <c r="E1001" s="11">
        <v>303</v>
      </c>
      <c r="F1001" s="3">
        <v>0.45277999999962049</v>
      </c>
      <c r="G1001" s="3">
        <v>0.45625000000291038</v>
      </c>
      <c r="H1001" s="13">
        <f t="shared" si="27"/>
        <v>303.45277999999962</v>
      </c>
      <c r="I1001" s="13">
        <f t="shared" si="28"/>
        <v>303.45625000000291</v>
      </c>
      <c r="J1001" s="13">
        <f t="shared" si="29"/>
        <v>303.45451500000127</v>
      </c>
      <c r="K1001" s="7">
        <v>43768.454515000005</v>
      </c>
      <c r="L1001" s="4">
        <v>556.20000000000005</v>
      </c>
      <c r="N1001">
        <v>15.56</v>
      </c>
      <c r="Q1001">
        <v>1.2878762763990701</v>
      </c>
      <c r="R1001" s="6">
        <v>-1.7321530194471499E-5</v>
      </c>
    </row>
    <row r="1002" spans="1:18" x14ac:dyDescent="0.2">
      <c r="A1002" t="s">
        <v>5</v>
      </c>
      <c r="B1002">
        <v>1</v>
      </c>
      <c r="C1002" t="s">
        <v>4</v>
      </c>
      <c r="D1002" s="2">
        <v>43768</v>
      </c>
      <c r="E1002" s="11">
        <v>303</v>
      </c>
      <c r="F1002" s="3">
        <v>0.47568999999930384</v>
      </c>
      <c r="G1002" s="3">
        <v>0.47916999999870313</v>
      </c>
      <c r="H1002" s="13">
        <f t="shared" si="27"/>
        <v>303.4756899999993</v>
      </c>
      <c r="I1002" s="13">
        <f t="shared" si="28"/>
        <v>303.4791699999987</v>
      </c>
      <c r="J1002" s="13">
        <f t="shared" si="29"/>
        <v>303.477429999999</v>
      </c>
      <c r="K1002" s="7">
        <v>43768.477429999999</v>
      </c>
      <c r="L1002" s="4">
        <v>498.7</v>
      </c>
      <c r="M1002">
        <v>19.7</v>
      </c>
      <c r="N1002">
        <v>15.56</v>
      </c>
      <c r="P1002">
        <v>0.17</v>
      </c>
      <c r="Q1002">
        <v>1.78894633596663</v>
      </c>
      <c r="R1002" s="6">
        <v>-1.8078148212885299E-5</v>
      </c>
    </row>
    <row r="1003" spans="1:18" x14ac:dyDescent="0.2">
      <c r="A1003" t="s">
        <v>5</v>
      </c>
      <c r="B1003">
        <v>1</v>
      </c>
      <c r="C1003" t="s">
        <v>6</v>
      </c>
      <c r="D1003" s="2">
        <v>43768</v>
      </c>
      <c r="E1003" s="11">
        <v>303</v>
      </c>
      <c r="F1003" s="3">
        <v>0.48159999999916181</v>
      </c>
      <c r="G1003" s="3">
        <v>0.48507000000245171</v>
      </c>
      <c r="H1003" s="13">
        <f t="shared" si="27"/>
        <v>303.48159999999916</v>
      </c>
      <c r="I1003" s="13">
        <f t="shared" si="28"/>
        <v>303.48507000000245</v>
      </c>
      <c r="J1003" s="13">
        <f t="shared" si="29"/>
        <v>303.48333500000081</v>
      </c>
      <c r="K1003" s="7">
        <v>43768.483334999997</v>
      </c>
      <c r="L1003" s="4">
        <v>791.2</v>
      </c>
      <c r="N1003">
        <v>15.56</v>
      </c>
      <c r="Q1003">
        <v>1.53378520984447</v>
      </c>
      <c r="R1003" s="6">
        <v>3.37769392332136E-5</v>
      </c>
    </row>
    <row r="1004" spans="1:18" x14ac:dyDescent="0.2">
      <c r="A1004" t="s">
        <v>5</v>
      </c>
      <c r="B1004">
        <v>2</v>
      </c>
      <c r="C1004" t="s">
        <v>4</v>
      </c>
      <c r="D1004" s="2">
        <v>43768</v>
      </c>
      <c r="E1004" s="11">
        <v>303</v>
      </c>
      <c r="F1004" s="3">
        <v>0.48818999999639345</v>
      </c>
      <c r="G1004" s="3">
        <v>0.49167000000306871</v>
      </c>
      <c r="H1004" s="13">
        <f t="shared" si="27"/>
        <v>303.48818999999639</v>
      </c>
      <c r="I1004" s="13">
        <f t="shared" si="28"/>
        <v>303.49167000000307</v>
      </c>
      <c r="J1004" s="13">
        <f t="shared" si="29"/>
        <v>303.48992999999973</v>
      </c>
      <c r="K1004" s="7">
        <v>43768.489929999996</v>
      </c>
      <c r="L1004" s="4">
        <v>606.20000000000005</v>
      </c>
      <c r="M1004">
        <v>19.600000000000001</v>
      </c>
      <c r="N1004">
        <v>15.56</v>
      </c>
      <c r="P1004">
        <v>0.14000000000000001</v>
      </c>
      <c r="Q1004">
        <v>1.84681964806293</v>
      </c>
      <c r="R1004" s="6">
        <v>-1.8314027769991799E-5</v>
      </c>
    </row>
    <row r="1005" spans="1:18" x14ac:dyDescent="0.2">
      <c r="A1005" t="s">
        <v>5</v>
      </c>
      <c r="B1005">
        <v>2</v>
      </c>
      <c r="C1005" t="s">
        <v>6</v>
      </c>
      <c r="D1005" s="2">
        <v>43768</v>
      </c>
      <c r="E1005" s="11">
        <v>303</v>
      </c>
      <c r="F1005" s="3">
        <v>0.49478999999701045</v>
      </c>
      <c r="G1005" s="3">
        <v>0.49826000000030035</v>
      </c>
      <c r="H1005" s="13">
        <f t="shared" si="27"/>
        <v>303.49478999999701</v>
      </c>
      <c r="I1005" s="13">
        <f t="shared" si="28"/>
        <v>303.4982600000003</v>
      </c>
      <c r="J1005" s="13">
        <f t="shared" si="29"/>
        <v>303.49652499999866</v>
      </c>
      <c r="K1005" s="7">
        <v>43768.496524999995</v>
      </c>
      <c r="L1005" s="4">
        <v>403.7</v>
      </c>
      <c r="N1005">
        <v>15.56</v>
      </c>
      <c r="Q1005">
        <v>1.5109315288627201</v>
      </c>
      <c r="R1005" s="6">
        <v>-2.9874139243360198E-5</v>
      </c>
    </row>
    <row r="1006" spans="1:18" x14ac:dyDescent="0.2">
      <c r="A1006" t="s">
        <v>5</v>
      </c>
      <c r="B1006">
        <v>3</v>
      </c>
      <c r="C1006" t="s">
        <v>4</v>
      </c>
      <c r="D1006" s="2">
        <v>43768</v>
      </c>
      <c r="E1006" s="11">
        <v>303</v>
      </c>
      <c r="F1006" s="3">
        <v>0.50069000000075903</v>
      </c>
      <c r="G1006" s="3">
        <v>0.50417000000015832</v>
      </c>
      <c r="H1006" s="13">
        <f t="shared" si="27"/>
        <v>303.50069000000076</v>
      </c>
      <c r="I1006" s="13">
        <f t="shared" si="28"/>
        <v>303.50417000000016</v>
      </c>
      <c r="J1006" s="13">
        <f t="shared" si="29"/>
        <v>303.50243000000046</v>
      </c>
      <c r="K1006" s="7">
        <v>43768.50243</v>
      </c>
      <c r="L1006" s="4">
        <v>381.2</v>
      </c>
      <c r="M1006">
        <v>21.1</v>
      </c>
      <c r="N1006">
        <v>15.56</v>
      </c>
      <c r="P1006">
        <v>0.16</v>
      </c>
      <c r="Q1006">
        <v>2.4525037918666301</v>
      </c>
      <c r="R1006" s="6">
        <v>-3.8226560761543499E-5</v>
      </c>
    </row>
    <row r="1007" spans="1:18" x14ac:dyDescent="0.2">
      <c r="A1007" t="s">
        <v>5</v>
      </c>
      <c r="B1007">
        <v>3</v>
      </c>
      <c r="C1007" t="s">
        <v>6</v>
      </c>
      <c r="D1007" s="2">
        <v>43768</v>
      </c>
      <c r="E1007" s="11">
        <v>303</v>
      </c>
      <c r="F1007" s="3">
        <v>0.50624999999854481</v>
      </c>
      <c r="G1007" s="3">
        <v>0.50972000000183471</v>
      </c>
      <c r="H1007" s="13">
        <f t="shared" si="27"/>
        <v>303.50624999999854</v>
      </c>
      <c r="I1007" s="13">
        <f t="shared" si="28"/>
        <v>303.50972000000183</v>
      </c>
      <c r="J1007" s="13">
        <f t="shared" si="29"/>
        <v>303.50798500000019</v>
      </c>
      <c r="K1007" s="7">
        <v>43768.507985000004</v>
      </c>
      <c r="L1007" s="4">
        <v>361.2</v>
      </c>
      <c r="N1007">
        <v>15.56</v>
      </c>
      <c r="Q1007">
        <v>2.72336121189185</v>
      </c>
      <c r="R1007">
        <v>-1.5607768085813099E-4</v>
      </c>
    </row>
    <row r="1008" spans="1:18" x14ac:dyDescent="0.2">
      <c r="A1008" t="s">
        <v>5</v>
      </c>
      <c r="B1008">
        <v>4</v>
      </c>
      <c r="C1008" t="s">
        <v>4</v>
      </c>
      <c r="D1008" s="2">
        <v>43768</v>
      </c>
      <c r="E1008" s="11">
        <v>303</v>
      </c>
      <c r="F1008" s="3">
        <v>0.51249999999708962</v>
      </c>
      <c r="G1008" s="3">
        <v>0.51597000000037951</v>
      </c>
      <c r="H1008" s="13">
        <f t="shared" si="27"/>
        <v>303.51249999999709</v>
      </c>
      <c r="I1008" s="13">
        <f t="shared" si="28"/>
        <v>303.51597000000038</v>
      </c>
      <c r="J1008" s="13">
        <f t="shared" si="29"/>
        <v>303.51423499999873</v>
      </c>
      <c r="K1008" s="7">
        <v>43768.514234999995</v>
      </c>
      <c r="L1008" s="4">
        <v>363.7</v>
      </c>
      <c r="M1008">
        <v>24.4</v>
      </c>
      <c r="N1008">
        <v>15.56</v>
      </c>
      <c r="P1008">
        <v>0.16</v>
      </c>
      <c r="Q1008">
        <v>1.3886943379965899</v>
      </c>
      <c r="R1008" s="6">
        <v>8.5599200603249295E-5</v>
      </c>
    </row>
    <row r="1009" spans="1:18" x14ac:dyDescent="0.2">
      <c r="A1009" t="s">
        <v>5</v>
      </c>
      <c r="B1009">
        <v>4</v>
      </c>
      <c r="C1009" t="s">
        <v>6</v>
      </c>
      <c r="D1009" s="2">
        <v>43768</v>
      </c>
      <c r="E1009" s="11">
        <v>303</v>
      </c>
      <c r="F1009" s="3">
        <v>0.5255200000028708</v>
      </c>
      <c r="G1009" s="3">
        <v>0.52898999999888474</v>
      </c>
      <c r="H1009" s="13">
        <f t="shared" si="27"/>
        <v>303.52552000000287</v>
      </c>
      <c r="I1009" s="13">
        <f t="shared" si="28"/>
        <v>303.52898999999888</v>
      </c>
      <c r="J1009" s="13">
        <f t="shared" si="29"/>
        <v>303.52725500000088</v>
      </c>
      <c r="K1009" s="7">
        <v>43768.527255000001</v>
      </c>
      <c r="L1009" s="4">
        <v>321.2</v>
      </c>
      <c r="N1009">
        <v>15.56</v>
      </c>
      <c r="Q1009">
        <v>1.5369946324141599</v>
      </c>
      <c r="R1009" s="6">
        <v>4.48801331787017E-5</v>
      </c>
    </row>
    <row r="1010" spans="1:18" x14ac:dyDescent="0.2">
      <c r="A1010" t="s">
        <v>5</v>
      </c>
      <c r="B1010">
        <v>5</v>
      </c>
      <c r="C1010" t="s">
        <v>4</v>
      </c>
      <c r="D1010" s="2">
        <v>43768</v>
      </c>
      <c r="E1010" s="11">
        <v>303</v>
      </c>
      <c r="F1010" s="3">
        <v>0.5255200000028708</v>
      </c>
      <c r="G1010" s="3">
        <v>0.52898999999888474</v>
      </c>
      <c r="H1010" s="13">
        <f t="shared" si="27"/>
        <v>303.52552000000287</v>
      </c>
      <c r="I1010" s="13">
        <f t="shared" si="28"/>
        <v>303.52898999999888</v>
      </c>
      <c r="J1010" s="13">
        <f t="shared" si="29"/>
        <v>303.52725500000088</v>
      </c>
      <c r="K1010" s="7">
        <v>43768.527255000001</v>
      </c>
      <c r="L1010" s="4">
        <v>321.2</v>
      </c>
      <c r="M1010">
        <v>19.8</v>
      </c>
      <c r="N1010">
        <v>15.56</v>
      </c>
      <c r="P1010">
        <v>0.17</v>
      </c>
      <c r="Q1010">
        <v>1.5369946324141599</v>
      </c>
      <c r="R1010" s="6">
        <v>4.48801331787017E-5</v>
      </c>
    </row>
    <row r="1011" spans="1:18" x14ac:dyDescent="0.2">
      <c r="A1011" t="s">
        <v>5</v>
      </c>
      <c r="B1011">
        <v>5</v>
      </c>
      <c r="C1011" t="s">
        <v>6</v>
      </c>
      <c r="D1011" s="2">
        <v>43768</v>
      </c>
      <c r="E1011" s="11">
        <v>303</v>
      </c>
      <c r="F1011" s="3">
        <v>0.53263999999762746</v>
      </c>
      <c r="G1011" s="3">
        <v>0.53611000000091735</v>
      </c>
      <c r="H1011" s="13">
        <f t="shared" si="27"/>
        <v>303.53263999999763</v>
      </c>
      <c r="I1011" s="13">
        <f t="shared" si="28"/>
        <v>303.53611000000092</v>
      </c>
      <c r="J1011" s="13">
        <f t="shared" si="29"/>
        <v>303.53437499999927</v>
      </c>
      <c r="K1011" s="7">
        <v>43768.534375000003</v>
      </c>
      <c r="L1011" s="4">
        <v>291.2</v>
      </c>
      <c r="N1011">
        <v>15.56</v>
      </c>
      <c r="Q1011">
        <v>1.3476180904130699</v>
      </c>
      <c r="R1011" s="6">
        <v>8.4036687239836795E-6</v>
      </c>
    </row>
    <row r="1012" spans="1:18" x14ac:dyDescent="0.2">
      <c r="A1012" t="s">
        <v>8</v>
      </c>
      <c r="B1012">
        <v>1</v>
      </c>
      <c r="C1012" t="s">
        <v>2</v>
      </c>
      <c r="D1012" s="2">
        <v>43572</v>
      </c>
      <c r="E1012" s="11">
        <v>107</v>
      </c>
      <c r="F1012" s="3">
        <v>0.47022999999899184</v>
      </c>
      <c r="G1012" s="3">
        <v>0.47370000000228174</v>
      </c>
      <c r="H1012" s="13">
        <f t="shared" si="27"/>
        <v>107.47022999999899</v>
      </c>
      <c r="I1012" s="13">
        <f t="shared" si="28"/>
        <v>107.47370000000228</v>
      </c>
      <c r="J1012" s="13">
        <f t="shared" si="29"/>
        <v>107.47196500000064</v>
      </c>
      <c r="K1012" s="7">
        <v>43572.471965000004</v>
      </c>
      <c r="L1012" s="4">
        <v>1611.2</v>
      </c>
      <c r="M1012">
        <v>15.1</v>
      </c>
      <c r="N1012">
        <v>11.66</v>
      </c>
      <c r="Q1012">
        <v>1.4279731899960799</v>
      </c>
      <c r="R1012">
        <v>1.1363312124703899E-4</v>
      </c>
    </row>
    <row r="1013" spans="1:18" x14ac:dyDescent="0.2">
      <c r="A1013" t="s">
        <v>8</v>
      </c>
      <c r="B1013">
        <v>1</v>
      </c>
      <c r="C1013" t="s">
        <v>6</v>
      </c>
      <c r="D1013" s="2">
        <v>43572</v>
      </c>
      <c r="E1013" s="11">
        <v>107</v>
      </c>
      <c r="F1013" s="3">
        <v>0.4750899999999092</v>
      </c>
      <c r="G1013" s="3">
        <v>0.47856000000319909</v>
      </c>
      <c r="H1013" s="13">
        <f t="shared" si="27"/>
        <v>107.47508999999991</v>
      </c>
      <c r="I1013" s="13">
        <f t="shared" si="28"/>
        <v>107.4785600000032</v>
      </c>
      <c r="J1013" s="13">
        <f t="shared" si="29"/>
        <v>107.47682500000155</v>
      </c>
      <c r="K1013" s="7">
        <v>43572.476825000005</v>
      </c>
      <c r="L1013" s="4">
        <v>1636.2</v>
      </c>
      <c r="N1013">
        <v>11.66</v>
      </c>
      <c r="Q1013">
        <v>1.98259157482675</v>
      </c>
      <c r="R1013" s="6">
        <v>2.8497492823910199E-5</v>
      </c>
    </row>
    <row r="1014" spans="1:18" x14ac:dyDescent="0.2">
      <c r="A1014" t="s">
        <v>8</v>
      </c>
      <c r="B1014">
        <v>2</v>
      </c>
      <c r="C1014" t="s">
        <v>2</v>
      </c>
      <c r="D1014" s="2">
        <v>43572</v>
      </c>
      <c r="E1014" s="11">
        <v>107</v>
      </c>
      <c r="F1014" s="3">
        <v>0.47995000000082655</v>
      </c>
      <c r="G1014" s="3">
        <v>0.48343000000022585</v>
      </c>
      <c r="H1014" s="13">
        <f t="shared" si="27"/>
        <v>107.47995000000083</v>
      </c>
      <c r="I1014" s="13">
        <f t="shared" si="28"/>
        <v>107.48343000000023</v>
      </c>
      <c r="J1014" s="13">
        <f t="shared" si="29"/>
        <v>107.48169000000053</v>
      </c>
      <c r="K1014" s="7">
        <v>43572.481690000001</v>
      </c>
      <c r="L1014" s="4">
        <v>1648.7</v>
      </c>
      <c r="M1014">
        <v>10.9</v>
      </c>
      <c r="N1014">
        <v>11.66</v>
      </c>
      <c r="Q1014">
        <v>1.7536964639772199</v>
      </c>
      <c r="R1014">
        <v>1.65218465491532E-4</v>
      </c>
    </row>
    <row r="1015" spans="1:18" x14ac:dyDescent="0.2">
      <c r="A1015" t="s">
        <v>8</v>
      </c>
      <c r="B1015">
        <v>2</v>
      </c>
      <c r="C1015" t="s">
        <v>6</v>
      </c>
      <c r="D1015" s="2">
        <v>43572</v>
      </c>
      <c r="E1015" s="11">
        <v>107</v>
      </c>
      <c r="F1015" s="3">
        <v>0.4848100000017439</v>
      </c>
      <c r="G1015" s="3">
        <v>0.4882900000011432</v>
      </c>
      <c r="H1015" s="13">
        <f t="shared" si="27"/>
        <v>107.48481000000174</v>
      </c>
      <c r="I1015" s="13">
        <f t="shared" si="28"/>
        <v>107.48829000000114</v>
      </c>
      <c r="J1015" s="13">
        <f t="shared" si="29"/>
        <v>107.48655000000144</v>
      </c>
      <c r="K1015" s="7">
        <v>43572.486550000001</v>
      </c>
      <c r="L1015" s="4">
        <v>1661.2</v>
      </c>
      <c r="N1015">
        <v>11.66</v>
      </c>
      <c r="Q1015">
        <v>1.46333382960861</v>
      </c>
      <c r="R1015" s="6">
        <v>5.3540049479714697E-5</v>
      </c>
    </row>
    <row r="1016" spans="1:18" x14ac:dyDescent="0.2">
      <c r="A1016" t="s">
        <v>8</v>
      </c>
      <c r="B1016">
        <v>3</v>
      </c>
      <c r="C1016" t="s">
        <v>2</v>
      </c>
      <c r="D1016" s="2">
        <v>43572</v>
      </c>
      <c r="E1016" s="11">
        <v>107</v>
      </c>
      <c r="F1016" s="3">
        <v>0.48967999999877065</v>
      </c>
      <c r="G1016" s="3">
        <v>0.49315000000206055</v>
      </c>
      <c r="H1016" s="13">
        <f t="shared" si="27"/>
        <v>107.48967999999877</v>
      </c>
      <c r="I1016" s="13">
        <f t="shared" si="28"/>
        <v>107.49315000000206</v>
      </c>
      <c r="J1016" s="13">
        <f t="shared" si="29"/>
        <v>107.49141500000042</v>
      </c>
      <c r="K1016" s="7">
        <v>43572.491414999997</v>
      </c>
      <c r="L1016" s="4">
        <v>1681.2</v>
      </c>
      <c r="M1016">
        <v>15.4</v>
      </c>
      <c r="N1016">
        <v>11.66</v>
      </c>
      <c r="Q1016">
        <v>-8.5567719472586798</v>
      </c>
      <c r="R1016">
        <v>3.2670897996063102E-4</v>
      </c>
    </row>
    <row r="1017" spans="1:18" x14ac:dyDescent="0.2">
      <c r="A1017" t="s">
        <v>8</v>
      </c>
      <c r="B1017">
        <v>3</v>
      </c>
      <c r="C1017" t="s">
        <v>6</v>
      </c>
      <c r="D1017" s="2">
        <v>43572</v>
      </c>
      <c r="E1017" s="11">
        <v>107</v>
      </c>
      <c r="F1017" s="3">
        <v>0.49453999999968801</v>
      </c>
      <c r="G1017" s="3">
        <v>0.4980100000029779</v>
      </c>
      <c r="H1017" s="13">
        <f t="shared" si="27"/>
        <v>107.49453999999969</v>
      </c>
      <c r="I1017" s="13">
        <f t="shared" si="28"/>
        <v>107.49801000000298</v>
      </c>
      <c r="J1017" s="13">
        <f t="shared" si="29"/>
        <v>107.49627500000133</v>
      </c>
      <c r="K1017" s="7">
        <v>43572.496274999998</v>
      </c>
      <c r="L1017" s="4">
        <v>1696.2</v>
      </c>
      <c r="N1017">
        <v>11.66</v>
      </c>
      <c r="Q1017">
        <v>3.4809091195195299</v>
      </c>
      <c r="R1017">
        <v>-1.6393646053433999E-4</v>
      </c>
    </row>
    <row r="1018" spans="1:18" x14ac:dyDescent="0.2">
      <c r="A1018" t="s">
        <v>8</v>
      </c>
      <c r="B1018">
        <v>4</v>
      </c>
      <c r="C1018" t="s">
        <v>2</v>
      </c>
      <c r="D1018" s="2">
        <v>43572</v>
      </c>
      <c r="E1018" s="11">
        <v>107</v>
      </c>
      <c r="F1018" s="3">
        <v>0.49940000000060536</v>
      </c>
      <c r="G1018" s="3">
        <v>0.5028699999966193</v>
      </c>
      <c r="H1018" s="13">
        <f t="shared" si="27"/>
        <v>107.49940000000061</v>
      </c>
      <c r="I1018" s="13">
        <f t="shared" si="28"/>
        <v>107.50286999999662</v>
      </c>
      <c r="J1018" s="13">
        <f t="shared" si="29"/>
        <v>107.50113499999861</v>
      </c>
      <c r="K1018" s="7">
        <v>43572.501134999999</v>
      </c>
      <c r="L1018" s="4">
        <v>1711.2</v>
      </c>
      <c r="M1018">
        <v>17.8</v>
      </c>
      <c r="N1018">
        <v>11.66</v>
      </c>
      <c r="Q1018">
        <v>2.3947302666588901</v>
      </c>
      <c r="R1018">
        <v>1.2294375781120301E-4</v>
      </c>
    </row>
    <row r="1019" spans="1:18" x14ac:dyDescent="0.2">
      <c r="A1019" t="s">
        <v>8</v>
      </c>
      <c r="B1019">
        <v>4</v>
      </c>
      <c r="C1019" t="s">
        <v>6</v>
      </c>
      <c r="D1019" s="2">
        <v>43572</v>
      </c>
      <c r="E1019" s="11">
        <v>107</v>
      </c>
      <c r="F1019" s="3">
        <v>0.50426000000152271</v>
      </c>
      <c r="G1019" s="3">
        <v>0.50772999999753665</v>
      </c>
      <c r="H1019" s="13">
        <f t="shared" ref="H1019:H1082" si="30">E1019+F1019</f>
        <v>107.50426000000152</v>
      </c>
      <c r="I1019" s="13">
        <f t="shared" ref="I1019:I1082" si="31">E1019+G1019</f>
        <v>107.50772999999754</v>
      </c>
      <c r="J1019" s="13">
        <f t="shared" ref="J1019:J1082" si="32">AVERAGE(H1019:I1019)</f>
        <v>107.50599499999953</v>
      </c>
      <c r="K1019" s="7">
        <v>43572.505995</v>
      </c>
      <c r="L1019" s="4">
        <v>1733.7</v>
      </c>
      <c r="N1019">
        <v>11.66</v>
      </c>
      <c r="Q1019">
        <v>2.4929816008390899</v>
      </c>
      <c r="R1019">
        <v>-1.81072216734704E-4</v>
      </c>
    </row>
    <row r="1020" spans="1:18" x14ac:dyDescent="0.2">
      <c r="A1020" t="s">
        <v>8</v>
      </c>
      <c r="B1020">
        <v>5</v>
      </c>
      <c r="C1020" t="s">
        <v>2</v>
      </c>
      <c r="D1020" s="2">
        <v>43572</v>
      </c>
      <c r="E1020" s="11">
        <v>107</v>
      </c>
      <c r="F1020" s="3">
        <v>0.50912000000244007</v>
      </c>
      <c r="G1020" s="3">
        <v>0.512589999998454</v>
      </c>
      <c r="H1020" s="13">
        <f t="shared" si="30"/>
        <v>107.50912000000244</v>
      </c>
      <c r="I1020" s="13">
        <f t="shared" si="31"/>
        <v>107.51258999999845</v>
      </c>
      <c r="J1020" s="13">
        <f t="shared" si="32"/>
        <v>107.51085500000045</v>
      </c>
      <c r="K1020" s="7">
        <v>43572.510855</v>
      </c>
      <c r="L1020" s="4">
        <v>1738.7</v>
      </c>
      <c r="M1020">
        <v>17.399999999999999</v>
      </c>
      <c r="N1020">
        <v>11.66</v>
      </c>
      <c r="Q1020">
        <v>-0.106549872916211</v>
      </c>
      <c r="R1020">
        <v>1.53978370296494E-3</v>
      </c>
    </row>
    <row r="1021" spans="1:18" x14ac:dyDescent="0.2">
      <c r="A1021" t="s">
        <v>8</v>
      </c>
      <c r="B1021">
        <v>5</v>
      </c>
      <c r="C1021" t="s">
        <v>6</v>
      </c>
      <c r="D1021" s="2">
        <v>43572</v>
      </c>
      <c r="E1021" s="11">
        <v>107</v>
      </c>
      <c r="F1021" s="3">
        <v>0.51398000000335742</v>
      </c>
      <c r="G1021" s="3">
        <v>0.51744999999937136</v>
      </c>
      <c r="H1021" s="13">
        <f t="shared" si="30"/>
        <v>107.51398000000336</v>
      </c>
      <c r="I1021" s="13">
        <f t="shared" si="31"/>
        <v>107.51744999999937</v>
      </c>
      <c r="J1021" s="13">
        <f t="shared" si="32"/>
        <v>107.51571500000136</v>
      </c>
      <c r="K1021" s="7">
        <v>43572.515715000001</v>
      </c>
      <c r="L1021" s="4">
        <v>1741.2</v>
      </c>
      <c r="N1021">
        <v>11.66</v>
      </c>
      <c r="Q1021">
        <v>0.44579928210847403</v>
      </c>
      <c r="R1021">
        <v>4.5176226589795901E-4</v>
      </c>
    </row>
    <row r="1022" spans="1:18" x14ac:dyDescent="0.2">
      <c r="A1022" t="s">
        <v>8</v>
      </c>
      <c r="B1022">
        <v>1</v>
      </c>
      <c r="C1022" t="s">
        <v>2</v>
      </c>
      <c r="D1022" s="2">
        <v>43578</v>
      </c>
      <c r="E1022" s="11">
        <v>113</v>
      </c>
      <c r="F1022" s="3">
        <v>0.42182000000320841</v>
      </c>
      <c r="G1022" s="3">
        <v>0.42528999999922235</v>
      </c>
      <c r="H1022" s="13">
        <f t="shared" si="30"/>
        <v>113.42182000000321</v>
      </c>
      <c r="I1022" s="13">
        <f t="shared" si="31"/>
        <v>113.42528999999922</v>
      </c>
      <c r="J1022" s="13">
        <f t="shared" si="32"/>
        <v>113.42355500000122</v>
      </c>
      <c r="K1022" s="7">
        <v>43578.423555000001</v>
      </c>
      <c r="L1022" s="4">
        <v>1361.2</v>
      </c>
      <c r="M1022">
        <v>11.3</v>
      </c>
      <c r="N1022">
        <v>18.329999999999998</v>
      </c>
      <c r="Q1022">
        <v>1.02861591865318</v>
      </c>
      <c r="R1022">
        <v>-1.01446258103334E-4</v>
      </c>
    </row>
    <row r="1023" spans="1:18" x14ac:dyDescent="0.2">
      <c r="A1023" t="s">
        <v>8</v>
      </c>
      <c r="B1023">
        <v>1</v>
      </c>
      <c r="C1023" t="s">
        <v>6</v>
      </c>
      <c r="D1023" s="2">
        <v>43578</v>
      </c>
      <c r="E1023" s="11">
        <v>113</v>
      </c>
      <c r="F1023" s="3">
        <v>0.4266799999968498</v>
      </c>
      <c r="G1023" s="3">
        <v>0.4301500000001397</v>
      </c>
      <c r="H1023" s="13">
        <f t="shared" si="30"/>
        <v>113.42667999999685</v>
      </c>
      <c r="I1023" s="13">
        <f t="shared" si="31"/>
        <v>113.43015000000014</v>
      </c>
      <c r="J1023" s="13">
        <f t="shared" si="32"/>
        <v>113.42841499999849</v>
      </c>
      <c r="K1023" s="7">
        <v>43578.428415000002</v>
      </c>
      <c r="L1023" s="4">
        <v>1398.7</v>
      </c>
      <c r="N1023">
        <v>18.329999999999998</v>
      </c>
      <c r="Q1023">
        <v>2.90363360603931</v>
      </c>
      <c r="R1023">
        <v>-2.3643373225966399E-4</v>
      </c>
    </row>
    <row r="1024" spans="1:18" x14ac:dyDescent="0.2">
      <c r="A1024" t="s">
        <v>8</v>
      </c>
      <c r="B1024">
        <v>2</v>
      </c>
      <c r="C1024" t="s">
        <v>2</v>
      </c>
      <c r="D1024" s="2">
        <v>43578</v>
      </c>
      <c r="E1024" s="11">
        <v>113</v>
      </c>
      <c r="F1024" s="3">
        <v>0.43153999999776715</v>
      </c>
      <c r="G1024" s="3">
        <v>0.43501000000105705</v>
      </c>
      <c r="H1024" s="13">
        <f t="shared" si="30"/>
        <v>113.43153999999777</v>
      </c>
      <c r="I1024" s="13">
        <f t="shared" si="31"/>
        <v>113.43501000000106</v>
      </c>
      <c r="J1024" s="13">
        <f t="shared" si="32"/>
        <v>113.43327499999941</v>
      </c>
      <c r="K1024" s="7">
        <v>43578.433275000003</v>
      </c>
      <c r="L1024" s="4">
        <v>1433.7</v>
      </c>
      <c r="M1024">
        <v>15.8</v>
      </c>
      <c r="N1024">
        <v>18.329999999999998</v>
      </c>
      <c r="Q1024">
        <v>1.26878683000953</v>
      </c>
      <c r="R1024" s="6">
        <v>-4.85426745777092E-5</v>
      </c>
    </row>
    <row r="1025" spans="1:18" x14ac:dyDescent="0.2">
      <c r="A1025" t="s">
        <v>8</v>
      </c>
      <c r="B1025">
        <v>2</v>
      </c>
      <c r="C1025" t="s">
        <v>6</v>
      </c>
      <c r="D1025" s="2">
        <v>43578</v>
      </c>
      <c r="E1025" s="11">
        <v>113</v>
      </c>
      <c r="F1025" s="3">
        <v>0.43639999999868451</v>
      </c>
      <c r="G1025" s="3">
        <v>0.4398700000019744</v>
      </c>
      <c r="H1025" s="13">
        <f t="shared" si="30"/>
        <v>113.43639999999868</v>
      </c>
      <c r="I1025" s="13">
        <f t="shared" si="31"/>
        <v>113.43987000000197</v>
      </c>
      <c r="J1025" s="13">
        <f t="shared" si="32"/>
        <v>113.43813500000033</v>
      </c>
      <c r="K1025" s="7">
        <v>43578.438135000004</v>
      </c>
      <c r="L1025" s="4">
        <v>1463.7</v>
      </c>
      <c r="N1025">
        <v>18.329999999999998</v>
      </c>
      <c r="Q1025">
        <v>2.4973486927694002</v>
      </c>
      <c r="R1025">
        <v>-1.1311900470414101E-4</v>
      </c>
    </row>
    <row r="1026" spans="1:18" x14ac:dyDescent="0.2">
      <c r="A1026" t="s">
        <v>8</v>
      </c>
      <c r="B1026">
        <v>3</v>
      </c>
      <c r="C1026" t="s">
        <v>2</v>
      </c>
      <c r="D1026" s="2">
        <v>43578</v>
      </c>
      <c r="E1026" s="11">
        <v>113</v>
      </c>
      <c r="F1026" s="3">
        <v>0.44125999999960186</v>
      </c>
      <c r="G1026" s="3">
        <v>0.44473000000289176</v>
      </c>
      <c r="H1026" s="13">
        <f t="shared" si="30"/>
        <v>113.4412599999996</v>
      </c>
      <c r="I1026" s="13">
        <f t="shared" si="31"/>
        <v>113.44473000000289</v>
      </c>
      <c r="J1026" s="13">
        <f t="shared" si="32"/>
        <v>113.44299500000125</v>
      </c>
      <c r="K1026" s="7">
        <v>43578.442995000005</v>
      </c>
      <c r="L1026" s="4">
        <v>1491.2</v>
      </c>
      <c r="M1026">
        <v>14.2</v>
      </c>
      <c r="N1026">
        <v>18.329999999999998</v>
      </c>
      <c r="Q1026">
        <v>-17.221998676169001</v>
      </c>
      <c r="R1026" s="6">
        <v>-1.2500943629060099E-5</v>
      </c>
    </row>
    <row r="1027" spans="1:18" x14ac:dyDescent="0.2">
      <c r="A1027" t="s">
        <v>8</v>
      </c>
      <c r="B1027">
        <v>3</v>
      </c>
      <c r="C1027" t="s">
        <v>6</v>
      </c>
      <c r="D1027" s="2">
        <v>43578</v>
      </c>
      <c r="E1027" s="11">
        <v>113</v>
      </c>
      <c r="F1027" s="3">
        <v>0.44612000000051921</v>
      </c>
      <c r="G1027" s="3">
        <v>0.44958999999653315</v>
      </c>
      <c r="H1027" s="13">
        <f t="shared" si="30"/>
        <v>113.44612000000052</v>
      </c>
      <c r="I1027" s="13">
        <f t="shared" si="31"/>
        <v>113.44958999999653</v>
      </c>
      <c r="J1027" s="13">
        <f t="shared" si="32"/>
        <v>113.44785499999853</v>
      </c>
      <c r="K1027" s="7">
        <v>43578.447854999999</v>
      </c>
      <c r="L1027" s="4">
        <v>1521.2</v>
      </c>
      <c r="N1027">
        <v>18.329999999999998</v>
      </c>
      <c r="Q1027">
        <v>8.3469320275513006</v>
      </c>
      <c r="R1027" s="6">
        <v>-8.6042533201104702E-5</v>
      </c>
    </row>
    <row r="1028" spans="1:18" x14ac:dyDescent="0.2">
      <c r="A1028" t="s">
        <v>8</v>
      </c>
      <c r="B1028">
        <v>4</v>
      </c>
      <c r="C1028" t="s">
        <v>2</v>
      </c>
      <c r="D1028" s="2">
        <v>43578</v>
      </c>
      <c r="E1028" s="11">
        <v>113</v>
      </c>
      <c r="F1028" s="3">
        <v>0.45098000000143657</v>
      </c>
      <c r="G1028" s="3">
        <v>0.45446000000083586</v>
      </c>
      <c r="H1028" s="13">
        <f t="shared" si="30"/>
        <v>113.45098000000144</v>
      </c>
      <c r="I1028" s="13">
        <f t="shared" si="31"/>
        <v>113.45446000000084</v>
      </c>
      <c r="J1028" s="13">
        <f t="shared" si="32"/>
        <v>113.45272000000114</v>
      </c>
      <c r="K1028" s="7">
        <v>43578.452720000001</v>
      </c>
      <c r="L1028" s="4">
        <v>1541.2</v>
      </c>
      <c r="M1028">
        <v>13.8</v>
      </c>
      <c r="N1028">
        <v>18.329999999999998</v>
      </c>
      <c r="Q1028">
        <v>2.2905917757990499</v>
      </c>
      <c r="R1028" s="6">
        <v>-2.6198793496305499E-5</v>
      </c>
    </row>
    <row r="1029" spans="1:18" x14ac:dyDescent="0.2">
      <c r="A1029" t="s">
        <v>8</v>
      </c>
      <c r="B1029">
        <v>4</v>
      </c>
      <c r="C1029" t="s">
        <v>6</v>
      </c>
      <c r="D1029" s="2">
        <v>43578</v>
      </c>
      <c r="E1029" s="11">
        <v>113</v>
      </c>
      <c r="F1029" s="3">
        <v>0.45584000000235392</v>
      </c>
      <c r="G1029" s="3">
        <v>0.45932000000175321</v>
      </c>
      <c r="H1029" s="13">
        <f t="shared" si="30"/>
        <v>113.45584000000235</v>
      </c>
      <c r="I1029" s="13">
        <f t="shared" si="31"/>
        <v>113.45932000000175</v>
      </c>
      <c r="J1029" s="13">
        <f t="shared" si="32"/>
        <v>113.45758000000205</v>
      </c>
      <c r="K1029" s="7">
        <v>43578.457580000002</v>
      </c>
      <c r="L1029" s="4">
        <v>1566.2</v>
      </c>
      <c r="N1029">
        <v>18.329999999999998</v>
      </c>
      <c r="Q1029">
        <v>3.9023555021729099</v>
      </c>
      <c r="R1029" s="6">
        <v>-6.6724165717316206E-5</v>
      </c>
    </row>
    <row r="1030" spans="1:18" x14ac:dyDescent="0.2">
      <c r="A1030" t="s">
        <v>8</v>
      </c>
      <c r="B1030">
        <v>5</v>
      </c>
      <c r="C1030" t="s">
        <v>2</v>
      </c>
      <c r="D1030" s="2">
        <v>43578</v>
      </c>
      <c r="E1030" s="11">
        <v>113</v>
      </c>
      <c r="F1030" s="3">
        <v>0.46070999999938067</v>
      </c>
      <c r="G1030" s="3">
        <v>0.46418000000267057</v>
      </c>
      <c r="H1030" s="13">
        <f t="shared" si="30"/>
        <v>113.46070999999938</v>
      </c>
      <c r="I1030" s="13">
        <f t="shared" si="31"/>
        <v>113.46418000000267</v>
      </c>
      <c r="J1030" s="13">
        <f t="shared" si="32"/>
        <v>113.46244500000103</v>
      </c>
      <c r="K1030" s="7">
        <v>43578.462444999997</v>
      </c>
      <c r="L1030" s="4">
        <v>1588.7</v>
      </c>
      <c r="M1030">
        <v>17.5</v>
      </c>
      <c r="N1030">
        <v>18.329999999999998</v>
      </c>
      <c r="Q1030">
        <v>-0.68332844438013396</v>
      </c>
      <c r="R1030" s="6">
        <v>5.2562314599701998E-5</v>
      </c>
    </row>
    <row r="1031" spans="1:18" x14ac:dyDescent="0.2">
      <c r="A1031" t="s">
        <v>8</v>
      </c>
      <c r="B1031">
        <v>5</v>
      </c>
      <c r="C1031" t="s">
        <v>6</v>
      </c>
      <c r="D1031" s="2">
        <v>43578</v>
      </c>
      <c r="E1031" s="11">
        <v>113</v>
      </c>
      <c r="F1031" s="3">
        <v>0.46557000000029802</v>
      </c>
      <c r="G1031" s="3">
        <v>0.46904000000358792</v>
      </c>
      <c r="H1031" s="13">
        <f t="shared" si="30"/>
        <v>113.4655700000003</v>
      </c>
      <c r="I1031" s="13">
        <f t="shared" si="31"/>
        <v>113.46904000000359</v>
      </c>
      <c r="J1031" s="13">
        <f t="shared" si="32"/>
        <v>113.46730500000194</v>
      </c>
      <c r="K1031" s="7">
        <v>43578.467304999998</v>
      </c>
      <c r="L1031" s="4">
        <v>1611.2</v>
      </c>
      <c r="N1031">
        <v>18.329999999999998</v>
      </c>
      <c r="Q1031">
        <v>3.31914530814581</v>
      </c>
      <c r="R1031" s="6">
        <v>8.4841821696643503E-5</v>
      </c>
    </row>
    <row r="1032" spans="1:18" x14ac:dyDescent="0.2">
      <c r="A1032" t="s">
        <v>8</v>
      </c>
      <c r="B1032">
        <v>1</v>
      </c>
      <c r="C1032" t="s">
        <v>2</v>
      </c>
      <c r="D1032" s="2">
        <v>43578</v>
      </c>
      <c r="E1032" s="11">
        <v>113</v>
      </c>
      <c r="F1032" s="3">
        <v>0.5494200000030105</v>
      </c>
      <c r="G1032" s="3">
        <v>0.55288999999902444</v>
      </c>
      <c r="H1032" s="13">
        <f t="shared" si="30"/>
        <v>113.54942000000301</v>
      </c>
      <c r="I1032" s="13">
        <f t="shared" si="31"/>
        <v>113.55288999999902</v>
      </c>
      <c r="J1032" s="13">
        <f t="shared" si="32"/>
        <v>113.55115500000102</v>
      </c>
      <c r="K1032" s="7">
        <v>43578.551155000001</v>
      </c>
      <c r="L1032" s="4">
        <v>1778.7</v>
      </c>
      <c r="M1032">
        <v>10.1</v>
      </c>
      <c r="N1032">
        <v>21.67</v>
      </c>
      <c r="Q1032">
        <v>2.3336606410695602</v>
      </c>
      <c r="R1032">
        <v>2.0657886359723101E-4</v>
      </c>
    </row>
    <row r="1033" spans="1:18" x14ac:dyDescent="0.2">
      <c r="A1033" t="s">
        <v>8</v>
      </c>
      <c r="B1033">
        <v>1</v>
      </c>
      <c r="C1033" t="s">
        <v>6</v>
      </c>
      <c r="D1033" s="2">
        <v>43578</v>
      </c>
      <c r="E1033" s="11">
        <v>113</v>
      </c>
      <c r="F1033" s="3">
        <v>0.55359000000316883</v>
      </c>
      <c r="G1033" s="3">
        <v>0.55705999999918276</v>
      </c>
      <c r="H1033" s="13">
        <f t="shared" si="30"/>
        <v>113.55359000000317</v>
      </c>
      <c r="I1033" s="13">
        <f t="shared" si="31"/>
        <v>113.55705999999918</v>
      </c>
      <c r="J1033" s="13">
        <f t="shared" si="32"/>
        <v>113.55532500000118</v>
      </c>
      <c r="K1033" s="7">
        <v>43578.555325000001</v>
      </c>
      <c r="L1033" s="4">
        <v>1773.7</v>
      </c>
      <c r="N1033">
        <v>21.67</v>
      </c>
      <c r="Q1033">
        <v>3.9432630979060601</v>
      </c>
      <c r="R1033">
        <v>1.65642097020283E-4</v>
      </c>
    </row>
    <row r="1034" spans="1:18" x14ac:dyDescent="0.2">
      <c r="A1034" t="s">
        <v>8</v>
      </c>
      <c r="B1034">
        <v>2</v>
      </c>
      <c r="C1034" t="s">
        <v>2</v>
      </c>
      <c r="D1034" s="2">
        <v>43578</v>
      </c>
      <c r="E1034" s="11">
        <v>113</v>
      </c>
      <c r="F1034" s="3">
        <v>0.55774999999994179</v>
      </c>
      <c r="G1034" s="3">
        <v>0.56122999999934109</v>
      </c>
      <c r="H1034" s="13">
        <f t="shared" si="30"/>
        <v>113.55774999999994</v>
      </c>
      <c r="I1034" s="13">
        <f t="shared" si="31"/>
        <v>113.56122999999934</v>
      </c>
      <c r="J1034" s="13">
        <f t="shared" si="32"/>
        <v>113.55948999999964</v>
      </c>
      <c r="K1034" s="7">
        <v>43578.55949</v>
      </c>
      <c r="L1034" s="4">
        <v>1768.7</v>
      </c>
      <c r="M1034">
        <v>15.4</v>
      </c>
      <c r="N1034">
        <v>21.67</v>
      </c>
      <c r="Q1034">
        <v>2.8015560254331699</v>
      </c>
      <c r="R1034">
        <v>2.9808611958566199E-4</v>
      </c>
    </row>
    <row r="1035" spans="1:18" x14ac:dyDescent="0.2">
      <c r="A1035" t="s">
        <v>8</v>
      </c>
      <c r="B1035">
        <v>2</v>
      </c>
      <c r="C1035" t="s">
        <v>6</v>
      </c>
      <c r="D1035" s="2">
        <v>43578</v>
      </c>
      <c r="E1035" s="11">
        <v>113</v>
      </c>
      <c r="F1035" s="3">
        <v>0.56192000000010012</v>
      </c>
      <c r="G1035" s="3">
        <v>0.56539000000339001</v>
      </c>
      <c r="H1035" s="13">
        <f t="shared" si="30"/>
        <v>113.5619200000001</v>
      </c>
      <c r="I1035" s="13">
        <f t="shared" si="31"/>
        <v>113.56539000000339</v>
      </c>
      <c r="J1035" s="13">
        <f t="shared" si="32"/>
        <v>113.56365500000175</v>
      </c>
      <c r="K1035" s="7">
        <v>43578.563655000005</v>
      </c>
      <c r="L1035" s="4">
        <v>1763.7</v>
      </c>
      <c r="N1035">
        <v>21.67</v>
      </c>
      <c r="Q1035">
        <v>2.7180716972980101</v>
      </c>
      <c r="R1035">
        <v>-1.3423461281806799E-4</v>
      </c>
    </row>
    <row r="1036" spans="1:18" x14ac:dyDescent="0.2">
      <c r="A1036" t="s">
        <v>8</v>
      </c>
      <c r="B1036">
        <v>3</v>
      </c>
      <c r="C1036" t="s">
        <v>2</v>
      </c>
      <c r="D1036" s="2">
        <v>43578</v>
      </c>
      <c r="E1036" s="11">
        <v>113</v>
      </c>
      <c r="F1036" s="3">
        <v>0.56609000000025844</v>
      </c>
      <c r="G1036" s="3">
        <v>0.56956000000354834</v>
      </c>
      <c r="H1036" s="13">
        <f t="shared" si="30"/>
        <v>113.56609000000026</v>
      </c>
      <c r="I1036" s="13">
        <f t="shared" si="31"/>
        <v>113.56956000000355</v>
      </c>
      <c r="J1036" s="13">
        <f t="shared" si="32"/>
        <v>113.5678250000019</v>
      </c>
      <c r="K1036" s="7">
        <v>43578.567825000006</v>
      </c>
      <c r="L1036" s="4">
        <v>1773.7</v>
      </c>
      <c r="M1036">
        <v>16.2</v>
      </c>
      <c r="N1036">
        <v>21.67</v>
      </c>
      <c r="Q1036">
        <v>-14.6462087720189</v>
      </c>
      <c r="R1036">
        <v>2.0661273949034199E-4</v>
      </c>
    </row>
    <row r="1037" spans="1:18" x14ac:dyDescent="0.2">
      <c r="A1037" t="s">
        <v>8</v>
      </c>
      <c r="B1037">
        <v>3</v>
      </c>
      <c r="C1037" t="s">
        <v>6</v>
      </c>
      <c r="D1037" s="2">
        <v>43578</v>
      </c>
      <c r="E1037" s="11">
        <v>113</v>
      </c>
      <c r="F1037" s="3">
        <v>0.57024999999703141</v>
      </c>
      <c r="G1037" s="3">
        <v>0.57372999999643071</v>
      </c>
      <c r="H1037" s="13">
        <f t="shared" si="30"/>
        <v>113.57024999999703</v>
      </c>
      <c r="I1037" s="13">
        <f t="shared" si="31"/>
        <v>113.57372999999643</v>
      </c>
      <c r="J1037" s="13">
        <f t="shared" si="32"/>
        <v>113.57198999999673</v>
      </c>
      <c r="K1037" s="7">
        <v>43578.571989999997</v>
      </c>
      <c r="L1037" s="4">
        <v>1771.2</v>
      </c>
      <c r="N1037">
        <v>21.67</v>
      </c>
      <c r="Q1037">
        <v>13.598074151788101</v>
      </c>
      <c r="R1037" s="6">
        <v>-9.4033984758392004E-5</v>
      </c>
    </row>
    <row r="1038" spans="1:18" x14ac:dyDescent="0.2">
      <c r="A1038" t="s">
        <v>8</v>
      </c>
      <c r="B1038">
        <v>4</v>
      </c>
      <c r="C1038" t="s">
        <v>2</v>
      </c>
      <c r="D1038" s="2">
        <v>43578</v>
      </c>
      <c r="E1038" s="11">
        <v>113</v>
      </c>
      <c r="F1038" s="3">
        <v>0.57441999999718973</v>
      </c>
      <c r="G1038" s="3">
        <v>0.57789000000047963</v>
      </c>
      <c r="H1038" s="13">
        <f t="shared" si="30"/>
        <v>113.57441999999719</v>
      </c>
      <c r="I1038" s="13">
        <f t="shared" si="31"/>
        <v>113.57789000000048</v>
      </c>
      <c r="J1038" s="13">
        <f t="shared" si="32"/>
        <v>113.57615499999883</v>
      </c>
      <c r="K1038" s="7">
        <v>43578.576155000002</v>
      </c>
      <c r="L1038" s="4">
        <v>1758.7</v>
      </c>
      <c r="M1038">
        <v>13.8</v>
      </c>
      <c r="N1038">
        <v>21.67</v>
      </c>
      <c r="Q1038">
        <v>1.66518791952039</v>
      </c>
      <c r="R1038" s="6">
        <v>5.4296976697736499E-5</v>
      </c>
    </row>
    <row r="1039" spans="1:18" x14ac:dyDescent="0.2">
      <c r="A1039" t="s">
        <v>8</v>
      </c>
      <c r="B1039">
        <v>4</v>
      </c>
      <c r="C1039" t="s">
        <v>6</v>
      </c>
      <c r="D1039" s="2">
        <v>43578</v>
      </c>
      <c r="E1039" s="11">
        <v>113</v>
      </c>
      <c r="F1039" s="3">
        <v>0.57858999999734806</v>
      </c>
      <c r="G1039" s="3">
        <v>0.58206000000063796</v>
      </c>
      <c r="H1039" s="13">
        <f t="shared" si="30"/>
        <v>113.57858999999735</v>
      </c>
      <c r="I1039" s="13">
        <f t="shared" si="31"/>
        <v>113.58206000000064</v>
      </c>
      <c r="J1039" s="13">
        <f t="shared" si="32"/>
        <v>113.58032499999899</v>
      </c>
      <c r="K1039" s="7">
        <v>43578.580325000003</v>
      </c>
      <c r="L1039" s="4">
        <v>36.200000000000003</v>
      </c>
      <c r="N1039">
        <v>21.67</v>
      </c>
      <c r="Q1039">
        <v>4.8462366185966701</v>
      </c>
      <c r="R1039">
        <v>-1.7725091221930701E-4</v>
      </c>
    </row>
    <row r="1040" spans="1:18" x14ac:dyDescent="0.2">
      <c r="A1040" t="s">
        <v>8</v>
      </c>
      <c r="B1040">
        <v>5</v>
      </c>
      <c r="C1040" t="s">
        <v>2</v>
      </c>
      <c r="D1040" s="2">
        <v>43578</v>
      </c>
      <c r="E1040" s="11">
        <v>113</v>
      </c>
      <c r="F1040" s="3">
        <v>0.58275000000139698</v>
      </c>
      <c r="G1040" s="3">
        <v>0.58623000000079628</v>
      </c>
      <c r="H1040" s="13">
        <f t="shared" si="30"/>
        <v>113.5827500000014</v>
      </c>
      <c r="I1040" s="13">
        <f t="shared" si="31"/>
        <v>113.5862300000008</v>
      </c>
      <c r="J1040" s="13">
        <f t="shared" si="32"/>
        <v>113.5844900000011</v>
      </c>
      <c r="K1040" s="7">
        <v>43578.584490000001</v>
      </c>
      <c r="L1040" s="4">
        <v>41.2</v>
      </c>
      <c r="M1040">
        <v>8.6</v>
      </c>
      <c r="N1040">
        <v>21.67</v>
      </c>
      <c r="Q1040">
        <v>-0.13376776751226499</v>
      </c>
      <c r="R1040" s="6">
        <v>-9.1419732662350196E-5</v>
      </c>
    </row>
    <row r="1041" spans="1:18" x14ac:dyDescent="0.2">
      <c r="A1041" t="s">
        <v>8</v>
      </c>
      <c r="B1041">
        <v>5</v>
      </c>
      <c r="C1041" t="s">
        <v>6</v>
      </c>
      <c r="D1041" s="2">
        <v>43578</v>
      </c>
      <c r="E1041" s="11">
        <v>113</v>
      </c>
      <c r="F1041" s="3">
        <v>0.58692000000155531</v>
      </c>
      <c r="G1041" s="3">
        <v>0.59038999999756925</v>
      </c>
      <c r="H1041" s="13">
        <f t="shared" si="30"/>
        <v>113.58692000000156</v>
      </c>
      <c r="I1041" s="13">
        <f t="shared" si="31"/>
        <v>113.59038999999757</v>
      </c>
      <c r="J1041" s="13">
        <f t="shared" si="32"/>
        <v>113.58865499999956</v>
      </c>
      <c r="K1041" s="7">
        <v>43578.588655</v>
      </c>
      <c r="L1041" s="4">
        <v>48.7</v>
      </c>
      <c r="N1041">
        <v>21.67</v>
      </c>
      <c r="Q1041">
        <v>4.4448793152384196</v>
      </c>
      <c r="R1041">
        <v>-1.7483995447325701E-4</v>
      </c>
    </row>
    <row r="1042" spans="1:18" x14ac:dyDescent="0.2">
      <c r="A1042" t="s">
        <v>8</v>
      </c>
      <c r="B1042">
        <v>1</v>
      </c>
      <c r="C1042" t="s">
        <v>2</v>
      </c>
      <c r="D1042" s="2">
        <v>43586</v>
      </c>
      <c r="E1042" s="11">
        <v>121</v>
      </c>
      <c r="F1042" s="3">
        <v>0.40950999999768101</v>
      </c>
      <c r="G1042" s="3">
        <v>0.4129899999970803</v>
      </c>
      <c r="H1042" s="13">
        <f t="shared" si="30"/>
        <v>121.40950999999768</v>
      </c>
      <c r="I1042" s="13">
        <f t="shared" si="31"/>
        <v>121.41298999999708</v>
      </c>
      <c r="J1042" s="13">
        <f t="shared" si="32"/>
        <v>121.41124999999738</v>
      </c>
      <c r="K1042" s="7">
        <v>43586.411249999997</v>
      </c>
      <c r="L1042" s="4">
        <v>276.2</v>
      </c>
      <c r="M1042">
        <v>18.8</v>
      </c>
      <c r="N1042">
        <v>10</v>
      </c>
      <c r="Q1042">
        <v>0.45414535351825602</v>
      </c>
      <c r="R1042">
        <v>9.7930938676686505E-6</v>
      </c>
    </row>
    <row r="1043" spans="1:18" x14ac:dyDescent="0.2">
      <c r="A1043" t="s">
        <v>8</v>
      </c>
      <c r="B1043">
        <v>1</v>
      </c>
      <c r="C1043" t="s">
        <v>6</v>
      </c>
      <c r="D1043" s="2">
        <v>43586</v>
      </c>
      <c r="E1043" s="11">
        <v>121</v>
      </c>
      <c r="F1043" s="3">
        <v>0.41438000000198372</v>
      </c>
      <c r="G1043" s="3">
        <v>0.41853999999875668</v>
      </c>
      <c r="H1043" s="13">
        <f t="shared" si="30"/>
        <v>121.41438000000198</v>
      </c>
      <c r="I1043" s="13">
        <f t="shared" si="31"/>
        <v>121.41853999999876</v>
      </c>
      <c r="J1043" s="13">
        <f t="shared" si="32"/>
        <v>121.41646000000037</v>
      </c>
      <c r="K1043" s="7">
        <v>43586.41646</v>
      </c>
      <c r="L1043" s="4">
        <v>198.7</v>
      </c>
      <c r="N1043">
        <v>10</v>
      </c>
      <c r="Q1043">
        <v>1.49670752383398</v>
      </c>
      <c r="R1043">
        <v>-1.12689693350162E-4</v>
      </c>
    </row>
    <row r="1044" spans="1:18" x14ac:dyDescent="0.2">
      <c r="A1044" t="s">
        <v>8</v>
      </c>
      <c r="B1044">
        <v>2</v>
      </c>
      <c r="C1044" t="s">
        <v>2</v>
      </c>
      <c r="D1044" s="2">
        <v>43586</v>
      </c>
      <c r="E1044" s="11">
        <v>121</v>
      </c>
      <c r="F1044" s="3">
        <v>0.41924000000290107</v>
      </c>
      <c r="G1044" s="3">
        <v>0.42409999999654246</v>
      </c>
      <c r="H1044" s="13">
        <f t="shared" si="30"/>
        <v>121.4192400000029</v>
      </c>
      <c r="I1044" s="13">
        <f t="shared" si="31"/>
        <v>121.42409999999654</v>
      </c>
      <c r="J1044" s="13">
        <f t="shared" si="32"/>
        <v>121.42166999999972</v>
      </c>
      <c r="K1044" s="7">
        <v>43586.421669999996</v>
      </c>
      <c r="L1044" s="4">
        <v>221.2</v>
      </c>
      <c r="M1044">
        <v>11.9</v>
      </c>
      <c r="N1044">
        <v>10</v>
      </c>
      <c r="Q1044">
        <v>0.65474175657029898</v>
      </c>
      <c r="R1044">
        <v>-1.11650444141523E-4</v>
      </c>
    </row>
    <row r="1045" spans="1:18" x14ac:dyDescent="0.2">
      <c r="A1045" t="s">
        <v>8</v>
      </c>
      <c r="B1045">
        <v>2</v>
      </c>
      <c r="C1045" t="s">
        <v>6</v>
      </c>
      <c r="D1045" s="2">
        <v>43586</v>
      </c>
      <c r="E1045" s="11">
        <v>121</v>
      </c>
      <c r="F1045" s="3">
        <v>0.42409999999654246</v>
      </c>
      <c r="G1045" s="3">
        <v>0.42964999999821885</v>
      </c>
      <c r="H1045" s="13">
        <f t="shared" si="30"/>
        <v>121.42409999999654</v>
      </c>
      <c r="I1045" s="13">
        <f t="shared" si="31"/>
        <v>121.42964999999822</v>
      </c>
      <c r="J1045" s="13">
        <f t="shared" si="32"/>
        <v>121.42687499999738</v>
      </c>
      <c r="K1045" s="7">
        <v>43586.426874999997</v>
      </c>
      <c r="L1045" s="4">
        <v>341.2</v>
      </c>
      <c r="N1045">
        <v>10</v>
      </c>
      <c r="Q1045">
        <v>0.31808307919753598</v>
      </c>
      <c r="R1045">
        <v>-2.2547596787918001E-4</v>
      </c>
    </row>
    <row r="1046" spans="1:18" x14ac:dyDescent="0.2">
      <c r="A1046" t="s">
        <v>8</v>
      </c>
      <c r="B1046">
        <v>3</v>
      </c>
      <c r="C1046" t="s">
        <v>2</v>
      </c>
      <c r="D1046" s="2">
        <v>43586</v>
      </c>
      <c r="E1046" s="11">
        <v>121</v>
      </c>
      <c r="F1046" s="3">
        <v>0.42895999999745982</v>
      </c>
      <c r="G1046" s="3">
        <v>0.43521000000328058</v>
      </c>
      <c r="H1046" s="13">
        <f t="shared" si="30"/>
        <v>121.42895999999746</v>
      </c>
      <c r="I1046" s="13">
        <f t="shared" si="31"/>
        <v>121.43521000000328</v>
      </c>
      <c r="J1046" s="13">
        <f t="shared" si="32"/>
        <v>121.43208500000037</v>
      </c>
      <c r="K1046" s="7">
        <v>43586.432085</v>
      </c>
      <c r="L1046" s="4">
        <v>338.7</v>
      </c>
      <c r="M1046">
        <v>13.5</v>
      </c>
      <c r="N1046">
        <v>10</v>
      </c>
      <c r="Q1046">
        <v>0.13349925319606601</v>
      </c>
      <c r="R1046">
        <v>9.4032149648194905E-6</v>
      </c>
    </row>
    <row r="1047" spans="1:18" x14ac:dyDescent="0.2">
      <c r="A1047" t="s">
        <v>8</v>
      </c>
      <c r="B1047">
        <v>3</v>
      </c>
      <c r="C1047" t="s">
        <v>6</v>
      </c>
      <c r="D1047" s="2">
        <v>43586</v>
      </c>
      <c r="E1047" s="11">
        <v>121</v>
      </c>
      <c r="F1047" s="3">
        <v>0.43381999999837717</v>
      </c>
      <c r="G1047" s="3">
        <v>0.44075999999768101</v>
      </c>
      <c r="H1047" s="13">
        <f t="shared" si="30"/>
        <v>121.43381999999838</v>
      </c>
      <c r="I1047" s="13">
        <f t="shared" si="31"/>
        <v>121.44075999999768</v>
      </c>
      <c r="J1047" s="13">
        <f t="shared" si="32"/>
        <v>121.43728999999803</v>
      </c>
      <c r="K1047" s="7">
        <v>43586.437290000002</v>
      </c>
      <c r="L1047" s="4">
        <v>343.7</v>
      </c>
      <c r="N1047">
        <v>10</v>
      </c>
      <c r="Q1047">
        <v>-0.46531825887796002</v>
      </c>
      <c r="R1047">
        <v>4.1628251860669998E-4</v>
      </c>
    </row>
    <row r="1048" spans="1:18" x14ac:dyDescent="0.2">
      <c r="A1048" t="s">
        <v>8</v>
      </c>
      <c r="B1048">
        <v>4</v>
      </c>
      <c r="C1048" t="s">
        <v>2</v>
      </c>
      <c r="D1048" s="2">
        <v>43586</v>
      </c>
      <c r="E1048" s="11">
        <v>121</v>
      </c>
      <c r="F1048" s="3">
        <v>0.43867999999929452</v>
      </c>
      <c r="G1048" s="3">
        <v>0.44632000000274274</v>
      </c>
      <c r="H1048" s="13">
        <f t="shared" si="30"/>
        <v>121.43867999999929</v>
      </c>
      <c r="I1048" s="13">
        <f t="shared" si="31"/>
        <v>121.44632000000274</v>
      </c>
      <c r="J1048" s="13">
        <f t="shared" si="32"/>
        <v>121.44250000000102</v>
      </c>
      <c r="K1048" s="7">
        <v>43586.442500000005</v>
      </c>
      <c r="L1048" s="4">
        <v>348.7</v>
      </c>
      <c r="M1048">
        <v>12.6</v>
      </c>
      <c r="N1048">
        <v>10</v>
      </c>
      <c r="Q1048">
        <v>0.632312750030112</v>
      </c>
      <c r="R1048">
        <v>-4.7274436552667901E-4</v>
      </c>
    </row>
    <row r="1049" spans="1:18" x14ac:dyDescent="0.2">
      <c r="A1049" t="s">
        <v>8</v>
      </c>
      <c r="B1049">
        <v>4</v>
      </c>
      <c r="C1049" t="s">
        <v>6</v>
      </c>
      <c r="D1049" s="2">
        <v>43586</v>
      </c>
      <c r="E1049" s="11">
        <v>121</v>
      </c>
      <c r="F1049" s="3">
        <v>0.44354000000021188</v>
      </c>
      <c r="G1049" s="3">
        <v>0.45188000000052853</v>
      </c>
      <c r="H1049" s="13">
        <f t="shared" si="30"/>
        <v>121.44354000000021</v>
      </c>
      <c r="I1049" s="13">
        <f t="shared" si="31"/>
        <v>121.45188000000053</v>
      </c>
      <c r="J1049" s="13">
        <f t="shared" si="32"/>
        <v>121.44771000000037</v>
      </c>
      <c r="K1049" s="7">
        <v>43586.44771</v>
      </c>
      <c r="L1049" s="4">
        <v>418.7</v>
      </c>
      <c r="N1049">
        <v>10</v>
      </c>
      <c r="Q1049">
        <v>-1.01469109229793</v>
      </c>
      <c r="R1049">
        <v>-1.7179896433873601E-4</v>
      </c>
    </row>
    <row r="1050" spans="1:18" x14ac:dyDescent="0.2">
      <c r="A1050" t="s">
        <v>8</v>
      </c>
      <c r="B1050">
        <v>5</v>
      </c>
      <c r="C1050" t="s">
        <v>2</v>
      </c>
      <c r="D1050" s="2">
        <v>43586</v>
      </c>
      <c r="E1050" s="11">
        <v>121</v>
      </c>
      <c r="F1050" s="3">
        <v>0.44840000000112923</v>
      </c>
      <c r="G1050" s="3">
        <v>0.45743000000220491</v>
      </c>
      <c r="H1050" s="13">
        <f t="shared" si="30"/>
        <v>121.44840000000113</v>
      </c>
      <c r="I1050" s="13">
        <f t="shared" si="31"/>
        <v>121.4574300000022</v>
      </c>
      <c r="J1050" s="13">
        <f t="shared" si="32"/>
        <v>121.45291500000167</v>
      </c>
      <c r="K1050" s="7">
        <v>43586.452915000002</v>
      </c>
      <c r="L1050" s="4">
        <v>451.2</v>
      </c>
      <c r="M1050">
        <v>21.2</v>
      </c>
      <c r="N1050">
        <v>10</v>
      </c>
      <c r="Q1050">
        <v>0.77386562927148606</v>
      </c>
      <c r="R1050">
        <v>-6.54900663102846E-5</v>
      </c>
    </row>
    <row r="1051" spans="1:18" x14ac:dyDescent="0.2">
      <c r="A1051" t="s">
        <v>8</v>
      </c>
      <c r="B1051">
        <v>5</v>
      </c>
      <c r="C1051" t="s">
        <v>6</v>
      </c>
      <c r="D1051" s="2">
        <v>43586</v>
      </c>
      <c r="E1051" s="11">
        <v>121</v>
      </c>
      <c r="F1051" s="3">
        <v>0.45326000000204658</v>
      </c>
      <c r="G1051" s="3">
        <v>0.46298999999999069</v>
      </c>
      <c r="H1051" s="13">
        <f t="shared" si="30"/>
        <v>121.45326000000205</v>
      </c>
      <c r="I1051" s="13">
        <f t="shared" si="31"/>
        <v>121.46298999999999</v>
      </c>
      <c r="J1051" s="13">
        <f t="shared" si="32"/>
        <v>121.45812500000102</v>
      </c>
      <c r="K1051" s="7">
        <v>43586.458125000005</v>
      </c>
      <c r="L1051" s="4">
        <v>548.70000000000005</v>
      </c>
      <c r="N1051">
        <v>10</v>
      </c>
      <c r="Q1051">
        <v>1.6802195634778601</v>
      </c>
      <c r="R1051">
        <v>-1.5513953105191001E-5</v>
      </c>
    </row>
    <row r="1052" spans="1:18" x14ac:dyDescent="0.2">
      <c r="A1052" t="s">
        <v>8</v>
      </c>
      <c r="B1052">
        <v>1</v>
      </c>
      <c r="C1052" t="s">
        <v>2</v>
      </c>
      <c r="D1052" s="2">
        <v>43586</v>
      </c>
      <c r="E1052" s="11">
        <v>121</v>
      </c>
      <c r="F1052" s="3">
        <v>0.5088400000022375</v>
      </c>
      <c r="G1052" s="3">
        <v>0.51230999999825144</v>
      </c>
      <c r="H1052" s="13">
        <f t="shared" si="30"/>
        <v>121.50884000000224</v>
      </c>
      <c r="I1052" s="13">
        <f t="shared" si="31"/>
        <v>121.51230999999825</v>
      </c>
      <c r="J1052" s="13">
        <f t="shared" si="32"/>
        <v>121.51057500000024</v>
      </c>
      <c r="K1052" s="7">
        <v>43586.510575</v>
      </c>
      <c r="L1052" s="4">
        <v>721.2</v>
      </c>
      <c r="M1052">
        <v>17.7</v>
      </c>
      <c r="N1052">
        <v>13.33</v>
      </c>
      <c r="Q1052">
        <v>-0.496543671127393</v>
      </c>
      <c r="R1052">
        <v>-3.19327E-4</v>
      </c>
    </row>
    <row r="1053" spans="1:18" x14ac:dyDescent="0.2">
      <c r="A1053" t="s">
        <v>8</v>
      </c>
      <c r="B1053">
        <v>1</v>
      </c>
      <c r="C1053" t="s">
        <v>6</v>
      </c>
      <c r="D1053" s="2">
        <v>43586</v>
      </c>
      <c r="E1053" s="11">
        <v>121</v>
      </c>
      <c r="F1053" s="3">
        <v>0.51370000000315486</v>
      </c>
      <c r="G1053" s="3">
        <v>0.51718000000255415</v>
      </c>
      <c r="H1053" s="13">
        <f t="shared" si="30"/>
        <v>121.51370000000315</v>
      </c>
      <c r="I1053" s="13">
        <f t="shared" si="31"/>
        <v>121.51718000000255</v>
      </c>
      <c r="J1053" s="13">
        <f t="shared" si="32"/>
        <v>121.51544000000285</v>
      </c>
      <c r="K1053" s="7">
        <v>43586.515440000003</v>
      </c>
      <c r="L1053" s="4">
        <v>926.2</v>
      </c>
      <c r="N1053">
        <v>13.33</v>
      </c>
      <c r="Q1053">
        <v>1.9819930453778301</v>
      </c>
      <c r="R1053">
        <v>-3.0110599999999999E-4</v>
      </c>
    </row>
    <row r="1054" spans="1:18" x14ac:dyDescent="0.2">
      <c r="A1054" t="s">
        <v>8</v>
      </c>
      <c r="B1054">
        <v>2</v>
      </c>
      <c r="C1054" t="s">
        <v>2</v>
      </c>
      <c r="D1054" s="2">
        <v>43586</v>
      </c>
      <c r="E1054" s="11">
        <v>121</v>
      </c>
      <c r="F1054" s="3">
        <v>0.51855999999679625</v>
      </c>
      <c r="G1054" s="3">
        <v>0.5220400000034715</v>
      </c>
      <c r="H1054" s="13">
        <f t="shared" si="30"/>
        <v>121.5185599999968</v>
      </c>
      <c r="I1054" s="13">
        <f t="shared" si="31"/>
        <v>121.52204000000347</v>
      </c>
      <c r="J1054" s="13">
        <f t="shared" si="32"/>
        <v>121.52030000000013</v>
      </c>
      <c r="K1054" s="7">
        <v>43586.520300000004</v>
      </c>
      <c r="L1054" s="4">
        <v>941.2</v>
      </c>
      <c r="M1054">
        <v>13.7</v>
      </c>
      <c r="N1054">
        <v>13.33</v>
      </c>
      <c r="Q1054">
        <v>4.0027644049837302E-2</v>
      </c>
      <c r="R1054">
        <v>-1.75417E-4</v>
      </c>
    </row>
    <row r="1055" spans="1:18" x14ac:dyDescent="0.2">
      <c r="A1055" t="s">
        <v>8</v>
      </c>
      <c r="B1055">
        <v>2</v>
      </c>
      <c r="C1055" t="s">
        <v>6</v>
      </c>
      <c r="D1055" s="2">
        <v>43586</v>
      </c>
      <c r="E1055" s="11">
        <v>121</v>
      </c>
      <c r="F1055" s="3">
        <v>0.52343000000109896</v>
      </c>
      <c r="G1055" s="3">
        <v>0.5268999999971129</v>
      </c>
      <c r="H1055" s="13">
        <f t="shared" si="30"/>
        <v>121.5234300000011</v>
      </c>
      <c r="I1055" s="13">
        <f t="shared" si="31"/>
        <v>121.52689999999711</v>
      </c>
      <c r="J1055" s="13">
        <f t="shared" si="32"/>
        <v>121.52516499999911</v>
      </c>
      <c r="K1055" s="7">
        <v>43586.525164999999</v>
      </c>
      <c r="L1055" s="4">
        <v>833.7</v>
      </c>
      <c r="N1055">
        <v>13.33</v>
      </c>
      <c r="Q1055">
        <v>1.81916907792444</v>
      </c>
      <c r="R1055" s="6">
        <v>-7.8800000000000004E-5</v>
      </c>
    </row>
    <row r="1056" spans="1:18" x14ac:dyDescent="0.2">
      <c r="A1056" t="s">
        <v>8</v>
      </c>
      <c r="B1056">
        <v>3</v>
      </c>
      <c r="C1056" t="s">
        <v>2</v>
      </c>
      <c r="D1056" s="2">
        <v>43586</v>
      </c>
      <c r="E1056" s="11">
        <v>121</v>
      </c>
      <c r="F1056" s="3">
        <v>0.52829000000201631</v>
      </c>
      <c r="G1056" s="3">
        <v>0.53175999999803025</v>
      </c>
      <c r="H1056" s="13">
        <f t="shared" si="30"/>
        <v>121.52829000000202</v>
      </c>
      <c r="I1056" s="13">
        <f t="shared" si="31"/>
        <v>121.53175999999803</v>
      </c>
      <c r="J1056" s="13">
        <f t="shared" si="32"/>
        <v>121.53002500000002</v>
      </c>
      <c r="K1056" s="7">
        <v>43586.530025</v>
      </c>
      <c r="L1056" s="4">
        <v>763.7</v>
      </c>
      <c r="M1056">
        <v>17.7</v>
      </c>
      <c r="N1056">
        <v>13.33</v>
      </c>
      <c r="Q1056">
        <v>-14.5051212499841</v>
      </c>
      <c r="R1056" s="6">
        <v>-5.0399999999999999E-5</v>
      </c>
    </row>
    <row r="1057" spans="1:18" x14ac:dyDescent="0.2">
      <c r="A1057" t="s">
        <v>8</v>
      </c>
      <c r="B1057">
        <v>3</v>
      </c>
      <c r="C1057" t="s">
        <v>6</v>
      </c>
      <c r="D1057" s="2">
        <v>43586</v>
      </c>
      <c r="E1057" s="11">
        <v>121</v>
      </c>
      <c r="F1057" s="3">
        <v>0.53315000000293367</v>
      </c>
      <c r="G1057" s="3">
        <v>0.53661999999894761</v>
      </c>
      <c r="H1057" s="13">
        <f t="shared" si="30"/>
        <v>121.53315000000293</v>
      </c>
      <c r="I1057" s="13">
        <f t="shared" si="31"/>
        <v>121.53661999999895</v>
      </c>
      <c r="J1057" s="13">
        <f t="shared" si="32"/>
        <v>121.53488500000094</v>
      </c>
      <c r="K1057" s="7">
        <v>43586.534885000001</v>
      </c>
      <c r="L1057" s="4">
        <v>771.2</v>
      </c>
      <c r="N1057">
        <v>13.33</v>
      </c>
      <c r="Q1057">
        <v>3.9742353669292201</v>
      </c>
      <c r="R1057" s="6">
        <v>-7.7100000000000004E-5</v>
      </c>
    </row>
    <row r="1058" spans="1:18" x14ac:dyDescent="0.2">
      <c r="A1058" t="s">
        <v>8</v>
      </c>
      <c r="B1058">
        <v>4</v>
      </c>
      <c r="C1058" t="s">
        <v>2</v>
      </c>
      <c r="D1058" s="2">
        <v>43586</v>
      </c>
      <c r="E1058" s="11">
        <v>121</v>
      </c>
      <c r="F1058" s="3">
        <v>0.53800999999657506</v>
      </c>
      <c r="G1058" s="3">
        <v>0.54147999999986496</v>
      </c>
      <c r="H1058" s="13">
        <f t="shared" si="30"/>
        <v>121.53800999999658</v>
      </c>
      <c r="I1058" s="13">
        <f t="shared" si="31"/>
        <v>121.54147999999986</v>
      </c>
      <c r="J1058" s="13">
        <f t="shared" si="32"/>
        <v>121.53974499999822</v>
      </c>
      <c r="K1058" s="7">
        <v>43586.539745000002</v>
      </c>
      <c r="L1058" s="4">
        <v>813.7</v>
      </c>
      <c r="M1058">
        <v>18.3</v>
      </c>
      <c r="N1058">
        <v>13.33</v>
      </c>
      <c r="Q1058">
        <v>1.2731351011571701</v>
      </c>
      <c r="R1058">
        <v>-1.2679400000000001E-4</v>
      </c>
    </row>
    <row r="1059" spans="1:18" x14ac:dyDescent="0.2">
      <c r="A1059" t="s">
        <v>8</v>
      </c>
      <c r="B1059">
        <v>4</v>
      </c>
      <c r="C1059" t="s">
        <v>6</v>
      </c>
      <c r="D1059" s="2">
        <v>43586</v>
      </c>
      <c r="E1059" s="11">
        <v>121</v>
      </c>
      <c r="F1059" s="3">
        <v>0.54286999999749241</v>
      </c>
      <c r="G1059" s="3">
        <v>0.54634000000078231</v>
      </c>
      <c r="H1059" s="13">
        <f t="shared" si="30"/>
        <v>121.54286999999749</v>
      </c>
      <c r="I1059" s="13">
        <f t="shared" si="31"/>
        <v>121.54634000000078</v>
      </c>
      <c r="J1059" s="13">
        <f t="shared" si="32"/>
        <v>121.54460499999914</v>
      </c>
      <c r="K1059" s="7">
        <v>43586.544605000003</v>
      </c>
      <c r="L1059" s="4">
        <v>713.7</v>
      </c>
      <c r="N1059">
        <v>13.33</v>
      </c>
      <c r="Q1059">
        <v>2.2899019023784102</v>
      </c>
      <c r="R1059" s="6">
        <v>-5.94E-5</v>
      </c>
    </row>
    <row r="1060" spans="1:18" x14ac:dyDescent="0.2">
      <c r="A1060" t="s">
        <v>8</v>
      </c>
      <c r="B1060">
        <v>5</v>
      </c>
      <c r="C1060" t="s">
        <v>2</v>
      </c>
      <c r="D1060" s="2">
        <v>43586</v>
      </c>
      <c r="E1060" s="11">
        <v>121</v>
      </c>
      <c r="F1060" s="3">
        <v>0.54772999999840977</v>
      </c>
      <c r="G1060" s="3">
        <v>0.55120000000169966</v>
      </c>
      <c r="H1060" s="13">
        <f t="shared" si="30"/>
        <v>121.54772999999841</v>
      </c>
      <c r="I1060" s="13">
        <f t="shared" si="31"/>
        <v>121.5512000000017</v>
      </c>
      <c r="J1060" s="13">
        <f t="shared" si="32"/>
        <v>121.54946500000005</v>
      </c>
      <c r="K1060" s="7">
        <v>43586.549465000004</v>
      </c>
      <c r="L1060" s="4">
        <v>691.2</v>
      </c>
      <c r="M1060">
        <v>15.8</v>
      </c>
      <c r="N1060">
        <v>13.33</v>
      </c>
      <c r="Q1060">
        <v>-2.30822694583857</v>
      </c>
      <c r="R1060">
        <v>2.0516600000000001E-4</v>
      </c>
    </row>
    <row r="1061" spans="1:18" x14ac:dyDescent="0.2">
      <c r="A1061" t="s">
        <v>8</v>
      </c>
      <c r="B1061">
        <v>5</v>
      </c>
      <c r="C1061" t="s">
        <v>6</v>
      </c>
      <c r="D1061" s="2">
        <v>43586</v>
      </c>
      <c r="E1061" s="11">
        <v>121</v>
      </c>
      <c r="F1061" s="3">
        <v>0.55258999999932712</v>
      </c>
      <c r="G1061" s="3">
        <v>0.55606000000261702</v>
      </c>
      <c r="H1061" s="13">
        <f t="shared" si="30"/>
        <v>121.55258999999933</v>
      </c>
      <c r="I1061" s="13">
        <f t="shared" si="31"/>
        <v>121.55606000000262</v>
      </c>
      <c r="J1061" s="13">
        <f t="shared" si="32"/>
        <v>121.55432500000097</v>
      </c>
      <c r="K1061" s="7">
        <v>43586.554325000005</v>
      </c>
      <c r="L1061" s="4">
        <v>548.70000000000005</v>
      </c>
      <c r="N1061">
        <v>13.33</v>
      </c>
      <c r="Q1061">
        <v>2.2567080227978802</v>
      </c>
      <c r="R1061">
        <v>-1.3313999999999999E-4</v>
      </c>
    </row>
    <row r="1062" spans="1:18" x14ac:dyDescent="0.2">
      <c r="A1062" t="s">
        <v>8</v>
      </c>
      <c r="B1062">
        <v>1</v>
      </c>
      <c r="C1062" t="s">
        <v>2</v>
      </c>
      <c r="D1062" s="2">
        <v>43600</v>
      </c>
      <c r="E1062" s="11">
        <v>135</v>
      </c>
      <c r="F1062" s="3">
        <v>0.38356000000203494</v>
      </c>
      <c r="G1062" s="3">
        <v>0.38704000000143424</v>
      </c>
      <c r="H1062" s="13">
        <f t="shared" si="30"/>
        <v>135.38356000000203</v>
      </c>
      <c r="I1062" s="13">
        <f t="shared" si="31"/>
        <v>135.38704000000143</v>
      </c>
      <c r="J1062" s="13">
        <f t="shared" si="32"/>
        <v>135.38530000000173</v>
      </c>
      <c r="K1062" s="7">
        <v>43600.385300000002</v>
      </c>
      <c r="L1062" s="4">
        <v>338.7</v>
      </c>
      <c r="M1062">
        <v>17.399999999999999</v>
      </c>
      <c r="N1062">
        <v>10</v>
      </c>
      <c r="Q1062">
        <v>-1.54183379206222</v>
      </c>
    </row>
    <row r="1063" spans="1:18" x14ac:dyDescent="0.2">
      <c r="A1063" t="s">
        <v>8</v>
      </c>
      <c r="B1063">
        <v>1</v>
      </c>
      <c r="C1063" t="s">
        <v>6</v>
      </c>
      <c r="D1063" s="2">
        <v>43600</v>
      </c>
      <c r="E1063" s="11">
        <v>135</v>
      </c>
      <c r="F1063" s="3">
        <v>0.38842999999906169</v>
      </c>
      <c r="G1063" s="3">
        <v>0.39190000000235159</v>
      </c>
      <c r="H1063" s="13">
        <f t="shared" si="30"/>
        <v>135.38842999999906</v>
      </c>
      <c r="I1063" s="13">
        <f t="shared" si="31"/>
        <v>135.39190000000235</v>
      </c>
      <c r="J1063" s="13">
        <f t="shared" si="32"/>
        <v>135.39016500000071</v>
      </c>
      <c r="K1063" s="7">
        <v>43600.390165000004</v>
      </c>
      <c r="L1063" s="4">
        <v>576.20000000000005</v>
      </c>
      <c r="N1063">
        <v>10</v>
      </c>
      <c r="Q1063">
        <v>1.6769448367084001</v>
      </c>
    </row>
    <row r="1064" spans="1:18" x14ac:dyDescent="0.2">
      <c r="A1064" t="s">
        <v>8</v>
      </c>
      <c r="B1064">
        <v>2</v>
      </c>
      <c r="C1064" t="s">
        <v>2</v>
      </c>
      <c r="D1064" s="2">
        <v>43600</v>
      </c>
      <c r="E1064" s="11">
        <v>135</v>
      </c>
      <c r="F1064" s="3">
        <v>0.39328999999997905</v>
      </c>
      <c r="G1064" s="3">
        <v>0.39676000000326894</v>
      </c>
      <c r="H1064" s="13">
        <f t="shared" si="30"/>
        <v>135.39328999999998</v>
      </c>
      <c r="I1064" s="13">
        <f t="shared" si="31"/>
        <v>135.39676000000327</v>
      </c>
      <c r="J1064" s="13">
        <f t="shared" si="32"/>
        <v>135.39502500000162</v>
      </c>
      <c r="K1064" s="7">
        <v>43600.395025000005</v>
      </c>
      <c r="L1064" s="4">
        <v>1591.2</v>
      </c>
      <c r="M1064">
        <v>17.3</v>
      </c>
      <c r="N1064">
        <v>10</v>
      </c>
      <c r="Q1064">
        <v>-0.51517665731138995</v>
      </c>
    </row>
    <row r="1065" spans="1:18" x14ac:dyDescent="0.2">
      <c r="A1065" t="s">
        <v>8</v>
      </c>
      <c r="B1065">
        <v>2</v>
      </c>
      <c r="C1065" t="s">
        <v>6</v>
      </c>
      <c r="D1065" s="2">
        <v>43600</v>
      </c>
      <c r="E1065" s="11">
        <v>135</v>
      </c>
      <c r="F1065" s="3">
        <v>0.3981500000008964</v>
      </c>
      <c r="G1065" s="3">
        <v>0.40161999999691034</v>
      </c>
      <c r="H1065" s="13">
        <f t="shared" si="30"/>
        <v>135.3981500000009</v>
      </c>
      <c r="I1065" s="13">
        <f t="shared" si="31"/>
        <v>135.40161999999691</v>
      </c>
      <c r="J1065" s="13">
        <f t="shared" si="32"/>
        <v>135.3998849999989</v>
      </c>
      <c r="K1065" s="7">
        <v>43600.399884999999</v>
      </c>
      <c r="L1065" s="4">
        <v>1583.7</v>
      </c>
      <c r="N1065">
        <v>10</v>
      </c>
      <c r="Q1065">
        <v>1.0174318960247</v>
      </c>
    </row>
    <row r="1066" spans="1:18" x14ac:dyDescent="0.2">
      <c r="A1066" t="s">
        <v>8</v>
      </c>
      <c r="B1066">
        <v>3</v>
      </c>
      <c r="C1066" t="s">
        <v>2</v>
      </c>
      <c r="D1066" s="2">
        <v>43600</v>
      </c>
      <c r="E1066" s="11">
        <v>135</v>
      </c>
      <c r="F1066" s="3">
        <v>0.40301000000181375</v>
      </c>
      <c r="G1066" s="3">
        <v>0.40647999999782769</v>
      </c>
      <c r="H1066" s="13">
        <f t="shared" si="30"/>
        <v>135.40301000000181</v>
      </c>
      <c r="I1066" s="13">
        <f t="shared" si="31"/>
        <v>135.40647999999783</v>
      </c>
      <c r="J1066" s="13">
        <f t="shared" si="32"/>
        <v>135.40474499999982</v>
      </c>
      <c r="K1066" s="7">
        <v>43600.404745</v>
      </c>
      <c r="L1066" s="4">
        <v>1743.7</v>
      </c>
      <c r="M1066">
        <v>23.9</v>
      </c>
      <c r="N1066">
        <v>10</v>
      </c>
      <c r="Q1066">
        <v>-14.393895863902801</v>
      </c>
    </row>
    <row r="1067" spans="1:18" x14ac:dyDescent="0.2">
      <c r="A1067" t="s">
        <v>8</v>
      </c>
      <c r="B1067">
        <v>3</v>
      </c>
      <c r="C1067" t="s">
        <v>6</v>
      </c>
      <c r="D1067" s="2">
        <v>43600</v>
      </c>
      <c r="E1067" s="11">
        <v>135</v>
      </c>
      <c r="F1067" s="3">
        <v>0.4078700000027311</v>
      </c>
      <c r="G1067" s="3">
        <v>0.41133999999874504</v>
      </c>
      <c r="H1067" s="13">
        <f t="shared" si="30"/>
        <v>135.40787000000273</v>
      </c>
      <c r="I1067" s="13">
        <f t="shared" si="31"/>
        <v>135.41133999999875</v>
      </c>
      <c r="J1067" s="13">
        <f t="shared" si="32"/>
        <v>135.40960500000074</v>
      </c>
      <c r="K1067" s="7">
        <v>43600.409605000001</v>
      </c>
      <c r="L1067" s="4">
        <v>451.2</v>
      </c>
      <c r="N1067">
        <v>10</v>
      </c>
      <c r="Q1067">
        <v>6.87215548629813</v>
      </c>
    </row>
    <row r="1068" spans="1:18" x14ac:dyDescent="0.2">
      <c r="A1068" t="s">
        <v>8</v>
      </c>
      <c r="B1068">
        <v>4</v>
      </c>
      <c r="C1068" t="s">
        <v>2</v>
      </c>
      <c r="D1068" s="2">
        <v>43600</v>
      </c>
      <c r="E1068" s="11">
        <v>135</v>
      </c>
      <c r="F1068" s="3">
        <v>0.4127299999963725</v>
      </c>
      <c r="G1068" s="3">
        <v>0.4161999999996624</v>
      </c>
      <c r="H1068" s="13">
        <f t="shared" si="30"/>
        <v>135.41272999999637</v>
      </c>
      <c r="I1068" s="13">
        <f t="shared" si="31"/>
        <v>135.41619999999966</v>
      </c>
      <c r="J1068" s="13">
        <f t="shared" si="32"/>
        <v>135.41446499999802</v>
      </c>
      <c r="K1068" s="7">
        <v>43600.414464999994</v>
      </c>
      <c r="L1068" s="4">
        <v>506.2</v>
      </c>
      <c r="M1068">
        <v>23.6</v>
      </c>
      <c r="N1068">
        <v>10</v>
      </c>
      <c r="Q1068">
        <v>-10.611133293389599</v>
      </c>
    </row>
    <row r="1069" spans="1:18" x14ac:dyDescent="0.2">
      <c r="A1069" t="s">
        <v>8</v>
      </c>
      <c r="B1069">
        <v>4</v>
      </c>
      <c r="C1069" t="s">
        <v>6</v>
      </c>
      <c r="D1069" s="2">
        <v>43600</v>
      </c>
      <c r="E1069" s="11">
        <v>135</v>
      </c>
      <c r="F1069" s="3">
        <v>0.41758999999728985</v>
      </c>
      <c r="G1069" s="3">
        <v>0.42106000000057975</v>
      </c>
      <c r="H1069" s="13">
        <f t="shared" si="30"/>
        <v>135.41758999999729</v>
      </c>
      <c r="I1069" s="13">
        <f t="shared" si="31"/>
        <v>135.42106000000058</v>
      </c>
      <c r="J1069" s="13">
        <f t="shared" si="32"/>
        <v>135.41932499999893</v>
      </c>
      <c r="K1069" s="7">
        <v>43600.419324999995</v>
      </c>
      <c r="L1069" s="4">
        <v>476.2</v>
      </c>
      <c r="N1069">
        <v>10</v>
      </c>
      <c r="Q1069">
        <v>6.4513281772075599</v>
      </c>
    </row>
    <row r="1070" spans="1:18" x14ac:dyDescent="0.2">
      <c r="A1070" t="s">
        <v>8</v>
      </c>
      <c r="B1070">
        <v>5</v>
      </c>
      <c r="C1070" t="s">
        <v>2</v>
      </c>
      <c r="D1070" s="2">
        <v>43600</v>
      </c>
      <c r="E1070" s="11">
        <v>135</v>
      </c>
      <c r="F1070" s="3">
        <v>0.4224499999982072</v>
      </c>
      <c r="G1070" s="3">
        <v>0.4259299999976065</v>
      </c>
      <c r="H1070" s="13">
        <f t="shared" si="30"/>
        <v>135.42244999999821</v>
      </c>
      <c r="I1070" s="13">
        <f t="shared" si="31"/>
        <v>135.42592999999761</v>
      </c>
      <c r="J1070" s="13">
        <f t="shared" si="32"/>
        <v>135.42418999999791</v>
      </c>
      <c r="K1070" s="7">
        <v>43600.424189999998</v>
      </c>
      <c r="L1070" s="4">
        <v>1728.7</v>
      </c>
      <c r="M1070">
        <v>16</v>
      </c>
      <c r="N1070">
        <v>10</v>
      </c>
      <c r="Q1070">
        <v>-5.3062922403500696</v>
      </c>
    </row>
    <row r="1071" spans="1:18" x14ac:dyDescent="0.2">
      <c r="A1071" t="s">
        <v>8</v>
      </c>
      <c r="B1071">
        <v>5</v>
      </c>
      <c r="C1071" t="s">
        <v>6</v>
      </c>
      <c r="D1071" s="2">
        <v>43600</v>
      </c>
      <c r="E1071" s="11">
        <v>135</v>
      </c>
      <c r="F1071" s="3">
        <v>0.42730999999912456</v>
      </c>
      <c r="G1071" s="3">
        <v>0.43078999999852385</v>
      </c>
      <c r="H1071" s="13">
        <f t="shared" si="30"/>
        <v>135.42730999999912</v>
      </c>
      <c r="I1071" s="13">
        <f t="shared" si="31"/>
        <v>135.43078999999852</v>
      </c>
      <c r="J1071" s="13">
        <f t="shared" si="32"/>
        <v>135.42904999999882</v>
      </c>
      <c r="K1071" s="7">
        <v>43600.429049999999</v>
      </c>
      <c r="L1071" s="4">
        <v>1618.7</v>
      </c>
      <c r="N1071">
        <v>10</v>
      </c>
      <c r="Q1071">
        <v>3.1877562512992998</v>
      </c>
    </row>
    <row r="1072" spans="1:18" x14ac:dyDescent="0.2">
      <c r="A1072" t="s">
        <v>8</v>
      </c>
      <c r="B1072">
        <v>1</v>
      </c>
      <c r="C1072" t="s">
        <v>2</v>
      </c>
      <c r="D1072" s="2">
        <v>43600</v>
      </c>
      <c r="E1072" s="11">
        <v>135</v>
      </c>
      <c r="F1072" s="3">
        <v>0.50170999999681953</v>
      </c>
      <c r="G1072" s="3">
        <v>0.50519000000349479</v>
      </c>
      <c r="H1072" s="13">
        <f t="shared" si="30"/>
        <v>135.50170999999682</v>
      </c>
      <c r="I1072" s="13">
        <f t="shared" si="31"/>
        <v>135.50519000000349</v>
      </c>
      <c r="J1072" s="13">
        <f t="shared" si="32"/>
        <v>135.50345000000016</v>
      </c>
      <c r="K1072" s="7">
        <v>43600.503450000004</v>
      </c>
      <c r="L1072" s="4">
        <v>671.2</v>
      </c>
      <c r="M1072">
        <v>15.6</v>
      </c>
      <c r="N1072">
        <v>15.56</v>
      </c>
      <c r="Q1072">
        <v>-1.4515190219296199</v>
      </c>
      <c r="R1072">
        <v>-6.6109213443926805E-4</v>
      </c>
    </row>
    <row r="1073" spans="1:18" x14ac:dyDescent="0.2">
      <c r="A1073" t="s">
        <v>8</v>
      </c>
      <c r="B1073">
        <v>1</v>
      </c>
      <c r="C1073" t="s">
        <v>6</v>
      </c>
      <c r="D1073" s="2">
        <v>43600</v>
      </c>
      <c r="E1073" s="11">
        <v>135</v>
      </c>
      <c r="F1073" s="3">
        <v>0.50656999999773689</v>
      </c>
      <c r="G1073" s="3">
        <v>0.51004999999713618</v>
      </c>
      <c r="H1073" s="13">
        <f t="shared" si="30"/>
        <v>135.50656999999774</v>
      </c>
      <c r="I1073" s="13">
        <f t="shared" si="31"/>
        <v>135.51004999999714</v>
      </c>
      <c r="J1073" s="13">
        <f t="shared" si="32"/>
        <v>135.50830999999744</v>
      </c>
      <c r="K1073" s="7">
        <v>43600.508309999997</v>
      </c>
      <c r="L1073" s="4">
        <v>1631.2</v>
      </c>
      <c r="N1073">
        <v>15.56</v>
      </c>
      <c r="Q1073">
        <v>2.4918023031591301</v>
      </c>
      <c r="R1073">
        <v>2.5871419303220101E-4</v>
      </c>
    </row>
    <row r="1074" spans="1:18" x14ac:dyDescent="0.2">
      <c r="A1074" t="s">
        <v>8</v>
      </c>
      <c r="B1074">
        <v>2</v>
      </c>
      <c r="C1074" t="s">
        <v>2</v>
      </c>
      <c r="D1074" s="2">
        <v>43600</v>
      </c>
      <c r="E1074" s="11">
        <v>135</v>
      </c>
      <c r="F1074" s="3">
        <v>0.5114400000020396</v>
      </c>
      <c r="G1074" s="3">
        <v>0.51490999999805354</v>
      </c>
      <c r="H1074" s="13">
        <f t="shared" si="30"/>
        <v>135.51144000000204</v>
      </c>
      <c r="I1074" s="13">
        <f t="shared" si="31"/>
        <v>135.51490999999805</v>
      </c>
      <c r="J1074" s="13">
        <f t="shared" si="32"/>
        <v>135.51317500000005</v>
      </c>
      <c r="K1074" s="7">
        <v>43600.513175</v>
      </c>
      <c r="L1074" s="4">
        <v>1903.7</v>
      </c>
      <c r="M1074">
        <v>15.5</v>
      </c>
      <c r="N1074">
        <v>15.56</v>
      </c>
      <c r="Q1074">
        <v>-2.1271294377721599</v>
      </c>
      <c r="R1074" s="6">
        <v>-9.8111155047298998E-5</v>
      </c>
    </row>
    <row r="1075" spans="1:18" x14ac:dyDescent="0.2">
      <c r="A1075" t="s">
        <v>8</v>
      </c>
      <c r="B1075">
        <v>2</v>
      </c>
      <c r="C1075" t="s">
        <v>6</v>
      </c>
      <c r="D1075" s="2">
        <v>43600</v>
      </c>
      <c r="E1075" s="11">
        <v>135</v>
      </c>
      <c r="F1075" s="3">
        <v>0.51630000000295695</v>
      </c>
      <c r="G1075" s="3">
        <v>0.51976999999897089</v>
      </c>
      <c r="H1075" s="13">
        <f t="shared" si="30"/>
        <v>135.51630000000296</v>
      </c>
      <c r="I1075" s="13">
        <f t="shared" si="31"/>
        <v>135.51976999999897</v>
      </c>
      <c r="J1075" s="13">
        <f t="shared" si="32"/>
        <v>135.51803500000096</v>
      </c>
      <c r="K1075" s="7">
        <v>43600.518035000001</v>
      </c>
      <c r="L1075" s="4">
        <v>1908.7</v>
      </c>
      <c r="N1075">
        <v>15.56</v>
      </c>
      <c r="Q1075">
        <v>2.2286604848690801</v>
      </c>
      <c r="R1075">
        <v>3.6104799219251801E-4</v>
      </c>
    </row>
    <row r="1076" spans="1:18" x14ac:dyDescent="0.2">
      <c r="A1076" t="s">
        <v>8</v>
      </c>
      <c r="B1076">
        <v>3</v>
      </c>
      <c r="C1076" t="s">
        <v>2</v>
      </c>
      <c r="D1076" s="2">
        <v>43600</v>
      </c>
      <c r="E1076" s="11">
        <v>135</v>
      </c>
      <c r="F1076" s="3">
        <v>0.52115999999659834</v>
      </c>
      <c r="G1076" s="3">
        <v>0.52462999999988824</v>
      </c>
      <c r="H1076" s="13">
        <f t="shared" si="30"/>
        <v>135.5211599999966</v>
      </c>
      <c r="I1076" s="13">
        <f t="shared" si="31"/>
        <v>135.52462999999989</v>
      </c>
      <c r="J1076" s="13">
        <f t="shared" si="32"/>
        <v>135.52289499999824</v>
      </c>
      <c r="K1076" s="7">
        <v>43600.522895000002</v>
      </c>
      <c r="L1076" s="4">
        <v>2066.1999999999998</v>
      </c>
      <c r="M1076">
        <v>17.100000000000001</v>
      </c>
      <c r="N1076">
        <v>15.56</v>
      </c>
      <c r="Q1076">
        <v>-14.101237569476</v>
      </c>
      <c r="R1076">
        <v>4.6823309089782499E-4</v>
      </c>
    </row>
    <row r="1077" spans="1:18" x14ac:dyDescent="0.2">
      <c r="A1077" t="s">
        <v>8</v>
      </c>
      <c r="B1077">
        <v>3</v>
      </c>
      <c r="C1077" t="s">
        <v>6</v>
      </c>
      <c r="D1077" s="2">
        <v>43600</v>
      </c>
      <c r="E1077" s="11">
        <v>135</v>
      </c>
      <c r="F1077" s="3">
        <v>0.5260199999975157</v>
      </c>
      <c r="G1077" s="3">
        <v>0.52949000000080559</v>
      </c>
      <c r="H1077" s="13">
        <f t="shared" si="30"/>
        <v>135.52601999999752</v>
      </c>
      <c r="I1077" s="13">
        <f t="shared" si="31"/>
        <v>135.52949000000081</v>
      </c>
      <c r="J1077" s="13">
        <f t="shared" si="32"/>
        <v>135.52775499999916</v>
      </c>
      <c r="K1077" s="7">
        <v>43600.527755000003</v>
      </c>
      <c r="L1077" s="4">
        <v>651.20000000000005</v>
      </c>
      <c r="N1077">
        <v>15.56</v>
      </c>
      <c r="Q1077">
        <v>10.3996789791575</v>
      </c>
      <c r="R1077" s="6">
        <v>-5.97346074352375E-5</v>
      </c>
    </row>
    <row r="1078" spans="1:18" x14ac:dyDescent="0.2">
      <c r="A1078" t="s">
        <v>8</v>
      </c>
      <c r="B1078">
        <v>4</v>
      </c>
      <c r="C1078" t="s">
        <v>2</v>
      </c>
      <c r="D1078" s="2">
        <v>43600</v>
      </c>
      <c r="E1078" s="11">
        <v>135</v>
      </c>
      <c r="F1078" s="3">
        <v>0.53087999999843305</v>
      </c>
      <c r="G1078" s="3">
        <v>0.53435000000172295</v>
      </c>
      <c r="H1078" s="13">
        <f t="shared" si="30"/>
        <v>135.53087999999843</v>
      </c>
      <c r="I1078" s="13">
        <f t="shared" si="31"/>
        <v>135.53435000000172</v>
      </c>
      <c r="J1078" s="13">
        <f t="shared" si="32"/>
        <v>135.53261500000008</v>
      </c>
      <c r="K1078" s="7">
        <v>43600.532615000004</v>
      </c>
      <c r="L1078" s="4">
        <v>2011.2</v>
      </c>
      <c r="M1078">
        <v>24.1</v>
      </c>
      <c r="N1078">
        <v>15.56</v>
      </c>
      <c r="Q1078">
        <v>-13.8867150480252</v>
      </c>
      <c r="R1078">
        <v>-1.7676624763044999E-4</v>
      </c>
    </row>
    <row r="1079" spans="1:18" x14ac:dyDescent="0.2">
      <c r="A1079" t="s">
        <v>8</v>
      </c>
      <c r="B1079">
        <v>4</v>
      </c>
      <c r="C1079" t="s">
        <v>6</v>
      </c>
      <c r="D1079" s="2">
        <v>43600</v>
      </c>
      <c r="E1079" s="11">
        <v>135</v>
      </c>
      <c r="F1079" s="3">
        <v>0.5357399999993504</v>
      </c>
      <c r="G1079" s="3">
        <v>0.5392100000026403</v>
      </c>
      <c r="H1079" s="13">
        <f t="shared" si="30"/>
        <v>135.53573999999935</v>
      </c>
      <c r="I1079" s="13">
        <f t="shared" si="31"/>
        <v>135.53921000000264</v>
      </c>
      <c r="J1079" s="13">
        <f t="shared" si="32"/>
        <v>135.537475000001</v>
      </c>
      <c r="K1079" s="7">
        <v>43600.537475000005</v>
      </c>
      <c r="L1079" s="4">
        <v>1613.7</v>
      </c>
      <c r="N1079">
        <v>15.56</v>
      </c>
      <c r="Q1079">
        <v>6.3956451829866499</v>
      </c>
      <c r="R1079">
        <v>2.2997375731536701E-4</v>
      </c>
    </row>
    <row r="1080" spans="1:18" x14ac:dyDescent="0.2">
      <c r="A1080" t="s">
        <v>8</v>
      </c>
      <c r="B1080">
        <v>5</v>
      </c>
      <c r="C1080" t="s">
        <v>2</v>
      </c>
      <c r="D1080" s="2">
        <v>43600</v>
      </c>
      <c r="E1080" s="11">
        <v>135</v>
      </c>
      <c r="F1080" s="3">
        <v>0.54060000000026776</v>
      </c>
      <c r="G1080" s="3">
        <v>0.54407000000355765</v>
      </c>
      <c r="H1080" s="13">
        <f t="shared" si="30"/>
        <v>135.54060000000027</v>
      </c>
      <c r="I1080" s="13">
        <f t="shared" si="31"/>
        <v>135.54407000000356</v>
      </c>
      <c r="J1080" s="13">
        <f t="shared" si="32"/>
        <v>135.54233500000191</v>
      </c>
      <c r="K1080" s="7">
        <v>43600.542335000006</v>
      </c>
      <c r="L1080" s="4">
        <v>1713.7</v>
      </c>
      <c r="M1080">
        <v>16.7</v>
      </c>
      <c r="N1080">
        <v>15.56</v>
      </c>
      <c r="Q1080">
        <v>-6.6934288761262604</v>
      </c>
      <c r="R1080" s="6">
        <v>-9.6401376128944303E-5</v>
      </c>
    </row>
    <row r="1081" spans="1:18" x14ac:dyDescent="0.2">
      <c r="A1081" t="s">
        <v>8</v>
      </c>
      <c r="B1081">
        <v>5</v>
      </c>
      <c r="C1081" t="s">
        <v>6</v>
      </c>
      <c r="D1081" s="2">
        <v>43600</v>
      </c>
      <c r="E1081" s="11">
        <v>135</v>
      </c>
      <c r="F1081" s="3">
        <v>0.54546000000118511</v>
      </c>
      <c r="G1081" s="3">
        <v>0.5489400000005844</v>
      </c>
      <c r="H1081" s="13">
        <f t="shared" si="30"/>
        <v>135.54546000000119</v>
      </c>
      <c r="I1081" s="13">
        <f t="shared" si="31"/>
        <v>135.54894000000058</v>
      </c>
      <c r="J1081" s="13">
        <f t="shared" si="32"/>
        <v>135.54720000000088</v>
      </c>
      <c r="K1081" s="7">
        <v>43600.547200000001</v>
      </c>
      <c r="L1081" s="4">
        <v>2191.1999999999998</v>
      </c>
      <c r="N1081">
        <v>15.56</v>
      </c>
      <c r="Q1081">
        <v>5.6322341979304102</v>
      </c>
      <c r="R1081">
        <v>-7.32611139464972E-4</v>
      </c>
    </row>
    <row r="1082" spans="1:18" x14ac:dyDescent="0.2">
      <c r="A1082" t="s">
        <v>8</v>
      </c>
      <c r="B1082">
        <v>1</v>
      </c>
      <c r="C1082" t="s">
        <v>2</v>
      </c>
      <c r="D1082" s="2">
        <v>43627</v>
      </c>
      <c r="E1082" s="11">
        <v>162</v>
      </c>
      <c r="F1082" s="3">
        <v>0.42431000000215136</v>
      </c>
      <c r="G1082" s="3">
        <v>0.42777999999816529</v>
      </c>
      <c r="H1082" s="13">
        <f t="shared" si="30"/>
        <v>162.42431000000215</v>
      </c>
      <c r="I1082" s="13">
        <f t="shared" si="31"/>
        <v>162.42777999999817</v>
      </c>
      <c r="J1082" s="13">
        <f t="shared" si="32"/>
        <v>162.42604500000016</v>
      </c>
      <c r="K1082" s="7">
        <v>43627.426045</v>
      </c>
      <c r="L1082" s="4">
        <v>69.129000000000005</v>
      </c>
      <c r="M1082">
        <v>13</v>
      </c>
      <c r="N1082">
        <v>18.88</v>
      </c>
      <c r="Q1082">
        <v>-3.0008719732725799</v>
      </c>
      <c r="R1082">
        <v>2.5884555781203301E-4</v>
      </c>
    </row>
    <row r="1083" spans="1:18" x14ac:dyDescent="0.2">
      <c r="A1083" t="s">
        <v>8</v>
      </c>
      <c r="B1083">
        <v>1</v>
      </c>
      <c r="C1083" t="s">
        <v>6</v>
      </c>
      <c r="D1083" s="2">
        <v>43627</v>
      </c>
      <c r="E1083" s="11">
        <v>162</v>
      </c>
      <c r="F1083" s="3">
        <v>0.42917000000306871</v>
      </c>
      <c r="G1083" s="3">
        <v>0.43263999999908265</v>
      </c>
      <c r="H1083" s="13">
        <f t="shared" ref="H1083:H1146" si="33">E1083+F1083</f>
        <v>162.42917000000307</v>
      </c>
      <c r="I1083" s="13">
        <f t="shared" ref="I1083:I1146" si="34">E1083+G1083</f>
        <v>162.43263999999908</v>
      </c>
      <c r="J1083" s="13">
        <f t="shared" ref="J1083:J1146" si="35">AVERAGE(H1083:I1083)</f>
        <v>162.43090500000108</v>
      </c>
      <c r="K1083" s="7">
        <v>43627.430905000001</v>
      </c>
      <c r="L1083" s="4">
        <v>69.17</v>
      </c>
      <c r="N1083">
        <v>18.88</v>
      </c>
      <c r="Q1083">
        <v>9.6680054283210808</v>
      </c>
      <c r="R1083">
        <v>3.22357491387526E-4</v>
      </c>
    </row>
    <row r="1084" spans="1:18" x14ac:dyDescent="0.2">
      <c r="A1084" t="s">
        <v>8</v>
      </c>
      <c r="B1084">
        <v>2</v>
      </c>
      <c r="C1084" t="s">
        <v>2</v>
      </c>
      <c r="D1084" s="2">
        <v>43627</v>
      </c>
      <c r="E1084" s="11">
        <v>162</v>
      </c>
      <c r="F1084" s="3">
        <v>0.4340299999967101</v>
      </c>
      <c r="G1084" s="3">
        <v>0.4375</v>
      </c>
      <c r="H1084" s="13">
        <f t="shared" si="33"/>
        <v>162.43402999999671</v>
      </c>
      <c r="I1084" s="13">
        <f t="shared" si="34"/>
        <v>162.4375</v>
      </c>
      <c r="J1084" s="13">
        <f t="shared" si="35"/>
        <v>162.43576499999836</v>
      </c>
      <c r="K1084" s="7">
        <v>43627.435765000002</v>
      </c>
      <c r="L1084" s="4">
        <v>69.256</v>
      </c>
      <c r="M1084">
        <v>5.9</v>
      </c>
      <c r="N1084">
        <v>18.88</v>
      </c>
      <c r="Q1084">
        <v>-0.560028632863387</v>
      </c>
      <c r="R1084" s="6">
        <v>-7.3024303074370096E-5</v>
      </c>
    </row>
    <row r="1085" spans="1:18" x14ac:dyDescent="0.2">
      <c r="A1085" t="s">
        <v>8</v>
      </c>
      <c r="B1085">
        <v>2</v>
      </c>
      <c r="C1085" t="s">
        <v>6</v>
      </c>
      <c r="D1085" s="2">
        <v>43627</v>
      </c>
      <c r="E1085" s="11">
        <v>162</v>
      </c>
      <c r="F1085" s="3">
        <v>0.43888999999762746</v>
      </c>
      <c r="G1085" s="3">
        <v>0.44236000000091735</v>
      </c>
      <c r="H1085" s="13">
        <f t="shared" si="33"/>
        <v>162.43888999999763</v>
      </c>
      <c r="I1085" s="13">
        <f t="shared" si="34"/>
        <v>162.44236000000092</v>
      </c>
      <c r="J1085" s="13">
        <f t="shared" si="35"/>
        <v>162.44062499999927</v>
      </c>
      <c r="K1085" s="7">
        <v>43627.440625000003</v>
      </c>
      <c r="L1085" s="4">
        <v>69.385999999999996</v>
      </c>
      <c r="N1085">
        <v>18.88</v>
      </c>
      <c r="Q1085">
        <v>11.797502274779101</v>
      </c>
      <c r="R1085">
        <v>1.15557369395058E-4</v>
      </c>
    </row>
    <row r="1086" spans="1:18" x14ac:dyDescent="0.2">
      <c r="A1086" t="s">
        <v>8</v>
      </c>
      <c r="B1086">
        <v>3</v>
      </c>
      <c r="C1086" t="s">
        <v>2</v>
      </c>
      <c r="D1086" s="2">
        <v>43627</v>
      </c>
      <c r="E1086" s="11">
        <v>162</v>
      </c>
      <c r="F1086" s="3">
        <v>0.44374999999854481</v>
      </c>
      <c r="G1086" s="3">
        <v>0.44722000000183471</v>
      </c>
      <c r="H1086" s="13">
        <f t="shared" si="33"/>
        <v>162.44374999999854</v>
      </c>
      <c r="I1086" s="13">
        <f t="shared" si="34"/>
        <v>162.44722000000183</v>
      </c>
      <c r="J1086" s="13">
        <f t="shared" si="35"/>
        <v>162.44548500000019</v>
      </c>
      <c r="K1086" s="7">
        <v>43627.445485000004</v>
      </c>
      <c r="L1086" s="4">
        <v>69.513999999999996</v>
      </c>
      <c r="M1086">
        <v>6.2</v>
      </c>
      <c r="N1086">
        <v>18.88</v>
      </c>
      <c r="Q1086">
        <v>-1.6674925112451</v>
      </c>
      <c r="R1086">
        <v>-1.8350487934995499E-4</v>
      </c>
    </row>
    <row r="1087" spans="1:18" x14ac:dyDescent="0.2">
      <c r="A1087" t="s">
        <v>8</v>
      </c>
      <c r="B1087">
        <v>3</v>
      </c>
      <c r="C1087" t="s">
        <v>6</v>
      </c>
      <c r="D1087" s="2">
        <v>43627</v>
      </c>
      <c r="E1087" s="11">
        <v>162</v>
      </c>
      <c r="F1087" s="3">
        <v>0.44860999999946216</v>
      </c>
      <c r="G1087" s="3">
        <v>0.45208000000275206</v>
      </c>
      <c r="H1087" s="13">
        <f t="shared" si="33"/>
        <v>162.44860999999946</v>
      </c>
      <c r="I1087" s="13">
        <f t="shared" si="34"/>
        <v>162.45208000000275</v>
      </c>
      <c r="J1087" s="13">
        <f t="shared" si="35"/>
        <v>162.45034500000111</v>
      </c>
      <c r="K1087" s="7">
        <v>43627.450345000005</v>
      </c>
      <c r="L1087" s="4">
        <v>69.685000000000002</v>
      </c>
      <c r="N1087">
        <v>18.88</v>
      </c>
      <c r="Q1087">
        <v>13.9238108595012</v>
      </c>
      <c r="R1087">
        <v>1.06082366366215E-3</v>
      </c>
    </row>
    <row r="1088" spans="1:18" x14ac:dyDescent="0.2">
      <c r="A1088" t="s">
        <v>8</v>
      </c>
      <c r="B1088">
        <v>4</v>
      </c>
      <c r="C1088" t="s">
        <v>2</v>
      </c>
      <c r="D1088" s="2">
        <v>43627</v>
      </c>
      <c r="E1088" s="11">
        <v>162</v>
      </c>
      <c r="F1088" s="3">
        <v>0.45347000000037951</v>
      </c>
      <c r="G1088" s="3">
        <v>0.45693999999639345</v>
      </c>
      <c r="H1088" s="13">
        <f t="shared" si="33"/>
        <v>162.45347000000038</v>
      </c>
      <c r="I1088" s="13">
        <f t="shared" si="34"/>
        <v>162.45693999999639</v>
      </c>
      <c r="J1088" s="13">
        <f t="shared" si="35"/>
        <v>162.45520499999839</v>
      </c>
      <c r="K1088" s="7">
        <v>43627.455204999998</v>
      </c>
      <c r="L1088" s="4">
        <v>69.900999999999996</v>
      </c>
      <c r="M1088">
        <v>8.5</v>
      </c>
      <c r="N1088">
        <v>18.88</v>
      </c>
      <c r="Q1088">
        <v>-8.1004298266811805</v>
      </c>
      <c r="R1088">
        <v>1.3586961081831401E-2</v>
      </c>
    </row>
    <row r="1089" spans="1:18" x14ac:dyDescent="0.2">
      <c r="A1089" t="s">
        <v>8</v>
      </c>
      <c r="B1089">
        <v>4</v>
      </c>
      <c r="C1089" t="s">
        <v>6</v>
      </c>
      <c r="D1089" s="2">
        <v>43627</v>
      </c>
      <c r="E1089" s="11">
        <v>162</v>
      </c>
      <c r="F1089" s="3">
        <v>0.45833000000129687</v>
      </c>
      <c r="G1089" s="3">
        <v>0.46181000000069616</v>
      </c>
      <c r="H1089" s="13">
        <f t="shared" si="33"/>
        <v>162.4583300000013</v>
      </c>
      <c r="I1089" s="13">
        <f t="shared" si="34"/>
        <v>162.4618100000007</v>
      </c>
      <c r="J1089" s="13">
        <f t="shared" si="35"/>
        <v>162.460070000001</v>
      </c>
      <c r="K1089" s="7">
        <v>43627.460070000001</v>
      </c>
      <c r="L1089" s="4">
        <v>70.072000000000003</v>
      </c>
      <c r="N1089">
        <v>18.88</v>
      </c>
      <c r="Q1089">
        <v>7.7718859082822904</v>
      </c>
      <c r="R1089">
        <v>-5.6414212220320904E-3</v>
      </c>
    </row>
    <row r="1090" spans="1:18" x14ac:dyDescent="0.2">
      <c r="A1090" t="s">
        <v>8</v>
      </c>
      <c r="B1090">
        <v>5</v>
      </c>
      <c r="C1090" t="s">
        <v>2</v>
      </c>
      <c r="D1090" s="2">
        <v>43627</v>
      </c>
      <c r="E1090" s="11">
        <v>162</v>
      </c>
      <c r="F1090" s="3">
        <v>0.46319000000221422</v>
      </c>
      <c r="G1090" s="3">
        <v>0.46667000000161352</v>
      </c>
      <c r="H1090" s="13">
        <f t="shared" si="33"/>
        <v>162.46319000000221</v>
      </c>
      <c r="I1090" s="13">
        <f t="shared" si="34"/>
        <v>162.46667000000161</v>
      </c>
      <c r="J1090" s="13">
        <f t="shared" si="35"/>
        <v>162.46493000000191</v>
      </c>
      <c r="K1090" s="7">
        <v>43627.464930000002</v>
      </c>
      <c r="L1090" s="4">
        <v>70.286000000000001</v>
      </c>
      <c r="M1090">
        <v>4.8</v>
      </c>
      <c r="N1090">
        <v>18.88</v>
      </c>
      <c r="Q1090">
        <v>-8.5149328006963891</v>
      </c>
      <c r="R1090">
        <v>-1.15762615635496E-2</v>
      </c>
    </row>
    <row r="1091" spans="1:18" x14ac:dyDescent="0.2">
      <c r="A1091" t="s">
        <v>8</v>
      </c>
      <c r="B1091">
        <v>5</v>
      </c>
      <c r="C1091" t="s">
        <v>6</v>
      </c>
      <c r="D1091" s="2">
        <v>43627</v>
      </c>
      <c r="E1091" s="11">
        <v>162</v>
      </c>
      <c r="F1091" s="3">
        <v>0.46805999999924097</v>
      </c>
      <c r="G1091" s="3">
        <v>0.47153000000253087</v>
      </c>
      <c r="H1091" s="13">
        <f t="shared" si="33"/>
        <v>162.46805999999924</v>
      </c>
      <c r="I1091" s="13">
        <f t="shared" si="34"/>
        <v>162.47153000000253</v>
      </c>
      <c r="J1091" s="13">
        <f t="shared" si="35"/>
        <v>162.46979500000089</v>
      </c>
      <c r="K1091" s="7">
        <v>43627.469794999997</v>
      </c>
      <c r="L1091" s="4">
        <v>70.459000000000003</v>
      </c>
      <c r="N1091">
        <v>18.88</v>
      </c>
      <c r="Q1091">
        <v>8.2959849892347304</v>
      </c>
      <c r="R1091">
        <v>2.3278445930268502E-3</v>
      </c>
    </row>
    <row r="1092" spans="1:18" x14ac:dyDescent="0.2">
      <c r="A1092" t="s">
        <v>8</v>
      </c>
      <c r="B1092">
        <v>1</v>
      </c>
      <c r="C1092" t="s">
        <v>2</v>
      </c>
      <c r="D1092" s="2">
        <v>43627</v>
      </c>
      <c r="E1092" s="11">
        <v>162</v>
      </c>
      <c r="F1092" s="3">
        <v>0.5347200000032899</v>
      </c>
      <c r="G1092" s="3">
        <v>0.53818999999930384</v>
      </c>
      <c r="H1092" s="13">
        <f t="shared" si="33"/>
        <v>162.53472000000329</v>
      </c>
      <c r="I1092" s="13">
        <f t="shared" si="34"/>
        <v>162.5381899999993</v>
      </c>
      <c r="J1092" s="13">
        <f t="shared" si="35"/>
        <v>162.5364550000013</v>
      </c>
      <c r="K1092" s="7">
        <v>43627.536455000001</v>
      </c>
      <c r="L1092" s="4">
        <v>1663.7</v>
      </c>
      <c r="M1092">
        <v>4.9000000000000004</v>
      </c>
      <c r="N1092">
        <v>18.88</v>
      </c>
      <c r="Q1092">
        <v>-469903.43151798</v>
      </c>
      <c r="R1092">
        <v>14.6816743009713</v>
      </c>
    </row>
    <row r="1093" spans="1:18" x14ac:dyDescent="0.2">
      <c r="A1093" t="s">
        <v>8</v>
      </c>
      <c r="B1093">
        <v>1</v>
      </c>
      <c r="C1093" t="s">
        <v>6</v>
      </c>
      <c r="D1093" s="2">
        <v>43627</v>
      </c>
      <c r="E1093" s="11">
        <v>162</v>
      </c>
      <c r="F1093" s="3">
        <v>0.53957999999693129</v>
      </c>
      <c r="G1093" s="3">
        <v>0.54306000000360655</v>
      </c>
      <c r="H1093" s="13">
        <f t="shared" si="33"/>
        <v>162.53957999999693</v>
      </c>
      <c r="I1093" s="13">
        <f t="shared" si="34"/>
        <v>162.54306000000361</v>
      </c>
      <c r="J1093" s="13">
        <f t="shared" si="35"/>
        <v>162.54132000000027</v>
      </c>
      <c r="K1093" s="7">
        <v>43627.541320000004</v>
      </c>
      <c r="L1093" s="4">
        <v>2498.6999999999998</v>
      </c>
      <c r="N1093">
        <v>18.88</v>
      </c>
      <c r="Q1093">
        <v>13.508838263762501</v>
      </c>
      <c r="R1093">
        <v>3.8420440481724198E-4</v>
      </c>
    </row>
    <row r="1094" spans="1:18" x14ac:dyDescent="0.2">
      <c r="A1094" t="s">
        <v>8</v>
      </c>
      <c r="B1094">
        <v>2</v>
      </c>
      <c r="C1094" t="s">
        <v>2</v>
      </c>
      <c r="D1094" s="2">
        <v>43627</v>
      </c>
      <c r="E1094" s="11">
        <v>162</v>
      </c>
      <c r="F1094" s="3">
        <v>0.54443999999784864</v>
      </c>
      <c r="G1094" s="3">
        <v>0.54791999999724794</v>
      </c>
      <c r="H1094" s="13">
        <f t="shared" si="33"/>
        <v>162.54443999999785</v>
      </c>
      <c r="I1094" s="13">
        <f t="shared" si="34"/>
        <v>162.54791999999725</v>
      </c>
      <c r="J1094" s="13">
        <f t="shared" si="35"/>
        <v>162.54617999999755</v>
      </c>
      <c r="K1094" s="7">
        <v>43627.546179999998</v>
      </c>
      <c r="L1094" s="4">
        <v>1441.2</v>
      </c>
      <c r="M1094">
        <v>3.2</v>
      </c>
      <c r="N1094">
        <v>18.88</v>
      </c>
      <c r="Q1094">
        <v>-2.1728655030342199</v>
      </c>
      <c r="R1094">
        <v>-8.6511322266904502E-4</v>
      </c>
    </row>
    <row r="1095" spans="1:18" x14ac:dyDescent="0.2">
      <c r="A1095" t="s">
        <v>8</v>
      </c>
      <c r="B1095">
        <v>2</v>
      </c>
      <c r="C1095" t="s">
        <v>6</v>
      </c>
      <c r="D1095" s="2">
        <v>43627</v>
      </c>
      <c r="E1095" s="11">
        <v>162</v>
      </c>
      <c r="F1095" s="3">
        <v>0.54931000000215136</v>
      </c>
      <c r="G1095" s="3">
        <v>0.55277999999816529</v>
      </c>
      <c r="H1095" s="13">
        <f t="shared" si="33"/>
        <v>162.54931000000215</v>
      </c>
      <c r="I1095" s="13">
        <f t="shared" si="34"/>
        <v>162.55277999999817</v>
      </c>
      <c r="J1095" s="13">
        <f t="shared" si="35"/>
        <v>162.55104500000016</v>
      </c>
      <c r="K1095" s="7">
        <v>43627.551045</v>
      </c>
      <c r="L1095" s="4">
        <v>968.7</v>
      </c>
      <c r="N1095">
        <v>18.88</v>
      </c>
      <c r="Q1095">
        <v>275111.39981306402</v>
      </c>
      <c r="R1095">
        <v>2820.1731326982099</v>
      </c>
    </row>
    <row r="1096" spans="1:18" x14ac:dyDescent="0.2">
      <c r="A1096" t="s">
        <v>8</v>
      </c>
      <c r="B1096">
        <v>3</v>
      </c>
      <c r="C1096" t="s">
        <v>2</v>
      </c>
      <c r="D1096" s="2">
        <v>43627</v>
      </c>
      <c r="E1096" s="11">
        <v>162</v>
      </c>
      <c r="F1096" s="3">
        <v>0.55417000000306871</v>
      </c>
      <c r="G1096" s="3">
        <v>0.55763999999908265</v>
      </c>
      <c r="H1096" s="13">
        <f t="shared" si="33"/>
        <v>162.55417000000307</v>
      </c>
      <c r="I1096" s="13">
        <f t="shared" si="34"/>
        <v>162.55763999999908</v>
      </c>
      <c r="J1096" s="13">
        <f t="shared" si="35"/>
        <v>162.55590500000108</v>
      </c>
      <c r="K1096" s="7">
        <v>43627.555905000001</v>
      </c>
      <c r="L1096" s="4">
        <v>836.2</v>
      </c>
      <c r="M1096">
        <v>5.4</v>
      </c>
      <c r="N1096">
        <v>18.88</v>
      </c>
      <c r="Q1096">
        <v>-0.52940780567147105</v>
      </c>
      <c r="R1096">
        <v>-4.6595223710627803E-4</v>
      </c>
    </row>
    <row r="1097" spans="1:18" x14ac:dyDescent="0.2">
      <c r="A1097" t="s">
        <v>8</v>
      </c>
      <c r="B1097">
        <v>3</v>
      </c>
      <c r="C1097" t="s">
        <v>6</v>
      </c>
      <c r="D1097" s="2">
        <v>43627</v>
      </c>
      <c r="E1097" s="11">
        <v>162</v>
      </c>
      <c r="F1097" s="3">
        <v>0.5590299999967101</v>
      </c>
      <c r="G1097" s="3">
        <v>0.5625</v>
      </c>
      <c r="H1097" s="13">
        <f t="shared" si="33"/>
        <v>162.55902999999671</v>
      </c>
      <c r="I1097" s="13">
        <f t="shared" si="34"/>
        <v>162.5625</v>
      </c>
      <c r="J1097" s="13">
        <f t="shared" si="35"/>
        <v>162.56076499999836</v>
      </c>
      <c r="K1097" s="7">
        <v>43627.560765000002</v>
      </c>
      <c r="L1097" s="4">
        <v>738.7</v>
      </c>
      <c r="N1097">
        <v>18.88</v>
      </c>
      <c r="Q1097">
        <v>9.0289339130856998</v>
      </c>
      <c r="R1097">
        <v>-3.6737386450499401E-4</v>
      </c>
    </row>
    <row r="1098" spans="1:18" x14ac:dyDescent="0.2">
      <c r="A1098" t="s">
        <v>8</v>
      </c>
      <c r="B1098">
        <v>4</v>
      </c>
      <c r="C1098" t="s">
        <v>2</v>
      </c>
      <c r="D1098" s="2">
        <v>43627</v>
      </c>
      <c r="E1098" s="11">
        <v>162</v>
      </c>
      <c r="F1098" s="3">
        <v>0.56388999999762746</v>
      </c>
      <c r="G1098" s="3">
        <v>0.56736000000091735</v>
      </c>
      <c r="H1098" s="13">
        <f t="shared" si="33"/>
        <v>162.56388999999763</v>
      </c>
      <c r="I1098" s="13">
        <f t="shared" si="34"/>
        <v>162.56736000000092</v>
      </c>
      <c r="J1098" s="13">
        <f t="shared" si="35"/>
        <v>162.56562499999927</v>
      </c>
      <c r="K1098" s="7">
        <v>43627.565625000003</v>
      </c>
      <c r="L1098" s="4">
        <v>1541.2</v>
      </c>
      <c r="M1098">
        <v>6.8</v>
      </c>
      <c r="N1098">
        <v>18.88</v>
      </c>
      <c r="Q1098">
        <v>-4.4955917193875603</v>
      </c>
      <c r="R1098">
        <v>-5.88854514453391E-4</v>
      </c>
    </row>
    <row r="1099" spans="1:18" x14ac:dyDescent="0.2">
      <c r="A1099" t="s">
        <v>8</v>
      </c>
      <c r="B1099">
        <v>4</v>
      </c>
      <c r="C1099" t="s">
        <v>6</v>
      </c>
      <c r="D1099" s="2">
        <v>43627</v>
      </c>
      <c r="E1099" s="11">
        <v>162</v>
      </c>
      <c r="F1099" s="3">
        <v>0.56874999999854481</v>
      </c>
      <c r="G1099" s="3">
        <v>0.57222000000183471</v>
      </c>
      <c r="H1099" s="13">
        <f t="shared" si="33"/>
        <v>162.56874999999854</v>
      </c>
      <c r="I1099" s="13">
        <f t="shared" si="34"/>
        <v>162.57222000000183</v>
      </c>
      <c r="J1099" s="13">
        <f t="shared" si="35"/>
        <v>162.57048500000019</v>
      </c>
      <c r="K1099" s="7">
        <v>43627.570485000004</v>
      </c>
      <c r="L1099" s="4">
        <v>988.7</v>
      </c>
      <c r="N1099">
        <v>18.88</v>
      </c>
      <c r="Q1099">
        <v>9.4768949674218508</v>
      </c>
      <c r="R1099">
        <v>-2.1775463657104299E-4</v>
      </c>
    </row>
    <row r="1100" spans="1:18" x14ac:dyDescent="0.2">
      <c r="A1100" t="s">
        <v>8</v>
      </c>
      <c r="B1100">
        <v>5</v>
      </c>
      <c r="C1100" t="s">
        <v>2</v>
      </c>
      <c r="D1100" s="2">
        <v>43627</v>
      </c>
      <c r="E1100" s="11">
        <v>162</v>
      </c>
      <c r="F1100" s="3">
        <v>0.57360999999946216</v>
      </c>
      <c r="G1100" s="3">
        <v>0.57708000000275206</v>
      </c>
      <c r="H1100" s="13">
        <f t="shared" si="33"/>
        <v>162.57360999999946</v>
      </c>
      <c r="I1100" s="13">
        <f t="shared" si="34"/>
        <v>162.57708000000275</v>
      </c>
      <c r="J1100" s="13">
        <f t="shared" si="35"/>
        <v>162.57534500000111</v>
      </c>
      <c r="K1100" s="7">
        <v>43627.575345000005</v>
      </c>
      <c r="L1100" s="4">
        <v>133.69999999999999</v>
      </c>
      <c r="M1100">
        <v>5.8</v>
      </c>
      <c r="N1100">
        <v>18.88</v>
      </c>
      <c r="Q1100">
        <v>-6.0452552088237397</v>
      </c>
      <c r="R1100">
        <v>-2.7373277967039102E-4</v>
      </c>
    </row>
    <row r="1101" spans="1:18" x14ac:dyDescent="0.2">
      <c r="A1101" t="s">
        <v>8</v>
      </c>
      <c r="B1101">
        <v>5</v>
      </c>
      <c r="C1101" t="s">
        <v>6</v>
      </c>
      <c r="D1101" s="2">
        <v>43627</v>
      </c>
      <c r="E1101" s="11">
        <v>162</v>
      </c>
      <c r="F1101" s="3">
        <v>0.57847000000037951</v>
      </c>
      <c r="G1101" s="3">
        <v>0.58193999999639345</v>
      </c>
      <c r="H1101" s="13">
        <f t="shared" si="33"/>
        <v>162.57847000000038</v>
      </c>
      <c r="I1101" s="13">
        <f t="shared" si="34"/>
        <v>162.58193999999639</v>
      </c>
      <c r="J1101" s="13">
        <f t="shared" si="35"/>
        <v>162.58020499999839</v>
      </c>
      <c r="K1101" s="7">
        <v>43627.580204999998</v>
      </c>
      <c r="L1101" s="4">
        <v>153.69999999999999</v>
      </c>
      <c r="N1101">
        <v>18.88</v>
      </c>
      <c r="Q1101">
        <v>8.2670145980123504</v>
      </c>
      <c r="R1101">
        <v>3.9713901354164E-4</v>
      </c>
    </row>
    <row r="1102" spans="1:18" x14ac:dyDescent="0.2">
      <c r="A1102" t="s">
        <v>8</v>
      </c>
      <c r="B1102">
        <v>1</v>
      </c>
      <c r="C1102" t="s">
        <v>2</v>
      </c>
      <c r="D1102" s="2">
        <v>43635</v>
      </c>
      <c r="E1102" s="11">
        <v>170</v>
      </c>
      <c r="F1102" s="3">
        <v>0.43194000000221422</v>
      </c>
      <c r="G1102" s="3">
        <v>0.43542000000161352</v>
      </c>
      <c r="H1102" s="13">
        <f t="shared" si="33"/>
        <v>170.43194000000221</v>
      </c>
      <c r="I1102" s="13">
        <f t="shared" si="34"/>
        <v>170.43542000000161</v>
      </c>
      <c r="J1102" s="13">
        <f t="shared" si="35"/>
        <v>170.43368000000191</v>
      </c>
      <c r="K1102" s="7">
        <v>43635.433680000002</v>
      </c>
      <c r="L1102" s="4">
        <v>568.70000000000005</v>
      </c>
      <c r="M1102">
        <v>10.9</v>
      </c>
      <c r="N1102">
        <v>21.67</v>
      </c>
      <c r="Q1102">
        <v>1.86551235241707</v>
      </c>
      <c r="R1102">
        <v>-1.3933711983573501E-3</v>
      </c>
    </row>
    <row r="1103" spans="1:18" x14ac:dyDescent="0.2">
      <c r="A1103" t="s">
        <v>8</v>
      </c>
      <c r="B1103">
        <v>1</v>
      </c>
      <c r="C1103" t="s">
        <v>6</v>
      </c>
      <c r="D1103" s="2">
        <v>43635</v>
      </c>
      <c r="E1103" s="11">
        <v>170</v>
      </c>
      <c r="F1103" s="3">
        <v>0.43680999999924097</v>
      </c>
      <c r="G1103" s="3">
        <v>0.44028000000253087</v>
      </c>
      <c r="H1103" s="13">
        <f t="shared" si="33"/>
        <v>170.43680999999924</v>
      </c>
      <c r="I1103" s="13">
        <f t="shared" si="34"/>
        <v>170.44028000000253</v>
      </c>
      <c r="J1103" s="13">
        <f t="shared" si="35"/>
        <v>170.43854500000089</v>
      </c>
      <c r="K1103" s="7">
        <v>43635.438544999997</v>
      </c>
      <c r="L1103" s="4">
        <v>708.7</v>
      </c>
      <c r="N1103">
        <v>21.67</v>
      </c>
      <c r="Q1103">
        <v>6.5859383993486604</v>
      </c>
      <c r="R1103">
        <v>3.7642772383858302E-4</v>
      </c>
    </row>
    <row r="1104" spans="1:18" x14ac:dyDescent="0.2">
      <c r="A1104" t="s">
        <v>8</v>
      </c>
      <c r="B1104">
        <v>2</v>
      </c>
      <c r="C1104" t="s">
        <v>2</v>
      </c>
      <c r="D1104" s="2">
        <v>43635</v>
      </c>
      <c r="E1104" s="11">
        <v>170</v>
      </c>
      <c r="F1104" s="3">
        <v>0.44167000000015832</v>
      </c>
      <c r="G1104" s="3">
        <v>0.44514000000344822</v>
      </c>
      <c r="H1104" s="13">
        <f t="shared" si="33"/>
        <v>170.44167000000016</v>
      </c>
      <c r="I1104" s="13">
        <f t="shared" si="34"/>
        <v>170.44514000000345</v>
      </c>
      <c r="J1104" s="13">
        <f t="shared" si="35"/>
        <v>170.4434050000018</v>
      </c>
      <c r="K1104" s="7">
        <v>43635.443404999998</v>
      </c>
      <c r="L1104" s="4">
        <v>823.7</v>
      </c>
      <c r="M1104">
        <v>7.9</v>
      </c>
      <c r="N1104">
        <v>21.67</v>
      </c>
      <c r="Q1104">
        <v>1.3728178607036701</v>
      </c>
      <c r="R1104">
        <v>-3.9238465836710897E-3</v>
      </c>
    </row>
    <row r="1105" spans="1:18" x14ac:dyDescent="0.2">
      <c r="A1105" t="s">
        <v>8</v>
      </c>
      <c r="B1105">
        <v>2</v>
      </c>
      <c r="C1105" t="s">
        <v>6</v>
      </c>
      <c r="D1105" s="2">
        <v>43635</v>
      </c>
      <c r="E1105" s="11">
        <v>170</v>
      </c>
      <c r="F1105" s="3">
        <v>0.44653000000107568</v>
      </c>
      <c r="G1105" s="3">
        <v>0.44999999999708962</v>
      </c>
      <c r="H1105" s="13">
        <f t="shared" si="33"/>
        <v>170.44653000000108</v>
      </c>
      <c r="I1105" s="13">
        <f t="shared" si="34"/>
        <v>170.44999999999709</v>
      </c>
      <c r="J1105" s="13">
        <f t="shared" si="35"/>
        <v>170.44826499999908</v>
      </c>
      <c r="K1105" s="7">
        <v>43635.448264999999</v>
      </c>
      <c r="L1105" s="4">
        <v>1021.2</v>
      </c>
      <c r="N1105">
        <v>21.67</v>
      </c>
      <c r="Q1105">
        <v>9.8841946630500708</v>
      </c>
      <c r="R1105">
        <v>-6.4401400664260502E-4</v>
      </c>
    </row>
    <row r="1106" spans="1:18" x14ac:dyDescent="0.2">
      <c r="A1106" t="s">
        <v>8</v>
      </c>
      <c r="B1106">
        <v>3</v>
      </c>
      <c r="C1106" t="s">
        <v>2</v>
      </c>
      <c r="D1106" s="2">
        <v>43635</v>
      </c>
      <c r="E1106" s="11">
        <v>170</v>
      </c>
      <c r="F1106" s="3">
        <v>0.45139000000199303</v>
      </c>
      <c r="G1106" s="3">
        <v>0.45485999999800697</v>
      </c>
      <c r="H1106" s="13">
        <f t="shared" si="33"/>
        <v>170.45139000000199</v>
      </c>
      <c r="I1106" s="13">
        <f t="shared" si="34"/>
        <v>170.45485999999801</v>
      </c>
      <c r="J1106" s="13">
        <f t="shared" si="35"/>
        <v>170.453125</v>
      </c>
      <c r="K1106" s="7">
        <v>43635.453125</v>
      </c>
      <c r="L1106" s="4">
        <v>958.7</v>
      </c>
      <c r="M1106">
        <v>12.9</v>
      </c>
      <c r="N1106">
        <v>21.67</v>
      </c>
      <c r="Q1106">
        <v>87.530577523342998</v>
      </c>
      <c r="R1106">
        <v>-0.20396815526864701</v>
      </c>
    </row>
    <row r="1107" spans="1:18" x14ac:dyDescent="0.2">
      <c r="A1107" t="s">
        <v>8</v>
      </c>
      <c r="B1107">
        <v>3</v>
      </c>
      <c r="C1107" t="s">
        <v>6</v>
      </c>
      <c r="D1107" s="2">
        <v>43635</v>
      </c>
      <c r="E1107" s="11">
        <v>170</v>
      </c>
      <c r="F1107" s="3">
        <v>0.45625000000291038</v>
      </c>
      <c r="G1107" s="3">
        <v>0.45971999999892432</v>
      </c>
      <c r="H1107" s="13">
        <f t="shared" si="33"/>
        <v>170.45625000000291</v>
      </c>
      <c r="I1107" s="13">
        <f t="shared" si="34"/>
        <v>170.45971999999892</v>
      </c>
      <c r="J1107" s="13">
        <f t="shared" si="35"/>
        <v>170.45798500000092</v>
      </c>
      <c r="K1107" s="7">
        <v>43635.457985000001</v>
      </c>
      <c r="L1107" s="4">
        <v>1471.2</v>
      </c>
      <c r="N1107">
        <v>21.67</v>
      </c>
      <c r="Q1107">
        <v>759570.80769934005</v>
      </c>
      <c r="R1107">
        <v>-15.550214813373699</v>
      </c>
    </row>
    <row r="1108" spans="1:18" x14ac:dyDescent="0.2">
      <c r="A1108" t="s">
        <v>8</v>
      </c>
      <c r="B1108">
        <v>4</v>
      </c>
      <c r="C1108" t="s">
        <v>2</v>
      </c>
      <c r="D1108" s="2">
        <v>43635</v>
      </c>
      <c r="E1108" s="11">
        <v>170</v>
      </c>
      <c r="F1108" s="3">
        <v>0.46110999999655178</v>
      </c>
      <c r="G1108" s="3">
        <v>0.46457999999984168</v>
      </c>
      <c r="H1108" s="13">
        <f t="shared" si="33"/>
        <v>170.46110999999655</v>
      </c>
      <c r="I1108" s="13">
        <f t="shared" si="34"/>
        <v>170.46457999999984</v>
      </c>
      <c r="J1108" s="13">
        <f t="shared" si="35"/>
        <v>170.4628449999982</v>
      </c>
      <c r="K1108" s="7">
        <v>43635.462845000002</v>
      </c>
      <c r="L1108" s="4">
        <v>926.2</v>
      </c>
      <c r="M1108">
        <v>10.6</v>
      </c>
      <c r="N1108">
        <v>21.67</v>
      </c>
      <c r="Q1108">
        <v>2.8476193913077599</v>
      </c>
      <c r="R1108" s="6">
        <v>-2.98388595021658E-6</v>
      </c>
    </row>
    <row r="1109" spans="1:18" x14ac:dyDescent="0.2">
      <c r="A1109" t="s">
        <v>8</v>
      </c>
      <c r="B1109">
        <v>4</v>
      </c>
      <c r="C1109" t="s">
        <v>6</v>
      </c>
      <c r="D1109" s="2">
        <v>43635</v>
      </c>
      <c r="E1109" s="11">
        <v>170</v>
      </c>
      <c r="F1109" s="3">
        <v>0.46596999999746913</v>
      </c>
      <c r="G1109" s="3">
        <v>0.46944000000075903</v>
      </c>
      <c r="H1109" s="13">
        <f t="shared" si="33"/>
        <v>170.46596999999747</v>
      </c>
      <c r="I1109" s="13">
        <f t="shared" si="34"/>
        <v>170.46944000000076</v>
      </c>
      <c r="J1109" s="13">
        <f t="shared" si="35"/>
        <v>170.46770499999911</v>
      </c>
      <c r="K1109" s="7">
        <v>43635.467705000003</v>
      </c>
      <c r="L1109" s="4">
        <v>1011.2</v>
      </c>
      <c r="N1109">
        <v>21.67</v>
      </c>
      <c r="Q1109">
        <v>7.5966921950879103</v>
      </c>
      <c r="R1109">
        <v>3.2103617630763602E-2</v>
      </c>
    </row>
    <row r="1110" spans="1:18" x14ac:dyDescent="0.2">
      <c r="A1110" t="s">
        <v>8</v>
      </c>
      <c r="B1110">
        <v>5</v>
      </c>
      <c r="C1110" t="s">
        <v>2</v>
      </c>
      <c r="D1110" s="2">
        <v>43635</v>
      </c>
      <c r="E1110" s="11">
        <v>170</v>
      </c>
      <c r="F1110" s="3">
        <v>0.47082999999838648</v>
      </c>
      <c r="G1110" s="3">
        <v>0.47430999999778578</v>
      </c>
      <c r="H1110" s="13">
        <f t="shared" si="33"/>
        <v>170.47082999999839</v>
      </c>
      <c r="I1110" s="13">
        <f t="shared" si="34"/>
        <v>170.47430999999779</v>
      </c>
      <c r="J1110" s="13">
        <f t="shared" si="35"/>
        <v>170.47256999999809</v>
      </c>
      <c r="K1110" s="7">
        <v>43635.472569999998</v>
      </c>
      <c r="L1110" s="4">
        <v>951.2</v>
      </c>
      <c r="M1110">
        <v>11.2</v>
      </c>
      <c r="N1110">
        <v>21.67</v>
      </c>
      <c r="Q1110">
        <v>-1.71699817831852</v>
      </c>
      <c r="R1110">
        <v>-7.3190894412492102E-2</v>
      </c>
    </row>
    <row r="1111" spans="1:18" x14ac:dyDescent="0.2">
      <c r="A1111" t="s">
        <v>8</v>
      </c>
      <c r="B1111">
        <v>5</v>
      </c>
      <c r="C1111" t="s">
        <v>6</v>
      </c>
      <c r="D1111" s="2">
        <v>43635</v>
      </c>
      <c r="E1111" s="11">
        <v>170</v>
      </c>
      <c r="F1111" s="3">
        <v>0.47568999999930384</v>
      </c>
      <c r="G1111" s="3">
        <v>0.47916999999870313</v>
      </c>
      <c r="H1111" s="13">
        <f t="shared" si="33"/>
        <v>170.4756899999993</v>
      </c>
      <c r="I1111" s="13">
        <f t="shared" si="34"/>
        <v>170.4791699999987</v>
      </c>
      <c r="J1111" s="13">
        <f t="shared" si="35"/>
        <v>170.477429999999</v>
      </c>
      <c r="K1111" s="7">
        <v>43635.477429999999</v>
      </c>
      <c r="L1111" s="4">
        <v>1031.2</v>
      </c>
      <c r="N1111">
        <v>21.67</v>
      </c>
      <c r="Q1111">
        <v>8.9229245851077206</v>
      </c>
      <c r="R1111">
        <v>-6.09776182745548E-2</v>
      </c>
    </row>
    <row r="1112" spans="1:18" x14ac:dyDescent="0.2">
      <c r="A1112" t="s">
        <v>8</v>
      </c>
      <c r="B1112">
        <v>1</v>
      </c>
      <c r="C1112" t="s">
        <v>2</v>
      </c>
      <c r="D1112" s="2">
        <v>43635</v>
      </c>
      <c r="E1112" s="11">
        <v>170</v>
      </c>
      <c r="F1112" s="3">
        <v>0.51806000000215136</v>
      </c>
      <c r="G1112" s="3">
        <v>0.52152999999816529</v>
      </c>
      <c r="H1112" s="13">
        <f t="shared" si="33"/>
        <v>170.51806000000215</v>
      </c>
      <c r="I1112" s="13">
        <f t="shared" si="34"/>
        <v>170.52152999999817</v>
      </c>
      <c r="J1112" s="13">
        <f t="shared" si="35"/>
        <v>170.51979500000016</v>
      </c>
      <c r="K1112" s="7">
        <v>43635.519795</v>
      </c>
      <c r="L1112" s="4">
        <v>1151.2</v>
      </c>
      <c r="M1112">
        <v>5.5</v>
      </c>
      <c r="N1112">
        <v>22.78</v>
      </c>
      <c r="Q1112">
        <v>2.5232002916359502</v>
      </c>
      <c r="R1112" s="6">
        <v>-5.0354894711786497E-5</v>
      </c>
    </row>
    <row r="1113" spans="1:18" x14ac:dyDescent="0.2">
      <c r="A1113" t="s">
        <v>8</v>
      </c>
      <c r="B1113">
        <v>1</v>
      </c>
      <c r="C1113" t="s">
        <v>6</v>
      </c>
      <c r="D1113" s="2">
        <v>43635</v>
      </c>
      <c r="E1113" s="11">
        <v>170</v>
      </c>
      <c r="F1113" s="3">
        <v>0.52292000000306871</v>
      </c>
      <c r="G1113" s="3">
        <v>0.52638999999908265</v>
      </c>
      <c r="H1113" s="13">
        <f t="shared" si="33"/>
        <v>170.52292000000307</v>
      </c>
      <c r="I1113" s="13">
        <f t="shared" si="34"/>
        <v>170.52638999999908</v>
      </c>
      <c r="J1113" s="13">
        <f t="shared" si="35"/>
        <v>170.52465500000108</v>
      </c>
      <c r="K1113" s="7">
        <v>43635.524655000001</v>
      </c>
      <c r="L1113" s="4">
        <v>1723.7</v>
      </c>
      <c r="N1113">
        <v>22.78</v>
      </c>
      <c r="Q1113">
        <v>9.7191451306776298</v>
      </c>
      <c r="R1113" s="6">
        <v>-4.0565016743781202E-5</v>
      </c>
    </row>
    <row r="1114" spans="1:18" x14ac:dyDescent="0.2">
      <c r="A1114" t="s">
        <v>8</v>
      </c>
      <c r="B1114">
        <v>2</v>
      </c>
      <c r="C1114" t="s">
        <v>2</v>
      </c>
      <c r="D1114" s="2">
        <v>43635</v>
      </c>
      <c r="E1114" s="11">
        <v>170</v>
      </c>
      <c r="F1114" s="3">
        <v>0.5277799999967101</v>
      </c>
      <c r="G1114" s="3">
        <v>0.53125</v>
      </c>
      <c r="H1114" s="13">
        <f t="shared" si="33"/>
        <v>170.52777999999671</v>
      </c>
      <c r="I1114" s="13">
        <f t="shared" si="34"/>
        <v>170.53125</v>
      </c>
      <c r="J1114" s="13">
        <f t="shared" si="35"/>
        <v>170.52951499999836</v>
      </c>
      <c r="K1114" s="7">
        <v>43635.529515000002</v>
      </c>
      <c r="L1114" s="4">
        <v>986.2</v>
      </c>
      <c r="M1114">
        <v>9.4</v>
      </c>
      <c r="N1114">
        <v>22.78</v>
      </c>
      <c r="Q1114">
        <v>3.1471196824438001</v>
      </c>
      <c r="R1114" s="6">
        <v>7.9850660699565705E-7</v>
      </c>
    </row>
    <row r="1115" spans="1:18" x14ac:dyDescent="0.2">
      <c r="A1115" t="s">
        <v>8</v>
      </c>
      <c r="B1115">
        <v>2</v>
      </c>
      <c r="C1115" t="s">
        <v>6</v>
      </c>
      <c r="D1115" s="2">
        <v>43635</v>
      </c>
      <c r="E1115" s="11">
        <v>170</v>
      </c>
      <c r="F1115" s="3">
        <v>0.53263999999762746</v>
      </c>
      <c r="G1115" s="3">
        <v>0.53611000000091735</v>
      </c>
      <c r="H1115" s="13">
        <f t="shared" si="33"/>
        <v>170.53263999999763</v>
      </c>
      <c r="I1115" s="13">
        <f t="shared" si="34"/>
        <v>170.53611000000092</v>
      </c>
      <c r="J1115" s="13">
        <f t="shared" si="35"/>
        <v>170.53437499999927</v>
      </c>
      <c r="K1115" s="7">
        <v>43635.534375000003</v>
      </c>
      <c r="L1115" s="4">
        <v>1201.2</v>
      </c>
      <c r="N1115">
        <v>22.78</v>
      </c>
      <c r="Q1115">
        <v>9.7388500773984195</v>
      </c>
    </row>
    <row r="1116" spans="1:18" x14ac:dyDescent="0.2">
      <c r="A1116" t="s">
        <v>8</v>
      </c>
      <c r="B1116">
        <v>3</v>
      </c>
      <c r="C1116" t="s">
        <v>2</v>
      </c>
      <c r="D1116" s="2">
        <v>43635</v>
      </c>
      <c r="E1116" s="11">
        <v>170</v>
      </c>
      <c r="F1116" s="3">
        <v>0.53749999999854481</v>
      </c>
      <c r="G1116" s="3">
        <v>0.54097000000183471</v>
      </c>
      <c r="H1116" s="13">
        <f t="shared" si="33"/>
        <v>170.53749999999854</v>
      </c>
      <c r="I1116" s="13">
        <f t="shared" si="34"/>
        <v>170.54097000000183</v>
      </c>
      <c r="J1116" s="13">
        <f t="shared" si="35"/>
        <v>170.53923500000019</v>
      </c>
      <c r="K1116" s="7">
        <v>43635.539235000004</v>
      </c>
      <c r="L1116" s="4">
        <v>943.7</v>
      </c>
      <c r="M1116">
        <v>16.7</v>
      </c>
      <c r="N1116">
        <v>22.78</v>
      </c>
      <c r="Q1116">
        <v>-0.28767392804400699</v>
      </c>
    </row>
    <row r="1117" spans="1:18" x14ac:dyDescent="0.2">
      <c r="A1117" t="s">
        <v>8</v>
      </c>
      <c r="B1117">
        <v>3</v>
      </c>
      <c r="C1117" t="s">
        <v>6</v>
      </c>
      <c r="D1117" s="2">
        <v>43635</v>
      </c>
      <c r="E1117" s="11">
        <v>170</v>
      </c>
      <c r="F1117" s="3">
        <v>0.54235999999946216</v>
      </c>
      <c r="G1117" s="3">
        <v>0.54583000000275206</v>
      </c>
      <c r="H1117" s="13">
        <f t="shared" si="33"/>
        <v>170.54235999999946</v>
      </c>
      <c r="I1117" s="13">
        <f t="shared" si="34"/>
        <v>170.54583000000275</v>
      </c>
      <c r="J1117" s="13">
        <f t="shared" si="35"/>
        <v>170.54409500000111</v>
      </c>
      <c r="K1117" s="7">
        <v>43635.544095000005</v>
      </c>
      <c r="L1117" s="4">
        <v>1363.7</v>
      </c>
      <c r="N1117">
        <v>22.78</v>
      </c>
      <c r="Q1117">
        <v>6.0004450669193803</v>
      </c>
    </row>
    <row r="1118" spans="1:18" x14ac:dyDescent="0.2">
      <c r="A1118" t="s">
        <v>8</v>
      </c>
      <c r="B1118">
        <v>4</v>
      </c>
      <c r="C1118" t="s">
        <v>2</v>
      </c>
      <c r="D1118" s="2">
        <v>43635</v>
      </c>
      <c r="E1118" s="11">
        <v>170</v>
      </c>
      <c r="F1118" s="3">
        <v>0.54722000000037951</v>
      </c>
      <c r="G1118" s="3">
        <v>0.55068999999639345</v>
      </c>
      <c r="H1118" s="13">
        <f t="shared" si="33"/>
        <v>170.54722000000038</v>
      </c>
      <c r="I1118" s="13">
        <f t="shared" si="34"/>
        <v>170.55068999999639</v>
      </c>
      <c r="J1118" s="13">
        <f t="shared" si="35"/>
        <v>170.54895499999839</v>
      </c>
      <c r="K1118" s="7">
        <v>43635.548954999998</v>
      </c>
      <c r="L1118" s="4">
        <v>1336.2</v>
      </c>
      <c r="M1118">
        <v>11.3</v>
      </c>
      <c r="N1118">
        <v>22.78</v>
      </c>
      <c r="Q1118">
        <v>5.4718989970108396</v>
      </c>
    </row>
    <row r="1119" spans="1:18" x14ac:dyDescent="0.2">
      <c r="A1119" t="s">
        <v>8</v>
      </c>
      <c r="B1119">
        <v>4</v>
      </c>
      <c r="C1119" t="s">
        <v>6</v>
      </c>
      <c r="D1119" s="2">
        <v>43635</v>
      </c>
      <c r="E1119" s="11">
        <v>170</v>
      </c>
      <c r="F1119" s="3">
        <v>0.55208000000129687</v>
      </c>
      <c r="G1119" s="3">
        <v>0.55556000000069616</v>
      </c>
      <c r="H1119" s="13">
        <f t="shared" si="33"/>
        <v>170.5520800000013</v>
      </c>
      <c r="I1119" s="13">
        <f t="shared" si="34"/>
        <v>170.5555600000007</v>
      </c>
      <c r="J1119" s="13">
        <f t="shared" si="35"/>
        <v>170.553820000001</v>
      </c>
      <c r="K1119" s="7">
        <v>43635.553820000001</v>
      </c>
      <c r="L1119" s="4">
        <v>2553.6999999999998</v>
      </c>
      <c r="N1119">
        <v>22.78</v>
      </c>
      <c r="Q1119">
        <v>-0.43989161957963102</v>
      </c>
    </row>
    <row r="1120" spans="1:18" x14ac:dyDescent="0.2">
      <c r="A1120" t="s">
        <v>8</v>
      </c>
      <c r="B1120">
        <v>5</v>
      </c>
      <c r="C1120" t="s">
        <v>2</v>
      </c>
      <c r="D1120" s="2">
        <v>43635</v>
      </c>
      <c r="E1120" s="11">
        <v>170</v>
      </c>
      <c r="F1120" s="3">
        <v>0.55694000000221422</v>
      </c>
      <c r="G1120" s="3">
        <v>0.56042000000161352</v>
      </c>
      <c r="H1120" s="13">
        <f t="shared" si="33"/>
        <v>170.55694000000221</v>
      </c>
      <c r="I1120" s="13">
        <f t="shared" si="34"/>
        <v>170.56042000000161</v>
      </c>
      <c r="J1120" s="13">
        <f t="shared" si="35"/>
        <v>170.55868000000191</v>
      </c>
      <c r="K1120" s="7">
        <v>43635.558680000002</v>
      </c>
      <c r="L1120" s="4">
        <v>2553.6999999999998</v>
      </c>
      <c r="M1120">
        <v>5.0999999999999996</v>
      </c>
      <c r="N1120">
        <v>22.78</v>
      </c>
      <c r="Q1120">
        <v>0.33972686167538302</v>
      </c>
    </row>
    <row r="1121" spans="1:18" x14ac:dyDescent="0.2">
      <c r="A1121" t="s">
        <v>8</v>
      </c>
      <c r="B1121">
        <v>5</v>
      </c>
      <c r="C1121" t="s">
        <v>6</v>
      </c>
      <c r="D1121" s="2">
        <v>43635</v>
      </c>
      <c r="E1121" s="11">
        <v>170</v>
      </c>
      <c r="F1121" s="3">
        <v>0.56180999999924097</v>
      </c>
      <c r="G1121" s="3">
        <v>0.56528000000253087</v>
      </c>
      <c r="H1121" s="13">
        <f t="shared" si="33"/>
        <v>170.56180999999924</v>
      </c>
      <c r="I1121" s="13">
        <f t="shared" si="34"/>
        <v>170.56528000000253</v>
      </c>
      <c r="J1121" s="13">
        <f t="shared" si="35"/>
        <v>170.56354500000089</v>
      </c>
      <c r="K1121" s="7">
        <v>43635.563544999997</v>
      </c>
      <c r="L1121" s="4">
        <v>36.200000000000003</v>
      </c>
      <c r="N1121">
        <v>22.78</v>
      </c>
      <c r="Q1121">
        <v>9.7290904892500301</v>
      </c>
    </row>
    <row r="1122" spans="1:18" x14ac:dyDescent="0.2">
      <c r="A1122" t="s">
        <v>8</v>
      </c>
      <c r="B1122">
        <v>1</v>
      </c>
      <c r="C1122" t="s">
        <v>2</v>
      </c>
      <c r="D1122" s="2">
        <v>43647</v>
      </c>
      <c r="E1122" s="11">
        <v>182</v>
      </c>
      <c r="F1122" s="3">
        <v>0.42985999999655178</v>
      </c>
      <c r="G1122" s="3">
        <v>0.43332999999984168</v>
      </c>
      <c r="H1122" s="13">
        <f t="shared" si="33"/>
        <v>182.42985999999655</v>
      </c>
      <c r="I1122" s="13">
        <f t="shared" si="34"/>
        <v>182.43332999999984</v>
      </c>
      <c r="J1122" s="13">
        <f t="shared" si="35"/>
        <v>182.4315949999982</v>
      </c>
      <c r="K1122" s="7">
        <v>43647.431595000002</v>
      </c>
      <c r="L1122" s="4">
        <v>1558.7</v>
      </c>
      <c r="M1122">
        <v>4.9000000000000004</v>
      </c>
      <c r="N1122">
        <v>21.67</v>
      </c>
      <c r="Q1122">
        <v>-6.2250351904934202</v>
      </c>
      <c r="R1122">
        <v>6.1207269705547602E-4</v>
      </c>
    </row>
    <row r="1123" spans="1:18" x14ac:dyDescent="0.2">
      <c r="A1123" t="s">
        <v>8</v>
      </c>
      <c r="B1123">
        <v>1</v>
      </c>
      <c r="C1123" t="s">
        <v>6</v>
      </c>
      <c r="D1123" s="2">
        <v>43647</v>
      </c>
      <c r="E1123" s="11">
        <v>182</v>
      </c>
      <c r="F1123" s="3">
        <v>0.43471999999746913</v>
      </c>
      <c r="G1123" s="3">
        <v>0.43819000000075903</v>
      </c>
      <c r="H1123" s="13">
        <f t="shared" si="33"/>
        <v>182.43471999999747</v>
      </c>
      <c r="I1123" s="13">
        <f t="shared" si="34"/>
        <v>182.43819000000076</v>
      </c>
      <c r="J1123" s="13">
        <f t="shared" si="35"/>
        <v>182.43645499999911</v>
      </c>
      <c r="K1123" s="7">
        <v>43647.436455000003</v>
      </c>
      <c r="L1123" s="4">
        <v>1586.2</v>
      </c>
      <c r="N1123">
        <v>21.67</v>
      </c>
      <c r="Q1123">
        <v>8.5422350847211792</v>
      </c>
      <c r="R1123">
        <v>7.6871470949258999E-4</v>
      </c>
    </row>
    <row r="1124" spans="1:18" x14ac:dyDescent="0.2">
      <c r="A1124" t="s">
        <v>8</v>
      </c>
      <c r="B1124">
        <v>2</v>
      </c>
      <c r="C1124" t="s">
        <v>2</v>
      </c>
      <c r="D1124" s="2">
        <v>43647</v>
      </c>
      <c r="E1124" s="11">
        <v>182</v>
      </c>
      <c r="F1124" s="3">
        <v>0.43957999999838648</v>
      </c>
      <c r="G1124" s="3">
        <v>0.44305999999778578</v>
      </c>
      <c r="H1124" s="13">
        <f t="shared" si="33"/>
        <v>182.43957999999839</v>
      </c>
      <c r="I1124" s="13">
        <f t="shared" si="34"/>
        <v>182.44305999999779</v>
      </c>
      <c r="J1124" s="13">
        <f t="shared" si="35"/>
        <v>182.44131999999809</v>
      </c>
      <c r="K1124" s="7">
        <v>43647.441319999998</v>
      </c>
      <c r="L1124" s="4">
        <v>1618.7</v>
      </c>
      <c r="M1124">
        <v>4.7</v>
      </c>
      <c r="N1124">
        <v>21.67</v>
      </c>
      <c r="Q1124">
        <v>-5.5655149480562098</v>
      </c>
      <c r="R1124">
        <v>1.63997427887084E-3</v>
      </c>
    </row>
    <row r="1125" spans="1:18" x14ac:dyDescent="0.2">
      <c r="A1125" t="s">
        <v>8</v>
      </c>
      <c r="B1125">
        <v>2</v>
      </c>
      <c r="C1125" t="s">
        <v>6</v>
      </c>
      <c r="D1125" s="2">
        <v>43647</v>
      </c>
      <c r="E1125" s="11">
        <v>182</v>
      </c>
      <c r="F1125" s="3">
        <v>0.44443999999930384</v>
      </c>
      <c r="G1125" s="3">
        <v>0.44791999999870313</v>
      </c>
      <c r="H1125" s="13">
        <f t="shared" si="33"/>
        <v>182.4444399999993</v>
      </c>
      <c r="I1125" s="13">
        <f t="shared" si="34"/>
        <v>182.4479199999987</v>
      </c>
      <c r="J1125" s="13">
        <f t="shared" si="35"/>
        <v>182.446179999999</v>
      </c>
      <c r="K1125" s="7">
        <v>43647.446179999999</v>
      </c>
      <c r="L1125" s="4">
        <v>1643.7</v>
      </c>
      <c r="N1125">
        <v>21.67</v>
      </c>
      <c r="Q1125">
        <v>8.9706367073193505</v>
      </c>
      <c r="R1125">
        <v>1.1732928230153701E-3</v>
      </c>
    </row>
    <row r="1126" spans="1:18" x14ac:dyDescent="0.2">
      <c r="A1126" t="s">
        <v>8</v>
      </c>
      <c r="B1126">
        <v>3</v>
      </c>
      <c r="C1126" t="s">
        <v>2</v>
      </c>
      <c r="D1126" s="2">
        <v>43647</v>
      </c>
      <c r="E1126" s="11">
        <v>182</v>
      </c>
      <c r="F1126" s="3">
        <v>0.44931000000360655</v>
      </c>
      <c r="G1126" s="3">
        <v>0.45277999999962049</v>
      </c>
      <c r="H1126" s="13">
        <f t="shared" si="33"/>
        <v>182.44931000000361</v>
      </c>
      <c r="I1126" s="13">
        <f t="shared" si="34"/>
        <v>182.45277999999962</v>
      </c>
      <c r="J1126" s="13">
        <f t="shared" si="35"/>
        <v>182.45104500000161</v>
      </c>
      <c r="K1126" s="7">
        <v>43647.451045000002</v>
      </c>
      <c r="L1126" s="4">
        <v>1673.7</v>
      </c>
      <c r="M1126">
        <v>3.5</v>
      </c>
      <c r="N1126">
        <v>21.67</v>
      </c>
      <c r="Q1126">
        <v>-7.6984300542847599</v>
      </c>
      <c r="R1126">
        <v>8.4999074886723701E-4</v>
      </c>
    </row>
    <row r="1127" spans="1:18" x14ac:dyDescent="0.2">
      <c r="A1127" t="s">
        <v>8</v>
      </c>
      <c r="B1127">
        <v>3</v>
      </c>
      <c r="C1127" t="s">
        <v>6</v>
      </c>
      <c r="D1127" s="2">
        <v>43647</v>
      </c>
      <c r="E1127" s="11">
        <v>182</v>
      </c>
      <c r="F1127" s="3">
        <v>0.45416999999724794</v>
      </c>
      <c r="G1127" s="3">
        <v>0.45764000000053784</v>
      </c>
      <c r="H1127" s="13">
        <f t="shared" si="33"/>
        <v>182.45416999999725</v>
      </c>
      <c r="I1127" s="13">
        <f t="shared" si="34"/>
        <v>182.45764000000054</v>
      </c>
      <c r="J1127" s="13">
        <f t="shared" si="35"/>
        <v>182.45590499999889</v>
      </c>
      <c r="K1127" s="7">
        <v>43647.455904999995</v>
      </c>
      <c r="L1127" s="4">
        <v>1698.7</v>
      </c>
      <c r="N1127">
        <v>21.67</v>
      </c>
      <c r="Q1127">
        <v>7.95861938090124</v>
      </c>
      <c r="R1127">
        <v>7.2599608336201902E-4</v>
      </c>
    </row>
    <row r="1128" spans="1:18" x14ac:dyDescent="0.2">
      <c r="A1128" t="s">
        <v>8</v>
      </c>
      <c r="B1128">
        <v>4</v>
      </c>
      <c r="C1128" t="s">
        <v>2</v>
      </c>
      <c r="D1128" s="2">
        <v>43647</v>
      </c>
      <c r="E1128" s="11">
        <v>182</v>
      </c>
      <c r="F1128" s="3">
        <v>0.45902999999816529</v>
      </c>
      <c r="G1128" s="3">
        <v>0.46250000000145519</v>
      </c>
      <c r="H1128" s="13">
        <f t="shared" si="33"/>
        <v>182.45902999999817</v>
      </c>
      <c r="I1128" s="13">
        <f t="shared" si="34"/>
        <v>182.46250000000146</v>
      </c>
      <c r="J1128" s="13">
        <f t="shared" si="35"/>
        <v>182.46076499999981</v>
      </c>
      <c r="K1128" s="7">
        <v>43647.460764999996</v>
      </c>
      <c r="L1128" s="4">
        <v>1718.7</v>
      </c>
      <c r="M1128">
        <v>9.1999999999999993</v>
      </c>
      <c r="N1128">
        <v>21.67</v>
      </c>
      <c r="Q1128">
        <v>-6.95685485887428</v>
      </c>
      <c r="R1128">
        <v>1.0340744855602501E-3</v>
      </c>
    </row>
    <row r="1129" spans="1:18" x14ac:dyDescent="0.2">
      <c r="A1129" t="s">
        <v>8</v>
      </c>
      <c r="B1129">
        <v>4</v>
      </c>
      <c r="C1129" t="s">
        <v>6</v>
      </c>
      <c r="D1129" s="2">
        <v>43647</v>
      </c>
      <c r="E1129" s="11">
        <v>182</v>
      </c>
      <c r="F1129" s="3">
        <v>0.46388999999908265</v>
      </c>
      <c r="G1129" s="3">
        <v>0.46736000000237254</v>
      </c>
      <c r="H1129" s="13">
        <f t="shared" si="33"/>
        <v>182.46388999999908</v>
      </c>
      <c r="I1129" s="13">
        <f t="shared" si="34"/>
        <v>182.46736000000237</v>
      </c>
      <c r="J1129" s="13">
        <f t="shared" si="35"/>
        <v>182.46562500000073</v>
      </c>
      <c r="K1129" s="7">
        <v>43647.465624999997</v>
      </c>
      <c r="L1129" s="4">
        <v>1743.7</v>
      </c>
      <c r="N1129">
        <v>21.67</v>
      </c>
      <c r="Q1129">
        <v>7.9756183963596401</v>
      </c>
      <c r="R1129">
        <v>1.4289101372567901E-4</v>
      </c>
    </row>
    <row r="1130" spans="1:18" x14ac:dyDescent="0.2">
      <c r="A1130" t="s">
        <v>8</v>
      </c>
      <c r="B1130">
        <v>5</v>
      </c>
      <c r="C1130" t="s">
        <v>2</v>
      </c>
      <c r="D1130" s="2">
        <v>43647</v>
      </c>
      <c r="E1130" s="11">
        <v>182</v>
      </c>
      <c r="F1130" s="3">
        <v>0.46875</v>
      </c>
      <c r="G1130" s="3">
        <v>0.4722200000032899</v>
      </c>
      <c r="H1130" s="13">
        <f t="shared" si="33"/>
        <v>182.46875</v>
      </c>
      <c r="I1130" s="13">
        <f t="shared" si="34"/>
        <v>182.47222000000329</v>
      </c>
      <c r="J1130" s="13">
        <f t="shared" si="35"/>
        <v>182.47048500000164</v>
      </c>
      <c r="K1130" s="7">
        <v>43647.470484999998</v>
      </c>
      <c r="L1130" s="4">
        <v>1763.7</v>
      </c>
      <c r="M1130">
        <v>2.8</v>
      </c>
      <c r="N1130">
        <v>21.67</v>
      </c>
      <c r="Q1130">
        <v>-8.6069649318766608</v>
      </c>
      <c r="R1130">
        <v>2.6466554811735698E-4</v>
      </c>
    </row>
    <row r="1131" spans="1:18" x14ac:dyDescent="0.2">
      <c r="A1131" t="s">
        <v>8</v>
      </c>
      <c r="B1131">
        <v>5</v>
      </c>
      <c r="C1131" t="s">
        <v>6</v>
      </c>
      <c r="D1131" s="2">
        <v>43647</v>
      </c>
      <c r="E1131" s="11">
        <v>182</v>
      </c>
      <c r="F1131" s="3">
        <v>0.47361000000091735</v>
      </c>
      <c r="G1131" s="3">
        <v>0.47707999999693129</v>
      </c>
      <c r="H1131" s="13">
        <f t="shared" si="33"/>
        <v>182.47361000000092</v>
      </c>
      <c r="I1131" s="13">
        <f t="shared" si="34"/>
        <v>182.47707999999693</v>
      </c>
      <c r="J1131" s="13">
        <f t="shared" si="35"/>
        <v>182.47534499999892</v>
      </c>
      <c r="K1131" s="7">
        <v>43647.475344999999</v>
      </c>
      <c r="L1131" s="4">
        <v>1786.2</v>
      </c>
      <c r="N1131">
        <v>21.67</v>
      </c>
      <c r="Q1131">
        <v>7.4388622325415099</v>
      </c>
      <c r="R1131">
        <v>3.27492731796538E-4</v>
      </c>
    </row>
    <row r="1132" spans="1:18" x14ac:dyDescent="0.2">
      <c r="A1132" t="s">
        <v>8</v>
      </c>
      <c r="B1132">
        <v>1</v>
      </c>
      <c r="C1132" t="s">
        <v>2</v>
      </c>
      <c r="D1132" s="2">
        <v>43647</v>
      </c>
      <c r="E1132" s="11">
        <v>182</v>
      </c>
      <c r="F1132" s="3">
        <v>0.51806000000215136</v>
      </c>
      <c r="G1132" s="3">
        <v>0.52152999999816529</v>
      </c>
      <c r="H1132" s="13">
        <f t="shared" si="33"/>
        <v>182.51806000000215</v>
      </c>
      <c r="I1132" s="13">
        <f t="shared" si="34"/>
        <v>182.52152999999817</v>
      </c>
      <c r="J1132" s="13">
        <f t="shared" si="35"/>
        <v>182.51979500000016</v>
      </c>
      <c r="K1132" s="7">
        <v>43647.519795</v>
      </c>
      <c r="L1132" s="4">
        <v>1908.7</v>
      </c>
      <c r="M1132">
        <v>4.3</v>
      </c>
      <c r="N1132">
        <v>26.11</v>
      </c>
      <c r="Q1132">
        <v>-4.61959101098034</v>
      </c>
      <c r="R1132">
        <v>1.8152869344345999E-3</v>
      </c>
    </row>
    <row r="1133" spans="1:18" x14ac:dyDescent="0.2">
      <c r="A1133" t="s">
        <v>8</v>
      </c>
      <c r="B1133">
        <v>1</v>
      </c>
      <c r="C1133" t="s">
        <v>6</v>
      </c>
      <c r="D1133" s="2">
        <v>43647</v>
      </c>
      <c r="E1133" s="11">
        <v>182</v>
      </c>
      <c r="F1133" s="3">
        <v>0.52292000000306871</v>
      </c>
      <c r="G1133" s="3">
        <v>0.52638999999908265</v>
      </c>
      <c r="H1133" s="13">
        <f t="shared" si="33"/>
        <v>182.52292000000307</v>
      </c>
      <c r="I1133" s="13">
        <f t="shared" si="34"/>
        <v>182.52638999999908</v>
      </c>
      <c r="J1133" s="13">
        <f t="shared" si="35"/>
        <v>182.52465500000108</v>
      </c>
      <c r="K1133" s="7">
        <v>43647.524655000001</v>
      </c>
      <c r="L1133" s="4">
        <v>1928.7</v>
      </c>
      <c r="N1133">
        <v>26.11</v>
      </c>
      <c r="Q1133">
        <v>6.67406151366347</v>
      </c>
      <c r="R1133">
        <v>5.3768389118287105E-4</v>
      </c>
    </row>
    <row r="1134" spans="1:18" x14ac:dyDescent="0.2">
      <c r="A1134" t="s">
        <v>8</v>
      </c>
      <c r="B1134">
        <v>2</v>
      </c>
      <c r="C1134" t="s">
        <v>2</v>
      </c>
      <c r="D1134" s="2">
        <v>43647</v>
      </c>
      <c r="E1134" s="11">
        <v>182</v>
      </c>
      <c r="F1134" s="3">
        <v>0.5277799999967101</v>
      </c>
      <c r="G1134" s="3">
        <v>0.53125</v>
      </c>
      <c r="H1134" s="13">
        <f t="shared" si="33"/>
        <v>182.52777999999671</v>
      </c>
      <c r="I1134" s="13">
        <f t="shared" si="34"/>
        <v>182.53125</v>
      </c>
      <c r="J1134" s="13">
        <f t="shared" si="35"/>
        <v>182.52951499999836</v>
      </c>
      <c r="K1134" s="7">
        <v>43647.529515000002</v>
      </c>
      <c r="L1134" s="4">
        <v>1933.7</v>
      </c>
      <c r="M1134">
        <v>3</v>
      </c>
      <c r="N1134">
        <v>26.11</v>
      </c>
      <c r="Q1134">
        <v>-2.0674172124005499</v>
      </c>
      <c r="R1134">
        <v>-2.6705725863532498E-4</v>
      </c>
    </row>
    <row r="1135" spans="1:18" x14ac:dyDescent="0.2">
      <c r="A1135" t="s">
        <v>8</v>
      </c>
      <c r="B1135">
        <v>2</v>
      </c>
      <c r="C1135" t="s">
        <v>6</v>
      </c>
      <c r="D1135" s="2">
        <v>43647</v>
      </c>
      <c r="E1135" s="11">
        <v>182</v>
      </c>
      <c r="F1135" s="3">
        <v>0.53263999999762746</v>
      </c>
      <c r="G1135" s="3">
        <v>0.53611000000091735</v>
      </c>
      <c r="H1135" s="13">
        <f t="shared" si="33"/>
        <v>182.53263999999763</v>
      </c>
      <c r="I1135" s="13">
        <f t="shared" si="34"/>
        <v>182.53611000000092</v>
      </c>
      <c r="J1135" s="13">
        <f t="shared" si="35"/>
        <v>182.53437499999927</v>
      </c>
      <c r="K1135" s="7">
        <v>43647.534375000003</v>
      </c>
      <c r="L1135" s="4">
        <v>1928.7</v>
      </c>
      <c r="N1135">
        <v>26.11</v>
      </c>
      <c r="Q1135">
        <v>10.1844936477682</v>
      </c>
      <c r="R1135">
        <v>3.38013633787025E-4</v>
      </c>
    </row>
    <row r="1136" spans="1:18" x14ac:dyDescent="0.2">
      <c r="A1136" t="s">
        <v>8</v>
      </c>
      <c r="B1136">
        <v>3</v>
      </c>
      <c r="C1136" t="s">
        <v>2</v>
      </c>
      <c r="D1136" s="2">
        <v>43647</v>
      </c>
      <c r="E1136" s="11">
        <v>182</v>
      </c>
      <c r="F1136" s="3">
        <v>0.53749999999854481</v>
      </c>
      <c r="G1136" s="3">
        <v>0.54097000000183471</v>
      </c>
      <c r="H1136" s="13">
        <f t="shared" si="33"/>
        <v>182.53749999999854</v>
      </c>
      <c r="I1136" s="13">
        <f t="shared" si="34"/>
        <v>182.54097000000183</v>
      </c>
      <c r="J1136" s="13">
        <f t="shared" si="35"/>
        <v>182.53923500000019</v>
      </c>
      <c r="K1136" s="7">
        <v>43647.539235000004</v>
      </c>
      <c r="L1136" s="4">
        <v>1921.2</v>
      </c>
      <c r="M1136">
        <v>3.6</v>
      </c>
      <c r="N1136">
        <v>26.11</v>
      </c>
      <c r="Q1136">
        <v>-5.1764811367723196</v>
      </c>
      <c r="R1136">
        <v>7.81618834270406E-4</v>
      </c>
    </row>
    <row r="1137" spans="1:18" x14ac:dyDescent="0.2">
      <c r="A1137" t="s">
        <v>8</v>
      </c>
      <c r="B1137">
        <v>3</v>
      </c>
      <c r="C1137" t="s">
        <v>6</v>
      </c>
      <c r="D1137" s="2">
        <v>43647</v>
      </c>
      <c r="E1137" s="11">
        <v>182</v>
      </c>
      <c r="F1137" s="3">
        <v>0.54235999999946216</v>
      </c>
      <c r="G1137" s="3">
        <v>0.54583000000275206</v>
      </c>
      <c r="H1137" s="13">
        <f t="shared" si="33"/>
        <v>182.54235999999946</v>
      </c>
      <c r="I1137" s="13">
        <f t="shared" si="34"/>
        <v>182.54583000000275</v>
      </c>
      <c r="J1137" s="13">
        <f t="shared" si="35"/>
        <v>182.54409500000111</v>
      </c>
      <c r="K1137" s="7">
        <v>43647.544095000005</v>
      </c>
      <c r="L1137" s="4">
        <v>1928.7</v>
      </c>
      <c r="N1137">
        <v>26.11</v>
      </c>
      <c r="Q1137">
        <v>8.1113759936486893</v>
      </c>
      <c r="R1137">
        <v>1.8495927611475399E-3</v>
      </c>
    </row>
    <row r="1138" spans="1:18" x14ac:dyDescent="0.2">
      <c r="A1138" t="s">
        <v>8</v>
      </c>
      <c r="B1138">
        <v>4</v>
      </c>
      <c r="C1138" t="s">
        <v>2</v>
      </c>
      <c r="D1138" s="2">
        <v>43647</v>
      </c>
      <c r="E1138" s="11">
        <v>182</v>
      </c>
      <c r="F1138" s="3">
        <v>0.54722000000037951</v>
      </c>
      <c r="G1138" s="3">
        <v>0.55068999999639345</v>
      </c>
      <c r="H1138" s="13">
        <f t="shared" si="33"/>
        <v>182.54722000000038</v>
      </c>
      <c r="I1138" s="13">
        <f t="shared" si="34"/>
        <v>182.55068999999639</v>
      </c>
      <c r="J1138" s="13">
        <f t="shared" si="35"/>
        <v>182.54895499999839</v>
      </c>
      <c r="K1138" s="7">
        <v>43647.548954999998</v>
      </c>
      <c r="L1138" s="4">
        <v>1928.7</v>
      </c>
      <c r="M1138">
        <v>7</v>
      </c>
      <c r="N1138">
        <v>26.11</v>
      </c>
      <c r="Q1138">
        <v>-4.7226886881039398</v>
      </c>
      <c r="R1138">
        <v>2.1660737891797299E-4</v>
      </c>
    </row>
    <row r="1139" spans="1:18" x14ac:dyDescent="0.2">
      <c r="A1139" t="s">
        <v>8</v>
      </c>
      <c r="B1139">
        <v>4</v>
      </c>
      <c r="C1139" t="s">
        <v>6</v>
      </c>
      <c r="D1139" s="2">
        <v>43647</v>
      </c>
      <c r="E1139" s="11">
        <v>182</v>
      </c>
      <c r="F1139" s="3">
        <v>0.55208000000129687</v>
      </c>
      <c r="G1139" s="3">
        <v>0.55556000000069616</v>
      </c>
      <c r="H1139" s="13">
        <f t="shared" si="33"/>
        <v>182.5520800000013</v>
      </c>
      <c r="I1139" s="13">
        <f t="shared" si="34"/>
        <v>182.5555600000007</v>
      </c>
      <c r="J1139" s="13">
        <f t="shared" si="35"/>
        <v>182.553820000001</v>
      </c>
      <c r="K1139" s="7">
        <v>43647.553820000001</v>
      </c>
      <c r="L1139" s="4">
        <v>1941.2</v>
      </c>
      <c r="N1139">
        <v>26.11</v>
      </c>
      <c r="Q1139">
        <v>7.6539558947474298</v>
      </c>
      <c r="R1139">
        <v>1.0684220546302999E-3</v>
      </c>
    </row>
    <row r="1140" spans="1:18" x14ac:dyDescent="0.2">
      <c r="A1140" t="s">
        <v>8</v>
      </c>
      <c r="B1140">
        <v>5</v>
      </c>
      <c r="C1140" t="s">
        <v>2</v>
      </c>
      <c r="D1140" s="2">
        <v>43647</v>
      </c>
      <c r="E1140" s="11">
        <v>182</v>
      </c>
      <c r="F1140" s="3">
        <v>0.55694000000221422</v>
      </c>
      <c r="G1140" s="3">
        <v>0.56042000000161352</v>
      </c>
      <c r="H1140" s="13">
        <f t="shared" si="33"/>
        <v>182.55694000000221</v>
      </c>
      <c r="I1140" s="13">
        <f t="shared" si="34"/>
        <v>182.56042000000161</v>
      </c>
      <c r="J1140" s="13">
        <f t="shared" si="35"/>
        <v>182.55868000000191</v>
      </c>
      <c r="K1140" s="7">
        <v>43647.558680000002</v>
      </c>
      <c r="L1140" s="4">
        <v>1933.7</v>
      </c>
      <c r="M1140">
        <v>5.8</v>
      </c>
      <c r="N1140">
        <v>26.11</v>
      </c>
      <c r="Q1140">
        <v>-5.7221527645472099</v>
      </c>
      <c r="R1140">
        <v>2.5714475764649399E-4</v>
      </c>
    </row>
    <row r="1141" spans="1:18" x14ac:dyDescent="0.2">
      <c r="A1141" t="s">
        <v>8</v>
      </c>
      <c r="B1141">
        <v>5</v>
      </c>
      <c r="C1141" t="s">
        <v>6</v>
      </c>
      <c r="D1141" s="2">
        <v>43647</v>
      </c>
      <c r="E1141" s="11">
        <v>182</v>
      </c>
      <c r="F1141" s="3">
        <v>0.56180999999924097</v>
      </c>
      <c r="G1141" s="3">
        <v>0.56528000000253087</v>
      </c>
      <c r="H1141" s="13">
        <f t="shared" si="33"/>
        <v>182.56180999999924</v>
      </c>
      <c r="I1141" s="13">
        <f t="shared" si="34"/>
        <v>182.56528000000253</v>
      </c>
      <c r="J1141" s="13">
        <f t="shared" si="35"/>
        <v>182.56354500000089</v>
      </c>
      <c r="K1141" s="7">
        <v>43647.563544999997</v>
      </c>
      <c r="L1141" s="4">
        <v>1928.7</v>
      </c>
      <c r="N1141">
        <v>26.11</v>
      </c>
      <c r="Q1141">
        <v>9.3247597945248195</v>
      </c>
      <c r="R1141">
        <v>1.0456992472464501E-3</v>
      </c>
    </row>
    <row r="1142" spans="1:18" x14ac:dyDescent="0.2">
      <c r="A1142" t="s">
        <v>8</v>
      </c>
      <c r="B1142">
        <v>1</v>
      </c>
      <c r="C1142" t="s">
        <v>2</v>
      </c>
      <c r="D1142" s="2">
        <v>43649</v>
      </c>
      <c r="E1142" s="11">
        <v>184</v>
      </c>
      <c r="F1142" s="3">
        <v>0.35068999999930384</v>
      </c>
      <c r="G1142" s="3">
        <v>0.35416999999870313</v>
      </c>
      <c r="H1142" s="13">
        <f t="shared" si="33"/>
        <v>184.3506899999993</v>
      </c>
      <c r="I1142" s="13">
        <f t="shared" si="34"/>
        <v>184.3541699999987</v>
      </c>
      <c r="J1142" s="13">
        <f t="shared" si="35"/>
        <v>184.352429999999</v>
      </c>
      <c r="K1142" s="7">
        <v>43649.352429999999</v>
      </c>
      <c r="L1142" s="4">
        <v>1051.2</v>
      </c>
      <c r="M1142">
        <v>1.6</v>
      </c>
      <c r="N1142">
        <v>26.67</v>
      </c>
      <c r="Q1142">
        <v>-9.3327105760855602</v>
      </c>
      <c r="R1142">
        <v>2.6751492754744899E-3</v>
      </c>
    </row>
    <row r="1143" spans="1:18" x14ac:dyDescent="0.2">
      <c r="A1143" t="s">
        <v>8</v>
      </c>
      <c r="B1143">
        <v>1</v>
      </c>
      <c r="C1143" t="s">
        <v>6</v>
      </c>
      <c r="D1143" s="2">
        <v>43649</v>
      </c>
      <c r="E1143" s="11">
        <v>184</v>
      </c>
      <c r="F1143" s="3">
        <v>0.35556000000360655</v>
      </c>
      <c r="G1143" s="3">
        <v>0.35902999999962049</v>
      </c>
      <c r="H1143" s="13">
        <f t="shared" si="33"/>
        <v>184.35556000000361</v>
      </c>
      <c r="I1143" s="13">
        <f t="shared" si="34"/>
        <v>184.35902999999962</v>
      </c>
      <c r="J1143" s="13">
        <f t="shared" si="35"/>
        <v>184.35729500000161</v>
      </c>
      <c r="K1143" s="7">
        <v>43649.357295000002</v>
      </c>
      <c r="L1143" s="4">
        <v>1086.2</v>
      </c>
      <c r="N1143">
        <v>26.67</v>
      </c>
      <c r="Q1143">
        <v>4.3179067363471502</v>
      </c>
      <c r="R1143">
        <v>-5.4319536010634904E-4</v>
      </c>
    </row>
    <row r="1144" spans="1:18" x14ac:dyDescent="0.2">
      <c r="A1144" t="s">
        <v>8</v>
      </c>
      <c r="B1144">
        <v>2</v>
      </c>
      <c r="C1144" t="s">
        <v>2</v>
      </c>
      <c r="D1144" s="2">
        <v>43649</v>
      </c>
      <c r="E1144" s="11">
        <v>184</v>
      </c>
      <c r="F1144" s="3">
        <v>0.36041999999724794</v>
      </c>
      <c r="G1144" s="3">
        <v>0.36389000000053784</v>
      </c>
      <c r="H1144" s="13">
        <f t="shared" si="33"/>
        <v>184.36041999999725</v>
      </c>
      <c r="I1144" s="13">
        <f t="shared" si="34"/>
        <v>184.36389000000054</v>
      </c>
      <c r="J1144" s="13">
        <f t="shared" si="35"/>
        <v>184.36215499999889</v>
      </c>
      <c r="K1144" s="7">
        <v>43649.362154999995</v>
      </c>
      <c r="L1144" s="4">
        <v>1138.7</v>
      </c>
      <c r="M1144">
        <v>1.1000000000000001</v>
      </c>
      <c r="N1144">
        <v>26.67</v>
      </c>
      <c r="Q1144">
        <v>-7.4782465007524301</v>
      </c>
      <c r="R1144">
        <v>3.0596623284458902E-3</v>
      </c>
    </row>
    <row r="1145" spans="1:18" x14ac:dyDescent="0.2">
      <c r="A1145" t="s">
        <v>8</v>
      </c>
      <c r="B1145">
        <v>2</v>
      </c>
      <c r="C1145" t="s">
        <v>6</v>
      </c>
      <c r="D1145" s="2">
        <v>43649</v>
      </c>
      <c r="E1145" s="11">
        <v>184</v>
      </c>
      <c r="F1145" s="3">
        <v>0.36527999999816529</v>
      </c>
      <c r="G1145" s="3">
        <v>0.36875000000145519</v>
      </c>
      <c r="H1145" s="13">
        <f t="shared" si="33"/>
        <v>184.36527999999817</v>
      </c>
      <c r="I1145" s="13">
        <f t="shared" si="34"/>
        <v>184.36875000000146</v>
      </c>
      <c r="J1145" s="13">
        <f t="shared" si="35"/>
        <v>184.36701499999981</v>
      </c>
      <c r="K1145" s="7">
        <v>43649.367014999996</v>
      </c>
      <c r="L1145" s="4">
        <v>1191.2</v>
      </c>
      <c r="N1145">
        <v>26.67</v>
      </c>
      <c r="Q1145">
        <v>5.9438215463418</v>
      </c>
      <c r="R1145">
        <v>5.8581669940673301E-4</v>
      </c>
    </row>
    <row r="1146" spans="1:18" x14ac:dyDescent="0.2">
      <c r="A1146" t="s">
        <v>8</v>
      </c>
      <c r="B1146">
        <v>3</v>
      </c>
      <c r="C1146" t="s">
        <v>2</v>
      </c>
      <c r="D1146" s="2">
        <v>43649</v>
      </c>
      <c r="E1146" s="11">
        <v>184</v>
      </c>
      <c r="F1146" s="3">
        <v>0.37013999999908265</v>
      </c>
      <c r="G1146" s="3">
        <v>0.37361000000237254</v>
      </c>
      <c r="H1146" s="13">
        <f t="shared" si="33"/>
        <v>184.37013999999908</v>
      </c>
      <c r="I1146" s="13">
        <f t="shared" si="34"/>
        <v>184.37361000000237</v>
      </c>
      <c r="J1146" s="13">
        <f t="shared" si="35"/>
        <v>184.37187500000073</v>
      </c>
      <c r="K1146" s="7">
        <v>43649.371874999997</v>
      </c>
      <c r="L1146" s="4">
        <v>1226.2</v>
      </c>
      <c r="M1146">
        <v>1.1000000000000001</v>
      </c>
      <c r="N1146">
        <v>26.67</v>
      </c>
      <c r="Q1146">
        <v>-8.8197931019626701</v>
      </c>
      <c r="R1146">
        <v>3.3611543705857698E-3</v>
      </c>
    </row>
    <row r="1147" spans="1:18" x14ac:dyDescent="0.2">
      <c r="A1147" t="s">
        <v>8</v>
      </c>
      <c r="B1147">
        <v>3</v>
      </c>
      <c r="C1147" t="s">
        <v>6</v>
      </c>
      <c r="D1147" s="2">
        <v>43649</v>
      </c>
      <c r="E1147" s="11">
        <v>184</v>
      </c>
      <c r="F1147" s="3">
        <v>0.375</v>
      </c>
      <c r="G1147" s="3">
        <v>0.3784700000032899</v>
      </c>
      <c r="H1147" s="13">
        <f t="shared" ref="H1147:H1210" si="36">E1147+F1147</f>
        <v>184.375</v>
      </c>
      <c r="I1147" s="13">
        <f t="shared" ref="I1147:I1210" si="37">E1147+G1147</f>
        <v>184.37847000000329</v>
      </c>
      <c r="J1147" s="13">
        <f t="shared" ref="J1147:J1210" si="38">AVERAGE(H1147:I1147)</f>
        <v>184.37673500000164</v>
      </c>
      <c r="K1147" s="7">
        <v>43649.376734999998</v>
      </c>
      <c r="L1147" s="4">
        <v>1278.7</v>
      </c>
      <c r="N1147">
        <v>26.67</v>
      </c>
      <c r="Q1147">
        <v>5.4737468480507898</v>
      </c>
      <c r="R1147">
        <v>3.4617866247114998E-4</v>
      </c>
    </row>
    <row r="1148" spans="1:18" x14ac:dyDescent="0.2">
      <c r="A1148" t="s">
        <v>8</v>
      </c>
      <c r="B1148">
        <v>4</v>
      </c>
      <c r="C1148" t="s">
        <v>2</v>
      </c>
      <c r="D1148" s="2">
        <v>43649</v>
      </c>
      <c r="E1148" s="11">
        <v>184</v>
      </c>
      <c r="F1148" s="3">
        <v>0.37986000000091735</v>
      </c>
      <c r="G1148" s="3">
        <v>0.38332999999693129</v>
      </c>
      <c r="H1148" s="13">
        <f t="shared" si="36"/>
        <v>184.37986000000092</v>
      </c>
      <c r="I1148" s="13">
        <f t="shared" si="37"/>
        <v>184.38332999999693</v>
      </c>
      <c r="J1148" s="13">
        <f t="shared" si="38"/>
        <v>184.38159499999892</v>
      </c>
      <c r="K1148" s="7">
        <v>43649.381594999999</v>
      </c>
      <c r="L1148" s="4">
        <v>1331.2</v>
      </c>
      <c r="M1148">
        <v>3.7</v>
      </c>
      <c r="N1148">
        <v>26.67</v>
      </c>
      <c r="Q1148">
        <v>-10.143488636549501</v>
      </c>
      <c r="R1148">
        <v>8.2185361679952096E-4</v>
      </c>
    </row>
    <row r="1149" spans="1:18" x14ac:dyDescent="0.2">
      <c r="A1149" t="s">
        <v>8</v>
      </c>
      <c r="B1149">
        <v>4</v>
      </c>
      <c r="C1149" t="s">
        <v>6</v>
      </c>
      <c r="D1149" s="2">
        <v>43649</v>
      </c>
      <c r="E1149" s="11">
        <v>184</v>
      </c>
      <c r="F1149" s="3">
        <v>0.38472000000183471</v>
      </c>
      <c r="G1149" s="3">
        <v>0.38818999999784864</v>
      </c>
      <c r="H1149" s="13">
        <f t="shared" si="36"/>
        <v>184.38472000000183</v>
      </c>
      <c r="I1149" s="13">
        <f t="shared" si="37"/>
        <v>184.38818999999785</v>
      </c>
      <c r="J1149" s="13">
        <f t="shared" si="38"/>
        <v>184.38645499999984</v>
      </c>
      <c r="K1149" s="7">
        <v>43649.386455</v>
      </c>
      <c r="L1149" s="4">
        <v>1366.2</v>
      </c>
      <c r="N1149">
        <v>26.67</v>
      </c>
      <c r="Q1149">
        <v>5.6221499584037602</v>
      </c>
      <c r="R1149">
        <v>-5.9786777463704502E-4</v>
      </c>
    </row>
    <row r="1150" spans="1:18" x14ac:dyDescent="0.2">
      <c r="A1150" t="s">
        <v>8</v>
      </c>
      <c r="B1150">
        <v>5</v>
      </c>
      <c r="C1150" t="s">
        <v>2</v>
      </c>
      <c r="D1150" s="2">
        <v>43649</v>
      </c>
      <c r="E1150" s="11">
        <v>184</v>
      </c>
      <c r="F1150" s="3">
        <v>0.38958000000275206</v>
      </c>
      <c r="G1150" s="3">
        <v>0.39306000000215136</v>
      </c>
      <c r="H1150" s="13">
        <f t="shared" si="36"/>
        <v>184.38958000000275</v>
      </c>
      <c r="I1150" s="13">
        <f t="shared" si="37"/>
        <v>184.39306000000215</v>
      </c>
      <c r="J1150" s="13">
        <f t="shared" si="38"/>
        <v>184.39132000000245</v>
      </c>
      <c r="K1150" s="7">
        <v>43649.391320000002</v>
      </c>
      <c r="L1150" s="4">
        <v>68.7</v>
      </c>
      <c r="M1150">
        <v>2.5</v>
      </c>
      <c r="N1150">
        <v>26.67</v>
      </c>
      <c r="Q1150">
        <v>-8.9977538677554207</v>
      </c>
      <c r="R1150">
        <v>-4.69928851904704E-4</v>
      </c>
    </row>
    <row r="1151" spans="1:18" x14ac:dyDescent="0.2">
      <c r="A1151" t="s">
        <v>8</v>
      </c>
      <c r="B1151">
        <v>5</v>
      </c>
      <c r="C1151" t="s">
        <v>6</v>
      </c>
      <c r="D1151" s="2">
        <v>43649</v>
      </c>
      <c r="E1151" s="11">
        <v>184</v>
      </c>
      <c r="F1151" s="3">
        <v>0.39443999999639345</v>
      </c>
      <c r="G1151" s="3">
        <v>0.39792000000306871</v>
      </c>
      <c r="H1151" s="13">
        <f t="shared" si="36"/>
        <v>184.39443999999639</v>
      </c>
      <c r="I1151" s="13">
        <f t="shared" si="37"/>
        <v>184.39792000000307</v>
      </c>
      <c r="J1151" s="13">
        <f t="shared" si="38"/>
        <v>184.39617999999973</v>
      </c>
      <c r="K1151" s="7">
        <v>43649.396179999996</v>
      </c>
      <c r="L1151" s="4">
        <v>1.2</v>
      </c>
      <c r="N1151">
        <v>26.67</v>
      </c>
      <c r="Q1151">
        <v>6.5068288005422801</v>
      </c>
      <c r="R1151">
        <v>1.39908488704408E-3</v>
      </c>
    </row>
    <row r="1152" spans="1:18" x14ac:dyDescent="0.2">
      <c r="A1152" t="s">
        <v>8</v>
      </c>
      <c r="B1152">
        <v>1</v>
      </c>
      <c r="C1152" t="s">
        <v>2</v>
      </c>
      <c r="D1152" s="2">
        <v>43649</v>
      </c>
      <c r="E1152" s="11">
        <v>184</v>
      </c>
      <c r="F1152" s="3">
        <v>0.47292000000015832</v>
      </c>
      <c r="G1152" s="3">
        <v>0.47639000000344822</v>
      </c>
      <c r="H1152" s="13">
        <f t="shared" si="36"/>
        <v>184.47292000000016</v>
      </c>
      <c r="I1152" s="13">
        <f t="shared" si="37"/>
        <v>184.47639000000345</v>
      </c>
      <c r="J1152" s="13">
        <f t="shared" si="38"/>
        <v>184.4746550000018</v>
      </c>
      <c r="K1152" s="7">
        <v>43649.474654999998</v>
      </c>
      <c r="L1152" s="4">
        <v>1851.2</v>
      </c>
      <c r="M1152">
        <v>3.3</v>
      </c>
      <c r="N1152">
        <v>27.22</v>
      </c>
      <c r="Q1152">
        <v>-5.5092051668949997</v>
      </c>
      <c r="R1152">
        <v>-2.2251970437966499E-4</v>
      </c>
    </row>
    <row r="1153" spans="1:18" x14ac:dyDescent="0.2">
      <c r="A1153" t="s">
        <v>8</v>
      </c>
      <c r="B1153">
        <v>1</v>
      </c>
      <c r="C1153" t="s">
        <v>6</v>
      </c>
      <c r="D1153" s="2">
        <v>43649</v>
      </c>
      <c r="E1153" s="11">
        <v>184</v>
      </c>
      <c r="F1153" s="3">
        <v>0.47778000000107568</v>
      </c>
      <c r="G1153" s="3">
        <v>0.48124999999708962</v>
      </c>
      <c r="H1153" s="13">
        <f t="shared" si="36"/>
        <v>184.47778000000108</v>
      </c>
      <c r="I1153" s="13">
        <f t="shared" si="37"/>
        <v>184.48124999999709</v>
      </c>
      <c r="J1153" s="13">
        <f t="shared" si="38"/>
        <v>184.47951499999908</v>
      </c>
      <c r="K1153" s="7">
        <v>43649.479514999999</v>
      </c>
      <c r="L1153" s="4">
        <v>1863.7</v>
      </c>
      <c r="N1153">
        <v>27.22</v>
      </c>
      <c r="Q1153">
        <v>5.4096370556358302</v>
      </c>
      <c r="R1153">
        <v>2.42918474275299E-4</v>
      </c>
    </row>
    <row r="1154" spans="1:18" x14ac:dyDescent="0.2">
      <c r="A1154" t="s">
        <v>8</v>
      </c>
      <c r="B1154">
        <v>2</v>
      </c>
      <c r="C1154" t="s">
        <v>2</v>
      </c>
      <c r="D1154" s="2">
        <v>43649</v>
      </c>
      <c r="E1154" s="11">
        <v>184</v>
      </c>
      <c r="F1154" s="3">
        <v>0.48264000000199303</v>
      </c>
      <c r="G1154" s="3">
        <v>0.48610999999800697</v>
      </c>
      <c r="H1154" s="13">
        <f t="shared" si="36"/>
        <v>184.48264000000199</v>
      </c>
      <c r="I1154" s="13">
        <f t="shared" si="37"/>
        <v>184.48610999999801</v>
      </c>
      <c r="J1154" s="13">
        <f t="shared" si="38"/>
        <v>184.484375</v>
      </c>
      <c r="K1154" s="7">
        <v>43649.484375</v>
      </c>
      <c r="L1154" s="4">
        <v>1758.7</v>
      </c>
      <c r="M1154">
        <v>3.3</v>
      </c>
      <c r="N1154">
        <v>27.22</v>
      </c>
      <c r="Q1154">
        <v>-1.6936792758669501</v>
      </c>
      <c r="R1154">
        <v>-5.0252669706412397E-4</v>
      </c>
    </row>
    <row r="1155" spans="1:18" x14ac:dyDescent="0.2">
      <c r="A1155" t="s">
        <v>8</v>
      </c>
      <c r="B1155">
        <v>2</v>
      </c>
      <c r="C1155" t="s">
        <v>6</v>
      </c>
      <c r="D1155" s="2">
        <v>43649</v>
      </c>
      <c r="E1155" s="11">
        <v>184</v>
      </c>
      <c r="F1155" s="3">
        <v>0.48750000000291038</v>
      </c>
      <c r="G1155" s="3">
        <v>0.49096999999892432</v>
      </c>
      <c r="H1155" s="13">
        <f t="shared" si="36"/>
        <v>184.48750000000291</v>
      </c>
      <c r="I1155" s="13">
        <f t="shared" si="37"/>
        <v>184.49096999999892</v>
      </c>
      <c r="J1155" s="13">
        <f t="shared" si="38"/>
        <v>184.48923500000092</v>
      </c>
      <c r="K1155" s="7">
        <v>43649.489235000001</v>
      </c>
      <c r="L1155" s="4">
        <v>1898.7</v>
      </c>
      <c r="N1155">
        <v>27.22</v>
      </c>
      <c r="Q1155">
        <v>7.6512866653488398</v>
      </c>
      <c r="R1155">
        <v>-1.8620599513068401E-3</v>
      </c>
    </row>
    <row r="1156" spans="1:18" x14ac:dyDescent="0.2">
      <c r="A1156" t="s">
        <v>8</v>
      </c>
      <c r="B1156">
        <v>3</v>
      </c>
      <c r="C1156" t="s">
        <v>2</v>
      </c>
      <c r="D1156" s="2">
        <v>43649</v>
      </c>
      <c r="E1156" s="11">
        <v>184</v>
      </c>
      <c r="F1156" s="3">
        <v>0.49235999999655178</v>
      </c>
      <c r="G1156" s="3">
        <v>0.49582999999984168</v>
      </c>
      <c r="H1156" s="13">
        <f t="shared" si="36"/>
        <v>184.49235999999655</v>
      </c>
      <c r="I1156" s="13">
        <f t="shared" si="37"/>
        <v>184.49582999999984</v>
      </c>
      <c r="J1156" s="13">
        <f t="shared" si="38"/>
        <v>184.4940949999982</v>
      </c>
      <c r="K1156" s="7">
        <v>43649.494095000002</v>
      </c>
      <c r="L1156" s="4">
        <v>1901.2</v>
      </c>
      <c r="M1156">
        <v>7.3</v>
      </c>
      <c r="N1156">
        <v>27.22</v>
      </c>
      <c r="Q1156">
        <v>-5.7617391317099997</v>
      </c>
      <c r="R1156">
        <v>-1.07387489316883E-3</v>
      </c>
    </row>
    <row r="1157" spans="1:18" x14ac:dyDescent="0.2">
      <c r="A1157" t="s">
        <v>8</v>
      </c>
      <c r="B1157">
        <v>3</v>
      </c>
      <c r="C1157" t="s">
        <v>6</v>
      </c>
      <c r="D1157" s="2">
        <v>43649</v>
      </c>
      <c r="E1157" s="11">
        <v>184</v>
      </c>
      <c r="F1157" s="3">
        <v>0.49721999999746913</v>
      </c>
      <c r="G1157" s="3">
        <v>0.50069000000075903</v>
      </c>
      <c r="H1157" s="13">
        <f t="shared" si="36"/>
        <v>184.49721999999747</v>
      </c>
      <c r="I1157" s="13">
        <f t="shared" si="37"/>
        <v>184.50069000000076</v>
      </c>
      <c r="J1157" s="13">
        <f t="shared" si="38"/>
        <v>184.49895499999911</v>
      </c>
      <c r="K1157" s="7">
        <v>43649.498955000003</v>
      </c>
      <c r="L1157" s="4">
        <v>1913.7</v>
      </c>
      <c r="N1157">
        <v>27.22</v>
      </c>
      <c r="Q1157">
        <v>6.8547961174604897</v>
      </c>
      <c r="R1157">
        <v>1.7224682976557E-3</v>
      </c>
    </row>
    <row r="1158" spans="1:18" x14ac:dyDescent="0.2">
      <c r="A1158" t="s">
        <v>8</v>
      </c>
      <c r="B1158">
        <v>4</v>
      </c>
      <c r="C1158" t="s">
        <v>2</v>
      </c>
      <c r="D1158" s="2">
        <v>43649</v>
      </c>
      <c r="E1158" s="11">
        <v>184</v>
      </c>
      <c r="F1158" s="3">
        <v>0.50207999999838648</v>
      </c>
      <c r="G1158" s="3">
        <v>0.50555999999778578</v>
      </c>
      <c r="H1158" s="13">
        <f t="shared" si="36"/>
        <v>184.50207999999839</v>
      </c>
      <c r="I1158" s="13">
        <f t="shared" si="37"/>
        <v>184.50555999999779</v>
      </c>
      <c r="J1158" s="13">
        <f t="shared" si="38"/>
        <v>184.50381999999809</v>
      </c>
      <c r="K1158" s="7">
        <v>43649.503819999998</v>
      </c>
      <c r="L1158" s="4">
        <v>1931.2</v>
      </c>
      <c r="M1158">
        <v>5.7</v>
      </c>
      <c r="N1158">
        <v>27.22</v>
      </c>
      <c r="Q1158">
        <v>-5.0341537249953197</v>
      </c>
      <c r="R1158" s="6">
        <v>2.6491284543416201E-5</v>
      </c>
    </row>
    <row r="1159" spans="1:18" x14ac:dyDescent="0.2">
      <c r="A1159" t="s">
        <v>8</v>
      </c>
      <c r="B1159">
        <v>4</v>
      </c>
      <c r="C1159" t="s">
        <v>6</v>
      </c>
      <c r="D1159" s="2">
        <v>43649</v>
      </c>
      <c r="E1159" s="11">
        <v>184</v>
      </c>
      <c r="F1159" s="3">
        <v>0.50693999999930384</v>
      </c>
      <c r="G1159" s="3">
        <v>0.51041999999870313</v>
      </c>
      <c r="H1159" s="13">
        <f t="shared" si="36"/>
        <v>184.5069399999993</v>
      </c>
      <c r="I1159" s="13">
        <f t="shared" si="37"/>
        <v>184.5104199999987</v>
      </c>
      <c r="J1159" s="13">
        <f t="shared" si="38"/>
        <v>184.508679999999</v>
      </c>
      <c r="K1159" s="7">
        <v>43649.508679999999</v>
      </c>
      <c r="L1159" s="4">
        <v>1933.7</v>
      </c>
      <c r="N1159">
        <v>27.22</v>
      </c>
      <c r="Q1159">
        <v>9.0693569550967794</v>
      </c>
      <c r="R1159">
        <v>-1.31170537924125E-3</v>
      </c>
    </row>
    <row r="1160" spans="1:18" x14ac:dyDescent="0.2">
      <c r="A1160" t="s">
        <v>8</v>
      </c>
      <c r="B1160">
        <v>5</v>
      </c>
      <c r="C1160" t="s">
        <v>2</v>
      </c>
      <c r="D1160" s="2">
        <v>43649</v>
      </c>
      <c r="E1160" s="11">
        <v>184</v>
      </c>
      <c r="F1160" s="3">
        <v>0.51181000000360655</v>
      </c>
      <c r="G1160" s="3">
        <v>0.51527999999962049</v>
      </c>
      <c r="H1160" s="13">
        <f t="shared" si="36"/>
        <v>184.51181000000361</v>
      </c>
      <c r="I1160" s="13">
        <f t="shared" si="37"/>
        <v>184.51527999999962</v>
      </c>
      <c r="J1160" s="13">
        <f t="shared" si="38"/>
        <v>184.51354500000161</v>
      </c>
      <c r="K1160" s="7">
        <v>43649.513545000002</v>
      </c>
      <c r="L1160" s="4">
        <v>1941.2</v>
      </c>
      <c r="M1160">
        <v>2.2999999999999998</v>
      </c>
      <c r="N1160">
        <v>27.22</v>
      </c>
      <c r="Q1160">
        <v>-4.6198403190594401</v>
      </c>
      <c r="R1160">
        <v>1.4123801298387699E-3</v>
      </c>
    </row>
    <row r="1161" spans="1:18" x14ac:dyDescent="0.2">
      <c r="A1161" t="s">
        <v>8</v>
      </c>
      <c r="B1161">
        <v>5</v>
      </c>
      <c r="C1161" t="s">
        <v>6</v>
      </c>
      <c r="D1161" s="2">
        <v>43649</v>
      </c>
      <c r="E1161" s="11">
        <v>184</v>
      </c>
      <c r="F1161" s="3">
        <v>0.51666999999724794</v>
      </c>
      <c r="G1161" s="3">
        <v>0.52014000000053784</v>
      </c>
      <c r="H1161" s="13">
        <f t="shared" si="36"/>
        <v>184.51666999999725</v>
      </c>
      <c r="I1161" s="13">
        <f t="shared" si="37"/>
        <v>184.52014000000054</v>
      </c>
      <c r="J1161" s="13">
        <f t="shared" si="38"/>
        <v>184.51840499999889</v>
      </c>
      <c r="K1161" s="7">
        <v>43649.518404999995</v>
      </c>
      <c r="L1161" s="4">
        <v>1941.2</v>
      </c>
      <c r="N1161">
        <v>27.22</v>
      </c>
      <c r="Q1161">
        <v>7.31056130340321</v>
      </c>
      <c r="R1161">
        <v>-3.2719384402908102E-3</v>
      </c>
    </row>
    <row r="1162" spans="1:18" x14ac:dyDescent="0.2">
      <c r="A1162" t="s">
        <v>8</v>
      </c>
      <c r="B1162">
        <v>1</v>
      </c>
      <c r="C1162" t="s">
        <v>2</v>
      </c>
      <c r="D1162" s="2">
        <v>43656</v>
      </c>
      <c r="E1162" s="11">
        <v>191</v>
      </c>
      <c r="F1162" s="3">
        <v>0.42846999999892432</v>
      </c>
      <c r="G1162" s="3">
        <v>0.43194000000221422</v>
      </c>
      <c r="H1162" s="13">
        <f t="shared" si="36"/>
        <v>191.42846999999892</v>
      </c>
      <c r="I1162" s="13">
        <f t="shared" si="37"/>
        <v>191.43194000000221</v>
      </c>
      <c r="J1162" s="13">
        <f t="shared" si="38"/>
        <v>191.43020500000057</v>
      </c>
      <c r="K1162" s="7">
        <v>43656.430204999997</v>
      </c>
      <c r="L1162" s="4">
        <v>1566.2</v>
      </c>
      <c r="M1162">
        <v>3.3</v>
      </c>
      <c r="N1162">
        <v>23.33</v>
      </c>
      <c r="Q1162">
        <v>-8.4671707103243197</v>
      </c>
      <c r="R1162">
        <v>-5.3892562295065601E-4</v>
      </c>
    </row>
    <row r="1163" spans="1:18" x14ac:dyDescent="0.2">
      <c r="A1163" t="s">
        <v>8</v>
      </c>
      <c r="B1163">
        <v>1</v>
      </c>
      <c r="C1163" t="s">
        <v>6</v>
      </c>
      <c r="D1163" s="2">
        <v>43656</v>
      </c>
      <c r="E1163" s="11">
        <v>191</v>
      </c>
      <c r="F1163" s="3">
        <v>0.43332999999984168</v>
      </c>
      <c r="G1163" s="3">
        <v>0.43680999999924097</v>
      </c>
      <c r="H1163" s="13">
        <f t="shared" si="36"/>
        <v>191.43332999999984</v>
      </c>
      <c r="I1163" s="13">
        <f t="shared" si="37"/>
        <v>191.43680999999924</v>
      </c>
      <c r="J1163" s="13">
        <f t="shared" si="38"/>
        <v>191.43506999999954</v>
      </c>
      <c r="K1163" s="7">
        <v>43656.43507</v>
      </c>
      <c r="L1163" s="4">
        <v>1603.7</v>
      </c>
      <c r="N1163">
        <v>23.33</v>
      </c>
      <c r="Q1163">
        <v>9.0072032524384191</v>
      </c>
      <c r="R1163">
        <v>-1.2056532377528001E-4</v>
      </c>
    </row>
    <row r="1164" spans="1:18" x14ac:dyDescent="0.2">
      <c r="A1164" t="s">
        <v>8</v>
      </c>
      <c r="B1164">
        <v>2</v>
      </c>
      <c r="C1164" t="s">
        <v>2</v>
      </c>
      <c r="D1164" s="2">
        <v>43656</v>
      </c>
      <c r="E1164" s="11">
        <v>191</v>
      </c>
      <c r="F1164" s="3">
        <v>0.43819000000075903</v>
      </c>
      <c r="G1164" s="3">
        <v>0.44167000000015832</v>
      </c>
      <c r="H1164" s="13">
        <f t="shared" si="36"/>
        <v>191.43819000000076</v>
      </c>
      <c r="I1164" s="13">
        <f t="shared" si="37"/>
        <v>191.44167000000016</v>
      </c>
      <c r="J1164" s="13">
        <f t="shared" si="38"/>
        <v>191.43993000000046</v>
      </c>
      <c r="K1164" s="7">
        <v>43656.43993</v>
      </c>
      <c r="L1164" s="4">
        <v>1583.7</v>
      </c>
      <c r="M1164">
        <v>1.9</v>
      </c>
      <c r="N1164">
        <v>23.33</v>
      </c>
      <c r="Q1164">
        <v>-7.2486599236612701</v>
      </c>
      <c r="R1164">
        <v>-3.5210965518610001E-4</v>
      </c>
    </row>
    <row r="1165" spans="1:18" x14ac:dyDescent="0.2">
      <c r="A1165" t="s">
        <v>8</v>
      </c>
      <c r="B1165">
        <v>2</v>
      </c>
      <c r="C1165" t="s">
        <v>6</v>
      </c>
      <c r="D1165" s="2">
        <v>43656</v>
      </c>
      <c r="E1165" s="11">
        <v>191</v>
      </c>
      <c r="F1165" s="3">
        <v>0.44305999999778578</v>
      </c>
      <c r="G1165" s="3">
        <v>0.44653000000107568</v>
      </c>
      <c r="H1165" s="13">
        <f t="shared" si="36"/>
        <v>191.44305999999779</v>
      </c>
      <c r="I1165" s="13">
        <f t="shared" si="37"/>
        <v>191.44653000000108</v>
      </c>
      <c r="J1165" s="13">
        <f t="shared" si="38"/>
        <v>191.44479499999943</v>
      </c>
      <c r="K1165" s="7">
        <v>43656.444795000003</v>
      </c>
      <c r="L1165" s="4">
        <v>1546.2</v>
      </c>
      <c r="N1165">
        <v>23.33</v>
      </c>
      <c r="Q1165">
        <v>8.0749165973480199</v>
      </c>
      <c r="R1165">
        <v>-5.5691905035012805E-4</v>
      </c>
    </row>
    <row r="1166" spans="1:18" x14ac:dyDescent="0.2">
      <c r="A1166" t="s">
        <v>8</v>
      </c>
      <c r="B1166">
        <v>3</v>
      </c>
      <c r="C1166" t="s">
        <v>2</v>
      </c>
      <c r="D1166" s="2">
        <v>43656</v>
      </c>
      <c r="E1166" s="11">
        <v>191</v>
      </c>
      <c r="F1166" s="3">
        <v>0.44791999999870313</v>
      </c>
      <c r="G1166" s="3">
        <v>0.45139000000199303</v>
      </c>
      <c r="H1166" s="13">
        <f t="shared" si="36"/>
        <v>191.4479199999987</v>
      </c>
      <c r="I1166" s="13">
        <f t="shared" si="37"/>
        <v>191.45139000000199</v>
      </c>
      <c r="J1166" s="13">
        <f t="shared" si="38"/>
        <v>191.44965500000035</v>
      </c>
      <c r="K1166" s="7">
        <v>43656.449655000004</v>
      </c>
      <c r="L1166" s="4">
        <v>1616.2</v>
      </c>
      <c r="M1166">
        <v>4.0999999999999996</v>
      </c>
      <c r="N1166">
        <v>23.33</v>
      </c>
      <c r="Q1166">
        <v>-10.163715917123101</v>
      </c>
      <c r="R1166">
        <v>-4.3452771446819498E-4</v>
      </c>
    </row>
    <row r="1167" spans="1:18" x14ac:dyDescent="0.2">
      <c r="A1167" t="s">
        <v>8</v>
      </c>
      <c r="B1167">
        <v>3</v>
      </c>
      <c r="C1167" t="s">
        <v>6</v>
      </c>
      <c r="D1167" s="2">
        <v>43656</v>
      </c>
      <c r="E1167" s="11">
        <v>191</v>
      </c>
      <c r="F1167" s="3">
        <v>0.45277999999962049</v>
      </c>
      <c r="G1167" s="3">
        <v>0.45625000000291038</v>
      </c>
      <c r="H1167" s="13">
        <f t="shared" si="36"/>
        <v>191.45277999999962</v>
      </c>
      <c r="I1167" s="13">
        <f t="shared" si="37"/>
        <v>191.45625000000291</v>
      </c>
      <c r="J1167" s="13">
        <f t="shared" si="38"/>
        <v>191.45451500000127</v>
      </c>
      <c r="K1167" s="7">
        <v>43656.454515000005</v>
      </c>
      <c r="L1167" s="4">
        <v>1646.2</v>
      </c>
      <c r="N1167">
        <v>23.33</v>
      </c>
      <c r="Q1167">
        <v>8.8404009841581193</v>
      </c>
      <c r="R1167">
        <v>-2.88786679580725E-4</v>
      </c>
    </row>
    <row r="1168" spans="1:18" x14ac:dyDescent="0.2">
      <c r="A1168" t="s">
        <v>8</v>
      </c>
      <c r="B1168">
        <v>4</v>
      </c>
      <c r="C1168" t="s">
        <v>2</v>
      </c>
      <c r="D1168" s="2">
        <v>43656</v>
      </c>
      <c r="E1168" s="11">
        <v>191</v>
      </c>
      <c r="F1168" s="3">
        <v>0.45764000000053784</v>
      </c>
      <c r="G1168" s="3">
        <v>0.46110999999655178</v>
      </c>
      <c r="H1168" s="13">
        <f t="shared" si="36"/>
        <v>191.45764000000054</v>
      </c>
      <c r="I1168" s="13">
        <f t="shared" si="37"/>
        <v>191.46110999999655</v>
      </c>
      <c r="J1168" s="13">
        <f t="shared" si="38"/>
        <v>191.45937499999854</v>
      </c>
      <c r="K1168" s="7">
        <v>43656.459374999999</v>
      </c>
      <c r="L1168" s="4">
        <v>1671.2</v>
      </c>
      <c r="M1168">
        <v>3</v>
      </c>
      <c r="N1168">
        <v>23.33</v>
      </c>
      <c r="Q1168">
        <v>-10.4935713813448</v>
      </c>
      <c r="R1168">
        <v>-4.2120536699866802E-4</v>
      </c>
    </row>
    <row r="1169" spans="1:18" x14ac:dyDescent="0.2">
      <c r="A1169" t="s">
        <v>8</v>
      </c>
      <c r="B1169">
        <v>4</v>
      </c>
      <c r="C1169" t="s">
        <v>6</v>
      </c>
      <c r="D1169" s="2">
        <v>43656</v>
      </c>
      <c r="E1169" s="11">
        <v>191</v>
      </c>
      <c r="F1169" s="3">
        <v>0.46250000000145519</v>
      </c>
      <c r="G1169" s="3">
        <v>0.46596999999746913</v>
      </c>
      <c r="H1169" s="13">
        <f t="shared" si="36"/>
        <v>191.46250000000146</v>
      </c>
      <c r="I1169" s="13">
        <f t="shared" si="37"/>
        <v>191.46596999999747</v>
      </c>
      <c r="J1169" s="13">
        <f t="shared" si="38"/>
        <v>191.46423499999946</v>
      </c>
      <c r="K1169" s="7">
        <v>43656.464234999999</v>
      </c>
      <c r="L1169" s="4">
        <v>1606.2</v>
      </c>
      <c r="N1169">
        <v>23.33</v>
      </c>
      <c r="Q1169">
        <v>9.54150753773032</v>
      </c>
      <c r="R1169">
        <v>-3.2500249804785498E-4</v>
      </c>
    </row>
    <row r="1170" spans="1:18" x14ac:dyDescent="0.2">
      <c r="A1170" t="s">
        <v>8</v>
      </c>
      <c r="B1170">
        <v>5</v>
      </c>
      <c r="C1170" t="s">
        <v>2</v>
      </c>
      <c r="D1170" s="2">
        <v>43656</v>
      </c>
      <c r="E1170" s="11">
        <v>191</v>
      </c>
      <c r="F1170" s="3">
        <v>0.46736000000237254</v>
      </c>
      <c r="G1170" s="3">
        <v>0.47082999999838648</v>
      </c>
      <c r="H1170" s="13">
        <f t="shared" si="36"/>
        <v>191.46736000000237</v>
      </c>
      <c r="I1170" s="13">
        <f t="shared" si="37"/>
        <v>191.47082999999839</v>
      </c>
      <c r="J1170" s="13">
        <f t="shared" si="38"/>
        <v>191.46909500000038</v>
      </c>
      <c r="K1170" s="7">
        <v>43656.469095</v>
      </c>
      <c r="L1170" s="4">
        <v>1581.2</v>
      </c>
      <c r="M1170">
        <v>4.4000000000000004</v>
      </c>
      <c r="N1170">
        <v>23.33</v>
      </c>
      <c r="Q1170">
        <v>-6.6216539694655197</v>
      </c>
      <c r="R1170">
        <v>-1.7731159563384599E-4</v>
      </c>
    </row>
    <row r="1171" spans="1:18" x14ac:dyDescent="0.2">
      <c r="A1171" t="s">
        <v>8</v>
      </c>
      <c r="B1171">
        <v>5</v>
      </c>
      <c r="C1171" t="s">
        <v>6</v>
      </c>
      <c r="D1171" s="2">
        <v>43656</v>
      </c>
      <c r="E1171" s="11">
        <v>191</v>
      </c>
      <c r="F1171" s="3">
        <v>0.4722200000032899</v>
      </c>
      <c r="G1171" s="3">
        <v>0.47568999999930384</v>
      </c>
      <c r="H1171" s="13">
        <f t="shared" si="36"/>
        <v>191.47222000000329</v>
      </c>
      <c r="I1171" s="13">
        <f t="shared" si="37"/>
        <v>191.4756899999993</v>
      </c>
      <c r="J1171" s="13">
        <f t="shared" si="38"/>
        <v>191.4739550000013</v>
      </c>
      <c r="K1171" s="7">
        <v>43656.473955000001</v>
      </c>
      <c r="L1171" s="4">
        <v>1681.2</v>
      </c>
      <c r="N1171">
        <v>23.33</v>
      </c>
      <c r="Q1171">
        <v>9.9412342381397991</v>
      </c>
      <c r="R1171">
        <v>-1.9013979567640899E-4</v>
      </c>
    </row>
    <row r="1172" spans="1:18" x14ac:dyDescent="0.2">
      <c r="A1172" t="s">
        <v>8</v>
      </c>
      <c r="B1172">
        <v>1</v>
      </c>
      <c r="C1172" t="s">
        <v>2</v>
      </c>
      <c r="D1172" s="2">
        <v>43656</v>
      </c>
      <c r="E1172" s="11">
        <v>191</v>
      </c>
      <c r="F1172" s="3">
        <v>0.52500000000145519</v>
      </c>
      <c r="G1172" s="3">
        <v>0.52846999999746913</v>
      </c>
      <c r="H1172" s="13">
        <f t="shared" si="36"/>
        <v>191.52500000000146</v>
      </c>
      <c r="I1172" s="13">
        <f t="shared" si="37"/>
        <v>191.52846999999747</v>
      </c>
      <c r="J1172" s="13">
        <f t="shared" si="38"/>
        <v>191.52673499999946</v>
      </c>
      <c r="K1172" s="7">
        <v>43656.526734999999</v>
      </c>
      <c r="L1172" s="4">
        <v>1776.2</v>
      </c>
      <c r="M1172">
        <v>2.5</v>
      </c>
      <c r="N1172">
        <v>29.44</v>
      </c>
      <c r="Q1172">
        <v>-5.0392271430059798</v>
      </c>
      <c r="R1172">
        <v>-1.5219270343901699E-4</v>
      </c>
    </row>
    <row r="1173" spans="1:18" x14ac:dyDescent="0.2">
      <c r="A1173" t="s">
        <v>8</v>
      </c>
      <c r="B1173">
        <v>1</v>
      </c>
      <c r="C1173" t="s">
        <v>6</v>
      </c>
      <c r="D1173" s="2">
        <v>43656</v>
      </c>
      <c r="E1173" s="11">
        <v>191</v>
      </c>
      <c r="F1173" s="3">
        <v>0.52986000000237254</v>
      </c>
      <c r="G1173" s="3">
        <v>0.53332999999838648</v>
      </c>
      <c r="H1173" s="13">
        <f t="shared" si="36"/>
        <v>191.52986000000237</v>
      </c>
      <c r="I1173" s="13">
        <f t="shared" si="37"/>
        <v>191.53332999999839</v>
      </c>
      <c r="J1173" s="13">
        <f t="shared" si="38"/>
        <v>191.53159500000038</v>
      </c>
      <c r="K1173" s="7">
        <v>43656.531595</v>
      </c>
      <c r="L1173" s="4">
        <v>1733.7</v>
      </c>
      <c r="N1173">
        <v>29.44</v>
      </c>
      <c r="Q1173">
        <v>9.4163064357128601</v>
      </c>
      <c r="R1173">
        <v>-4.8538775827949003E-4</v>
      </c>
    </row>
    <row r="1174" spans="1:18" x14ac:dyDescent="0.2">
      <c r="A1174" t="s">
        <v>8</v>
      </c>
      <c r="B1174">
        <v>2</v>
      </c>
      <c r="C1174" t="s">
        <v>2</v>
      </c>
      <c r="D1174" s="2">
        <v>43656</v>
      </c>
      <c r="E1174" s="11">
        <v>191</v>
      </c>
      <c r="F1174" s="3">
        <v>0.5347200000032899</v>
      </c>
      <c r="G1174" s="3">
        <v>0.53818999999930384</v>
      </c>
      <c r="H1174" s="13">
        <f t="shared" si="36"/>
        <v>191.53472000000329</v>
      </c>
      <c r="I1174" s="13">
        <f t="shared" si="37"/>
        <v>191.5381899999993</v>
      </c>
      <c r="J1174" s="13">
        <f t="shared" si="38"/>
        <v>191.5364550000013</v>
      </c>
      <c r="K1174" s="7">
        <v>43656.536455000001</v>
      </c>
      <c r="L1174" s="4">
        <v>1886.2</v>
      </c>
      <c r="M1174">
        <v>4.7</v>
      </c>
      <c r="N1174">
        <v>29.44</v>
      </c>
      <c r="Q1174">
        <v>5.2162308294138899</v>
      </c>
      <c r="R1174">
        <v>4.3036612298912598E-2</v>
      </c>
    </row>
    <row r="1175" spans="1:18" x14ac:dyDescent="0.2">
      <c r="A1175" t="s">
        <v>8</v>
      </c>
      <c r="B1175">
        <v>2</v>
      </c>
      <c r="C1175" t="s">
        <v>6</v>
      </c>
      <c r="D1175" s="2">
        <v>43656</v>
      </c>
      <c r="E1175" s="11">
        <v>191</v>
      </c>
      <c r="F1175" s="3">
        <v>0.53957999999693129</v>
      </c>
      <c r="G1175" s="3">
        <v>0.54306000000360655</v>
      </c>
      <c r="H1175" s="13">
        <f t="shared" si="36"/>
        <v>191.53957999999693</v>
      </c>
      <c r="I1175" s="13">
        <f t="shared" si="37"/>
        <v>191.54306000000361</v>
      </c>
      <c r="J1175" s="13">
        <f t="shared" si="38"/>
        <v>191.54132000000027</v>
      </c>
      <c r="K1175" s="7">
        <v>43656.541320000004</v>
      </c>
      <c r="L1175" s="4">
        <v>1408.7</v>
      </c>
      <c r="N1175">
        <v>29.44</v>
      </c>
      <c r="Q1175">
        <v>9.4003304186668206</v>
      </c>
      <c r="R1175">
        <v>-4.83377439627871E-4</v>
      </c>
    </row>
    <row r="1176" spans="1:18" x14ac:dyDescent="0.2">
      <c r="A1176" t="s">
        <v>8</v>
      </c>
      <c r="B1176">
        <v>3</v>
      </c>
      <c r="C1176" t="s">
        <v>2</v>
      </c>
      <c r="D1176" s="2">
        <v>43656</v>
      </c>
      <c r="E1176" s="11">
        <v>191</v>
      </c>
      <c r="F1176" s="3">
        <v>0.54443999999784864</v>
      </c>
      <c r="G1176" s="3">
        <v>0.54791999999724794</v>
      </c>
      <c r="H1176" s="13">
        <f t="shared" si="36"/>
        <v>191.54443999999785</v>
      </c>
      <c r="I1176" s="13">
        <f t="shared" si="37"/>
        <v>191.54791999999725</v>
      </c>
      <c r="J1176" s="13">
        <f t="shared" si="38"/>
        <v>191.54617999999755</v>
      </c>
      <c r="K1176" s="7">
        <v>43656.546179999998</v>
      </c>
      <c r="L1176" s="4">
        <v>1846.2</v>
      </c>
      <c r="M1176">
        <v>4.3</v>
      </c>
      <c r="N1176">
        <v>29.44</v>
      </c>
      <c r="Q1176">
        <v>-4.9382395542325899</v>
      </c>
      <c r="R1176">
        <v>-4.2485901757408599E-4</v>
      </c>
    </row>
    <row r="1177" spans="1:18" x14ac:dyDescent="0.2">
      <c r="A1177" t="s">
        <v>8</v>
      </c>
      <c r="B1177">
        <v>3</v>
      </c>
      <c r="C1177" t="s">
        <v>6</v>
      </c>
      <c r="D1177" s="2">
        <v>43656</v>
      </c>
      <c r="E1177" s="11">
        <v>191</v>
      </c>
      <c r="F1177" s="3">
        <v>0.54931000000215136</v>
      </c>
      <c r="G1177" s="3">
        <v>0.55277999999816529</v>
      </c>
      <c r="H1177" s="13">
        <f t="shared" si="36"/>
        <v>191.54931000000215</v>
      </c>
      <c r="I1177" s="13">
        <f t="shared" si="37"/>
        <v>191.55277999999817</v>
      </c>
      <c r="J1177" s="13">
        <f t="shared" si="38"/>
        <v>191.55104500000016</v>
      </c>
      <c r="K1177" s="7">
        <v>43656.551045</v>
      </c>
      <c r="L1177" s="4">
        <v>1693.7</v>
      </c>
      <c r="N1177">
        <v>29.44</v>
      </c>
      <c r="Q1177">
        <v>10.130231660162901</v>
      </c>
      <c r="R1177">
        <v>-2.7672580552089301E-4</v>
      </c>
    </row>
    <row r="1178" spans="1:18" x14ac:dyDescent="0.2">
      <c r="A1178" t="s">
        <v>8</v>
      </c>
      <c r="B1178">
        <v>4</v>
      </c>
      <c r="C1178" t="s">
        <v>2</v>
      </c>
      <c r="D1178" s="2">
        <v>43656</v>
      </c>
      <c r="E1178" s="11">
        <v>191</v>
      </c>
      <c r="F1178" s="3">
        <v>0.55417000000306871</v>
      </c>
      <c r="G1178" s="3">
        <v>0.55763999999908265</v>
      </c>
      <c r="H1178" s="13">
        <f t="shared" si="36"/>
        <v>191.55417000000307</v>
      </c>
      <c r="I1178" s="13">
        <f t="shared" si="37"/>
        <v>191.55763999999908</v>
      </c>
      <c r="J1178" s="13">
        <f t="shared" si="38"/>
        <v>191.55590500000108</v>
      </c>
      <c r="K1178" s="7">
        <v>43656.555905000001</v>
      </c>
      <c r="L1178" s="4">
        <v>1756.2</v>
      </c>
      <c r="M1178">
        <v>5.2</v>
      </c>
      <c r="N1178">
        <v>29.44</v>
      </c>
      <c r="Q1178">
        <v>-6.81379861109275</v>
      </c>
      <c r="R1178">
        <v>-3.6139881471880102E-4</v>
      </c>
    </row>
    <row r="1179" spans="1:18" x14ac:dyDescent="0.2">
      <c r="A1179" t="s">
        <v>8</v>
      </c>
      <c r="B1179">
        <v>4</v>
      </c>
      <c r="C1179" t="s">
        <v>6</v>
      </c>
      <c r="D1179" s="2">
        <v>43656</v>
      </c>
      <c r="E1179" s="11">
        <v>191</v>
      </c>
      <c r="F1179" s="3">
        <v>0.5590299999967101</v>
      </c>
      <c r="G1179" s="3">
        <v>0.5625</v>
      </c>
      <c r="H1179" s="13">
        <f t="shared" si="36"/>
        <v>191.55902999999671</v>
      </c>
      <c r="I1179" s="13">
        <f t="shared" si="37"/>
        <v>191.5625</v>
      </c>
      <c r="J1179" s="13">
        <f t="shared" si="38"/>
        <v>191.56076499999836</v>
      </c>
      <c r="K1179" s="7">
        <v>43656.560765000002</v>
      </c>
      <c r="L1179" s="4">
        <v>1871.2</v>
      </c>
      <c r="N1179">
        <v>29.44</v>
      </c>
      <c r="Q1179">
        <v>11.127850091057599</v>
      </c>
      <c r="R1179">
        <v>-3.8370319620945601E-4</v>
      </c>
    </row>
    <row r="1180" spans="1:18" x14ac:dyDescent="0.2">
      <c r="A1180" t="s">
        <v>8</v>
      </c>
      <c r="B1180">
        <v>5</v>
      </c>
      <c r="C1180" t="s">
        <v>2</v>
      </c>
      <c r="D1180" s="2">
        <v>43656</v>
      </c>
      <c r="E1180" s="11">
        <v>191</v>
      </c>
      <c r="F1180" s="3">
        <v>0.56388999999762746</v>
      </c>
      <c r="G1180" s="3">
        <v>0.56736000000091735</v>
      </c>
      <c r="H1180" s="13">
        <f t="shared" si="36"/>
        <v>191.56388999999763</v>
      </c>
      <c r="I1180" s="13">
        <f t="shared" si="37"/>
        <v>191.56736000000092</v>
      </c>
      <c r="J1180" s="13">
        <f t="shared" si="38"/>
        <v>191.56562499999927</v>
      </c>
      <c r="K1180" s="7">
        <v>43656.565625000003</v>
      </c>
      <c r="L1180" s="4">
        <v>1683.7</v>
      </c>
      <c r="M1180">
        <v>6.9</v>
      </c>
      <c r="N1180">
        <v>29.44</v>
      </c>
      <c r="Q1180">
        <v>-1.89960281155482</v>
      </c>
      <c r="R1180">
        <v>-2.3453169889945299E-4</v>
      </c>
    </row>
    <row r="1181" spans="1:18" x14ac:dyDescent="0.2">
      <c r="A1181" t="s">
        <v>8</v>
      </c>
      <c r="B1181">
        <v>5</v>
      </c>
      <c r="C1181" t="s">
        <v>6</v>
      </c>
      <c r="D1181" s="2">
        <v>43656</v>
      </c>
      <c r="E1181" s="11">
        <v>191</v>
      </c>
      <c r="F1181" s="3">
        <v>0.56874999999854481</v>
      </c>
      <c r="G1181" s="3">
        <v>0.57222000000183471</v>
      </c>
      <c r="H1181" s="13">
        <f t="shared" si="36"/>
        <v>191.56874999999854</v>
      </c>
      <c r="I1181" s="13">
        <f t="shared" si="37"/>
        <v>191.57222000000183</v>
      </c>
      <c r="J1181" s="13">
        <f t="shared" si="38"/>
        <v>191.57048500000019</v>
      </c>
      <c r="K1181" s="7">
        <v>43656.570485000004</v>
      </c>
      <c r="L1181" s="4">
        <v>1641.2</v>
      </c>
      <c r="N1181">
        <v>29.44</v>
      </c>
      <c r="Q1181">
        <v>8.7101451986858809</v>
      </c>
      <c r="R1181">
        <v>-3.8492785627169398E-4</v>
      </c>
    </row>
    <row r="1182" spans="1:18" x14ac:dyDescent="0.2">
      <c r="A1182" t="s">
        <v>8</v>
      </c>
      <c r="B1182">
        <v>1</v>
      </c>
      <c r="C1182" t="s">
        <v>2</v>
      </c>
      <c r="D1182" s="2">
        <v>43658</v>
      </c>
      <c r="E1182" s="11">
        <v>193</v>
      </c>
      <c r="F1182" s="3">
        <v>0.45556999999826076</v>
      </c>
      <c r="G1182" s="3">
        <v>0.45904000000155065</v>
      </c>
      <c r="H1182" s="13">
        <f t="shared" si="36"/>
        <v>193.45556999999826</v>
      </c>
      <c r="I1182" s="13">
        <f t="shared" si="37"/>
        <v>193.45904000000155</v>
      </c>
      <c r="J1182" s="13">
        <f t="shared" si="38"/>
        <v>193.45730499999991</v>
      </c>
      <c r="K1182" s="7">
        <v>43658.457305000004</v>
      </c>
      <c r="L1182" s="4">
        <v>1306.2</v>
      </c>
      <c r="M1182">
        <v>5.8</v>
      </c>
      <c r="N1182">
        <v>26.67</v>
      </c>
      <c r="Q1182">
        <v>-12.326531836047501</v>
      </c>
      <c r="R1182">
        <v>4.5285600955292899E-4</v>
      </c>
    </row>
    <row r="1183" spans="1:18" x14ac:dyDescent="0.2">
      <c r="A1183" t="s">
        <v>8</v>
      </c>
      <c r="B1183">
        <v>1</v>
      </c>
      <c r="C1183" t="s">
        <v>6</v>
      </c>
      <c r="D1183" s="2">
        <v>43658</v>
      </c>
      <c r="E1183" s="11">
        <v>193</v>
      </c>
      <c r="F1183" s="3">
        <v>0.46042999999917811</v>
      </c>
      <c r="G1183" s="3">
        <v>0.463900000002468</v>
      </c>
      <c r="H1183" s="13">
        <f t="shared" si="36"/>
        <v>193.46042999999918</v>
      </c>
      <c r="I1183" s="13">
        <f t="shared" si="37"/>
        <v>193.46390000000247</v>
      </c>
      <c r="J1183" s="13">
        <f t="shared" si="38"/>
        <v>193.46216500000082</v>
      </c>
      <c r="K1183" s="7">
        <v>43658.462165000004</v>
      </c>
      <c r="L1183" s="4">
        <v>1526.2</v>
      </c>
      <c r="N1183">
        <v>26.67</v>
      </c>
      <c r="Q1183">
        <v>14.488502843982801</v>
      </c>
      <c r="R1183">
        <v>-3.4780085797566599E-4</v>
      </c>
    </row>
    <row r="1184" spans="1:18" x14ac:dyDescent="0.2">
      <c r="A1184" t="s">
        <v>8</v>
      </c>
      <c r="B1184">
        <v>2</v>
      </c>
      <c r="C1184" t="s">
        <v>2</v>
      </c>
      <c r="D1184" s="2">
        <v>43658</v>
      </c>
      <c r="E1184" s="11">
        <v>193</v>
      </c>
      <c r="F1184" s="3">
        <v>0.46529000000009546</v>
      </c>
      <c r="G1184" s="3">
        <v>0.46876000000338536</v>
      </c>
      <c r="H1184" s="13">
        <f t="shared" si="36"/>
        <v>193.4652900000001</v>
      </c>
      <c r="I1184" s="13">
        <f t="shared" si="37"/>
        <v>193.46876000000339</v>
      </c>
      <c r="J1184" s="13">
        <f t="shared" si="38"/>
        <v>193.46702500000174</v>
      </c>
      <c r="K1184" s="7">
        <v>43658.467025000005</v>
      </c>
      <c r="L1184" s="4">
        <v>1121.2</v>
      </c>
      <c r="M1184">
        <v>5.0999999999999996</v>
      </c>
      <c r="N1184">
        <v>26.67</v>
      </c>
      <c r="Q1184">
        <v>-22.228246973926201</v>
      </c>
      <c r="R1184">
        <v>-5.0151889767019496E-4</v>
      </c>
    </row>
    <row r="1185" spans="1:18" x14ac:dyDescent="0.2">
      <c r="A1185" t="s">
        <v>8</v>
      </c>
      <c r="B1185">
        <v>2</v>
      </c>
      <c r="C1185" t="s">
        <v>6</v>
      </c>
      <c r="D1185" s="2">
        <v>43658</v>
      </c>
      <c r="E1185" s="11">
        <v>193</v>
      </c>
      <c r="F1185" s="3">
        <v>0.47015000000101281</v>
      </c>
      <c r="G1185" s="3">
        <v>0.47361999999702675</v>
      </c>
      <c r="H1185" s="13">
        <f t="shared" si="36"/>
        <v>193.47015000000101</v>
      </c>
      <c r="I1185" s="13">
        <f t="shared" si="37"/>
        <v>193.47361999999703</v>
      </c>
      <c r="J1185" s="13">
        <f t="shared" si="38"/>
        <v>193.47188499999902</v>
      </c>
      <c r="K1185" s="7">
        <v>43658.471884999999</v>
      </c>
      <c r="L1185" s="4">
        <v>2246.1999999999998</v>
      </c>
      <c r="N1185">
        <v>26.67</v>
      </c>
      <c r="Q1185">
        <v>16.442782517892901</v>
      </c>
      <c r="R1185">
        <v>5.0449389121535299E-4</v>
      </c>
    </row>
    <row r="1186" spans="1:18" x14ac:dyDescent="0.2">
      <c r="A1186" t="s">
        <v>8</v>
      </c>
      <c r="B1186">
        <v>3</v>
      </c>
      <c r="C1186" t="s">
        <v>2</v>
      </c>
      <c r="D1186" s="2">
        <v>43658</v>
      </c>
      <c r="E1186" s="11">
        <v>193</v>
      </c>
      <c r="F1186" s="3">
        <v>0.47501000000193017</v>
      </c>
      <c r="G1186" s="3">
        <v>0.47847999999794411</v>
      </c>
      <c r="H1186" s="13">
        <f t="shared" si="36"/>
        <v>193.47501000000193</v>
      </c>
      <c r="I1186" s="13">
        <f t="shared" si="37"/>
        <v>193.47847999999794</v>
      </c>
      <c r="J1186" s="13">
        <f t="shared" si="38"/>
        <v>193.47674499999994</v>
      </c>
      <c r="K1186" s="7">
        <v>43658.476745</v>
      </c>
      <c r="L1186" s="4">
        <v>848.7</v>
      </c>
      <c r="M1186">
        <v>7.3</v>
      </c>
      <c r="N1186">
        <v>26.67</v>
      </c>
      <c r="Q1186">
        <v>-22.864383220058301</v>
      </c>
      <c r="R1186">
        <v>-1.727120595734E-4</v>
      </c>
    </row>
    <row r="1187" spans="1:18" x14ac:dyDescent="0.2">
      <c r="A1187" t="s">
        <v>8</v>
      </c>
      <c r="B1187">
        <v>3</v>
      </c>
      <c r="C1187" t="s">
        <v>6</v>
      </c>
      <c r="D1187" s="2">
        <v>43658</v>
      </c>
      <c r="E1187" s="11">
        <v>193</v>
      </c>
      <c r="F1187" s="3">
        <v>0.47987000000284752</v>
      </c>
      <c r="G1187" s="3">
        <v>0.48333999999886146</v>
      </c>
      <c r="H1187" s="13">
        <f t="shared" si="36"/>
        <v>193.47987000000285</v>
      </c>
      <c r="I1187" s="13">
        <f t="shared" si="37"/>
        <v>193.48333999999886</v>
      </c>
      <c r="J1187" s="13">
        <f t="shared" si="38"/>
        <v>193.48160500000085</v>
      </c>
      <c r="K1187" s="7">
        <v>43658.481605000001</v>
      </c>
      <c r="L1187" s="4">
        <v>1136.2</v>
      </c>
      <c r="N1187">
        <v>26.67</v>
      </c>
      <c r="Q1187">
        <v>11.6605819876326</v>
      </c>
      <c r="R1187">
        <v>2.2529983382760702E-2</v>
      </c>
    </row>
    <row r="1188" spans="1:18" x14ac:dyDescent="0.2">
      <c r="A1188" t="s">
        <v>8</v>
      </c>
      <c r="B1188">
        <v>4</v>
      </c>
      <c r="C1188" t="s">
        <v>2</v>
      </c>
      <c r="D1188" s="2">
        <v>43658</v>
      </c>
      <c r="E1188" s="11">
        <v>193</v>
      </c>
      <c r="F1188" s="3">
        <v>0.48472999999648891</v>
      </c>
      <c r="G1188" s="3">
        <v>0.48821000000316417</v>
      </c>
      <c r="H1188" s="13">
        <f t="shared" si="36"/>
        <v>193.48472999999649</v>
      </c>
      <c r="I1188" s="13">
        <f t="shared" si="37"/>
        <v>193.48821000000316</v>
      </c>
      <c r="J1188" s="13">
        <f t="shared" si="38"/>
        <v>193.48646999999983</v>
      </c>
      <c r="K1188" s="7">
        <v>43658.486470000003</v>
      </c>
      <c r="L1188" s="4">
        <v>2228.6999999999998</v>
      </c>
      <c r="M1188">
        <v>5.3</v>
      </c>
      <c r="N1188">
        <v>26.67</v>
      </c>
      <c r="Q1188">
        <v>-6.66667008789753</v>
      </c>
    </row>
    <row r="1189" spans="1:18" x14ac:dyDescent="0.2">
      <c r="A1189" t="s">
        <v>8</v>
      </c>
      <c r="B1189">
        <v>4</v>
      </c>
      <c r="C1189" t="s">
        <v>6</v>
      </c>
      <c r="D1189" s="2">
        <v>43658</v>
      </c>
      <c r="E1189" s="11">
        <v>193</v>
      </c>
      <c r="F1189" s="3">
        <v>0.48958999999740627</v>
      </c>
      <c r="G1189" s="3">
        <v>0.49306999999680556</v>
      </c>
      <c r="H1189" s="13">
        <f t="shared" si="36"/>
        <v>193.48958999999741</v>
      </c>
      <c r="I1189" s="13">
        <f t="shared" si="37"/>
        <v>193.49306999999681</v>
      </c>
      <c r="J1189" s="13">
        <f t="shared" si="38"/>
        <v>193.49132999999711</v>
      </c>
      <c r="K1189" s="7">
        <v>43658.491329999997</v>
      </c>
      <c r="L1189" s="4">
        <v>2006.2</v>
      </c>
      <c r="N1189">
        <v>26.67</v>
      </c>
      <c r="Q1189">
        <v>7.94400428639588</v>
      </c>
    </row>
    <row r="1190" spans="1:18" x14ac:dyDescent="0.2">
      <c r="A1190" t="s">
        <v>8</v>
      </c>
      <c r="B1190">
        <v>5</v>
      </c>
      <c r="C1190" t="s">
        <v>2</v>
      </c>
      <c r="D1190" s="2">
        <v>43658</v>
      </c>
      <c r="E1190" s="11">
        <v>193</v>
      </c>
      <c r="F1190" s="3">
        <v>0.49446000000170898</v>
      </c>
      <c r="G1190" s="3">
        <v>0.49792999999772292</v>
      </c>
      <c r="H1190" s="13">
        <f t="shared" si="36"/>
        <v>193.49446000000171</v>
      </c>
      <c r="I1190" s="13">
        <f t="shared" si="37"/>
        <v>193.49792999999772</v>
      </c>
      <c r="J1190" s="13">
        <f t="shared" si="38"/>
        <v>193.49619499999972</v>
      </c>
      <c r="K1190" s="7">
        <v>43658.496195</v>
      </c>
      <c r="L1190" s="4">
        <v>1966.2</v>
      </c>
      <c r="M1190">
        <v>6.4</v>
      </c>
      <c r="N1190">
        <v>26.67</v>
      </c>
      <c r="Q1190">
        <v>-9.8840861739448993</v>
      </c>
    </row>
    <row r="1191" spans="1:18" x14ac:dyDescent="0.2">
      <c r="A1191" t="s">
        <v>8</v>
      </c>
      <c r="B1191">
        <v>5</v>
      </c>
      <c r="C1191" t="s">
        <v>6</v>
      </c>
      <c r="D1191" s="2">
        <v>43658</v>
      </c>
      <c r="E1191" s="11">
        <v>193</v>
      </c>
      <c r="F1191" s="3">
        <v>0.49932000000262633</v>
      </c>
      <c r="G1191" s="3">
        <v>0.50278999999864027</v>
      </c>
      <c r="H1191" s="13">
        <f t="shared" si="36"/>
        <v>193.49932000000263</v>
      </c>
      <c r="I1191" s="13">
        <f t="shared" si="37"/>
        <v>193.50278999999864</v>
      </c>
      <c r="J1191" s="13">
        <f t="shared" si="38"/>
        <v>193.50105500000063</v>
      </c>
      <c r="K1191" s="7">
        <v>43658.501055000001</v>
      </c>
      <c r="L1191" s="4">
        <v>1383.7</v>
      </c>
      <c r="N1191">
        <v>26.67</v>
      </c>
      <c r="Q1191">
        <v>12.2149791791532</v>
      </c>
    </row>
    <row r="1192" spans="1:18" x14ac:dyDescent="0.2">
      <c r="A1192" t="s">
        <v>8</v>
      </c>
      <c r="B1192">
        <v>1</v>
      </c>
      <c r="C1192" t="s">
        <v>2</v>
      </c>
      <c r="D1192" s="2">
        <v>43658</v>
      </c>
      <c r="E1192" s="11">
        <v>193</v>
      </c>
      <c r="F1192" s="3">
        <v>0.58055555559985805</v>
      </c>
      <c r="G1192" s="3">
        <v>0.58402777779701864</v>
      </c>
      <c r="H1192" s="13">
        <f t="shared" si="36"/>
        <v>193.58055555559986</v>
      </c>
      <c r="I1192" s="13">
        <f t="shared" si="37"/>
        <v>193.58402777779702</v>
      </c>
      <c r="J1192" s="13">
        <f t="shared" si="38"/>
        <v>193.58229166669844</v>
      </c>
      <c r="K1192" s="7">
        <v>43658.582291666695</v>
      </c>
      <c r="L1192" s="4">
        <v>956.2</v>
      </c>
      <c r="M1192">
        <v>4.9000000000000004</v>
      </c>
      <c r="N1192">
        <v>26.67</v>
      </c>
      <c r="Q1192">
        <v>-11.989075018775701</v>
      </c>
      <c r="R1192">
        <v>-1.49764054516707E-4</v>
      </c>
    </row>
    <row r="1193" spans="1:18" x14ac:dyDescent="0.2">
      <c r="A1193" t="s">
        <v>8</v>
      </c>
      <c r="B1193">
        <v>1</v>
      </c>
      <c r="C1193" t="s">
        <v>6</v>
      </c>
      <c r="D1193" s="2">
        <v>43658</v>
      </c>
      <c r="E1193" s="11">
        <v>193</v>
      </c>
      <c r="F1193" s="3">
        <v>0.58541666669771075</v>
      </c>
      <c r="G1193" s="3">
        <v>0.5888888889021473</v>
      </c>
      <c r="H1193" s="13">
        <f t="shared" si="36"/>
        <v>193.58541666669771</v>
      </c>
      <c r="I1193" s="13">
        <f t="shared" si="37"/>
        <v>193.58888888890215</v>
      </c>
      <c r="J1193" s="13">
        <f t="shared" si="38"/>
        <v>193.58715277779993</v>
      </c>
      <c r="K1193" s="7">
        <v>43658.5871527778</v>
      </c>
      <c r="L1193" s="4">
        <v>861.2</v>
      </c>
      <c r="N1193">
        <v>26.67</v>
      </c>
      <c r="Q1193">
        <v>13.7416526995176</v>
      </c>
      <c r="R1193">
        <v>-1.1397081352437E-4</v>
      </c>
    </row>
    <row r="1194" spans="1:18" x14ac:dyDescent="0.2">
      <c r="A1194" t="s">
        <v>8</v>
      </c>
      <c r="B1194">
        <v>2</v>
      </c>
      <c r="C1194" t="s">
        <v>2</v>
      </c>
      <c r="D1194" s="2">
        <v>43658</v>
      </c>
      <c r="E1194" s="11">
        <v>193</v>
      </c>
      <c r="F1194" s="3">
        <v>0.59027777780283941</v>
      </c>
      <c r="G1194" s="3">
        <v>0.59375</v>
      </c>
      <c r="H1194" s="13">
        <f t="shared" si="36"/>
        <v>193.59027777780284</v>
      </c>
      <c r="I1194" s="13">
        <f t="shared" si="37"/>
        <v>193.59375</v>
      </c>
      <c r="J1194" s="13">
        <f t="shared" si="38"/>
        <v>193.59201388890142</v>
      </c>
      <c r="K1194" s="7">
        <v>43658.592013888905</v>
      </c>
      <c r="L1194" s="4">
        <v>1191.2</v>
      </c>
      <c r="M1194">
        <v>3.6</v>
      </c>
      <c r="N1194">
        <v>26.67</v>
      </c>
      <c r="Q1194">
        <v>-17.3171252422955</v>
      </c>
      <c r="R1194" s="6">
        <v>-4.3688422057506102E-6</v>
      </c>
    </row>
    <row r="1195" spans="1:18" x14ac:dyDescent="0.2">
      <c r="A1195" t="s">
        <v>8</v>
      </c>
      <c r="B1195">
        <v>2</v>
      </c>
      <c r="C1195" t="s">
        <v>6</v>
      </c>
      <c r="D1195" s="2">
        <v>43658</v>
      </c>
      <c r="E1195" s="11">
        <v>193</v>
      </c>
      <c r="F1195" s="3">
        <v>0.59513888890069211</v>
      </c>
      <c r="G1195" s="3">
        <v>0.5986111110978527</v>
      </c>
      <c r="H1195" s="13">
        <f t="shared" si="36"/>
        <v>193.59513888890069</v>
      </c>
      <c r="I1195" s="13">
        <f t="shared" si="37"/>
        <v>193.59861111109785</v>
      </c>
      <c r="J1195" s="13">
        <f t="shared" si="38"/>
        <v>193.59687499999927</v>
      </c>
      <c r="K1195" s="7">
        <v>43658.596875000003</v>
      </c>
      <c r="L1195" s="4">
        <v>1786.2</v>
      </c>
      <c r="N1195">
        <v>26.67</v>
      </c>
      <c r="Q1195">
        <v>18.7873488795829</v>
      </c>
      <c r="R1195" s="6">
        <v>-9.5399869514007398E-5</v>
      </c>
    </row>
    <row r="1196" spans="1:18" x14ac:dyDescent="0.2">
      <c r="A1196" t="s">
        <v>8</v>
      </c>
      <c r="B1196">
        <v>3</v>
      </c>
      <c r="C1196" t="s">
        <v>2</v>
      </c>
      <c r="D1196" s="2">
        <v>43658</v>
      </c>
      <c r="E1196" s="11">
        <v>193</v>
      </c>
      <c r="F1196" s="3">
        <v>0.59999999999854481</v>
      </c>
      <c r="G1196" s="3">
        <v>0.60347222220298136</v>
      </c>
      <c r="H1196" s="13">
        <f t="shared" si="36"/>
        <v>193.59999999999854</v>
      </c>
      <c r="I1196" s="13">
        <f t="shared" si="37"/>
        <v>193.60347222220298</v>
      </c>
      <c r="J1196" s="13">
        <f t="shared" si="38"/>
        <v>193.60173611110076</v>
      </c>
      <c r="K1196" s="7">
        <v>43658.601736111101</v>
      </c>
      <c r="L1196" s="4">
        <v>2093.6999999999998</v>
      </c>
      <c r="M1196">
        <v>5.0999999999999996</v>
      </c>
      <c r="N1196">
        <v>26.67</v>
      </c>
      <c r="Q1196">
        <v>-14.330688413713601</v>
      </c>
      <c r="R1196" s="6">
        <v>3.6957005371469903E-5</v>
      </c>
    </row>
    <row r="1197" spans="1:18" x14ac:dyDescent="0.2">
      <c r="A1197" t="s">
        <v>8</v>
      </c>
      <c r="B1197">
        <v>3</v>
      </c>
      <c r="C1197" t="s">
        <v>6</v>
      </c>
      <c r="D1197" s="2">
        <v>43658</v>
      </c>
      <c r="E1197" s="11">
        <v>193</v>
      </c>
      <c r="F1197" s="3">
        <v>0.60486111109639751</v>
      </c>
      <c r="G1197" s="3">
        <v>0.60833333330083406</v>
      </c>
      <c r="H1197" s="13">
        <f t="shared" si="36"/>
        <v>193.6048611110964</v>
      </c>
      <c r="I1197" s="13">
        <f t="shared" si="37"/>
        <v>193.60833333330083</v>
      </c>
      <c r="J1197" s="13">
        <f t="shared" si="38"/>
        <v>193.60659722219862</v>
      </c>
      <c r="K1197" s="7">
        <v>43658.606597222199</v>
      </c>
      <c r="L1197" s="4">
        <v>2018.7</v>
      </c>
      <c r="N1197">
        <v>26.67</v>
      </c>
      <c r="Q1197">
        <v>10.181496577127</v>
      </c>
      <c r="R1197" s="6">
        <v>-2.2039111507419099E-5</v>
      </c>
    </row>
    <row r="1198" spans="1:18" x14ac:dyDescent="0.2">
      <c r="A1198" t="s">
        <v>8</v>
      </c>
      <c r="B1198">
        <v>4</v>
      </c>
      <c r="C1198" t="s">
        <v>2</v>
      </c>
      <c r="D1198" s="2">
        <v>43658</v>
      </c>
      <c r="E1198" s="11">
        <v>193</v>
      </c>
      <c r="F1198" s="3">
        <v>0.60972222220152617</v>
      </c>
      <c r="G1198" s="3">
        <v>0.61319444439868676</v>
      </c>
      <c r="H1198" s="13">
        <f t="shared" si="36"/>
        <v>193.60972222220153</v>
      </c>
      <c r="I1198" s="13">
        <f t="shared" si="37"/>
        <v>193.61319444439869</v>
      </c>
      <c r="J1198" s="13">
        <f t="shared" si="38"/>
        <v>193.61145833330011</v>
      </c>
      <c r="K1198" s="7">
        <v>43658.611458333296</v>
      </c>
      <c r="L1198" s="4">
        <v>2301.1999999999998</v>
      </c>
      <c r="M1198">
        <v>5.5</v>
      </c>
      <c r="N1198">
        <v>26.67</v>
      </c>
      <c r="Q1198">
        <v>-6.1577072785633398</v>
      </c>
      <c r="R1198" s="6">
        <v>-4.8846079433726103E-5</v>
      </c>
    </row>
    <row r="1199" spans="1:18" x14ac:dyDescent="0.2">
      <c r="A1199" t="s">
        <v>8</v>
      </c>
      <c r="B1199">
        <v>4</v>
      </c>
      <c r="C1199" t="s">
        <v>6</v>
      </c>
      <c r="D1199" s="2">
        <v>43658</v>
      </c>
      <c r="E1199" s="11">
        <v>193</v>
      </c>
      <c r="F1199" s="3">
        <v>0.61458333329937886</v>
      </c>
      <c r="G1199" s="3">
        <v>0.61805555559840286</v>
      </c>
      <c r="H1199" s="13">
        <f t="shared" si="36"/>
        <v>193.61458333329938</v>
      </c>
      <c r="I1199" s="13">
        <f t="shared" si="37"/>
        <v>193.6180555555984</v>
      </c>
      <c r="J1199" s="13">
        <f t="shared" si="38"/>
        <v>193.61631944444889</v>
      </c>
      <c r="K1199" s="7">
        <v>43658.616319444453</v>
      </c>
      <c r="L1199" s="4">
        <v>851.2</v>
      </c>
      <c r="N1199">
        <v>26.67</v>
      </c>
      <c r="Q1199">
        <v>8.1639877121211395</v>
      </c>
      <c r="R1199" s="6">
        <v>-5.2419567297392202E-5</v>
      </c>
    </row>
    <row r="1200" spans="1:18" x14ac:dyDescent="0.2">
      <c r="A1200" t="s">
        <v>8</v>
      </c>
      <c r="B1200">
        <v>5</v>
      </c>
      <c r="C1200" t="s">
        <v>2</v>
      </c>
      <c r="D1200" s="2">
        <v>43658</v>
      </c>
      <c r="E1200" s="11">
        <v>193</v>
      </c>
      <c r="F1200" s="3">
        <v>0.61944444439723156</v>
      </c>
      <c r="G1200" s="3">
        <v>0.62291666670353152</v>
      </c>
      <c r="H1200" s="13">
        <f t="shared" si="36"/>
        <v>193.61944444439723</v>
      </c>
      <c r="I1200" s="13">
        <f t="shared" si="37"/>
        <v>193.62291666670353</v>
      </c>
      <c r="J1200" s="13">
        <f t="shared" si="38"/>
        <v>193.62118055555038</v>
      </c>
      <c r="K1200" s="7">
        <v>43658.62118055555</v>
      </c>
      <c r="L1200" s="4">
        <v>743.7</v>
      </c>
      <c r="M1200">
        <v>5.6</v>
      </c>
      <c r="N1200">
        <v>26.67</v>
      </c>
      <c r="Q1200">
        <v>-7.31528841053023</v>
      </c>
      <c r="R1200" s="6">
        <v>6.7378871290703802E-5</v>
      </c>
    </row>
    <row r="1201" spans="1:18" x14ac:dyDescent="0.2">
      <c r="A1201" t="s">
        <v>8</v>
      </c>
      <c r="B1201">
        <v>5</v>
      </c>
      <c r="C1201" t="s">
        <v>6</v>
      </c>
      <c r="D1201" s="2">
        <v>43658</v>
      </c>
      <c r="E1201" s="11">
        <v>193</v>
      </c>
      <c r="F1201" s="3">
        <v>0.62430555559694767</v>
      </c>
      <c r="G1201" s="3">
        <v>0.62777777780138422</v>
      </c>
      <c r="H1201" s="13">
        <f t="shared" si="36"/>
        <v>193.62430555559695</v>
      </c>
      <c r="I1201" s="13">
        <f t="shared" si="37"/>
        <v>193.62777777780138</v>
      </c>
      <c r="J1201" s="13">
        <f t="shared" si="38"/>
        <v>193.62604166669917</v>
      </c>
      <c r="K1201" s="7">
        <v>43658.626041666699</v>
      </c>
      <c r="L1201" s="4">
        <v>1686.2</v>
      </c>
      <c r="N1201">
        <v>26.67</v>
      </c>
      <c r="Q1201">
        <v>8.0021732380801893</v>
      </c>
      <c r="R1201">
        <v>-1.09885395356637E-4</v>
      </c>
    </row>
    <row r="1202" spans="1:18" x14ac:dyDescent="0.2">
      <c r="A1202" t="s">
        <v>8</v>
      </c>
      <c r="B1202">
        <v>1</v>
      </c>
      <c r="C1202" t="s">
        <v>2</v>
      </c>
      <c r="D1202" s="2">
        <v>43661</v>
      </c>
      <c r="E1202" s="11">
        <v>196</v>
      </c>
      <c r="F1202" s="3">
        <v>0.46805999999924097</v>
      </c>
      <c r="G1202" s="3">
        <v>0.47153000000253087</v>
      </c>
      <c r="H1202" s="13">
        <f t="shared" si="36"/>
        <v>196.46805999999924</v>
      </c>
      <c r="I1202" s="13">
        <f t="shared" si="37"/>
        <v>196.47153000000253</v>
      </c>
      <c r="J1202" s="13">
        <f t="shared" si="38"/>
        <v>196.46979500000089</v>
      </c>
      <c r="K1202" s="7">
        <v>43661.469794999997</v>
      </c>
      <c r="L1202" s="4">
        <v>1831.2</v>
      </c>
      <c r="M1202">
        <v>2.7</v>
      </c>
      <c r="N1202">
        <v>28.33</v>
      </c>
      <c r="O1202">
        <v>39.799999999999997</v>
      </c>
      <c r="P1202">
        <v>0.51</v>
      </c>
      <c r="Q1202">
        <v>-4.0843530952585798</v>
      </c>
      <c r="R1202">
        <v>-3.2501138950916998E-4</v>
      </c>
    </row>
    <row r="1203" spans="1:18" x14ac:dyDescent="0.2">
      <c r="A1203" t="s">
        <v>8</v>
      </c>
      <c r="B1203">
        <v>1</v>
      </c>
      <c r="C1203" t="s">
        <v>6</v>
      </c>
      <c r="D1203" s="2">
        <v>43661</v>
      </c>
      <c r="E1203" s="11">
        <v>196</v>
      </c>
      <c r="F1203" s="3">
        <v>0.47292000000015832</v>
      </c>
      <c r="G1203" s="3">
        <v>0.47639000000344822</v>
      </c>
      <c r="H1203" s="13">
        <f t="shared" si="36"/>
        <v>196.47292000000016</v>
      </c>
      <c r="I1203" s="13">
        <f t="shared" si="37"/>
        <v>196.47639000000345</v>
      </c>
      <c r="J1203" s="13">
        <f t="shared" si="38"/>
        <v>196.4746550000018</v>
      </c>
      <c r="K1203" s="7">
        <v>43661.474654999998</v>
      </c>
      <c r="L1203" s="4">
        <v>1898.7</v>
      </c>
      <c r="N1203">
        <v>28.33</v>
      </c>
      <c r="Q1203">
        <v>7.6429697780014703</v>
      </c>
      <c r="R1203">
        <v>-4.5449633845992901E-4</v>
      </c>
    </row>
    <row r="1204" spans="1:18" x14ac:dyDescent="0.2">
      <c r="A1204" t="s">
        <v>8</v>
      </c>
      <c r="B1204">
        <v>2</v>
      </c>
      <c r="C1204" t="s">
        <v>2</v>
      </c>
      <c r="D1204" s="2">
        <v>43661</v>
      </c>
      <c r="E1204" s="11">
        <v>196</v>
      </c>
      <c r="F1204" s="3">
        <v>0.47778000000107568</v>
      </c>
      <c r="G1204" s="3">
        <v>0.48124999999708962</v>
      </c>
      <c r="H1204" s="13">
        <f t="shared" si="36"/>
        <v>196.47778000000108</v>
      </c>
      <c r="I1204" s="13">
        <f t="shared" si="37"/>
        <v>196.48124999999709</v>
      </c>
      <c r="J1204" s="13">
        <f t="shared" si="38"/>
        <v>196.47951499999908</v>
      </c>
      <c r="K1204" s="7">
        <v>43661.479514999999</v>
      </c>
      <c r="L1204" s="4">
        <v>1888.7</v>
      </c>
      <c r="M1204">
        <v>1.4</v>
      </c>
      <c r="N1204">
        <v>28.33</v>
      </c>
      <c r="O1204">
        <v>20.7</v>
      </c>
      <c r="P1204">
        <v>0.56000000000000005</v>
      </c>
      <c r="Q1204">
        <v>-0.68406318105289499</v>
      </c>
      <c r="R1204">
        <v>-4.65857760835945E-4</v>
      </c>
    </row>
    <row r="1205" spans="1:18" x14ac:dyDescent="0.2">
      <c r="A1205" t="s">
        <v>8</v>
      </c>
      <c r="B1205">
        <v>2</v>
      </c>
      <c r="C1205" t="s">
        <v>6</v>
      </c>
      <c r="D1205" s="2">
        <v>43661</v>
      </c>
      <c r="E1205" s="11">
        <v>196</v>
      </c>
      <c r="F1205" s="3">
        <v>0.48264000000199303</v>
      </c>
      <c r="G1205" s="3">
        <v>0.48610999999800697</v>
      </c>
      <c r="H1205" s="13">
        <f t="shared" si="36"/>
        <v>196.48264000000199</v>
      </c>
      <c r="I1205" s="13">
        <f t="shared" si="37"/>
        <v>196.48610999999801</v>
      </c>
      <c r="J1205" s="13">
        <f t="shared" si="38"/>
        <v>196.484375</v>
      </c>
      <c r="K1205" s="7">
        <v>43661.484375</v>
      </c>
      <c r="L1205" s="4">
        <v>1773.7</v>
      </c>
      <c r="N1205">
        <v>28.33</v>
      </c>
      <c r="Q1205">
        <v>6.5597702801787801</v>
      </c>
      <c r="R1205">
        <v>-5.9732926795722299E-4</v>
      </c>
    </row>
    <row r="1206" spans="1:18" x14ac:dyDescent="0.2">
      <c r="A1206" t="s">
        <v>8</v>
      </c>
      <c r="B1206">
        <v>3</v>
      </c>
      <c r="C1206" t="s">
        <v>2</v>
      </c>
      <c r="D1206" s="2">
        <v>43661</v>
      </c>
      <c r="E1206" s="11">
        <v>196</v>
      </c>
      <c r="F1206" s="3">
        <v>0.48750000000291038</v>
      </c>
      <c r="G1206" s="3">
        <v>0.49096999999892432</v>
      </c>
      <c r="H1206" s="13">
        <f t="shared" si="36"/>
        <v>196.48750000000291</v>
      </c>
      <c r="I1206" s="13">
        <f t="shared" si="37"/>
        <v>196.49096999999892</v>
      </c>
      <c r="J1206" s="13">
        <f t="shared" si="38"/>
        <v>196.48923500000092</v>
      </c>
      <c r="K1206" s="7">
        <v>43661.489235000001</v>
      </c>
      <c r="L1206" s="4">
        <v>1876.2</v>
      </c>
      <c r="M1206">
        <v>1.9</v>
      </c>
      <c r="N1206">
        <v>28.33</v>
      </c>
      <c r="O1206">
        <v>28</v>
      </c>
      <c r="P1206">
        <v>0.49</v>
      </c>
      <c r="Q1206">
        <v>-1.2615040925703001</v>
      </c>
      <c r="R1206">
        <v>-1.83509695197944E-3</v>
      </c>
    </row>
    <row r="1207" spans="1:18" x14ac:dyDescent="0.2">
      <c r="A1207" t="s">
        <v>8</v>
      </c>
      <c r="B1207">
        <v>3</v>
      </c>
      <c r="C1207" t="s">
        <v>6</v>
      </c>
      <c r="D1207" s="2">
        <v>43661</v>
      </c>
      <c r="E1207" s="11">
        <v>196</v>
      </c>
      <c r="F1207" s="3">
        <v>0.49235999999655178</v>
      </c>
      <c r="G1207" s="3">
        <v>0.49582999999984168</v>
      </c>
      <c r="H1207" s="13">
        <f t="shared" si="36"/>
        <v>196.49235999999655</v>
      </c>
      <c r="I1207" s="13">
        <f t="shared" si="37"/>
        <v>196.49582999999984</v>
      </c>
      <c r="J1207" s="13">
        <f t="shared" si="38"/>
        <v>196.4940949999982</v>
      </c>
      <c r="K1207" s="7">
        <v>43661.494095000002</v>
      </c>
      <c r="L1207" s="4">
        <v>1778.7</v>
      </c>
      <c r="N1207">
        <v>28.33</v>
      </c>
      <c r="Q1207">
        <v>7.2589233380927203</v>
      </c>
      <c r="R1207">
        <v>-4.4028142686634402E-4</v>
      </c>
    </row>
    <row r="1208" spans="1:18" x14ac:dyDescent="0.2">
      <c r="A1208" t="s">
        <v>8</v>
      </c>
      <c r="B1208">
        <v>4</v>
      </c>
      <c r="C1208" t="s">
        <v>2</v>
      </c>
      <c r="D1208" s="2">
        <v>43661</v>
      </c>
      <c r="E1208" s="11">
        <v>196</v>
      </c>
      <c r="F1208" s="3">
        <v>0.49721999999746913</v>
      </c>
      <c r="G1208" s="3">
        <v>0.50069000000075903</v>
      </c>
      <c r="H1208" s="13">
        <f t="shared" si="36"/>
        <v>196.49721999999747</v>
      </c>
      <c r="I1208" s="13">
        <f t="shared" si="37"/>
        <v>196.50069000000076</v>
      </c>
      <c r="J1208" s="13">
        <f t="shared" si="38"/>
        <v>196.49895499999911</v>
      </c>
      <c r="K1208" s="7">
        <v>43661.498955000003</v>
      </c>
      <c r="L1208" s="4">
        <v>1818.7</v>
      </c>
      <c r="M1208">
        <v>2.8</v>
      </c>
      <c r="N1208">
        <v>28.33</v>
      </c>
      <c r="O1208">
        <v>28.9</v>
      </c>
      <c r="P1208">
        <v>0.56000000000000005</v>
      </c>
      <c r="Q1208">
        <v>-3.63494957778197</v>
      </c>
      <c r="R1208">
        <v>-2.2536272632993901E-4</v>
      </c>
    </row>
    <row r="1209" spans="1:18" x14ac:dyDescent="0.2">
      <c r="A1209" t="s">
        <v>8</v>
      </c>
      <c r="B1209">
        <v>4</v>
      </c>
      <c r="C1209" t="s">
        <v>6</v>
      </c>
      <c r="D1209" s="2">
        <v>43661</v>
      </c>
      <c r="E1209" s="11">
        <v>196</v>
      </c>
      <c r="F1209" s="3">
        <v>0.50207999999838648</v>
      </c>
      <c r="G1209" s="3">
        <v>0.50555999999778578</v>
      </c>
      <c r="H1209" s="13">
        <f t="shared" si="36"/>
        <v>196.50207999999839</v>
      </c>
      <c r="I1209" s="13">
        <f t="shared" si="37"/>
        <v>196.50555999999779</v>
      </c>
      <c r="J1209" s="13">
        <f t="shared" si="38"/>
        <v>196.50381999999809</v>
      </c>
      <c r="K1209" s="7">
        <v>43661.503819999998</v>
      </c>
      <c r="L1209" s="4">
        <v>1911.2</v>
      </c>
      <c r="N1209">
        <v>28.33</v>
      </c>
      <c r="Q1209">
        <v>6.9689437676250003</v>
      </c>
      <c r="R1209" s="6">
        <v>-1.7681581892555701E-5</v>
      </c>
    </row>
    <row r="1210" spans="1:18" x14ac:dyDescent="0.2">
      <c r="A1210" t="s">
        <v>8</v>
      </c>
      <c r="B1210">
        <v>5</v>
      </c>
      <c r="C1210" t="s">
        <v>2</v>
      </c>
      <c r="D1210" s="2">
        <v>43661</v>
      </c>
      <c r="E1210" s="11">
        <v>196</v>
      </c>
      <c r="F1210" s="3">
        <v>0.50693999999930384</v>
      </c>
      <c r="G1210" s="3">
        <v>0.51041999999870313</v>
      </c>
      <c r="H1210" s="13">
        <f t="shared" si="36"/>
        <v>196.5069399999993</v>
      </c>
      <c r="I1210" s="13">
        <f t="shared" si="37"/>
        <v>196.5104199999987</v>
      </c>
      <c r="J1210" s="13">
        <f t="shared" si="38"/>
        <v>196.508679999999</v>
      </c>
      <c r="K1210" s="7">
        <v>43661.508679999999</v>
      </c>
      <c r="L1210" s="4">
        <v>1926.2</v>
      </c>
      <c r="M1210">
        <v>2.5</v>
      </c>
      <c r="N1210">
        <v>28.33</v>
      </c>
      <c r="O1210">
        <v>30</v>
      </c>
      <c r="P1210">
        <v>0.53</v>
      </c>
      <c r="Q1210">
        <v>1.1007547454437601</v>
      </c>
      <c r="R1210">
        <v>-1.5926509489056501E-4</v>
      </c>
    </row>
    <row r="1211" spans="1:18" x14ac:dyDescent="0.2">
      <c r="A1211" t="s">
        <v>8</v>
      </c>
      <c r="B1211">
        <v>5</v>
      </c>
      <c r="C1211" t="s">
        <v>6</v>
      </c>
      <c r="D1211" s="2">
        <v>43661</v>
      </c>
      <c r="E1211" s="11">
        <v>196</v>
      </c>
      <c r="F1211" s="3">
        <v>0.51181000000360655</v>
      </c>
      <c r="G1211" s="3">
        <v>0.51527999999962049</v>
      </c>
      <c r="H1211" s="13">
        <f t="shared" ref="H1211:H1274" si="39">E1211+F1211</f>
        <v>196.51181000000361</v>
      </c>
      <c r="I1211" s="13">
        <f t="shared" ref="I1211:I1274" si="40">E1211+G1211</f>
        <v>196.51527999999962</v>
      </c>
      <c r="J1211" s="13">
        <f t="shared" ref="J1211:J1274" si="41">AVERAGE(H1211:I1211)</f>
        <v>196.51354500000161</v>
      </c>
      <c r="K1211" s="7">
        <v>43661.513545000002</v>
      </c>
      <c r="L1211" s="4">
        <v>1908.7</v>
      </c>
      <c r="N1211">
        <v>28.33</v>
      </c>
      <c r="Q1211">
        <v>9.3735901342057009</v>
      </c>
      <c r="R1211" s="6">
        <v>-8.4464429915489205E-5</v>
      </c>
    </row>
    <row r="1212" spans="1:18" x14ac:dyDescent="0.2">
      <c r="A1212" t="s">
        <v>8</v>
      </c>
      <c r="B1212">
        <v>1</v>
      </c>
      <c r="C1212" t="s">
        <v>2</v>
      </c>
      <c r="D1212" s="2">
        <v>43671</v>
      </c>
      <c r="E1212" s="11">
        <v>206</v>
      </c>
      <c r="F1212" s="3">
        <v>0.4652799999967101</v>
      </c>
      <c r="G1212" s="3">
        <v>0.46875</v>
      </c>
      <c r="H1212" s="13">
        <f t="shared" si="39"/>
        <v>206.46527999999671</v>
      </c>
      <c r="I1212" s="13">
        <f t="shared" si="40"/>
        <v>206.46875</v>
      </c>
      <c r="J1212" s="13">
        <f t="shared" si="41"/>
        <v>206.46701499999836</v>
      </c>
      <c r="K1212" s="7">
        <v>43671.467015000002</v>
      </c>
      <c r="L1212" s="4">
        <v>1726.2</v>
      </c>
      <c r="M1212">
        <v>4.2</v>
      </c>
      <c r="N1212">
        <v>23.89</v>
      </c>
      <c r="O1212">
        <v>34</v>
      </c>
      <c r="P1212">
        <v>0.56999999999999995</v>
      </c>
      <c r="Q1212">
        <v>-5.1640806688728</v>
      </c>
      <c r="R1212">
        <v>-2.3959410998534601E-4</v>
      </c>
    </row>
    <row r="1213" spans="1:18" x14ac:dyDescent="0.2">
      <c r="A1213" t="s">
        <v>8</v>
      </c>
      <c r="B1213">
        <v>1</v>
      </c>
      <c r="C1213" t="s">
        <v>6</v>
      </c>
      <c r="D1213" s="2">
        <v>43671</v>
      </c>
      <c r="E1213" s="11">
        <v>206</v>
      </c>
      <c r="F1213" s="3">
        <v>0.47013999999762746</v>
      </c>
      <c r="G1213" s="3">
        <v>0.47361000000091735</v>
      </c>
      <c r="H1213" s="13">
        <f t="shared" si="39"/>
        <v>206.47013999999763</v>
      </c>
      <c r="I1213" s="13">
        <f t="shared" si="40"/>
        <v>206.47361000000092</v>
      </c>
      <c r="J1213" s="13">
        <f t="shared" si="41"/>
        <v>206.47187499999927</v>
      </c>
      <c r="K1213" s="7">
        <v>43671.471875000003</v>
      </c>
      <c r="L1213" s="4">
        <v>1741.2</v>
      </c>
      <c r="N1213">
        <v>23.89</v>
      </c>
      <c r="Q1213">
        <v>5.1916208879922197</v>
      </c>
      <c r="R1213">
        <v>-2.6935313580589399E-4</v>
      </c>
    </row>
    <row r="1214" spans="1:18" x14ac:dyDescent="0.2">
      <c r="A1214" t="s">
        <v>8</v>
      </c>
      <c r="B1214">
        <v>2</v>
      </c>
      <c r="C1214" t="s">
        <v>2</v>
      </c>
      <c r="D1214" s="2">
        <v>43671</v>
      </c>
      <c r="E1214" s="11">
        <v>206</v>
      </c>
      <c r="F1214" s="3">
        <v>0.47499999999854481</v>
      </c>
      <c r="G1214" s="3">
        <v>0.47847000000183471</v>
      </c>
      <c r="H1214" s="13">
        <f t="shared" si="39"/>
        <v>206.47499999999854</v>
      </c>
      <c r="I1214" s="13">
        <f t="shared" si="40"/>
        <v>206.47847000000183</v>
      </c>
      <c r="J1214" s="13">
        <f t="shared" si="41"/>
        <v>206.47673500000019</v>
      </c>
      <c r="K1214" s="7">
        <v>43671.476735000004</v>
      </c>
      <c r="L1214" s="4">
        <v>1753.7</v>
      </c>
      <c r="M1214">
        <v>2.5</v>
      </c>
      <c r="N1214">
        <v>23.89</v>
      </c>
      <c r="O1214">
        <v>31.5</v>
      </c>
      <c r="P1214">
        <v>0.6</v>
      </c>
      <c r="Q1214">
        <v>-1.6404659374194199</v>
      </c>
      <c r="R1214" s="6">
        <v>-6.1167206224726402E-5</v>
      </c>
    </row>
    <row r="1215" spans="1:18" x14ac:dyDescent="0.2">
      <c r="A1215" t="s">
        <v>8</v>
      </c>
      <c r="B1215">
        <v>2</v>
      </c>
      <c r="C1215" t="s">
        <v>6</v>
      </c>
      <c r="D1215" s="2">
        <v>43671</v>
      </c>
      <c r="E1215" s="11">
        <v>206</v>
      </c>
      <c r="F1215" s="3">
        <v>0.47985999999946216</v>
      </c>
      <c r="G1215" s="3">
        <v>0.48333000000275206</v>
      </c>
      <c r="H1215" s="13">
        <f t="shared" si="39"/>
        <v>206.47985999999946</v>
      </c>
      <c r="I1215" s="13">
        <f t="shared" si="40"/>
        <v>206.48333000000275</v>
      </c>
      <c r="J1215" s="13">
        <f t="shared" si="41"/>
        <v>206.48159500000111</v>
      </c>
      <c r="K1215" s="7">
        <v>43671.481595000005</v>
      </c>
      <c r="L1215" s="4">
        <v>1771.2</v>
      </c>
      <c r="N1215">
        <v>23.89</v>
      </c>
      <c r="Q1215">
        <v>4.4051241206629799</v>
      </c>
      <c r="R1215">
        <v>-1.7481734246577201E-4</v>
      </c>
    </row>
    <row r="1216" spans="1:18" x14ac:dyDescent="0.2">
      <c r="A1216" t="s">
        <v>8</v>
      </c>
      <c r="B1216">
        <v>3</v>
      </c>
      <c r="C1216" t="s">
        <v>2</v>
      </c>
      <c r="D1216" s="2">
        <v>43671</v>
      </c>
      <c r="E1216" s="11">
        <v>206</v>
      </c>
      <c r="F1216" s="3">
        <v>0.48472000000037951</v>
      </c>
      <c r="G1216" s="3">
        <v>0.48818999999639345</v>
      </c>
      <c r="H1216" s="13">
        <f t="shared" si="39"/>
        <v>206.48472000000038</v>
      </c>
      <c r="I1216" s="13">
        <f t="shared" si="40"/>
        <v>206.48818999999639</v>
      </c>
      <c r="J1216" s="13">
        <f t="shared" si="41"/>
        <v>206.48645499999839</v>
      </c>
      <c r="K1216" s="7">
        <v>43671.486454999998</v>
      </c>
      <c r="L1216" s="4">
        <v>1796.2</v>
      </c>
      <c r="M1216">
        <v>9.6</v>
      </c>
      <c r="N1216">
        <v>25</v>
      </c>
      <c r="O1216">
        <v>24.2</v>
      </c>
      <c r="P1216">
        <v>0.52</v>
      </c>
      <c r="Q1216">
        <v>-3.1849456267934499</v>
      </c>
      <c r="R1216">
        <v>-2.2544767597264701E-4</v>
      </c>
    </row>
    <row r="1217" spans="1:18" x14ac:dyDescent="0.2">
      <c r="A1217" t="s">
        <v>8</v>
      </c>
      <c r="B1217">
        <v>3</v>
      </c>
      <c r="C1217" t="s">
        <v>6</v>
      </c>
      <c r="D1217" s="2">
        <v>43671</v>
      </c>
      <c r="E1217" s="11">
        <v>206</v>
      </c>
      <c r="F1217" s="3">
        <v>0.48958000000129687</v>
      </c>
      <c r="G1217" s="3">
        <v>0.49306000000069616</v>
      </c>
      <c r="H1217" s="13">
        <f t="shared" si="39"/>
        <v>206.4895800000013</v>
      </c>
      <c r="I1217" s="13">
        <f t="shared" si="40"/>
        <v>206.4930600000007</v>
      </c>
      <c r="J1217" s="13">
        <f t="shared" si="41"/>
        <v>206.491320000001</v>
      </c>
      <c r="K1217" s="7">
        <v>43671.491320000001</v>
      </c>
      <c r="L1217" s="4">
        <v>1808.7</v>
      </c>
      <c r="N1217">
        <v>25</v>
      </c>
      <c r="Q1217">
        <v>3.1147827628380802</v>
      </c>
      <c r="R1217">
        <v>-6.05519313208242E-4</v>
      </c>
    </row>
    <row r="1218" spans="1:18" x14ac:dyDescent="0.2">
      <c r="A1218" t="s">
        <v>8</v>
      </c>
      <c r="B1218">
        <v>4</v>
      </c>
      <c r="C1218" t="s">
        <v>2</v>
      </c>
      <c r="D1218" s="2">
        <v>43671</v>
      </c>
      <c r="E1218" s="11">
        <v>206</v>
      </c>
      <c r="F1218" s="3">
        <v>0.49444000000221422</v>
      </c>
      <c r="G1218" s="3">
        <v>0.49792000000161352</v>
      </c>
      <c r="H1218" s="13">
        <f t="shared" si="39"/>
        <v>206.49444000000221</v>
      </c>
      <c r="I1218" s="13">
        <f t="shared" si="40"/>
        <v>206.49792000000161</v>
      </c>
      <c r="J1218" s="13">
        <f t="shared" si="41"/>
        <v>206.49618000000191</v>
      </c>
      <c r="K1218" s="7">
        <v>43671.496180000002</v>
      </c>
      <c r="L1218" s="4">
        <v>1821.2</v>
      </c>
      <c r="M1218">
        <v>11</v>
      </c>
      <c r="N1218">
        <v>25</v>
      </c>
      <c r="O1218">
        <v>41.2</v>
      </c>
      <c r="P1218">
        <v>0.55000000000000004</v>
      </c>
      <c r="Q1218">
        <v>-4.2380212166105098</v>
      </c>
      <c r="R1218">
        <v>-3.5382304089130002E-4</v>
      </c>
    </row>
    <row r="1219" spans="1:18" x14ac:dyDescent="0.2">
      <c r="A1219" t="s">
        <v>8</v>
      </c>
      <c r="B1219">
        <v>4</v>
      </c>
      <c r="C1219" t="s">
        <v>6</v>
      </c>
      <c r="D1219" s="2">
        <v>43671</v>
      </c>
      <c r="E1219" s="11">
        <v>206</v>
      </c>
      <c r="F1219" s="3">
        <v>0.49930999999924097</v>
      </c>
      <c r="G1219" s="3">
        <v>0.50278000000253087</v>
      </c>
      <c r="H1219" s="13">
        <f t="shared" si="39"/>
        <v>206.49930999999924</v>
      </c>
      <c r="I1219" s="13">
        <f t="shared" si="40"/>
        <v>206.50278000000253</v>
      </c>
      <c r="J1219" s="13">
        <f t="shared" si="41"/>
        <v>206.50104500000089</v>
      </c>
      <c r="K1219" s="7">
        <v>43671.501044999997</v>
      </c>
      <c r="L1219" s="4">
        <v>1828.7</v>
      </c>
      <c r="N1219">
        <v>25</v>
      </c>
      <c r="Q1219">
        <v>2.9337945907576102</v>
      </c>
      <c r="R1219">
        <v>2.1046439351610601E-4</v>
      </c>
    </row>
    <row r="1220" spans="1:18" x14ac:dyDescent="0.2">
      <c r="A1220" t="s">
        <v>8</v>
      </c>
      <c r="B1220">
        <v>5</v>
      </c>
      <c r="C1220" t="s">
        <v>2</v>
      </c>
      <c r="D1220" s="2">
        <v>43671</v>
      </c>
      <c r="E1220" s="11">
        <v>206</v>
      </c>
      <c r="F1220" s="3">
        <v>0.50417000000015832</v>
      </c>
      <c r="G1220" s="3">
        <v>0.50764000000344822</v>
      </c>
      <c r="H1220" s="13">
        <f t="shared" si="39"/>
        <v>206.50417000000016</v>
      </c>
      <c r="I1220" s="13">
        <f t="shared" si="40"/>
        <v>206.50764000000345</v>
      </c>
      <c r="J1220" s="13">
        <f t="shared" si="41"/>
        <v>206.5059050000018</v>
      </c>
      <c r="K1220" s="7">
        <v>43671.505904999998</v>
      </c>
      <c r="L1220" s="4">
        <v>1828.7</v>
      </c>
      <c r="M1220">
        <v>6.8</v>
      </c>
      <c r="N1220">
        <v>26.11</v>
      </c>
      <c r="O1220">
        <v>23</v>
      </c>
      <c r="P1220">
        <v>0.53</v>
      </c>
      <c r="Q1220">
        <v>-1.19365747421962</v>
      </c>
      <c r="R1220">
        <v>-2.58980221696466E-4</v>
      </c>
    </row>
    <row r="1221" spans="1:18" x14ac:dyDescent="0.2">
      <c r="A1221" t="s">
        <v>8</v>
      </c>
      <c r="B1221">
        <v>5</v>
      </c>
      <c r="C1221" t="s">
        <v>6</v>
      </c>
      <c r="D1221" s="2">
        <v>43671</v>
      </c>
      <c r="E1221" s="11">
        <v>206</v>
      </c>
      <c r="F1221" s="3">
        <v>0.50903000000107568</v>
      </c>
      <c r="G1221" s="3">
        <v>0.51249999999708962</v>
      </c>
      <c r="H1221" s="13">
        <f t="shared" si="39"/>
        <v>206.50903000000108</v>
      </c>
      <c r="I1221" s="13">
        <f t="shared" si="40"/>
        <v>206.51249999999709</v>
      </c>
      <c r="J1221" s="13">
        <f t="shared" si="41"/>
        <v>206.51076499999908</v>
      </c>
      <c r="K1221" s="7">
        <v>43671.510764999999</v>
      </c>
      <c r="L1221" s="4">
        <v>1848.7</v>
      </c>
      <c r="N1221">
        <v>26.11</v>
      </c>
      <c r="Q1221">
        <v>3.5615342426602301</v>
      </c>
      <c r="R1221">
        <v>-4.2790584272484099E-4</v>
      </c>
    </row>
    <row r="1222" spans="1:18" x14ac:dyDescent="0.2">
      <c r="A1222" t="s">
        <v>8</v>
      </c>
      <c r="B1222">
        <v>1</v>
      </c>
      <c r="C1222" t="s">
        <v>2</v>
      </c>
      <c r="D1222" s="2">
        <v>43671</v>
      </c>
      <c r="E1222" s="11">
        <v>206</v>
      </c>
      <c r="F1222" s="3">
        <v>0.57082999999693129</v>
      </c>
      <c r="G1222" s="3">
        <v>0.57431000000360655</v>
      </c>
      <c r="H1222" s="13">
        <f t="shared" si="39"/>
        <v>206.57082999999693</v>
      </c>
      <c r="I1222" s="13">
        <f t="shared" si="40"/>
        <v>206.57431000000361</v>
      </c>
      <c r="J1222" s="13">
        <f t="shared" si="41"/>
        <v>206.57257000000027</v>
      </c>
      <c r="K1222" s="7">
        <v>43671.572570000004</v>
      </c>
      <c r="L1222" s="4">
        <v>1846.2</v>
      </c>
      <c r="M1222">
        <v>7.9</v>
      </c>
      <c r="N1222">
        <v>27.78</v>
      </c>
      <c r="O1222">
        <v>34</v>
      </c>
      <c r="P1222">
        <v>0.56999999999999995</v>
      </c>
      <c r="Q1222">
        <v>-2.3791231251934701</v>
      </c>
      <c r="R1222">
        <v>-2.1520881847544E-4</v>
      </c>
    </row>
    <row r="1223" spans="1:18" x14ac:dyDescent="0.2">
      <c r="A1223" t="s">
        <v>8</v>
      </c>
      <c r="B1223">
        <v>1</v>
      </c>
      <c r="C1223" t="s">
        <v>6</v>
      </c>
      <c r="D1223" s="2">
        <v>43671</v>
      </c>
      <c r="E1223" s="11">
        <v>206</v>
      </c>
      <c r="F1223" s="3">
        <v>0.57568999999784864</v>
      </c>
      <c r="G1223" s="3">
        <v>0.57916999999724794</v>
      </c>
      <c r="H1223" s="13">
        <f t="shared" si="39"/>
        <v>206.57568999999785</v>
      </c>
      <c r="I1223" s="13">
        <f t="shared" si="40"/>
        <v>206.57916999999725</v>
      </c>
      <c r="J1223" s="13">
        <f t="shared" si="41"/>
        <v>206.57742999999755</v>
      </c>
      <c r="K1223" s="7">
        <v>43671.577429999998</v>
      </c>
      <c r="L1223" s="4">
        <v>1833.7</v>
      </c>
      <c r="N1223">
        <v>27.78</v>
      </c>
      <c r="Q1223">
        <v>3.9509190098254399</v>
      </c>
      <c r="R1223" s="6">
        <v>-2.01890886600073E-5</v>
      </c>
    </row>
    <row r="1224" spans="1:18" x14ac:dyDescent="0.2">
      <c r="A1224" t="s">
        <v>8</v>
      </c>
      <c r="B1224">
        <v>2</v>
      </c>
      <c r="C1224" t="s">
        <v>2</v>
      </c>
      <c r="D1224" s="2">
        <v>43671</v>
      </c>
      <c r="E1224" s="11">
        <v>206</v>
      </c>
      <c r="F1224" s="3">
        <v>0.58056000000215136</v>
      </c>
      <c r="G1224" s="3">
        <v>0.58402999999816529</v>
      </c>
      <c r="H1224" s="13">
        <f t="shared" si="39"/>
        <v>206.58056000000215</v>
      </c>
      <c r="I1224" s="13">
        <f t="shared" si="40"/>
        <v>206.58402999999817</v>
      </c>
      <c r="J1224" s="13">
        <f t="shared" si="41"/>
        <v>206.58229500000016</v>
      </c>
      <c r="K1224" s="7">
        <v>43671.582295</v>
      </c>
      <c r="L1224" s="4">
        <v>1826.2</v>
      </c>
      <c r="M1224">
        <v>4.5</v>
      </c>
      <c r="N1224">
        <v>27.78</v>
      </c>
      <c r="O1224">
        <v>29.5</v>
      </c>
      <c r="P1224">
        <v>0.62</v>
      </c>
      <c r="Q1224">
        <v>-1.73478525165219</v>
      </c>
      <c r="R1224" s="6">
        <v>3.6575959425213797E-5</v>
      </c>
    </row>
    <row r="1225" spans="1:18" x14ac:dyDescent="0.2">
      <c r="A1225" t="s">
        <v>8</v>
      </c>
      <c r="B1225">
        <v>2</v>
      </c>
      <c r="C1225" t="s">
        <v>6</v>
      </c>
      <c r="D1225" s="2">
        <v>43671</v>
      </c>
      <c r="E1225" s="11">
        <v>206</v>
      </c>
      <c r="F1225" s="3">
        <v>0.58542000000306871</v>
      </c>
      <c r="G1225" s="3">
        <v>0.58888999999908265</v>
      </c>
      <c r="H1225" s="13">
        <f t="shared" si="39"/>
        <v>206.58542000000307</v>
      </c>
      <c r="I1225" s="13">
        <f t="shared" si="40"/>
        <v>206.58888999999908</v>
      </c>
      <c r="J1225" s="13">
        <f t="shared" si="41"/>
        <v>206.58715500000108</v>
      </c>
      <c r="K1225" s="7">
        <v>43671.587155000001</v>
      </c>
      <c r="L1225" s="4">
        <v>1851.2</v>
      </c>
      <c r="N1225">
        <v>27.78</v>
      </c>
      <c r="Q1225">
        <v>1.5225357832366599</v>
      </c>
      <c r="R1225">
        <v>2.5053568324120198E-4</v>
      </c>
    </row>
    <row r="1226" spans="1:18" x14ac:dyDescent="0.2">
      <c r="A1226" t="s">
        <v>8</v>
      </c>
      <c r="B1226">
        <v>3</v>
      </c>
      <c r="C1226" t="s">
        <v>2</v>
      </c>
      <c r="D1226" s="2">
        <v>43671</v>
      </c>
      <c r="E1226" s="11">
        <v>206</v>
      </c>
      <c r="F1226" s="3">
        <v>0.5902799999967101</v>
      </c>
      <c r="G1226" s="3">
        <v>0.59375</v>
      </c>
      <c r="H1226" s="13">
        <f t="shared" si="39"/>
        <v>206.59027999999671</v>
      </c>
      <c r="I1226" s="13">
        <f t="shared" si="40"/>
        <v>206.59375</v>
      </c>
      <c r="J1226" s="13">
        <f t="shared" si="41"/>
        <v>206.59201499999836</v>
      </c>
      <c r="K1226" s="7">
        <v>43671.592015000002</v>
      </c>
      <c r="L1226" s="4">
        <v>1303.7</v>
      </c>
      <c r="M1226">
        <v>4.2</v>
      </c>
      <c r="N1226">
        <v>27.78</v>
      </c>
      <c r="O1226">
        <v>25</v>
      </c>
      <c r="P1226">
        <v>0.61</v>
      </c>
      <c r="Q1226">
        <v>-1.9419703992283599</v>
      </c>
      <c r="R1226" s="6">
        <v>6.4681598244965298E-5</v>
      </c>
    </row>
    <row r="1227" spans="1:18" x14ac:dyDescent="0.2">
      <c r="A1227" t="s">
        <v>8</v>
      </c>
      <c r="B1227">
        <v>3</v>
      </c>
      <c r="C1227" t="s">
        <v>6</v>
      </c>
      <c r="D1227" s="2">
        <v>43671</v>
      </c>
      <c r="E1227" s="11">
        <v>206</v>
      </c>
      <c r="F1227" s="3">
        <v>0.59513999999762746</v>
      </c>
      <c r="G1227" s="3">
        <v>0.59861000000091735</v>
      </c>
      <c r="H1227" s="13">
        <f t="shared" si="39"/>
        <v>206.59513999999763</v>
      </c>
      <c r="I1227" s="13">
        <f t="shared" si="40"/>
        <v>206.59861000000092</v>
      </c>
      <c r="J1227" s="13">
        <f t="shared" si="41"/>
        <v>206.59687499999927</v>
      </c>
      <c r="K1227" s="7">
        <v>43671.596875000003</v>
      </c>
      <c r="L1227" s="4">
        <v>1781.2</v>
      </c>
      <c r="N1227">
        <v>27.78</v>
      </c>
      <c r="Q1227">
        <v>4.9014176161460605E-4</v>
      </c>
      <c r="R1227" s="6">
        <v>2.0242105427084401E-5</v>
      </c>
    </row>
    <row r="1228" spans="1:18" x14ac:dyDescent="0.2">
      <c r="A1228" t="s">
        <v>8</v>
      </c>
      <c r="B1228">
        <v>4</v>
      </c>
      <c r="C1228" t="s">
        <v>2</v>
      </c>
      <c r="D1228" s="2">
        <v>43671</v>
      </c>
      <c r="E1228" s="11">
        <v>206</v>
      </c>
      <c r="F1228" s="3">
        <v>0.59999999999854481</v>
      </c>
      <c r="G1228" s="3">
        <v>0.60347000000183471</v>
      </c>
      <c r="H1228" s="13">
        <f t="shared" si="39"/>
        <v>206.59999999999854</v>
      </c>
      <c r="I1228" s="13">
        <f t="shared" si="40"/>
        <v>206.60347000000183</v>
      </c>
      <c r="J1228" s="13">
        <f t="shared" si="41"/>
        <v>206.60173500000019</v>
      </c>
      <c r="K1228" s="7">
        <v>43671.601735000004</v>
      </c>
      <c r="L1228" s="4">
        <v>1758.7</v>
      </c>
      <c r="M1228">
        <v>10.3</v>
      </c>
      <c r="N1228">
        <v>27.78</v>
      </c>
      <c r="O1228">
        <v>22</v>
      </c>
      <c r="P1228">
        <v>0.52</v>
      </c>
      <c r="Q1228">
        <v>-3.31946727073968</v>
      </c>
      <c r="R1228">
        <v>3.0040582853953598E-4</v>
      </c>
    </row>
    <row r="1229" spans="1:18" x14ac:dyDescent="0.2">
      <c r="A1229" t="s">
        <v>8</v>
      </c>
      <c r="B1229">
        <v>4</v>
      </c>
      <c r="C1229" t="s">
        <v>6</v>
      </c>
      <c r="D1229" s="2">
        <v>43671</v>
      </c>
      <c r="E1229" s="11">
        <v>206</v>
      </c>
      <c r="F1229" s="3">
        <v>0.60485999999946216</v>
      </c>
      <c r="G1229" s="3">
        <v>0.60833000000275206</v>
      </c>
      <c r="H1229" s="13">
        <f t="shared" si="39"/>
        <v>206.60485999999946</v>
      </c>
      <c r="I1229" s="13">
        <f t="shared" si="40"/>
        <v>206.60833000000275</v>
      </c>
      <c r="J1229" s="13">
        <f t="shared" si="41"/>
        <v>206.60659500000111</v>
      </c>
      <c r="K1229" s="7">
        <v>43671.606595000005</v>
      </c>
      <c r="L1229" s="4">
        <v>1751.2</v>
      </c>
      <c r="N1229">
        <v>27.78</v>
      </c>
      <c r="Q1229">
        <v>2.4243042469287901</v>
      </c>
      <c r="R1229">
        <v>-1.9233771738340699E-4</v>
      </c>
    </row>
    <row r="1230" spans="1:18" x14ac:dyDescent="0.2">
      <c r="A1230" t="s">
        <v>8</v>
      </c>
      <c r="B1230">
        <v>5</v>
      </c>
      <c r="C1230" t="s">
        <v>2</v>
      </c>
      <c r="D1230" s="2">
        <v>43671</v>
      </c>
      <c r="E1230" s="11">
        <v>206</v>
      </c>
      <c r="F1230" s="3">
        <v>0.60972000000037951</v>
      </c>
      <c r="G1230" s="3">
        <v>0.61318999999639345</v>
      </c>
      <c r="H1230" s="13">
        <f t="shared" si="39"/>
        <v>206.60972000000038</v>
      </c>
      <c r="I1230" s="13">
        <f t="shared" si="40"/>
        <v>206.61318999999639</v>
      </c>
      <c r="J1230" s="13">
        <f t="shared" si="41"/>
        <v>206.61145499999839</v>
      </c>
      <c r="K1230" s="7">
        <v>43671.611454999998</v>
      </c>
      <c r="L1230" s="4">
        <v>1731.2</v>
      </c>
      <c r="M1230">
        <v>10.9</v>
      </c>
      <c r="N1230">
        <v>27.78</v>
      </c>
      <c r="O1230">
        <v>44.9</v>
      </c>
      <c r="P1230">
        <v>0.53</v>
      </c>
      <c r="Q1230">
        <v>-0.68286829375247204</v>
      </c>
      <c r="R1230">
        <v>1.36096476951484E-4</v>
      </c>
    </row>
    <row r="1231" spans="1:18" x14ac:dyDescent="0.2">
      <c r="A1231" t="s">
        <v>8</v>
      </c>
      <c r="B1231">
        <v>5</v>
      </c>
      <c r="C1231" t="s">
        <v>6</v>
      </c>
      <c r="D1231" s="2">
        <v>43671</v>
      </c>
      <c r="E1231" s="11">
        <v>206</v>
      </c>
      <c r="F1231" s="3">
        <v>0.61458000000129687</v>
      </c>
      <c r="G1231" s="3">
        <v>0.61806000000069616</v>
      </c>
      <c r="H1231" s="13">
        <f t="shared" si="39"/>
        <v>206.6145800000013</v>
      </c>
      <c r="I1231" s="13">
        <f t="shared" si="40"/>
        <v>206.6180600000007</v>
      </c>
      <c r="J1231" s="13">
        <f t="shared" si="41"/>
        <v>206.616320000001</v>
      </c>
      <c r="K1231" s="7">
        <v>43671.616320000001</v>
      </c>
      <c r="L1231" s="4">
        <v>1698.7</v>
      </c>
      <c r="N1231">
        <v>27.78</v>
      </c>
      <c r="Q1231">
        <v>4.0843214878421401</v>
      </c>
      <c r="R1231">
        <v>-1.11994569450307E-4</v>
      </c>
    </row>
    <row r="1232" spans="1:18" x14ac:dyDescent="0.2">
      <c r="A1232" t="s">
        <v>8</v>
      </c>
      <c r="B1232">
        <v>1</v>
      </c>
      <c r="C1232" t="s">
        <v>2</v>
      </c>
      <c r="D1232" s="2">
        <v>43677</v>
      </c>
      <c r="E1232" s="11">
        <v>212</v>
      </c>
      <c r="F1232" s="3">
        <v>0.45277999999962049</v>
      </c>
      <c r="G1232" s="3">
        <v>0.45625000000291038</v>
      </c>
      <c r="H1232" s="13">
        <f t="shared" si="39"/>
        <v>212.45277999999962</v>
      </c>
      <c r="I1232" s="13">
        <f t="shared" si="40"/>
        <v>212.45625000000291</v>
      </c>
      <c r="J1232" s="13">
        <f t="shared" si="41"/>
        <v>212.45451500000127</v>
      </c>
      <c r="K1232" s="7">
        <v>43677.454515000005</v>
      </c>
      <c r="L1232" s="4">
        <v>981.2</v>
      </c>
      <c r="M1232">
        <v>3.6</v>
      </c>
      <c r="N1232">
        <v>25.56</v>
      </c>
      <c r="O1232">
        <v>43.4</v>
      </c>
      <c r="P1232">
        <v>0.51</v>
      </c>
      <c r="Q1232">
        <v>-9.4905737643163501</v>
      </c>
      <c r="R1232">
        <v>-2.5165324457171098E-4</v>
      </c>
    </row>
    <row r="1233" spans="1:18" x14ac:dyDescent="0.2">
      <c r="A1233" t="s">
        <v>8</v>
      </c>
      <c r="B1233">
        <v>1</v>
      </c>
      <c r="C1233" t="s">
        <v>6</v>
      </c>
      <c r="D1233" s="2">
        <v>43677</v>
      </c>
      <c r="E1233" s="11">
        <v>212</v>
      </c>
      <c r="F1233" s="3">
        <v>0.45764000000053784</v>
      </c>
      <c r="G1233" s="3">
        <v>0.46110999999655178</v>
      </c>
      <c r="H1233" s="13">
        <f t="shared" si="39"/>
        <v>212.45764000000054</v>
      </c>
      <c r="I1233" s="13">
        <f t="shared" si="40"/>
        <v>212.46110999999655</v>
      </c>
      <c r="J1233" s="13">
        <f t="shared" si="41"/>
        <v>212.45937499999854</v>
      </c>
      <c r="K1233" s="7">
        <v>43677.459374999999</v>
      </c>
      <c r="L1233" s="4">
        <v>911.2</v>
      </c>
      <c r="N1233">
        <v>25.56</v>
      </c>
      <c r="Q1233">
        <v>0.111678677148001</v>
      </c>
      <c r="R1233">
        <v>-2.4867413371539699E-3</v>
      </c>
    </row>
    <row r="1234" spans="1:18" x14ac:dyDescent="0.2">
      <c r="A1234" t="s">
        <v>8</v>
      </c>
      <c r="B1234">
        <v>2</v>
      </c>
      <c r="C1234" t="s">
        <v>2</v>
      </c>
      <c r="D1234" s="2">
        <v>43677</v>
      </c>
      <c r="E1234" s="11">
        <v>212</v>
      </c>
      <c r="F1234" s="3">
        <v>0.46250000000145519</v>
      </c>
      <c r="G1234" s="3">
        <v>0.46596999999746913</v>
      </c>
      <c r="H1234" s="13">
        <f t="shared" si="39"/>
        <v>212.46250000000146</v>
      </c>
      <c r="I1234" s="13">
        <f t="shared" si="40"/>
        <v>212.46596999999747</v>
      </c>
      <c r="J1234" s="13">
        <f t="shared" si="41"/>
        <v>212.46423499999946</v>
      </c>
      <c r="K1234" s="7">
        <v>43677.464234999999</v>
      </c>
      <c r="L1234" s="4">
        <v>758.7</v>
      </c>
      <c r="M1234">
        <v>2.5</v>
      </c>
      <c r="N1234">
        <v>25.56</v>
      </c>
      <c r="O1234">
        <v>44.8</v>
      </c>
      <c r="P1234">
        <v>0.63</v>
      </c>
      <c r="Q1234">
        <v>-1.53642957624141</v>
      </c>
      <c r="R1234">
        <v>-7.8428072042644001E-4</v>
      </c>
    </row>
    <row r="1235" spans="1:18" x14ac:dyDescent="0.2">
      <c r="A1235" t="s">
        <v>8</v>
      </c>
      <c r="B1235">
        <v>2</v>
      </c>
      <c r="C1235" t="s">
        <v>6</v>
      </c>
      <c r="D1235" s="2">
        <v>43677</v>
      </c>
      <c r="E1235" s="11">
        <v>212</v>
      </c>
      <c r="F1235" s="3">
        <v>0.46736000000237254</v>
      </c>
      <c r="G1235" s="3">
        <v>0.47082999999838648</v>
      </c>
      <c r="H1235" s="13">
        <f t="shared" si="39"/>
        <v>212.46736000000237</v>
      </c>
      <c r="I1235" s="13">
        <f t="shared" si="40"/>
        <v>212.47082999999839</v>
      </c>
      <c r="J1235" s="13">
        <f t="shared" si="41"/>
        <v>212.46909500000038</v>
      </c>
      <c r="K1235" s="7">
        <v>43677.469095</v>
      </c>
      <c r="L1235" s="4">
        <v>758.7</v>
      </c>
      <c r="N1235">
        <v>25.56</v>
      </c>
      <c r="Q1235">
        <v>0.90649254356789799</v>
      </c>
      <c r="R1235" s="6">
        <v>1.9907771939945299E-5</v>
      </c>
    </row>
    <row r="1236" spans="1:18" x14ac:dyDescent="0.2">
      <c r="A1236" t="s">
        <v>8</v>
      </c>
      <c r="B1236">
        <v>3</v>
      </c>
      <c r="C1236" t="s">
        <v>2</v>
      </c>
      <c r="D1236" s="2">
        <v>43677</v>
      </c>
      <c r="E1236" s="11">
        <v>212</v>
      </c>
      <c r="F1236" s="3">
        <v>0.4722200000032899</v>
      </c>
      <c r="G1236" s="3">
        <v>0.47568999999930384</v>
      </c>
      <c r="H1236" s="13">
        <f t="shared" si="39"/>
        <v>212.47222000000329</v>
      </c>
      <c r="I1236" s="13">
        <f t="shared" si="40"/>
        <v>212.4756899999993</v>
      </c>
      <c r="J1236" s="13">
        <f t="shared" si="41"/>
        <v>212.4739550000013</v>
      </c>
      <c r="K1236" s="7">
        <v>43677.473955000001</v>
      </c>
      <c r="L1236" s="4">
        <v>636.20000000000005</v>
      </c>
      <c r="M1236">
        <v>1.6</v>
      </c>
      <c r="N1236">
        <v>23.33</v>
      </c>
      <c r="O1236">
        <v>40.799999999999997</v>
      </c>
      <c r="P1236">
        <v>0.53</v>
      </c>
      <c r="Q1236">
        <v>-2.6040108247662301</v>
      </c>
      <c r="R1236">
        <v>-3.0638042227253099E-4</v>
      </c>
    </row>
    <row r="1237" spans="1:18" x14ac:dyDescent="0.2">
      <c r="A1237" t="s">
        <v>8</v>
      </c>
      <c r="B1237">
        <v>3</v>
      </c>
      <c r="C1237" t="s">
        <v>6</v>
      </c>
      <c r="D1237" s="2">
        <v>43677</v>
      </c>
      <c r="E1237" s="11">
        <v>212</v>
      </c>
      <c r="F1237" s="3">
        <v>0.47707999999693129</v>
      </c>
      <c r="G1237" s="3">
        <v>0.48056000000360655</v>
      </c>
      <c r="H1237" s="13">
        <f t="shared" si="39"/>
        <v>212.47707999999693</v>
      </c>
      <c r="I1237" s="13">
        <f t="shared" si="40"/>
        <v>212.48056000000361</v>
      </c>
      <c r="J1237" s="13">
        <f t="shared" si="41"/>
        <v>212.47882000000027</v>
      </c>
      <c r="K1237" s="7">
        <v>43677.478820000004</v>
      </c>
      <c r="L1237" s="4">
        <v>521.20000000000005</v>
      </c>
      <c r="N1237">
        <v>23.33</v>
      </c>
      <c r="Q1237">
        <v>7.93955929106769</v>
      </c>
      <c r="R1237">
        <v>-6.5053563861077401E-4</v>
      </c>
    </row>
    <row r="1238" spans="1:18" x14ac:dyDescent="0.2">
      <c r="A1238" t="s">
        <v>8</v>
      </c>
      <c r="B1238">
        <v>4</v>
      </c>
      <c r="C1238" t="s">
        <v>2</v>
      </c>
      <c r="D1238" s="2">
        <v>43677</v>
      </c>
      <c r="E1238" s="11">
        <v>212</v>
      </c>
      <c r="F1238" s="3">
        <v>0.48193999999784864</v>
      </c>
      <c r="G1238" s="3">
        <v>0.48541999999724794</v>
      </c>
      <c r="H1238" s="13">
        <f t="shared" si="39"/>
        <v>212.48193999999785</v>
      </c>
      <c r="I1238" s="13">
        <f t="shared" si="40"/>
        <v>212.48541999999725</v>
      </c>
      <c r="J1238" s="13">
        <f t="shared" si="41"/>
        <v>212.48367999999755</v>
      </c>
      <c r="K1238" s="7">
        <v>43677.483679999998</v>
      </c>
      <c r="L1238" s="4">
        <v>353.7</v>
      </c>
      <c r="M1238">
        <v>2.9</v>
      </c>
      <c r="N1238">
        <v>23.33</v>
      </c>
      <c r="O1238">
        <v>32</v>
      </c>
      <c r="P1238">
        <v>0.56999999999999995</v>
      </c>
      <c r="Q1238">
        <v>-5.0720565332964798</v>
      </c>
      <c r="R1238">
        <v>7.0837975564538305E-4</v>
      </c>
    </row>
    <row r="1239" spans="1:18" x14ac:dyDescent="0.2">
      <c r="A1239" t="s">
        <v>8</v>
      </c>
      <c r="B1239">
        <v>4</v>
      </c>
      <c r="C1239" t="s">
        <v>6</v>
      </c>
      <c r="D1239" s="2">
        <v>43677</v>
      </c>
      <c r="E1239" s="11">
        <v>212</v>
      </c>
      <c r="F1239" s="3">
        <v>0.48681000000215136</v>
      </c>
      <c r="G1239" s="3">
        <v>0.49027999999816529</v>
      </c>
      <c r="H1239" s="13">
        <f t="shared" si="39"/>
        <v>212.48681000000215</v>
      </c>
      <c r="I1239" s="13">
        <f t="shared" si="40"/>
        <v>212.49027999999817</v>
      </c>
      <c r="J1239" s="13">
        <f t="shared" si="41"/>
        <v>212.48854500000016</v>
      </c>
      <c r="K1239" s="7">
        <v>43677.488545</v>
      </c>
      <c r="L1239" s="4">
        <v>58.7</v>
      </c>
      <c r="N1239">
        <v>23.33</v>
      </c>
      <c r="Q1239">
        <v>4.5956302131803604</v>
      </c>
      <c r="R1239">
        <v>2.4590417944261199E-3</v>
      </c>
    </row>
    <row r="1240" spans="1:18" x14ac:dyDescent="0.2">
      <c r="A1240" t="s">
        <v>8</v>
      </c>
      <c r="B1240">
        <v>5</v>
      </c>
      <c r="C1240" t="s">
        <v>2</v>
      </c>
      <c r="D1240" s="2">
        <v>43677</v>
      </c>
      <c r="E1240" s="11">
        <v>212</v>
      </c>
      <c r="F1240" s="3">
        <v>0.49167000000306871</v>
      </c>
      <c r="G1240" s="3">
        <v>0.49513999999908265</v>
      </c>
      <c r="H1240" s="13">
        <f t="shared" si="39"/>
        <v>212.49167000000307</v>
      </c>
      <c r="I1240" s="13">
        <f t="shared" si="40"/>
        <v>212.49513999999908</v>
      </c>
      <c r="J1240" s="13">
        <f t="shared" si="41"/>
        <v>212.49340500000108</v>
      </c>
      <c r="K1240" s="7">
        <v>43677.493405000001</v>
      </c>
      <c r="L1240" s="4">
        <v>28.7</v>
      </c>
      <c r="M1240">
        <v>4.2</v>
      </c>
      <c r="N1240">
        <v>23.33</v>
      </c>
      <c r="O1240">
        <v>32.6</v>
      </c>
      <c r="P1240">
        <v>0.55000000000000004</v>
      </c>
      <c r="Q1240">
        <v>4.6243132604886696</v>
      </c>
      <c r="R1240">
        <v>-2.8710690655832599E-4</v>
      </c>
    </row>
    <row r="1241" spans="1:18" x14ac:dyDescent="0.2">
      <c r="A1241" t="s">
        <v>8</v>
      </c>
      <c r="B1241">
        <v>5</v>
      </c>
      <c r="C1241" t="s">
        <v>6</v>
      </c>
      <c r="D1241" s="2">
        <v>43677</v>
      </c>
      <c r="E1241" s="11">
        <v>212</v>
      </c>
      <c r="F1241" s="3">
        <v>0.4965299999967101</v>
      </c>
      <c r="G1241" s="3">
        <v>0.5</v>
      </c>
      <c r="H1241" s="13">
        <f t="shared" si="39"/>
        <v>212.49652999999671</v>
      </c>
      <c r="I1241" s="13">
        <f t="shared" si="40"/>
        <v>212.5</v>
      </c>
      <c r="J1241" s="13">
        <f t="shared" si="41"/>
        <v>212.49826499999836</v>
      </c>
      <c r="K1241" s="7">
        <v>43677.498265000002</v>
      </c>
      <c r="L1241" s="4">
        <v>1.2</v>
      </c>
      <c r="N1241">
        <v>23.33</v>
      </c>
      <c r="Q1241">
        <v>16.211328889435201</v>
      </c>
      <c r="R1241">
        <v>6.2349697101632103E-3</v>
      </c>
    </row>
    <row r="1242" spans="1:18" x14ac:dyDescent="0.2">
      <c r="A1242" t="s">
        <v>8</v>
      </c>
      <c r="B1242">
        <v>1</v>
      </c>
      <c r="C1242" t="s">
        <v>2</v>
      </c>
      <c r="D1242" s="2">
        <v>43677</v>
      </c>
      <c r="E1242" s="11">
        <v>212</v>
      </c>
      <c r="F1242" s="3">
        <v>0.70833333333333337</v>
      </c>
      <c r="G1242" s="3">
        <v>0.71180555555555547</v>
      </c>
      <c r="H1242" s="13">
        <f t="shared" si="39"/>
        <v>212.70833333333334</v>
      </c>
      <c r="I1242" s="13">
        <f t="shared" si="40"/>
        <v>212.71180555555554</v>
      </c>
      <c r="J1242" s="13">
        <f t="shared" si="41"/>
        <v>212.71006944444446</v>
      </c>
      <c r="K1242" s="7">
        <v>43677.710069444445</v>
      </c>
      <c r="L1242" s="4">
        <v>661.2</v>
      </c>
      <c r="M1242">
        <v>4.7</v>
      </c>
      <c r="N1242">
        <v>26.67</v>
      </c>
      <c r="O1242">
        <v>40.9</v>
      </c>
      <c r="P1242">
        <v>0.59</v>
      </c>
      <c r="Q1242">
        <v>-4.2533769721936396</v>
      </c>
      <c r="R1242">
        <v>-3.2916941814620698E-4</v>
      </c>
    </row>
    <row r="1243" spans="1:18" x14ac:dyDescent="0.2">
      <c r="A1243" t="s">
        <v>8</v>
      </c>
      <c r="B1243">
        <v>1</v>
      </c>
      <c r="C1243" t="s">
        <v>6</v>
      </c>
      <c r="D1243" s="2">
        <v>43677</v>
      </c>
      <c r="E1243" s="11">
        <v>212</v>
      </c>
      <c r="F1243" s="3">
        <v>0.71319444444444446</v>
      </c>
      <c r="G1243" s="3">
        <v>0.71666666666666667</v>
      </c>
      <c r="H1243" s="13">
        <f t="shared" si="39"/>
        <v>212.71319444444444</v>
      </c>
      <c r="I1243" s="13">
        <f t="shared" si="40"/>
        <v>212.71666666666667</v>
      </c>
      <c r="J1243" s="13">
        <f t="shared" si="41"/>
        <v>212.71493055555555</v>
      </c>
      <c r="K1243" s="7">
        <v>43677.714930555558</v>
      </c>
      <c r="L1243" s="4">
        <v>676.2</v>
      </c>
      <c r="N1243">
        <v>26.67</v>
      </c>
      <c r="Q1243">
        <v>12.3518694603322</v>
      </c>
      <c r="R1243" s="6">
        <v>-7.0989794407200796E-5</v>
      </c>
    </row>
    <row r="1244" spans="1:18" x14ac:dyDescent="0.2">
      <c r="A1244" t="s">
        <v>8</v>
      </c>
      <c r="B1244">
        <v>2</v>
      </c>
      <c r="C1244" t="s">
        <v>2</v>
      </c>
      <c r="D1244" s="2">
        <v>43677</v>
      </c>
      <c r="E1244" s="11">
        <v>212</v>
      </c>
      <c r="F1244" s="3">
        <v>0.71805555555555556</v>
      </c>
      <c r="G1244" s="3">
        <v>0.72152777777777777</v>
      </c>
      <c r="H1244" s="13">
        <f t="shared" si="39"/>
        <v>212.71805555555557</v>
      </c>
      <c r="I1244" s="13">
        <f t="shared" si="40"/>
        <v>212.72152777777777</v>
      </c>
      <c r="J1244" s="13">
        <f t="shared" si="41"/>
        <v>212.71979166666665</v>
      </c>
      <c r="K1244" s="7">
        <v>43677.71979166667</v>
      </c>
      <c r="L1244" s="4">
        <v>523.70000000000005</v>
      </c>
      <c r="M1244">
        <v>4.0999999999999996</v>
      </c>
      <c r="N1244">
        <v>26.67</v>
      </c>
      <c r="O1244">
        <v>41.5</v>
      </c>
      <c r="P1244">
        <v>0.62</v>
      </c>
      <c r="Q1244">
        <v>-2.1499468292100801</v>
      </c>
      <c r="R1244">
        <v>-2.8259845900335998E-3</v>
      </c>
    </row>
    <row r="1245" spans="1:18" x14ac:dyDescent="0.2">
      <c r="A1245" t="s">
        <v>8</v>
      </c>
      <c r="B1245">
        <v>2</v>
      </c>
      <c r="C1245" t="s">
        <v>6</v>
      </c>
      <c r="D1245" s="2">
        <v>43677</v>
      </c>
      <c r="E1245" s="11">
        <v>212</v>
      </c>
      <c r="F1245" s="3">
        <v>0.72291666666666676</v>
      </c>
      <c r="G1245" s="3">
        <v>0.72638888888888886</v>
      </c>
      <c r="H1245" s="13">
        <f t="shared" si="39"/>
        <v>212.72291666666666</v>
      </c>
      <c r="I1245" s="13">
        <f t="shared" si="40"/>
        <v>212.72638888888889</v>
      </c>
      <c r="J1245" s="13">
        <f t="shared" si="41"/>
        <v>212.72465277777778</v>
      </c>
      <c r="K1245" s="7">
        <v>43677.724652777775</v>
      </c>
      <c r="L1245" s="4">
        <v>426.2</v>
      </c>
      <c r="N1245">
        <v>26.67</v>
      </c>
      <c r="Q1245">
        <v>8.7082447591935406</v>
      </c>
      <c r="R1245">
        <v>7.0306416317956998E-3</v>
      </c>
    </row>
    <row r="1246" spans="1:18" x14ac:dyDescent="0.2">
      <c r="A1246" t="s">
        <v>8</v>
      </c>
      <c r="B1246">
        <v>3</v>
      </c>
      <c r="C1246" t="s">
        <v>2</v>
      </c>
      <c r="D1246" s="2">
        <v>43677</v>
      </c>
      <c r="E1246" s="11">
        <v>212</v>
      </c>
      <c r="F1246" s="3">
        <v>0.72777777777777775</v>
      </c>
      <c r="G1246" s="3">
        <v>0.73125000000000007</v>
      </c>
      <c r="H1246" s="13">
        <f t="shared" si="39"/>
        <v>212.72777777777779</v>
      </c>
      <c r="I1246" s="13">
        <f t="shared" si="40"/>
        <v>212.73124999999999</v>
      </c>
      <c r="J1246" s="13">
        <f t="shared" si="41"/>
        <v>212.7295138888889</v>
      </c>
      <c r="K1246" s="7">
        <v>43677.729513888888</v>
      </c>
      <c r="L1246" s="4">
        <v>511.2</v>
      </c>
      <c r="M1246">
        <v>4.9000000000000004</v>
      </c>
      <c r="N1246">
        <v>26.67</v>
      </c>
      <c r="O1246">
        <v>42.8</v>
      </c>
      <c r="P1246">
        <v>0.56999999999999995</v>
      </c>
      <c r="Q1246">
        <v>-1.18374401926277</v>
      </c>
      <c r="R1246">
        <v>1.6393893250992101E-4</v>
      </c>
    </row>
    <row r="1247" spans="1:18" x14ac:dyDescent="0.2">
      <c r="A1247" t="s">
        <v>8</v>
      </c>
      <c r="B1247">
        <v>3</v>
      </c>
      <c r="C1247" t="s">
        <v>6</v>
      </c>
      <c r="D1247" s="2">
        <v>43677</v>
      </c>
      <c r="E1247" s="11">
        <v>212</v>
      </c>
      <c r="F1247" s="3">
        <v>0.73263888888888884</v>
      </c>
      <c r="G1247" s="3">
        <v>0.73611111111111116</v>
      </c>
      <c r="H1247" s="13">
        <f t="shared" si="39"/>
        <v>212.73263888888889</v>
      </c>
      <c r="I1247" s="13">
        <f t="shared" si="40"/>
        <v>212.73611111111111</v>
      </c>
      <c r="J1247" s="13">
        <f t="shared" si="41"/>
        <v>212.734375</v>
      </c>
      <c r="K1247" s="7">
        <v>43677.734375</v>
      </c>
      <c r="L1247" s="4">
        <v>596.20000000000005</v>
      </c>
      <c r="N1247">
        <v>26.67</v>
      </c>
      <c r="Q1247">
        <v>9.1801299597365897</v>
      </c>
      <c r="R1247">
        <v>-1.5999892353448601E-4</v>
      </c>
    </row>
    <row r="1248" spans="1:18" x14ac:dyDescent="0.2">
      <c r="A1248" t="s">
        <v>8</v>
      </c>
      <c r="B1248">
        <v>4</v>
      </c>
      <c r="C1248" t="s">
        <v>2</v>
      </c>
      <c r="D1248" s="2">
        <v>43677</v>
      </c>
      <c r="E1248" s="11">
        <v>212</v>
      </c>
      <c r="F1248" s="3">
        <v>0.73749999999999993</v>
      </c>
      <c r="G1248" s="3">
        <v>0.74097222222222225</v>
      </c>
      <c r="H1248" s="13">
        <f t="shared" si="39"/>
        <v>212.73750000000001</v>
      </c>
      <c r="I1248" s="13">
        <f t="shared" si="40"/>
        <v>212.74097222222221</v>
      </c>
      <c r="J1248" s="13">
        <f t="shared" si="41"/>
        <v>212.7392361111111</v>
      </c>
      <c r="K1248" s="7">
        <v>43677.739236111112</v>
      </c>
      <c r="L1248" s="4">
        <v>663.7</v>
      </c>
      <c r="M1248">
        <v>3.9</v>
      </c>
      <c r="N1248">
        <v>26.67</v>
      </c>
      <c r="O1248">
        <v>46.9</v>
      </c>
      <c r="P1248">
        <v>0.59</v>
      </c>
      <c r="Q1248">
        <v>-4.6467814316584901</v>
      </c>
      <c r="R1248">
        <v>-1.5059760564759101E-4</v>
      </c>
    </row>
    <row r="1249" spans="1:18" x14ac:dyDescent="0.2">
      <c r="A1249" t="s">
        <v>8</v>
      </c>
      <c r="B1249">
        <v>4</v>
      </c>
      <c r="C1249" t="s">
        <v>6</v>
      </c>
      <c r="D1249" s="2">
        <v>43677</v>
      </c>
      <c r="E1249" s="11">
        <v>212</v>
      </c>
      <c r="F1249" s="3">
        <v>0.74236111111111114</v>
      </c>
      <c r="G1249" s="3">
        <v>0.74583333333333324</v>
      </c>
      <c r="H1249" s="13">
        <f t="shared" si="39"/>
        <v>212.74236111111111</v>
      </c>
      <c r="I1249" s="13">
        <f t="shared" si="40"/>
        <v>212.74583333333334</v>
      </c>
      <c r="J1249" s="13">
        <f t="shared" si="41"/>
        <v>212.74409722222222</v>
      </c>
      <c r="K1249" s="7">
        <v>43677.744097222225</v>
      </c>
      <c r="L1249" s="4">
        <v>496.2</v>
      </c>
      <c r="N1249">
        <v>26.67</v>
      </c>
      <c r="Q1249">
        <v>9.1536243856923996</v>
      </c>
      <c r="R1249">
        <v>7.9075660926895292E-3</v>
      </c>
    </row>
    <row r="1250" spans="1:18" x14ac:dyDescent="0.2">
      <c r="A1250" t="s">
        <v>8</v>
      </c>
      <c r="B1250">
        <v>5</v>
      </c>
      <c r="C1250" t="s">
        <v>2</v>
      </c>
      <c r="D1250" s="2">
        <v>43677</v>
      </c>
      <c r="E1250" s="11">
        <v>212</v>
      </c>
      <c r="F1250" s="3">
        <v>0.74722222222222223</v>
      </c>
      <c r="G1250" s="3">
        <v>0.75069444444444444</v>
      </c>
      <c r="H1250" s="13">
        <f t="shared" si="39"/>
        <v>212.74722222222223</v>
      </c>
      <c r="I1250" s="13">
        <f t="shared" si="40"/>
        <v>212.75069444444443</v>
      </c>
      <c r="J1250" s="13">
        <f t="shared" si="41"/>
        <v>212.74895833333335</v>
      </c>
      <c r="K1250" s="7">
        <v>43677.74895833333</v>
      </c>
      <c r="L1250" s="4">
        <v>386.2</v>
      </c>
      <c r="M1250">
        <v>6.6</v>
      </c>
      <c r="N1250">
        <v>26.67</v>
      </c>
      <c r="O1250">
        <v>46</v>
      </c>
      <c r="P1250">
        <v>0.53</v>
      </c>
      <c r="Q1250">
        <v>0.72955903259981802</v>
      </c>
      <c r="R1250">
        <v>-3.4649521717634602E-4</v>
      </c>
    </row>
    <row r="1251" spans="1:18" x14ac:dyDescent="0.2">
      <c r="A1251" t="s">
        <v>8</v>
      </c>
      <c r="B1251">
        <v>5</v>
      </c>
      <c r="C1251" t="s">
        <v>6</v>
      </c>
      <c r="D1251" s="2">
        <v>43677</v>
      </c>
      <c r="E1251" s="11">
        <v>212</v>
      </c>
      <c r="F1251" s="3">
        <v>0.75208333333333333</v>
      </c>
      <c r="G1251" s="3">
        <v>0.75555555555555554</v>
      </c>
      <c r="H1251" s="13">
        <f t="shared" si="39"/>
        <v>212.75208333333333</v>
      </c>
      <c r="I1251" s="13">
        <f t="shared" si="40"/>
        <v>212.75555555555556</v>
      </c>
      <c r="J1251" s="13">
        <f t="shared" si="41"/>
        <v>212.75381944444445</v>
      </c>
      <c r="K1251" s="7">
        <v>43677.753819444442</v>
      </c>
      <c r="L1251" s="4">
        <v>298.7</v>
      </c>
      <c r="N1251">
        <v>26.67</v>
      </c>
      <c r="Q1251">
        <v>9.3926320808824908</v>
      </c>
      <c r="R1251">
        <v>-1.92396104515817E-3</v>
      </c>
    </row>
    <row r="1252" spans="1:18" x14ac:dyDescent="0.2">
      <c r="A1252" t="s">
        <v>8</v>
      </c>
      <c r="B1252">
        <v>1</v>
      </c>
      <c r="C1252" t="s">
        <v>2</v>
      </c>
      <c r="D1252" s="2">
        <v>43685</v>
      </c>
      <c r="E1252" s="11">
        <v>220</v>
      </c>
      <c r="F1252" s="3">
        <v>0.45347000000037951</v>
      </c>
      <c r="G1252" s="3">
        <v>0.45693999999639345</v>
      </c>
      <c r="H1252" s="13">
        <f t="shared" si="39"/>
        <v>220.45347000000038</v>
      </c>
      <c r="I1252" s="13">
        <f t="shared" si="40"/>
        <v>220.45693999999639</v>
      </c>
      <c r="J1252" s="13">
        <f t="shared" si="41"/>
        <v>220.45520499999839</v>
      </c>
      <c r="K1252" s="7">
        <v>43685.455204999998</v>
      </c>
      <c r="L1252" s="4">
        <v>488.7</v>
      </c>
      <c r="M1252">
        <v>3.4</v>
      </c>
      <c r="N1252">
        <v>23.89</v>
      </c>
      <c r="O1252">
        <v>39.5</v>
      </c>
      <c r="P1252">
        <v>0.6</v>
      </c>
      <c r="Q1252">
        <v>-0.306598849788839</v>
      </c>
      <c r="R1252">
        <v>-5.57337873251104E-3</v>
      </c>
    </row>
    <row r="1253" spans="1:18" x14ac:dyDescent="0.2">
      <c r="A1253" t="s">
        <v>8</v>
      </c>
      <c r="B1253">
        <v>1</v>
      </c>
      <c r="C1253" t="s">
        <v>6</v>
      </c>
      <c r="D1253" s="2">
        <v>43685</v>
      </c>
      <c r="E1253" s="11">
        <v>220</v>
      </c>
      <c r="F1253" s="3">
        <v>0.46110999999655178</v>
      </c>
      <c r="G1253" s="3">
        <v>0.42291999999724794</v>
      </c>
      <c r="H1253" s="13">
        <f t="shared" si="39"/>
        <v>220.46110999999655</v>
      </c>
      <c r="I1253" s="13">
        <f t="shared" si="40"/>
        <v>220.42291999999725</v>
      </c>
      <c r="J1253" s="13">
        <f t="shared" si="41"/>
        <v>220.4420149999969</v>
      </c>
      <c r="K1253" s="7">
        <v>43685.442014999993</v>
      </c>
      <c r="L1253" s="4">
        <v>836.2</v>
      </c>
      <c r="N1253">
        <v>23.89</v>
      </c>
    </row>
    <row r="1254" spans="1:18" x14ac:dyDescent="0.2">
      <c r="A1254" t="s">
        <v>8</v>
      </c>
      <c r="B1254">
        <v>2</v>
      </c>
      <c r="C1254" t="s">
        <v>2</v>
      </c>
      <c r="D1254" s="2">
        <v>43685</v>
      </c>
      <c r="E1254" s="11">
        <v>220</v>
      </c>
      <c r="F1254" s="3">
        <v>0.46944000000075903</v>
      </c>
      <c r="G1254" s="3">
        <v>0.47292000000015832</v>
      </c>
      <c r="H1254" s="13">
        <f t="shared" si="39"/>
        <v>220.46944000000076</v>
      </c>
      <c r="I1254" s="13">
        <f t="shared" si="40"/>
        <v>220.47292000000016</v>
      </c>
      <c r="J1254" s="13">
        <f t="shared" si="41"/>
        <v>220.47118000000046</v>
      </c>
      <c r="K1254" s="7">
        <v>43685.47118</v>
      </c>
      <c r="L1254" s="4">
        <v>1901.2</v>
      </c>
      <c r="M1254">
        <v>2.1</v>
      </c>
      <c r="N1254">
        <v>23.89</v>
      </c>
      <c r="O1254">
        <v>38</v>
      </c>
      <c r="P1254">
        <v>0.63</v>
      </c>
      <c r="Q1254">
        <v>-0.19151218286764099</v>
      </c>
      <c r="R1254">
        <v>-2.3239312317251199E-4</v>
      </c>
    </row>
    <row r="1255" spans="1:18" x14ac:dyDescent="0.2">
      <c r="A1255" t="s">
        <v>8</v>
      </c>
      <c r="B1255">
        <v>2</v>
      </c>
      <c r="C1255" t="s">
        <v>6</v>
      </c>
      <c r="D1255" s="2">
        <v>43685</v>
      </c>
      <c r="E1255" s="11">
        <v>220</v>
      </c>
      <c r="F1255" s="3">
        <v>0.47742999999900348</v>
      </c>
      <c r="G1255" s="3">
        <v>0.48090000000229338</v>
      </c>
      <c r="H1255" s="13">
        <f t="shared" si="39"/>
        <v>220.477429999999</v>
      </c>
      <c r="I1255" s="13">
        <f t="shared" si="40"/>
        <v>220.48090000000229</v>
      </c>
      <c r="J1255" s="13">
        <f t="shared" si="41"/>
        <v>220.47916500000065</v>
      </c>
      <c r="K1255" s="7">
        <v>43685.479164999997</v>
      </c>
      <c r="L1255" s="4">
        <v>1891.2</v>
      </c>
      <c r="N1255">
        <v>23.89</v>
      </c>
      <c r="Q1255">
        <v>0.57174304586660596</v>
      </c>
      <c r="R1255">
        <v>-1.7789796774642699E-4</v>
      </c>
    </row>
    <row r="1256" spans="1:18" x14ac:dyDescent="0.2">
      <c r="A1256" t="s">
        <v>8</v>
      </c>
      <c r="B1256">
        <v>3</v>
      </c>
      <c r="C1256" t="s">
        <v>2</v>
      </c>
      <c r="D1256" s="2">
        <v>43685</v>
      </c>
      <c r="E1256" s="11">
        <v>220</v>
      </c>
      <c r="F1256" s="3">
        <v>0.48726999999780674</v>
      </c>
      <c r="G1256" s="3">
        <v>0.49074000000109663</v>
      </c>
      <c r="H1256" s="13">
        <f t="shared" si="39"/>
        <v>220.48726999999781</v>
      </c>
      <c r="I1256" s="13">
        <f t="shared" si="40"/>
        <v>220.4907400000011</v>
      </c>
      <c r="J1256" s="13">
        <f t="shared" si="41"/>
        <v>220.48900499999945</v>
      </c>
      <c r="K1256" s="7">
        <v>43685.489004999996</v>
      </c>
      <c r="L1256" s="4">
        <v>1976.2</v>
      </c>
      <c r="M1256">
        <v>2.2999999999999998</v>
      </c>
      <c r="N1256">
        <v>23.89</v>
      </c>
      <c r="O1256">
        <v>28.4</v>
      </c>
      <c r="P1256">
        <v>0.65</v>
      </c>
      <c r="Q1256">
        <v>1.1108374083332999E-2</v>
      </c>
      <c r="R1256" s="6">
        <v>-4.3177856102097101E-5</v>
      </c>
    </row>
    <row r="1257" spans="1:18" x14ac:dyDescent="0.2">
      <c r="A1257" t="s">
        <v>8</v>
      </c>
      <c r="B1257">
        <v>3</v>
      </c>
      <c r="C1257" t="s">
        <v>6</v>
      </c>
      <c r="D1257" s="2">
        <v>43685</v>
      </c>
      <c r="E1257" s="11">
        <v>220</v>
      </c>
      <c r="F1257" s="3">
        <v>0.49287999999796739</v>
      </c>
      <c r="G1257" s="3">
        <v>0.49635000000125729</v>
      </c>
      <c r="H1257" s="13">
        <f t="shared" si="39"/>
        <v>220.49287999999797</v>
      </c>
      <c r="I1257" s="13">
        <f t="shared" si="40"/>
        <v>220.49635000000126</v>
      </c>
      <c r="J1257" s="13">
        <f t="shared" si="41"/>
        <v>220.49461499999961</v>
      </c>
      <c r="K1257" s="7">
        <v>43685.494615000003</v>
      </c>
      <c r="L1257" s="4">
        <v>2048.6999999999998</v>
      </c>
      <c r="N1257">
        <v>23.89</v>
      </c>
      <c r="Q1257">
        <v>0.387617173709909</v>
      </c>
      <c r="R1257">
        <v>1.7963110795180399E-4</v>
      </c>
    </row>
    <row r="1258" spans="1:18" x14ac:dyDescent="0.2">
      <c r="A1258" t="s">
        <v>8</v>
      </c>
      <c r="B1258">
        <v>4</v>
      </c>
      <c r="C1258" t="s">
        <v>2</v>
      </c>
      <c r="D1258" s="2">
        <v>43685</v>
      </c>
      <c r="E1258" s="11">
        <v>220</v>
      </c>
      <c r="F1258" s="3">
        <v>0.5</v>
      </c>
      <c r="G1258" s="3">
        <v>0.5034700000032899</v>
      </c>
      <c r="H1258" s="13">
        <f t="shared" si="39"/>
        <v>220.5</v>
      </c>
      <c r="I1258" s="13">
        <f t="shared" si="40"/>
        <v>220.50347000000329</v>
      </c>
      <c r="J1258" s="13">
        <f t="shared" si="41"/>
        <v>220.50173500000164</v>
      </c>
      <c r="K1258" s="7">
        <v>43685.501734999998</v>
      </c>
      <c r="L1258" s="4">
        <v>2071.1999999999998</v>
      </c>
      <c r="M1258">
        <v>2.9</v>
      </c>
      <c r="N1258">
        <v>23.89</v>
      </c>
      <c r="O1258">
        <v>29</v>
      </c>
      <c r="P1258">
        <v>0.62</v>
      </c>
      <c r="Q1258">
        <v>-1.9725127862232801</v>
      </c>
      <c r="R1258" s="6">
        <v>1.8191747549108399E-5</v>
      </c>
    </row>
    <row r="1259" spans="1:18" x14ac:dyDescent="0.2">
      <c r="A1259" t="s">
        <v>8</v>
      </c>
      <c r="B1259">
        <v>4</v>
      </c>
      <c r="C1259" t="s">
        <v>6</v>
      </c>
      <c r="D1259" s="2">
        <v>43685</v>
      </c>
      <c r="E1259" s="11">
        <v>220</v>
      </c>
      <c r="F1259" s="3">
        <v>0.50832999999693129</v>
      </c>
      <c r="G1259" s="3">
        <v>0.51181000000360655</v>
      </c>
      <c r="H1259" s="13">
        <f t="shared" si="39"/>
        <v>220.50832999999693</v>
      </c>
      <c r="I1259" s="13">
        <f t="shared" si="40"/>
        <v>220.51181000000361</v>
      </c>
      <c r="J1259" s="13">
        <f t="shared" si="41"/>
        <v>220.51007000000027</v>
      </c>
      <c r="K1259" s="7">
        <v>43685.510070000004</v>
      </c>
      <c r="L1259" s="4">
        <v>1933.7</v>
      </c>
      <c r="N1259">
        <v>23.89</v>
      </c>
      <c r="Q1259">
        <v>5.0919388226880698E-2</v>
      </c>
      <c r="R1259" s="6">
        <v>-5.3413909298422603E-8</v>
      </c>
    </row>
    <row r="1260" spans="1:18" x14ac:dyDescent="0.2">
      <c r="A1260" t="s">
        <v>8</v>
      </c>
      <c r="B1260">
        <v>5</v>
      </c>
      <c r="C1260" t="s">
        <v>2</v>
      </c>
      <c r="D1260" s="2">
        <v>43685</v>
      </c>
      <c r="E1260" s="11">
        <v>220</v>
      </c>
      <c r="F1260" s="3">
        <v>0.51563000000169268</v>
      </c>
      <c r="G1260" s="3">
        <v>0.51909999999770662</v>
      </c>
      <c r="H1260" s="13">
        <f t="shared" si="39"/>
        <v>220.51563000000169</v>
      </c>
      <c r="I1260" s="13">
        <f t="shared" si="40"/>
        <v>220.51909999999771</v>
      </c>
      <c r="J1260" s="13">
        <f t="shared" si="41"/>
        <v>220.5173649999997</v>
      </c>
      <c r="K1260" s="7">
        <v>43685.517365</v>
      </c>
      <c r="L1260" s="4">
        <v>1983.7</v>
      </c>
      <c r="M1260">
        <v>2.6</v>
      </c>
      <c r="N1260">
        <v>23.89</v>
      </c>
      <c r="O1260">
        <v>36.799999999999997</v>
      </c>
      <c r="P1260">
        <v>0.52</v>
      </c>
      <c r="Q1260">
        <v>-2.1604105528004398</v>
      </c>
      <c r="R1260">
        <v>-9.5201262569597595E-4</v>
      </c>
    </row>
    <row r="1261" spans="1:18" x14ac:dyDescent="0.2">
      <c r="A1261" t="s">
        <v>8</v>
      </c>
      <c r="B1261">
        <v>5</v>
      </c>
      <c r="C1261" t="s">
        <v>6</v>
      </c>
      <c r="D1261" s="2">
        <v>43685</v>
      </c>
      <c r="E1261" s="11">
        <v>220</v>
      </c>
      <c r="F1261" s="3">
        <v>0.52221999999892432</v>
      </c>
      <c r="G1261" s="3">
        <v>0.52569000000221422</v>
      </c>
      <c r="H1261" s="13">
        <f t="shared" si="39"/>
        <v>220.52221999999892</v>
      </c>
      <c r="I1261" s="13">
        <f t="shared" si="40"/>
        <v>220.52569000000221</v>
      </c>
      <c r="J1261" s="13">
        <f t="shared" si="41"/>
        <v>220.52395500000057</v>
      </c>
      <c r="K1261" s="7">
        <v>43685.523954999997</v>
      </c>
      <c r="L1261" s="4">
        <v>1931.2</v>
      </c>
      <c r="N1261">
        <v>23.89</v>
      </c>
      <c r="Q1261">
        <v>-0.11615839682234801</v>
      </c>
      <c r="R1261">
        <v>-1.89981529684858E-3</v>
      </c>
    </row>
    <row r="1262" spans="1:18" x14ac:dyDescent="0.2">
      <c r="A1262" t="s">
        <v>8</v>
      </c>
      <c r="B1262">
        <v>1</v>
      </c>
      <c r="C1262" t="s">
        <v>2</v>
      </c>
      <c r="D1262" s="2">
        <v>43685</v>
      </c>
      <c r="E1262" s="11">
        <v>220</v>
      </c>
      <c r="F1262" s="3">
        <v>0.57916999999724794</v>
      </c>
      <c r="G1262" s="3">
        <v>0.58264000000053784</v>
      </c>
      <c r="H1262" s="13">
        <f t="shared" si="39"/>
        <v>220.57916999999725</v>
      </c>
      <c r="I1262" s="13">
        <f t="shared" si="40"/>
        <v>220.58264000000054</v>
      </c>
      <c r="J1262" s="13">
        <f t="shared" si="41"/>
        <v>220.58090499999889</v>
      </c>
      <c r="K1262" s="7">
        <v>43685.580904999995</v>
      </c>
      <c r="L1262" s="4">
        <v>1868.7</v>
      </c>
      <c r="M1262">
        <v>1.9</v>
      </c>
      <c r="N1262">
        <v>28.33</v>
      </c>
      <c r="O1262">
        <v>23.2</v>
      </c>
      <c r="P1262">
        <v>0.57999999999999996</v>
      </c>
      <c r="Q1262">
        <v>-0.714736298060063</v>
      </c>
      <c r="R1262">
        <v>1.44257507330237E-4</v>
      </c>
    </row>
    <row r="1263" spans="1:18" x14ac:dyDescent="0.2">
      <c r="A1263" t="s">
        <v>8</v>
      </c>
      <c r="B1263">
        <v>1</v>
      </c>
      <c r="C1263" t="s">
        <v>6</v>
      </c>
      <c r="D1263" s="2">
        <v>43685</v>
      </c>
      <c r="E1263" s="11">
        <v>220</v>
      </c>
      <c r="F1263" s="3">
        <v>0.58518999999796506</v>
      </c>
      <c r="G1263" s="3">
        <v>0.58866000000125496</v>
      </c>
      <c r="H1263" s="13">
        <f t="shared" si="39"/>
        <v>220.58518999999797</v>
      </c>
      <c r="I1263" s="13">
        <f t="shared" si="40"/>
        <v>220.58866000000125</v>
      </c>
      <c r="J1263" s="13">
        <f t="shared" si="41"/>
        <v>220.58692499999961</v>
      </c>
      <c r="K1263" s="7">
        <v>43685.586924999996</v>
      </c>
      <c r="L1263" s="4">
        <v>468.7</v>
      </c>
      <c r="N1263">
        <v>28.33</v>
      </c>
      <c r="Q1263">
        <v>-1.79907285391838</v>
      </c>
      <c r="R1263">
        <v>1.53507937985566E-4</v>
      </c>
    </row>
    <row r="1264" spans="1:18" x14ac:dyDescent="0.2">
      <c r="A1264" t="s">
        <v>8</v>
      </c>
      <c r="B1264">
        <v>2</v>
      </c>
      <c r="C1264" t="s">
        <v>2</v>
      </c>
      <c r="D1264" s="2">
        <v>43685</v>
      </c>
      <c r="E1264" s="11">
        <v>220</v>
      </c>
      <c r="F1264" s="3">
        <v>0.59120000000257278</v>
      </c>
      <c r="G1264" s="3">
        <v>0.59468000000197208</v>
      </c>
      <c r="H1264" s="13">
        <f t="shared" si="39"/>
        <v>220.59120000000257</v>
      </c>
      <c r="I1264" s="13">
        <f t="shared" si="40"/>
        <v>220.59468000000197</v>
      </c>
      <c r="J1264" s="13">
        <f t="shared" si="41"/>
        <v>220.59294000000227</v>
      </c>
      <c r="K1264" s="7">
        <v>43685.592940000002</v>
      </c>
      <c r="L1264" s="4">
        <v>606.20000000000005</v>
      </c>
      <c r="M1264">
        <v>3.1</v>
      </c>
      <c r="N1264">
        <v>28.33</v>
      </c>
      <c r="O1264">
        <v>30.8</v>
      </c>
      <c r="P1264">
        <v>0.62</v>
      </c>
      <c r="Q1264">
        <v>-1.1319846903028901</v>
      </c>
      <c r="R1264">
        <v>-1.11233873033084E-4</v>
      </c>
    </row>
    <row r="1265" spans="1:18" x14ac:dyDescent="0.2">
      <c r="A1265" t="s">
        <v>8</v>
      </c>
      <c r="B1265">
        <v>2</v>
      </c>
      <c r="C1265" t="s">
        <v>6</v>
      </c>
      <c r="D1265" s="2">
        <v>43685</v>
      </c>
      <c r="E1265" s="11">
        <v>220</v>
      </c>
      <c r="F1265" s="3">
        <v>0.5972200000032899</v>
      </c>
      <c r="G1265" s="3">
        <v>0.60068999999930384</v>
      </c>
      <c r="H1265" s="13">
        <f t="shared" si="39"/>
        <v>220.59722000000329</v>
      </c>
      <c r="I1265" s="13">
        <f t="shared" si="40"/>
        <v>220.6006899999993</v>
      </c>
      <c r="J1265" s="13">
        <f t="shared" si="41"/>
        <v>220.5989550000013</v>
      </c>
      <c r="K1265" s="7">
        <v>43685.598955000001</v>
      </c>
      <c r="L1265" s="4">
        <v>2123.6999999999998</v>
      </c>
      <c r="N1265">
        <v>28.33</v>
      </c>
      <c r="Q1265">
        <v>-0.42887163375401799</v>
      </c>
      <c r="R1265" s="6">
        <v>1.7056877992493098E-5</v>
      </c>
    </row>
    <row r="1266" spans="1:18" x14ac:dyDescent="0.2">
      <c r="A1266" t="s">
        <v>8</v>
      </c>
      <c r="B1266">
        <v>3</v>
      </c>
      <c r="C1266" t="s">
        <v>2</v>
      </c>
      <c r="D1266" s="2">
        <v>43685</v>
      </c>
      <c r="E1266" s="11">
        <v>220</v>
      </c>
      <c r="F1266" s="3">
        <v>0.60300999999890337</v>
      </c>
      <c r="G1266" s="3">
        <v>0.60648000000219326</v>
      </c>
      <c r="H1266" s="13">
        <f t="shared" si="39"/>
        <v>220.6030099999989</v>
      </c>
      <c r="I1266" s="13">
        <f t="shared" si="40"/>
        <v>220.60648000000219</v>
      </c>
      <c r="J1266" s="13">
        <f t="shared" si="41"/>
        <v>220.60474500000055</v>
      </c>
      <c r="K1266" s="7">
        <v>43685.604745000004</v>
      </c>
      <c r="L1266" s="4">
        <v>1861.2</v>
      </c>
      <c r="M1266">
        <v>1</v>
      </c>
      <c r="N1266">
        <v>28.33</v>
      </c>
      <c r="O1266">
        <v>28.3</v>
      </c>
      <c r="P1266">
        <v>0.61</v>
      </c>
      <c r="Q1266">
        <v>-0.68816204003216996</v>
      </c>
      <c r="R1266">
        <v>3.5993916066670898E-4</v>
      </c>
    </row>
    <row r="1267" spans="1:18" x14ac:dyDescent="0.2">
      <c r="A1267" t="s">
        <v>8</v>
      </c>
      <c r="B1267">
        <v>3</v>
      </c>
      <c r="C1267" t="s">
        <v>6</v>
      </c>
      <c r="D1267" s="2">
        <v>43685</v>
      </c>
      <c r="E1267" s="11">
        <v>220</v>
      </c>
      <c r="F1267" s="3">
        <v>0.60914000000047963</v>
      </c>
      <c r="G1267" s="3">
        <v>0.61261999999987893</v>
      </c>
      <c r="H1267" s="13">
        <f t="shared" si="39"/>
        <v>220.60914000000048</v>
      </c>
      <c r="I1267" s="13">
        <f t="shared" si="40"/>
        <v>220.61261999999988</v>
      </c>
      <c r="J1267" s="13">
        <f t="shared" si="41"/>
        <v>220.61088000000018</v>
      </c>
      <c r="K1267" s="7">
        <v>43685.61088</v>
      </c>
      <c r="L1267" s="4">
        <v>1721.2</v>
      </c>
      <c r="N1267">
        <v>28.33</v>
      </c>
      <c r="Q1267">
        <v>0.446464787942078</v>
      </c>
      <c r="R1267" s="6">
        <v>9.1861436380696505E-5</v>
      </c>
    </row>
    <row r="1268" spans="1:18" x14ac:dyDescent="0.2">
      <c r="A1268" t="s">
        <v>8</v>
      </c>
      <c r="B1268">
        <v>4</v>
      </c>
      <c r="C1268" t="s">
        <v>2</v>
      </c>
      <c r="D1268" s="2">
        <v>43685</v>
      </c>
      <c r="E1268" s="11">
        <v>220</v>
      </c>
      <c r="F1268" s="3">
        <v>0.61538999999902444</v>
      </c>
      <c r="G1268" s="3">
        <v>0.61886999999842374</v>
      </c>
      <c r="H1268" s="13">
        <f t="shared" si="39"/>
        <v>220.61538999999902</v>
      </c>
      <c r="I1268" s="13">
        <f t="shared" si="40"/>
        <v>220.61886999999842</v>
      </c>
      <c r="J1268" s="13">
        <f t="shared" si="41"/>
        <v>220.61712999999872</v>
      </c>
      <c r="K1268" s="7">
        <v>43685.617129999999</v>
      </c>
      <c r="L1268" s="4">
        <v>1661.2</v>
      </c>
      <c r="M1268">
        <v>3.1</v>
      </c>
      <c r="N1268">
        <v>28.33</v>
      </c>
      <c r="O1268">
        <v>46.7</v>
      </c>
      <c r="P1268">
        <v>0.56000000000000005</v>
      </c>
      <c r="Q1268">
        <v>-1.11937024077551</v>
      </c>
      <c r="R1268">
        <v>-1.35398347179022E-4</v>
      </c>
    </row>
    <row r="1269" spans="1:18" x14ac:dyDescent="0.2">
      <c r="A1269" t="s">
        <v>8</v>
      </c>
      <c r="B1269">
        <v>4</v>
      </c>
      <c r="C1269" t="s">
        <v>6</v>
      </c>
      <c r="D1269" s="2">
        <v>43685</v>
      </c>
      <c r="E1269" s="11">
        <v>220</v>
      </c>
      <c r="F1269" s="3">
        <v>0.6215299999967101</v>
      </c>
      <c r="G1269" s="3">
        <v>0.625</v>
      </c>
      <c r="H1269" s="13">
        <f t="shared" si="39"/>
        <v>220.62152999999671</v>
      </c>
      <c r="I1269" s="13">
        <f t="shared" si="40"/>
        <v>220.625</v>
      </c>
      <c r="J1269" s="13">
        <f t="shared" si="41"/>
        <v>220.62326499999836</v>
      </c>
      <c r="K1269" s="7">
        <v>43685.623265000002</v>
      </c>
      <c r="L1269" s="4">
        <v>1611.2</v>
      </c>
      <c r="N1269">
        <v>28.33</v>
      </c>
      <c r="Q1269">
        <v>0.45967315412718301</v>
      </c>
      <c r="R1269" s="6">
        <v>6.1018936586441999E-5</v>
      </c>
    </row>
    <row r="1270" spans="1:18" x14ac:dyDescent="0.2">
      <c r="A1270" t="s">
        <v>8</v>
      </c>
      <c r="B1270">
        <v>5</v>
      </c>
      <c r="C1270" t="s">
        <v>2</v>
      </c>
      <c r="D1270" s="2">
        <v>43685</v>
      </c>
      <c r="E1270" s="11">
        <v>220</v>
      </c>
      <c r="F1270" s="3">
        <v>0.62789000000339001</v>
      </c>
      <c r="G1270" s="3">
        <v>0.63137000000278931</v>
      </c>
      <c r="H1270" s="13">
        <f t="shared" si="39"/>
        <v>220.62789000000339</v>
      </c>
      <c r="I1270" s="13">
        <f t="shared" si="40"/>
        <v>220.63137000000279</v>
      </c>
      <c r="J1270" s="13">
        <f t="shared" si="41"/>
        <v>220.62963000000309</v>
      </c>
      <c r="K1270" s="7">
        <v>43685.629630000003</v>
      </c>
      <c r="L1270" s="4">
        <v>1586.2</v>
      </c>
      <c r="M1270">
        <v>3.2</v>
      </c>
      <c r="N1270">
        <v>28.33</v>
      </c>
      <c r="O1270">
        <v>70.8</v>
      </c>
      <c r="P1270">
        <v>0.52</v>
      </c>
      <c r="Q1270">
        <v>-0.89597518746010196</v>
      </c>
      <c r="R1270">
        <v>1.46890033784549E-4</v>
      </c>
    </row>
    <row r="1271" spans="1:18" x14ac:dyDescent="0.2">
      <c r="A1271" t="s">
        <v>8</v>
      </c>
      <c r="B1271">
        <v>5</v>
      </c>
      <c r="C1271" t="s">
        <v>6</v>
      </c>
      <c r="D1271" s="2">
        <v>43685</v>
      </c>
      <c r="E1271" s="11">
        <v>220</v>
      </c>
      <c r="F1271" s="3">
        <v>0.63414000000193482</v>
      </c>
      <c r="G1271" s="3">
        <v>0.63762000000133412</v>
      </c>
      <c r="H1271" s="13">
        <f t="shared" si="39"/>
        <v>220.63414000000193</v>
      </c>
      <c r="I1271" s="13">
        <f t="shared" si="40"/>
        <v>220.63762000000133</v>
      </c>
      <c r="J1271" s="13">
        <f t="shared" si="41"/>
        <v>220.63588000000163</v>
      </c>
      <c r="K1271" s="7">
        <v>43685.635880000002</v>
      </c>
      <c r="L1271" s="4">
        <v>1551.2</v>
      </c>
      <c r="N1271">
        <v>28.33</v>
      </c>
      <c r="Q1271">
        <v>-0.43027462128078597</v>
      </c>
      <c r="R1271">
        <v>1.3014794142594E-4</v>
      </c>
    </row>
    <row r="1272" spans="1:18" x14ac:dyDescent="0.2">
      <c r="A1272" t="s">
        <v>8</v>
      </c>
      <c r="B1272">
        <v>1</v>
      </c>
      <c r="C1272" t="s">
        <v>2</v>
      </c>
      <c r="D1272" s="2">
        <v>43692</v>
      </c>
      <c r="E1272" s="11">
        <v>227</v>
      </c>
      <c r="F1272" s="3">
        <v>0.48668999999790685</v>
      </c>
      <c r="G1272" s="3">
        <v>0.49016000000119675</v>
      </c>
      <c r="H1272" s="13">
        <f t="shared" si="39"/>
        <v>227.48668999999791</v>
      </c>
      <c r="I1272" s="13">
        <f t="shared" si="40"/>
        <v>227.4901600000012</v>
      </c>
      <c r="J1272" s="13">
        <f t="shared" si="41"/>
        <v>227.48842499999955</v>
      </c>
      <c r="K1272" s="7">
        <v>43692.488425000003</v>
      </c>
      <c r="L1272" s="4">
        <v>1761.2</v>
      </c>
      <c r="M1272">
        <v>1.2</v>
      </c>
      <c r="N1272">
        <v>23.89</v>
      </c>
      <c r="O1272">
        <v>43.8</v>
      </c>
      <c r="P1272">
        <v>0.46</v>
      </c>
      <c r="Q1272">
        <v>0.65003632946621404</v>
      </c>
      <c r="R1272">
        <v>-6.4707243499432198E-4</v>
      </c>
    </row>
    <row r="1273" spans="1:18" x14ac:dyDescent="0.2">
      <c r="A1273" t="s">
        <v>8</v>
      </c>
      <c r="B1273">
        <v>1</v>
      </c>
      <c r="C1273" t="s">
        <v>6</v>
      </c>
      <c r="D1273" s="2">
        <v>43692</v>
      </c>
      <c r="E1273" s="11">
        <v>227</v>
      </c>
      <c r="F1273" s="3">
        <v>0.49171999999816762</v>
      </c>
      <c r="G1273" s="3">
        <v>0.49519999999756692</v>
      </c>
      <c r="H1273" s="13">
        <f t="shared" si="39"/>
        <v>227.49171999999817</v>
      </c>
      <c r="I1273" s="13">
        <f t="shared" si="40"/>
        <v>227.49519999999757</v>
      </c>
      <c r="J1273" s="13">
        <f t="shared" si="41"/>
        <v>227.49345999999787</v>
      </c>
      <c r="K1273" s="7">
        <v>43692.493459999998</v>
      </c>
      <c r="L1273" s="4">
        <v>1776.2</v>
      </c>
      <c r="N1273">
        <v>23.89</v>
      </c>
      <c r="Q1273">
        <v>6.4231674533117697</v>
      </c>
      <c r="R1273">
        <v>-7.2026208553485995E-4</v>
      </c>
    </row>
    <row r="1274" spans="1:18" x14ac:dyDescent="0.2">
      <c r="A1274" t="s">
        <v>8</v>
      </c>
      <c r="B1274">
        <v>2</v>
      </c>
      <c r="C1274" t="s">
        <v>2</v>
      </c>
      <c r="D1274" s="2">
        <v>43692</v>
      </c>
      <c r="E1274" s="11">
        <v>227</v>
      </c>
      <c r="F1274" s="3">
        <v>0.49640999999974156</v>
      </c>
      <c r="G1274" s="3">
        <v>0.49988000000303145</v>
      </c>
      <c r="H1274" s="13">
        <f t="shared" si="39"/>
        <v>227.49640999999974</v>
      </c>
      <c r="I1274" s="13">
        <f t="shared" si="40"/>
        <v>227.49988000000303</v>
      </c>
      <c r="J1274" s="13">
        <f t="shared" si="41"/>
        <v>227.49814500000139</v>
      </c>
      <c r="K1274" s="7">
        <v>43692.498145000005</v>
      </c>
      <c r="L1274" s="4">
        <v>1791.2</v>
      </c>
      <c r="M1274">
        <v>5</v>
      </c>
      <c r="N1274">
        <v>23.89</v>
      </c>
      <c r="O1274">
        <v>45.9</v>
      </c>
      <c r="P1274">
        <v>0.44</v>
      </c>
      <c r="Q1274">
        <v>2.7367213375063</v>
      </c>
      <c r="R1274">
        <v>-4.9450077482912505E-4</v>
      </c>
    </row>
    <row r="1275" spans="1:18" x14ac:dyDescent="0.2">
      <c r="A1275" t="s">
        <v>8</v>
      </c>
      <c r="B1275">
        <v>2</v>
      </c>
      <c r="C1275" t="s">
        <v>6</v>
      </c>
      <c r="D1275" s="2">
        <v>43692</v>
      </c>
      <c r="E1275" s="11">
        <v>227</v>
      </c>
      <c r="F1275" s="3">
        <v>0.50168000000121538</v>
      </c>
      <c r="G1275" s="3">
        <v>0.50514999999722932</v>
      </c>
      <c r="H1275" s="13">
        <f t="shared" ref="H1275:H1338" si="42">E1275+F1275</f>
        <v>227.50168000000122</v>
      </c>
      <c r="I1275" s="13">
        <f t="shared" ref="I1275:I1338" si="43">E1275+G1275</f>
        <v>227.50514999999723</v>
      </c>
      <c r="J1275" s="13">
        <f t="shared" ref="J1275:J1338" si="44">AVERAGE(H1275:I1275)</f>
        <v>227.50341499999922</v>
      </c>
      <c r="K1275" s="7">
        <v>43692.503414999999</v>
      </c>
      <c r="L1275" s="4">
        <v>1803.7</v>
      </c>
      <c r="N1275">
        <v>23.89</v>
      </c>
      <c r="Q1275">
        <v>5.7256828282817498</v>
      </c>
      <c r="R1275">
        <v>-5.6467124539315695E-4</v>
      </c>
    </row>
    <row r="1276" spans="1:18" x14ac:dyDescent="0.2">
      <c r="A1276" t="s">
        <v>8</v>
      </c>
      <c r="B1276">
        <v>3</v>
      </c>
      <c r="C1276" t="s">
        <v>2</v>
      </c>
      <c r="D1276" s="2">
        <v>43692</v>
      </c>
      <c r="E1276" s="11">
        <v>227</v>
      </c>
      <c r="F1276" s="3">
        <v>0.50712000000203261</v>
      </c>
      <c r="G1276" s="3">
        <v>0.51058999999804655</v>
      </c>
      <c r="H1276" s="13">
        <f t="shared" si="42"/>
        <v>227.50712000000203</v>
      </c>
      <c r="I1276" s="13">
        <f t="shared" si="43"/>
        <v>227.51058999999805</v>
      </c>
      <c r="J1276" s="13">
        <f t="shared" si="44"/>
        <v>227.50885500000004</v>
      </c>
      <c r="K1276" s="7">
        <v>43692.508855</v>
      </c>
      <c r="L1276" s="4">
        <v>1813.7</v>
      </c>
      <c r="M1276">
        <v>1.6</v>
      </c>
      <c r="N1276">
        <v>23.89</v>
      </c>
      <c r="O1276">
        <v>30.4</v>
      </c>
      <c r="P1276">
        <v>0.38</v>
      </c>
      <c r="Q1276">
        <v>2.7553257416433801</v>
      </c>
      <c r="R1276">
        <v>-4.4207729107414903E-4</v>
      </c>
    </row>
    <row r="1277" spans="1:18" x14ac:dyDescent="0.2">
      <c r="A1277" t="s">
        <v>8</v>
      </c>
      <c r="B1277">
        <v>3</v>
      </c>
      <c r="C1277" t="s">
        <v>6</v>
      </c>
      <c r="D1277" s="2">
        <v>43692</v>
      </c>
      <c r="E1277" s="11">
        <v>227</v>
      </c>
      <c r="F1277" s="3">
        <v>0.51243999999860534</v>
      </c>
      <c r="G1277" s="3">
        <v>0.51591000000189524</v>
      </c>
      <c r="H1277" s="13">
        <f t="shared" si="42"/>
        <v>227.51243999999861</v>
      </c>
      <c r="I1277" s="13">
        <f t="shared" si="43"/>
        <v>227.5159100000019</v>
      </c>
      <c r="J1277" s="13">
        <f t="shared" si="44"/>
        <v>227.51417500000025</v>
      </c>
      <c r="K1277" s="7">
        <v>43692.514175000004</v>
      </c>
      <c r="L1277" s="4">
        <v>1821.2</v>
      </c>
      <c r="N1277">
        <v>23.89</v>
      </c>
      <c r="Q1277">
        <v>4.7760932075967801</v>
      </c>
      <c r="R1277">
        <v>-4.7270849822179001E-4</v>
      </c>
    </row>
    <row r="1278" spans="1:18" x14ac:dyDescent="0.2">
      <c r="A1278" t="s">
        <v>8</v>
      </c>
      <c r="B1278">
        <v>4</v>
      </c>
      <c r="C1278" t="s">
        <v>2</v>
      </c>
      <c r="D1278" s="2">
        <v>43692</v>
      </c>
      <c r="E1278" s="11">
        <v>227</v>
      </c>
      <c r="F1278" s="3">
        <v>0.51748000000225147</v>
      </c>
      <c r="G1278" s="3">
        <v>0.52094999999826541</v>
      </c>
      <c r="H1278" s="13">
        <f t="shared" si="42"/>
        <v>227.51748000000225</v>
      </c>
      <c r="I1278" s="13">
        <f t="shared" si="43"/>
        <v>227.52094999999827</v>
      </c>
      <c r="J1278" s="13">
        <f t="shared" si="44"/>
        <v>227.51921500000026</v>
      </c>
      <c r="K1278" s="7">
        <v>43692.519215</v>
      </c>
      <c r="L1278" s="4">
        <v>1833.7</v>
      </c>
      <c r="M1278">
        <v>3.7</v>
      </c>
      <c r="N1278">
        <v>23.89</v>
      </c>
      <c r="O1278">
        <v>69.099999999999994</v>
      </c>
      <c r="P1278">
        <v>0.36</v>
      </c>
      <c r="Q1278">
        <v>2.2190304060589399</v>
      </c>
      <c r="R1278" s="6">
        <v>-7.5309550169515502E-5</v>
      </c>
    </row>
    <row r="1279" spans="1:18" x14ac:dyDescent="0.2">
      <c r="A1279" t="s">
        <v>8</v>
      </c>
      <c r="B1279">
        <v>4</v>
      </c>
      <c r="C1279" t="s">
        <v>6</v>
      </c>
      <c r="D1279" s="2">
        <v>43692</v>
      </c>
      <c r="E1279" s="11">
        <v>227</v>
      </c>
      <c r="F1279" s="3">
        <v>0.52285999999730848</v>
      </c>
      <c r="G1279" s="3">
        <v>0.52633000000059837</v>
      </c>
      <c r="H1279" s="13">
        <f t="shared" si="42"/>
        <v>227.52285999999731</v>
      </c>
      <c r="I1279" s="13">
        <f t="shared" si="43"/>
        <v>227.5263300000006</v>
      </c>
      <c r="J1279" s="13">
        <f t="shared" si="44"/>
        <v>227.52459499999895</v>
      </c>
      <c r="K1279" s="7">
        <v>43692.524594999995</v>
      </c>
      <c r="L1279" s="4">
        <v>1838.7</v>
      </c>
      <c r="N1279">
        <v>23.89</v>
      </c>
      <c r="Q1279">
        <v>3.2617182603422998</v>
      </c>
      <c r="R1279">
        <v>-7.39338467195327E-4</v>
      </c>
    </row>
    <row r="1280" spans="1:18" x14ac:dyDescent="0.2">
      <c r="A1280" t="s">
        <v>8</v>
      </c>
      <c r="B1280">
        <v>5</v>
      </c>
      <c r="C1280" t="s">
        <v>2</v>
      </c>
      <c r="D1280" s="2">
        <v>43692</v>
      </c>
      <c r="E1280" s="11">
        <v>227</v>
      </c>
      <c r="F1280" s="3">
        <v>0.52795000000332948</v>
      </c>
      <c r="G1280" s="3">
        <v>0.53141999999934342</v>
      </c>
      <c r="H1280" s="13">
        <f t="shared" si="42"/>
        <v>227.52795000000333</v>
      </c>
      <c r="I1280" s="13">
        <f t="shared" si="43"/>
        <v>227.53141999999934</v>
      </c>
      <c r="J1280" s="13">
        <f t="shared" si="44"/>
        <v>227.52968500000134</v>
      </c>
      <c r="K1280" s="7">
        <v>43692.529685000001</v>
      </c>
      <c r="L1280" s="4">
        <v>1841.2</v>
      </c>
      <c r="M1280">
        <v>1.2</v>
      </c>
      <c r="N1280">
        <v>25.56</v>
      </c>
      <c r="O1280">
        <v>38.4</v>
      </c>
      <c r="P1280">
        <v>0.38</v>
      </c>
      <c r="Q1280">
        <v>1.86088841483832</v>
      </c>
      <c r="R1280" s="6">
        <v>-3.2933978312885697E-5</v>
      </c>
    </row>
    <row r="1281" spans="1:18" x14ac:dyDescent="0.2">
      <c r="A1281" t="s">
        <v>8</v>
      </c>
      <c r="B1281">
        <v>5</v>
      </c>
      <c r="C1281" t="s">
        <v>6</v>
      </c>
      <c r="D1281" s="2">
        <v>43692</v>
      </c>
      <c r="E1281" s="11">
        <v>227</v>
      </c>
      <c r="F1281" s="3">
        <v>0.53298999999969965</v>
      </c>
      <c r="G1281" s="3">
        <v>0.53646000000298955</v>
      </c>
      <c r="H1281" s="13">
        <f t="shared" si="42"/>
        <v>227.5329899999997</v>
      </c>
      <c r="I1281" s="13">
        <f t="shared" si="43"/>
        <v>227.53646000000299</v>
      </c>
      <c r="J1281" s="13">
        <f t="shared" si="44"/>
        <v>227.53472500000134</v>
      </c>
      <c r="K1281" s="7">
        <v>43692.534725000005</v>
      </c>
      <c r="L1281" s="4">
        <v>1843.7</v>
      </c>
      <c r="N1281">
        <v>25.56</v>
      </c>
      <c r="Q1281">
        <v>6.2664288104497299</v>
      </c>
      <c r="R1281">
        <v>-4.6025356156459798E-4</v>
      </c>
    </row>
    <row r="1282" spans="1:18" x14ac:dyDescent="0.2">
      <c r="A1282" t="s">
        <v>8</v>
      </c>
      <c r="B1282">
        <v>1</v>
      </c>
      <c r="C1282" t="s">
        <v>2</v>
      </c>
      <c r="D1282" s="2">
        <v>43692</v>
      </c>
      <c r="E1282" s="11">
        <v>227</v>
      </c>
      <c r="F1282" s="3">
        <v>0.55498000000079628</v>
      </c>
      <c r="G1282" s="3">
        <v>0.55844999999681022</v>
      </c>
      <c r="H1282" s="13">
        <f t="shared" si="42"/>
        <v>227.5549800000008</v>
      </c>
      <c r="I1282" s="13">
        <f t="shared" si="43"/>
        <v>227.55844999999681</v>
      </c>
      <c r="J1282" s="13">
        <f t="shared" si="44"/>
        <v>227.5567149999988</v>
      </c>
      <c r="K1282" s="7">
        <v>43692.556714999999</v>
      </c>
      <c r="L1282" s="4">
        <v>1843.7</v>
      </c>
      <c r="M1282">
        <v>1.6</v>
      </c>
      <c r="N1282">
        <v>26.67</v>
      </c>
      <c r="O1282">
        <v>48.5</v>
      </c>
      <c r="P1282">
        <v>0.45</v>
      </c>
      <c r="Q1282">
        <v>0.61213692040757595</v>
      </c>
      <c r="R1282">
        <v>-1.3065582190307601E-4</v>
      </c>
    </row>
    <row r="1283" spans="1:18" x14ac:dyDescent="0.2">
      <c r="A1283" t="s">
        <v>8</v>
      </c>
      <c r="B1283">
        <v>1</v>
      </c>
      <c r="C1283" t="s">
        <v>6</v>
      </c>
      <c r="D1283" s="2">
        <v>43692</v>
      </c>
      <c r="E1283" s="11">
        <v>227</v>
      </c>
      <c r="F1283" s="3">
        <v>0.56018999999650987</v>
      </c>
      <c r="G1283" s="3">
        <v>0.5632499999992433</v>
      </c>
      <c r="H1283" s="13">
        <f t="shared" si="42"/>
        <v>227.56018999999651</v>
      </c>
      <c r="I1283" s="13">
        <f t="shared" si="43"/>
        <v>227.56324999999924</v>
      </c>
      <c r="J1283" s="13">
        <f t="shared" si="44"/>
        <v>227.56171999999788</v>
      </c>
      <c r="K1283" s="7">
        <v>43692.561719999998</v>
      </c>
      <c r="L1283" s="4">
        <v>1836.2</v>
      </c>
      <c r="N1283">
        <v>26.67</v>
      </c>
      <c r="Q1283">
        <v>6.4509674599927997</v>
      </c>
      <c r="R1283">
        <v>-5.7479047188471895E-4</v>
      </c>
    </row>
    <row r="1284" spans="1:18" x14ac:dyDescent="0.2">
      <c r="A1284" t="s">
        <v>8</v>
      </c>
      <c r="B1284">
        <v>2</v>
      </c>
      <c r="C1284" t="s">
        <v>2</v>
      </c>
      <c r="D1284" s="2">
        <v>43692</v>
      </c>
      <c r="E1284" s="11">
        <v>227</v>
      </c>
      <c r="F1284" s="3">
        <v>0.56534000000101514</v>
      </c>
      <c r="G1284" s="3">
        <v>0.56880999999702908</v>
      </c>
      <c r="H1284" s="13">
        <f t="shared" si="42"/>
        <v>227.56534000000102</v>
      </c>
      <c r="I1284" s="13">
        <f t="shared" si="43"/>
        <v>227.56880999999703</v>
      </c>
      <c r="J1284" s="13">
        <f t="shared" si="44"/>
        <v>227.56707499999902</v>
      </c>
      <c r="K1284" s="7">
        <v>43692.567074999999</v>
      </c>
      <c r="L1284" s="4">
        <v>1826.2</v>
      </c>
      <c r="M1284">
        <v>3.7</v>
      </c>
      <c r="N1284">
        <v>26.67</v>
      </c>
      <c r="O1284">
        <v>50.2</v>
      </c>
      <c r="P1284">
        <v>0.42</v>
      </c>
      <c r="Q1284">
        <v>3.2171285457256</v>
      </c>
      <c r="R1284" s="6">
        <v>-1.16488144135239E-5</v>
      </c>
    </row>
    <row r="1285" spans="1:18" x14ac:dyDescent="0.2">
      <c r="A1285" t="s">
        <v>8</v>
      </c>
      <c r="B1285">
        <v>2</v>
      </c>
      <c r="C1285" t="s">
        <v>6</v>
      </c>
      <c r="D1285" s="2">
        <v>43692</v>
      </c>
      <c r="E1285" s="11">
        <v>227</v>
      </c>
      <c r="F1285" s="3">
        <v>0.57054000000061933</v>
      </c>
      <c r="G1285" s="3">
        <v>0.57402000000001863</v>
      </c>
      <c r="H1285" s="13">
        <f t="shared" si="42"/>
        <v>227.57054000000062</v>
      </c>
      <c r="I1285" s="13">
        <f t="shared" si="43"/>
        <v>227.57402000000002</v>
      </c>
      <c r="J1285" s="13">
        <f t="shared" si="44"/>
        <v>227.57228000000032</v>
      </c>
      <c r="K1285" s="7">
        <v>43692.57228</v>
      </c>
      <c r="L1285" s="4">
        <v>1821.2</v>
      </c>
      <c r="N1285">
        <v>26.67</v>
      </c>
      <c r="Q1285">
        <v>6.1886596724246798</v>
      </c>
      <c r="R1285">
        <v>-2.6868532174545299E-4</v>
      </c>
    </row>
    <row r="1286" spans="1:18" x14ac:dyDescent="0.2">
      <c r="A1286" t="s">
        <v>8</v>
      </c>
      <c r="B1286">
        <v>3</v>
      </c>
      <c r="C1286" t="s">
        <v>2</v>
      </c>
      <c r="D1286" s="2">
        <v>43692</v>
      </c>
      <c r="E1286" s="11">
        <v>227</v>
      </c>
      <c r="F1286" s="3">
        <v>0.57534999999916181</v>
      </c>
      <c r="G1286" s="3">
        <v>0.57882000000245171</v>
      </c>
      <c r="H1286" s="13">
        <f t="shared" si="42"/>
        <v>227.57534999999916</v>
      </c>
      <c r="I1286" s="13">
        <f t="shared" si="43"/>
        <v>227.57882000000245</v>
      </c>
      <c r="J1286" s="13">
        <f t="shared" si="44"/>
        <v>227.57708500000081</v>
      </c>
      <c r="K1286" s="7">
        <v>43692.577084999997</v>
      </c>
      <c r="L1286" s="4">
        <v>1823.7</v>
      </c>
      <c r="M1286">
        <v>1.2</v>
      </c>
      <c r="N1286">
        <v>26.67</v>
      </c>
      <c r="O1286">
        <v>32.700000000000003</v>
      </c>
      <c r="P1286">
        <v>0.39</v>
      </c>
      <c r="Q1286">
        <v>4.1716841180953903</v>
      </c>
      <c r="R1286" s="6">
        <v>-9.5813390736366696E-5</v>
      </c>
    </row>
    <row r="1287" spans="1:18" x14ac:dyDescent="0.2">
      <c r="A1287" t="s">
        <v>8</v>
      </c>
      <c r="B1287">
        <v>3</v>
      </c>
      <c r="C1287" t="s">
        <v>6</v>
      </c>
      <c r="D1287" s="2">
        <v>43692</v>
      </c>
      <c r="E1287" s="11">
        <v>227</v>
      </c>
      <c r="F1287" s="3">
        <v>0.58084000000235392</v>
      </c>
      <c r="G1287" s="3">
        <v>0.58432000000175321</v>
      </c>
      <c r="H1287" s="13">
        <f t="shared" si="42"/>
        <v>227.58084000000235</v>
      </c>
      <c r="I1287" s="13">
        <f t="shared" si="43"/>
        <v>227.58432000000175</v>
      </c>
      <c r="J1287" s="13">
        <f t="shared" si="44"/>
        <v>227.58258000000205</v>
      </c>
      <c r="K1287" s="7">
        <v>43692.582580000002</v>
      </c>
      <c r="L1287" s="4">
        <v>1848.7</v>
      </c>
      <c r="N1287">
        <v>26.67</v>
      </c>
      <c r="Q1287">
        <v>5.5998524025186898</v>
      </c>
      <c r="R1287">
        <v>-4.2682269926316499E-4</v>
      </c>
    </row>
    <row r="1288" spans="1:18" x14ac:dyDescent="0.2">
      <c r="A1288" t="s">
        <v>8</v>
      </c>
      <c r="B1288">
        <v>4</v>
      </c>
      <c r="C1288" t="s">
        <v>2</v>
      </c>
      <c r="D1288" s="2">
        <v>43692</v>
      </c>
      <c r="E1288" s="11">
        <v>227</v>
      </c>
      <c r="F1288" s="3">
        <v>0.58576000000175554</v>
      </c>
      <c r="G1288" s="3">
        <v>0.58924000000115484</v>
      </c>
      <c r="H1288" s="13">
        <f t="shared" si="42"/>
        <v>227.58576000000176</v>
      </c>
      <c r="I1288" s="13">
        <f t="shared" si="43"/>
        <v>227.58924000000115</v>
      </c>
      <c r="J1288" s="13">
        <f t="shared" si="44"/>
        <v>227.58750000000146</v>
      </c>
      <c r="K1288" s="7">
        <v>43692.587500000001</v>
      </c>
      <c r="L1288" s="4">
        <v>1911.2</v>
      </c>
      <c r="M1288">
        <v>1.1000000000000001</v>
      </c>
      <c r="N1288">
        <v>28.33</v>
      </c>
      <c r="O1288">
        <v>81.5</v>
      </c>
      <c r="P1288">
        <v>0.38</v>
      </c>
      <c r="Q1288">
        <v>2.33494635925934</v>
      </c>
      <c r="R1288">
        <v>-1.52417381856878E-4</v>
      </c>
    </row>
    <row r="1289" spans="1:18" x14ac:dyDescent="0.2">
      <c r="A1289" t="s">
        <v>8</v>
      </c>
      <c r="B1289">
        <v>4</v>
      </c>
      <c r="C1289" t="s">
        <v>6</v>
      </c>
      <c r="D1289" s="2">
        <v>43692</v>
      </c>
      <c r="E1289" s="11">
        <v>227</v>
      </c>
      <c r="F1289" s="3">
        <v>0.59109000000171363</v>
      </c>
      <c r="G1289" s="3">
        <v>0.59455999999772757</v>
      </c>
      <c r="H1289" s="13">
        <f t="shared" si="42"/>
        <v>227.59109000000171</v>
      </c>
      <c r="I1289" s="13">
        <f t="shared" si="43"/>
        <v>227.59455999999773</v>
      </c>
      <c r="J1289" s="13">
        <f t="shared" si="44"/>
        <v>227.59282499999972</v>
      </c>
      <c r="K1289" s="7">
        <v>43692.592825</v>
      </c>
      <c r="L1289" s="4">
        <v>1948.7</v>
      </c>
      <c r="N1289">
        <v>28.33</v>
      </c>
      <c r="Q1289">
        <v>3.9559584132213801</v>
      </c>
      <c r="R1289">
        <v>-1.20528750883185E-4</v>
      </c>
    </row>
    <row r="1290" spans="1:18" x14ac:dyDescent="0.2">
      <c r="A1290" t="s">
        <v>8</v>
      </c>
      <c r="B1290">
        <v>5</v>
      </c>
      <c r="C1290" t="s">
        <v>2</v>
      </c>
      <c r="D1290" s="2">
        <v>43692</v>
      </c>
      <c r="E1290" s="11">
        <v>227</v>
      </c>
      <c r="F1290" s="3">
        <v>0.59588999999687076</v>
      </c>
      <c r="G1290" s="3">
        <v>0.5994799999971292</v>
      </c>
      <c r="H1290" s="13">
        <f t="shared" si="42"/>
        <v>227.59588999999687</v>
      </c>
      <c r="I1290" s="13">
        <f t="shared" si="43"/>
        <v>227.59947999999713</v>
      </c>
      <c r="J1290" s="13">
        <f t="shared" si="44"/>
        <v>227.597684999997</v>
      </c>
      <c r="K1290" s="7">
        <v>43692.597685000001</v>
      </c>
      <c r="L1290" s="4">
        <v>538.70000000000005</v>
      </c>
      <c r="M1290">
        <v>2.8</v>
      </c>
      <c r="N1290">
        <v>28.33</v>
      </c>
      <c r="O1290">
        <v>42.9</v>
      </c>
      <c r="P1290">
        <v>0.35</v>
      </c>
      <c r="Q1290">
        <v>2.41602021346992</v>
      </c>
      <c r="R1290">
        <v>-1.2338244015317899E-4</v>
      </c>
    </row>
    <row r="1291" spans="1:18" x14ac:dyDescent="0.2">
      <c r="A1291" t="s">
        <v>8</v>
      </c>
      <c r="B1291">
        <v>5</v>
      </c>
      <c r="C1291" t="s">
        <v>6</v>
      </c>
      <c r="D1291" s="2">
        <v>43692</v>
      </c>
      <c r="E1291" s="11">
        <v>227</v>
      </c>
      <c r="F1291" s="3">
        <v>0.60087000000203261</v>
      </c>
      <c r="G1291" s="3">
        <v>0.60433999999804655</v>
      </c>
      <c r="H1291" s="13">
        <f t="shared" si="42"/>
        <v>227.60087000000203</v>
      </c>
      <c r="I1291" s="13">
        <f t="shared" si="43"/>
        <v>227.60433999999805</v>
      </c>
      <c r="J1291" s="13">
        <f t="shared" si="44"/>
        <v>227.60260500000004</v>
      </c>
      <c r="K1291" s="7">
        <v>43692.602605</v>
      </c>
      <c r="L1291" s="4">
        <v>1866.2</v>
      </c>
      <c r="N1291">
        <v>28.33</v>
      </c>
      <c r="Q1291">
        <v>6.76039775262735</v>
      </c>
      <c r="R1291">
        <v>-6.5087437159395804E-4</v>
      </c>
    </row>
    <row r="1292" spans="1:18" x14ac:dyDescent="0.2">
      <c r="A1292" t="s">
        <v>8</v>
      </c>
      <c r="B1292">
        <v>1</v>
      </c>
      <c r="C1292" t="s">
        <v>2</v>
      </c>
      <c r="D1292" s="2">
        <v>43700</v>
      </c>
      <c r="E1292" s="11">
        <v>235</v>
      </c>
      <c r="F1292" s="3">
        <v>0.48646000000007916</v>
      </c>
      <c r="G1292" s="3">
        <v>0.48993000000336906</v>
      </c>
      <c r="H1292" s="13">
        <f t="shared" si="42"/>
        <v>235.48646000000008</v>
      </c>
      <c r="I1292" s="13">
        <f t="shared" si="43"/>
        <v>235.48993000000337</v>
      </c>
      <c r="J1292" s="13">
        <f t="shared" si="44"/>
        <v>235.48819500000172</v>
      </c>
      <c r="K1292" s="7">
        <v>43700.488194999998</v>
      </c>
      <c r="L1292" s="4">
        <v>788.7</v>
      </c>
      <c r="M1292">
        <v>14.6</v>
      </c>
      <c r="N1292">
        <v>22.22</v>
      </c>
      <c r="O1292">
        <v>43.4</v>
      </c>
      <c r="P1292">
        <v>0.5</v>
      </c>
      <c r="Q1292">
        <v>-0.111409076</v>
      </c>
      <c r="R1292">
        <v>4.2881350950108E-4</v>
      </c>
    </row>
    <row r="1293" spans="1:18" x14ac:dyDescent="0.2">
      <c r="A1293" t="s">
        <v>8</v>
      </c>
      <c r="B1293">
        <v>1</v>
      </c>
      <c r="C1293" t="s">
        <v>6</v>
      </c>
      <c r="D1293" s="2">
        <v>43700</v>
      </c>
      <c r="E1293" s="11">
        <v>235</v>
      </c>
      <c r="F1293" s="3">
        <v>0.49369000000297092</v>
      </c>
      <c r="G1293" s="3">
        <v>0.49715999999898486</v>
      </c>
      <c r="H1293" s="13">
        <f t="shared" si="42"/>
        <v>235.49369000000297</v>
      </c>
      <c r="I1293" s="13">
        <f t="shared" si="43"/>
        <v>235.49715999999898</v>
      </c>
      <c r="J1293" s="13">
        <f t="shared" si="44"/>
        <v>235.49542500000098</v>
      </c>
      <c r="K1293" s="7">
        <v>43700.495425000001</v>
      </c>
      <c r="L1293" s="4">
        <v>888.7</v>
      </c>
      <c r="N1293">
        <v>22.22</v>
      </c>
      <c r="Q1293">
        <v>-0.97834560100000001</v>
      </c>
      <c r="R1293">
        <v>1.4994774385167599E-4</v>
      </c>
    </row>
    <row r="1294" spans="1:18" x14ac:dyDescent="0.2">
      <c r="A1294" t="s">
        <v>8</v>
      </c>
      <c r="B1294">
        <v>2</v>
      </c>
      <c r="C1294" t="s">
        <v>2</v>
      </c>
      <c r="D1294" s="2">
        <v>43700</v>
      </c>
      <c r="E1294" s="11">
        <v>235</v>
      </c>
      <c r="F1294" s="3">
        <v>0.50052000000141561</v>
      </c>
      <c r="G1294" s="3">
        <v>0.50398999999742955</v>
      </c>
      <c r="H1294" s="13">
        <f t="shared" si="42"/>
        <v>235.50052000000142</v>
      </c>
      <c r="I1294" s="13">
        <f t="shared" si="43"/>
        <v>235.50398999999743</v>
      </c>
      <c r="J1294" s="13">
        <f t="shared" si="44"/>
        <v>235.50225499999942</v>
      </c>
      <c r="K1294" s="7">
        <v>43700.502254999999</v>
      </c>
      <c r="L1294" s="4">
        <v>686.2</v>
      </c>
      <c r="M1294">
        <v>13.3</v>
      </c>
      <c r="N1294">
        <v>22.22</v>
      </c>
      <c r="O1294">
        <v>38.4</v>
      </c>
      <c r="P1294">
        <v>0.48</v>
      </c>
      <c r="Q1294">
        <v>7.5286896000000006E-2</v>
      </c>
      <c r="R1294">
        <v>9.6219336450787004E-4</v>
      </c>
    </row>
    <row r="1295" spans="1:18" x14ac:dyDescent="0.2">
      <c r="A1295" t="s">
        <v>8</v>
      </c>
      <c r="B1295">
        <v>2</v>
      </c>
      <c r="C1295" t="s">
        <v>6</v>
      </c>
      <c r="D1295" s="2">
        <v>43700</v>
      </c>
      <c r="E1295" s="11">
        <v>235</v>
      </c>
      <c r="F1295" s="3">
        <v>0.50764000000344822</v>
      </c>
      <c r="G1295" s="3">
        <v>0.51110999999946216</v>
      </c>
      <c r="H1295" s="13">
        <f t="shared" si="42"/>
        <v>235.50764000000345</v>
      </c>
      <c r="I1295" s="13">
        <f t="shared" si="43"/>
        <v>235.51110999999946</v>
      </c>
      <c r="J1295" s="13">
        <f t="shared" si="44"/>
        <v>235.50937500000146</v>
      </c>
      <c r="K1295" s="7">
        <v>43700.509375000001</v>
      </c>
      <c r="L1295" s="4">
        <v>2051.1999999999998</v>
      </c>
      <c r="N1295">
        <v>22.22</v>
      </c>
      <c r="Q1295">
        <v>3.81523294</v>
      </c>
      <c r="R1295">
        <v>5.0158681762127498E-4</v>
      </c>
    </row>
    <row r="1296" spans="1:18" x14ac:dyDescent="0.2">
      <c r="A1296" t="s">
        <v>8</v>
      </c>
      <c r="B1296">
        <v>3</v>
      </c>
      <c r="C1296" t="s">
        <v>2</v>
      </c>
      <c r="D1296" s="2">
        <v>43700</v>
      </c>
      <c r="E1296" s="11">
        <v>235</v>
      </c>
      <c r="F1296" s="3">
        <v>0.51376999999774853</v>
      </c>
      <c r="G1296" s="3">
        <v>0.51724999999714782</v>
      </c>
      <c r="H1296" s="13">
        <f t="shared" si="42"/>
        <v>235.51376999999775</v>
      </c>
      <c r="I1296" s="13">
        <f t="shared" si="43"/>
        <v>235.51724999999715</v>
      </c>
      <c r="J1296" s="13">
        <f t="shared" si="44"/>
        <v>235.51550999999745</v>
      </c>
      <c r="K1296" s="7">
        <v>43700.515509999997</v>
      </c>
      <c r="L1296" s="4">
        <v>1011.2</v>
      </c>
      <c r="M1296">
        <v>14.6</v>
      </c>
      <c r="N1296">
        <v>22.22</v>
      </c>
      <c r="O1296">
        <v>35.799999999999997</v>
      </c>
      <c r="P1296">
        <v>0.49</v>
      </c>
      <c r="Q1296">
        <v>-0.17508558599999999</v>
      </c>
      <c r="R1296" s="6">
        <v>4.18031386743386E-5</v>
      </c>
    </row>
    <row r="1297" spans="1:18" x14ac:dyDescent="0.2">
      <c r="A1297" t="s">
        <v>8</v>
      </c>
      <c r="B1297">
        <v>3</v>
      </c>
      <c r="C1297" t="s">
        <v>6</v>
      </c>
      <c r="D1297" s="2">
        <v>43700</v>
      </c>
      <c r="E1297" s="11">
        <v>235</v>
      </c>
      <c r="F1297" s="3">
        <v>0.52008000000205357</v>
      </c>
      <c r="G1297" s="3">
        <v>0.52354999999806751</v>
      </c>
      <c r="H1297" s="13">
        <f t="shared" si="42"/>
        <v>235.52008000000205</v>
      </c>
      <c r="I1297" s="13">
        <f t="shared" si="43"/>
        <v>235.52354999999807</v>
      </c>
      <c r="J1297" s="13">
        <f t="shared" si="44"/>
        <v>235.52181500000006</v>
      </c>
      <c r="K1297" s="7">
        <v>43700.521815</v>
      </c>
      <c r="L1297" s="4">
        <v>1578.7</v>
      </c>
      <c r="N1297">
        <v>22.22</v>
      </c>
      <c r="Q1297">
        <v>4.5741186760000003</v>
      </c>
      <c r="R1297">
        <v>-1.91390519805307E-4</v>
      </c>
    </row>
    <row r="1298" spans="1:18" x14ac:dyDescent="0.2">
      <c r="A1298" t="s">
        <v>8</v>
      </c>
      <c r="B1298">
        <v>4</v>
      </c>
      <c r="C1298" t="s">
        <v>2</v>
      </c>
      <c r="D1298" s="2">
        <v>43700</v>
      </c>
      <c r="E1298" s="11">
        <v>235</v>
      </c>
      <c r="F1298" s="3">
        <v>0.52575999999680789</v>
      </c>
      <c r="G1298" s="3">
        <v>0.52924000000348315</v>
      </c>
      <c r="H1298" s="13">
        <f t="shared" si="42"/>
        <v>235.52575999999681</v>
      </c>
      <c r="I1298" s="13">
        <f t="shared" si="43"/>
        <v>235.52924000000348</v>
      </c>
      <c r="J1298" s="13">
        <f t="shared" si="44"/>
        <v>235.52750000000015</v>
      </c>
      <c r="K1298" s="7">
        <v>43700.527499999997</v>
      </c>
      <c r="L1298" s="4">
        <v>1331.2</v>
      </c>
      <c r="M1298">
        <v>11.5</v>
      </c>
      <c r="N1298">
        <v>22.22</v>
      </c>
      <c r="O1298">
        <v>40.9</v>
      </c>
      <c r="P1298">
        <v>0.43</v>
      </c>
      <c r="Q1298">
        <v>-8.3892190000000005E-2</v>
      </c>
      <c r="R1298">
        <v>-3.6564228025739998E-4</v>
      </c>
    </row>
    <row r="1299" spans="1:18" x14ac:dyDescent="0.2">
      <c r="A1299" t="s">
        <v>8</v>
      </c>
      <c r="B1299">
        <v>4</v>
      </c>
      <c r="C1299" t="s">
        <v>6</v>
      </c>
      <c r="D1299" s="2">
        <v>43700</v>
      </c>
      <c r="E1299" s="11">
        <v>235</v>
      </c>
      <c r="F1299" s="3">
        <v>0.5347200000032899</v>
      </c>
      <c r="G1299" s="3">
        <v>0.53818999999930384</v>
      </c>
      <c r="H1299" s="13">
        <f t="shared" si="42"/>
        <v>235.53472000000329</v>
      </c>
      <c r="I1299" s="13">
        <f t="shared" si="43"/>
        <v>235.5381899999993</v>
      </c>
      <c r="J1299" s="13">
        <f t="shared" si="44"/>
        <v>235.5364550000013</v>
      </c>
      <c r="K1299" s="7">
        <v>43700.536455000001</v>
      </c>
      <c r="L1299" s="4">
        <v>1346.2</v>
      </c>
      <c r="N1299">
        <v>22.22</v>
      </c>
      <c r="Q1299">
        <v>1.5512651099999999</v>
      </c>
      <c r="R1299">
        <v>-1.3632166037301399E-4</v>
      </c>
    </row>
    <row r="1300" spans="1:18" x14ac:dyDescent="0.2">
      <c r="A1300" t="s">
        <v>8</v>
      </c>
      <c r="B1300">
        <v>5</v>
      </c>
      <c r="C1300" t="s">
        <v>2</v>
      </c>
      <c r="D1300" s="2">
        <v>43700</v>
      </c>
      <c r="E1300" s="11">
        <v>235</v>
      </c>
      <c r="F1300" s="3">
        <v>0.5404500000004191</v>
      </c>
      <c r="G1300" s="3">
        <v>0.54391999999643303</v>
      </c>
      <c r="H1300" s="13">
        <f t="shared" si="42"/>
        <v>235.54045000000042</v>
      </c>
      <c r="I1300" s="13">
        <f t="shared" si="43"/>
        <v>235.54391999999643</v>
      </c>
      <c r="J1300" s="13">
        <f t="shared" si="44"/>
        <v>235.54218499999843</v>
      </c>
      <c r="K1300" s="7">
        <v>43700.542184999998</v>
      </c>
      <c r="L1300" s="4">
        <v>1656.2</v>
      </c>
      <c r="M1300">
        <v>15.1</v>
      </c>
      <c r="N1300">
        <v>23.89</v>
      </c>
      <c r="O1300">
        <v>46.4</v>
      </c>
      <c r="P1300">
        <v>0.46</v>
      </c>
      <c r="Q1300">
        <v>-0.25069873100000001</v>
      </c>
      <c r="R1300">
        <v>-2.05770071701371E-4</v>
      </c>
    </row>
    <row r="1301" spans="1:18" x14ac:dyDescent="0.2">
      <c r="A1301" t="s">
        <v>8</v>
      </c>
      <c r="B1301">
        <v>5</v>
      </c>
      <c r="C1301" t="s">
        <v>6</v>
      </c>
      <c r="D1301" s="2">
        <v>43700</v>
      </c>
      <c r="E1301" s="11">
        <v>235</v>
      </c>
      <c r="F1301" s="3">
        <v>0.54675999999744818</v>
      </c>
      <c r="G1301" s="3">
        <v>0.55023000000073807</v>
      </c>
      <c r="H1301" s="13">
        <f t="shared" si="42"/>
        <v>235.54675999999745</v>
      </c>
      <c r="I1301" s="13">
        <f t="shared" si="43"/>
        <v>235.55023000000074</v>
      </c>
      <c r="J1301" s="13">
        <f t="shared" si="44"/>
        <v>235.54849499999909</v>
      </c>
      <c r="K1301" s="7">
        <v>43700.548494999995</v>
      </c>
      <c r="L1301" s="4">
        <v>1996.2</v>
      </c>
      <c r="N1301">
        <v>23.89</v>
      </c>
      <c r="Q1301">
        <v>4.450835198</v>
      </c>
      <c r="R1301" s="6">
        <v>-2.7759091339955699E-6</v>
      </c>
    </row>
    <row r="1302" spans="1:18" x14ac:dyDescent="0.2">
      <c r="A1302" t="s">
        <v>8</v>
      </c>
      <c r="B1302">
        <v>1</v>
      </c>
      <c r="C1302" t="s">
        <v>2</v>
      </c>
      <c r="D1302" s="2">
        <v>43700</v>
      </c>
      <c r="E1302" s="11">
        <v>235</v>
      </c>
      <c r="F1302" s="3">
        <v>0.60874000000330852</v>
      </c>
      <c r="G1302" s="3">
        <v>0.61220999999932246</v>
      </c>
      <c r="H1302" s="13">
        <f t="shared" si="42"/>
        <v>235.60874000000331</v>
      </c>
      <c r="I1302" s="13">
        <f t="shared" si="43"/>
        <v>235.61220999999932</v>
      </c>
      <c r="J1302" s="13">
        <f t="shared" si="44"/>
        <v>235.61047500000132</v>
      </c>
      <c r="K1302" s="7">
        <v>43700.610475000001</v>
      </c>
      <c r="L1302" s="4">
        <v>1051.2</v>
      </c>
      <c r="M1302">
        <v>13.6</v>
      </c>
      <c r="N1302">
        <v>23.89</v>
      </c>
      <c r="O1302">
        <v>44.9</v>
      </c>
      <c r="P1302">
        <v>0.48</v>
      </c>
      <c r="Q1302">
        <v>-1.71365680774979</v>
      </c>
      <c r="R1302">
        <v>-1.21083811365423E-4</v>
      </c>
    </row>
    <row r="1303" spans="1:18" x14ac:dyDescent="0.2">
      <c r="A1303" t="s">
        <v>8</v>
      </c>
      <c r="B1303">
        <v>1</v>
      </c>
      <c r="C1303" t="s">
        <v>6</v>
      </c>
      <c r="D1303" s="2">
        <v>43700</v>
      </c>
      <c r="E1303" s="11">
        <v>235</v>
      </c>
      <c r="F1303" s="3">
        <v>0.61563000000023749</v>
      </c>
      <c r="G1303" s="3">
        <v>0.61910000000352738</v>
      </c>
      <c r="H1303" s="13">
        <f t="shared" si="42"/>
        <v>235.61563000000024</v>
      </c>
      <c r="I1303" s="13">
        <f t="shared" si="43"/>
        <v>235.61910000000353</v>
      </c>
      <c r="J1303" s="13">
        <f t="shared" si="44"/>
        <v>235.61736500000188</v>
      </c>
      <c r="K1303" s="7">
        <v>43700.617364999998</v>
      </c>
      <c r="L1303" s="4">
        <v>881.2</v>
      </c>
      <c r="N1303">
        <v>23.89</v>
      </c>
      <c r="Q1303">
        <v>5.5398564391614196</v>
      </c>
      <c r="R1303">
        <v>-2.6375187891625602E-4</v>
      </c>
    </row>
    <row r="1304" spans="1:18" x14ac:dyDescent="0.2">
      <c r="A1304" t="s">
        <v>8</v>
      </c>
      <c r="B1304">
        <v>2</v>
      </c>
      <c r="C1304" t="s">
        <v>2</v>
      </c>
      <c r="D1304" s="2">
        <v>43700</v>
      </c>
      <c r="E1304" s="11">
        <v>235</v>
      </c>
      <c r="F1304" s="3">
        <v>0.62193000000115717</v>
      </c>
      <c r="G1304" s="3">
        <v>0.62541000000055647</v>
      </c>
      <c r="H1304" s="13">
        <f t="shared" si="42"/>
        <v>235.62193000000116</v>
      </c>
      <c r="I1304" s="13">
        <f t="shared" si="43"/>
        <v>235.62541000000056</v>
      </c>
      <c r="J1304" s="13">
        <f t="shared" si="44"/>
        <v>235.62367000000086</v>
      </c>
      <c r="K1304" s="7">
        <v>43700.623670000001</v>
      </c>
      <c r="L1304" s="4">
        <v>976.2</v>
      </c>
      <c r="M1304">
        <v>18.5</v>
      </c>
      <c r="N1304">
        <v>23.89</v>
      </c>
      <c r="O1304">
        <v>37.799999999999997</v>
      </c>
      <c r="P1304">
        <v>0.46</v>
      </c>
      <c r="Q1304">
        <v>1.20289376654345</v>
      </c>
      <c r="R1304">
        <v>-6.3988686264065801E-4</v>
      </c>
    </row>
    <row r="1305" spans="1:18" x14ac:dyDescent="0.2">
      <c r="A1305" t="s">
        <v>8</v>
      </c>
      <c r="B1305">
        <v>2</v>
      </c>
      <c r="C1305" t="s">
        <v>6</v>
      </c>
      <c r="D1305" s="2">
        <v>43700</v>
      </c>
      <c r="E1305" s="11">
        <v>235</v>
      </c>
      <c r="F1305" s="3">
        <v>0.62917000000015832</v>
      </c>
      <c r="G1305" s="3">
        <v>0.63264000000344822</v>
      </c>
      <c r="H1305" s="13">
        <f t="shared" si="42"/>
        <v>235.62917000000016</v>
      </c>
      <c r="I1305" s="13">
        <f t="shared" si="43"/>
        <v>235.63264000000345</v>
      </c>
      <c r="J1305" s="13">
        <f t="shared" si="44"/>
        <v>235.6309050000018</v>
      </c>
      <c r="K1305" s="7">
        <v>43700.630904999998</v>
      </c>
      <c r="L1305" s="4">
        <v>718.7</v>
      </c>
      <c r="N1305">
        <v>23.89</v>
      </c>
      <c r="Q1305">
        <v>3.2164759102509599</v>
      </c>
      <c r="R1305" s="6">
        <v>9.0938972533536805E-5</v>
      </c>
    </row>
    <row r="1306" spans="1:18" x14ac:dyDescent="0.2">
      <c r="A1306" t="s">
        <v>8</v>
      </c>
      <c r="B1306">
        <v>3</v>
      </c>
      <c r="C1306" t="s">
        <v>2</v>
      </c>
      <c r="D1306" s="2">
        <v>43700</v>
      </c>
      <c r="E1306" s="11">
        <v>235</v>
      </c>
      <c r="F1306" s="3">
        <v>0.63506999999663094</v>
      </c>
      <c r="G1306" s="3">
        <v>0.63853999999992084</v>
      </c>
      <c r="H1306" s="13">
        <f t="shared" si="42"/>
        <v>235.63506999999663</v>
      </c>
      <c r="I1306" s="13">
        <f t="shared" si="43"/>
        <v>235.63853999999992</v>
      </c>
      <c r="J1306" s="13">
        <f t="shared" si="44"/>
        <v>235.63680499999828</v>
      </c>
      <c r="K1306" s="7">
        <v>43700.636805000002</v>
      </c>
      <c r="L1306" s="4">
        <v>598.70000000000005</v>
      </c>
      <c r="M1306">
        <v>10.5</v>
      </c>
      <c r="N1306">
        <v>23.89</v>
      </c>
      <c r="O1306">
        <v>34.4</v>
      </c>
      <c r="P1306">
        <v>0.47</v>
      </c>
      <c r="Q1306">
        <v>0.41136712391437702</v>
      </c>
      <c r="R1306">
        <v>4.3794235322870998E-4</v>
      </c>
    </row>
    <row r="1307" spans="1:18" x14ac:dyDescent="0.2">
      <c r="A1307" t="s">
        <v>8</v>
      </c>
      <c r="B1307">
        <v>3</v>
      </c>
      <c r="C1307" t="s">
        <v>6</v>
      </c>
      <c r="D1307" s="2">
        <v>43700</v>
      </c>
      <c r="E1307" s="11">
        <v>235</v>
      </c>
      <c r="F1307" s="3">
        <v>0.64201000000321073</v>
      </c>
      <c r="G1307" s="3">
        <v>0.64549000000261003</v>
      </c>
      <c r="H1307" s="13">
        <f t="shared" si="42"/>
        <v>235.64201000000321</v>
      </c>
      <c r="I1307" s="13">
        <f t="shared" si="43"/>
        <v>235.64549000000261</v>
      </c>
      <c r="J1307" s="13">
        <f t="shared" si="44"/>
        <v>235.64375000000291</v>
      </c>
      <c r="K1307" s="7">
        <v>43700.643750000003</v>
      </c>
      <c r="L1307" s="4">
        <v>576.20000000000005</v>
      </c>
      <c r="N1307">
        <v>23.89</v>
      </c>
      <c r="Q1307">
        <v>3.54790078861808</v>
      </c>
      <c r="R1307">
        <v>5.1045449521822898E-4</v>
      </c>
    </row>
    <row r="1308" spans="1:18" x14ac:dyDescent="0.2">
      <c r="A1308" t="s">
        <v>8</v>
      </c>
      <c r="B1308">
        <v>4</v>
      </c>
      <c r="C1308" t="s">
        <v>2</v>
      </c>
      <c r="D1308" s="2">
        <v>43700</v>
      </c>
      <c r="E1308" s="11">
        <v>235</v>
      </c>
      <c r="F1308" s="3">
        <v>0.64925000000221189</v>
      </c>
      <c r="G1308" s="3">
        <v>0.65271999999822583</v>
      </c>
      <c r="H1308" s="13">
        <f t="shared" si="42"/>
        <v>235.64925000000221</v>
      </c>
      <c r="I1308" s="13">
        <f t="shared" si="43"/>
        <v>235.65271999999823</v>
      </c>
      <c r="J1308" s="13">
        <f t="shared" si="44"/>
        <v>235.65098500000022</v>
      </c>
      <c r="K1308" s="7">
        <v>43700.650985</v>
      </c>
      <c r="L1308" s="4">
        <v>566.20000000000005</v>
      </c>
      <c r="M1308">
        <v>16.5</v>
      </c>
      <c r="N1308">
        <v>23.89</v>
      </c>
      <c r="O1308">
        <v>40.4</v>
      </c>
      <c r="P1308">
        <v>0.44</v>
      </c>
      <c r="Q1308">
        <v>0.61642404803412598</v>
      </c>
      <c r="R1308">
        <v>-3.6261404652440199E-4</v>
      </c>
    </row>
    <row r="1309" spans="1:18" x14ac:dyDescent="0.2">
      <c r="A1309" t="s">
        <v>8</v>
      </c>
      <c r="B1309">
        <v>4</v>
      </c>
      <c r="C1309" t="s">
        <v>6</v>
      </c>
      <c r="D1309" s="2">
        <v>43700</v>
      </c>
      <c r="E1309" s="11">
        <v>235</v>
      </c>
      <c r="F1309" s="3">
        <v>0.65688999999838416</v>
      </c>
      <c r="G1309" s="3">
        <v>0.66036000000167405</v>
      </c>
      <c r="H1309" s="13">
        <f t="shared" si="42"/>
        <v>235.65688999999838</v>
      </c>
      <c r="I1309" s="13">
        <f t="shared" si="43"/>
        <v>235.66036000000167</v>
      </c>
      <c r="J1309" s="13">
        <f t="shared" si="44"/>
        <v>235.65862500000003</v>
      </c>
      <c r="K1309" s="7">
        <v>43700.658624999996</v>
      </c>
      <c r="L1309" s="4">
        <v>578.70000000000005</v>
      </c>
      <c r="N1309">
        <v>23.89</v>
      </c>
      <c r="Q1309">
        <v>3.4333545999384301</v>
      </c>
      <c r="R1309">
        <v>9.6458540303815895E-4</v>
      </c>
    </row>
    <row r="1310" spans="1:18" x14ac:dyDescent="0.2">
      <c r="A1310" t="s">
        <v>8</v>
      </c>
      <c r="B1310">
        <v>5</v>
      </c>
      <c r="C1310" t="s">
        <v>2</v>
      </c>
      <c r="D1310" s="2">
        <v>43700</v>
      </c>
      <c r="E1310" s="11">
        <v>235</v>
      </c>
      <c r="F1310" s="3">
        <v>0.66318999999930384</v>
      </c>
      <c r="G1310" s="3">
        <v>0.66666999999870313</v>
      </c>
      <c r="H1310" s="13">
        <f t="shared" si="42"/>
        <v>235.6631899999993</v>
      </c>
      <c r="I1310" s="13">
        <f t="shared" si="43"/>
        <v>235.6666699999987</v>
      </c>
      <c r="J1310" s="13">
        <f t="shared" si="44"/>
        <v>235.664929999999</v>
      </c>
      <c r="K1310" s="7">
        <v>43700.664929999999</v>
      </c>
      <c r="L1310" s="4">
        <v>523.70000000000005</v>
      </c>
      <c r="M1310">
        <v>11.7</v>
      </c>
      <c r="N1310">
        <v>23.33</v>
      </c>
      <c r="O1310">
        <v>47</v>
      </c>
      <c r="P1310">
        <v>0.42</v>
      </c>
      <c r="Q1310">
        <v>1.2176163791589301</v>
      </c>
      <c r="R1310">
        <v>2.10778338312939E-4</v>
      </c>
    </row>
    <row r="1311" spans="1:18" x14ac:dyDescent="0.2">
      <c r="A1311" t="s">
        <v>8</v>
      </c>
      <c r="B1311">
        <v>5</v>
      </c>
      <c r="C1311" t="s">
        <v>6</v>
      </c>
      <c r="D1311" s="2">
        <v>43700</v>
      </c>
      <c r="E1311" s="11">
        <v>235</v>
      </c>
      <c r="F1311" s="3">
        <v>0.6810200000036275</v>
      </c>
      <c r="G1311" s="3">
        <v>0.68448999999964144</v>
      </c>
      <c r="H1311" s="13">
        <f t="shared" si="42"/>
        <v>235.68102000000363</v>
      </c>
      <c r="I1311" s="13">
        <f t="shared" si="43"/>
        <v>235.68448999999964</v>
      </c>
      <c r="J1311" s="13">
        <f t="shared" si="44"/>
        <v>235.68275500000163</v>
      </c>
      <c r="K1311" s="7">
        <v>43700.682755000002</v>
      </c>
      <c r="L1311" s="4">
        <v>408.7</v>
      </c>
      <c r="N1311">
        <v>23.33</v>
      </c>
      <c r="Q1311">
        <v>3.6097550644084202</v>
      </c>
      <c r="R1311">
        <v>-1.9703953989921101E-4</v>
      </c>
    </row>
    <row r="1312" spans="1:18" x14ac:dyDescent="0.2">
      <c r="A1312" t="s">
        <v>8</v>
      </c>
      <c r="B1312">
        <v>1</v>
      </c>
      <c r="C1312" t="s">
        <v>2</v>
      </c>
      <c r="D1312" s="2">
        <v>43706</v>
      </c>
      <c r="E1312" s="11">
        <v>241</v>
      </c>
      <c r="F1312" s="3">
        <v>0.47159000000101514</v>
      </c>
      <c r="G1312" s="3">
        <v>0.47505999999702908</v>
      </c>
      <c r="H1312" s="13">
        <f t="shared" si="42"/>
        <v>241.47159000000102</v>
      </c>
      <c r="I1312" s="13">
        <f t="shared" si="43"/>
        <v>241.47505999999703</v>
      </c>
      <c r="J1312" s="13">
        <f t="shared" si="44"/>
        <v>241.47332499999902</v>
      </c>
      <c r="K1312" s="7">
        <v>43706.473324999999</v>
      </c>
      <c r="L1312" s="4">
        <v>1678.7</v>
      </c>
      <c r="M1312">
        <v>5.5</v>
      </c>
      <c r="N1312">
        <v>23.33</v>
      </c>
      <c r="O1312">
        <v>47.6</v>
      </c>
      <c r="P1312">
        <v>0.57999999999999996</v>
      </c>
      <c r="Q1312">
        <v>-7.5360478273297797</v>
      </c>
      <c r="R1312">
        <v>-4.2712406142430398E-4</v>
      </c>
    </row>
    <row r="1313" spans="1:18" x14ac:dyDescent="0.2">
      <c r="A1313" t="s">
        <v>8</v>
      </c>
      <c r="B1313">
        <v>1</v>
      </c>
      <c r="C1313" t="s">
        <v>6</v>
      </c>
      <c r="D1313" s="2">
        <v>43706</v>
      </c>
      <c r="E1313" s="11">
        <v>241</v>
      </c>
      <c r="F1313" s="3">
        <v>0.47667999999976018</v>
      </c>
      <c r="G1313" s="3">
        <v>0.48015000000305008</v>
      </c>
      <c r="H1313" s="13">
        <f t="shared" si="42"/>
        <v>241.47667999999976</v>
      </c>
      <c r="I1313" s="13">
        <f t="shared" si="43"/>
        <v>241.48015000000305</v>
      </c>
      <c r="J1313" s="13">
        <f t="shared" si="44"/>
        <v>241.47841500000141</v>
      </c>
      <c r="K1313" s="7">
        <v>43706.478415000005</v>
      </c>
      <c r="L1313" s="4">
        <v>1461.2</v>
      </c>
      <c r="N1313">
        <v>23.33</v>
      </c>
      <c r="Q1313">
        <v>12.931025177002001</v>
      </c>
      <c r="R1313">
        <v>-4.6517702167341799E-4</v>
      </c>
    </row>
    <row r="1314" spans="1:18" x14ac:dyDescent="0.2">
      <c r="A1314" t="s">
        <v>8</v>
      </c>
      <c r="B1314">
        <v>2</v>
      </c>
      <c r="C1314" t="s">
        <v>2</v>
      </c>
      <c r="D1314" s="2">
        <v>43706</v>
      </c>
      <c r="E1314" s="11">
        <v>241</v>
      </c>
      <c r="F1314" s="3">
        <v>0.48367999999754829</v>
      </c>
      <c r="G1314" s="3">
        <v>0.48715000000083819</v>
      </c>
      <c r="H1314" s="13">
        <f t="shared" si="42"/>
        <v>241.48367999999755</v>
      </c>
      <c r="I1314" s="13">
        <f t="shared" si="43"/>
        <v>241.48715000000084</v>
      </c>
      <c r="J1314" s="13">
        <f t="shared" si="44"/>
        <v>241.48541499999919</v>
      </c>
      <c r="K1314" s="7">
        <v>43706.485415000003</v>
      </c>
      <c r="L1314" s="4">
        <v>1741.2</v>
      </c>
      <c r="M1314">
        <v>15.5</v>
      </c>
      <c r="N1314">
        <v>23.33</v>
      </c>
      <c r="O1314">
        <v>36.9</v>
      </c>
      <c r="P1314">
        <v>0.57999999999999996</v>
      </c>
      <c r="Q1314">
        <v>3.2933090542768699</v>
      </c>
      <c r="R1314">
        <v>-4.1837952712349798E-4</v>
      </c>
    </row>
    <row r="1315" spans="1:18" x14ac:dyDescent="0.2">
      <c r="A1315" t="s">
        <v>8</v>
      </c>
      <c r="B1315">
        <v>2</v>
      </c>
      <c r="C1315" t="s">
        <v>6</v>
      </c>
      <c r="D1315" s="2">
        <v>43706</v>
      </c>
      <c r="E1315" s="11">
        <v>241</v>
      </c>
      <c r="F1315" s="3">
        <v>0.4891799999968498</v>
      </c>
      <c r="G1315" s="3">
        <v>0.4926500000001397</v>
      </c>
      <c r="H1315" s="13">
        <f t="shared" si="42"/>
        <v>241.48917999999685</v>
      </c>
      <c r="I1315" s="13">
        <f t="shared" si="43"/>
        <v>241.49265000000014</v>
      </c>
      <c r="J1315" s="13">
        <f t="shared" si="44"/>
        <v>241.49091499999849</v>
      </c>
      <c r="K1315" s="7">
        <v>43706.490915000002</v>
      </c>
      <c r="L1315" s="4">
        <v>1716.2</v>
      </c>
      <c r="N1315">
        <v>23.33</v>
      </c>
      <c r="Q1315">
        <v>9.6799018544768707</v>
      </c>
      <c r="R1315">
        <v>-3.0301042515268599E-4</v>
      </c>
    </row>
    <row r="1316" spans="1:18" x14ac:dyDescent="0.2">
      <c r="A1316" t="s">
        <v>8</v>
      </c>
      <c r="B1316">
        <v>3</v>
      </c>
      <c r="C1316" t="s">
        <v>2</v>
      </c>
      <c r="D1316" s="2">
        <v>43706</v>
      </c>
      <c r="E1316" s="11">
        <v>241</v>
      </c>
      <c r="F1316" s="3">
        <v>0.49496999999973923</v>
      </c>
      <c r="G1316" s="3">
        <v>0.49844000000302913</v>
      </c>
      <c r="H1316" s="13">
        <f t="shared" si="42"/>
        <v>241.49496999999974</v>
      </c>
      <c r="I1316" s="13">
        <f t="shared" si="43"/>
        <v>241.49844000000303</v>
      </c>
      <c r="J1316" s="13">
        <f t="shared" si="44"/>
        <v>241.49670500000138</v>
      </c>
      <c r="K1316" s="7">
        <v>43706.496704999998</v>
      </c>
      <c r="L1316" s="4">
        <v>518.70000000000005</v>
      </c>
      <c r="M1316">
        <v>5.7</v>
      </c>
      <c r="N1316">
        <v>23.33</v>
      </c>
      <c r="O1316">
        <v>37.9</v>
      </c>
      <c r="P1316">
        <v>0.62</v>
      </c>
      <c r="Q1316">
        <v>0.58430611162646495</v>
      </c>
      <c r="R1316">
        <v>-4.5233500369852998E-4</v>
      </c>
    </row>
    <row r="1317" spans="1:18" x14ac:dyDescent="0.2">
      <c r="A1317" t="s">
        <v>8</v>
      </c>
      <c r="B1317">
        <v>3</v>
      </c>
      <c r="C1317" t="s">
        <v>6</v>
      </c>
      <c r="D1317" s="2">
        <v>43706</v>
      </c>
      <c r="E1317" s="11">
        <v>241</v>
      </c>
      <c r="F1317" s="3">
        <v>0.50110000000131549</v>
      </c>
      <c r="G1317" s="3">
        <v>0.50456999999732943</v>
      </c>
      <c r="H1317" s="13">
        <f t="shared" si="42"/>
        <v>241.50110000000132</v>
      </c>
      <c r="I1317" s="13">
        <f t="shared" si="43"/>
        <v>241.50456999999733</v>
      </c>
      <c r="J1317" s="13">
        <f t="shared" si="44"/>
        <v>241.50283499999932</v>
      </c>
      <c r="K1317" s="7">
        <v>43706.502834999999</v>
      </c>
      <c r="L1317" s="4">
        <v>1746.2</v>
      </c>
      <c r="N1317">
        <v>23.33</v>
      </c>
      <c r="Q1317">
        <v>13.908045896708501</v>
      </c>
      <c r="R1317">
        <v>-6.07784401282404E-4</v>
      </c>
    </row>
    <row r="1318" spans="1:18" x14ac:dyDescent="0.2">
      <c r="A1318" t="s">
        <v>8</v>
      </c>
      <c r="B1318">
        <v>4</v>
      </c>
      <c r="C1318" t="s">
        <v>2</v>
      </c>
      <c r="D1318" s="2">
        <v>43706</v>
      </c>
      <c r="E1318" s="11">
        <v>241</v>
      </c>
      <c r="F1318" s="3">
        <v>0.50742000000172993</v>
      </c>
      <c r="G1318" s="3">
        <v>0.51088999999774387</v>
      </c>
      <c r="H1318" s="13">
        <f t="shared" si="42"/>
        <v>241.50742000000173</v>
      </c>
      <c r="I1318" s="13">
        <f t="shared" si="43"/>
        <v>241.51088999999774</v>
      </c>
      <c r="J1318" s="13">
        <f t="shared" si="44"/>
        <v>241.50915499999974</v>
      </c>
      <c r="K1318" s="7">
        <v>43706.509155</v>
      </c>
      <c r="L1318" s="4">
        <v>1303.7</v>
      </c>
      <c r="M1318">
        <v>4.3</v>
      </c>
      <c r="N1318">
        <v>24.44</v>
      </c>
      <c r="O1318">
        <v>47.6</v>
      </c>
      <c r="P1318">
        <v>0.52</v>
      </c>
      <c r="Q1318">
        <v>-1.97856419276106</v>
      </c>
      <c r="R1318">
        <v>-3.6406840430530798E-4</v>
      </c>
    </row>
    <row r="1319" spans="1:18" x14ac:dyDescent="0.2">
      <c r="A1319" t="s">
        <v>8</v>
      </c>
      <c r="B1319">
        <v>4</v>
      </c>
      <c r="C1319" t="s">
        <v>6</v>
      </c>
      <c r="D1319" s="2">
        <v>43706</v>
      </c>
      <c r="E1319" s="11">
        <v>241</v>
      </c>
      <c r="F1319" s="3">
        <v>0.51365999999688938</v>
      </c>
      <c r="G1319" s="3">
        <v>0.51713000000017928</v>
      </c>
      <c r="H1319" s="13">
        <f t="shared" si="42"/>
        <v>241.51365999999689</v>
      </c>
      <c r="I1319" s="13">
        <f t="shared" si="43"/>
        <v>241.51713000000018</v>
      </c>
      <c r="J1319" s="13">
        <f t="shared" si="44"/>
        <v>241.51539499999853</v>
      </c>
      <c r="K1319" s="7">
        <v>43706.515394999995</v>
      </c>
      <c r="L1319" s="4">
        <v>1713.7</v>
      </c>
      <c r="N1319">
        <v>24.44</v>
      </c>
      <c r="Q1319">
        <v>9.8628529460383501</v>
      </c>
      <c r="R1319">
        <v>-6.6325251771226295E-4</v>
      </c>
    </row>
    <row r="1320" spans="1:18" x14ac:dyDescent="0.2">
      <c r="A1320" t="s">
        <v>8</v>
      </c>
      <c r="B1320">
        <v>5</v>
      </c>
      <c r="C1320" t="s">
        <v>2</v>
      </c>
      <c r="D1320" s="2">
        <v>43706</v>
      </c>
      <c r="E1320" s="11">
        <v>241</v>
      </c>
      <c r="F1320" s="3">
        <v>0.51909999999770662</v>
      </c>
      <c r="G1320" s="3">
        <v>0.52257000000099652</v>
      </c>
      <c r="H1320" s="13">
        <f t="shared" si="42"/>
        <v>241.51909999999771</v>
      </c>
      <c r="I1320" s="13">
        <f t="shared" si="43"/>
        <v>241.522570000001</v>
      </c>
      <c r="J1320" s="13">
        <f t="shared" si="44"/>
        <v>241.52083499999935</v>
      </c>
      <c r="K1320" s="7">
        <v>43706.520835000003</v>
      </c>
      <c r="L1320" s="4">
        <v>346.2</v>
      </c>
      <c r="M1320">
        <v>8.9</v>
      </c>
      <c r="N1320">
        <v>25</v>
      </c>
      <c r="O1320">
        <v>39.299999999999997</v>
      </c>
      <c r="P1320">
        <v>0.54</v>
      </c>
      <c r="Q1320">
        <v>0.129305888548992</v>
      </c>
      <c r="R1320">
        <v>-2.8591415037205402E-4</v>
      </c>
    </row>
    <row r="1321" spans="1:18" x14ac:dyDescent="0.2">
      <c r="A1321" t="s">
        <v>8</v>
      </c>
      <c r="B1321">
        <v>5</v>
      </c>
      <c r="C1321" t="s">
        <v>6</v>
      </c>
      <c r="D1321" s="2">
        <v>43706</v>
      </c>
      <c r="E1321" s="11">
        <v>241</v>
      </c>
      <c r="F1321" s="3">
        <v>0.52442000000155531</v>
      </c>
      <c r="G1321" s="3">
        <v>0.52788999999756925</v>
      </c>
      <c r="H1321" s="13">
        <f t="shared" si="42"/>
        <v>241.52442000000156</v>
      </c>
      <c r="I1321" s="13">
        <f t="shared" si="43"/>
        <v>241.52788999999757</v>
      </c>
      <c r="J1321" s="13">
        <f t="shared" si="44"/>
        <v>241.52615499999956</v>
      </c>
      <c r="K1321" s="7">
        <v>43706.526155</v>
      </c>
      <c r="L1321" s="4">
        <v>443.7</v>
      </c>
      <c r="N1321">
        <v>25</v>
      </c>
      <c r="Q1321">
        <v>11.6745362091548</v>
      </c>
      <c r="R1321">
        <v>-5.9244725874858404E-4</v>
      </c>
    </row>
    <row r="1322" spans="1:18" x14ac:dyDescent="0.2">
      <c r="A1322" t="s">
        <v>8</v>
      </c>
      <c r="B1322">
        <v>1</v>
      </c>
      <c r="C1322" t="s">
        <v>2</v>
      </c>
      <c r="D1322" s="2">
        <v>43706</v>
      </c>
      <c r="E1322" s="11">
        <v>241</v>
      </c>
      <c r="F1322" s="3">
        <v>0.62950999999884516</v>
      </c>
      <c r="G1322" s="3">
        <v>0.63298999999824446</v>
      </c>
      <c r="H1322" s="13">
        <f t="shared" si="42"/>
        <v>241.62950999999885</v>
      </c>
      <c r="I1322" s="13">
        <f t="shared" si="43"/>
        <v>241.63298999999824</v>
      </c>
      <c r="J1322" s="13">
        <f t="shared" si="44"/>
        <v>241.63124999999854</v>
      </c>
      <c r="K1322" s="7">
        <v>43706.631249999999</v>
      </c>
      <c r="L1322" s="4">
        <v>678.7</v>
      </c>
      <c r="M1322">
        <v>5.5</v>
      </c>
      <c r="N1322">
        <v>26.11</v>
      </c>
      <c r="O1322">
        <v>36.700000000000003</v>
      </c>
      <c r="P1322">
        <v>0.55000000000000004</v>
      </c>
      <c r="Q1322">
        <v>-5.0268121707880304</v>
      </c>
      <c r="R1322">
        <v>-4.4061684960678099E-4</v>
      </c>
    </row>
    <row r="1323" spans="1:18" x14ac:dyDescent="0.2">
      <c r="A1323" t="s">
        <v>8</v>
      </c>
      <c r="B1323">
        <v>1</v>
      </c>
      <c r="C1323" t="s">
        <v>6</v>
      </c>
      <c r="D1323" s="2">
        <v>43706</v>
      </c>
      <c r="E1323" s="11">
        <v>241</v>
      </c>
      <c r="F1323" s="3">
        <v>0.63575999999738997</v>
      </c>
      <c r="G1323" s="3">
        <v>0.63923999999678927</v>
      </c>
      <c r="H1323" s="13">
        <f t="shared" si="42"/>
        <v>241.63575999999739</v>
      </c>
      <c r="I1323" s="13">
        <f t="shared" si="43"/>
        <v>241.63923999999679</v>
      </c>
      <c r="J1323" s="13">
        <f t="shared" si="44"/>
        <v>241.63749999999709</v>
      </c>
      <c r="K1323" s="7">
        <v>43706.637499999997</v>
      </c>
      <c r="L1323" s="4">
        <v>626.20000000000005</v>
      </c>
      <c r="N1323">
        <v>26.11</v>
      </c>
      <c r="Q1323">
        <v>11.965161604742001</v>
      </c>
      <c r="R1323">
        <v>-7.1981146636003902E-4</v>
      </c>
    </row>
    <row r="1324" spans="1:18" x14ac:dyDescent="0.2">
      <c r="A1324" t="s">
        <v>8</v>
      </c>
      <c r="B1324">
        <v>2</v>
      </c>
      <c r="C1324" t="s">
        <v>2</v>
      </c>
      <c r="D1324" s="2">
        <v>43706</v>
      </c>
      <c r="E1324" s="11">
        <v>241</v>
      </c>
      <c r="F1324" s="3">
        <v>0.64183999999659136</v>
      </c>
      <c r="G1324" s="3">
        <v>0.64530999999988126</v>
      </c>
      <c r="H1324" s="13">
        <f t="shared" si="42"/>
        <v>241.64183999999659</v>
      </c>
      <c r="I1324" s="13">
        <f t="shared" si="43"/>
        <v>241.64530999999988</v>
      </c>
      <c r="J1324" s="13">
        <f t="shared" si="44"/>
        <v>241.64357499999824</v>
      </c>
      <c r="K1324" s="7">
        <v>43706.643574999995</v>
      </c>
      <c r="L1324" s="4">
        <v>533.70000000000005</v>
      </c>
      <c r="M1324">
        <v>8.9</v>
      </c>
      <c r="N1324">
        <v>26.11</v>
      </c>
      <c r="O1324">
        <v>35.9</v>
      </c>
      <c r="P1324">
        <v>0.54</v>
      </c>
      <c r="Q1324">
        <v>3.2304795264114499</v>
      </c>
      <c r="R1324">
        <v>-2.8462437378275001E-4</v>
      </c>
    </row>
    <row r="1325" spans="1:18" x14ac:dyDescent="0.2">
      <c r="A1325" t="s">
        <v>8</v>
      </c>
      <c r="B1325">
        <v>2</v>
      </c>
      <c r="C1325" t="s">
        <v>6</v>
      </c>
      <c r="D1325" s="2">
        <v>43706</v>
      </c>
      <c r="E1325" s="11">
        <v>241</v>
      </c>
      <c r="F1325" s="3">
        <v>0.64936000000307104</v>
      </c>
      <c r="G1325" s="3">
        <v>0.65284000000247033</v>
      </c>
      <c r="H1325" s="13">
        <f t="shared" si="42"/>
        <v>241.64936000000307</v>
      </c>
      <c r="I1325" s="13">
        <f t="shared" si="43"/>
        <v>241.65284000000247</v>
      </c>
      <c r="J1325" s="13">
        <f t="shared" si="44"/>
        <v>241.65110000000277</v>
      </c>
      <c r="K1325" s="7">
        <v>43706.651100000003</v>
      </c>
      <c r="L1325" s="4">
        <v>536.20000000000005</v>
      </c>
      <c r="N1325">
        <v>26.11</v>
      </c>
      <c r="Q1325">
        <v>9.6210888994858195</v>
      </c>
      <c r="R1325">
        <v>-5.0463321280908903E-4</v>
      </c>
    </row>
    <row r="1326" spans="1:18" x14ac:dyDescent="0.2">
      <c r="A1326" t="s">
        <v>8</v>
      </c>
      <c r="B1326">
        <v>3</v>
      </c>
      <c r="C1326" t="s">
        <v>2</v>
      </c>
      <c r="D1326" s="2">
        <v>43706</v>
      </c>
      <c r="E1326" s="11">
        <v>241</v>
      </c>
      <c r="F1326" s="3">
        <v>0.65497999999934109</v>
      </c>
      <c r="G1326" s="3">
        <v>0.65845000000263099</v>
      </c>
      <c r="H1326" s="13">
        <f t="shared" si="42"/>
        <v>241.65497999999934</v>
      </c>
      <c r="I1326" s="13">
        <f t="shared" si="43"/>
        <v>241.65845000000263</v>
      </c>
      <c r="J1326" s="13">
        <f t="shared" si="44"/>
        <v>241.65671500000099</v>
      </c>
      <c r="K1326" s="7">
        <v>43706.656715000005</v>
      </c>
      <c r="L1326" s="4">
        <v>606.20000000000005</v>
      </c>
      <c r="M1326">
        <v>4.7</v>
      </c>
      <c r="N1326">
        <v>26.11</v>
      </c>
      <c r="O1326">
        <v>39.799999999999997</v>
      </c>
      <c r="P1326">
        <v>0.57999999999999996</v>
      </c>
      <c r="Q1326">
        <v>2.5153078541555298</v>
      </c>
      <c r="R1326">
        <v>-2.54631720079999E-4</v>
      </c>
    </row>
    <row r="1327" spans="1:18" x14ac:dyDescent="0.2">
      <c r="A1327" t="s">
        <v>8</v>
      </c>
      <c r="B1327">
        <v>3</v>
      </c>
      <c r="C1327" t="s">
        <v>6</v>
      </c>
      <c r="D1327" s="2">
        <v>43706</v>
      </c>
      <c r="E1327" s="11">
        <v>241</v>
      </c>
      <c r="F1327" s="3">
        <v>0.66075999999884516</v>
      </c>
      <c r="G1327" s="3">
        <v>0.66423999999824446</v>
      </c>
      <c r="H1327" s="13">
        <f t="shared" si="42"/>
        <v>241.66075999999885</v>
      </c>
      <c r="I1327" s="13">
        <f t="shared" si="43"/>
        <v>241.66423999999824</v>
      </c>
      <c r="J1327" s="13">
        <f t="shared" si="44"/>
        <v>241.66249999999854</v>
      </c>
      <c r="K1327" s="7">
        <v>43706.662499999999</v>
      </c>
      <c r="L1327" s="4">
        <v>461.2</v>
      </c>
      <c r="N1327">
        <v>26.11</v>
      </c>
      <c r="Q1327">
        <v>10.588630860983599</v>
      </c>
      <c r="R1327">
        <v>-4.1052092849175402E-4</v>
      </c>
    </row>
    <row r="1328" spans="1:18" x14ac:dyDescent="0.2">
      <c r="A1328" t="s">
        <v>8</v>
      </c>
      <c r="B1328">
        <v>4</v>
      </c>
      <c r="C1328" t="s">
        <v>2</v>
      </c>
      <c r="D1328" s="2">
        <v>43706</v>
      </c>
      <c r="E1328" s="11">
        <v>241</v>
      </c>
      <c r="F1328" s="3">
        <v>0.66614999999728752</v>
      </c>
      <c r="G1328" s="3">
        <v>0.66962000000057742</v>
      </c>
      <c r="H1328" s="13">
        <f t="shared" si="42"/>
        <v>241.66614999999729</v>
      </c>
      <c r="I1328" s="13">
        <f t="shared" si="43"/>
        <v>241.66962000000058</v>
      </c>
      <c r="J1328" s="13">
        <f t="shared" si="44"/>
        <v>241.66788499999893</v>
      </c>
      <c r="K1328" s="7">
        <v>43706.667885000003</v>
      </c>
      <c r="L1328" s="4">
        <v>363.7</v>
      </c>
      <c r="M1328">
        <v>11.5</v>
      </c>
      <c r="N1328">
        <v>26.11</v>
      </c>
      <c r="O1328">
        <v>43.4</v>
      </c>
      <c r="P1328">
        <v>0.52</v>
      </c>
      <c r="Q1328">
        <v>0.82909630438341397</v>
      </c>
      <c r="R1328">
        <v>-5.1245417289403803E-4</v>
      </c>
    </row>
    <row r="1329" spans="1:18" x14ac:dyDescent="0.2">
      <c r="A1329" t="s">
        <v>8</v>
      </c>
      <c r="B1329">
        <v>4</v>
      </c>
      <c r="C1329" t="s">
        <v>6</v>
      </c>
      <c r="D1329" s="2">
        <v>43706</v>
      </c>
      <c r="E1329" s="11">
        <v>241</v>
      </c>
      <c r="F1329" s="3">
        <v>0.6720500000010361</v>
      </c>
      <c r="G1329" s="3">
        <v>0.67551999999705004</v>
      </c>
      <c r="H1329" s="13">
        <f t="shared" si="42"/>
        <v>241.67205000000104</v>
      </c>
      <c r="I1329" s="13">
        <f t="shared" si="43"/>
        <v>241.67551999999705</v>
      </c>
      <c r="J1329" s="13">
        <f t="shared" si="44"/>
        <v>241.67378499999904</v>
      </c>
      <c r="K1329" s="7">
        <v>43706.673784999999</v>
      </c>
      <c r="L1329" s="4">
        <v>443.7</v>
      </c>
      <c r="N1329">
        <v>26.11</v>
      </c>
      <c r="Q1329">
        <v>7.4645352490878096</v>
      </c>
      <c r="R1329">
        <v>-4.3035612637606202E-4</v>
      </c>
    </row>
    <row r="1330" spans="1:18" x14ac:dyDescent="0.2">
      <c r="A1330" t="s">
        <v>8</v>
      </c>
      <c r="B1330">
        <v>5</v>
      </c>
      <c r="C1330" t="s">
        <v>2</v>
      </c>
      <c r="D1330" s="2">
        <v>43706</v>
      </c>
      <c r="E1330" s="11">
        <v>241</v>
      </c>
      <c r="F1330" s="3">
        <v>0.67788999999902444</v>
      </c>
      <c r="G1330" s="3">
        <v>0.68136999999842374</v>
      </c>
      <c r="H1330" s="13">
        <f t="shared" si="42"/>
        <v>241.67788999999902</v>
      </c>
      <c r="I1330" s="13">
        <f t="shared" si="43"/>
        <v>241.68136999999842</v>
      </c>
      <c r="J1330" s="13">
        <f t="shared" si="44"/>
        <v>241.67962999999872</v>
      </c>
      <c r="K1330" s="7">
        <v>43706.679629999999</v>
      </c>
      <c r="L1330" s="4">
        <v>791.2</v>
      </c>
      <c r="M1330">
        <v>10.7</v>
      </c>
      <c r="N1330">
        <v>26.11</v>
      </c>
      <c r="O1330">
        <v>36</v>
      </c>
      <c r="P1330">
        <v>0.57999999999999996</v>
      </c>
      <c r="Q1330">
        <v>3.2581613262617699</v>
      </c>
      <c r="R1330">
        <v>-3.8643844504514301E-4</v>
      </c>
    </row>
    <row r="1331" spans="1:18" x14ac:dyDescent="0.2">
      <c r="A1331" t="s">
        <v>8</v>
      </c>
      <c r="B1331">
        <v>5</v>
      </c>
      <c r="C1331" t="s">
        <v>6</v>
      </c>
      <c r="D1331" s="2">
        <v>43706</v>
      </c>
      <c r="E1331" s="11">
        <v>241</v>
      </c>
      <c r="F1331" s="3">
        <v>0.68390999999974156</v>
      </c>
      <c r="G1331" s="3">
        <v>0.68738000000303145</v>
      </c>
      <c r="H1331" s="13">
        <f t="shared" si="42"/>
        <v>241.68390999999974</v>
      </c>
      <c r="I1331" s="13">
        <f t="shared" si="43"/>
        <v>241.68738000000303</v>
      </c>
      <c r="J1331" s="13">
        <f t="shared" si="44"/>
        <v>241.68564500000139</v>
      </c>
      <c r="K1331" s="7">
        <v>43706.685645000005</v>
      </c>
      <c r="L1331" s="4">
        <v>1151.2</v>
      </c>
      <c r="N1331">
        <v>26.11</v>
      </c>
      <c r="Q1331">
        <v>10.478655527611799</v>
      </c>
      <c r="R1331">
        <v>-5.9800198557199904E-4</v>
      </c>
    </row>
    <row r="1332" spans="1:18" x14ac:dyDescent="0.2">
      <c r="A1332" t="s">
        <v>8</v>
      </c>
      <c r="B1332">
        <v>1</v>
      </c>
      <c r="C1332" t="s">
        <v>2</v>
      </c>
      <c r="D1332" s="2">
        <v>43719</v>
      </c>
      <c r="E1332" s="11">
        <v>254</v>
      </c>
      <c r="F1332" s="3">
        <v>0.39843999999720836</v>
      </c>
      <c r="G1332" s="3">
        <v>0.40191000000049826</v>
      </c>
      <c r="H1332" s="13">
        <f t="shared" si="42"/>
        <v>254.39843999999721</v>
      </c>
      <c r="I1332" s="13">
        <f t="shared" si="43"/>
        <v>254.4019100000005</v>
      </c>
      <c r="J1332" s="13">
        <f t="shared" si="44"/>
        <v>254.40017499999885</v>
      </c>
      <c r="K1332" s="7">
        <v>43719.400175000002</v>
      </c>
      <c r="L1332" s="4">
        <v>956.2</v>
      </c>
      <c r="M1332">
        <v>7.9</v>
      </c>
      <c r="N1332">
        <v>21.67</v>
      </c>
      <c r="O1332">
        <v>49.9</v>
      </c>
      <c r="P1332">
        <v>0.61</v>
      </c>
      <c r="Q1332">
        <v>-9.3433032491200708E-3</v>
      </c>
      <c r="R1332">
        <v>-1.19051465482395E-3</v>
      </c>
    </row>
    <row r="1333" spans="1:18" x14ac:dyDescent="0.2">
      <c r="A1333" t="s">
        <v>8</v>
      </c>
      <c r="B1333">
        <v>1</v>
      </c>
      <c r="C1333" t="s">
        <v>6</v>
      </c>
      <c r="D1333" s="2">
        <v>43719</v>
      </c>
      <c r="E1333" s="11">
        <v>254</v>
      </c>
      <c r="F1333" s="3">
        <v>0.4053799999965122</v>
      </c>
      <c r="G1333" s="3">
        <v>0.40884999999980209</v>
      </c>
      <c r="H1333" s="13">
        <f t="shared" si="42"/>
        <v>254.40537999999651</v>
      </c>
      <c r="I1333" s="13">
        <f t="shared" si="43"/>
        <v>254.4088499999998</v>
      </c>
      <c r="J1333" s="13">
        <f t="shared" si="44"/>
        <v>254.40711499999816</v>
      </c>
      <c r="K1333" s="7">
        <v>43719.407114999995</v>
      </c>
      <c r="L1333" s="4">
        <v>951.2</v>
      </c>
      <c r="N1333">
        <v>21.67</v>
      </c>
      <c r="Q1333">
        <v>8.6733900336604997</v>
      </c>
      <c r="R1333">
        <v>-7.71257380550553E-4</v>
      </c>
    </row>
    <row r="1334" spans="1:18" x14ac:dyDescent="0.2">
      <c r="A1334" t="s">
        <v>8</v>
      </c>
      <c r="B1334">
        <v>2</v>
      </c>
      <c r="C1334" t="s">
        <v>2</v>
      </c>
      <c r="D1334" s="2">
        <v>43719</v>
      </c>
      <c r="E1334" s="11">
        <v>254</v>
      </c>
      <c r="F1334" s="3">
        <v>0.41238000000157626</v>
      </c>
      <c r="G1334" s="3">
        <v>0.41586000000097556</v>
      </c>
      <c r="H1334" s="13">
        <f t="shared" si="42"/>
        <v>254.41238000000158</v>
      </c>
      <c r="I1334" s="13">
        <f t="shared" si="43"/>
        <v>254.41586000000098</v>
      </c>
      <c r="J1334" s="13">
        <f t="shared" si="44"/>
        <v>254.41412000000128</v>
      </c>
      <c r="K1334" s="7">
        <v>43719.414120000001</v>
      </c>
      <c r="L1334" s="4">
        <v>1053.7</v>
      </c>
      <c r="M1334">
        <v>11.1</v>
      </c>
      <c r="N1334">
        <v>21.67</v>
      </c>
      <c r="O1334">
        <v>42.3</v>
      </c>
      <c r="P1334">
        <v>0.63</v>
      </c>
      <c r="Q1334">
        <v>-3.3954773497148798</v>
      </c>
      <c r="R1334">
        <v>-1.98826622013111E-4</v>
      </c>
    </row>
    <row r="1335" spans="1:18" x14ac:dyDescent="0.2">
      <c r="A1335" t="s">
        <v>8</v>
      </c>
      <c r="B1335">
        <v>2</v>
      </c>
      <c r="C1335" t="s">
        <v>6</v>
      </c>
      <c r="D1335" s="2">
        <v>43719</v>
      </c>
      <c r="E1335" s="11">
        <v>254</v>
      </c>
      <c r="F1335" s="3">
        <v>0.41874999999708962</v>
      </c>
      <c r="G1335" s="3">
        <v>0.42222000000037951</v>
      </c>
      <c r="H1335" s="13">
        <f t="shared" si="42"/>
        <v>254.41874999999709</v>
      </c>
      <c r="I1335" s="13">
        <f t="shared" si="43"/>
        <v>254.42222000000038</v>
      </c>
      <c r="J1335" s="13">
        <f t="shared" si="44"/>
        <v>254.42048499999873</v>
      </c>
      <c r="K1335" s="7">
        <v>43719.420484999995</v>
      </c>
      <c r="L1335" s="4">
        <v>1126.2</v>
      </c>
      <c r="N1335">
        <v>21.67</v>
      </c>
      <c r="Q1335">
        <v>5.8053355108589404</v>
      </c>
      <c r="R1335">
        <v>-3.8509572060111801E-4</v>
      </c>
    </row>
    <row r="1336" spans="1:18" x14ac:dyDescent="0.2">
      <c r="A1336" t="s">
        <v>8</v>
      </c>
      <c r="B1336">
        <v>3</v>
      </c>
      <c r="C1336" t="s">
        <v>2</v>
      </c>
      <c r="D1336" s="2">
        <v>43719</v>
      </c>
      <c r="E1336" s="11">
        <v>254</v>
      </c>
      <c r="F1336" s="3">
        <v>0.42534999999770662</v>
      </c>
      <c r="G1336" s="3">
        <v>0.42882000000099652</v>
      </c>
      <c r="H1336" s="13">
        <f t="shared" si="42"/>
        <v>254.42534999999771</v>
      </c>
      <c r="I1336" s="13">
        <f t="shared" si="43"/>
        <v>254.428820000001</v>
      </c>
      <c r="J1336" s="13">
        <f t="shared" si="44"/>
        <v>254.42708499999935</v>
      </c>
      <c r="K1336" s="7">
        <v>43719.427085000003</v>
      </c>
      <c r="L1336" s="4">
        <v>1146.2</v>
      </c>
      <c r="M1336">
        <v>7.1</v>
      </c>
      <c r="N1336">
        <v>23.33</v>
      </c>
      <c r="O1336">
        <v>31.6</v>
      </c>
      <c r="P1336">
        <v>0.66</v>
      </c>
      <c r="Q1336">
        <v>-4.6101273811160102</v>
      </c>
      <c r="R1336">
        <v>-4.03577038048371E-4</v>
      </c>
    </row>
    <row r="1337" spans="1:18" x14ac:dyDescent="0.2">
      <c r="A1337" t="s">
        <v>8</v>
      </c>
      <c r="B1337">
        <v>3</v>
      </c>
      <c r="C1337" t="s">
        <v>6</v>
      </c>
      <c r="D1337" s="2">
        <v>43719</v>
      </c>
      <c r="E1337" s="11">
        <v>254</v>
      </c>
      <c r="F1337" s="3">
        <v>0.43188999999983935</v>
      </c>
      <c r="G1337" s="3">
        <v>0.43536000000312924</v>
      </c>
      <c r="H1337" s="13">
        <f t="shared" si="42"/>
        <v>254.43188999999984</v>
      </c>
      <c r="I1337" s="13">
        <f t="shared" si="43"/>
        <v>254.43536000000313</v>
      </c>
      <c r="J1337" s="13">
        <f t="shared" si="44"/>
        <v>254.43362500000148</v>
      </c>
      <c r="K1337" s="7">
        <v>43719.433625000005</v>
      </c>
      <c r="L1337" s="4">
        <v>1181.2</v>
      </c>
      <c r="N1337">
        <v>23.33</v>
      </c>
      <c r="Q1337">
        <v>6.9895228246154701</v>
      </c>
      <c r="R1337">
        <v>-2.9047299044766898E-4</v>
      </c>
    </row>
    <row r="1338" spans="1:18" x14ac:dyDescent="0.2">
      <c r="A1338" t="s">
        <v>8</v>
      </c>
      <c r="B1338">
        <v>4</v>
      </c>
      <c r="C1338" t="s">
        <v>2</v>
      </c>
      <c r="D1338" s="2">
        <v>43719</v>
      </c>
      <c r="E1338" s="11">
        <v>254</v>
      </c>
      <c r="F1338" s="3">
        <v>0.43843000000197208</v>
      </c>
      <c r="G1338" s="3">
        <v>0.44189999999798601</v>
      </c>
      <c r="H1338" s="13">
        <f t="shared" si="42"/>
        <v>254.43843000000197</v>
      </c>
      <c r="I1338" s="13">
        <f t="shared" si="43"/>
        <v>254.44189999999799</v>
      </c>
      <c r="J1338" s="13">
        <f t="shared" si="44"/>
        <v>254.44016499999998</v>
      </c>
      <c r="K1338" s="7">
        <v>43719.440165</v>
      </c>
      <c r="L1338" s="4">
        <v>1256.2</v>
      </c>
      <c r="M1338">
        <v>7</v>
      </c>
      <c r="N1338">
        <v>23.33</v>
      </c>
      <c r="O1338">
        <v>41.5</v>
      </c>
      <c r="P1338">
        <v>0.63</v>
      </c>
      <c r="Q1338">
        <v>-5.40493806005568</v>
      </c>
      <c r="R1338">
        <v>-3.4782489656522202E-4</v>
      </c>
    </row>
    <row r="1339" spans="1:18" x14ac:dyDescent="0.2">
      <c r="A1339" t="s">
        <v>8</v>
      </c>
      <c r="B1339">
        <v>4</v>
      </c>
      <c r="C1339" t="s">
        <v>6</v>
      </c>
      <c r="D1339" s="2">
        <v>43719</v>
      </c>
      <c r="E1339" s="11">
        <v>254</v>
      </c>
      <c r="F1339" s="3">
        <v>0.44537000000127591</v>
      </c>
      <c r="G1339" s="3">
        <v>0.44883999999728985</v>
      </c>
      <c r="H1339" s="13">
        <f t="shared" ref="H1339:H1402" si="45">E1339+F1339</f>
        <v>254.44537000000128</v>
      </c>
      <c r="I1339" s="13">
        <f t="shared" ref="I1339:I1402" si="46">E1339+G1339</f>
        <v>254.44883999999729</v>
      </c>
      <c r="J1339" s="13">
        <f t="shared" ref="J1339:J1402" si="47">AVERAGE(H1339:I1339)</f>
        <v>254.44710499999928</v>
      </c>
      <c r="K1339" s="7">
        <v>43719.447104999999</v>
      </c>
      <c r="L1339" s="4">
        <v>1321.2</v>
      </c>
      <c r="N1339">
        <v>23.33</v>
      </c>
      <c r="Q1339">
        <v>7.356406046159</v>
      </c>
      <c r="R1339">
        <v>-6.0519184285911598E-4</v>
      </c>
    </row>
    <row r="1340" spans="1:18" x14ac:dyDescent="0.2">
      <c r="A1340" t="s">
        <v>8</v>
      </c>
      <c r="B1340">
        <v>5</v>
      </c>
      <c r="C1340" t="s">
        <v>2</v>
      </c>
      <c r="D1340" s="2">
        <v>43719</v>
      </c>
      <c r="E1340" s="11">
        <v>254</v>
      </c>
      <c r="F1340" s="3">
        <v>0.45109999999840511</v>
      </c>
      <c r="G1340" s="3">
        <v>0.45457000000169501</v>
      </c>
      <c r="H1340" s="13">
        <f t="shared" si="45"/>
        <v>254.45109999999841</v>
      </c>
      <c r="I1340" s="13">
        <f t="shared" si="46"/>
        <v>254.4545700000017</v>
      </c>
      <c r="J1340" s="13">
        <f t="shared" si="47"/>
        <v>254.45283500000005</v>
      </c>
      <c r="K1340" s="7">
        <v>43719.452835000004</v>
      </c>
      <c r="L1340" s="4">
        <v>1316.2</v>
      </c>
      <c r="M1340">
        <v>8.1999999999999993</v>
      </c>
      <c r="N1340">
        <v>25</v>
      </c>
      <c r="O1340">
        <v>36.200000000000003</v>
      </c>
      <c r="P1340">
        <v>0.65</v>
      </c>
      <c r="Q1340">
        <v>-2.3218217530160099</v>
      </c>
      <c r="R1340">
        <v>-2.1374106933827401E-4</v>
      </c>
    </row>
    <row r="1341" spans="1:18" x14ac:dyDescent="0.2">
      <c r="A1341" t="s">
        <v>8</v>
      </c>
      <c r="B1341">
        <v>5</v>
      </c>
      <c r="C1341" t="s">
        <v>6</v>
      </c>
      <c r="D1341" s="2">
        <v>43719</v>
      </c>
      <c r="E1341" s="11">
        <v>254</v>
      </c>
      <c r="F1341" s="3">
        <v>0.45816000000195345</v>
      </c>
      <c r="G1341" s="3">
        <v>0.46162999999796739</v>
      </c>
      <c r="H1341" s="13">
        <f t="shared" si="45"/>
        <v>254.45816000000195</v>
      </c>
      <c r="I1341" s="13">
        <f t="shared" si="46"/>
        <v>254.46162999999797</v>
      </c>
      <c r="J1341" s="13">
        <f t="shared" si="47"/>
        <v>254.45989499999996</v>
      </c>
      <c r="K1341" s="7">
        <v>43719.459895</v>
      </c>
      <c r="L1341" s="4">
        <v>1558.7</v>
      </c>
      <c r="N1341">
        <v>25</v>
      </c>
      <c r="Q1341">
        <v>7.7841006962168704</v>
      </c>
      <c r="R1341">
        <v>-1.3532880236947001E-4</v>
      </c>
    </row>
    <row r="1342" spans="1:18" x14ac:dyDescent="0.2">
      <c r="A1342" t="s">
        <v>8</v>
      </c>
      <c r="B1342">
        <v>1</v>
      </c>
      <c r="C1342" t="s">
        <v>2</v>
      </c>
      <c r="D1342" s="2">
        <v>43719</v>
      </c>
      <c r="E1342" s="11">
        <v>254</v>
      </c>
      <c r="F1342" s="3">
        <v>0.48322000000189291</v>
      </c>
      <c r="G1342" s="3">
        <v>0.48668999999790685</v>
      </c>
      <c r="H1342" s="13">
        <f t="shared" si="45"/>
        <v>254.48322000000189</v>
      </c>
      <c r="I1342" s="13">
        <f t="shared" si="46"/>
        <v>254.48668999999791</v>
      </c>
      <c r="J1342" s="13">
        <f t="shared" si="47"/>
        <v>254.4849549999999</v>
      </c>
      <c r="K1342" s="7">
        <v>43719.484955</v>
      </c>
      <c r="L1342" s="4">
        <v>1498.7</v>
      </c>
      <c r="M1342">
        <v>7.6</v>
      </c>
      <c r="N1342">
        <v>25.56</v>
      </c>
      <c r="O1342">
        <v>42</v>
      </c>
      <c r="P1342">
        <v>0.61</v>
      </c>
      <c r="Q1342">
        <v>-5.8638971173702501</v>
      </c>
      <c r="R1342">
        <v>-6.2884530937065903E-4</v>
      </c>
    </row>
    <row r="1343" spans="1:18" x14ac:dyDescent="0.2">
      <c r="A1343" t="s">
        <v>8</v>
      </c>
      <c r="B1343">
        <v>1</v>
      </c>
      <c r="C1343" t="s">
        <v>6</v>
      </c>
      <c r="D1343" s="2">
        <v>43719</v>
      </c>
      <c r="E1343" s="11">
        <v>254</v>
      </c>
      <c r="F1343" s="3">
        <v>0.48928999999770895</v>
      </c>
      <c r="G1343" s="3">
        <v>0.49276999999710824</v>
      </c>
      <c r="H1343" s="13">
        <f t="shared" si="45"/>
        <v>254.48928999999771</v>
      </c>
      <c r="I1343" s="13">
        <f t="shared" si="46"/>
        <v>254.49276999999711</v>
      </c>
      <c r="J1343" s="13">
        <f t="shared" si="47"/>
        <v>254.49102999999741</v>
      </c>
      <c r="K1343" s="7">
        <v>43719.491029999997</v>
      </c>
      <c r="L1343" s="4">
        <v>1483.7</v>
      </c>
      <c r="N1343">
        <v>25.56</v>
      </c>
      <c r="Q1343">
        <v>10.4330322416378</v>
      </c>
      <c r="R1343">
        <v>-3.3456606621245399E-4</v>
      </c>
    </row>
    <row r="1344" spans="1:18" x14ac:dyDescent="0.2">
      <c r="A1344" t="s">
        <v>8</v>
      </c>
      <c r="B1344">
        <v>2</v>
      </c>
      <c r="C1344" t="s">
        <v>2</v>
      </c>
      <c r="D1344" s="2">
        <v>43719</v>
      </c>
      <c r="E1344" s="11">
        <v>254</v>
      </c>
      <c r="F1344" s="3">
        <v>0.49485000000277068</v>
      </c>
      <c r="G1344" s="3">
        <v>0.49831999999878462</v>
      </c>
      <c r="H1344" s="13">
        <f t="shared" si="45"/>
        <v>254.49485000000277</v>
      </c>
      <c r="I1344" s="13">
        <f t="shared" si="46"/>
        <v>254.49831999999878</v>
      </c>
      <c r="J1344" s="13">
        <f t="shared" si="47"/>
        <v>254.49658500000078</v>
      </c>
      <c r="K1344" s="7">
        <v>43719.496585000001</v>
      </c>
      <c r="L1344" s="4">
        <v>1463.7</v>
      </c>
      <c r="M1344">
        <v>12.7</v>
      </c>
      <c r="N1344">
        <v>25.56</v>
      </c>
      <c r="O1344">
        <v>46.8</v>
      </c>
      <c r="P1344">
        <v>0.6</v>
      </c>
      <c r="Q1344">
        <v>-1.00662126849911</v>
      </c>
      <c r="R1344">
        <v>-2.8157401153881801E-4</v>
      </c>
    </row>
    <row r="1345" spans="1:18" x14ac:dyDescent="0.2">
      <c r="A1345" t="s">
        <v>8</v>
      </c>
      <c r="B1345">
        <v>2</v>
      </c>
      <c r="C1345" t="s">
        <v>6</v>
      </c>
      <c r="D1345" s="2">
        <v>43719</v>
      </c>
      <c r="E1345" s="11">
        <v>254</v>
      </c>
      <c r="F1345" s="3">
        <v>0.50248999999894295</v>
      </c>
      <c r="G1345" s="3">
        <v>0.50596000000223285</v>
      </c>
      <c r="H1345" s="13">
        <f t="shared" si="45"/>
        <v>254.50248999999894</v>
      </c>
      <c r="I1345" s="13">
        <f t="shared" si="46"/>
        <v>254.50596000000223</v>
      </c>
      <c r="J1345" s="13">
        <f t="shared" si="47"/>
        <v>254.50422500000059</v>
      </c>
      <c r="K1345" s="7">
        <v>43719.504224999997</v>
      </c>
      <c r="L1345" s="4">
        <v>1458.7</v>
      </c>
      <c r="N1345">
        <v>25.56</v>
      </c>
      <c r="Q1345">
        <v>7.4513640112929904</v>
      </c>
      <c r="R1345">
        <v>-2.8410130199256299E-4</v>
      </c>
    </row>
    <row r="1346" spans="1:18" x14ac:dyDescent="0.2">
      <c r="A1346" t="s">
        <v>8</v>
      </c>
      <c r="B1346">
        <v>3</v>
      </c>
      <c r="C1346" t="s">
        <v>2</v>
      </c>
      <c r="D1346" s="2">
        <v>43719</v>
      </c>
      <c r="E1346" s="11">
        <v>254</v>
      </c>
      <c r="F1346" s="3">
        <v>0.50931999999738764</v>
      </c>
      <c r="G1346" s="3">
        <v>0.51279000000067754</v>
      </c>
      <c r="H1346" s="13">
        <f t="shared" si="45"/>
        <v>254.50931999999739</v>
      </c>
      <c r="I1346" s="13">
        <f t="shared" si="46"/>
        <v>254.51279000000068</v>
      </c>
      <c r="J1346" s="13">
        <f t="shared" si="47"/>
        <v>254.51105499999903</v>
      </c>
      <c r="K1346" s="7">
        <v>43719.511054999995</v>
      </c>
      <c r="L1346" s="4">
        <v>1508.7</v>
      </c>
      <c r="M1346">
        <v>7.6</v>
      </c>
      <c r="N1346">
        <v>25.56</v>
      </c>
      <c r="O1346">
        <v>44.1</v>
      </c>
      <c r="P1346">
        <v>0.71</v>
      </c>
      <c r="Q1346">
        <v>-1.95220537975396</v>
      </c>
      <c r="R1346">
        <v>-3.0408200705812102E-4</v>
      </c>
    </row>
    <row r="1347" spans="1:18" x14ac:dyDescent="0.2">
      <c r="A1347" t="s">
        <v>8</v>
      </c>
      <c r="B1347">
        <v>3</v>
      </c>
      <c r="C1347" t="s">
        <v>6</v>
      </c>
      <c r="D1347" s="2">
        <v>43719</v>
      </c>
      <c r="E1347" s="11">
        <v>254</v>
      </c>
      <c r="F1347" s="3">
        <v>0.51677999999810709</v>
      </c>
      <c r="G1347" s="3">
        <v>0.52025000000139698</v>
      </c>
      <c r="H1347" s="13">
        <f t="shared" si="45"/>
        <v>254.51677999999811</v>
      </c>
      <c r="I1347" s="13">
        <f t="shared" si="46"/>
        <v>254.5202500000014</v>
      </c>
      <c r="J1347" s="13">
        <f t="shared" si="47"/>
        <v>254.51851499999975</v>
      </c>
      <c r="K1347" s="7">
        <v>43719.518515000003</v>
      </c>
      <c r="L1347" s="4">
        <v>1518.7</v>
      </c>
      <c r="N1347">
        <v>25.56</v>
      </c>
      <c r="Q1347">
        <v>9.2056552166108201</v>
      </c>
      <c r="R1347">
        <v>-3.16789689750768E-4</v>
      </c>
    </row>
    <row r="1348" spans="1:18" x14ac:dyDescent="0.2">
      <c r="A1348" t="s">
        <v>8</v>
      </c>
      <c r="B1348">
        <v>4</v>
      </c>
      <c r="C1348" t="s">
        <v>2</v>
      </c>
      <c r="D1348" s="2">
        <v>43719</v>
      </c>
      <c r="E1348" s="11">
        <v>254</v>
      </c>
      <c r="F1348" s="3">
        <v>0.52343999999720836</v>
      </c>
      <c r="G1348" s="3">
        <v>0.52691000000049826</v>
      </c>
      <c r="H1348" s="13">
        <f t="shared" si="45"/>
        <v>254.52343999999721</v>
      </c>
      <c r="I1348" s="13">
        <f t="shared" si="46"/>
        <v>254.5269100000005</v>
      </c>
      <c r="J1348" s="13">
        <f t="shared" si="47"/>
        <v>254.52517499999885</v>
      </c>
      <c r="K1348" s="7">
        <v>43719.525175000002</v>
      </c>
      <c r="L1348" s="4">
        <v>1511.2</v>
      </c>
      <c r="M1348">
        <v>7.9</v>
      </c>
      <c r="N1348">
        <v>27.22</v>
      </c>
      <c r="O1348">
        <v>34.9</v>
      </c>
      <c r="P1348">
        <v>0.63</v>
      </c>
      <c r="Q1348">
        <v>-2.5329324560985498</v>
      </c>
      <c r="R1348">
        <v>-4.6240790608916298E-4</v>
      </c>
    </row>
    <row r="1349" spans="1:18" x14ac:dyDescent="0.2">
      <c r="A1349" t="s">
        <v>8</v>
      </c>
      <c r="B1349">
        <v>4</v>
      </c>
      <c r="C1349" t="s">
        <v>6</v>
      </c>
      <c r="D1349" s="2">
        <v>43719</v>
      </c>
      <c r="E1349" s="11">
        <v>254</v>
      </c>
      <c r="F1349" s="3">
        <v>0.53020999999716878</v>
      </c>
      <c r="G1349" s="3">
        <v>0.53368000000045868</v>
      </c>
      <c r="H1349" s="13">
        <f t="shared" si="45"/>
        <v>254.53020999999717</v>
      </c>
      <c r="I1349" s="13">
        <f t="shared" si="46"/>
        <v>254.53368000000046</v>
      </c>
      <c r="J1349" s="13">
        <f t="shared" si="47"/>
        <v>254.53194499999881</v>
      </c>
      <c r="K1349" s="7">
        <v>43719.531944999995</v>
      </c>
      <c r="L1349" s="4">
        <v>1531.2</v>
      </c>
      <c r="N1349">
        <v>27.22</v>
      </c>
      <c r="Q1349">
        <v>7.2668091366454197</v>
      </c>
      <c r="R1349">
        <v>-4.2884690101662398E-4</v>
      </c>
    </row>
    <row r="1350" spans="1:18" x14ac:dyDescent="0.2">
      <c r="A1350" t="s">
        <v>8</v>
      </c>
      <c r="B1350">
        <v>5</v>
      </c>
      <c r="C1350" t="s">
        <v>2</v>
      </c>
      <c r="D1350" s="2">
        <v>43719</v>
      </c>
      <c r="E1350" s="11">
        <v>254</v>
      </c>
      <c r="F1350" s="3">
        <v>0.53744000000006054</v>
      </c>
      <c r="G1350" s="3">
        <v>0.54091000000335043</v>
      </c>
      <c r="H1350" s="13">
        <f t="shared" si="45"/>
        <v>254.53744000000006</v>
      </c>
      <c r="I1350" s="13">
        <f t="shared" si="46"/>
        <v>254.54091000000335</v>
      </c>
      <c r="J1350" s="13">
        <f t="shared" si="47"/>
        <v>254.53917500000171</v>
      </c>
      <c r="K1350" s="7">
        <v>43719.539174999998</v>
      </c>
      <c r="L1350" s="4">
        <v>1558.7</v>
      </c>
      <c r="M1350">
        <v>11.9</v>
      </c>
      <c r="N1350">
        <v>27.22</v>
      </c>
      <c r="O1350">
        <v>40.299999999999997</v>
      </c>
      <c r="P1350">
        <v>0.6</v>
      </c>
      <c r="Q1350">
        <v>-0.58297084625894902</v>
      </c>
      <c r="R1350" s="6">
        <v>-8.6462351454580702E-5</v>
      </c>
    </row>
    <row r="1351" spans="1:18" x14ac:dyDescent="0.2">
      <c r="A1351" t="s">
        <v>8</v>
      </c>
      <c r="B1351">
        <v>5</v>
      </c>
      <c r="C1351" t="s">
        <v>6</v>
      </c>
      <c r="D1351" s="2">
        <v>43719</v>
      </c>
      <c r="E1351" s="11">
        <v>254</v>
      </c>
      <c r="F1351" s="3">
        <v>0.54490999999688938</v>
      </c>
      <c r="G1351" s="3">
        <v>0.54838000000017928</v>
      </c>
      <c r="H1351" s="13">
        <f t="shared" si="45"/>
        <v>254.54490999999689</v>
      </c>
      <c r="I1351" s="13">
        <f t="shared" si="46"/>
        <v>254.54838000000018</v>
      </c>
      <c r="J1351" s="13">
        <f t="shared" si="47"/>
        <v>254.54664499999853</v>
      </c>
      <c r="K1351" s="7">
        <v>43719.546644999995</v>
      </c>
      <c r="L1351" s="4">
        <v>1523.7</v>
      </c>
      <c r="N1351">
        <v>27.22</v>
      </c>
      <c r="Q1351">
        <v>9.7020144325485091</v>
      </c>
      <c r="R1351">
        <v>-3.0624591522298802E-4</v>
      </c>
    </row>
    <row r="1352" spans="1:18" x14ac:dyDescent="0.2">
      <c r="A1352" t="s">
        <v>8</v>
      </c>
      <c r="B1352">
        <v>1</v>
      </c>
      <c r="C1352" t="s">
        <v>2</v>
      </c>
      <c r="D1352" s="2">
        <v>43726</v>
      </c>
      <c r="E1352" s="11">
        <v>261</v>
      </c>
      <c r="F1352" s="3">
        <v>0.61463999999978114</v>
      </c>
      <c r="G1352" s="3">
        <v>0.61811000000307104</v>
      </c>
      <c r="H1352" s="13">
        <f t="shared" si="45"/>
        <v>261.61463999999978</v>
      </c>
      <c r="I1352" s="13">
        <f t="shared" si="46"/>
        <v>261.61811000000307</v>
      </c>
      <c r="J1352" s="13">
        <f t="shared" si="47"/>
        <v>261.61637500000143</v>
      </c>
      <c r="K1352" s="7">
        <v>43726.616374999998</v>
      </c>
      <c r="L1352" s="4">
        <v>1456.2</v>
      </c>
      <c r="M1352">
        <v>5.7</v>
      </c>
      <c r="N1352">
        <v>20</v>
      </c>
      <c r="O1352">
        <v>39.6</v>
      </c>
      <c r="P1352">
        <v>62</v>
      </c>
      <c r="Q1352">
        <v>-4.6252804878671796</v>
      </c>
      <c r="R1352">
        <v>-8.6515780643786101E-4</v>
      </c>
    </row>
    <row r="1353" spans="1:18" x14ac:dyDescent="0.2">
      <c r="A1353" t="s">
        <v>8</v>
      </c>
      <c r="B1353">
        <v>1</v>
      </c>
      <c r="C1353" t="s">
        <v>6</v>
      </c>
      <c r="D1353" s="2">
        <v>43726</v>
      </c>
      <c r="E1353" s="11">
        <v>261</v>
      </c>
      <c r="F1353" s="3">
        <v>0.61892000000079861</v>
      </c>
      <c r="G1353" s="3">
        <v>0.62240000000019791</v>
      </c>
      <c r="H1353" s="13">
        <f t="shared" si="45"/>
        <v>261.6189200000008</v>
      </c>
      <c r="I1353" s="13">
        <f t="shared" si="46"/>
        <v>261.6224000000002</v>
      </c>
      <c r="J1353" s="13">
        <f t="shared" si="47"/>
        <v>261.6206600000005</v>
      </c>
      <c r="K1353" s="7">
        <v>43726.62066</v>
      </c>
      <c r="L1353" s="4">
        <v>1263.7</v>
      </c>
      <c r="N1353">
        <v>20</v>
      </c>
      <c r="Q1353">
        <v>12.851771436602199</v>
      </c>
      <c r="R1353">
        <v>-1.52179032308459E-4</v>
      </c>
    </row>
    <row r="1354" spans="1:18" x14ac:dyDescent="0.2">
      <c r="A1354" t="s">
        <v>8</v>
      </c>
      <c r="B1354">
        <v>2</v>
      </c>
      <c r="C1354" t="s">
        <v>2</v>
      </c>
      <c r="D1354" s="2">
        <v>43726</v>
      </c>
      <c r="E1354" s="11">
        <v>261</v>
      </c>
      <c r="F1354" s="3">
        <v>0.62696999999752734</v>
      </c>
      <c r="G1354" s="3">
        <v>0.63044000000081724</v>
      </c>
      <c r="H1354" s="13">
        <f t="shared" si="45"/>
        <v>261.62696999999753</v>
      </c>
      <c r="I1354" s="13">
        <f t="shared" si="46"/>
        <v>261.63044000000082</v>
      </c>
      <c r="J1354" s="13">
        <f t="shared" si="47"/>
        <v>261.62870499999917</v>
      </c>
      <c r="K1354" s="7">
        <v>43726.628704999996</v>
      </c>
      <c r="L1354" s="4">
        <v>1371.2</v>
      </c>
      <c r="M1354">
        <v>8.3000000000000007</v>
      </c>
      <c r="N1354">
        <v>20</v>
      </c>
      <c r="O1354">
        <v>47.1</v>
      </c>
      <c r="P1354">
        <v>63</v>
      </c>
      <c r="Q1354">
        <v>2.6454963345948102</v>
      </c>
      <c r="R1354">
        <v>-4.0473584219310002E-4</v>
      </c>
    </row>
    <row r="1355" spans="1:18" x14ac:dyDescent="0.2">
      <c r="A1355" t="s">
        <v>8</v>
      </c>
      <c r="B1355">
        <v>2</v>
      </c>
      <c r="C1355" t="s">
        <v>6</v>
      </c>
      <c r="D1355" s="2">
        <v>43726</v>
      </c>
      <c r="E1355" s="11">
        <v>261</v>
      </c>
      <c r="F1355" s="3">
        <v>0.63362000000051921</v>
      </c>
      <c r="G1355" s="3">
        <v>0.63708999999653315</v>
      </c>
      <c r="H1355" s="13">
        <f t="shared" si="45"/>
        <v>261.63362000000052</v>
      </c>
      <c r="I1355" s="13">
        <f t="shared" si="46"/>
        <v>261.63708999999653</v>
      </c>
      <c r="J1355" s="13">
        <f t="shared" si="47"/>
        <v>261.63535499999853</v>
      </c>
      <c r="K1355" s="7">
        <v>43726.635354999999</v>
      </c>
      <c r="L1355" s="4">
        <v>703.7</v>
      </c>
      <c r="N1355">
        <v>20</v>
      </c>
      <c r="Q1355">
        <v>5.8237002341833097</v>
      </c>
      <c r="R1355">
        <v>-3.3053544569770901E-4</v>
      </c>
    </row>
    <row r="1356" spans="1:18" x14ac:dyDescent="0.2">
      <c r="A1356" t="s">
        <v>8</v>
      </c>
      <c r="B1356">
        <v>3</v>
      </c>
      <c r="C1356" t="s">
        <v>2</v>
      </c>
      <c r="D1356" s="2">
        <v>43726</v>
      </c>
      <c r="E1356" s="11">
        <v>261</v>
      </c>
      <c r="F1356" s="3">
        <v>0.63953000000037719</v>
      </c>
      <c r="G1356" s="3">
        <v>0.64299999999639113</v>
      </c>
      <c r="H1356" s="13">
        <f t="shared" si="45"/>
        <v>261.63953000000038</v>
      </c>
      <c r="I1356" s="13">
        <f t="shared" si="46"/>
        <v>261.64299999999639</v>
      </c>
      <c r="J1356" s="13">
        <f t="shared" si="47"/>
        <v>261.64126499999838</v>
      </c>
      <c r="K1356" s="7">
        <v>43726.641264999998</v>
      </c>
      <c r="L1356" s="4">
        <v>316.2</v>
      </c>
      <c r="M1356">
        <v>9.1</v>
      </c>
      <c r="N1356">
        <v>20</v>
      </c>
      <c r="O1356">
        <v>48.1</v>
      </c>
      <c r="P1356">
        <v>61</v>
      </c>
      <c r="Q1356">
        <v>-2.1959892822096898</v>
      </c>
      <c r="R1356">
        <v>-5.7562581132183704E-4</v>
      </c>
    </row>
    <row r="1357" spans="1:18" x14ac:dyDescent="0.2">
      <c r="A1357" t="s">
        <v>8</v>
      </c>
      <c r="B1357">
        <v>3</v>
      </c>
      <c r="C1357" t="s">
        <v>6</v>
      </c>
      <c r="D1357" s="2">
        <v>43726</v>
      </c>
      <c r="E1357" s="11">
        <v>261</v>
      </c>
      <c r="F1357" s="3">
        <v>0.64688000000023749</v>
      </c>
      <c r="G1357" s="3">
        <v>0.65035000000352738</v>
      </c>
      <c r="H1357" s="13">
        <f t="shared" si="45"/>
        <v>261.64688000000024</v>
      </c>
      <c r="I1357" s="13">
        <f t="shared" si="46"/>
        <v>261.65035000000353</v>
      </c>
      <c r="J1357" s="13">
        <f t="shared" si="47"/>
        <v>261.64861500000188</v>
      </c>
      <c r="K1357" s="7">
        <v>43726.648614999998</v>
      </c>
      <c r="L1357" s="4">
        <v>1343.7</v>
      </c>
      <c r="N1357">
        <v>20</v>
      </c>
      <c r="Q1357">
        <v>7.7522034208452801</v>
      </c>
      <c r="R1357">
        <v>-8.5203296589894304E-4</v>
      </c>
    </row>
    <row r="1358" spans="1:18" x14ac:dyDescent="0.2">
      <c r="A1358" t="s">
        <v>8</v>
      </c>
      <c r="B1358">
        <v>4</v>
      </c>
      <c r="C1358" t="s">
        <v>2</v>
      </c>
      <c r="D1358" s="2">
        <v>43726</v>
      </c>
      <c r="E1358" s="11">
        <v>261</v>
      </c>
      <c r="F1358" s="3">
        <v>0.6546299999972689</v>
      </c>
      <c r="G1358" s="3">
        <v>0.65810000000055879</v>
      </c>
      <c r="H1358" s="13">
        <f t="shared" si="45"/>
        <v>261.65462999999727</v>
      </c>
      <c r="I1358" s="13">
        <f t="shared" si="46"/>
        <v>261.65810000000056</v>
      </c>
      <c r="J1358" s="13">
        <f t="shared" si="47"/>
        <v>261.65636499999891</v>
      </c>
      <c r="K1358" s="7">
        <v>43726.656365000003</v>
      </c>
      <c r="L1358" s="4">
        <v>1023.7</v>
      </c>
      <c r="M1358">
        <v>5.4</v>
      </c>
      <c r="N1358">
        <v>20</v>
      </c>
      <c r="O1358">
        <v>39</v>
      </c>
      <c r="P1358">
        <v>61</v>
      </c>
      <c r="Q1358">
        <v>-2.88794493448713</v>
      </c>
      <c r="R1358">
        <v>-4.1028818312002698E-4</v>
      </c>
    </row>
    <row r="1359" spans="1:18" x14ac:dyDescent="0.2">
      <c r="A1359" t="s">
        <v>8</v>
      </c>
      <c r="B1359">
        <v>4</v>
      </c>
      <c r="C1359" t="s">
        <v>6</v>
      </c>
      <c r="D1359" s="2">
        <v>43726</v>
      </c>
      <c r="E1359" s="11">
        <v>261</v>
      </c>
      <c r="F1359" s="3">
        <v>0.66227000000071712</v>
      </c>
      <c r="G1359" s="3">
        <v>0.66573999999673106</v>
      </c>
      <c r="H1359" s="13">
        <f t="shared" si="45"/>
        <v>261.66227000000072</v>
      </c>
      <c r="I1359" s="13">
        <f t="shared" si="46"/>
        <v>261.66573999999673</v>
      </c>
      <c r="J1359" s="13">
        <f t="shared" si="47"/>
        <v>261.66400499999872</v>
      </c>
      <c r="K1359" s="7">
        <v>43726.664004999999</v>
      </c>
      <c r="L1359" s="4">
        <v>1021.2</v>
      </c>
      <c r="N1359">
        <v>20</v>
      </c>
      <c r="Q1359">
        <v>5.0971575723002296</v>
      </c>
      <c r="R1359">
        <v>-3.4834935287455501E-4</v>
      </c>
    </row>
    <row r="1360" spans="1:18" x14ac:dyDescent="0.2">
      <c r="A1360" t="s">
        <v>8</v>
      </c>
      <c r="B1360">
        <v>5</v>
      </c>
      <c r="C1360" t="s">
        <v>2</v>
      </c>
      <c r="D1360" s="2">
        <v>43726</v>
      </c>
      <c r="E1360" s="11">
        <v>261</v>
      </c>
      <c r="F1360" s="3">
        <v>0.66806000000360655</v>
      </c>
      <c r="G1360" s="3">
        <v>0.67152999999962049</v>
      </c>
      <c r="H1360" s="13">
        <f t="shared" si="45"/>
        <v>261.66806000000361</v>
      </c>
      <c r="I1360" s="13">
        <f t="shared" si="46"/>
        <v>261.67152999999962</v>
      </c>
      <c r="J1360" s="13">
        <f t="shared" si="47"/>
        <v>261.66979500000161</v>
      </c>
      <c r="K1360" s="7">
        <v>43726.669795000002</v>
      </c>
      <c r="L1360" s="4">
        <v>998.7</v>
      </c>
      <c r="M1360">
        <v>11.8</v>
      </c>
      <c r="N1360">
        <v>20.56</v>
      </c>
      <c r="O1360">
        <v>34.799999999999997</v>
      </c>
      <c r="P1360">
        <v>65</v>
      </c>
      <c r="Q1360">
        <v>-0.30762002005248401</v>
      </c>
      <c r="R1360">
        <v>-4.5055885150515799E-4</v>
      </c>
    </row>
    <row r="1361" spans="1:18" x14ac:dyDescent="0.2">
      <c r="A1361" t="s">
        <v>8</v>
      </c>
      <c r="B1361">
        <v>5</v>
      </c>
      <c r="C1361" t="s">
        <v>6</v>
      </c>
      <c r="D1361" s="2">
        <v>43726</v>
      </c>
      <c r="E1361" s="11">
        <v>261</v>
      </c>
      <c r="F1361" s="3">
        <v>0.67431000000215136</v>
      </c>
      <c r="G1361" s="3">
        <v>0.67777999999816529</v>
      </c>
      <c r="H1361" s="13">
        <f t="shared" si="45"/>
        <v>261.67431000000215</v>
      </c>
      <c r="I1361" s="13">
        <f t="shared" si="46"/>
        <v>261.67777999999817</v>
      </c>
      <c r="J1361" s="13">
        <f t="shared" si="47"/>
        <v>261.67604500000016</v>
      </c>
      <c r="K1361" s="7">
        <v>43726.676045</v>
      </c>
      <c r="L1361" s="4">
        <v>456.2</v>
      </c>
      <c r="N1361">
        <v>20.56</v>
      </c>
      <c r="Q1361">
        <v>8.0864564215862007</v>
      </c>
      <c r="R1361">
        <v>-4.84365786773376E-4</v>
      </c>
    </row>
    <row r="1362" spans="1:18" x14ac:dyDescent="0.2">
      <c r="A1362" t="s">
        <v>8</v>
      </c>
      <c r="B1362">
        <v>1</v>
      </c>
      <c r="C1362" t="s">
        <v>2</v>
      </c>
      <c r="D1362" s="2">
        <v>43733</v>
      </c>
      <c r="E1362" s="11">
        <v>268</v>
      </c>
      <c r="F1362" s="3">
        <v>0.4340299999967101</v>
      </c>
      <c r="G1362" s="3">
        <v>0.4375</v>
      </c>
      <c r="H1362" s="13">
        <f t="shared" si="45"/>
        <v>268.43402999999671</v>
      </c>
      <c r="I1362" s="13">
        <f t="shared" si="46"/>
        <v>268.4375</v>
      </c>
      <c r="J1362" s="13">
        <f t="shared" si="47"/>
        <v>268.43576499999836</v>
      </c>
      <c r="K1362" s="7">
        <v>43733.435765000002</v>
      </c>
      <c r="L1362" s="4">
        <v>1281.2</v>
      </c>
      <c r="M1362">
        <v>4.3</v>
      </c>
      <c r="N1362">
        <v>16.670000000000002</v>
      </c>
      <c r="O1362">
        <v>35.1</v>
      </c>
      <c r="Q1362">
        <v>-6.6545046858759198</v>
      </c>
      <c r="R1362">
        <v>-5.0990368689568803E-4</v>
      </c>
    </row>
    <row r="1363" spans="1:18" x14ac:dyDescent="0.2">
      <c r="A1363" t="s">
        <v>8</v>
      </c>
      <c r="B1363">
        <v>1</v>
      </c>
      <c r="C1363" t="s">
        <v>6</v>
      </c>
      <c r="D1363" s="2">
        <v>43733</v>
      </c>
      <c r="E1363" s="11">
        <v>268</v>
      </c>
      <c r="F1363" s="3">
        <v>0.44236000000091735</v>
      </c>
      <c r="G1363" s="3">
        <v>0.44582999999693129</v>
      </c>
      <c r="H1363" s="13">
        <f t="shared" si="45"/>
        <v>268.44236000000092</v>
      </c>
      <c r="I1363" s="13">
        <f t="shared" si="46"/>
        <v>268.44582999999693</v>
      </c>
      <c r="J1363" s="13">
        <f t="shared" si="47"/>
        <v>268.44409499999892</v>
      </c>
      <c r="K1363" s="7">
        <v>43733.444094999999</v>
      </c>
      <c r="L1363" s="4">
        <v>1328.7</v>
      </c>
      <c r="N1363">
        <v>16.670000000000002</v>
      </c>
      <c r="Q1363">
        <v>8.1437721168389707</v>
      </c>
      <c r="R1363">
        <v>-9.3047282120317599E-4</v>
      </c>
    </row>
    <row r="1364" spans="1:18" x14ac:dyDescent="0.2">
      <c r="A1364" t="s">
        <v>8</v>
      </c>
      <c r="B1364">
        <v>2</v>
      </c>
      <c r="C1364" t="s">
        <v>2</v>
      </c>
      <c r="D1364" s="2">
        <v>43733</v>
      </c>
      <c r="E1364" s="11">
        <v>268</v>
      </c>
      <c r="F1364" s="3">
        <v>0.44948000000294996</v>
      </c>
      <c r="G1364" s="3">
        <v>0.4529499999989639</v>
      </c>
      <c r="H1364" s="13">
        <f t="shared" si="45"/>
        <v>268.44948000000295</v>
      </c>
      <c r="I1364" s="13">
        <f t="shared" si="46"/>
        <v>268.45294999999896</v>
      </c>
      <c r="J1364" s="13">
        <f t="shared" si="47"/>
        <v>268.45121500000096</v>
      </c>
      <c r="K1364" s="7">
        <v>43733.451215000001</v>
      </c>
      <c r="L1364" s="4">
        <v>1363.7</v>
      </c>
      <c r="M1364">
        <v>7.2</v>
      </c>
      <c r="N1364">
        <v>16.670000000000002</v>
      </c>
      <c r="O1364">
        <v>41.7</v>
      </c>
      <c r="Q1364">
        <v>0.54644528169380602</v>
      </c>
      <c r="R1364">
        <v>-6.1712092666610201E-4</v>
      </c>
    </row>
    <row r="1365" spans="1:18" x14ac:dyDescent="0.2">
      <c r="A1365" t="s">
        <v>8</v>
      </c>
      <c r="B1365">
        <v>2</v>
      </c>
      <c r="C1365" t="s">
        <v>6</v>
      </c>
      <c r="D1365" s="2">
        <v>43733</v>
      </c>
      <c r="E1365" s="11">
        <v>268</v>
      </c>
      <c r="F1365" s="3">
        <v>0.45700000000215368</v>
      </c>
      <c r="G1365" s="3">
        <v>0.46046999999816762</v>
      </c>
      <c r="H1365" s="13">
        <f t="shared" si="45"/>
        <v>268.45700000000215</v>
      </c>
      <c r="I1365" s="13">
        <f t="shared" si="46"/>
        <v>268.46046999999817</v>
      </c>
      <c r="J1365" s="13">
        <f t="shared" si="47"/>
        <v>268.45873500000016</v>
      </c>
      <c r="K1365" s="7">
        <v>43733.458735</v>
      </c>
      <c r="L1365" s="4">
        <v>1396.2</v>
      </c>
      <c r="N1365">
        <v>16.670000000000002</v>
      </c>
      <c r="Q1365">
        <v>6.2458999066146799</v>
      </c>
      <c r="R1365">
        <v>-6.3074829098154505E-4</v>
      </c>
    </row>
    <row r="1366" spans="1:18" x14ac:dyDescent="0.2">
      <c r="A1366" t="s">
        <v>8</v>
      </c>
      <c r="B1366">
        <v>3</v>
      </c>
      <c r="C1366" t="s">
        <v>2</v>
      </c>
      <c r="D1366" s="2">
        <v>43733</v>
      </c>
      <c r="E1366" s="11">
        <v>268</v>
      </c>
      <c r="F1366" s="3">
        <v>0.46435000000201399</v>
      </c>
      <c r="G1366" s="3">
        <v>0.46781999999802792</v>
      </c>
      <c r="H1366" s="13">
        <f t="shared" si="45"/>
        <v>268.46435000000201</v>
      </c>
      <c r="I1366" s="13">
        <f t="shared" si="46"/>
        <v>268.46781999999803</v>
      </c>
      <c r="J1366" s="13">
        <f t="shared" si="47"/>
        <v>268.46608500000002</v>
      </c>
      <c r="K1366" s="7">
        <v>43733.466085</v>
      </c>
      <c r="L1366" s="4">
        <v>1436.2</v>
      </c>
      <c r="M1366">
        <v>4.0999999999999996</v>
      </c>
      <c r="N1366">
        <v>16.670000000000002</v>
      </c>
      <c r="O1366">
        <v>24.7</v>
      </c>
      <c r="Q1366">
        <v>-2.6956142900293099</v>
      </c>
      <c r="R1366">
        <v>-4.8300385706443599E-4</v>
      </c>
    </row>
    <row r="1367" spans="1:18" x14ac:dyDescent="0.2">
      <c r="A1367" t="s">
        <v>8</v>
      </c>
      <c r="B1367">
        <v>3</v>
      </c>
      <c r="C1367" t="s">
        <v>6</v>
      </c>
      <c r="D1367" s="2">
        <v>43733</v>
      </c>
      <c r="E1367" s="11">
        <v>268</v>
      </c>
      <c r="F1367" s="3">
        <v>0.47054000000207452</v>
      </c>
      <c r="G1367" s="3">
        <v>0.47402000000147382</v>
      </c>
      <c r="H1367" s="13">
        <f t="shared" si="45"/>
        <v>268.47054000000207</v>
      </c>
      <c r="I1367" s="13">
        <f t="shared" si="46"/>
        <v>268.47402000000147</v>
      </c>
      <c r="J1367" s="13">
        <f t="shared" si="47"/>
        <v>268.47228000000177</v>
      </c>
      <c r="K1367" s="7">
        <v>43733.472280000002</v>
      </c>
      <c r="L1367" s="4">
        <v>1458.7</v>
      </c>
      <c r="N1367">
        <v>16.670000000000002</v>
      </c>
      <c r="Q1367">
        <v>7.4674444861142604</v>
      </c>
      <c r="R1367">
        <v>-5.7513872208248495E-4</v>
      </c>
    </row>
    <row r="1368" spans="1:18" x14ac:dyDescent="0.2">
      <c r="A1368" t="s">
        <v>8</v>
      </c>
      <c r="B1368">
        <v>4</v>
      </c>
      <c r="C1368" t="s">
        <v>2</v>
      </c>
      <c r="D1368" s="2">
        <v>43733</v>
      </c>
      <c r="E1368" s="11">
        <v>268</v>
      </c>
      <c r="F1368" s="3">
        <v>0.47888000000239117</v>
      </c>
      <c r="G1368" s="3">
        <v>0.48234999999840511</v>
      </c>
      <c r="H1368" s="13">
        <f t="shared" si="45"/>
        <v>268.47888000000239</v>
      </c>
      <c r="I1368" s="13">
        <f t="shared" si="46"/>
        <v>268.48234999999841</v>
      </c>
      <c r="J1368" s="13">
        <f t="shared" si="47"/>
        <v>268.4806150000004</v>
      </c>
      <c r="K1368" s="7">
        <v>43733.480615</v>
      </c>
      <c r="L1368" s="4">
        <v>1038.7</v>
      </c>
      <c r="M1368">
        <v>4.3</v>
      </c>
      <c r="N1368">
        <v>16.670000000000002</v>
      </c>
      <c r="O1368">
        <v>35.4</v>
      </c>
      <c r="Q1368">
        <v>-3.1471155835457898</v>
      </c>
      <c r="R1368">
        <v>-4.3655796686062299E-4</v>
      </c>
    </row>
    <row r="1369" spans="1:18" x14ac:dyDescent="0.2">
      <c r="A1369" t="s">
        <v>8</v>
      </c>
      <c r="B1369">
        <v>4</v>
      </c>
      <c r="C1369" t="s">
        <v>6</v>
      </c>
      <c r="D1369" s="2">
        <v>43733</v>
      </c>
      <c r="E1369" s="11">
        <v>268</v>
      </c>
      <c r="F1369" s="3">
        <v>0.48681000000215136</v>
      </c>
      <c r="G1369" s="3">
        <v>0.49027999999816529</v>
      </c>
      <c r="H1369" s="13">
        <f t="shared" si="45"/>
        <v>268.48681000000215</v>
      </c>
      <c r="I1369" s="13">
        <f t="shared" si="46"/>
        <v>268.49027999999817</v>
      </c>
      <c r="J1369" s="13">
        <f t="shared" si="47"/>
        <v>268.48854500000016</v>
      </c>
      <c r="K1369" s="7">
        <v>43733.488545</v>
      </c>
      <c r="L1369" s="4">
        <v>1581.2</v>
      </c>
      <c r="N1369">
        <v>16.670000000000002</v>
      </c>
      <c r="Q1369">
        <v>6.0078559220088401</v>
      </c>
      <c r="R1369">
        <v>-4.8720730444468601E-4</v>
      </c>
    </row>
    <row r="1370" spans="1:18" x14ac:dyDescent="0.2">
      <c r="A1370" t="s">
        <v>8</v>
      </c>
      <c r="B1370">
        <v>5</v>
      </c>
      <c r="C1370" t="s">
        <v>2</v>
      </c>
      <c r="D1370" s="2">
        <v>43733</v>
      </c>
      <c r="E1370" s="11">
        <v>268</v>
      </c>
      <c r="F1370" s="3">
        <v>0.49420999999711057</v>
      </c>
      <c r="G1370" s="3">
        <v>0.49768999999650987</v>
      </c>
      <c r="H1370" s="13">
        <f t="shared" si="45"/>
        <v>268.49420999999711</v>
      </c>
      <c r="I1370" s="13">
        <f t="shared" si="46"/>
        <v>268.49768999999651</v>
      </c>
      <c r="J1370" s="13">
        <f t="shared" si="47"/>
        <v>268.49594999999681</v>
      </c>
      <c r="K1370" s="7">
        <v>43733.495949999997</v>
      </c>
      <c r="L1370" s="4">
        <v>1573.7</v>
      </c>
      <c r="M1370">
        <v>5.2</v>
      </c>
      <c r="N1370">
        <v>21.11</v>
      </c>
      <c r="O1370">
        <v>43.2</v>
      </c>
      <c r="Q1370">
        <v>0.41788183377152999</v>
      </c>
      <c r="R1370">
        <v>-5.3473879960642403E-4</v>
      </c>
    </row>
    <row r="1371" spans="1:18" x14ac:dyDescent="0.2">
      <c r="A1371" t="s">
        <v>8</v>
      </c>
      <c r="B1371">
        <v>5</v>
      </c>
      <c r="C1371" t="s">
        <v>6</v>
      </c>
      <c r="D1371" s="2">
        <v>43733</v>
      </c>
      <c r="E1371" s="11">
        <v>268</v>
      </c>
      <c r="F1371" s="3">
        <v>0.50173999999969965</v>
      </c>
      <c r="G1371" s="3">
        <v>0.50521000000298955</v>
      </c>
      <c r="H1371" s="13">
        <f t="shared" si="45"/>
        <v>268.5017399999997</v>
      </c>
      <c r="I1371" s="13">
        <f t="shared" si="46"/>
        <v>268.50521000000299</v>
      </c>
      <c r="J1371" s="13">
        <f t="shared" si="47"/>
        <v>268.50347500000134</v>
      </c>
      <c r="K1371" s="7">
        <v>43733.503475000005</v>
      </c>
      <c r="L1371" s="4">
        <v>1598.7</v>
      </c>
      <c r="N1371">
        <v>21.11</v>
      </c>
      <c r="Q1371">
        <v>6.6928416301406104</v>
      </c>
      <c r="R1371">
        <v>-4.7779379671384199E-4</v>
      </c>
    </row>
    <row r="1372" spans="1:18" x14ac:dyDescent="0.2">
      <c r="A1372" t="s">
        <v>8</v>
      </c>
      <c r="B1372">
        <v>1</v>
      </c>
      <c r="C1372" t="s">
        <v>2</v>
      </c>
      <c r="D1372" s="2">
        <v>43733</v>
      </c>
      <c r="E1372" s="11">
        <v>268</v>
      </c>
      <c r="F1372" s="3">
        <v>0.53588000000308966</v>
      </c>
      <c r="G1372" s="3">
        <v>0.5393499999991036</v>
      </c>
      <c r="H1372" s="13">
        <f t="shared" si="45"/>
        <v>268.53588000000309</v>
      </c>
      <c r="I1372" s="13">
        <f t="shared" si="46"/>
        <v>268.5393499999991</v>
      </c>
      <c r="J1372" s="13">
        <f t="shared" si="47"/>
        <v>268.5376150000011</v>
      </c>
      <c r="K1372" s="7">
        <v>43733.537615000001</v>
      </c>
      <c r="L1372" s="4">
        <v>1663.7</v>
      </c>
      <c r="M1372">
        <v>4.4000000000000004</v>
      </c>
      <c r="N1372">
        <v>21.11</v>
      </c>
      <c r="O1372">
        <v>46</v>
      </c>
      <c r="Q1372">
        <v>-4.0841588693327697</v>
      </c>
      <c r="R1372">
        <v>-6.2371031412974997E-4</v>
      </c>
    </row>
    <row r="1373" spans="1:18" x14ac:dyDescent="0.2">
      <c r="A1373" t="s">
        <v>8</v>
      </c>
      <c r="B1373">
        <v>1</v>
      </c>
      <c r="C1373" t="s">
        <v>6</v>
      </c>
      <c r="D1373" s="2">
        <v>43733</v>
      </c>
      <c r="E1373" s="11">
        <v>268</v>
      </c>
      <c r="F1373" s="3">
        <v>0.54166999999870313</v>
      </c>
      <c r="G1373" s="3">
        <v>0.54514000000199303</v>
      </c>
      <c r="H1373" s="13">
        <f t="shared" si="45"/>
        <v>268.5416699999987</v>
      </c>
      <c r="I1373" s="13">
        <f t="shared" si="46"/>
        <v>268.54514000000199</v>
      </c>
      <c r="J1373" s="13">
        <f t="shared" si="47"/>
        <v>268.54340500000035</v>
      </c>
      <c r="K1373" s="7">
        <v>43733.543405000004</v>
      </c>
      <c r="L1373" s="4">
        <v>1618.7</v>
      </c>
      <c r="N1373">
        <v>21.11</v>
      </c>
      <c r="Q1373">
        <v>9.6932578679555004</v>
      </c>
      <c r="R1373">
        <v>-7.9585375936928903E-4</v>
      </c>
    </row>
    <row r="1374" spans="1:18" x14ac:dyDescent="0.2">
      <c r="A1374" t="s">
        <v>8</v>
      </c>
      <c r="B1374">
        <v>2</v>
      </c>
      <c r="C1374" t="s">
        <v>2</v>
      </c>
      <c r="D1374" s="2">
        <v>43733</v>
      </c>
      <c r="E1374" s="11">
        <v>268</v>
      </c>
      <c r="F1374" s="3">
        <v>0.54791999999724794</v>
      </c>
      <c r="G1374" s="3">
        <v>0.55139000000053784</v>
      </c>
      <c r="H1374" s="13">
        <f t="shared" si="45"/>
        <v>268.54791999999725</v>
      </c>
      <c r="I1374" s="13">
        <f t="shared" si="46"/>
        <v>268.55139000000054</v>
      </c>
      <c r="J1374" s="13">
        <f t="shared" si="47"/>
        <v>268.54965499999889</v>
      </c>
      <c r="K1374" s="7">
        <v>43733.549654999995</v>
      </c>
      <c r="L1374" s="4">
        <v>1566.2</v>
      </c>
      <c r="M1374">
        <v>5.9</v>
      </c>
      <c r="N1374">
        <v>21.11</v>
      </c>
      <c r="O1374">
        <v>43</v>
      </c>
      <c r="Q1374">
        <v>1.69031460317564</v>
      </c>
      <c r="R1374">
        <v>-4.1552823283232202E-4</v>
      </c>
    </row>
    <row r="1375" spans="1:18" x14ac:dyDescent="0.2">
      <c r="A1375" t="s">
        <v>8</v>
      </c>
      <c r="B1375">
        <v>2</v>
      </c>
      <c r="C1375" t="s">
        <v>6</v>
      </c>
      <c r="D1375" s="2">
        <v>43733</v>
      </c>
      <c r="E1375" s="11">
        <v>268</v>
      </c>
      <c r="F1375" s="3">
        <v>0.55485999999655178</v>
      </c>
      <c r="G1375" s="3">
        <v>0.55832999999984168</v>
      </c>
      <c r="H1375" s="13">
        <f t="shared" si="45"/>
        <v>268.55485999999655</v>
      </c>
      <c r="I1375" s="13">
        <f t="shared" si="46"/>
        <v>268.55832999999984</v>
      </c>
      <c r="J1375" s="13">
        <f t="shared" si="47"/>
        <v>268.5565949999982</v>
      </c>
      <c r="K1375" s="7">
        <v>43733.556595000002</v>
      </c>
      <c r="L1375" s="4">
        <v>1531.2</v>
      </c>
      <c r="N1375">
        <v>21.11</v>
      </c>
      <c r="Q1375">
        <v>6.7757120754592899</v>
      </c>
      <c r="R1375">
        <v>-5.5340613427082503E-4</v>
      </c>
    </row>
    <row r="1376" spans="1:18" x14ac:dyDescent="0.2">
      <c r="A1376" t="s">
        <v>8</v>
      </c>
      <c r="B1376">
        <v>3</v>
      </c>
      <c r="C1376" t="s">
        <v>2</v>
      </c>
      <c r="D1376" s="2">
        <v>43733</v>
      </c>
      <c r="E1376" s="11">
        <v>268</v>
      </c>
      <c r="F1376" s="3">
        <v>0.56227000000217231</v>
      </c>
      <c r="G1376" s="3">
        <v>0.56573999999818625</v>
      </c>
      <c r="H1376" s="13">
        <f t="shared" si="45"/>
        <v>268.56227000000217</v>
      </c>
      <c r="I1376" s="13">
        <f t="shared" si="46"/>
        <v>268.56573999999819</v>
      </c>
      <c r="J1376" s="13">
        <f t="shared" si="47"/>
        <v>268.56400500000018</v>
      </c>
      <c r="K1376" s="7">
        <v>43733.564005</v>
      </c>
      <c r="L1376" s="4">
        <v>1511.2</v>
      </c>
      <c r="M1376">
        <v>5.6</v>
      </c>
      <c r="N1376">
        <v>21.11</v>
      </c>
      <c r="O1376">
        <v>32</v>
      </c>
      <c r="Q1376">
        <v>-0.69719905638442703</v>
      </c>
      <c r="R1376">
        <v>-4.4879044198246399E-4</v>
      </c>
    </row>
    <row r="1377" spans="1:18" x14ac:dyDescent="0.2">
      <c r="A1377" t="s">
        <v>8</v>
      </c>
      <c r="B1377">
        <v>3</v>
      </c>
      <c r="C1377" t="s">
        <v>6</v>
      </c>
      <c r="D1377" s="2">
        <v>43733</v>
      </c>
      <c r="E1377" s="11">
        <v>268</v>
      </c>
      <c r="F1377" s="3">
        <v>0.56781999999657273</v>
      </c>
      <c r="G1377" s="3">
        <v>0.57130000000324799</v>
      </c>
      <c r="H1377" s="13">
        <f t="shared" si="45"/>
        <v>268.56781999999657</v>
      </c>
      <c r="I1377" s="13">
        <f t="shared" si="46"/>
        <v>268.57130000000325</v>
      </c>
      <c r="J1377" s="13">
        <f t="shared" si="47"/>
        <v>268.56955999999991</v>
      </c>
      <c r="K1377" s="7">
        <v>43733.569560000004</v>
      </c>
      <c r="L1377" s="4">
        <v>1496.2</v>
      </c>
      <c r="N1377">
        <v>21.11</v>
      </c>
      <c r="Q1377">
        <v>8.1943885779894305</v>
      </c>
      <c r="R1377">
        <v>-7.0588172668644604E-4</v>
      </c>
    </row>
    <row r="1378" spans="1:18" x14ac:dyDescent="0.2">
      <c r="A1378" t="s">
        <v>8</v>
      </c>
      <c r="B1378">
        <v>4</v>
      </c>
      <c r="C1378" t="s">
        <v>2</v>
      </c>
      <c r="D1378" s="2">
        <v>43733</v>
      </c>
      <c r="E1378" s="11">
        <v>268</v>
      </c>
      <c r="F1378" s="3">
        <v>0.5740700000023935</v>
      </c>
      <c r="G1378" s="3">
        <v>0.5775500000017928</v>
      </c>
      <c r="H1378" s="13">
        <f t="shared" si="45"/>
        <v>268.57407000000239</v>
      </c>
      <c r="I1378" s="13">
        <f t="shared" si="46"/>
        <v>268.57755000000179</v>
      </c>
      <c r="J1378" s="13">
        <f t="shared" si="47"/>
        <v>268.57581000000209</v>
      </c>
      <c r="K1378" s="7">
        <v>43733.575810000002</v>
      </c>
      <c r="L1378" s="4">
        <v>1468.7</v>
      </c>
      <c r="M1378">
        <v>3</v>
      </c>
      <c r="N1378">
        <v>21.11</v>
      </c>
      <c r="O1378">
        <v>39.299999999999997</v>
      </c>
      <c r="Q1378">
        <v>-1.0318944832686601</v>
      </c>
      <c r="R1378">
        <v>-6.2844129889145096E-4</v>
      </c>
    </row>
    <row r="1379" spans="1:18" x14ac:dyDescent="0.2">
      <c r="A1379" t="s">
        <v>8</v>
      </c>
      <c r="B1379">
        <v>4</v>
      </c>
      <c r="C1379" t="s">
        <v>6</v>
      </c>
      <c r="D1379" s="2">
        <v>43733</v>
      </c>
      <c r="E1379" s="11">
        <v>268</v>
      </c>
      <c r="F1379" s="3">
        <v>0.58101999999780674</v>
      </c>
      <c r="G1379" s="3">
        <v>0.58449000000109663</v>
      </c>
      <c r="H1379" s="13">
        <f t="shared" si="45"/>
        <v>268.58101999999781</v>
      </c>
      <c r="I1379" s="13">
        <f t="shared" si="46"/>
        <v>268.5844900000011</v>
      </c>
      <c r="J1379" s="13">
        <f t="shared" si="47"/>
        <v>268.58275499999945</v>
      </c>
      <c r="K1379" s="7">
        <v>43733.582754999996</v>
      </c>
      <c r="L1379" s="4">
        <v>1446.2</v>
      </c>
      <c r="N1379">
        <v>21.11</v>
      </c>
      <c r="Q1379">
        <v>6.3193857309652</v>
      </c>
      <c r="R1379">
        <v>-6.1299309584635997E-4</v>
      </c>
    </row>
    <row r="1380" spans="1:18" x14ac:dyDescent="0.2">
      <c r="A1380" t="s">
        <v>8</v>
      </c>
      <c r="B1380">
        <v>5</v>
      </c>
      <c r="C1380" t="s">
        <v>2</v>
      </c>
      <c r="D1380" s="2">
        <v>43733</v>
      </c>
      <c r="E1380" s="11">
        <v>268</v>
      </c>
      <c r="F1380" s="3">
        <v>0.58681000000069616</v>
      </c>
      <c r="G1380" s="3">
        <v>0.5902799999967101</v>
      </c>
      <c r="H1380" s="13">
        <f t="shared" si="45"/>
        <v>268.5868100000007</v>
      </c>
      <c r="I1380" s="13">
        <f t="shared" si="46"/>
        <v>268.59027999999671</v>
      </c>
      <c r="J1380" s="13">
        <f t="shared" si="47"/>
        <v>268.5885449999987</v>
      </c>
      <c r="K1380" s="7">
        <v>43733.588544999999</v>
      </c>
      <c r="L1380" s="4">
        <v>1416.2</v>
      </c>
      <c r="M1380">
        <v>3.9</v>
      </c>
      <c r="N1380">
        <v>22.78</v>
      </c>
      <c r="O1380">
        <v>44.5</v>
      </c>
      <c r="Q1380">
        <v>2.3756596346671999</v>
      </c>
      <c r="R1380">
        <v>-6.2998330729412198E-4</v>
      </c>
    </row>
    <row r="1381" spans="1:18" x14ac:dyDescent="0.2">
      <c r="A1381" t="s">
        <v>8</v>
      </c>
      <c r="B1381">
        <v>5</v>
      </c>
      <c r="C1381" t="s">
        <v>6</v>
      </c>
      <c r="D1381" s="2">
        <v>43733</v>
      </c>
      <c r="E1381" s="11">
        <v>268</v>
      </c>
      <c r="F1381" s="3">
        <v>0.59305999999924097</v>
      </c>
      <c r="G1381" s="3">
        <v>0.59653000000253087</v>
      </c>
      <c r="H1381" s="13">
        <f t="shared" si="45"/>
        <v>268.59305999999924</v>
      </c>
      <c r="I1381" s="13">
        <f t="shared" si="46"/>
        <v>268.59653000000253</v>
      </c>
      <c r="J1381" s="13">
        <f t="shared" si="47"/>
        <v>268.59479500000089</v>
      </c>
      <c r="K1381" s="7">
        <v>43733.594794999997</v>
      </c>
      <c r="L1381" s="4">
        <v>1388.7</v>
      </c>
      <c r="N1381">
        <v>22.78</v>
      </c>
      <c r="Q1381">
        <v>7.6769657643597</v>
      </c>
      <c r="R1381">
        <v>-6.5487635224299105E-4</v>
      </c>
    </row>
    <row r="1382" spans="1:18" x14ac:dyDescent="0.2">
      <c r="A1382" t="s">
        <v>8</v>
      </c>
      <c r="B1382">
        <v>1</v>
      </c>
      <c r="C1382" t="s">
        <v>2</v>
      </c>
      <c r="D1382" s="2">
        <v>43738</v>
      </c>
      <c r="E1382" s="11">
        <v>273</v>
      </c>
      <c r="F1382" s="3">
        <v>0.4275500000003376</v>
      </c>
      <c r="G1382" s="3">
        <v>0.4310200000036275</v>
      </c>
      <c r="H1382" s="13">
        <f t="shared" si="45"/>
        <v>273.42755000000034</v>
      </c>
      <c r="I1382" s="13">
        <f t="shared" si="46"/>
        <v>273.43102000000363</v>
      </c>
      <c r="J1382" s="13">
        <f t="shared" si="47"/>
        <v>273.42928500000198</v>
      </c>
      <c r="K1382" s="7">
        <v>43738.429285000006</v>
      </c>
      <c r="L1382" s="4">
        <v>1071.2</v>
      </c>
      <c r="M1382">
        <v>5.7</v>
      </c>
      <c r="N1382">
        <v>13.89</v>
      </c>
      <c r="O1382">
        <v>34.5</v>
      </c>
      <c r="P1382">
        <v>0.65</v>
      </c>
      <c r="Q1382">
        <v>-8.6637108396961207</v>
      </c>
      <c r="R1382">
        <v>-6.8613133632093603E-4</v>
      </c>
    </row>
    <row r="1383" spans="1:18" x14ac:dyDescent="0.2">
      <c r="A1383" t="s">
        <v>8</v>
      </c>
      <c r="B1383">
        <v>1</v>
      </c>
      <c r="C1383" t="s">
        <v>6</v>
      </c>
      <c r="D1383" s="2">
        <v>43738</v>
      </c>
      <c r="E1383" s="11">
        <v>273</v>
      </c>
      <c r="F1383" s="3">
        <v>0.43332999999984168</v>
      </c>
      <c r="G1383" s="3">
        <v>0.43680999999924097</v>
      </c>
      <c r="H1383" s="13">
        <f t="shared" si="45"/>
        <v>273.43332999999984</v>
      </c>
      <c r="I1383" s="13">
        <f t="shared" si="46"/>
        <v>273.43680999999924</v>
      </c>
      <c r="J1383" s="13">
        <f t="shared" si="47"/>
        <v>273.43506999999954</v>
      </c>
      <c r="K1383" s="7">
        <v>43738.43507</v>
      </c>
      <c r="L1383" s="4">
        <v>1128.7</v>
      </c>
      <c r="N1383">
        <v>13.89</v>
      </c>
      <c r="Q1383">
        <v>6.5308086666370304</v>
      </c>
      <c r="R1383">
        <v>-5.8860145034433996E-4</v>
      </c>
    </row>
    <row r="1384" spans="1:18" x14ac:dyDescent="0.2">
      <c r="A1384" t="s">
        <v>8</v>
      </c>
      <c r="B1384">
        <v>2</v>
      </c>
      <c r="C1384" t="s">
        <v>2</v>
      </c>
      <c r="D1384" s="2">
        <v>43738</v>
      </c>
      <c r="E1384" s="11">
        <v>273</v>
      </c>
      <c r="F1384" s="3">
        <v>0.43957999999838648</v>
      </c>
      <c r="G1384" s="3">
        <v>0.44305999999778578</v>
      </c>
      <c r="H1384" s="13">
        <f t="shared" si="45"/>
        <v>273.43957999999839</v>
      </c>
      <c r="I1384" s="13">
        <f t="shared" si="46"/>
        <v>273.44305999999779</v>
      </c>
      <c r="J1384" s="13">
        <f t="shared" si="47"/>
        <v>273.44131999999809</v>
      </c>
      <c r="K1384" s="7">
        <v>43738.441319999998</v>
      </c>
      <c r="L1384" s="4">
        <v>1101.2</v>
      </c>
      <c r="M1384">
        <v>8.1999999999999993</v>
      </c>
      <c r="N1384">
        <v>13.89</v>
      </c>
      <c r="O1384">
        <v>48</v>
      </c>
      <c r="P1384">
        <v>0.64</v>
      </c>
      <c r="Q1384">
        <v>-0.95173216160802698</v>
      </c>
      <c r="R1384">
        <v>-4.56305878893949E-4</v>
      </c>
    </row>
    <row r="1385" spans="1:18" x14ac:dyDescent="0.2">
      <c r="A1385" t="s">
        <v>8</v>
      </c>
      <c r="B1385">
        <v>2</v>
      </c>
      <c r="C1385" t="s">
        <v>6</v>
      </c>
      <c r="D1385" s="2">
        <v>43738</v>
      </c>
      <c r="E1385" s="11">
        <v>273</v>
      </c>
      <c r="F1385" s="3">
        <v>0.44653000000107568</v>
      </c>
      <c r="G1385" s="3">
        <v>0.44999999999708962</v>
      </c>
      <c r="H1385" s="13">
        <f t="shared" si="45"/>
        <v>273.44653000000108</v>
      </c>
      <c r="I1385" s="13">
        <f t="shared" si="46"/>
        <v>273.44999999999709</v>
      </c>
      <c r="J1385" s="13">
        <f t="shared" si="47"/>
        <v>273.44826499999908</v>
      </c>
      <c r="K1385" s="7">
        <v>43738.448264999999</v>
      </c>
      <c r="L1385" s="4">
        <v>1166.2</v>
      </c>
      <c r="N1385">
        <v>13.89</v>
      </c>
      <c r="Q1385">
        <v>4.9614955341613101</v>
      </c>
      <c r="R1385">
        <v>-4.8294872327220501E-4</v>
      </c>
    </row>
    <row r="1386" spans="1:18" x14ac:dyDescent="0.2">
      <c r="A1386" t="s">
        <v>8</v>
      </c>
      <c r="B1386">
        <v>3</v>
      </c>
      <c r="C1386" t="s">
        <v>2</v>
      </c>
      <c r="D1386" s="2">
        <v>43738</v>
      </c>
      <c r="E1386" s="11">
        <v>273</v>
      </c>
      <c r="F1386" s="3">
        <v>0.45277999999962049</v>
      </c>
      <c r="G1386" s="3">
        <v>0.45625000000291038</v>
      </c>
      <c r="H1386" s="13">
        <f t="shared" si="45"/>
        <v>273.45277999999962</v>
      </c>
      <c r="I1386" s="13">
        <f t="shared" si="46"/>
        <v>273.45625000000291</v>
      </c>
      <c r="J1386" s="13">
        <f t="shared" si="47"/>
        <v>273.45451500000127</v>
      </c>
      <c r="K1386" s="7">
        <v>43738.454515000005</v>
      </c>
      <c r="L1386" s="4">
        <v>1223.7</v>
      </c>
      <c r="M1386">
        <v>4.4000000000000004</v>
      </c>
      <c r="N1386">
        <v>13.89</v>
      </c>
      <c r="O1386">
        <v>39</v>
      </c>
      <c r="P1386">
        <v>0.66</v>
      </c>
      <c r="Q1386">
        <v>-4.1872601959359299</v>
      </c>
      <c r="R1386">
        <v>-3.6604431570774499E-4</v>
      </c>
    </row>
    <row r="1387" spans="1:18" x14ac:dyDescent="0.2">
      <c r="A1387" t="s">
        <v>8</v>
      </c>
      <c r="B1387">
        <v>3</v>
      </c>
      <c r="C1387" t="s">
        <v>6</v>
      </c>
      <c r="D1387" s="2">
        <v>43738</v>
      </c>
      <c r="E1387" s="11">
        <v>273</v>
      </c>
      <c r="F1387" s="3">
        <v>0.45902999999816529</v>
      </c>
      <c r="G1387" s="3">
        <v>0.46250000000145519</v>
      </c>
      <c r="H1387" s="13">
        <f t="shared" si="45"/>
        <v>273.45902999999817</v>
      </c>
      <c r="I1387" s="13">
        <f t="shared" si="46"/>
        <v>273.46250000000146</v>
      </c>
      <c r="J1387" s="13">
        <f t="shared" si="47"/>
        <v>273.46076499999981</v>
      </c>
      <c r="K1387" s="7">
        <v>43738.460764999996</v>
      </c>
      <c r="L1387" s="4">
        <v>1428.7</v>
      </c>
      <c r="N1387">
        <v>13.89</v>
      </c>
      <c r="Q1387">
        <v>5.45248307975986</v>
      </c>
      <c r="R1387">
        <v>-3.4957929779446003E-4</v>
      </c>
    </row>
    <row r="1388" spans="1:18" x14ac:dyDescent="0.2">
      <c r="A1388" t="s">
        <v>8</v>
      </c>
      <c r="B1388">
        <v>4</v>
      </c>
      <c r="C1388" t="s">
        <v>2</v>
      </c>
      <c r="D1388" s="2">
        <v>43738</v>
      </c>
      <c r="E1388" s="11">
        <v>273</v>
      </c>
      <c r="F1388" s="3">
        <v>0.4652799999967101</v>
      </c>
      <c r="G1388" s="3">
        <v>0.46875</v>
      </c>
      <c r="H1388" s="13">
        <f t="shared" si="45"/>
        <v>273.46527999999671</v>
      </c>
      <c r="I1388" s="13">
        <f t="shared" si="46"/>
        <v>273.46875</v>
      </c>
      <c r="J1388" s="13">
        <f t="shared" si="47"/>
        <v>273.46701499999836</v>
      </c>
      <c r="K1388" s="7">
        <v>43738.467015000002</v>
      </c>
      <c r="L1388" s="4">
        <v>736.2</v>
      </c>
      <c r="M1388">
        <v>5.5</v>
      </c>
      <c r="N1388">
        <v>13.89</v>
      </c>
      <c r="O1388">
        <v>37.200000000000003</v>
      </c>
      <c r="P1388">
        <v>0.64</v>
      </c>
      <c r="Q1388">
        <v>-4.7579550326113402</v>
      </c>
      <c r="R1388">
        <v>-3.2526135762694398E-4</v>
      </c>
    </row>
    <row r="1389" spans="1:18" x14ac:dyDescent="0.2">
      <c r="A1389" t="s">
        <v>8</v>
      </c>
      <c r="B1389">
        <v>4</v>
      </c>
      <c r="C1389" t="s">
        <v>6</v>
      </c>
      <c r="D1389" s="2">
        <v>43738</v>
      </c>
      <c r="E1389" s="11">
        <v>273</v>
      </c>
      <c r="F1389" s="3">
        <v>0.4722200000032899</v>
      </c>
      <c r="G1389" s="3">
        <v>0.47568999999930384</v>
      </c>
      <c r="H1389" s="13">
        <f t="shared" si="45"/>
        <v>273.47222000000329</v>
      </c>
      <c r="I1389" s="13">
        <f t="shared" si="46"/>
        <v>273.4756899999993</v>
      </c>
      <c r="J1389" s="13">
        <f t="shared" si="47"/>
        <v>273.4739550000013</v>
      </c>
      <c r="K1389" s="7">
        <v>43738.473955000001</v>
      </c>
      <c r="L1389" s="4">
        <v>1558.7</v>
      </c>
      <c r="N1389">
        <v>13.89</v>
      </c>
      <c r="Q1389">
        <v>4.3294785006442904</v>
      </c>
      <c r="R1389">
        <v>-4.6382801666280401E-4</v>
      </c>
    </row>
    <row r="1390" spans="1:18" x14ac:dyDescent="0.2">
      <c r="A1390" t="s">
        <v>8</v>
      </c>
      <c r="B1390">
        <v>5</v>
      </c>
      <c r="C1390" t="s">
        <v>2</v>
      </c>
      <c r="D1390" s="2">
        <v>43738</v>
      </c>
      <c r="E1390" s="11">
        <v>273</v>
      </c>
      <c r="F1390" s="3">
        <v>0.48124999999708962</v>
      </c>
      <c r="G1390" s="3">
        <v>0.48472000000037951</v>
      </c>
      <c r="H1390" s="13">
        <f t="shared" si="45"/>
        <v>273.48124999999709</v>
      </c>
      <c r="I1390" s="13">
        <f t="shared" si="46"/>
        <v>273.48472000000038</v>
      </c>
      <c r="J1390" s="13">
        <f t="shared" si="47"/>
        <v>273.48298499999873</v>
      </c>
      <c r="K1390" s="7">
        <v>43738.482984999995</v>
      </c>
      <c r="L1390" s="4">
        <v>1573.7</v>
      </c>
      <c r="M1390">
        <v>8.1</v>
      </c>
      <c r="N1390">
        <v>17.22</v>
      </c>
      <c r="O1390">
        <v>46.3</v>
      </c>
      <c r="P1390">
        <v>0.63</v>
      </c>
      <c r="Q1390">
        <v>-0.87447129581316096</v>
      </c>
      <c r="R1390">
        <v>-4.3594176174436601E-4</v>
      </c>
    </row>
    <row r="1391" spans="1:18" x14ac:dyDescent="0.2">
      <c r="A1391" t="s">
        <v>8</v>
      </c>
      <c r="B1391">
        <v>5</v>
      </c>
      <c r="C1391" t="s">
        <v>6</v>
      </c>
      <c r="D1391" s="2">
        <v>43738</v>
      </c>
      <c r="E1391" s="11">
        <v>273</v>
      </c>
      <c r="F1391" s="3">
        <v>0.48889000000053784</v>
      </c>
      <c r="G1391" s="3">
        <v>0.49235999999655178</v>
      </c>
      <c r="H1391" s="13">
        <f t="shared" si="45"/>
        <v>273.48889000000054</v>
      </c>
      <c r="I1391" s="13">
        <f t="shared" si="46"/>
        <v>273.49235999999655</v>
      </c>
      <c r="J1391" s="13">
        <f t="shared" si="47"/>
        <v>273.49062499999854</v>
      </c>
      <c r="K1391" s="7">
        <v>43738.490624999999</v>
      </c>
      <c r="L1391" s="4">
        <v>1283.7</v>
      </c>
      <c r="N1391">
        <v>17.22</v>
      </c>
      <c r="Q1391">
        <v>5.9333282439915402</v>
      </c>
      <c r="R1391">
        <v>-3.1889978827285501E-4</v>
      </c>
    </row>
    <row r="1392" spans="1:18" x14ac:dyDescent="0.2">
      <c r="A1392" t="s">
        <v>8</v>
      </c>
      <c r="B1392">
        <v>1</v>
      </c>
      <c r="C1392" t="s">
        <v>2</v>
      </c>
      <c r="D1392" s="2">
        <v>43738</v>
      </c>
      <c r="E1392" s="11">
        <v>273</v>
      </c>
      <c r="F1392" s="3">
        <v>0.54028000000107568</v>
      </c>
      <c r="G1392" s="3">
        <v>0.54374999999708962</v>
      </c>
      <c r="H1392" s="13">
        <f t="shared" si="45"/>
        <v>273.54028000000108</v>
      </c>
      <c r="I1392" s="13">
        <f t="shared" si="46"/>
        <v>273.54374999999709</v>
      </c>
      <c r="J1392" s="13">
        <f t="shared" si="47"/>
        <v>273.54201499999908</v>
      </c>
      <c r="K1392" s="7">
        <v>43738.542014999999</v>
      </c>
      <c r="L1392" s="4">
        <v>1081.2</v>
      </c>
      <c r="M1392">
        <v>6.6</v>
      </c>
      <c r="N1392">
        <v>17.22</v>
      </c>
      <c r="O1392">
        <v>43.3</v>
      </c>
      <c r="P1392">
        <v>0.74</v>
      </c>
      <c r="Q1392">
        <v>-6.4700982316049398</v>
      </c>
      <c r="R1392">
        <v>-4.2076052487778197E-4</v>
      </c>
    </row>
    <row r="1393" spans="1:18" x14ac:dyDescent="0.2">
      <c r="A1393" t="s">
        <v>8</v>
      </c>
      <c r="B1393">
        <v>1</v>
      </c>
      <c r="C1393" t="s">
        <v>6</v>
      </c>
      <c r="D1393" s="2">
        <v>43738</v>
      </c>
      <c r="E1393" s="11">
        <v>273</v>
      </c>
      <c r="F1393" s="3">
        <v>0.54652999999962049</v>
      </c>
      <c r="G1393" s="3">
        <v>0.55000000000291038</v>
      </c>
      <c r="H1393" s="13">
        <f t="shared" si="45"/>
        <v>273.54652999999962</v>
      </c>
      <c r="I1393" s="13">
        <f t="shared" si="46"/>
        <v>273.55000000000291</v>
      </c>
      <c r="J1393" s="13">
        <f t="shared" si="47"/>
        <v>273.54826500000127</v>
      </c>
      <c r="K1393" s="7">
        <v>43738.548265000005</v>
      </c>
      <c r="L1393" s="4">
        <v>936.2</v>
      </c>
      <c r="N1393">
        <v>17.22</v>
      </c>
      <c r="Q1393">
        <v>7.9273576262451799</v>
      </c>
      <c r="R1393">
        <v>-6.1484238990183097E-4</v>
      </c>
    </row>
    <row r="1394" spans="1:18" x14ac:dyDescent="0.2">
      <c r="A1394" t="s">
        <v>8</v>
      </c>
      <c r="B1394">
        <v>2</v>
      </c>
      <c r="C1394" t="s">
        <v>2</v>
      </c>
      <c r="D1394" s="2">
        <v>43738</v>
      </c>
      <c r="E1394" s="11">
        <v>273</v>
      </c>
      <c r="F1394" s="3">
        <v>0.55277999999816529</v>
      </c>
      <c r="G1394" s="3">
        <v>0.55625000000145519</v>
      </c>
      <c r="H1394" s="13">
        <f t="shared" si="45"/>
        <v>273.55277999999817</v>
      </c>
      <c r="I1394" s="13">
        <f t="shared" si="46"/>
        <v>273.55625000000146</v>
      </c>
      <c r="J1394" s="13">
        <f t="shared" si="47"/>
        <v>273.55451499999981</v>
      </c>
      <c r="K1394" s="7">
        <v>43738.554514999996</v>
      </c>
      <c r="L1394" s="4">
        <v>863.7</v>
      </c>
      <c r="M1394">
        <v>6.9</v>
      </c>
      <c r="N1394">
        <v>17.22</v>
      </c>
      <c r="O1394">
        <v>46.9</v>
      </c>
      <c r="P1394">
        <v>0.62</v>
      </c>
      <c r="Q1394">
        <v>-0.71852890858426</v>
      </c>
      <c r="R1394">
        <v>-3.6165538479337002E-4</v>
      </c>
    </row>
    <row r="1395" spans="1:18" x14ac:dyDescent="0.2">
      <c r="A1395" t="s">
        <v>8</v>
      </c>
      <c r="B1395">
        <v>2</v>
      </c>
      <c r="C1395" t="s">
        <v>6</v>
      </c>
      <c r="D1395" s="2">
        <v>43738</v>
      </c>
      <c r="E1395" s="11">
        <v>273</v>
      </c>
      <c r="F1395" s="3">
        <v>0.55832999999984168</v>
      </c>
      <c r="G1395" s="3">
        <v>0.56180999999924097</v>
      </c>
      <c r="H1395" s="13">
        <f t="shared" si="45"/>
        <v>273.55832999999984</v>
      </c>
      <c r="I1395" s="13">
        <f t="shared" si="46"/>
        <v>273.56180999999924</v>
      </c>
      <c r="J1395" s="13">
        <f t="shared" si="47"/>
        <v>273.56006999999954</v>
      </c>
      <c r="K1395" s="7">
        <v>43738.56007</v>
      </c>
      <c r="L1395" s="4">
        <v>958.7</v>
      </c>
      <c r="N1395">
        <v>17.22</v>
      </c>
      <c r="Q1395">
        <v>4.3595044905929097</v>
      </c>
      <c r="R1395">
        <v>-4.1896849207744599E-4</v>
      </c>
    </row>
    <row r="1396" spans="1:18" x14ac:dyDescent="0.2">
      <c r="A1396" t="s">
        <v>8</v>
      </c>
      <c r="B1396">
        <v>3</v>
      </c>
      <c r="C1396" t="s">
        <v>2</v>
      </c>
      <c r="D1396" s="2">
        <v>43738</v>
      </c>
      <c r="E1396" s="11">
        <v>273</v>
      </c>
      <c r="F1396" s="3">
        <v>0.56528000000253087</v>
      </c>
      <c r="G1396" s="3">
        <v>0.56874999999854481</v>
      </c>
      <c r="H1396" s="13">
        <f t="shared" si="45"/>
        <v>273.56528000000253</v>
      </c>
      <c r="I1396" s="13">
        <f t="shared" si="46"/>
        <v>273.56874999999854</v>
      </c>
      <c r="J1396" s="13">
        <f t="shared" si="47"/>
        <v>273.56701500000054</v>
      </c>
      <c r="K1396" s="7">
        <v>43738.567015000001</v>
      </c>
      <c r="L1396" s="4">
        <v>1048.7</v>
      </c>
      <c r="M1396">
        <v>6.1</v>
      </c>
      <c r="N1396">
        <v>17.22</v>
      </c>
      <c r="O1396">
        <v>44.4</v>
      </c>
      <c r="P1396">
        <v>0.68</v>
      </c>
      <c r="Q1396">
        <v>-2.0729009469235602</v>
      </c>
      <c r="R1396">
        <v>-3.8416927641034E-4</v>
      </c>
    </row>
    <row r="1397" spans="1:18" x14ac:dyDescent="0.2">
      <c r="A1397" t="s">
        <v>8</v>
      </c>
      <c r="B1397">
        <v>3</v>
      </c>
      <c r="C1397" t="s">
        <v>6</v>
      </c>
      <c r="D1397" s="2">
        <v>43738</v>
      </c>
      <c r="E1397" s="11">
        <v>273</v>
      </c>
      <c r="F1397" s="3">
        <v>0.57222000000183471</v>
      </c>
      <c r="G1397" s="3">
        <v>0.57568999999784864</v>
      </c>
      <c r="H1397" s="13">
        <f t="shared" si="45"/>
        <v>273.57222000000183</v>
      </c>
      <c r="I1397" s="13">
        <f t="shared" si="46"/>
        <v>273.57568999999785</v>
      </c>
      <c r="J1397" s="13">
        <f t="shared" si="47"/>
        <v>273.57395499999984</v>
      </c>
      <c r="K1397" s="7">
        <v>43738.573955</v>
      </c>
      <c r="L1397" s="4">
        <v>941.2</v>
      </c>
      <c r="N1397">
        <v>17.22</v>
      </c>
      <c r="Q1397">
        <v>5.6796372236114401</v>
      </c>
      <c r="R1397">
        <v>-5.4320079255948503E-4</v>
      </c>
    </row>
    <row r="1398" spans="1:18" x14ac:dyDescent="0.2">
      <c r="A1398" t="s">
        <v>8</v>
      </c>
      <c r="B1398">
        <v>4</v>
      </c>
      <c r="C1398" t="s">
        <v>2</v>
      </c>
      <c r="D1398" s="2">
        <v>43738</v>
      </c>
      <c r="E1398" s="11">
        <v>273</v>
      </c>
      <c r="F1398" s="3">
        <v>0.57847000000037951</v>
      </c>
      <c r="G1398" s="3">
        <v>0.58193999999639345</v>
      </c>
      <c r="H1398" s="13">
        <f t="shared" si="45"/>
        <v>273.57847000000038</v>
      </c>
      <c r="I1398" s="13">
        <f t="shared" si="46"/>
        <v>273.58193999999639</v>
      </c>
      <c r="J1398" s="13">
        <f t="shared" si="47"/>
        <v>273.58020499999839</v>
      </c>
      <c r="K1398" s="7">
        <v>43738.580204999998</v>
      </c>
      <c r="L1398" s="4">
        <v>763.7</v>
      </c>
      <c r="M1398">
        <v>5.3</v>
      </c>
      <c r="N1398">
        <v>17.22</v>
      </c>
      <c r="O1398">
        <v>46</v>
      </c>
      <c r="P1398">
        <v>0.7</v>
      </c>
      <c r="Q1398">
        <v>-3.0222700842024501</v>
      </c>
      <c r="R1398">
        <v>-5.4407042720291097E-4</v>
      </c>
    </row>
    <row r="1399" spans="1:18" x14ac:dyDescent="0.2">
      <c r="A1399" t="s">
        <v>8</v>
      </c>
      <c r="B1399">
        <v>4</v>
      </c>
      <c r="C1399" t="s">
        <v>6</v>
      </c>
      <c r="D1399" s="2">
        <v>43738</v>
      </c>
      <c r="E1399" s="11">
        <v>273</v>
      </c>
      <c r="F1399" s="3">
        <v>0.58402999999816529</v>
      </c>
      <c r="G1399" s="3">
        <v>0.58750000000145519</v>
      </c>
      <c r="H1399" s="13">
        <f t="shared" si="45"/>
        <v>273.58402999999817</v>
      </c>
      <c r="I1399" s="13">
        <f t="shared" si="46"/>
        <v>273.58750000000146</v>
      </c>
      <c r="J1399" s="13">
        <f t="shared" si="47"/>
        <v>273.58576499999981</v>
      </c>
      <c r="K1399" s="7">
        <v>43738.585764999996</v>
      </c>
      <c r="L1399" s="4">
        <v>673.7</v>
      </c>
      <c r="N1399">
        <v>17.22</v>
      </c>
      <c r="Q1399">
        <v>4.0090797992290597</v>
      </c>
      <c r="R1399">
        <v>-4.6502508211174897E-4</v>
      </c>
    </row>
    <row r="1400" spans="1:18" x14ac:dyDescent="0.2">
      <c r="A1400" t="s">
        <v>8</v>
      </c>
      <c r="B1400">
        <v>5</v>
      </c>
      <c r="C1400" t="s">
        <v>2</v>
      </c>
      <c r="D1400" s="2">
        <v>43738</v>
      </c>
      <c r="E1400" s="11">
        <v>273</v>
      </c>
      <c r="F1400" s="3">
        <v>0.5902799999967101</v>
      </c>
      <c r="G1400" s="3">
        <v>0.59375</v>
      </c>
      <c r="H1400" s="13">
        <f t="shared" si="45"/>
        <v>273.59027999999671</v>
      </c>
      <c r="I1400" s="13">
        <f t="shared" si="46"/>
        <v>273.59375</v>
      </c>
      <c r="J1400" s="13">
        <f t="shared" si="47"/>
        <v>273.59201499999836</v>
      </c>
      <c r="K1400" s="7">
        <v>43738.592015000002</v>
      </c>
      <c r="L1400" s="4">
        <v>708.7</v>
      </c>
      <c r="M1400">
        <v>8.6</v>
      </c>
      <c r="N1400">
        <v>19.440000000000001</v>
      </c>
      <c r="O1400">
        <v>45.8</v>
      </c>
      <c r="P1400">
        <v>0.72</v>
      </c>
      <c r="Q1400">
        <v>-1.0056396255281099</v>
      </c>
      <c r="R1400">
        <v>-4.0501413574028201E-4</v>
      </c>
    </row>
    <row r="1401" spans="1:18" x14ac:dyDescent="0.2">
      <c r="A1401" t="s">
        <v>8</v>
      </c>
      <c r="B1401">
        <v>5</v>
      </c>
      <c r="C1401" t="s">
        <v>6</v>
      </c>
      <c r="D1401" s="2">
        <v>43738</v>
      </c>
      <c r="E1401" s="11">
        <v>273</v>
      </c>
      <c r="F1401" s="3">
        <v>0.5972200000032899</v>
      </c>
      <c r="G1401" s="3">
        <v>0.60068999999930384</v>
      </c>
      <c r="H1401" s="13">
        <f t="shared" si="45"/>
        <v>273.59722000000329</v>
      </c>
      <c r="I1401" s="13">
        <f t="shared" si="46"/>
        <v>273.6006899999993</v>
      </c>
      <c r="J1401" s="13">
        <f t="shared" si="47"/>
        <v>273.5989550000013</v>
      </c>
      <c r="K1401" s="7">
        <v>43738.598955000001</v>
      </c>
      <c r="L1401" s="4">
        <v>936.2</v>
      </c>
      <c r="N1401">
        <v>19.440000000000001</v>
      </c>
      <c r="Q1401">
        <v>4.2659737419360901</v>
      </c>
      <c r="R1401">
        <v>-3.1267528121669999E-4</v>
      </c>
    </row>
    <row r="1402" spans="1:18" x14ac:dyDescent="0.2">
      <c r="A1402" t="s">
        <v>8</v>
      </c>
      <c r="B1402">
        <v>1</v>
      </c>
      <c r="C1402" t="s">
        <v>2</v>
      </c>
      <c r="D1402" s="2">
        <v>43749</v>
      </c>
      <c r="E1402" s="11">
        <v>284</v>
      </c>
      <c r="F1402" s="3">
        <v>0.38193999999930384</v>
      </c>
      <c r="G1402" s="3">
        <v>0.38541999999870313</v>
      </c>
      <c r="H1402" s="13">
        <f t="shared" si="45"/>
        <v>284.3819399999993</v>
      </c>
      <c r="I1402" s="13">
        <f t="shared" si="46"/>
        <v>284.3854199999987</v>
      </c>
      <c r="J1402" s="13">
        <f t="shared" si="47"/>
        <v>284.383679999999</v>
      </c>
      <c r="K1402" s="7">
        <v>43749.383679999999</v>
      </c>
      <c r="L1402" s="4">
        <v>796.2</v>
      </c>
      <c r="M1402">
        <v>17.3</v>
      </c>
      <c r="N1402">
        <v>10</v>
      </c>
      <c r="O1402">
        <v>41.6</v>
      </c>
      <c r="P1402">
        <v>0.68</v>
      </c>
      <c r="Q1402">
        <v>0.126769362854741</v>
      </c>
      <c r="R1402" s="6">
        <v>1.1210196332226101E-5</v>
      </c>
    </row>
    <row r="1403" spans="1:18" x14ac:dyDescent="0.2">
      <c r="A1403" t="s">
        <v>8</v>
      </c>
      <c r="B1403">
        <v>1</v>
      </c>
      <c r="C1403" t="s">
        <v>6</v>
      </c>
      <c r="D1403" s="2">
        <v>43749</v>
      </c>
      <c r="E1403" s="11">
        <v>284</v>
      </c>
      <c r="F1403" s="3">
        <v>0.39166999999724794</v>
      </c>
      <c r="G1403" s="3">
        <v>0.39514000000053784</v>
      </c>
      <c r="H1403" s="13">
        <f t="shared" ref="H1403:H1466" si="48">E1403+F1403</f>
        <v>284.39166999999725</v>
      </c>
      <c r="I1403" s="13">
        <f t="shared" ref="I1403:I1466" si="49">E1403+G1403</f>
        <v>284.39514000000054</v>
      </c>
      <c r="J1403" s="13">
        <f t="shared" ref="J1403:J1466" si="50">AVERAGE(H1403:I1403)</f>
        <v>284.39340499999889</v>
      </c>
      <c r="K1403" s="7">
        <v>43749.393404999995</v>
      </c>
      <c r="L1403" s="4">
        <v>883.7</v>
      </c>
      <c r="N1403">
        <v>10</v>
      </c>
      <c r="Q1403">
        <v>5.7797327432799799</v>
      </c>
      <c r="R1403">
        <v>-7.0854301968159995E-4</v>
      </c>
    </row>
    <row r="1404" spans="1:18" x14ac:dyDescent="0.2">
      <c r="A1404" t="s">
        <v>8</v>
      </c>
      <c r="B1404">
        <v>2</v>
      </c>
      <c r="C1404" t="s">
        <v>2</v>
      </c>
      <c r="D1404" s="2">
        <v>43749</v>
      </c>
      <c r="E1404" s="11">
        <v>284</v>
      </c>
      <c r="F1404" s="3">
        <v>0.39860999999655178</v>
      </c>
      <c r="G1404" s="3">
        <v>0.40207999999984168</v>
      </c>
      <c r="H1404" s="13">
        <f t="shared" si="48"/>
        <v>284.39860999999655</v>
      </c>
      <c r="I1404" s="13">
        <f t="shared" si="49"/>
        <v>284.40207999999984</v>
      </c>
      <c r="J1404" s="13">
        <f t="shared" si="50"/>
        <v>284.4003449999982</v>
      </c>
      <c r="K1404" s="7">
        <v>43749.400345000002</v>
      </c>
      <c r="L1404" s="4">
        <v>936.2</v>
      </c>
      <c r="M1404">
        <v>15.3</v>
      </c>
      <c r="N1404">
        <v>10</v>
      </c>
      <c r="O1404">
        <v>34.1</v>
      </c>
      <c r="P1404">
        <v>0.66</v>
      </c>
      <c r="Q1404">
        <v>-10.694988240529501</v>
      </c>
      <c r="R1404">
        <v>-1.53177361326726E-4</v>
      </c>
    </row>
    <row r="1405" spans="1:18" x14ac:dyDescent="0.2">
      <c r="A1405" t="s">
        <v>8</v>
      </c>
      <c r="B1405">
        <v>2</v>
      </c>
      <c r="C1405" t="s">
        <v>6</v>
      </c>
      <c r="D1405" s="2">
        <v>43749</v>
      </c>
      <c r="E1405" s="11">
        <v>284</v>
      </c>
      <c r="F1405" s="3">
        <v>0.40520999999716878</v>
      </c>
      <c r="G1405" s="3">
        <v>0.40868000000045868</v>
      </c>
      <c r="H1405" s="13">
        <f t="shared" si="48"/>
        <v>284.40520999999717</v>
      </c>
      <c r="I1405" s="13">
        <f t="shared" si="49"/>
        <v>284.40868000000046</v>
      </c>
      <c r="J1405" s="13">
        <f t="shared" si="50"/>
        <v>284.40694499999881</v>
      </c>
      <c r="K1405" s="7">
        <v>43749.406944999995</v>
      </c>
      <c r="L1405" s="4">
        <v>996.2</v>
      </c>
      <c r="N1405">
        <v>10</v>
      </c>
      <c r="Q1405">
        <v>3.68770556405067</v>
      </c>
      <c r="R1405">
        <v>-1.9691086160436501E-4</v>
      </c>
    </row>
    <row r="1406" spans="1:18" x14ac:dyDescent="0.2">
      <c r="A1406" t="s">
        <v>8</v>
      </c>
      <c r="B1406">
        <v>3</v>
      </c>
      <c r="C1406" t="s">
        <v>2</v>
      </c>
      <c r="D1406" s="2">
        <v>43749</v>
      </c>
      <c r="E1406" s="11">
        <v>284</v>
      </c>
      <c r="F1406" s="3">
        <v>0.41111000000091735</v>
      </c>
      <c r="G1406" s="3">
        <v>0.41457999999693129</v>
      </c>
      <c r="H1406" s="13">
        <f t="shared" si="48"/>
        <v>284.41111000000092</v>
      </c>
      <c r="I1406" s="13">
        <f t="shared" si="49"/>
        <v>284.41457999999693</v>
      </c>
      <c r="J1406" s="13">
        <f t="shared" si="50"/>
        <v>284.41284499999892</v>
      </c>
      <c r="K1406" s="7">
        <v>43749.412844999999</v>
      </c>
      <c r="L1406" s="4">
        <v>996.2</v>
      </c>
      <c r="M1406">
        <v>12</v>
      </c>
      <c r="N1406">
        <v>10</v>
      </c>
      <c r="O1406">
        <v>43.6</v>
      </c>
      <c r="P1406">
        <v>0.69</v>
      </c>
      <c r="Q1406">
        <v>-4.8913092406528698</v>
      </c>
      <c r="R1406">
        <v>-2.3505488320552201E-4</v>
      </c>
    </row>
    <row r="1407" spans="1:18" x14ac:dyDescent="0.2">
      <c r="A1407" t="s">
        <v>8</v>
      </c>
      <c r="B1407">
        <v>3</v>
      </c>
      <c r="C1407" t="s">
        <v>6</v>
      </c>
      <c r="D1407" s="2">
        <v>43749</v>
      </c>
      <c r="E1407" s="11">
        <v>284</v>
      </c>
      <c r="F1407" s="3">
        <v>0.41735999999946216</v>
      </c>
      <c r="G1407" s="3">
        <v>0.42083000000275206</v>
      </c>
      <c r="H1407" s="13">
        <f t="shared" si="48"/>
        <v>284.41735999999946</v>
      </c>
      <c r="I1407" s="13">
        <f t="shared" si="49"/>
        <v>284.42083000000275</v>
      </c>
      <c r="J1407" s="13">
        <f t="shared" si="50"/>
        <v>284.41909500000111</v>
      </c>
      <c r="K1407" s="7">
        <v>43749.419095000005</v>
      </c>
      <c r="L1407" s="4">
        <v>1063.7</v>
      </c>
      <c r="N1407">
        <v>10</v>
      </c>
      <c r="Q1407">
        <v>4.9896875565074499</v>
      </c>
      <c r="R1407">
        <v>-6.4991977355260998E-4</v>
      </c>
    </row>
    <row r="1408" spans="1:18" x14ac:dyDescent="0.2">
      <c r="A1408" t="s">
        <v>8</v>
      </c>
      <c r="B1408">
        <v>4</v>
      </c>
      <c r="C1408" t="s">
        <v>2</v>
      </c>
      <c r="D1408" s="2">
        <v>43749</v>
      </c>
      <c r="E1408" s="11">
        <v>284</v>
      </c>
      <c r="F1408" s="3">
        <v>0.42360999999800697</v>
      </c>
      <c r="G1408" s="3">
        <v>0.42708000000129687</v>
      </c>
      <c r="H1408" s="13">
        <f t="shared" si="48"/>
        <v>284.42360999999801</v>
      </c>
      <c r="I1408" s="13">
        <f t="shared" si="49"/>
        <v>284.4270800000013</v>
      </c>
      <c r="J1408" s="13">
        <f t="shared" si="50"/>
        <v>284.42534499999965</v>
      </c>
      <c r="K1408" s="7">
        <v>43749.425344999996</v>
      </c>
      <c r="L1408" s="4">
        <v>1431.2</v>
      </c>
      <c r="M1408">
        <v>15.8</v>
      </c>
      <c r="N1408">
        <v>10</v>
      </c>
      <c r="O1408">
        <v>34.1</v>
      </c>
      <c r="P1408">
        <v>0.67</v>
      </c>
      <c r="Q1408">
        <v>-6.50867610276826</v>
      </c>
      <c r="R1408">
        <v>-1.7380532718308899E-4</v>
      </c>
    </row>
    <row r="1409" spans="1:18" x14ac:dyDescent="0.2">
      <c r="A1409" t="s">
        <v>8</v>
      </c>
      <c r="B1409">
        <v>4</v>
      </c>
      <c r="C1409" t="s">
        <v>6</v>
      </c>
      <c r="D1409" s="2">
        <v>43749</v>
      </c>
      <c r="E1409" s="11">
        <v>284</v>
      </c>
      <c r="F1409" s="3">
        <v>0.42985999999655178</v>
      </c>
      <c r="G1409" s="3">
        <v>0.43332999999984168</v>
      </c>
      <c r="H1409" s="13">
        <f t="shared" si="48"/>
        <v>284.42985999999655</v>
      </c>
      <c r="I1409" s="13">
        <f t="shared" si="49"/>
        <v>284.43332999999984</v>
      </c>
      <c r="J1409" s="13">
        <f t="shared" si="50"/>
        <v>284.4315949999982</v>
      </c>
      <c r="K1409" s="7">
        <v>43749.431595000002</v>
      </c>
      <c r="L1409" s="4">
        <v>881.2</v>
      </c>
      <c r="N1409">
        <v>10</v>
      </c>
      <c r="Q1409">
        <v>4.3368487279648198</v>
      </c>
      <c r="R1409">
        <v>-2.8112687306548002E-4</v>
      </c>
    </row>
    <row r="1410" spans="1:18" x14ac:dyDescent="0.2">
      <c r="A1410" t="s">
        <v>8</v>
      </c>
      <c r="B1410">
        <v>5</v>
      </c>
      <c r="C1410" t="s">
        <v>2</v>
      </c>
      <c r="D1410" s="2">
        <v>43749</v>
      </c>
      <c r="E1410" s="11">
        <v>284</v>
      </c>
      <c r="F1410" s="3">
        <v>0.43542000000161352</v>
      </c>
      <c r="G1410" s="3">
        <v>0.43888999999762746</v>
      </c>
      <c r="H1410" s="13">
        <f t="shared" si="48"/>
        <v>284.43542000000161</v>
      </c>
      <c r="I1410" s="13">
        <f t="shared" si="49"/>
        <v>284.43888999999763</v>
      </c>
      <c r="J1410" s="13">
        <f t="shared" si="50"/>
        <v>284.43715499999962</v>
      </c>
      <c r="K1410" s="7">
        <v>43749.437155</v>
      </c>
      <c r="L1410" s="4">
        <v>1413.7</v>
      </c>
      <c r="M1410">
        <v>16.399999999999999</v>
      </c>
      <c r="N1410">
        <v>14.44</v>
      </c>
      <c r="O1410">
        <v>37.4</v>
      </c>
      <c r="P1410">
        <v>0.64</v>
      </c>
      <c r="Q1410">
        <v>-5.5206270485455198</v>
      </c>
      <c r="R1410">
        <v>-1.9897852259142401E-4</v>
      </c>
    </row>
    <row r="1411" spans="1:18" x14ac:dyDescent="0.2">
      <c r="A1411" t="s">
        <v>8</v>
      </c>
      <c r="B1411">
        <v>5</v>
      </c>
      <c r="C1411" t="s">
        <v>6</v>
      </c>
      <c r="D1411" s="2">
        <v>43749</v>
      </c>
      <c r="E1411" s="11">
        <v>284</v>
      </c>
      <c r="F1411" s="3">
        <v>0.4409700000032899</v>
      </c>
      <c r="G1411" s="3">
        <v>0.44443999999930384</v>
      </c>
      <c r="H1411" s="13">
        <f t="shared" si="48"/>
        <v>284.44097000000329</v>
      </c>
      <c r="I1411" s="13">
        <f t="shared" si="49"/>
        <v>284.4444399999993</v>
      </c>
      <c r="J1411" s="13">
        <f t="shared" si="50"/>
        <v>284.4427050000013</v>
      </c>
      <c r="K1411" s="7">
        <v>43749.442705000001</v>
      </c>
      <c r="L1411" s="4">
        <v>888.7</v>
      </c>
      <c r="N1411">
        <v>14.44</v>
      </c>
      <c r="Q1411">
        <v>5.6794495215502501</v>
      </c>
      <c r="R1411">
        <v>-2.8184434374974298E-4</v>
      </c>
    </row>
    <row r="1412" spans="1:18" x14ac:dyDescent="0.2">
      <c r="A1412" t="s">
        <v>8</v>
      </c>
      <c r="B1412">
        <v>1</v>
      </c>
      <c r="C1412" t="s">
        <v>2</v>
      </c>
      <c r="D1412" s="2">
        <v>43749</v>
      </c>
      <c r="E1412" s="11">
        <v>284</v>
      </c>
      <c r="F1412" s="3">
        <v>0.48176999999850523</v>
      </c>
      <c r="G1412" s="3">
        <v>0.48524000000179512</v>
      </c>
      <c r="H1412" s="13">
        <f t="shared" si="48"/>
        <v>284.48176999999851</v>
      </c>
      <c r="I1412" s="13">
        <f t="shared" si="49"/>
        <v>284.4852400000018</v>
      </c>
      <c r="J1412" s="13">
        <f t="shared" si="50"/>
        <v>284.48350500000015</v>
      </c>
      <c r="K1412" s="7">
        <v>43749.483504999997</v>
      </c>
      <c r="L1412" s="4">
        <v>843.7</v>
      </c>
      <c r="M1412">
        <v>15.3</v>
      </c>
      <c r="N1412">
        <v>14.44</v>
      </c>
      <c r="O1412">
        <v>41</v>
      </c>
      <c r="P1412">
        <v>0.67</v>
      </c>
      <c r="Q1412">
        <v>-7.9565749530778298</v>
      </c>
      <c r="R1412">
        <v>-4.9268310880118101E-4</v>
      </c>
    </row>
    <row r="1413" spans="1:18" x14ac:dyDescent="0.2">
      <c r="A1413" t="s">
        <v>8</v>
      </c>
      <c r="B1413">
        <v>1</v>
      </c>
      <c r="C1413" t="s">
        <v>6</v>
      </c>
      <c r="D1413" s="2">
        <v>43749</v>
      </c>
      <c r="E1413" s="11">
        <v>284</v>
      </c>
      <c r="F1413" s="3">
        <v>0.48750000000291038</v>
      </c>
      <c r="G1413" s="3">
        <v>0.49096999999892432</v>
      </c>
      <c r="H1413" s="13">
        <f t="shared" si="48"/>
        <v>284.48750000000291</v>
      </c>
      <c r="I1413" s="13">
        <f t="shared" si="49"/>
        <v>284.49096999999892</v>
      </c>
      <c r="J1413" s="13">
        <f t="shared" si="50"/>
        <v>284.48923500000092</v>
      </c>
      <c r="K1413" s="7">
        <v>43749.489235000001</v>
      </c>
      <c r="L1413" s="4">
        <v>1141.2</v>
      </c>
      <c r="N1413">
        <v>14.44</v>
      </c>
      <c r="Q1413">
        <v>8.1729211994386599</v>
      </c>
      <c r="R1413">
        <v>-1.13510145321393E-3</v>
      </c>
    </row>
    <row r="1414" spans="1:18" x14ac:dyDescent="0.2">
      <c r="A1414" t="s">
        <v>8</v>
      </c>
      <c r="B1414">
        <v>2</v>
      </c>
      <c r="C1414" t="s">
        <v>2</v>
      </c>
      <c r="D1414" s="2">
        <v>43749</v>
      </c>
      <c r="E1414" s="11">
        <v>284</v>
      </c>
      <c r="F1414" s="3">
        <v>0.49306000000069616</v>
      </c>
      <c r="G1414" s="3">
        <v>0.4965299999967101</v>
      </c>
      <c r="H1414" s="13">
        <f t="shared" si="48"/>
        <v>284.4930600000007</v>
      </c>
      <c r="I1414" s="13">
        <f t="shared" si="49"/>
        <v>284.49652999999671</v>
      </c>
      <c r="J1414" s="13">
        <f t="shared" si="50"/>
        <v>284.4947949999987</v>
      </c>
      <c r="K1414" s="7">
        <v>43749.494794999999</v>
      </c>
      <c r="L1414" s="4">
        <v>983.7</v>
      </c>
      <c r="M1414">
        <v>17.5</v>
      </c>
      <c r="N1414">
        <v>14.44</v>
      </c>
      <c r="O1414">
        <v>36</v>
      </c>
      <c r="P1414">
        <v>0.67</v>
      </c>
      <c r="Q1414">
        <v>-11.8376934679118</v>
      </c>
      <c r="R1414" s="6">
        <v>-5.7843658854035601E-5</v>
      </c>
    </row>
    <row r="1415" spans="1:18" x14ac:dyDescent="0.2">
      <c r="A1415" t="s">
        <v>8</v>
      </c>
      <c r="B1415">
        <v>2</v>
      </c>
      <c r="C1415" t="s">
        <v>6</v>
      </c>
      <c r="D1415" s="2">
        <v>43749</v>
      </c>
      <c r="E1415" s="11">
        <v>284</v>
      </c>
      <c r="F1415" s="3">
        <v>0.5</v>
      </c>
      <c r="G1415" s="3">
        <v>0.5034700000032899</v>
      </c>
      <c r="H1415" s="13">
        <f t="shared" si="48"/>
        <v>284.5</v>
      </c>
      <c r="I1415" s="13">
        <f t="shared" si="49"/>
        <v>284.50347000000329</v>
      </c>
      <c r="J1415" s="13">
        <f t="shared" si="50"/>
        <v>284.50173500000164</v>
      </c>
      <c r="K1415" s="7">
        <v>43749.501734999998</v>
      </c>
      <c r="L1415" s="4">
        <v>1021.2</v>
      </c>
      <c r="N1415">
        <v>14.44</v>
      </c>
      <c r="Q1415">
        <v>6.3392307170646403</v>
      </c>
      <c r="R1415">
        <v>-2.5701008550359401E-4</v>
      </c>
    </row>
    <row r="1416" spans="1:18" x14ac:dyDescent="0.2">
      <c r="A1416" t="s">
        <v>8</v>
      </c>
      <c r="B1416">
        <v>3</v>
      </c>
      <c r="C1416" t="s">
        <v>2</v>
      </c>
      <c r="D1416" s="2">
        <v>43749</v>
      </c>
      <c r="E1416" s="11">
        <v>284</v>
      </c>
      <c r="F1416" s="3">
        <v>0.50764000000344822</v>
      </c>
      <c r="G1416" s="3">
        <v>0.51110999999946216</v>
      </c>
      <c r="H1416" s="13">
        <f t="shared" si="48"/>
        <v>284.50764000000345</v>
      </c>
      <c r="I1416" s="13">
        <f t="shared" si="49"/>
        <v>284.51110999999946</v>
      </c>
      <c r="J1416" s="13">
        <f t="shared" si="50"/>
        <v>284.50937500000146</v>
      </c>
      <c r="K1416" s="7">
        <v>43749.509375000001</v>
      </c>
      <c r="L1416" s="4">
        <v>958.7</v>
      </c>
      <c r="M1416">
        <v>12.5</v>
      </c>
      <c r="N1416">
        <v>14.44</v>
      </c>
      <c r="O1416">
        <v>40.6</v>
      </c>
      <c r="P1416">
        <v>0.65</v>
      </c>
      <c r="Q1416">
        <v>-5.8349012933670297</v>
      </c>
      <c r="R1416" s="6">
        <v>-8.71116259403137E-5</v>
      </c>
    </row>
    <row r="1417" spans="1:18" x14ac:dyDescent="0.2">
      <c r="A1417" t="s">
        <v>8</v>
      </c>
      <c r="B1417">
        <v>3</v>
      </c>
      <c r="C1417" t="s">
        <v>6</v>
      </c>
      <c r="D1417" s="2">
        <v>43749</v>
      </c>
      <c r="E1417" s="11">
        <v>284</v>
      </c>
      <c r="F1417" s="3">
        <v>0.51389000000199303</v>
      </c>
      <c r="G1417" s="3">
        <v>0.51735999999800697</v>
      </c>
      <c r="H1417" s="13">
        <f t="shared" si="48"/>
        <v>284.51389000000199</v>
      </c>
      <c r="I1417" s="13">
        <f t="shared" si="49"/>
        <v>284.51735999999801</v>
      </c>
      <c r="J1417" s="13">
        <f t="shared" si="50"/>
        <v>284.515625</v>
      </c>
      <c r="K1417" s="7">
        <v>43749.515625</v>
      </c>
      <c r="L1417" s="4">
        <v>1051.2</v>
      </c>
      <c r="N1417">
        <v>14.44</v>
      </c>
      <c r="Q1417">
        <v>5.3890735828218403</v>
      </c>
      <c r="R1417">
        <v>-5.1188796216008201E-4</v>
      </c>
    </row>
    <row r="1418" spans="1:18" x14ac:dyDescent="0.2">
      <c r="A1418" t="s">
        <v>8</v>
      </c>
      <c r="B1418">
        <v>4</v>
      </c>
      <c r="C1418" t="s">
        <v>2</v>
      </c>
      <c r="D1418" s="2">
        <v>43749</v>
      </c>
      <c r="E1418" s="11">
        <v>284</v>
      </c>
      <c r="F1418" s="3">
        <v>0.51943999999639345</v>
      </c>
      <c r="G1418" s="3">
        <v>0.52292000000306871</v>
      </c>
      <c r="H1418" s="13">
        <f t="shared" si="48"/>
        <v>284.51943999999639</v>
      </c>
      <c r="I1418" s="13">
        <f t="shared" si="49"/>
        <v>284.52292000000307</v>
      </c>
      <c r="J1418" s="13">
        <f t="shared" si="50"/>
        <v>284.52117999999973</v>
      </c>
      <c r="K1418" s="7">
        <v>43749.521179999996</v>
      </c>
      <c r="L1418" s="4">
        <v>1016.2</v>
      </c>
      <c r="M1418">
        <v>20</v>
      </c>
      <c r="N1418">
        <v>14.44</v>
      </c>
      <c r="O1418">
        <v>35</v>
      </c>
      <c r="P1418">
        <v>0.65</v>
      </c>
      <c r="Q1418">
        <v>-7.7121959532508804</v>
      </c>
      <c r="R1418">
        <v>-2.1719794138157599E-4</v>
      </c>
    </row>
    <row r="1419" spans="1:18" x14ac:dyDescent="0.2">
      <c r="A1419" t="s">
        <v>8</v>
      </c>
      <c r="B1419">
        <v>4</v>
      </c>
      <c r="C1419" t="s">
        <v>6</v>
      </c>
      <c r="D1419" s="2">
        <v>43749</v>
      </c>
      <c r="E1419" s="11">
        <v>284</v>
      </c>
      <c r="F1419" s="3">
        <v>0.52500000000145519</v>
      </c>
      <c r="G1419" s="3">
        <v>0.52846999999746913</v>
      </c>
      <c r="H1419" s="13">
        <f t="shared" si="48"/>
        <v>284.52500000000146</v>
      </c>
      <c r="I1419" s="13">
        <f t="shared" si="49"/>
        <v>284.52846999999747</v>
      </c>
      <c r="J1419" s="13">
        <f t="shared" si="50"/>
        <v>284.52673499999946</v>
      </c>
      <c r="K1419" s="7">
        <v>43749.526734999999</v>
      </c>
      <c r="L1419" s="4">
        <v>1011.2</v>
      </c>
      <c r="N1419">
        <v>14.44</v>
      </c>
      <c r="Q1419">
        <v>4.5718083465329702</v>
      </c>
      <c r="R1419">
        <v>-2.1521747754593999E-4</v>
      </c>
    </row>
    <row r="1420" spans="1:18" x14ac:dyDescent="0.2">
      <c r="A1420" t="s">
        <v>8</v>
      </c>
      <c r="B1420">
        <v>5</v>
      </c>
      <c r="C1420" t="s">
        <v>2</v>
      </c>
      <c r="D1420" s="2">
        <v>43749</v>
      </c>
      <c r="E1420" s="11">
        <v>284</v>
      </c>
      <c r="F1420" s="3">
        <v>0.5303799999965122</v>
      </c>
      <c r="G1420" s="3">
        <v>0.53384999999980209</v>
      </c>
      <c r="H1420" s="13">
        <f t="shared" si="48"/>
        <v>284.53037999999651</v>
      </c>
      <c r="I1420" s="13">
        <f t="shared" si="49"/>
        <v>284.5338499999998</v>
      </c>
      <c r="J1420" s="13">
        <f t="shared" si="50"/>
        <v>284.53211499999816</v>
      </c>
      <c r="K1420" s="7">
        <v>43749.532114999995</v>
      </c>
      <c r="L1420" s="4">
        <v>923.7</v>
      </c>
      <c r="M1420">
        <v>16</v>
      </c>
      <c r="N1420">
        <v>16.11</v>
      </c>
      <c r="O1420">
        <v>42.8</v>
      </c>
      <c r="P1420">
        <v>0.61</v>
      </c>
      <c r="Q1420">
        <v>-7.54865046992653</v>
      </c>
      <c r="R1420">
        <v>-1.59644436792866E-4</v>
      </c>
    </row>
    <row r="1421" spans="1:18" x14ac:dyDescent="0.2">
      <c r="A1421" t="s">
        <v>8</v>
      </c>
      <c r="B1421">
        <v>5</v>
      </c>
      <c r="C1421" t="s">
        <v>6</v>
      </c>
      <c r="D1421" s="2">
        <v>43749</v>
      </c>
      <c r="E1421" s="11">
        <v>284</v>
      </c>
      <c r="F1421" s="3">
        <v>0.53542000000015832</v>
      </c>
      <c r="G1421" s="3">
        <v>0.53889000000344822</v>
      </c>
      <c r="H1421" s="13">
        <f t="shared" si="48"/>
        <v>284.53542000000016</v>
      </c>
      <c r="I1421" s="13">
        <f t="shared" si="49"/>
        <v>284.53889000000345</v>
      </c>
      <c r="J1421" s="13">
        <f t="shared" si="50"/>
        <v>284.5371550000018</v>
      </c>
      <c r="K1421" s="7">
        <v>43749.537154999998</v>
      </c>
      <c r="L1421" s="4">
        <v>981.2</v>
      </c>
      <c r="N1421">
        <v>16.11</v>
      </c>
      <c r="Q1421">
        <v>6.0874619360969602</v>
      </c>
      <c r="R1421">
        <v>-1.4406218733597901E-4</v>
      </c>
    </row>
    <row r="1422" spans="1:18" x14ac:dyDescent="0.2">
      <c r="A1422" t="s">
        <v>8</v>
      </c>
      <c r="B1422">
        <v>1</v>
      </c>
      <c r="C1422" t="s">
        <v>2</v>
      </c>
      <c r="D1422" s="2">
        <v>43761</v>
      </c>
      <c r="E1422" s="11">
        <v>296</v>
      </c>
      <c r="F1422" s="3">
        <v>0.53542000000015832</v>
      </c>
      <c r="G1422" s="3">
        <v>0.53889000000344822</v>
      </c>
      <c r="H1422" s="13">
        <f t="shared" si="48"/>
        <v>296.53542000000016</v>
      </c>
      <c r="I1422" s="13">
        <f t="shared" si="49"/>
        <v>296.53889000000345</v>
      </c>
      <c r="J1422" s="13">
        <f t="shared" si="50"/>
        <v>296.5371550000018</v>
      </c>
      <c r="K1422" s="7">
        <v>43761.537154999998</v>
      </c>
      <c r="L1422" s="4">
        <v>316.2</v>
      </c>
      <c r="M1422">
        <v>17.2</v>
      </c>
      <c r="N1422">
        <v>17.22</v>
      </c>
      <c r="O1422">
        <v>44.3</v>
      </c>
      <c r="P1422">
        <v>0.66</v>
      </c>
      <c r="Q1422">
        <v>-4.6880907234941196</v>
      </c>
      <c r="R1422">
        <v>-1.1605539746056699E-4</v>
      </c>
    </row>
    <row r="1423" spans="1:18" x14ac:dyDescent="0.2">
      <c r="A1423" t="s">
        <v>8</v>
      </c>
      <c r="B1423">
        <v>1</v>
      </c>
      <c r="C1423" t="s">
        <v>6</v>
      </c>
      <c r="D1423" s="2">
        <v>43761</v>
      </c>
      <c r="E1423" s="11">
        <v>296</v>
      </c>
      <c r="F1423" s="3">
        <v>0.54166999999870313</v>
      </c>
      <c r="G1423" s="3">
        <v>0.54514000000199303</v>
      </c>
      <c r="H1423" s="13">
        <f t="shared" si="48"/>
        <v>296.5416699999987</v>
      </c>
      <c r="I1423" s="13">
        <f t="shared" si="49"/>
        <v>296.54514000000199</v>
      </c>
      <c r="J1423" s="13">
        <f t="shared" si="50"/>
        <v>296.54340500000035</v>
      </c>
      <c r="K1423" s="7">
        <v>43761.543405000004</v>
      </c>
      <c r="L1423" s="4">
        <v>253.7</v>
      </c>
      <c r="N1423">
        <v>17.22</v>
      </c>
      <c r="Q1423">
        <v>5.6600846270311802</v>
      </c>
      <c r="R1423">
        <v>-1.4298577526504399E-4</v>
      </c>
    </row>
    <row r="1424" spans="1:18" x14ac:dyDescent="0.2">
      <c r="A1424" t="s">
        <v>8</v>
      </c>
      <c r="B1424">
        <v>2</v>
      </c>
      <c r="C1424" t="s">
        <v>2</v>
      </c>
      <c r="D1424" s="2">
        <v>43761</v>
      </c>
      <c r="E1424" s="11">
        <v>296</v>
      </c>
      <c r="F1424" s="3">
        <v>0.54826000000321073</v>
      </c>
      <c r="G1424" s="3">
        <v>0.55174000000261003</v>
      </c>
      <c r="H1424" s="13">
        <f t="shared" si="48"/>
        <v>296.54826000000321</v>
      </c>
      <c r="I1424" s="13">
        <f t="shared" si="49"/>
        <v>296.55174000000261</v>
      </c>
      <c r="J1424" s="13">
        <f t="shared" si="50"/>
        <v>296.55000000000291</v>
      </c>
      <c r="K1424" s="7">
        <v>43761.55</v>
      </c>
      <c r="L1424" s="4">
        <v>706.2</v>
      </c>
      <c r="M1424">
        <v>12.3</v>
      </c>
      <c r="N1424">
        <v>17.22</v>
      </c>
      <c r="O1424">
        <v>34.299999999999997</v>
      </c>
      <c r="P1424">
        <v>0.65</v>
      </c>
      <c r="Q1424">
        <v>-4.05964731227896</v>
      </c>
      <c r="R1424">
        <v>-2.2166025837345199E-4</v>
      </c>
    </row>
    <row r="1425" spans="1:18" x14ac:dyDescent="0.2">
      <c r="A1425" t="s">
        <v>8</v>
      </c>
      <c r="B1425">
        <v>2</v>
      </c>
      <c r="C1425" t="s">
        <v>6</v>
      </c>
      <c r="D1425" s="2">
        <v>43761</v>
      </c>
      <c r="E1425" s="11">
        <v>296</v>
      </c>
      <c r="F1425" s="3">
        <v>0.55485999999655178</v>
      </c>
      <c r="G1425" s="3">
        <v>0.55832999999984168</v>
      </c>
      <c r="H1425" s="13">
        <f t="shared" si="48"/>
        <v>296.55485999999655</v>
      </c>
      <c r="I1425" s="13">
        <f t="shared" si="49"/>
        <v>296.55832999999984</v>
      </c>
      <c r="J1425" s="13">
        <f t="shared" si="50"/>
        <v>296.5565949999982</v>
      </c>
      <c r="K1425" s="7">
        <v>43761.556595000002</v>
      </c>
      <c r="L1425" s="4">
        <v>328.7</v>
      </c>
      <c r="N1425">
        <v>17.22</v>
      </c>
      <c r="Q1425">
        <v>4.2072936949808097</v>
      </c>
      <c r="R1425" s="6">
        <v>-2.32655451864616E-5</v>
      </c>
    </row>
    <row r="1426" spans="1:18" x14ac:dyDescent="0.2">
      <c r="A1426" t="s">
        <v>8</v>
      </c>
      <c r="B1426">
        <v>4</v>
      </c>
      <c r="C1426" t="s">
        <v>2</v>
      </c>
      <c r="D1426" s="2">
        <v>43761</v>
      </c>
      <c r="E1426" s="11">
        <v>296</v>
      </c>
      <c r="F1426" s="3">
        <v>0.5625</v>
      </c>
      <c r="G1426" s="3">
        <v>0.5659700000032899</v>
      </c>
      <c r="H1426" s="13">
        <f t="shared" si="48"/>
        <v>296.5625</v>
      </c>
      <c r="I1426" s="13">
        <f t="shared" si="49"/>
        <v>296.56597000000329</v>
      </c>
      <c r="J1426" s="13">
        <f t="shared" si="50"/>
        <v>296.56423500000164</v>
      </c>
      <c r="K1426" s="7">
        <v>43761.564234999998</v>
      </c>
      <c r="L1426" s="4">
        <v>1331.2</v>
      </c>
      <c r="M1426">
        <v>17.3</v>
      </c>
      <c r="N1426">
        <v>17.22</v>
      </c>
      <c r="O1426">
        <v>37.9</v>
      </c>
      <c r="P1426">
        <v>0.62</v>
      </c>
      <c r="Q1426">
        <v>-5.6478406014119003</v>
      </c>
      <c r="R1426" s="6">
        <v>9.6810794591857294E-6</v>
      </c>
    </row>
    <row r="1427" spans="1:18" x14ac:dyDescent="0.2">
      <c r="A1427" t="s">
        <v>8</v>
      </c>
      <c r="B1427">
        <v>4</v>
      </c>
      <c r="C1427" t="s">
        <v>6</v>
      </c>
      <c r="D1427" s="2">
        <v>43761</v>
      </c>
      <c r="E1427" s="11">
        <v>296</v>
      </c>
      <c r="F1427" s="3">
        <v>0.57639000000199303</v>
      </c>
      <c r="G1427" s="3">
        <v>0.57985999999800697</v>
      </c>
      <c r="H1427" s="13">
        <f t="shared" si="48"/>
        <v>296.57639000000199</v>
      </c>
      <c r="I1427" s="13">
        <f t="shared" si="49"/>
        <v>296.57985999999801</v>
      </c>
      <c r="J1427" s="13">
        <f t="shared" si="50"/>
        <v>296.578125</v>
      </c>
      <c r="K1427" s="7">
        <v>43761.578125</v>
      </c>
      <c r="L1427" s="4">
        <v>1388.7</v>
      </c>
      <c r="N1427">
        <v>17.22</v>
      </c>
      <c r="Q1427">
        <v>4.5549619658142797</v>
      </c>
      <c r="R1427">
        <v>-1.4306234901744901E-4</v>
      </c>
    </row>
    <row r="1428" spans="1:18" x14ac:dyDescent="0.2">
      <c r="A1428" t="s">
        <v>8</v>
      </c>
      <c r="B1428">
        <v>5</v>
      </c>
      <c r="C1428" t="s">
        <v>2</v>
      </c>
      <c r="D1428" s="2">
        <v>43761</v>
      </c>
      <c r="E1428" s="11">
        <v>296</v>
      </c>
      <c r="F1428" s="3">
        <v>0.58264000000053784</v>
      </c>
      <c r="G1428" s="3">
        <v>0.58610999999655178</v>
      </c>
      <c r="H1428" s="13">
        <f t="shared" si="48"/>
        <v>296.58264000000054</v>
      </c>
      <c r="I1428" s="13">
        <f t="shared" si="49"/>
        <v>296.58610999999655</v>
      </c>
      <c r="J1428" s="13">
        <f t="shared" si="50"/>
        <v>296.58437499999854</v>
      </c>
      <c r="K1428" s="7">
        <v>43761.584374999999</v>
      </c>
      <c r="L1428" s="4">
        <v>1326.2</v>
      </c>
      <c r="M1428">
        <v>15.1</v>
      </c>
      <c r="N1428">
        <v>18.329999999999998</v>
      </c>
      <c r="O1428">
        <v>25.2</v>
      </c>
      <c r="P1428">
        <v>0.64</v>
      </c>
      <c r="Q1428">
        <v>-4.1314611385004198</v>
      </c>
      <c r="R1428" s="6">
        <v>-4.6098980898443001E-5</v>
      </c>
    </row>
    <row r="1429" spans="1:18" x14ac:dyDescent="0.2">
      <c r="A1429" t="s">
        <v>8</v>
      </c>
      <c r="B1429">
        <v>5</v>
      </c>
      <c r="C1429" t="s">
        <v>6</v>
      </c>
      <c r="D1429" s="2">
        <v>43761</v>
      </c>
      <c r="E1429" s="11">
        <v>296</v>
      </c>
      <c r="F1429" s="3">
        <v>0.5902799999967101</v>
      </c>
      <c r="G1429" s="3">
        <v>0.59375</v>
      </c>
      <c r="H1429" s="13">
        <f t="shared" si="48"/>
        <v>296.59027999999671</v>
      </c>
      <c r="I1429" s="13">
        <f t="shared" si="49"/>
        <v>296.59375</v>
      </c>
      <c r="J1429" s="13">
        <f t="shared" si="50"/>
        <v>296.59201499999836</v>
      </c>
      <c r="K1429" s="7">
        <v>43761.592015000002</v>
      </c>
      <c r="L1429" s="4">
        <v>376.2</v>
      </c>
      <c r="N1429">
        <v>18.329999999999998</v>
      </c>
      <c r="Q1429">
        <v>7.6477422987750598</v>
      </c>
      <c r="R1429" s="6">
        <v>-9.4361466387720897E-5</v>
      </c>
    </row>
    <row r="1430" spans="1:18" x14ac:dyDescent="0.2">
      <c r="A1430" t="s">
        <v>8</v>
      </c>
      <c r="B1430">
        <v>1</v>
      </c>
      <c r="C1430" t="s">
        <v>2</v>
      </c>
      <c r="D1430" s="2">
        <v>43761</v>
      </c>
      <c r="E1430" s="11">
        <v>296</v>
      </c>
      <c r="F1430" s="3">
        <v>0.62221999999746913</v>
      </c>
      <c r="G1430" s="3">
        <v>0.62569000000075903</v>
      </c>
      <c r="H1430" s="13">
        <f t="shared" si="48"/>
        <v>296.62221999999747</v>
      </c>
      <c r="I1430" s="13">
        <f t="shared" si="49"/>
        <v>296.62569000000076</v>
      </c>
      <c r="J1430" s="13">
        <f t="shared" si="50"/>
        <v>296.62395499999911</v>
      </c>
      <c r="K1430" s="7">
        <v>43761.623955000003</v>
      </c>
      <c r="L1430" s="4">
        <v>1018.7</v>
      </c>
      <c r="M1430">
        <v>16.600000000000001</v>
      </c>
      <c r="N1430">
        <v>18.329999999999998</v>
      </c>
      <c r="O1430">
        <v>40.799999999999997</v>
      </c>
      <c r="P1430">
        <v>0.63</v>
      </c>
      <c r="Q1430">
        <v>-3.8902964741193902</v>
      </c>
      <c r="R1430">
        <v>-2.6871408093112701E-4</v>
      </c>
    </row>
    <row r="1431" spans="1:18" x14ac:dyDescent="0.2">
      <c r="A1431" t="s">
        <v>8</v>
      </c>
      <c r="B1431">
        <v>1</v>
      </c>
      <c r="C1431" t="s">
        <v>6</v>
      </c>
      <c r="D1431" s="2">
        <v>43761</v>
      </c>
      <c r="E1431" s="11">
        <v>296</v>
      </c>
      <c r="F1431" s="3">
        <v>0.6281299999973271</v>
      </c>
      <c r="G1431" s="3">
        <v>0.631600000000617</v>
      </c>
      <c r="H1431" s="13">
        <f t="shared" si="48"/>
        <v>296.62812999999733</v>
      </c>
      <c r="I1431" s="13">
        <f t="shared" si="49"/>
        <v>296.63160000000062</v>
      </c>
      <c r="J1431" s="13">
        <f t="shared" si="50"/>
        <v>296.62986499999897</v>
      </c>
      <c r="K1431" s="7">
        <v>43761.629864999995</v>
      </c>
      <c r="L1431" s="4">
        <v>983.7</v>
      </c>
      <c r="N1431">
        <v>18.329999999999998</v>
      </c>
      <c r="Q1431">
        <v>5.6608278148544597</v>
      </c>
      <c r="R1431">
        <v>-3.0860496823891399E-4</v>
      </c>
    </row>
    <row r="1432" spans="1:18" x14ac:dyDescent="0.2">
      <c r="A1432" t="s">
        <v>8</v>
      </c>
      <c r="B1432">
        <v>2</v>
      </c>
      <c r="C1432" t="s">
        <v>2</v>
      </c>
      <c r="D1432" s="2">
        <v>43761</v>
      </c>
      <c r="E1432" s="11">
        <v>296</v>
      </c>
      <c r="F1432" s="3">
        <v>0.63472000000183471</v>
      </c>
      <c r="G1432" s="3">
        <v>0.63818999999784864</v>
      </c>
      <c r="H1432" s="13">
        <f t="shared" si="48"/>
        <v>296.63472000000183</v>
      </c>
      <c r="I1432" s="13">
        <f t="shared" si="49"/>
        <v>296.63818999999785</v>
      </c>
      <c r="J1432" s="13">
        <f t="shared" si="50"/>
        <v>296.63645499999984</v>
      </c>
      <c r="K1432" s="7">
        <v>43761.636455</v>
      </c>
      <c r="L1432" s="4">
        <v>933.7</v>
      </c>
      <c r="M1432">
        <v>15.9</v>
      </c>
      <c r="N1432">
        <v>18.329999999999998</v>
      </c>
      <c r="O1432">
        <v>54.9</v>
      </c>
      <c r="P1432">
        <v>0.66</v>
      </c>
      <c r="Q1432">
        <v>-3.6593632979659398</v>
      </c>
      <c r="R1432" s="6">
        <v>-6.6502220905418298E-6</v>
      </c>
    </row>
    <row r="1433" spans="1:18" x14ac:dyDescent="0.2">
      <c r="A1433" t="s">
        <v>8</v>
      </c>
      <c r="B1433">
        <v>2</v>
      </c>
      <c r="C1433" t="s">
        <v>6</v>
      </c>
      <c r="D1433" s="2">
        <v>43761</v>
      </c>
      <c r="E1433" s="11">
        <v>296</v>
      </c>
      <c r="F1433" s="3">
        <v>0.64097000000037951</v>
      </c>
      <c r="G1433" s="3">
        <v>0.64443999999639345</v>
      </c>
      <c r="H1433" s="13">
        <f t="shared" si="48"/>
        <v>296.64097000000038</v>
      </c>
      <c r="I1433" s="13">
        <f t="shared" si="49"/>
        <v>296.64443999999639</v>
      </c>
      <c r="J1433" s="13">
        <f t="shared" si="50"/>
        <v>296.64270499999839</v>
      </c>
      <c r="K1433" s="7">
        <v>43761.642704999998</v>
      </c>
      <c r="L1433" s="4">
        <v>888.7</v>
      </c>
      <c r="N1433">
        <v>18.329999999999998</v>
      </c>
      <c r="Q1433">
        <v>5.5078110239686904</v>
      </c>
      <c r="R1433" s="6">
        <v>-7.1630274894917705E-5</v>
      </c>
    </row>
    <row r="1434" spans="1:18" x14ac:dyDescent="0.2">
      <c r="A1434" t="s">
        <v>8</v>
      </c>
      <c r="B1434">
        <v>4</v>
      </c>
      <c r="C1434" t="s">
        <v>2</v>
      </c>
      <c r="D1434" s="2">
        <v>43761</v>
      </c>
      <c r="E1434" s="11">
        <v>296</v>
      </c>
      <c r="F1434" s="3">
        <v>0.64792000000306871</v>
      </c>
      <c r="G1434" s="3">
        <v>0.65138999999908265</v>
      </c>
      <c r="H1434" s="13">
        <f t="shared" si="48"/>
        <v>296.64792000000307</v>
      </c>
      <c r="I1434" s="13">
        <f t="shared" si="49"/>
        <v>296.65138999999908</v>
      </c>
      <c r="J1434" s="13">
        <f t="shared" si="50"/>
        <v>296.64965500000108</v>
      </c>
      <c r="K1434" s="7">
        <v>43761.649655000001</v>
      </c>
      <c r="L1434" s="4">
        <v>838.7</v>
      </c>
      <c r="M1434">
        <v>15.4</v>
      </c>
      <c r="N1434">
        <v>18.329999999999998</v>
      </c>
      <c r="O1434">
        <v>38.799999999999997</v>
      </c>
      <c r="P1434">
        <v>0.65</v>
      </c>
      <c r="Q1434">
        <v>-2.6182905991159502</v>
      </c>
      <c r="R1434">
        <v>6.4222802007919504E-4</v>
      </c>
    </row>
    <row r="1435" spans="1:18" x14ac:dyDescent="0.2">
      <c r="A1435" t="s">
        <v>8</v>
      </c>
      <c r="B1435">
        <v>4</v>
      </c>
      <c r="C1435" t="s">
        <v>6</v>
      </c>
      <c r="D1435" s="2">
        <v>43761</v>
      </c>
      <c r="E1435" s="11">
        <v>296</v>
      </c>
      <c r="F1435" s="3">
        <v>0.65417000000161352</v>
      </c>
      <c r="G1435" s="3">
        <v>0.65763999999762746</v>
      </c>
      <c r="H1435" s="13">
        <f t="shared" si="48"/>
        <v>296.65417000000161</v>
      </c>
      <c r="I1435" s="13">
        <f t="shared" si="49"/>
        <v>296.65763999999763</v>
      </c>
      <c r="J1435" s="13">
        <f t="shared" si="50"/>
        <v>296.65590499999962</v>
      </c>
      <c r="K1435" s="7">
        <v>43761.655905</v>
      </c>
      <c r="L1435" s="4">
        <v>791.2</v>
      </c>
      <c r="N1435">
        <v>18.329999999999998</v>
      </c>
      <c r="Q1435">
        <v>4.5351375459110503</v>
      </c>
      <c r="R1435">
        <v>-1.8161200194630701E-3</v>
      </c>
    </row>
    <row r="1436" spans="1:18" x14ac:dyDescent="0.2">
      <c r="A1436" t="s">
        <v>8</v>
      </c>
      <c r="B1436">
        <v>5</v>
      </c>
      <c r="C1436" t="s">
        <v>2</v>
      </c>
      <c r="D1436" s="2">
        <v>43761</v>
      </c>
      <c r="E1436" s="11">
        <v>296</v>
      </c>
      <c r="F1436" s="3">
        <v>0.66111000000091735</v>
      </c>
      <c r="G1436" s="3">
        <v>0.66457999999693129</v>
      </c>
      <c r="H1436" s="13">
        <f t="shared" si="48"/>
        <v>296.66111000000092</v>
      </c>
      <c r="I1436" s="13">
        <f t="shared" si="49"/>
        <v>296.66457999999693</v>
      </c>
      <c r="J1436" s="13">
        <f t="shared" si="50"/>
        <v>296.66284499999892</v>
      </c>
      <c r="K1436" s="7">
        <v>43761.662844999999</v>
      </c>
      <c r="L1436" s="4">
        <v>731.2</v>
      </c>
      <c r="M1436">
        <v>19.899999999999999</v>
      </c>
      <c r="N1436">
        <v>18.329999999999998</v>
      </c>
      <c r="O1436">
        <v>31.6</v>
      </c>
      <c r="P1436">
        <v>0.65</v>
      </c>
      <c r="Q1436">
        <v>-1.62396783846832</v>
      </c>
      <c r="R1436" s="6">
        <v>-7.27512404217227E-5</v>
      </c>
    </row>
    <row r="1437" spans="1:18" x14ac:dyDescent="0.2">
      <c r="A1437" t="s">
        <v>8</v>
      </c>
      <c r="B1437">
        <v>5</v>
      </c>
      <c r="C1437" t="s">
        <v>6</v>
      </c>
      <c r="D1437" s="2">
        <v>43761</v>
      </c>
      <c r="E1437" s="11">
        <v>296</v>
      </c>
      <c r="F1437" s="3">
        <v>0.66735999999946216</v>
      </c>
      <c r="G1437" s="3">
        <v>0.67083000000275206</v>
      </c>
      <c r="H1437" s="13">
        <f t="shared" si="48"/>
        <v>296.66735999999946</v>
      </c>
      <c r="I1437" s="13">
        <f t="shared" si="49"/>
        <v>296.67083000000275</v>
      </c>
      <c r="J1437" s="13">
        <f t="shared" si="50"/>
        <v>296.66909500000111</v>
      </c>
      <c r="K1437" s="7">
        <v>43761.669095000005</v>
      </c>
      <c r="L1437" s="4">
        <v>678.7</v>
      </c>
      <c r="N1437">
        <v>18.329999999999998</v>
      </c>
      <c r="Q1437">
        <v>6.67144618748162</v>
      </c>
      <c r="R1437">
        <v>-1.9339562246697799E-4</v>
      </c>
    </row>
    <row r="1438" spans="1:18" x14ac:dyDescent="0.2">
      <c r="A1438" t="s">
        <v>8</v>
      </c>
      <c r="B1438">
        <v>1</v>
      </c>
      <c r="C1438" t="s">
        <v>2</v>
      </c>
      <c r="D1438" s="2">
        <v>43768</v>
      </c>
      <c r="E1438" s="11">
        <v>303</v>
      </c>
      <c r="F1438" s="3">
        <v>0.58159999999770662</v>
      </c>
      <c r="G1438" s="3">
        <v>0.58507000000099652</v>
      </c>
      <c r="H1438" s="13">
        <f t="shared" si="48"/>
        <v>303.58159999999771</v>
      </c>
      <c r="I1438" s="13">
        <f t="shared" si="49"/>
        <v>303.585070000001</v>
      </c>
      <c r="J1438" s="13">
        <f t="shared" si="50"/>
        <v>303.58333499999935</v>
      </c>
      <c r="K1438" s="7">
        <v>43768.583335000003</v>
      </c>
      <c r="L1438" s="4">
        <v>538.70000000000005</v>
      </c>
      <c r="M1438">
        <v>14.4</v>
      </c>
      <c r="N1438">
        <v>18.329999999999998</v>
      </c>
      <c r="O1438">
        <v>32.4</v>
      </c>
      <c r="P1438">
        <v>0.41</v>
      </c>
      <c r="Q1438">
        <v>-2.6391158712025402</v>
      </c>
      <c r="R1438" s="6">
        <v>-4.3737596798519998E-5</v>
      </c>
    </row>
    <row r="1439" spans="1:18" x14ac:dyDescent="0.2">
      <c r="A1439" t="s">
        <v>8</v>
      </c>
      <c r="B1439">
        <v>1</v>
      </c>
      <c r="C1439" t="s">
        <v>6</v>
      </c>
      <c r="D1439" s="2">
        <v>43768</v>
      </c>
      <c r="E1439" s="11">
        <v>303</v>
      </c>
      <c r="F1439" s="3">
        <v>0.58795999999711057</v>
      </c>
      <c r="G1439" s="3">
        <v>0.59143999999650987</v>
      </c>
      <c r="H1439" s="13">
        <f t="shared" si="48"/>
        <v>303.58795999999711</v>
      </c>
      <c r="I1439" s="13">
        <f t="shared" si="49"/>
        <v>303.59143999999651</v>
      </c>
      <c r="J1439" s="13">
        <f t="shared" si="50"/>
        <v>303.58969999999681</v>
      </c>
      <c r="K1439" s="7">
        <v>43768.589699999997</v>
      </c>
      <c r="L1439" s="4">
        <v>518.70000000000005</v>
      </c>
      <c r="N1439">
        <v>18.329999999999998</v>
      </c>
      <c r="Q1439">
        <v>5.7563616249963099</v>
      </c>
      <c r="R1439" s="6">
        <v>-3.7301358071887097E-5</v>
      </c>
    </row>
    <row r="1440" spans="1:18" x14ac:dyDescent="0.2">
      <c r="A1440" t="s">
        <v>8</v>
      </c>
      <c r="B1440">
        <v>2</v>
      </c>
      <c r="C1440" t="s">
        <v>2</v>
      </c>
      <c r="D1440" s="2">
        <v>43768</v>
      </c>
      <c r="E1440" s="11">
        <v>303</v>
      </c>
      <c r="F1440" s="3">
        <v>0.59339999999792781</v>
      </c>
      <c r="G1440" s="3">
        <v>0.5968799999973271</v>
      </c>
      <c r="H1440" s="13">
        <f t="shared" si="48"/>
        <v>303.59339999999793</v>
      </c>
      <c r="I1440" s="13">
        <f t="shared" si="49"/>
        <v>303.59687999999733</v>
      </c>
      <c r="J1440" s="13">
        <f t="shared" si="50"/>
        <v>303.59513999999763</v>
      </c>
      <c r="K1440" s="7">
        <v>43768.595139999998</v>
      </c>
      <c r="L1440" s="4">
        <v>488.7</v>
      </c>
      <c r="M1440">
        <v>13.6</v>
      </c>
      <c r="N1440">
        <v>18.329999999999998</v>
      </c>
      <c r="O1440">
        <v>35.6</v>
      </c>
      <c r="P1440">
        <v>0.38</v>
      </c>
      <c r="Q1440">
        <v>-0.81605702768088295</v>
      </c>
      <c r="R1440" s="6">
        <v>-8.4801484367105605E-5</v>
      </c>
    </row>
    <row r="1441" spans="1:18" x14ac:dyDescent="0.2">
      <c r="A1441" t="s">
        <v>8</v>
      </c>
      <c r="B1441">
        <v>2</v>
      </c>
      <c r="C1441" t="s">
        <v>6</v>
      </c>
      <c r="D1441" s="2">
        <v>43768</v>
      </c>
      <c r="E1441" s="11">
        <v>303</v>
      </c>
      <c r="F1441" s="3">
        <v>0.59964999999647262</v>
      </c>
      <c r="G1441" s="3">
        <v>0.60313000000314787</v>
      </c>
      <c r="H1441" s="13">
        <f t="shared" si="48"/>
        <v>303.59964999999647</v>
      </c>
      <c r="I1441" s="13">
        <f t="shared" si="49"/>
        <v>303.60313000000315</v>
      </c>
      <c r="J1441" s="13">
        <f t="shared" si="50"/>
        <v>303.60138999999981</v>
      </c>
      <c r="K1441" s="7">
        <v>43768.601389999996</v>
      </c>
      <c r="L1441" s="4">
        <v>468.7</v>
      </c>
      <c r="N1441">
        <v>18.329999999999998</v>
      </c>
      <c r="Q1441">
        <v>4.18568218462626</v>
      </c>
      <c r="R1441" s="6">
        <v>-2.4261065936702601E-5</v>
      </c>
    </row>
    <row r="1442" spans="1:18" x14ac:dyDescent="0.2">
      <c r="A1442" t="s">
        <v>8</v>
      </c>
      <c r="B1442">
        <v>3</v>
      </c>
      <c r="C1442" t="s">
        <v>2</v>
      </c>
      <c r="D1442" s="2">
        <v>43768</v>
      </c>
      <c r="E1442" s="11">
        <v>303</v>
      </c>
      <c r="F1442" s="3">
        <v>0.60538000000087777</v>
      </c>
      <c r="G1442" s="3">
        <v>0.60884999999689171</v>
      </c>
      <c r="H1442" s="13">
        <f t="shared" si="48"/>
        <v>303.60538000000088</v>
      </c>
      <c r="I1442" s="13">
        <f t="shared" si="49"/>
        <v>303.60884999999689</v>
      </c>
      <c r="J1442" s="13">
        <f t="shared" si="50"/>
        <v>303.60711499999888</v>
      </c>
      <c r="K1442" s="7">
        <v>43768.607114999999</v>
      </c>
      <c r="L1442" s="4">
        <v>361.2</v>
      </c>
      <c r="M1442">
        <v>16.100000000000001</v>
      </c>
      <c r="N1442">
        <v>18.329999999999998</v>
      </c>
      <c r="O1442">
        <v>46.4</v>
      </c>
      <c r="P1442">
        <v>0.47</v>
      </c>
      <c r="Q1442">
        <v>-1.52409966724033</v>
      </c>
      <c r="R1442">
        <v>-2.29816897208416E-4</v>
      </c>
    </row>
    <row r="1443" spans="1:18" x14ac:dyDescent="0.2">
      <c r="A1443" t="s">
        <v>8</v>
      </c>
      <c r="B1443">
        <v>3</v>
      </c>
      <c r="C1443" t="s">
        <v>6</v>
      </c>
      <c r="D1443" s="2">
        <v>43768</v>
      </c>
      <c r="E1443" s="11">
        <v>303</v>
      </c>
      <c r="F1443" s="3">
        <v>0.61162999999942258</v>
      </c>
      <c r="G1443" s="3">
        <v>0.61510000000271248</v>
      </c>
      <c r="H1443" s="13">
        <f t="shared" si="48"/>
        <v>303.61162999999942</v>
      </c>
      <c r="I1443" s="13">
        <f t="shared" si="49"/>
        <v>303.61510000000271</v>
      </c>
      <c r="J1443" s="13">
        <f t="shared" si="50"/>
        <v>303.61336500000107</v>
      </c>
      <c r="K1443" s="7">
        <v>43768.613364999997</v>
      </c>
      <c r="L1443" s="4">
        <v>383.7</v>
      </c>
      <c r="N1443">
        <v>18.329999999999998</v>
      </c>
      <c r="Q1443">
        <v>4.3760631020340401</v>
      </c>
      <c r="R1443" s="6">
        <v>-9.8546713009254301E-5</v>
      </c>
    </row>
    <row r="1444" spans="1:18" x14ac:dyDescent="0.2">
      <c r="A1444" t="s">
        <v>8</v>
      </c>
      <c r="B1444">
        <v>4</v>
      </c>
      <c r="C1444" t="s">
        <v>2</v>
      </c>
      <c r="D1444" s="2">
        <v>43768</v>
      </c>
      <c r="E1444" s="11">
        <v>303</v>
      </c>
      <c r="F1444" s="3">
        <v>0.61735999999655178</v>
      </c>
      <c r="G1444" s="3">
        <v>0.62082999999984168</v>
      </c>
      <c r="H1444" s="13">
        <f t="shared" si="48"/>
        <v>303.61735999999655</v>
      </c>
      <c r="I1444" s="13">
        <f t="shared" si="49"/>
        <v>303.62082999999984</v>
      </c>
      <c r="J1444" s="13">
        <f t="shared" si="50"/>
        <v>303.6190949999982</v>
      </c>
      <c r="K1444" s="7">
        <v>43768.619095000002</v>
      </c>
      <c r="L1444" s="4">
        <v>276.2</v>
      </c>
      <c r="M1444">
        <v>17.600000000000001</v>
      </c>
      <c r="N1444">
        <v>18.329999999999998</v>
      </c>
      <c r="O1444">
        <v>42.5</v>
      </c>
      <c r="P1444">
        <v>0.44</v>
      </c>
      <c r="Q1444">
        <v>-0.65011677905188403</v>
      </c>
      <c r="R1444">
        <v>-1.7649925707259099E-4</v>
      </c>
    </row>
    <row r="1445" spans="1:18" x14ac:dyDescent="0.2">
      <c r="A1445" t="s">
        <v>8</v>
      </c>
      <c r="B1445">
        <v>4</v>
      </c>
      <c r="C1445" t="s">
        <v>6</v>
      </c>
      <c r="D1445" s="2">
        <v>43768</v>
      </c>
      <c r="E1445" s="11">
        <v>303</v>
      </c>
      <c r="F1445" s="3">
        <v>0.62326000000030035</v>
      </c>
      <c r="G1445" s="3">
        <v>0.62673999999969965</v>
      </c>
      <c r="H1445" s="13">
        <f t="shared" si="48"/>
        <v>303.6232600000003</v>
      </c>
      <c r="I1445" s="13">
        <f t="shared" si="49"/>
        <v>303.6267399999997</v>
      </c>
      <c r="J1445" s="13">
        <f t="shared" si="50"/>
        <v>303.625</v>
      </c>
      <c r="K1445" s="7">
        <v>43768.625</v>
      </c>
      <c r="L1445" s="4">
        <v>248.7</v>
      </c>
      <c r="N1445">
        <v>18.329999999999998</v>
      </c>
      <c r="Q1445">
        <v>7.7586868030993896</v>
      </c>
      <c r="R1445">
        <v>-2.23881407656286E-4</v>
      </c>
    </row>
    <row r="1446" spans="1:18" x14ac:dyDescent="0.2">
      <c r="A1446" t="s">
        <v>8</v>
      </c>
      <c r="B1446">
        <v>5</v>
      </c>
      <c r="C1446" t="s">
        <v>2</v>
      </c>
      <c r="D1446" s="2">
        <v>43768</v>
      </c>
      <c r="E1446" s="11">
        <v>303</v>
      </c>
      <c r="F1446" s="3">
        <v>0.6284700000032899</v>
      </c>
      <c r="G1446" s="3">
        <v>0.63193999999930384</v>
      </c>
      <c r="H1446" s="13">
        <f t="shared" si="48"/>
        <v>303.62847000000329</v>
      </c>
      <c r="I1446" s="13">
        <f t="shared" si="49"/>
        <v>303.6319399999993</v>
      </c>
      <c r="J1446" s="13">
        <f t="shared" si="50"/>
        <v>303.6302050000013</v>
      </c>
      <c r="K1446" s="7">
        <v>43768.630205000001</v>
      </c>
      <c r="L1446" s="4">
        <v>243.7</v>
      </c>
      <c r="M1446">
        <v>18.3</v>
      </c>
      <c r="N1446">
        <v>17.78</v>
      </c>
      <c r="O1446">
        <v>39.5</v>
      </c>
      <c r="P1446">
        <v>0.46</v>
      </c>
      <c r="Q1446">
        <v>0.77001768402530502</v>
      </c>
      <c r="R1446">
        <v>-1.05741829114871E-4</v>
      </c>
    </row>
    <row r="1447" spans="1:18" x14ac:dyDescent="0.2">
      <c r="A1447" t="s">
        <v>8</v>
      </c>
      <c r="B1447">
        <v>5</v>
      </c>
      <c r="C1447" t="s">
        <v>6</v>
      </c>
      <c r="D1447" s="2">
        <v>43768</v>
      </c>
      <c r="E1447" s="11">
        <v>303</v>
      </c>
      <c r="F1447" s="3">
        <v>0.63455000000249129</v>
      </c>
      <c r="G1447" s="3">
        <v>0.63801999999850523</v>
      </c>
      <c r="H1447" s="13">
        <f t="shared" si="48"/>
        <v>303.63455000000249</v>
      </c>
      <c r="I1447" s="13">
        <f t="shared" si="49"/>
        <v>303.63801999999851</v>
      </c>
      <c r="J1447" s="13">
        <f t="shared" si="50"/>
        <v>303.6362850000005</v>
      </c>
      <c r="K1447" s="7">
        <v>43768.636285</v>
      </c>
      <c r="L1447" s="4">
        <v>161.19999999999999</v>
      </c>
      <c r="N1447">
        <v>17.78</v>
      </c>
      <c r="Q1447">
        <v>6.2079831450983898</v>
      </c>
      <c r="R1447">
        <v>-2.2140945050687301E-4</v>
      </c>
    </row>
    <row r="1448" spans="1:18" x14ac:dyDescent="0.2">
      <c r="A1448" t="s">
        <v>8</v>
      </c>
      <c r="B1448">
        <v>1</v>
      </c>
      <c r="C1448" t="s">
        <v>2</v>
      </c>
      <c r="D1448" s="2">
        <v>43768</v>
      </c>
      <c r="E1448" s="11">
        <v>303</v>
      </c>
      <c r="F1448" s="3">
        <v>0.67708000000129687</v>
      </c>
      <c r="G1448" s="3">
        <v>0.68056000000069616</v>
      </c>
      <c r="H1448" s="13">
        <f t="shared" si="48"/>
        <v>303.6770800000013</v>
      </c>
      <c r="I1448" s="13">
        <f t="shared" si="49"/>
        <v>303.6805600000007</v>
      </c>
      <c r="J1448" s="13">
        <f t="shared" si="50"/>
        <v>303.678820000001</v>
      </c>
      <c r="K1448" s="7">
        <v>43768.678820000001</v>
      </c>
      <c r="L1448" s="4">
        <v>63.7</v>
      </c>
      <c r="M1448">
        <v>12.7</v>
      </c>
      <c r="N1448">
        <v>17.78</v>
      </c>
      <c r="O1448">
        <v>35</v>
      </c>
      <c r="P1448">
        <v>0.41</v>
      </c>
      <c r="Q1448">
        <v>3.2871560424700998</v>
      </c>
      <c r="R1448">
        <v>-2.40937408781225E-4</v>
      </c>
    </row>
    <row r="1449" spans="1:18" x14ac:dyDescent="0.2">
      <c r="A1449" t="s">
        <v>8</v>
      </c>
      <c r="B1449">
        <v>1</v>
      </c>
      <c r="C1449" t="s">
        <v>6</v>
      </c>
      <c r="D1449" s="2">
        <v>43768</v>
      </c>
      <c r="E1449" s="11">
        <v>303</v>
      </c>
      <c r="F1449" s="3">
        <v>0.68263999999908265</v>
      </c>
      <c r="G1449" s="3">
        <v>0.68611000000237254</v>
      </c>
      <c r="H1449" s="13">
        <f t="shared" si="48"/>
        <v>303.68263999999908</v>
      </c>
      <c r="I1449" s="13">
        <f t="shared" si="49"/>
        <v>303.68611000000237</v>
      </c>
      <c r="J1449" s="13">
        <f t="shared" si="50"/>
        <v>303.68437500000073</v>
      </c>
      <c r="K1449" s="7">
        <v>43768.684374999997</v>
      </c>
      <c r="L1449" s="4">
        <v>56.2</v>
      </c>
      <c r="N1449">
        <v>17.78</v>
      </c>
      <c r="Q1449">
        <v>5.2879631367808697</v>
      </c>
      <c r="R1449" s="6">
        <v>-9.4563381077655606E-5</v>
      </c>
    </row>
    <row r="1450" spans="1:18" x14ac:dyDescent="0.2">
      <c r="A1450" t="s">
        <v>8</v>
      </c>
      <c r="B1450">
        <v>2</v>
      </c>
      <c r="C1450" t="s">
        <v>2</v>
      </c>
      <c r="D1450" s="2">
        <v>43768</v>
      </c>
      <c r="E1450" s="11">
        <v>303</v>
      </c>
      <c r="F1450" s="3">
        <v>0.68819000000075903</v>
      </c>
      <c r="G1450" s="3">
        <v>0.69167000000015832</v>
      </c>
      <c r="H1450" s="13">
        <f t="shared" si="48"/>
        <v>303.68819000000076</v>
      </c>
      <c r="I1450" s="13">
        <f t="shared" si="49"/>
        <v>303.69167000000016</v>
      </c>
      <c r="J1450" s="13">
        <f t="shared" si="50"/>
        <v>303.68993000000046</v>
      </c>
      <c r="K1450" s="7">
        <v>43768.68993</v>
      </c>
      <c r="L1450" s="4">
        <v>66.2</v>
      </c>
      <c r="M1450">
        <v>14.3</v>
      </c>
      <c r="N1450">
        <v>17.78</v>
      </c>
      <c r="O1450">
        <v>39.299999999999997</v>
      </c>
      <c r="P1450">
        <v>0.45</v>
      </c>
      <c r="Q1450">
        <v>4.1325573073433697</v>
      </c>
      <c r="R1450">
        <v>-1.0709980619078201E-4</v>
      </c>
    </row>
    <row r="1451" spans="1:18" x14ac:dyDescent="0.2">
      <c r="A1451" t="s">
        <v>8</v>
      </c>
      <c r="B1451">
        <v>2</v>
      </c>
      <c r="C1451" t="s">
        <v>6</v>
      </c>
      <c r="D1451" s="2">
        <v>43768</v>
      </c>
      <c r="E1451" s="11">
        <v>303</v>
      </c>
      <c r="F1451" s="3">
        <v>0.69374999999854481</v>
      </c>
      <c r="G1451" s="3">
        <v>0.69722000000183471</v>
      </c>
      <c r="H1451" s="13">
        <f t="shared" si="48"/>
        <v>303.69374999999854</v>
      </c>
      <c r="I1451" s="13">
        <f t="shared" si="49"/>
        <v>303.69722000000183</v>
      </c>
      <c r="J1451" s="13">
        <f t="shared" si="50"/>
        <v>303.69548500000019</v>
      </c>
      <c r="K1451" s="7">
        <v>43768.695485000004</v>
      </c>
      <c r="L1451" s="4">
        <v>71.2</v>
      </c>
      <c r="N1451">
        <v>17.78</v>
      </c>
      <c r="Q1451">
        <v>4.9375828926492202</v>
      </c>
      <c r="R1451">
        <v>-1.7529984997574299E-4</v>
      </c>
    </row>
    <row r="1452" spans="1:18" x14ac:dyDescent="0.2">
      <c r="A1452" t="s">
        <v>8</v>
      </c>
      <c r="B1452">
        <v>3</v>
      </c>
      <c r="C1452" t="s">
        <v>2</v>
      </c>
      <c r="D1452" s="2">
        <v>43768</v>
      </c>
      <c r="E1452" s="11">
        <v>303</v>
      </c>
      <c r="F1452" s="3">
        <v>0.69931000000360655</v>
      </c>
      <c r="G1452" s="3">
        <v>0.70277999999962049</v>
      </c>
      <c r="H1452" s="13">
        <f t="shared" si="48"/>
        <v>303.69931000000361</v>
      </c>
      <c r="I1452" s="13">
        <f t="shared" si="49"/>
        <v>303.70277999999962</v>
      </c>
      <c r="J1452" s="13">
        <f t="shared" si="50"/>
        <v>303.70104500000161</v>
      </c>
      <c r="K1452" s="7">
        <v>43768.701045000002</v>
      </c>
      <c r="L1452" s="4">
        <v>41.2</v>
      </c>
      <c r="M1452">
        <v>14.9</v>
      </c>
      <c r="N1452">
        <v>17.78</v>
      </c>
      <c r="O1452">
        <v>37.1</v>
      </c>
      <c r="P1452">
        <v>0.49</v>
      </c>
      <c r="Q1452">
        <v>3.1655875201165999</v>
      </c>
      <c r="R1452">
        <v>-1.8655403062349101E-4</v>
      </c>
    </row>
    <row r="1453" spans="1:18" x14ac:dyDescent="0.2">
      <c r="A1453" t="s">
        <v>8</v>
      </c>
      <c r="B1453">
        <v>3</v>
      </c>
      <c r="C1453" t="s">
        <v>6</v>
      </c>
      <c r="D1453" s="2">
        <v>43768</v>
      </c>
      <c r="E1453" s="11">
        <v>303</v>
      </c>
      <c r="F1453" s="3">
        <v>0.70521000000007916</v>
      </c>
      <c r="G1453" s="3">
        <v>0.70868000000336906</v>
      </c>
      <c r="H1453" s="13">
        <f t="shared" si="48"/>
        <v>303.70521000000008</v>
      </c>
      <c r="I1453" s="13">
        <f t="shared" si="49"/>
        <v>303.70868000000337</v>
      </c>
      <c r="J1453" s="13">
        <f t="shared" si="50"/>
        <v>303.70694500000172</v>
      </c>
      <c r="K1453" s="7">
        <v>43768.706944999998</v>
      </c>
      <c r="L1453" s="4">
        <v>33.700000000000003</v>
      </c>
      <c r="N1453">
        <v>17.78</v>
      </c>
      <c r="Q1453">
        <v>3.9283109650552999</v>
      </c>
      <c r="R1453">
        <v>-2.6289173779405698E-4</v>
      </c>
    </row>
    <row r="1454" spans="1:18" x14ac:dyDescent="0.2">
      <c r="A1454" t="s">
        <v>8</v>
      </c>
      <c r="B1454">
        <v>4</v>
      </c>
      <c r="C1454" t="s">
        <v>2</v>
      </c>
      <c r="D1454" s="2">
        <v>43768</v>
      </c>
      <c r="E1454" s="11">
        <v>303</v>
      </c>
      <c r="F1454" s="3">
        <v>0.71110999999655178</v>
      </c>
      <c r="G1454" s="3">
        <v>0.71457999999984168</v>
      </c>
      <c r="H1454" s="13">
        <f t="shared" si="48"/>
        <v>303.71110999999655</v>
      </c>
      <c r="I1454" s="13">
        <f t="shared" si="49"/>
        <v>303.71457999999984</v>
      </c>
      <c r="J1454" s="13">
        <f t="shared" si="50"/>
        <v>303.7128449999982</v>
      </c>
      <c r="K1454" s="7">
        <v>43768.712845000002</v>
      </c>
      <c r="L1454" s="4">
        <v>28.7</v>
      </c>
      <c r="M1454">
        <v>14.6</v>
      </c>
      <c r="N1454">
        <v>17.78</v>
      </c>
      <c r="O1454">
        <v>38.799999999999997</v>
      </c>
      <c r="P1454">
        <v>0.46</v>
      </c>
      <c r="Q1454">
        <v>6.8653267625709002</v>
      </c>
      <c r="R1454" s="6">
        <v>-9.1602897840605799E-5</v>
      </c>
    </row>
    <row r="1455" spans="1:18" x14ac:dyDescent="0.2">
      <c r="A1455" t="s">
        <v>8</v>
      </c>
      <c r="B1455">
        <v>4</v>
      </c>
      <c r="C1455" t="s">
        <v>6</v>
      </c>
      <c r="D1455" s="2">
        <v>43768</v>
      </c>
      <c r="E1455" s="11">
        <v>303</v>
      </c>
      <c r="F1455" s="3">
        <v>0.71875</v>
      </c>
      <c r="G1455" s="3">
        <v>0.7222200000032899</v>
      </c>
      <c r="H1455" s="13">
        <f t="shared" si="48"/>
        <v>303.71875</v>
      </c>
      <c r="I1455" s="13">
        <f t="shared" si="49"/>
        <v>303.72222000000329</v>
      </c>
      <c r="J1455" s="13">
        <f t="shared" si="50"/>
        <v>303.72048500000164</v>
      </c>
      <c r="K1455" s="7">
        <v>43768.720484999998</v>
      </c>
      <c r="L1455" s="4">
        <v>11.2</v>
      </c>
      <c r="N1455">
        <v>17.78</v>
      </c>
      <c r="Q1455">
        <v>7.5589960795294298</v>
      </c>
      <c r="R1455">
        <v>-2.8690367915423299E-4</v>
      </c>
    </row>
    <row r="1456" spans="1:18" x14ac:dyDescent="0.2">
      <c r="A1456" t="s">
        <v>8</v>
      </c>
      <c r="B1456">
        <v>5</v>
      </c>
      <c r="C1456" t="s">
        <v>2</v>
      </c>
      <c r="D1456" s="2">
        <v>43768</v>
      </c>
      <c r="E1456" s="11">
        <v>303</v>
      </c>
      <c r="F1456" s="3">
        <v>0.72499999999854481</v>
      </c>
      <c r="G1456" s="3">
        <v>0.72847000000183471</v>
      </c>
      <c r="H1456" s="13">
        <f t="shared" si="48"/>
        <v>303.72499999999854</v>
      </c>
      <c r="I1456" s="13">
        <f t="shared" si="49"/>
        <v>303.72847000000183</v>
      </c>
      <c r="J1456" s="13">
        <f t="shared" si="50"/>
        <v>303.72673500000019</v>
      </c>
      <c r="K1456" s="7">
        <v>43768.726735000004</v>
      </c>
      <c r="L1456" s="4">
        <v>6.2</v>
      </c>
      <c r="M1456">
        <v>19.899999999999999</v>
      </c>
      <c r="N1456">
        <v>16.670000000000002</v>
      </c>
      <c r="O1456">
        <v>33.200000000000003</v>
      </c>
      <c r="P1456">
        <v>0.44</v>
      </c>
      <c r="Q1456">
        <v>6.6790618133151503</v>
      </c>
      <c r="R1456">
        <v>-1.2476396783263899E-4</v>
      </c>
    </row>
    <row r="1457" spans="1:18" x14ac:dyDescent="0.2">
      <c r="A1457" t="s">
        <v>8</v>
      </c>
      <c r="B1457">
        <v>5</v>
      </c>
      <c r="C1457" t="s">
        <v>6</v>
      </c>
      <c r="D1457" s="2">
        <v>43768</v>
      </c>
      <c r="E1457" s="11">
        <v>303</v>
      </c>
      <c r="F1457" s="3">
        <v>0.73056000000360655</v>
      </c>
      <c r="G1457" s="3">
        <v>0.73402999999962049</v>
      </c>
      <c r="H1457" s="13">
        <f t="shared" si="48"/>
        <v>303.73056000000361</v>
      </c>
      <c r="I1457" s="13">
        <f t="shared" si="49"/>
        <v>303.73402999999962</v>
      </c>
      <c r="J1457" s="13">
        <f t="shared" si="50"/>
        <v>303.73229500000161</v>
      </c>
      <c r="K1457" s="7">
        <v>43768.732295000002</v>
      </c>
      <c r="L1457" s="4">
        <v>8.6999999999999993</v>
      </c>
      <c r="N1457">
        <v>16.670000000000002</v>
      </c>
      <c r="Q1457">
        <v>6.1223953369069797</v>
      </c>
      <c r="R1457">
        <v>-1.9395294691888001E-4</v>
      </c>
    </row>
    <row r="1458" spans="1:18" x14ac:dyDescent="0.2">
      <c r="A1458" t="s">
        <v>8</v>
      </c>
      <c r="B1458">
        <v>1</v>
      </c>
      <c r="C1458" t="s">
        <v>2</v>
      </c>
      <c r="D1458" s="2">
        <v>43775</v>
      </c>
      <c r="E1458" s="11">
        <v>310</v>
      </c>
      <c r="F1458" s="3">
        <v>0.42639000000053784</v>
      </c>
      <c r="G1458" s="3">
        <v>0.42985999999655178</v>
      </c>
      <c r="H1458" s="13">
        <f t="shared" si="48"/>
        <v>310.42639000000054</v>
      </c>
      <c r="I1458" s="13">
        <f t="shared" si="49"/>
        <v>310.42985999999655</v>
      </c>
      <c r="J1458" s="13">
        <f t="shared" si="50"/>
        <v>310.42812499999854</v>
      </c>
      <c r="K1458" s="7">
        <v>43775.428124999999</v>
      </c>
      <c r="L1458" s="4">
        <v>1028.7</v>
      </c>
      <c r="M1458">
        <v>11.2</v>
      </c>
      <c r="N1458">
        <v>7.78</v>
      </c>
      <c r="O1458">
        <v>32.299999999999997</v>
      </c>
      <c r="P1458">
        <v>0.38</v>
      </c>
      <c r="Q1458">
        <v>-3.3813121113403199</v>
      </c>
      <c r="R1458" s="6">
        <v>-7.44947326704594E-5</v>
      </c>
    </row>
    <row r="1459" spans="1:18" x14ac:dyDescent="0.2">
      <c r="A1459" t="s">
        <v>8</v>
      </c>
      <c r="B1459">
        <v>1</v>
      </c>
      <c r="C1459" t="s">
        <v>6</v>
      </c>
      <c r="D1459" s="2">
        <v>43775</v>
      </c>
      <c r="E1459" s="11">
        <v>310</v>
      </c>
      <c r="F1459" s="3">
        <v>0.43471999999746913</v>
      </c>
      <c r="G1459" s="3">
        <v>0.43819000000075903</v>
      </c>
      <c r="H1459" s="13">
        <f t="shared" si="48"/>
        <v>310.43471999999747</v>
      </c>
      <c r="I1459" s="13">
        <f t="shared" si="49"/>
        <v>310.43819000000076</v>
      </c>
      <c r="J1459" s="13">
        <f t="shared" si="50"/>
        <v>310.43645499999911</v>
      </c>
      <c r="K1459" s="7">
        <v>43775.436455000003</v>
      </c>
      <c r="L1459" s="4">
        <v>1111.2</v>
      </c>
      <c r="N1459">
        <v>7.78</v>
      </c>
      <c r="Q1459">
        <v>2.69792138162145</v>
      </c>
      <c r="R1459" s="6">
        <v>-9.9871757862167899E-5</v>
      </c>
    </row>
    <row r="1460" spans="1:18" x14ac:dyDescent="0.2">
      <c r="A1460" t="s">
        <v>8</v>
      </c>
      <c r="B1460">
        <v>2</v>
      </c>
      <c r="C1460" t="s">
        <v>2</v>
      </c>
      <c r="D1460" s="2">
        <v>43775</v>
      </c>
      <c r="E1460" s="11">
        <v>310</v>
      </c>
      <c r="F1460" s="3">
        <v>0.44167000000015832</v>
      </c>
      <c r="G1460" s="3">
        <v>0.44514000000344822</v>
      </c>
      <c r="H1460" s="13">
        <f t="shared" si="48"/>
        <v>310.44167000000016</v>
      </c>
      <c r="I1460" s="13">
        <f t="shared" si="49"/>
        <v>310.44514000000345</v>
      </c>
      <c r="J1460" s="13">
        <f t="shared" si="50"/>
        <v>310.4434050000018</v>
      </c>
      <c r="K1460" s="7">
        <v>43775.443404999998</v>
      </c>
      <c r="L1460" s="4">
        <v>1106.2</v>
      </c>
      <c r="M1460">
        <v>12.3</v>
      </c>
      <c r="N1460">
        <v>8.89</v>
      </c>
      <c r="O1460">
        <v>36.799999999999997</v>
      </c>
      <c r="P1460">
        <v>0.41</v>
      </c>
      <c r="Q1460">
        <v>-3.2954918249413399</v>
      </c>
      <c r="R1460" s="6">
        <v>-8.9537552802927898E-5</v>
      </c>
    </row>
    <row r="1461" spans="1:18" x14ac:dyDescent="0.2">
      <c r="A1461" t="s">
        <v>8</v>
      </c>
      <c r="B1461">
        <v>2</v>
      </c>
      <c r="C1461" t="s">
        <v>6</v>
      </c>
      <c r="D1461" s="2">
        <v>43775</v>
      </c>
      <c r="E1461" s="11">
        <v>310</v>
      </c>
      <c r="F1461" s="3">
        <v>0.44931000000360655</v>
      </c>
      <c r="G1461" s="3">
        <v>0.45277999999962049</v>
      </c>
      <c r="H1461" s="13">
        <f t="shared" si="48"/>
        <v>310.44931000000361</v>
      </c>
      <c r="I1461" s="13">
        <f t="shared" si="49"/>
        <v>310.45277999999962</v>
      </c>
      <c r="J1461" s="13">
        <f t="shared" si="50"/>
        <v>310.45104500000161</v>
      </c>
      <c r="K1461" s="7">
        <v>43775.451045000002</v>
      </c>
      <c r="L1461" s="4">
        <v>1141.2</v>
      </c>
      <c r="N1461">
        <v>8.89</v>
      </c>
      <c r="Q1461">
        <v>1.7733692831168499</v>
      </c>
      <c r="R1461" s="6">
        <v>-6.2508005104798507E-5</v>
      </c>
    </row>
    <row r="1462" spans="1:18" x14ac:dyDescent="0.2">
      <c r="A1462" t="s">
        <v>8</v>
      </c>
      <c r="B1462">
        <v>3</v>
      </c>
      <c r="C1462" t="s">
        <v>2</v>
      </c>
      <c r="D1462" s="2">
        <v>43775</v>
      </c>
      <c r="E1462" s="11">
        <v>310</v>
      </c>
      <c r="F1462" s="3">
        <v>0.45648000000073807</v>
      </c>
      <c r="G1462" s="3">
        <v>0.45994999999675201</v>
      </c>
      <c r="H1462" s="13">
        <f t="shared" si="48"/>
        <v>310.45648000000074</v>
      </c>
      <c r="I1462" s="13">
        <f t="shared" si="49"/>
        <v>310.45994999999675</v>
      </c>
      <c r="J1462" s="13">
        <f t="shared" si="50"/>
        <v>310.45821499999875</v>
      </c>
      <c r="K1462" s="7">
        <v>43775.458214999999</v>
      </c>
      <c r="L1462" s="4">
        <v>1141.2</v>
      </c>
      <c r="M1462">
        <v>8.3000000000000007</v>
      </c>
      <c r="N1462">
        <v>8.89</v>
      </c>
      <c r="O1462">
        <v>38.700000000000003</v>
      </c>
      <c r="P1462">
        <v>0.47</v>
      </c>
      <c r="Q1462">
        <v>-3.5325516249326698</v>
      </c>
      <c r="R1462">
        <v>-3.0419137645371498E-4</v>
      </c>
    </row>
    <row r="1463" spans="1:18" x14ac:dyDescent="0.2">
      <c r="A1463" t="s">
        <v>8</v>
      </c>
      <c r="B1463">
        <v>3</v>
      </c>
      <c r="C1463" t="s">
        <v>6</v>
      </c>
      <c r="D1463" s="2">
        <v>43775</v>
      </c>
      <c r="E1463" s="11">
        <v>310</v>
      </c>
      <c r="F1463" s="3">
        <v>0.46319000000221422</v>
      </c>
      <c r="G1463" s="3">
        <v>0.46667000000161352</v>
      </c>
      <c r="H1463" s="13">
        <f t="shared" si="48"/>
        <v>310.46319000000221</v>
      </c>
      <c r="I1463" s="13">
        <f t="shared" si="49"/>
        <v>310.46667000000161</v>
      </c>
      <c r="J1463" s="13">
        <f t="shared" si="50"/>
        <v>310.46493000000191</v>
      </c>
      <c r="K1463" s="7">
        <v>43775.464930000002</v>
      </c>
      <c r="L1463" s="4">
        <v>1136.2</v>
      </c>
      <c r="N1463">
        <v>8.89</v>
      </c>
      <c r="Q1463">
        <v>2.58684547607659</v>
      </c>
      <c r="R1463">
        <v>-3.08698837766719E-4</v>
      </c>
    </row>
    <row r="1464" spans="1:18" x14ac:dyDescent="0.2">
      <c r="A1464" t="s">
        <v>8</v>
      </c>
      <c r="B1464">
        <v>4</v>
      </c>
      <c r="C1464" t="s">
        <v>2</v>
      </c>
      <c r="D1464" s="2">
        <v>43775</v>
      </c>
      <c r="E1464" s="11">
        <v>310</v>
      </c>
      <c r="F1464" s="3">
        <v>0.46990999999979977</v>
      </c>
      <c r="G1464" s="3">
        <v>0.47338000000308966</v>
      </c>
      <c r="H1464" s="13">
        <f t="shared" si="48"/>
        <v>310.4699099999998</v>
      </c>
      <c r="I1464" s="13">
        <f t="shared" si="49"/>
        <v>310.47338000000309</v>
      </c>
      <c r="J1464" s="13">
        <f t="shared" si="50"/>
        <v>310.47164500000144</v>
      </c>
      <c r="K1464" s="7">
        <v>43775.471644999998</v>
      </c>
      <c r="L1464" s="4">
        <v>1141.2</v>
      </c>
      <c r="M1464">
        <v>5.8</v>
      </c>
      <c r="N1464">
        <v>8.89</v>
      </c>
      <c r="O1464">
        <v>46.3</v>
      </c>
      <c r="P1464">
        <v>0.45</v>
      </c>
      <c r="Q1464">
        <v>-6.8634571713386698</v>
      </c>
      <c r="R1464" s="6">
        <v>-7.8862072011514405E-5</v>
      </c>
    </row>
    <row r="1465" spans="1:18" x14ac:dyDescent="0.2">
      <c r="A1465" t="s">
        <v>8</v>
      </c>
      <c r="B1465">
        <v>4</v>
      </c>
      <c r="C1465" t="s">
        <v>6</v>
      </c>
      <c r="D1465" s="2">
        <v>43775</v>
      </c>
      <c r="E1465" s="11">
        <v>310</v>
      </c>
      <c r="F1465" s="3">
        <v>0.47720000000117579</v>
      </c>
      <c r="G1465" s="3">
        <v>0.48066999999718973</v>
      </c>
      <c r="H1465" s="13">
        <f t="shared" si="48"/>
        <v>310.47720000000118</v>
      </c>
      <c r="I1465" s="13">
        <f t="shared" si="49"/>
        <v>310.48066999999719</v>
      </c>
      <c r="J1465" s="13">
        <f t="shared" si="50"/>
        <v>310.47893499999918</v>
      </c>
      <c r="K1465" s="7">
        <v>43775.478934999999</v>
      </c>
      <c r="L1465" s="4">
        <v>1146.2</v>
      </c>
      <c r="N1465">
        <v>8.89</v>
      </c>
      <c r="Q1465">
        <v>3.5533415869149501</v>
      </c>
      <c r="R1465">
        <v>-1.2873016092863299E-4</v>
      </c>
    </row>
    <row r="1466" spans="1:18" x14ac:dyDescent="0.2">
      <c r="A1466" t="s">
        <v>8</v>
      </c>
      <c r="B1466">
        <v>5</v>
      </c>
      <c r="C1466" t="s">
        <v>2</v>
      </c>
      <c r="D1466" s="2">
        <v>43775</v>
      </c>
      <c r="E1466" s="11">
        <v>310</v>
      </c>
      <c r="F1466" s="3">
        <v>0.48472000000037951</v>
      </c>
      <c r="G1466" s="3">
        <v>0.48818999999639345</v>
      </c>
      <c r="H1466" s="13">
        <f t="shared" si="48"/>
        <v>310.48472000000038</v>
      </c>
      <c r="I1466" s="13">
        <f t="shared" si="49"/>
        <v>310.48818999999639</v>
      </c>
      <c r="J1466" s="13">
        <f t="shared" si="50"/>
        <v>310.48645499999839</v>
      </c>
      <c r="K1466" s="7">
        <v>43775.486454999998</v>
      </c>
      <c r="L1466" s="4">
        <v>1146.2</v>
      </c>
      <c r="M1466">
        <v>14.5</v>
      </c>
      <c r="N1466">
        <v>8.89</v>
      </c>
      <c r="O1466">
        <v>16.100000000000001</v>
      </c>
      <c r="P1466">
        <v>0.42</v>
      </c>
      <c r="Q1466">
        <v>-3.3968378517187698</v>
      </c>
      <c r="R1466" s="6">
        <v>-9.4180685804173605E-5</v>
      </c>
    </row>
    <row r="1467" spans="1:18" x14ac:dyDescent="0.2">
      <c r="A1467" t="s">
        <v>8</v>
      </c>
      <c r="B1467">
        <v>5</v>
      </c>
      <c r="C1467" t="s">
        <v>6</v>
      </c>
      <c r="D1467" s="2">
        <v>43775</v>
      </c>
      <c r="E1467" s="11">
        <v>310</v>
      </c>
      <c r="F1467" s="3">
        <v>0.49167000000306871</v>
      </c>
      <c r="G1467" s="3">
        <v>0.49513999999908265</v>
      </c>
      <c r="H1467" s="13">
        <f t="shared" ref="H1467:H1530" si="51">E1467+F1467</f>
        <v>310.49167000000307</v>
      </c>
      <c r="I1467" s="13">
        <f t="shared" ref="I1467:I1530" si="52">E1467+G1467</f>
        <v>310.49513999999908</v>
      </c>
      <c r="J1467" s="13">
        <f t="shared" ref="J1467:J1530" si="53">AVERAGE(H1467:I1467)</f>
        <v>310.49340500000108</v>
      </c>
      <c r="K1467" s="7">
        <v>43775.493405000001</v>
      </c>
      <c r="L1467" s="4">
        <v>1143.7</v>
      </c>
      <c r="N1467">
        <v>8.89</v>
      </c>
      <c r="Q1467">
        <v>2.5697349498044399</v>
      </c>
      <c r="R1467" s="6">
        <v>-6.0189799791558498E-5</v>
      </c>
    </row>
    <row r="1468" spans="1:18" x14ac:dyDescent="0.2">
      <c r="A1468" t="s">
        <v>8</v>
      </c>
      <c r="B1468">
        <v>1</v>
      </c>
      <c r="C1468" t="s">
        <v>2</v>
      </c>
      <c r="D1468" s="2">
        <v>43775</v>
      </c>
      <c r="E1468" s="11">
        <v>310</v>
      </c>
      <c r="F1468" s="3">
        <v>0.51296000000002095</v>
      </c>
      <c r="G1468" s="3">
        <v>0.51643999999942025</v>
      </c>
      <c r="H1468" s="13">
        <f t="shared" si="51"/>
        <v>310.51296000000002</v>
      </c>
      <c r="I1468" s="13">
        <f t="shared" si="52"/>
        <v>310.51643999999942</v>
      </c>
      <c r="J1468" s="13">
        <f t="shared" si="53"/>
        <v>310.51469999999972</v>
      </c>
      <c r="K1468" s="7">
        <v>43775.5147</v>
      </c>
      <c r="L1468" s="4">
        <v>1118.7</v>
      </c>
      <c r="M1468">
        <v>13.9</v>
      </c>
      <c r="N1468">
        <v>11.67</v>
      </c>
      <c r="O1468">
        <v>26.3</v>
      </c>
      <c r="P1468">
        <v>0.4</v>
      </c>
      <c r="Q1468">
        <v>-3.4120556696358499</v>
      </c>
      <c r="R1468">
        <v>-2.6327633067966199E-4</v>
      </c>
    </row>
    <row r="1469" spans="1:18" x14ac:dyDescent="0.2">
      <c r="A1469" t="s">
        <v>8</v>
      </c>
      <c r="B1469">
        <v>1</v>
      </c>
      <c r="C1469" t="s">
        <v>6</v>
      </c>
      <c r="D1469" s="2">
        <v>43775</v>
      </c>
      <c r="E1469" s="11">
        <v>310</v>
      </c>
      <c r="F1469" s="3">
        <v>0.51890000000275904</v>
      </c>
      <c r="G1469" s="3">
        <v>0.52236999999877298</v>
      </c>
      <c r="H1469" s="13">
        <f t="shared" si="51"/>
        <v>310.51890000000276</v>
      </c>
      <c r="I1469" s="13">
        <f t="shared" si="52"/>
        <v>310.52236999999877</v>
      </c>
      <c r="J1469" s="13">
        <f t="shared" si="53"/>
        <v>310.52063500000077</v>
      </c>
      <c r="K1469" s="7">
        <v>43775.520635000001</v>
      </c>
      <c r="L1469" s="4">
        <v>1103.7</v>
      </c>
      <c r="N1469">
        <v>11.67</v>
      </c>
      <c r="Q1469">
        <v>2.8456892173441402</v>
      </c>
      <c r="R1469">
        <v>-3.0332140135563401E-4</v>
      </c>
    </row>
    <row r="1470" spans="1:18" x14ac:dyDescent="0.2">
      <c r="A1470" t="s">
        <v>8</v>
      </c>
      <c r="B1470">
        <v>2</v>
      </c>
      <c r="C1470" t="s">
        <v>2</v>
      </c>
      <c r="D1470" s="2">
        <v>43775</v>
      </c>
      <c r="E1470" s="11">
        <v>310</v>
      </c>
      <c r="F1470" s="3">
        <v>0.52487999999721069</v>
      </c>
      <c r="G1470" s="3">
        <v>0.52835999999660999</v>
      </c>
      <c r="H1470" s="13">
        <f t="shared" si="51"/>
        <v>310.52487999999721</v>
      </c>
      <c r="I1470" s="13">
        <f t="shared" si="52"/>
        <v>310.52835999999661</v>
      </c>
      <c r="J1470" s="13">
        <f t="shared" si="53"/>
        <v>310.52661999999691</v>
      </c>
      <c r="K1470" s="7">
        <v>43775.526619999997</v>
      </c>
      <c r="L1470" s="4">
        <v>1086.2</v>
      </c>
      <c r="M1470">
        <v>13.2</v>
      </c>
      <c r="N1470">
        <v>11.67</v>
      </c>
      <c r="O1470">
        <v>28.1</v>
      </c>
      <c r="P1470">
        <v>0.41</v>
      </c>
      <c r="Q1470">
        <v>-2.5764526949713402</v>
      </c>
      <c r="R1470">
        <v>-4.6125096224801799E-4</v>
      </c>
    </row>
    <row r="1471" spans="1:18" x14ac:dyDescent="0.2">
      <c r="A1471" t="s">
        <v>8</v>
      </c>
      <c r="B1471">
        <v>2</v>
      </c>
      <c r="C1471" t="s">
        <v>6</v>
      </c>
      <c r="D1471" s="2">
        <v>43775</v>
      </c>
      <c r="E1471" s="11">
        <v>310</v>
      </c>
      <c r="F1471" s="3">
        <v>0.53154000000358792</v>
      </c>
      <c r="G1471" s="3">
        <v>0.53500999999960186</v>
      </c>
      <c r="H1471" s="13">
        <f t="shared" si="51"/>
        <v>310.53154000000359</v>
      </c>
      <c r="I1471" s="13">
        <f t="shared" si="52"/>
        <v>310.5350099999996</v>
      </c>
      <c r="J1471" s="13">
        <f t="shared" si="53"/>
        <v>310.53327500000159</v>
      </c>
      <c r="K1471" s="7">
        <v>43775.533275000002</v>
      </c>
      <c r="L1471" s="4">
        <v>1063.7</v>
      </c>
      <c r="N1471">
        <v>11.67</v>
      </c>
      <c r="Q1471">
        <v>2.9962755180652998</v>
      </c>
      <c r="R1471">
        <v>-3.5472826033664797E-4</v>
      </c>
    </row>
    <row r="1472" spans="1:18" x14ac:dyDescent="0.2">
      <c r="A1472" t="s">
        <v>8</v>
      </c>
      <c r="B1472">
        <v>3</v>
      </c>
      <c r="C1472" t="s">
        <v>2</v>
      </c>
      <c r="D1472" s="2">
        <v>43775</v>
      </c>
      <c r="E1472" s="11">
        <v>310</v>
      </c>
      <c r="F1472" s="3">
        <v>0.53794999999809079</v>
      </c>
      <c r="G1472" s="3">
        <v>0.54142000000138069</v>
      </c>
      <c r="H1472" s="13">
        <f t="shared" si="51"/>
        <v>310.53794999999809</v>
      </c>
      <c r="I1472" s="13">
        <f t="shared" si="52"/>
        <v>310.54142000000138</v>
      </c>
      <c r="J1472" s="13">
        <f t="shared" si="53"/>
        <v>310.53968499999974</v>
      </c>
      <c r="K1472" s="7">
        <v>43775.539684999996</v>
      </c>
      <c r="L1472" s="4">
        <v>1038.7</v>
      </c>
      <c r="M1472">
        <v>11.8</v>
      </c>
      <c r="N1472">
        <v>11.67</v>
      </c>
      <c r="O1472">
        <v>30.3</v>
      </c>
      <c r="P1472">
        <v>0.36</v>
      </c>
      <c r="Q1472">
        <v>-2.8545534050482901</v>
      </c>
      <c r="R1472">
        <v>-5.2234818577333005E-4</v>
      </c>
    </row>
    <row r="1473" spans="1:18" x14ac:dyDescent="0.2">
      <c r="A1473" t="s">
        <v>8</v>
      </c>
      <c r="B1473">
        <v>3</v>
      </c>
      <c r="C1473" t="s">
        <v>6</v>
      </c>
      <c r="D1473" s="2">
        <v>43775</v>
      </c>
      <c r="E1473" s="11">
        <v>310</v>
      </c>
      <c r="F1473" s="3">
        <v>0.54456000000209315</v>
      </c>
      <c r="G1473" s="3">
        <v>0.54802999999810709</v>
      </c>
      <c r="H1473" s="13">
        <f t="shared" si="51"/>
        <v>310.54456000000209</v>
      </c>
      <c r="I1473" s="13">
        <f t="shared" si="52"/>
        <v>310.54802999999811</v>
      </c>
      <c r="J1473" s="13">
        <f t="shared" si="53"/>
        <v>310.5462950000001</v>
      </c>
      <c r="K1473" s="7">
        <v>43775.546295</v>
      </c>
      <c r="L1473" s="4">
        <v>1008.7</v>
      </c>
      <c r="N1473">
        <v>11.67</v>
      </c>
      <c r="Q1473">
        <v>2.4332480896987798</v>
      </c>
      <c r="R1473">
        <v>-2.5054161804732302E-4</v>
      </c>
    </row>
    <row r="1474" spans="1:18" x14ac:dyDescent="0.2">
      <c r="A1474" t="s">
        <v>8</v>
      </c>
      <c r="B1474">
        <v>4</v>
      </c>
      <c r="C1474" t="s">
        <v>2</v>
      </c>
      <c r="D1474" s="2">
        <v>43775</v>
      </c>
      <c r="E1474" s="11">
        <v>310</v>
      </c>
      <c r="F1474" s="3">
        <v>0.55116000000271015</v>
      </c>
      <c r="G1474" s="3">
        <v>0.55462999999872409</v>
      </c>
      <c r="H1474" s="13">
        <f t="shared" si="51"/>
        <v>310.55116000000271</v>
      </c>
      <c r="I1474" s="13">
        <f t="shared" si="52"/>
        <v>310.55462999999872</v>
      </c>
      <c r="J1474" s="13">
        <f t="shared" si="53"/>
        <v>310.55289500000072</v>
      </c>
      <c r="K1474" s="7">
        <v>43775.552895000001</v>
      </c>
      <c r="L1474" s="4">
        <v>978.7</v>
      </c>
      <c r="M1474">
        <v>11.3</v>
      </c>
      <c r="N1474">
        <v>11.67</v>
      </c>
      <c r="O1474">
        <v>38.5</v>
      </c>
      <c r="P1474">
        <v>0.46</v>
      </c>
      <c r="Q1474">
        <v>-6.0203181013538698</v>
      </c>
      <c r="R1474">
        <v>-2.02236300173303E-4</v>
      </c>
    </row>
    <row r="1475" spans="1:18" x14ac:dyDescent="0.2">
      <c r="A1475" t="s">
        <v>8</v>
      </c>
      <c r="B1475">
        <v>4</v>
      </c>
      <c r="C1475" t="s">
        <v>6</v>
      </c>
      <c r="D1475" s="2">
        <v>43775</v>
      </c>
      <c r="E1475" s="11">
        <v>310</v>
      </c>
      <c r="F1475" s="3">
        <v>0.55791000000317581</v>
      </c>
      <c r="G1475" s="3">
        <v>0.56137999999918975</v>
      </c>
      <c r="H1475" s="13">
        <f t="shared" si="51"/>
        <v>310.55791000000318</v>
      </c>
      <c r="I1475" s="13">
        <f t="shared" si="52"/>
        <v>310.56137999999919</v>
      </c>
      <c r="J1475" s="13">
        <f t="shared" si="53"/>
        <v>310.55964500000118</v>
      </c>
      <c r="K1475" s="7">
        <v>43775.559645000001</v>
      </c>
      <c r="L1475" s="4">
        <v>946.2</v>
      </c>
      <c r="N1475">
        <v>11.67</v>
      </c>
      <c r="Q1475">
        <v>3.7528866192417101</v>
      </c>
      <c r="R1475">
        <v>-2.99921819993032E-4</v>
      </c>
    </row>
    <row r="1476" spans="1:18" x14ac:dyDescent="0.2">
      <c r="A1476" t="s">
        <v>8</v>
      </c>
      <c r="B1476">
        <v>5</v>
      </c>
      <c r="C1476" t="s">
        <v>2</v>
      </c>
      <c r="D1476" s="2">
        <v>43775</v>
      </c>
      <c r="E1476" s="11">
        <v>310</v>
      </c>
      <c r="F1476" s="3">
        <v>0.5661099999997532</v>
      </c>
      <c r="G1476" s="3">
        <v>0.5695800000030431</v>
      </c>
      <c r="H1476" s="13">
        <f t="shared" si="51"/>
        <v>310.56610999999975</v>
      </c>
      <c r="I1476" s="13">
        <f t="shared" si="52"/>
        <v>310.56958000000304</v>
      </c>
      <c r="J1476" s="13">
        <f t="shared" si="53"/>
        <v>310.5678450000014</v>
      </c>
      <c r="K1476" s="7">
        <v>43775.567844999998</v>
      </c>
      <c r="L1476" s="4">
        <v>903.7</v>
      </c>
      <c r="M1476">
        <v>13.9</v>
      </c>
      <c r="N1476">
        <v>11.67</v>
      </c>
      <c r="O1476">
        <v>30.9</v>
      </c>
      <c r="P1476">
        <v>0.39</v>
      </c>
      <c r="Q1476">
        <v>-2.30271359972319</v>
      </c>
      <c r="R1476">
        <v>-1.81503701855235E-4</v>
      </c>
    </row>
    <row r="1477" spans="1:18" x14ac:dyDescent="0.2">
      <c r="A1477" t="s">
        <v>8</v>
      </c>
      <c r="B1477">
        <v>5</v>
      </c>
      <c r="C1477" t="s">
        <v>6</v>
      </c>
      <c r="D1477" s="2">
        <v>43775</v>
      </c>
      <c r="E1477" s="11">
        <v>310</v>
      </c>
      <c r="F1477" s="3">
        <v>0.57338000000163447</v>
      </c>
      <c r="G1477" s="3">
        <v>0.57684999999764841</v>
      </c>
      <c r="H1477" s="13">
        <f t="shared" si="51"/>
        <v>310.57338000000163</v>
      </c>
      <c r="I1477" s="13">
        <f t="shared" si="52"/>
        <v>310.57684999999765</v>
      </c>
      <c r="J1477" s="13">
        <f t="shared" si="53"/>
        <v>310.57511499999964</v>
      </c>
      <c r="K1477" s="7">
        <v>43775.575115</v>
      </c>
      <c r="L1477" s="4">
        <v>781.2</v>
      </c>
      <c r="N1477">
        <v>11.67</v>
      </c>
      <c r="Q1477">
        <v>1.90836688278912</v>
      </c>
      <c r="R1477" s="6">
        <v>-9.8734321000913506E-5</v>
      </c>
    </row>
    <row r="1478" spans="1:18" x14ac:dyDescent="0.2">
      <c r="A1478" t="s">
        <v>9</v>
      </c>
      <c r="B1478">
        <v>1</v>
      </c>
      <c r="C1478" t="s">
        <v>2</v>
      </c>
      <c r="D1478" s="2">
        <v>43580</v>
      </c>
      <c r="E1478" s="11">
        <v>115</v>
      </c>
      <c r="F1478" s="3">
        <v>0.41689999999653082</v>
      </c>
      <c r="G1478" s="3">
        <v>0.42036999999982072</v>
      </c>
      <c r="H1478" s="13">
        <f t="shared" si="51"/>
        <v>115.41689999999653</v>
      </c>
      <c r="I1478" s="13">
        <f t="shared" si="52"/>
        <v>115.42036999999982</v>
      </c>
      <c r="J1478" s="13">
        <f t="shared" si="53"/>
        <v>115.41863499999818</v>
      </c>
      <c r="K1478" s="7">
        <v>43580.418634999995</v>
      </c>
      <c r="L1478" s="4">
        <v>1381.2</v>
      </c>
      <c r="M1478">
        <v>16.8</v>
      </c>
      <c r="N1478">
        <v>11.11</v>
      </c>
      <c r="Q1478">
        <v>0.97388535124741005</v>
      </c>
      <c r="R1478" s="6">
        <v>5.04844107526369E-5</v>
      </c>
    </row>
    <row r="1479" spans="1:18" x14ac:dyDescent="0.2">
      <c r="A1479" t="s">
        <v>9</v>
      </c>
      <c r="B1479">
        <v>1</v>
      </c>
      <c r="C1479" t="s">
        <v>6</v>
      </c>
      <c r="D1479" s="2">
        <v>43580</v>
      </c>
      <c r="E1479" s="11">
        <v>115</v>
      </c>
      <c r="F1479" s="3">
        <v>0.42175999999744818</v>
      </c>
      <c r="G1479" s="3">
        <v>0.42523000000073807</v>
      </c>
      <c r="H1479" s="13">
        <f t="shared" si="51"/>
        <v>115.42175999999745</v>
      </c>
      <c r="I1479" s="13">
        <f t="shared" si="52"/>
        <v>115.42523000000074</v>
      </c>
      <c r="J1479" s="13">
        <f t="shared" si="53"/>
        <v>115.42349499999909</v>
      </c>
      <c r="K1479" s="7">
        <v>43580.423494999995</v>
      </c>
      <c r="L1479" s="4">
        <v>1411.2</v>
      </c>
      <c r="N1479">
        <v>11.11</v>
      </c>
      <c r="Q1479">
        <v>3.6759759892625401</v>
      </c>
      <c r="R1479" s="6">
        <v>-3.3187959552392498E-5</v>
      </c>
    </row>
    <row r="1480" spans="1:18" x14ac:dyDescent="0.2">
      <c r="A1480" t="s">
        <v>9</v>
      </c>
      <c r="B1480">
        <v>2</v>
      </c>
      <c r="C1480" t="s">
        <v>2</v>
      </c>
      <c r="D1480" s="2">
        <v>43580</v>
      </c>
      <c r="E1480" s="11">
        <v>115</v>
      </c>
      <c r="F1480" s="3">
        <v>0.42661999999836553</v>
      </c>
      <c r="G1480" s="3">
        <v>0.43009000000165543</v>
      </c>
      <c r="H1480" s="13">
        <f t="shared" si="51"/>
        <v>115.42661999999837</v>
      </c>
      <c r="I1480" s="13">
        <f t="shared" si="52"/>
        <v>115.43009000000166</v>
      </c>
      <c r="J1480" s="13">
        <f t="shared" si="53"/>
        <v>115.42835500000001</v>
      </c>
      <c r="K1480" s="7">
        <v>43580.428354999996</v>
      </c>
      <c r="L1480" s="4">
        <v>1446.2</v>
      </c>
      <c r="M1480">
        <v>21</v>
      </c>
      <c r="N1480">
        <v>11.11</v>
      </c>
      <c r="Q1480">
        <v>-0.15737510352471201</v>
      </c>
      <c r="R1480" s="6">
        <v>-8.2474329607532305E-5</v>
      </c>
    </row>
    <row r="1481" spans="1:18" x14ac:dyDescent="0.2">
      <c r="A1481" t="s">
        <v>9</v>
      </c>
      <c r="B1481">
        <v>2</v>
      </c>
      <c r="C1481" t="s">
        <v>6</v>
      </c>
      <c r="D1481" s="2">
        <v>43580</v>
      </c>
      <c r="E1481" s="11">
        <v>115</v>
      </c>
      <c r="F1481" s="3">
        <v>0.43147999999928288</v>
      </c>
      <c r="G1481" s="3">
        <v>0.43495000000257278</v>
      </c>
      <c r="H1481" s="13">
        <f t="shared" si="51"/>
        <v>115.43147999999928</v>
      </c>
      <c r="I1481" s="13">
        <f t="shared" si="52"/>
        <v>115.43495000000257</v>
      </c>
      <c r="J1481" s="13">
        <f t="shared" si="53"/>
        <v>115.43321500000093</v>
      </c>
      <c r="K1481" s="7">
        <v>43580.433214999997</v>
      </c>
      <c r="L1481" s="4">
        <v>1473.7</v>
      </c>
      <c r="N1481">
        <v>11.11</v>
      </c>
      <c r="Q1481">
        <v>3.1579425526015701</v>
      </c>
      <c r="R1481" s="6">
        <v>-7.7014176630064502E-5</v>
      </c>
    </row>
    <row r="1482" spans="1:18" x14ac:dyDescent="0.2">
      <c r="A1482" t="s">
        <v>9</v>
      </c>
      <c r="B1482">
        <v>3</v>
      </c>
      <c r="C1482" t="s">
        <v>2</v>
      </c>
      <c r="D1482" s="2">
        <v>43580</v>
      </c>
      <c r="E1482" s="11">
        <v>115</v>
      </c>
      <c r="F1482" s="3">
        <v>0.43634000000020023</v>
      </c>
      <c r="G1482" s="3">
        <v>0.43981000000349013</v>
      </c>
      <c r="H1482" s="13">
        <f t="shared" si="51"/>
        <v>115.4363400000002</v>
      </c>
      <c r="I1482" s="13">
        <f t="shared" si="52"/>
        <v>115.43981000000349</v>
      </c>
      <c r="J1482" s="13">
        <f t="shared" si="53"/>
        <v>115.43807500000185</v>
      </c>
      <c r="K1482" s="7">
        <v>43580.438074999998</v>
      </c>
      <c r="L1482" s="4">
        <v>1511.2</v>
      </c>
      <c r="M1482">
        <v>21.2</v>
      </c>
      <c r="N1482">
        <v>11.11</v>
      </c>
      <c r="Q1482">
        <v>-2.2350421599774499</v>
      </c>
      <c r="R1482" s="6">
        <v>-3.5589188664666898E-5</v>
      </c>
    </row>
    <row r="1483" spans="1:18" x14ac:dyDescent="0.2">
      <c r="A1483" t="s">
        <v>9</v>
      </c>
      <c r="B1483">
        <v>3</v>
      </c>
      <c r="C1483" t="s">
        <v>6</v>
      </c>
      <c r="D1483" s="2">
        <v>43580</v>
      </c>
      <c r="E1483" s="11">
        <v>115</v>
      </c>
      <c r="F1483" s="3">
        <v>0.44120000000111759</v>
      </c>
      <c r="G1483" s="3">
        <v>0.44468000000051688</v>
      </c>
      <c r="H1483" s="13">
        <f t="shared" si="51"/>
        <v>115.44120000000112</v>
      </c>
      <c r="I1483" s="13">
        <f t="shared" si="52"/>
        <v>115.44468000000052</v>
      </c>
      <c r="J1483" s="13">
        <f t="shared" si="53"/>
        <v>115.44294000000082</v>
      </c>
      <c r="K1483" s="7">
        <v>43580.442940000001</v>
      </c>
      <c r="L1483" s="4">
        <v>1536.2</v>
      </c>
      <c r="N1483">
        <v>11.11</v>
      </c>
      <c r="Q1483">
        <v>2.8550885548360099</v>
      </c>
      <c r="R1483" s="6">
        <v>-3.53158178764731E-5</v>
      </c>
    </row>
    <row r="1484" spans="1:18" x14ac:dyDescent="0.2">
      <c r="A1484" t="s">
        <v>9</v>
      </c>
      <c r="B1484">
        <v>4</v>
      </c>
      <c r="C1484" t="s">
        <v>2</v>
      </c>
      <c r="D1484" s="2">
        <v>43580</v>
      </c>
      <c r="E1484" s="11">
        <v>115</v>
      </c>
      <c r="F1484" s="3">
        <v>0.44606000000203494</v>
      </c>
      <c r="G1484" s="3">
        <v>0.44954000000143424</v>
      </c>
      <c r="H1484" s="13">
        <f t="shared" si="51"/>
        <v>115.44606000000203</v>
      </c>
      <c r="I1484" s="13">
        <f t="shared" si="52"/>
        <v>115.44954000000143</v>
      </c>
      <c r="J1484" s="13">
        <f t="shared" si="53"/>
        <v>115.44780000000173</v>
      </c>
      <c r="K1484" s="7">
        <v>43580.447800000002</v>
      </c>
      <c r="L1484" s="4">
        <v>1561.2</v>
      </c>
      <c r="M1484">
        <v>20.3</v>
      </c>
      <c r="N1484">
        <v>11.11</v>
      </c>
      <c r="Q1484">
        <v>-0.95135716385236002</v>
      </c>
      <c r="R1484" s="6">
        <v>-8.7545068296849705E-5</v>
      </c>
    </row>
    <row r="1485" spans="1:18" x14ac:dyDescent="0.2">
      <c r="A1485" t="s">
        <v>9</v>
      </c>
      <c r="B1485">
        <v>4</v>
      </c>
      <c r="C1485" t="s">
        <v>6</v>
      </c>
      <c r="D1485" s="2">
        <v>43580</v>
      </c>
      <c r="E1485" s="11">
        <v>115</v>
      </c>
      <c r="F1485" s="3">
        <v>0.45092999999906169</v>
      </c>
      <c r="G1485" s="3">
        <v>0.45440000000235159</v>
      </c>
      <c r="H1485" s="13">
        <f t="shared" si="51"/>
        <v>115.45092999999906</v>
      </c>
      <c r="I1485" s="13">
        <f t="shared" si="52"/>
        <v>115.45440000000235</v>
      </c>
      <c r="J1485" s="13">
        <f t="shared" si="53"/>
        <v>115.45266500000071</v>
      </c>
      <c r="K1485" s="7">
        <v>43580.452665000004</v>
      </c>
      <c r="L1485" s="4">
        <v>1583.7</v>
      </c>
      <c r="N1485">
        <v>11.11</v>
      </c>
      <c r="Q1485">
        <v>5.0094178480523501</v>
      </c>
      <c r="R1485" s="6">
        <v>-8.3462390039443893E-5</v>
      </c>
    </row>
    <row r="1486" spans="1:18" x14ac:dyDescent="0.2">
      <c r="A1486" t="s">
        <v>9</v>
      </c>
      <c r="B1486">
        <v>5</v>
      </c>
      <c r="C1486" t="s">
        <v>2</v>
      </c>
      <c r="D1486" s="2">
        <v>43580</v>
      </c>
      <c r="E1486" s="11">
        <v>115</v>
      </c>
      <c r="F1486" s="3">
        <v>0.45578999999997905</v>
      </c>
      <c r="G1486" s="3">
        <v>0.45926000000326894</v>
      </c>
      <c r="H1486" s="13">
        <f t="shared" si="51"/>
        <v>115.45578999999998</v>
      </c>
      <c r="I1486" s="13">
        <f t="shared" si="52"/>
        <v>115.45926000000327</v>
      </c>
      <c r="J1486" s="13">
        <f t="shared" si="53"/>
        <v>115.45752500000162</v>
      </c>
      <c r="K1486" s="7">
        <v>43580.457525000005</v>
      </c>
      <c r="L1486" s="4">
        <v>1608.7</v>
      </c>
      <c r="M1486">
        <v>12.3</v>
      </c>
      <c r="N1486">
        <v>11.11</v>
      </c>
      <c r="Q1486">
        <v>-0.38782990454432198</v>
      </c>
      <c r="R1486">
        <v>-1.48506279373222E-4</v>
      </c>
    </row>
    <row r="1487" spans="1:18" x14ac:dyDescent="0.2">
      <c r="A1487" t="s">
        <v>9</v>
      </c>
      <c r="B1487">
        <v>5</v>
      </c>
      <c r="C1487" t="s">
        <v>6</v>
      </c>
      <c r="D1487" s="2">
        <v>43580</v>
      </c>
      <c r="E1487" s="11">
        <v>115</v>
      </c>
      <c r="F1487" s="3">
        <v>0.4606500000008964</v>
      </c>
      <c r="G1487" s="3">
        <v>0.46411999999691034</v>
      </c>
      <c r="H1487" s="13">
        <f t="shared" si="51"/>
        <v>115.4606500000009</v>
      </c>
      <c r="I1487" s="13">
        <f t="shared" si="52"/>
        <v>115.46411999999691</v>
      </c>
      <c r="J1487" s="13">
        <f t="shared" si="53"/>
        <v>115.4623849999989</v>
      </c>
      <c r="K1487" s="7">
        <v>43580.462384999999</v>
      </c>
      <c r="L1487" s="4">
        <v>1636.2</v>
      </c>
      <c r="N1487">
        <v>11.11</v>
      </c>
      <c r="Q1487">
        <v>3.5759361669566698</v>
      </c>
      <c r="R1487">
        <v>-2.3126867163094999E-4</v>
      </c>
    </row>
    <row r="1488" spans="1:18" x14ac:dyDescent="0.2">
      <c r="A1488" t="s">
        <v>9</v>
      </c>
      <c r="B1488">
        <v>1</v>
      </c>
      <c r="C1488" t="s">
        <v>2</v>
      </c>
      <c r="D1488" s="2">
        <v>43580</v>
      </c>
      <c r="E1488" s="11">
        <v>115</v>
      </c>
      <c r="F1488" s="3">
        <v>0.52088999999978114</v>
      </c>
      <c r="G1488" s="3">
        <v>0.52436000000307104</v>
      </c>
      <c r="H1488" s="13">
        <f t="shared" si="51"/>
        <v>115.52088999999978</v>
      </c>
      <c r="I1488" s="13">
        <f t="shared" si="52"/>
        <v>115.52436000000307</v>
      </c>
      <c r="J1488" s="13">
        <f t="shared" si="53"/>
        <v>115.52262500000143</v>
      </c>
      <c r="K1488" s="7">
        <v>43580.522624999998</v>
      </c>
      <c r="L1488" s="4">
        <v>1813.7</v>
      </c>
      <c r="M1488">
        <v>15.5</v>
      </c>
      <c r="N1488">
        <v>16.670000000000002</v>
      </c>
      <c r="Q1488">
        <v>1.368291708516</v>
      </c>
      <c r="R1488" s="6">
        <v>-6.3911558650692904E-5</v>
      </c>
    </row>
    <row r="1489" spans="1:18" x14ac:dyDescent="0.2">
      <c r="A1489" t="s">
        <v>9</v>
      </c>
      <c r="B1489">
        <v>1</v>
      </c>
      <c r="C1489" t="s">
        <v>6</v>
      </c>
      <c r="D1489" s="2">
        <v>43580</v>
      </c>
      <c r="E1489" s="11">
        <v>115</v>
      </c>
      <c r="F1489" s="3">
        <v>0.52575000000069849</v>
      </c>
      <c r="G1489" s="3">
        <v>0.52921999999671243</v>
      </c>
      <c r="H1489" s="13">
        <f t="shared" si="51"/>
        <v>115.5257500000007</v>
      </c>
      <c r="I1489" s="13">
        <f t="shared" si="52"/>
        <v>115.52921999999671</v>
      </c>
      <c r="J1489" s="13">
        <f t="shared" si="53"/>
        <v>115.52748499999871</v>
      </c>
      <c r="K1489" s="7">
        <v>43580.527484999999</v>
      </c>
      <c r="L1489" s="4">
        <v>1841.2</v>
      </c>
      <c r="N1489">
        <v>16.670000000000002</v>
      </c>
      <c r="Q1489">
        <v>3.7356318122968402</v>
      </c>
      <c r="R1489">
        <v>-1.07453284635842E-4</v>
      </c>
    </row>
    <row r="1490" spans="1:18" x14ac:dyDescent="0.2">
      <c r="A1490" t="s">
        <v>9</v>
      </c>
      <c r="B1490">
        <v>2</v>
      </c>
      <c r="C1490" t="s">
        <v>2</v>
      </c>
      <c r="D1490" s="2">
        <v>43580</v>
      </c>
      <c r="E1490" s="11">
        <v>115</v>
      </c>
      <c r="F1490" s="3">
        <v>0.53061000000161584</v>
      </c>
      <c r="G1490" s="3">
        <v>0.53409000000101514</v>
      </c>
      <c r="H1490" s="13">
        <f t="shared" si="51"/>
        <v>115.53061000000162</v>
      </c>
      <c r="I1490" s="13">
        <f t="shared" si="52"/>
        <v>115.53409000000102</v>
      </c>
      <c r="J1490" s="13">
        <f t="shared" si="53"/>
        <v>115.53235000000132</v>
      </c>
      <c r="K1490" s="7">
        <v>43580.532350000001</v>
      </c>
      <c r="L1490" s="4">
        <v>1828.7</v>
      </c>
      <c r="M1490">
        <v>19.3</v>
      </c>
      <c r="N1490">
        <v>16.670000000000002</v>
      </c>
      <c r="Q1490">
        <v>-4.3246483542909199E-2</v>
      </c>
      <c r="R1490">
        <v>-1.00688113257426E-4</v>
      </c>
    </row>
    <row r="1491" spans="1:18" x14ac:dyDescent="0.2">
      <c r="A1491" t="s">
        <v>9</v>
      </c>
      <c r="B1491">
        <v>2</v>
      </c>
      <c r="C1491" t="s">
        <v>6</v>
      </c>
      <c r="D1491" s="2">
        <v>43580</v>
      </c>
      <c r="E1491" s="11">
        <v>115</v>
      </c>
      <c r="F1491" s="3">
        <v>0.5354700000025332</v>
      </c>
      <c r="G1491" s="3">
        <v>0.53895000000193249</v>
      </c>
      <c r="H1491" s="13">
        <f t="shared" si="51"/>
        <v>115.53547000000253</v>
      </c>
      <c r="I1491" s="13">
        <f t="shared" si="52"/>
        <v>115.53895000000193</v>
      </c>
      <c r="J1491" s="13">
        <f t="shared" si="53"/>
        <v>115.53721000000223</v>
      </c>
      <c r="K1491" s="7">
        <v>43580.537210000002</v>
      </c>
      <c r="L1491" s="4">
        <v>1821.2</v>
      </c>
      <c r="N1491">
        <v>16.670000000000002</v>
      </c>
      <c r="Q1491">
        <v>3.52948220922559</v>
      </c>
      <c r="R1491">
        <v>-1.0592514843911601E-4</v>
      </c>
    </row>
    <row r="1492" spans="1:18" x14ac:dyDescent="0.2">
      <c r="A1492" t="s">
        <v>9</v>
      </c>
      <c r="B1492">
        <v>3</v>
      </c>
      <c r="C1492" t="s">
        <v>2</v>
      </c>
      <c r="D1492" s="2">
        <v>43580</v>
      </c>
      <c r="E1492" s="11">
        <v>115</v>
      </c>
      <c r="F1492" s="3">
        <v>0.54033999999955995</v>
      </c>
      <c r="G1492" s="3">
        <v>0.54381000000284985</v>
      </c>
      <c r="H1492" s="13">
        <f t="shared" si="51"/>
        <v>115.54033999999956</v>
      </c>
      <c r="I1492" s="13">
        <f t="shared" si="52"/>
        <v>115.54381000000285</v>
      </c>
      <c r="J1492" s="13">
        <f t="shared" si="53"/>
        <v>115.5420750000012</v>
      </c>
      <c r="K1492" s="7">
        <v>43580.542075000005</v>
      </c>
      <c r="L1492" s="4">
        <v>1856.2</v>
      </c>
      <c r="M1492">
        <v>22.1</v>
      </c>
      <c r="N1492">
        <v>16.670000000000002</v>
      </c>
      <c r="Q1492">
        <v>-1.63678219133924</v>
      </c>
      <c r="R1492" s="6">
        <v>2.1984784635610399E-5</v>
      </c>
    </row>
    <row r="1493" spans="1:18" x14ac:dyDescent="0.2">
      <c r="A1493" t="s">
        <v>9</v>
      </c>
      <c r="B1493">
        <v>3</v>
      </c>
      <c r="C1493" t="s">
        <v>6</v>
      </c>
      <c r="D1493" s="2">
        <v>43580</v>
      </c>
      <c r="E1493" s="11">
        <v>115</v>
      </c>
      <c r="F1493" s="3">
        <v>0.5452000000004773</v>
      </c>
      <c r="G1493" s="3">
        <v>0.54866999999649124</v>
      </c>
      <c r="H1493" s="13">
        <f t="shared" si="51"/>
        <v>115.54520000000048</v>
      </c>
      <c r="I1493" s="13">
        <f t="shared" si="52"/>
        <v>115.54866999999649</v>
      </c>
      <c r="J1493" s="13">
        <f t="shared" si="53"/>
        <v>115.54693499999848</v>
      </c>
      <c r="K1493" s="7">
        <v>43580.546934999998</v>
      </c>
      <c r="L1493" s="4">
        <v>1856.2</v>
      </c>
      <c r="N1493">
        <v>16.670000000000002</v>
      </c>
      <c r="Q1493">
        <v>2.7603715882775699</v>
      </c>
      <c r="R1493" s="6">
        <v>1.7223472665394601E-5</v>
      </c>
    </row>
    <row r="1494" spans="1:18" x14ac:dyDescent="0.2">
      <c r="A1494" t="s">
        <v>9</v>
      </c>
      <c r="B1494">
        <v>4</v>
      </c>
      <c r="C1494" t="s">
        <v>2</v>
      </c>
      <c r="D1494" s="2">
        <v>43580</v>
      </c>
      <c r="E1494" s="11">
        <v>115</v>
      </c>
      <c r="F1494" s="3">
        <v>0.55006000000139466</v>
      </c>
      <c r="G1494" s="3">
        <v>0.55352999999740859</v>
      </c>
      <c r="H1494" s="13">
        <f t="shared" si="51"/>
        <v>115.55006000000139</v>
      </c>
      <c r="I1494" s="13">
        <f t="shared" si="52"/>
        <v>115.55352999999741</v>
      </c>
      <c r="J1494" s="13">
        <f t="shared" si="53"/>
        <v>115.5517949999994</v>
      </c>
      <c r="K1494" s="7">
        <v>43580.551794999999</v>
      </c>
      <c r="L1494" s="4">
        <v>1836.2</v>
      </c>
      <c r="M1494">
        <v>14.7</v>
      </c>
      <c r="N1494">
        <v>16.670000000000002</v>
      </c>
      <c r="Q1494">
        <v>-0.31770136416543399</v>
      </c>
      <c r="R1494" s="6">
        <v>-5.4602608355904101E-5</v>
      </c>
    </row>
    <row r="1495" spans="1:18" x14ac:dyDescent="0.2">
      <c r="A1495" t="s">
        <v>9</v>
      </c>
      <c r="B1495">
        <v>4</v>
      </c>
      <c r="C1495" t="s">
        <v>6</v>
      </c>
      <c r="D1495" s="2">
        <v>43580</v>
      </c>
      <c r="E1495" s="11">
        <v>115</v>
      </c>
      <c r="F1495" s="3">
        <v>0.55492000000231201</v>
      </c>
      <c r="G1495" s="3">
        <v>0.55838999999832595</v>
      </c>
      <c r="H1495" s="13">
        <f t="shared" si="51"/>
        <v>115.55492000000231</v>
      </c>
      <c r="I1495" s="13">
        <f t="shared" si="52"/>
        <v>115.55838999999833</v>
      </c>
      <c r="J1495" s="13">
        <f t="shared" si="53"/>
        <v>115.55665500000032</v>
      </c>
      <c r="K1495" s="7">
        <v>43580.556655</v>
      </c>
      <c r="L1495" s="4">
        <v>1533.7</v>
      </c>
      <c r="N1495">
        <v>16.670000000000002</v>
      </c>
      <c r="Q1495">
        <v>4.23204142999605</v>
      </c>
      <c r="R1495">
        <v>1.19987228977268E-4</v>
      </c>
    </row>
    <row r="1496" spans="1:18" x14ac:dyDescent="0.2">
      <c r="A1496" t="s">
        <v>9</v>
      </c>
      <c r="B1496">
        <v>5</v>
      </c>
      <c r="C1496" t="s">
        <v>2</v>
      </c>
      <c r="D1496" s="2">
        <v>43580</v>
      </c>
      <c r="E1496" s="11">
        <v>115</v>
      </c>
      <c r="F1496" s="3">
        <v>0.55978000000322936</v>
      </c>
      <c r="G1496" s="3">
        <v>0.5632499999992433</v>
      </c>
      <c r="H1496" s="13">
        <f t="shared" si="51"/>
        <v>115.55978000000323</v>
      </c>
      <c r="I1496" s="13">
        <f t="shared" si="52"/>
        <v>115.56324999999924</v>
      </c>
      <c r="J1496" s="13">
        <f t="shared" si="53"/>
        <v>115.56151500000124</v>
      </c>
      <c r="K1496" s="7">
        <v>43580.561515000001</v>
      </c>
      <c r="L1496" s="4">
        <v>1473.7</v>
      </c>
      <c r="M1496">
        <v>13.2</v>
      </c>
      <c r="N1496">
        <v>16.670000000000002</v>
      </c>
      <c r="Q1496">
        <v>0.98253426523230003</v>
      </c>
      <c r="R1496">
        <v>-1.2957034822673699E-4</v>
      </c>
    </row>
    <row r="1497" spans="1:18" x14ac:dyDescent="0.2">
      <c r="A1497" t="s">
        <v>9</v>
      </c>
      <c r="B1497">
        <v>5</v>
      </c>
      <c r="C1497" t="s">
        <v>6</v>
      </c>
      <c r="D1497" s="2">
        <v>43580</v>
      </c>
      <c r="E1497" s="11">
        <v>115</v>
      </c>
      <c r="F1497" s="3">
        <v>0.56463999999687076</v>
      </c>
      <c r="G1497" s="3">
        <v>0.56811000000016065</v>
      </c>
      <c r="H1497" s="13">
        <f t="shared" si="51"/>
        <v>115.56463999999687</v>
      </c>
      <c r="I1497" s="13">
        <f t="shared" si="52"/>
        <v>115.56811000000016</v>
      </c>
      <c r="J1497" s="13">
        <f t="shared" si="53"/>
        <v>115.56637499999852</v>
      </c>
      <c r="K1497" s="7">
        <v>43580.566374999995</v>
      </c>
      <c r="L1497" s="4">
        <v>1918.7</v>
      </c>
      <c r="N1497">
        <v>16.670000000000002</v>
      </c>
      <c r="Q1497">
        <v>3.07797378564671</v>
      </c>
      <c r="R1497" s="6">
        <v>-9.2955889076201895E-5</v>
      </c>
    </row>
    <row r="1498" spans="1:18" x14ac:dyDescent="0.2">
      <c r="A1498" t="s">
        <v>9</v>
      </c>
      <c r="B1498">
        <v>1</v>
      </c>
      <c r="C1498" t="s">
        <v>2</v>
      </c>
      <c r="D1498" s="2">
        <v>43584</v>
      </c>
      <c r="E1498" s="11">
        <v>119</v>
      </c>
      <c r="F1498" s="3">
        <v>0.41156999999657273</v>
      </c>
      <c r="G1498" s="3">
        <v>0.41505000000324799</v>
      </c>
      <c r="H1498" s="13">
        <f t="shared" si="51"/>
        <v>119.41156999999657</v>
      </c>
      <c r="I1498" s="13">
        <f t="shared" si="52"/>
        <v>119.41505000000325</v>
      </c>
      <c r="J1498" s="13">
        <f t="shared" si="53"/>
        <v>119.41330999999991</v>
      </c>
      <c r="K1498" s="7">
        <v>43584.413310000004</v>
      </c>
      <c r="L1498" s="4">
        <v>1316.2</v>
      </c>
      <c r="M1498">
        <v>22.8</v>
      </c>
      <c r="N1498">
        <v>7.78</v>
      </c>
      <c r="Q1498">
        <v>0.93258504282038202</v>
      </c>
      <c r="R1498">
        <v>1.5207484388726799E-4</v>
      </c>
    </row>
    <row r="1499" spans="1:18" x14ac:dyDescent="0.2">
      <c r="A1499" t="s">
        <v>9</v>
      </c>
      <c r="B1499">
        <v>1</v>
      </c>
      <c r="C1499" t="s">
        <v>6</v>
      </c>
      <c r="D1499" s="2">
        <v>43584</v>
      </c>
      <c r="E1499" s="11">
        <v>119</v>
      </c>
      <c r="F1499" s="3">
        <v>0.41644000000087544</v>
      </c>
      <c r="G1499" s="3">
        <v>0.41990999999688938</v>
      </c>
      <c r="H1499" s="13">
        <f t="shared" si="51"/>
        <v>119.41644000000088</v>
      </c>
      <c r="I1499" s="13">
        <f t="shared" si="52"/>
        <v>119.41990999999689</v>
      </c>
      <c r="J1499" s="13">
        <f t="shared" si="53"/>
        <v>119.41817499999888</v>
      </c>
      <c r="K1499" s="7">
        <v>43584.418174999999</v>
      </c>
      <c r="L1499" s="4">
        <v>1018.7</v>
      </c>
      <c r="N1499">
        <v>7.78</v>
      </c>
      <c r="Q1499">
        <v>2.1615025291043799</v>
      </c>
      <c r="R1499" s="6">
        <v>5.2517080636796298E-5</v>
      </c>
    </row>
    <row r="1500" spans="1:18" x14ac:dyDescent="0.2">
      <c r="A1500" t="s">
        <v>9</v>
      </c>
      <c r="B1500">
        <v>2</v>
      </c>
      <c r="C1500" t="s">
        <v>2</v>
      </c>
      <c r="D1500" s="2">
        <v>43584</v>
      </c>
      <c r="E1500" s="11">
        <v>119</v>
      </c>
      <c r="F1500" s="3">
        <v>0.4213000000017928</v>
      </c>
      <c r="G1500" s="3">
        <v>0.42476999999780674</v>
      </c>
      <c r="H1500" s="13">
        <f t="shared" si="51"/>
        <v>119.42130000000179</v>
      </c>
      <c r="I1500" s="13">
        <f t="shared" si="52"/>
        <v>119.42476999999781</v>
      </c>
      <c r="J1500" s="13">
        <f t="shared" si="53"/>
        <v>119.4230349999998</v>
      </c>
      <c r="K1500" s="7">
        <v>43584.423035</v>
      </c>
      <c r="L1500" s="4">
        <v>1323.7</v>
      </c>
      <c r="M1500">
        <v>24.6</v>
      </c>
      <c r="N1500">
        <v>7.78</v>
      </c>
      <c r="Q1500">
        <v>-0.75590932068076799</v>
      </c>
      <c r="R1500" s="6">
        <v>6.7545845198190994E-5</v>
      </c>
    </row>
    <row r="1501" spans="1:18" x14ac:dyDescent="0.2">
      <c r="A1501" t="s">
        <v>9</v>
      </c>
      <c r="B1501">
        <v>2</v>
      </c>
      <c r="C1501" t="s">
        <v>6</v>
      </c>
      <c r="D1501" s="2">
        <v>43584</v>
      </c>
      <c r="E1501" s="11">
        <v>119</v>
      </c>
      <c r="F1501" s="3">
        <v>0.42616000000271015</v>
      </c>
      <c r="G1501" s="3">
        <v>0.42962999999872409</v>
      </c>
      <c r="H1501" s="13">
        <f t="shared" si="51"/>
        <v>119.42616000000271</v>
      </c>
      <c r="I1501" s="13">
        <f t="shared" si="52"/>
        <v>119.42962999999872</v>
      </c>
      <c r="J1501" s="13">
        <f t="shared" si="53"/>
        <v>119.42789500000072</v>
      </c>
      <c r="K1501" s="7">
        <v>43584.427895000001</v>
      </c>
      <c r="L1501" s="4">
        <v>1318.7</v>
      </c>
      <c r="N1501">
        <v>7.78</v>
      </c>
      <c r="Q1501">
        <v>1.86553420662229</v>
      </c>
      <c r="R1501" s="6">
        <v>3.7114349366694799E-5</v>
      </c>
    </row>
    <row r="1502" spans="1:18" x14ac:dyDescent="0.2">
      <c r="A1502" t="s">
        <v>9</v>
      </c>
      <c r="B1502">
        <v>3</v>
      </c>
      <c r="C1502" t="s">
        <v>2</v>
      </c>
      <c r="D1502" s="2">
        <v>43584</v>
      </c>
      <c r="E1502" s="11">
        <v>119</v>
      </c>
      <c r="F1502" s="3">
        <v>0.4310200000036275</v>
      </c>
      <c r="G1502" s="3">
        <v>0.43448999999964144</v>
      </c>
      <c r="H1502" s="13">
        <f t="shared" si="51"/>
        <v>119.43102000000363</v>
      </c>
      <c r="I1502" s="13">
        <f t="shared" si="52"/>
        <v>119.43448999999964</v>
      </c>
      <c r="J1502" s="13">
        <f t="shared" si="53"/>
        <v>119.43275500000163</v>
      </c>
      <c r="K1502" s="7">
        <v>43584.432755000002</v>
      </c>
      <c r="L1502" s="4">
        <v>1333.7</v>
      </c>
      <c r="M1502">
        <v>27.6</v>
      </c>
      <c r="N1502">
        <v>7.78</v>
      </c>
      <c r="Q1502">
        <v>-3.09609875429673</v>
      </c>
      <c r="R1502" s="6">
        <v>3.5094535434072398E-5</v>
      </c>
    </row>
    <row r="1503" spans="1:18" x14ac:dyDescent="0.2">
      <c r="A1503" t="s">
        <v>9</v>
      </c>
      <c r="B1503">
        <v>3</v>
      </c>
      <c r="C1503" t="s">
        <v>6</v>
      </c>
      <c r="D1503" s="2">
        <v>43584</v>
      </c>
      <c r="E1503" s="11">
        <v>119</v>
      </c>
      <c r="F1503" s="3">
        <v>0.4358799999972689</v>
      </c>
      <c r="G1503" s="3">
        <v>0.43935000000055879</v>
      </c>
      <c r="H1503" s="13">
        <f t="shared" si="51"/>
        <v>119.43587999999727</v>
      </c>
      <c r="I1503" s="13">
        <f t="shared" si="52"/>
        <v>119.43935000000056</v>
      </c>
      <c r="J1503" s="13">
        <f t="shared" si="53"/>
        <v>119.43761499999891</v>
      </c>
      <c r="K1503" s="7">
        <v>43584.437615000003</v>
      </c>
      <c r="L1503" s="4">
        <v>1338.7</v>
      </c>
      <c r="N1503">
        <v>7.78</v>
      </c>
      <c r="Q1503">
        <v>2.0313223453159801</v>
      </c>
      <c r="R1503" s="6">
        <v>1.0956539364524301E-5</v>
      </c>
    </row>
    <row r="1504" spans="1:18" x14ac:dyDescent="0.2">
      <c r="A1504" t="s">
        <v>9</v>
      </c>
      <c r="B1504">
        <v>4</v>
      </c>
      <c r="C1504" t="s">
        <v>2</v>
      </c>
      <c r="D1504" s="2">
        <v>43584</v>
      </c>
      <c r="E1504" s="11">
        <v>119</v>
      </c>
      <c r="F1504" s="3">
        <v>0.44073999999818625</v>
      </c>
      <c r="G1504" s="3">
        <v>0.44421000000147615</v>
      </c>
      <c r="H1504" s="13">
        <f t="shared" si="51"/>
        <v>119.44073999999819</v>
      </c>
      <c r="I1504" s="13">
        <f t="shared" si="52"/>
        <v>119.44421000000148</v>
      </c>
      <c r="J1504" s="13">
        <f t="shared" si="53"/>
        <v>119.44247499999983</v>
      </c>
      <c r="K1504" s="7">
        <v>43584.442475000003</v>
      </c>
      <c r="L1504" s="4">
        <v>1428.7</v>
      </c>
      <c r="M1504">
        <v>22.2</v>
      </c>
      <c r="N1504">
        <v>7.78</v>
      </c>
      <c r="Q1504">
        <v>-1.9892242876347399</v>
      </c>
      <c r="R1504" s="6">
        <v>9.0681111793829898E-6</v>
      </c>
    </row>
    <row r="1505" spans="1:18" x14ac:dyDescent="0.2">
      <c r="A1505" t="s">
        <v>9</v>
      </c>
      <c r="B1505">
        <v>4</v>
      </c>
      <c r="C1505" t="s">
        <v>6</v>
      </c>
      <c r="D1505" s="2">
        <v>43584</v>
      </c>
      <c r="E1505" s="11">
        <v>119</v>
      </c>
      <c r="F1505" s="3">
        <v>0.4455999999991036</v>
      </c>
      <c r="G1505" s="3">
        <v>0.4490700000023935</v>
      </c>
      <c r="H1505" s="13">
        <f t="shared" si="51"/>
        <v>119.4455999999991</v>
      </c>
      <c r="I1505" s="13">
        <f t="shared" si="52"/>
        <v>119.44907000000239</v>
      </c>
      <c r="J1505" s="13">
        <f t="shared" si="53"/>
        <v>119.44733500000075</v>
      </c>
      <c r="K1505" s="7">
        <v>43584.447335000004</v>
      </c>
      <c r="L1505" s="4">
        <v>1561.2</v>
      </c>
      <c r="N1505">
        <v>7.78</v>
      </c>
      <c r="Q1505">
        <v>3.8722820089691998</v>
      </c>
      <c r="R1505" s="6">
        <v>-6.2502833761411602E-5</v>
      </c>
    </row>
    <row r="1506" spans="1:18" x14ac:dyDescent="0.2">
      <c r="A1506" t="s">
        <v>9</v>
      </c>
      <c r="B1506">
        <v>5</v>
      </c>
      <c r="C1506" t="s">
        <v>2</v>
      </c>
      <c r="D1506" s="2">
        <v>43584</v>
      </c>
      <c r="E1506" s="11">
        <v>119</v>
      </c>
      <c r="F1506" s="3">
        <v>0.45046000000002095</v>
      </c>
      <c r="G1506" s="3">
        <v>0.45393999999942025</v>
      </c>
      <c r="H1506" s="13">
        <f t="shared" si="51"/>
        <v>119.45046000000002</v>
      </c>
      <c r="I1506" s="13">
        <f t="shared" si="52"/>
        <v>119.45393999999942</v>
      </c>
      <c r="J1506" s="13">
        <f t="shared" si="53"/>
        <v>119.45219999999972</v>
      </c>
      <c r="K1506" s="7">
        <v>43584.4522</v>
      </c>
      <c r="L1506" s="4">
        <v>1623.7</v>
      </c>
      <c r="M1506">
        <v>19</v>
      </c>
      <c r="N1506">
        <v>7.78</v>
      </c>
      <c r="Q1506">
        <v>-0.265982403470094</v>
      </c>
      <c r="R1506" s="6">
        <v>2.9236451044418499E-5</v>
      </c>
    </row>
    <row r="1507" spans="1:18" x14ac:dyDescent="0.2">
      <c r="A1507" t="s">
        <v>9</v>
      </c>
      <c r="B1507">
        <v>5</v>
      </c>
      <c r="C1507" t="s">
        <v>6</v>
      </c>
      <c r="D1507" s="2">
        <v>43584</v>
      </c>
      <c r="E1507" s="11">
        <v>119</v>
      </c>
      <c r="F1507" s="3">
        <v>0.45532000000093831</v>
      </c>
      <c r="G1507" s="3">
        <v>0.4588000000003376</v>
      </c>
      <c r="H1507" s="13">
        <f t="shared" si="51"/>
        <v>119.45532000000094</v>
      </c>
      <c r="I1507" s="13">
        <f t="shared" si="52"/>
        <v>119.45880000000034</v>
      </c>
      <c r="J1507" s="13">
        <f t="shared" si="53"/>
        <v>119.45706000000064</v>
      </c>
      <c r="K1507" s="7">
        <v>43584.457060000001</v>
      </c>
      <c r="L1507" s="4">
        <v>1628.7</v>
      </c>
      <c r="N1507">
        <v>7.78</v>
      </c>
      <c r="Q1507">
        <v>2.4579613716345898</v>
      </c>
      <c r="R1507" s="6">
        <v>2.4388631926311301E-5</v>
      </c>
    </row>
    <row r="1508" spans="1:18" x14ac:dyDescent="0.2">
      <c r="A1508" t="s">
        <v>9</v>
      </c>
      <c r="B1508">
        <v>1</v>
      </c>
      <c r="C1508" t="s">
        <v>2</v>
      </c>
      <c r="D1508" s="2">
        <v>43584</v>
      </c>
      <c r="E1508" s="11">
        <v>119</v>
      </c>
      <c r="F1508" s="3">
        <v>0.51509999999689171</v>
      </c>
      <c r="G1508" s="3">
        <v>0.51858000000356697</v>
      </c>
      <c r="H1508" s="13">
        <f t="shared" si="51"/>
        <v>119.51509999999689</v>
      </c>
      <c r="I1508" s="13">
        <f t="shared" si="52"/>
        <v>119.51858000000357</v>
      </c>
      <c r="J1508" s="13">
        <f t="shared" si="53"/>
        <v>119.51684000000023</v>
      </c>
      <c r="K1508" s="7">
        <v>43584.516839999997</v>
      </c>
      <c r="L1508" s="4">
        <v>1826.2</v>
      </c>
      <c r="M1508">
        <v>21.7</v>
      </c>
      <c r="N1508">
        <v>13.33</v>
      </c>
      <c r="Q1508">
        <v>0.801716233046741</v>
      </c>
      <c r="R1508">
        <v>1.9997904687030899E-4</v>
      </c>
    </row>
    <row r="1509" spans="1:18" x14ac:dyDescent="0.2">
      <c r="A1509" t="s">
        <v>9</v>
      </c>
      <c r="B1509">
        <v>1</v>
      </c>
      <c r="C1509" t="s">
        <v>6</v>
      </c>
      <c r="D1509" s="2">
        <v>43584</v>
      </c>
      <c r="E1509" s="11">
        <v>119</v>
      </c>
      <c r="F1509" s="3">
        <v>0.51997000000119442</v>
      </c>
      <c r="G1509" s="3">
        <v>0.52343999999720836</v>
      </c>
      <c r="H1509" s="13">
        <f t="shared" si="51"/>
        <v>119.51997000000119</v>
      </c>
      <c r="I1509" s="13">
        <f t="shared" si="52"/>
        <v>119.52343999999721</v>
      </c>
      <c r="J1509" s="13">
        <f t="shared" si="53"/>
        <v>119.5217049999992</v>
      </c>
      <c r="K1509" s="7">
        <v>43584.521704999999</v>
      </c>
      <c r="L1509" s="4">
        <v>1648.7</v>
      </c>
      <c r="N1509">
        <v>13.33</v>
      </c>
      <c r="Q1509">
        <v>4.08303426820454</v>
      </c>
      <c r="R1509" s="6">
        <v>4.5244639606358798E-5</v>
      </c>
    </row>
    <row r="1510" spans="1:18" x14ac:dyDescent="0.2">
      <c r="A1510" t="s">
        <v>9</v>
      </c>
      <c r="B1510">
        <v>2</v>
      </c>
      <c r="C1510" t="s">
        <v>2</v>
      </c>
      <c r="D1510" s="2">
        <v>43584</v>
      </c>
      <c r="E1510" s="11">
        <v>119</v>
      </c>
      <c r="F1510" s="3">
        <v>0.52483000000211177</v>
      </c>
      <c r="G1510" s="3">
        <v>0.52829999999812571</v>
      </c>
      <c r="H1510" s="13">
        <f t="shared" si="51"/>
        <v>119.52483000000211</v>
      </c>
      <c r="I1510" s="13">
        <f t="shared" si="52"/>
        <v>119.52829999999813</v>
      </c>
      <c r="J1510" s="13">
        <f t="shared" si="53"/>
        <v>119.52656500000012</v>
      </c>
      <c r="K1510" s="7">
        <v>43584.526565</v>
      </c>
      <c r="L1510" s="4">
        <v>1781.2</v>
      </c>
      <c r="M1510">
        <v>23.5</v>
      </c>
      <c r="N1510">
        <v>13.33</v>
      </c>
      <c r="Q1510">
        <v>-0.60475207862364999</v>
      </c>
      <c r="R1510">
        <v>1.00977680367371E-4</v>
      </c>
    </row>
    <row r="1511" spans="1:18" x14ac:dyDescent="0.2">
      <c r="A1511" t="s">
        <v>9</v>
      </c>
      <c r="B1511">
        <v>2</v>
      </c>
      <c r="C1511" t="s">
        <v>6</v>
      </c>
      <c r="D1511" s="2">
        <v>43584</v>
      </c>
      <c r="E1511" s="11">
        <v>119</v>
      </c>
      <c r="F1511" s="3">
        <v>0.52969000000302913</v>
      </c>
      <c r="G1511" s="3">
        <v>0.53315999999904307</v>
      </c>
      <c r="H1511" s="13">
        <f t="shared" si="51"/>
        <v>119.52969000000303</v>
      </c>
      <c r="I1511" s="13">
        <f t="shared" si="52"/>
        <v>119.53315999999904</v>
      </c>
      <c r="J1511" s="13">
        <f t="shared" si="53"/>
        <v>119.53142500000104</v>
      </c>
      <c r="K1511" s="7">
        <v>43584.531425000001</v>
      </c>
      <c r="L1511" s="4">
        <v>1603.7</v>
      </c>
      <c r="N1511">
        <v>13.33</v>
      </c>
      <c r="Q1511">
        <v>3.1311538026069101</v>
      </c>
      <c r="R1511" s="6">
        <v>5.9205188951629198E-5</v>
      </c>
    </row>
    <row r="1512" spans="1:18" x14ac:dyDescent="0.2">
      <c r="A1512" t="s">
        <v>9</v>
      </c>
      <c r="B1512">
        <v>3</v>
      </c>
      <c r="C1512" t="s">
        <v>2</v>
      </c>
      <c r="D1512" s="2">
        <v>43584</v>
      </c>
      <c r="E1512" s="11">
        <v>119</v>
      </c>
      <c r="F1512" s="3">
        <v>0.53454999999667052</v>
      </c>
      <c r="G1512" s="3">
        <v>0.53801999999996042</v>
      </c>
      <c r="H1512" s="13">
        <f t="shared" si="51"/>
        <v>119.53454999999667</v>
      </c>
      <c r="I1512" s="13">
        <f t="shared" si="52"/>
        <v>119.53801999999996</v>
      </c>
      <c r="J1512" s="13">
        <f t="shared" si="53"/>
        <v>119.53628499999832</v>
      </c>
      <c r="K1512" s="7">
        <v>43584.536284999995</v>
      </c>
      <c r="L1512" s="4">
        <v>1591.2</v>
      </c>
      <c r="M1512">
        <v>26.7</v>
      </c>
      <c r="N1512">
        <v>13.33</v>
      </c>
      <c r="Q1512">
        <v>-2.5461966845939998</v>
      </c>
      <c r="R1512">
        <v>1.5263528874102201E-4</v>
      </c>
    </row>
    <row r="1513" spans="1:18" x14ac:dyDescent="0.2">
      <c r="A1513" t="s">
        <v>9</v>
      </c>
      <c r="B1513">
        <v>3</v>
      </c>
      <c r="C1513" t="s">
        <v>6</v>
      </c>
      <c r="D1513" s="2">
        <v>43584</v>
      </c>
      <c r="E1513" s="11">
        <v>119</v>
      </c>
      <c r="F1513" s="3">
        <v>0.53940999999758787</v>
      </c>
      <c r="G1513" s="3">
        <v>0.54288000000087777</v>
      </c>
      <c r="H1513" s="13">
        <f t="shared" si="51"/>
        <v>119.53940999999759</v>
      </c>
      <c r="I1513" s="13">
        <f t="shared" si="52"/>
        <v>119.54288000000088</v>
      </c>
      <c r="J1513" s="13">
        <f t="shared" si="53"/>
        <v>119.54114499999923</v>
      </c>
      <c r="K1513" s="7">
        <v>43584.541144999996</v>
      </c>
      <c r="L1513" s="4">
        <v>1426.2</v>
      </c>
      <c r="N1513">
        <v>13.33</v>
      </c>
      <c r="Q1513">
        <v>3.4382567660881702</v>
      </c>
      <c r="R1513" s="6">
        <v>-1.7548041099025701E-5</v>
      </c>
    </row>
    <row r="1514" spans="1:18" x14ac:dyDescent="0.2">
      <c r="A1514" t="s">
        <v>9</v>
      </c>
      <c r="B1514">
        <v>4</v>
      </c>
      <c r="C1514" t="s">
        <v>2</v>
      </c>
      <c r="D1514" s="2">
        <v>43584</v>
      </c>
      <c r="E1514" s="11">
        <v>119</v>
      </c>
      <c r="F1514" s="3">
        <v>0.54426999999850523</v>
      </c>
      <c r="G1514" s="3">
        <v>0.54774000000179512</v>
      </c>
      <c r="H1514" s="13">
        <f t="shared" si="51"/>
        <v>119.54426999999851</v>
      </c>
      <c r="I1514" s="13">
        <f t="shared" si="52"/>
        <v>119.5477400000018</v>
      </c>
      <c r="J1514" s="13">
        <f t="shared" si="53"/>
        <v>119.54600500000015</v>
      </c>
      <c r="K1514" s="7">
        <v>43584.546004999997</v>
      </c>
      <c r="L1514" s="4">
        <v>1681.2</v>
      </c>
      <c r="M1514">
        <v>25.9</v>
      </c>
      <c r="N1514">
        <v>13.33</v>
      </c>
      <c r="Q1514">
        <v>-1.5696625420716099</v>
      </c>
      <c r="R1514" s="6">
        <v>-6.3485036356789805E-5</v>
      </c>
    </row>
    <row r="1515" spans="1:18" x14ac:dyDescent="0.2">
      <c r="A1515" t="s">
        <v>9</v>
      </c>
      <c r="B1515">
        <v>4</v>
      </c>
      <c r="C1515" t="s">
        <v>6</v>
      </c>
      <c r="D1515" s="2">
        <v>43584</v>
      </c>
      <c r="E1515" s="11">
        <v>119</v>
      </c>
      <c r="F1515" s="3">
        <v>0.54912999999942258</v>
      </c>
      <c r="G1515" s="3">
        <v>0.55260000000271248</v>
      </c>
      <c r="H1515" s="13">
        <f t="shared" si="51"/>
        <v>119.54912999999942</v>
      </c>
      <c r="I1515" s="13">
        <f t="shared" si="52"/>
        <v>119.55260000000271</v>
      </c>
      <c r="J1515" s="13">
        <f t="shared" si="53"/>
        <v>119.55086500000107</v>
      </c>
      <c r="K1515" s="7">
        <v>43584.550864999997</v>
      </c>
      <c r="L1515" s="4">
        <v>1823.7</v>
      </c>
      <c r="N1515">
        <v>13.33</v>
      </c>
      <c r="Q1515">
        <v>3.8497938341942599</v>
      </c>
      <c r="R1515" s="6">
        <v>1.9107373453194301E-5</v>
      </c>
    </row>
    <row r="1516" spans="1:18" x14ac:dyDescent="0.2">
      <c r="A1516" t="s">
        <v>9</v>
      </c>
      <c r="B1516">
        <v>5</v>
      </c>
      <c r="C1516" t="s">
        <v>2</v>
      </c>
      <c r="D1516" s="2">
        <v>43584</v>
      </c>
      <c r="E1516" s="11">
        <v>119</v>
      </c>
      <c r="F1516" s="3">
        <v>0.55399000000033993</v>
      </c>
      <c r="G1516" s="3">
        <v>0.55746999999973923</v>
      </c>
      <c r="H1516" s="13">
        <f t="shared" si="51"/>
        <v>119.55399000000034</v>
      </c>
      <c r="I1516" s="13">
        <f t="shared" si="52"/>
        <v>119.55746999999974</v>
      </c>
      <c r="J1516" s="13">
        <f t="shared" si="53"/>
        <v>119.55573000000004</v>
      </c>
      <c r="K1516" s="7">
        <v>43584.55573</v>
      </c>
      <c r="L1516" s="4">
        <v>1916.2</v>
      </c>
      <c r="M1516">
        <v>20.7</v>
      </c>
      <c r="N1516">
        <v>13.33</v>
      </c>
      <c r="Q1516">
        <v>-0.55160265196924496</v>
      </c>
      <c r="R1516" s="6">
        <v>-5.4401821001490001E-5</v>
      </c>
    </row>
    <row r="1517" spans="1:18" x14ac:dyDescent="0.2">
      <c r="A1517" t="s">
        <v>9</v>
      </c>
      <c r="B1517">
        <v>5</v>
      </c>
      <c r="C1517" t="s">
        <v>6</v>
      </c>
      <c r="D1517" s="2">
        <v>43584</v>
      </c>
      <c r="E1517" s="11">
        <v>119</v>
      </c>
      <c r="F1517" s="3">
        <v>0.55885000000125729</v>
      </c>
      <c r="G1517" s="3">
        <v>0.56233000000065658</v>
      </c>
      <c r="H1517" s="13">
        <f t="shared" si="51"/>
        <v>119.55885000000126</v>
      </c>
      <c r="I1517" s="13">
        <f t="shared" si="52"/>
        <v>119.56233000000066</v>
      </c>
      <c r="J1517" s="13">
        <f t="shared" si="53"/>
        <v>119.56059000000096</v>
      </c>
      <c r="K1517" s="7">
        <v>43584.560590000001</v>
      </c>
      <c r="L1517" s="4">
        <v>1631.2</v>
      </c>
      <c r="N1517">
        <v>13.33</v>
      </c>
      <c r="Q1517">
        <v>2.7801336889850998</v>
      </c>
      <c r="R1517" s="6">
        <v>6.5445252355383695E-5</v>
      </c>
    </row>
    <row r="1518" spans="1:18" x14ac:dyDescent="0.2">
      <c r="A1518" t="s">
        <v>9</v>
      </c>
      <c r="B1518">
        <v>1</v>
      </c>
      <c r="C1518" t="s">
        <v>2</v>
      </c>
      <c r="D1518" s="2">
        <v>43606</v>
      </c>
      <c r="E1518" s="11">
        <v>141</v>
      </c>
      <c r="F1518" s="3">
        <v>0.5007499999992433</v>
      </c>
      <c r="G1518" s="3">
        <v>0.5042200000025332</v>
      </c>
      <c r="H1518" s="13">
        <f t="shared" si="51"/>
        <v>141.50074999999924</v>
      </c>
      <c r="I1518" s="13">
        <f t="shared" si="52"/>
        <v>141.50422000000253</v>
      </c>
      <c r="J1518" s="13">
        <f t="shared" si="53"/>
        <v>141.50248500000089</v>
      </c>
      <c r="K1518" s="7">
        <v>43606.502485000005</v>
      </c>
      <c r="L1518" s="4">
        <v>1876.2</v>
      </c>
      <c r="M1518">
        <v>16.899999999999999</v>
      </c>
      <c r="N1518">
        <v>18.89</v>
      </c>
      <c r="Q1518">
        <v>-9.3976981275009308</v>
      </c>
      <c r="R1518">
        <v>1.0274893568885399E-4</v>
      </c>
    </row>
    <row r="1519" spans="1:18" x14ac:dyDescent="0.2">
      <c r="A1519" t="s">
        <v>9</v>
      </c>
      <c r="B1519">
        <v>1</v>
      </c>
      <c r="C1519" t="s">
        <v>6</v>
      </c>
      <c r="D1519" s="2">
        <v>43606</v>
      </c>
      <c r="E1519" s="11">
        <v>141</v>
      </c>
      <c r="F1519" s="3">
        <v>0.50561000000016065</v>
      </c>
      <c r="G1519" s="3">
        <v>0.50908999999955995</v>
      </c>
      <c r="H1519" s="13">
        <f t="shared" si="51"/>
        <v>141.50561000000016</v>
      </c>
      <c r="I1519" s="13">
        <f t="shared" si="52"/>
        <v>141.50908999999956</v>
      </c>
      <c r="J1519" s="13">
        <f t="shared" si="53"/>
        <v>141.50734999999986</v>
      </c>
      <c r="K1519" s="7">
        <v>43606.50735</v>
      </c>
      <c r="L1519" s="4">
        <v>1886.2</v>
      </c>
      <c r="N1519">
        <v>18.89</v>
      </c>
      <c r="Q1519">
        <v>7.4966876839090704</v>
      </c>
      <c r="R1519">
        <v>-1.08970012903933E-4</v>
      </c>
    </row>
    <row r="1520" spans="1:18" x14ac:dyDescent="0.2">
      <c r="A1520" t="s">
        <v>9</v>
      </c>
      <c r="B1520">
        <v>2</v>
      </c>
      <c r="C1520" t="s">
        <v>2</v>
      </c>
      <c r="D1520" s="2">
        <v>43606</v>
      </c>
      <c r="E1520" s="11">
        <v>141</v>
      </c>
      <c r="F1520" s="3">
        <v>0.51047000000107801</v>
      </c>
      <c r="G1520" s="3">
        <v>0.5139500000004773</v>
      </c>
      <c r="H1520" s="13">
        <f t="shared" si="51"/>
        <v>141.51047000000108</v>
      </c>
      <c r="I1520" s="13">
        <f t="shared" si="52"/>
        <v>141.51395000000048</v>
      </c>
      <c r="J1520" s="13">
        <f t="shared" si="53"/>
        <v>141.51221000000078</v>
      </c>
      <c r="K1520" s="7">
        <v>43606.512210000001</v>
      </c>
      <c r="L1520" s="4">
        <v>1893.7</v>
      </c>
      <c r="M1520">
        <v>23.8</v>
      </c>
      <c r="N1520">
        <v>18.89</v>
      </c>
      <c r="Q1520">
        <v>-11.6757462886361</v>
      </c>
      <c r="R1520">
        <v>2.50711086101336E-4</v>
      </c>
    </row>
    <row r="1521" spans="1:18" x14ac:dyDescent="0.2">
      <c r="A1521" t="s">
        <v>9</v>
      </c>
      <c r="B1521">
        <v>2</v>
      </c>
      <c r="C1521" t="s">
        <v>6</v>
      </c>
      <c r="D1521" s="2">
        <v>43606</v>
      </c>
      <c r="E1521" s="11">
        <v>141</v>
      </c>
      <c r="F1521" s="3">
        <v>0.51533999999810476</v>
      </c>
      <c r="G1521" s="3">
        <v>0.51881000000139466</v>
      </c>
      <c r="H1521" s="13">
        <f t="shared" si="51"/>
        <v>141.5153399999981</v>
      </c>
      <c r="I1521" s="13">
        <f t="shared" si="52"/>
        <v>141.51881000000139</v>
      </c>
      <c r="J1521" s="13">
        <f t="shared" si="53"/>
        <v>141.51707499999975</v>
      </c>
      <c r="K1521" s="7">
        <v>43606.517074999996</v>
      </c>
      <c r="L1521" s="4">
        <v>1896.2</v>
      </c>
      <c r="N1521">
        <v>18.89</v>
      </c>
      <c r="Q1521">
        <v>7.96487869195097</v>
      </c>
      <c r="R1521">
        <v>-2.5158282027174601E-4</v>
      </c>
    </row>
    <row r="1522" spans="1:18" x14ac:dyDescent="0.2">
      <c r="A1522" t="s">
        <v>9</v>
      </c>
      <c r="B1522">
        <v>3</v>
      </c>
      <c r="C1522" t="s">
        <v>2</v>
      </c>
      <c r="D1522" s="2">
        <v>43606</v>
      </c>
      <c r="E1522" s="11">
        <v>141</v>
      </c>
      <c r="F1522" s="3">
        <v>0.52019999999902211</v>
      </c>
      <c r="G1522" s="3">
        <v>0.52367000000231201</v>
      </c>
      <c r="H1522" s="13">
        <f t="shared" si="51"/>
        <v>141.52019999999902</v>
      </c>
      <c r="I1522" s="13">
        <f t="shared" si="52"/>
        <v>141.52367000000231</v>
      </c>
      <c r="J1522" s="13">
        <f t="shared" si="53"/>
        <v>141.52193500000067</v>
      </c>
      <c r="K1522" s="7">
        <v>43606.521934999997</v>
      </c>
      <c r="L1522" s="4">
        <v>1906.2</v>
      </c>
      <c r="M1522">
        <v>27.8</v>
      </c>
      <c r="N1522">
        <v>18.89</v>
      </c>
      <c r="Q1522">
        <v>-14.173054842755599</v>
      </c>
      <c r="R1522" s="6">
        <v>-1.00053196434483E-5</v>
      </c>
    </row>
    <row r="1523" spans="1:18" x14ac:dyDescent="0.2">
      <c r="A1523" t="s">
        <v>9</v>
      </c>
      <c r="B1523">
        <v>3</v>
      </c>
      <c r="C1523" t="s">
        <v>6</v>
      </c>
      <c r="D1523" s="2">
        <v>43606</v>
      </c>
      <c r="E1523" s="11">
        <v>141</v>
      </c>
      <c r="F1523" s="3">
        <v>0.52505999999993946</v>
      </c>
      <c r="G1523" s="3">
        <v>0.52853000000322936</v>
      </c>
      <c r="H1523" s="13">
        <f t="shared" si="51"/>
        <v>141.52505999999994</v>
      </c>
      <c r="I1523" s="13">
        <f t="shared" si="52"/>
        <v>141.52853000000323</v>
      </c>
      <c r="J1523" s="13">
        <f t="shared" si="53"/>
        <v>141.52679500000158</v>
      </c>
      <c r="K1523" s="7">
        <v>43606.526794999998</v>
      </c>
      <c r="L1523" s="4">
        <v>1911.2</v>
      </c>
      <c r="N1523">
        <v>18.89</v>
      </c>
      <c r="Q1523">
        <v>7.5398452222028096</v>
      </c>
      <c r="R1523" s="6">
        <v>1.59889103298151E-5</v>
      </c>
    </row>
    <row r="1524" spans="1:18" x14ac:dyDescent="0.2">
      <c r="A1524" t="s">
        <v>9</v>
      </c>
      <c r="B1524">
        <v>4</v>
      </c>
      <c r="C1524" t="s">
        <v>2</v>
      </c>
      <c r="D1524" s="2">
        <v>43606</v>
      </c>
      <c r="E1524" s="11">
        <v>141</v>
      </c>
      <c r="F1524" s="3">
        <v>0.52992000000085682</v>
      </c>
      <c r="G1524" s="3">
        <v>0.53338999999687076</v>
      </c>
      <c r="H1524" s="13">
        <f t="shared" si="51"/>
        <v>141.52992000000086</v>
      </c>
      <c r="I1524" s="13">
        <f t="shared" si="52"/>
        <v>141.53338999999687</v>
      </c>
      <c r="J1524" s="13">
        <f t="shared" si="53"/>
        <v>141.53165499999886</v>
      </c>
      <c r="K1524" s="7">
        <v>43606.531654999999</v>
      </c>
      <c r="L1524" s="4">
        <v>1908.7</v>
      </c>
      <c r="M1524">
        <v>25</v>
      </c>
      <c r="N1524">
        <v>18.89</v>
      </c>
      <c r="Q1524">
        <v>-10.6172327295644</v>
      </c>
      <c r="R1524" s="6">
        <v>7.6160783751750893E-5</v>
      </c>
    </row>
    <row r="1525" spans="1:18" x14ac:dyDescent="0.2">
      <c r="A1525" t="s">
        <v>9</v>
      </c>
      <c r="B1525">
        <v>4</v>
      </c>
      <c r="C1525" t="s">
        <v>6</v>
      </c>
      <c r="D1525" s="2">
        <v>43606</v>
      </c>
      <c r="E1525" s="11">
        <v>141</v>
      </c>
      <c r="F1525" s="3">
        <v>0.53478000000177417</v>
      </c>
      <c r="G1525" s="3">
        <v>0.53824999999778811</v>
      </c>
      <c r="H1525" s="13">
        <f t="shared" si="51"/>
        <v>141.53478000000177</v>
      </c>
      <c r="I1525" s="13">
        <f t="shared" si="52"/>
        <v>141.53824999999779</v>
      </c>
      <c r="J1525" s="13">
        <f t="shared" si="53"/>
        <v>141.53651499999978</v>
      </c>
      <c r="K1525" s="7">
        <v>43606.536515</v>
      </c>
      <c r="L1525" s="4">
        <v>1913.7</v>
      </c>
      <c r="N1525">
        <v>18.89</v>
      </c>
      <c r="Q1525">
        <v>4.2710244084701596</v>
      </c>
      <c r="R1525" s="6">
        <v>5.5775512342688003E-5</v>
      </c>
    </row>
    <row r="1526" spans="1:18" x14ac:dyDescent="0.2">
      <c r="A1526" t="s">
        <v>9</v>
      </c>
      <c r="B1526">
        <v>5</v>
      </c>
      <c r="C1526" t="s">
        <v>2</v>
      </c>
      <c r="D1526" s="2">
        <v>43606</v>
      </c>
      <c r="E1526" s="11">
        <v>141</v>
      </c>
      <c r="F1526" s="3">
        <v>0.53964000000269152</v>
      </c>
      <c r="G1526" s="3">
        <v>0.54310999999870546</v>
      </c>
      <c r="H1526" s="13">
        <f t="shared" si="51"/>
        <v>141.53964000000269</v>
      </c>
      <c r="I1526" s="13">
        <f t="shared" si="52"/>
        <v>141.54310999999871</v>
      </c>
      <c r="J1526" s="13">
        <f t="shared" si="53"/>
        <v>141.5413750000007</v>
      </c>
      <c r="K1526" s="7">
        <v>43606.541375000001</v>
      </c>
      <c r="L1526" s="4">
        <v>1911.2</v>
      </c>
      <c r="M1526">
        <v>17.399999999999999</v>
      </c>
      <c r="N1526">
        <v>18.89</v>
      </c>
      <c r="Q1526">
        <v>-10.103628463448301</v>
      </c>
      <c r="R1526" s="6">
        <v>3.8092719182995601E-5</v>
      </c>
    </row>
    <row r="1527" spans="1:18" x14ac:dyDescent="0.2">
      <c r="A1527" t="s">
        <v>9</v>
      </c>
      <c r="B1527">
        <v>5</v>
      </c>
      <c r="C1527" t="s">
        <v>6</v>
      </c>
      <c r="D1527" s="2">
        <v>43606</v>
      </c>
      <c r="E1527" s="11">
        <v>141</v>
      </c>
      <c r="F1527" s="3">
        <v>0.54450000000360887</v>
      </c>
      <c r="G1527" s="3">
        <v>0.54796999999962281</v>
      </c>
      <c r="H1527" s="13">
        <f t="shared" si="51"/>
        <v>141.54450000000361</v>
      </c>
      <c r="I1527" s="13">
        <f t="shared" si="52"/>
        <v>141.54796999999962</v>
      </c>
      <c r="J1527" s="13">
        <f t="shared" si="53"/>
        <v>141.54623500000162</v>
      </c>
      <c r="K1527" s="7">
        <v>43606.546235000002</v>
      </c>
      <c r="L1527" s="4">
        <v>1908.7</v>
      </c>
      <c r="N1527">
        <v>18.89</v>
      </c>
      <c r="Q1527">
        <v>4.9438159945298796</v>
      </c>
      <c r="R1527">
        <v>-1.5989796886777999E-4</v>
      </c>
    </row>
    <row r="1528" spans="1:18" x14ac:dyDescent="0.2">
      <c r="A1528" t="s">
        <v>9</v>
      </c>
      <c r="B1528">
        <v>1</v>
      </c>
      <c r="C1528" t="s">
        <v>2</v>
      </c>
      <c r="D1528" s="2">
        <v>43609</v>
      </c>
      <c r="E1528" s="11">
        <v>144</v>
      </c>
      <c r="F1528" s="3">
        <v>0.44524999999703141</v>
      </c>
      <c r="G1528" s="3">
        <v>0.44872999999643071</v>
      </c>
      <c r="H1528" s="13">
        <f t="shared" si="51"/>
        <v>144.44524999999703</v>
      </c>
      <c r="I1528" s="13">
        <f t="shared" si="52"/>
        <v>144.44872999999643</v>
      </c>
      <c r="J1528" s="13">
        <f t="shared" si="53"/>
        <v>144.44698999999673</v>
      </c>
      <c r="K1528" s="7">
        <v>43609.446989999997</v>
      </c>
      <c r="L1528" s="4">
        <v>548.70000000000005</v>
      </c>
      <c r="M1528">
        <v>15.4</v>
      </c>
      <c r="N1528">
        <v>17.22</v>
      </c>
      <c r="Q1528">
        <v>-12.1519098983149</v>
      </c>
      <c r="R1528">
        <v>5.7397537458794801E-4</v>
      </c>
    </row>
    <row r="1529" spans="1:18" x14ac:dyDescent="0.2">
      <c r="A1529" t="s">
        <v>9</v>
      </c>
      <c r="B1529">
        <v>1</v>
      </c>
      <c r="C1529" t="s">
        <v>6</v>
      </c>
      <c r="D1529" s="2">
        <v>43609</v>
      </c>
      <c r="E1529" s="11">
        <v>144</v>
      </c>
      <c r="F1529" s="3">
        <v>0.45012000000133412</v>
      </c>
      <c r="G1529" s="3">
        <v>0.45358999999734806</v>
      </c>
      <c r="H1529" s="13">
        <f t="shared" si="51"/>
        <v>144.45012000000133</v>
      </c>
      <c r="I1529" s="13">
        <f t="shared" si="52"/>
        <v>144.45358999999735</v>
      </c>
      <c r="J1529" s="13">
        <f t="shared" si="53"/>
        <v>144.45185499999934</v>
      </c>
      <c r="K1529" s="7">
        <v>43609.451854999999</v>
      </c>
      <c r="L1529" s="4">
        <v>1866.2</v>
      </c>
      <c r="N1529">
        <v>17.22</v>
      </c>
      <c r="Q1529">
        <v>13.858078973046799</v>
      </c>
      <c r="R1529">
        <v>6.2929445788704997E-4</v>
      </c>
    </row>
    <row r="1530" spans="1:18" x14ac:dyDescent="0.2">
      <c r="A1530" t="s">
        <v>9</v>
      </c>
      <c r="B1530">
        <v>2</v>
      </c>
      <c r="C1530" t="s">
        <v>2</v>
      </c>
      <c r="D1530" s="2">
        <v>43609</v>
      </c>
      <c r="E1530" s="11">
        <v>144</v>
      </c>
      <c r="F1530" s="3">
        <v>0.45498000000225147</v>
      </c>
      <c r="G1530" s="3">
        <v>0.45844999999826541</v>
      </c>
      <c r="H1530" s="13">
        <f t="shared" si="51"/>
        <v>144.45498000000225</v>
      </c>
      <c r="I1530" s="13">
        <f t="shared" si="52"/>
        <v>144.45844999999827</v>
      </c>
      <c r="J1530" s="13">
        <f t="shared" si="53"/>
        <v>144.45671500000026</v>
      </c>
      <c r="K1530" s="7">
        <v>43609.456715</v>
      </c>
      <c r="L1530" s="4">
        <v>1918.7</v>
      </c>
      <c r="M1530">
        <v>17.899999999999999</v>
      </c>
      <c r="N1530">
        <v>17.22</v>
      </c>
      <c r="Q1530">
        <v>-14.3003380770778</v>
      </c>
      <c r="R1530">
        <v>3.7818235810742302E-4</v>
      </c>
    </row>
    <row r="1531" spans="1:18" x14ac:dyDescent="0.2">
      <c r="A1531" t="s">
        <v>9</v>
      </c>
      <c r="B1531">
        <v>2</v>
      </c>
      <c r="C1531" t="s">
        <v>6</v>
      </c>
      <c r="D1531" s="2">
        <v>43609</v>
      </c>
      <c r="E1531" s="11">
        <v>144</v>
      </c>
      <c r="F1531" s="3">
        <v>0.45984000000316883</v>
      </c>
      <c r="G1531" s="3">
        <v>0.46330999999918276</v>
      </c>
      <c r="H1531" s="13">
        <f t="shared" ref="H1531:H1594" si="54">E1531+F1531</f>
        <v>144.45984000000317</v>
      </c>
      <c r="I1531" s="13">
        <f t="shared" ref="I1531:I1594" si="55">E1531+G1531</f>
        <v>144.46330999999918</v>
      </c>
      <c r="J1531" s="13">
        <f t="shared" ref="J1531:J1594" si="56">AVERAGE(H1531:I1531)</f>
        <v>144.46157500000118</v>
      </c>
      <c r="K1531" s="7">
        <v>43609.461575000001</v>
      </c>
      <c r="L1531" s="4">
        <v>2153.6999999999998</v>
      </c>
      <c r="N1531">
        <v>17.22</v>
      </c>
      <c r="Q1531">
        <v>8.1993482871146401</v>
      </c>
      <c r="R1531">
        <v>-6.2140064300827199E-4</v>
      </c>
    </row>
    <row r="1532" spans="1:18" x14ac:dyDescent="0.2">
      <c r="A1532" t="s">
        <v>9</v>
      </c>
      <c r="B1532">
        <v>3</v>
      </c>
      <c r="C1532" t="s">
        <v>2</v>
      </c>
      <c r="D1532" s="2">
        <v>43609</v>
      </c>
      <c r="E1532" s="11">
        <v>144</v>
      </c>
      <c r="F1532" s="3">
        <v>0.46469999999681022</v>
      </c>
      <c r="G1532" s="3">
        <v>0.46817000000010012</v>
      </c>
      <c r="H1532" s="13">
        <f t="shared" si="54"/>
        <v>144.46469999999681</v>
      </c>
      <c r="I1532" s="13">
        <f t="shared" si="55"/>
        <v>144.4681700000001</v>
      </c>
      <c r="J1532" s="13">
        <f t="shared" si="56"/>
        <v>144.46643499999846</v>
      </c>
      <c r="K1532" s="7">
        <v>43609.466434999995</v>
      </c>
      <c r="L1532" s="4">
        <v>1703.7</v>
      </c>
      <c r="M1532">
        <v>20.9</v>
      </c>
      <c r="N1532">
        <v>17.22</v>
      </c>
      <c r="Q1532">
        <v>-20.800432558518398</v>
      </c>
      <c r="R1532">
        <v>-2.17381990216145E-4</v>
      </c>
    </row>
    <row r="1533" spans="1:18" x14ac:dyDescent="0.2">
      <c r="A1533" t="s">
        <v>9</v>
      </c>
      <c r="B1533">
        <v>3</v>
      </c>
      <c r="C1533" t="s">
        <v>6</v>
      </c>
      <c r="D1533" s="2">
        <v>43609</v>
      </c>
      <c r="E1533" s="11">
        <v>144</v>
      </c>
      <c r="F1533" s="3">
        <v>0.46955999999772757</v>
      </c>
      <c r="G1533" s="3">
        <v>0.47303000000101747</v>
      </c>
      <c r="H1533" s="13">
        <f t="shared" si="54"/>
        <v>144.46955999999773</v>
      </c>
      <c r="I1533" s="13">
        <f t="shared" si="55"/>
        <v>144.47303000000102</v>
      </c>
      <c r="J1533" s="13">
        <f t="shared" si="56"/>
        <v>144.47129499999937</v>
      </c>
      <c r="K1533" s="7">
        <v>43609.471294999996</v>
      </c>
      <c r="L1533" s="4">
        <v>2001.2</v>
      </c>
      <c r="N1533">
        <v>17.22</v>
      </c>
      <c r="Q1533">
        <v>4.7071262114321799</v>
      </c>
      <c r="R1533">
        <v>-1.2751406389668299E-4</v>
      </c>
    </row>
    <row r="1534" spans="1:18" x14ac:dyDescent="0.2">
      <c r="A1534" t="s">
        <v>9</v>
      </c>
      <c r="B1534">
        <v>4</v>
      </c>
      <c r="C1534" t="s">
        <v>2</v>
      </c>
      <c r="D1534" s="2">
        <v>43609</v>
      </c>
      <c r="E1534" s="11">
        <v>144</v>
      </c>
      <c r="F1534" s="3">
        <v>0.47441999999864493</v>
      </c>
      <c r="G1534" s="3">
        <v>0.47789000000193482</v>
      </c>
      <c r="H1534" s="13">
        <f t="shared" si="54"/>
        <v>144.47441999999864</v>
      </c>
      <c r="I1534" s="13">
        <f t="shared" si="55"/>
        <v>144.47789000000193</v>
      </c>
      <c r="J1534" s="13">
        <f t="shared" si="56"/>
        <v>144.47615500000029</v>
      </c>
      <c r="K1534" s="7">
        <v>43609.476154999997</v>
      </c>
      <c r="L1534" s="4">
        <v>1881.2</v>
      </c>
      <c r="M1534">
        <v>16.5</v>
      </c>
      <c r="N1534">
        <v>17.22</v>
      </c>
      <c r="Q1534">
        <v>-15.049531526622101</v>
      </c>
      <c r="R1534" s="6">
        <v>4.1116654542388901E-5</v>
      </c>
    </row>
    <row r="1535" spans="1:18" x14ac:dyDescent="0.2">
      <c r="A1535" t="s">
        <v>9</v>
      </c>
      <c r="B1535">
        <v>4</v>
      </c>
      <c r="C1535" t="s">
        <v>6</v>
      </c>
      <c r="D1535" s="2">
        <v>43609</v>
      </c>
      <c r="E1535" s="11">
        <v>144</v>
      </c>
      <c r="F1535" s="3">
        <v>0.47927999999956228</v>
      </c>
      <c r="G1535" s="3">
        <v>0.48275000000285218</v>
      </c>
      <c r="H1535" s="13">
        <f t="shared" si="54"/>
        <v>144.47927999999956</v>
      </c>
      <c r="I1535" s="13">
        <f t="shared" si="55"/>
        <v>144.48275000000285</v>
      </c>
      <c r="J1535" s="13">
        <f t="shared" si="56"/>
        <v>144.48101500000121</v>
      </c>
      <c r="K1535" s="7">
        <v>43609.481014999998</v>
      </c>
      <c r="L1535" s="4">
        <v>1066.2</v>
      </c>
      <c r="N1535">
        <v>17.22</v>
      </c>
      <c r="Q1535">
        <v>7.0554067959712397</v>
      </c>
      <c r="R1535">
        <v>-1.6586128588126799E-4</v>
      </c>
    </row>
    <row r="1536" spans="1:18" x14ac:dyDescent="0.2">
      <c r="A1536" t="s">
        <v>9</v>
      </c>
      <c r="B1536">
        <v>5</v>
      </c>
      <c r="C1536" t="s">
        <v>2</v>
      </c>
      <c r="D1536" s="2">
        <v>43609</v>
      </c>
      <c r="E1536" s="11">
        <v>144</v>
      </c>
      <c r="F1536" s="3">
        <v>0.48414000000047963</v>
      </c>
      <c r="G1536" s="3">
        <v>0.48761999999987893</v>
      </c>
      <c r="H1536" s="13">
        <f t="shared" si="54"/>
        <v>144.48414000000048</v>
      </c>
      <c r="I1536" s="13">
        <f t="shared" si="55"/>
        <v>144.48761999999988</v>
      </c>
      <c r="J1536" s="13">
        <f t="shared" si="56"/>
        <v>144.48588000000018</v>
      </c>
      <c r="K1536" s="7">
        <v>43609.48588</v>
      </c>
      <c r="L1536" s="4">
        <v>916.2</v>
      </c>
      <c r="M1536">
        <v>14.5</v>
      </c>
      <c r="N1536">
        <v>17.22</v>
      </c>
      <c r="Q1536">
        <v>-11.2050582072939</v>
      </c>
      <c r="R1536">
        <v>-4.69830645121691E-4</v>
      </c>
    </row>
    <row r="1537" spans="1:18" x14ac:dyDescent="0.2">
      <c r="A1537" t="s">
        <v>9</v>
      </c>
      <c r="B1537">
        <v>5</v>
      </c>
      <c r="C1537" t="s">
        <v>6</v>
      </c>
      <c r="D1537" s="2">
        <v>43609</v>
      </c>
      <c r="E1537" s="11">
        <v>144</v>
      </c>
      <c r="F1537" s="3">
        <v>0.48900000000139698</v>
      </c>
      <c r="G1537" s="3">
        <v>0.49248000000079628</v>
      </c>
      <c r="H1537" s="13">
        <f t="shared" si="54"/>
        <v>144.4890000000014</v>
      </c>
      <c r="I1537" s="13">
        <f t="shared" si="55"/>
        <v>144.4924800000008</v>
      </c>
      <c r="J1537" s="13">
        <f t="shared" si="56"/>
        <v>144.4907400000011</v>
      </c>
      <c r="K1537" s="7">
        <v>43609.490740000001</v>
      </c>
      <c r="L1537" s="4">
        <v>2141.1999999999998</v>
      </c>
      <c r="N1537">
        <v>17.22</v>
      </c>
      <c r="Q1537">
        <v>6.7514664082765599</v>
      </c>
      <c r="R1537">
        <v>-1.25267183386255E-4</v>
      </c>
    </row>
    <row r="1538" spans="1:18" x14ac:dyDescent="0.2">
      <c r="A1538" t="s">
        <v>9</v>
      </c>
      <c r="B1538">
        <v>1</v>
      </c>
      <c r="C1538" t="s">
        <v>2</v>
      </c>
      <c r="D1538" s="2">
        <v>43609</v>
      </c>
      <c r="E1538" s="11">
        <v>144</v>
      </c>
      <c r="F1538" s="3">
        <v>0.51677999999810709</v>
      </c>
      <c r="G1538" s="3">
        <v>0.52025000000139698</v>
      </c>
      <c r="H1538" s="13">
        <f t="shared" si="54"/>
        <v>144.51677999999811</v>
      </c>
      <c r="I1538" s="13">
        <f t="shared" si="55"/>
        <v>144.5202500000014</v>
      </c>
      <c r="J1538" s="13">
        <f t="shared" si="56"/>
        <v>144.51851499999975</v>
      </c>
      <c r="K1538" s="7">
        <v>43609.518515000003</v>
      </c>
      <c r="L1538" s="4">
        <v>1876.2</v>
      </c>
      <c r="M1538">
        <v>18.8</v>
      </c>
      <c r="N1538">
        <v>18.329999999999998</v>
      </c>
      <c r="Q1538">
        <v>-12.1051985370884</v>
      </c>
      <c r="R1538" s="6">
        <v>-9.3855509696608096E-5</v>
      </c>
    </row>
    <row r="1539" spans="1:18" x14ac:dyDescent="0.2">
      <c r="A1539" t="s">
        <v>9</v>
      </c>
      <c r="B1539">
        <v>1</v>
      </c>
      <c r="C1539" t="s">
        <v>6</v>
      </c>
      <c r="D1539" s="2">
        <v>43609</v>
      </c>
      <c r="E1539" s="11">
        <v>144</v>
      </c>
      <c r="F1539" s="3">
        <v>0.52163999999902444</v>
      </c>
      <c r="G1539" s="3">
        <v>0.52511999999842374</v>
      </c>
      <c r="H1539" s="13">
        <f t="shared" si="54"/>
        <v>144.52163999999902</v>
      </c>
      <c r="I1539" s="13">
        <f t="shared" si="55"/>
        <v>144.52511999999842</v>
      </c>
      <c r="J1539" s="13">
        <f t="shared" si="56"/>
        <v>144.52337999999872</v>
      </c>
      <c r="K1539" s="7">
        <v>43609.523379999999</v>
      </c>
      <c r="L1539" s="4">
        <v>1446.2</v>
      </c>
      <c r="N1539">
        <v>18.329999999999998</v>
      </c>
      <c r="Q1539">
        <v>11.518755658201901</v>
      </c>
      <c r="R1539">
        <v>-1.85496283470854E-4</v>
      </c>
    </row>
    <row r="1540" spans="1:18" x14ac:dyDescent="0.2">
      <c r="A1540" t="s">
        <v>9</v>
      </c>
      <c r="B1540">
        <v>2</v>
      </c>
      <c r="C1540" t="s">
        <v>2</v>
      </c>
      <c r="D1540" s="2">
        <v>43609</v>
      </c>
      <c r="E1540" s="11">
        <v>144</v>
      </c>
      <c r="F1540" s="3">
        <v>0.52649999999994179</v>
      </c>
      <c r="G1540" s="3">
        <v>0.52997999999934109</v>
      </c>
      <c r="H1540" s="13">
        <f t="shared" si="54"/>
        <v>144.52649999999994</v>
      </c>
      <c r="I1540" s="13">
        <f t="shared" si="55"/>
        <v>144.52997999999934</v>
      </c>
      <c r="J1540" s="13">
        <f t="shared" si="56"/>
        <v>144.52823999999964</v>
      </c>
      <c r="K1540" s="7">
        <v>43609.52824</v>
      </c>
      <c r="L1540" s="4">
        <v>2318.6999999999998</v>
      </c>
      <c r="M1540">
        <v>19.100000000000001</v>
      </c>
      <c r="N1540">
        <v>18.329999999999998</v>
      </c>
      <c r="Q1540">
        <v>-11.2032951195034</v>
      </c>
      <c r="R1540">
        <v>-1.46987710899802E-4</v>
      </c>
    </row>
    <row r="1541" spans="1:18" x14ac:dyDescent="0.2">
      <c r="A1541" t="s">
        <v>9</v>
      </c>
      <c r="B1541">
        <v>2</v>
      </c>
      <c r="C1541" t="s">
        <v>6</v>
      </c>
      <c r="D1541" s="2">
        <v>43609</v>
      </c>
      <c r="E1541" s="11">
        <v>144</v>
      </c>
      <c r="F1541" s="3">
        <v>0.53136999999696855</v>
      </c>
      <c r="G1541" s="3">
        <v>0.53484000000025844</v>
      </c>
      <c r="H1541" s="13">
        <f t="shared" si="54"/>
        <v>144.53136999999697</v>
      </c>
      <c r="I1541" s="13">
        <f t="shared" si="55"/>
        <v>144.53484000000026</v>
      </c>
      <c r="J1541" s="13">
        <f t="shared" si="56"/>
        <v>144.53310499999861</v>
      </c>
      <c r="K1541" s="7">
        <v>43609.533104999995</v>
      </c>
      <c r="L1541" s="4">
        <v>1341.2</v>
      </c>
      <c r="N1541">
        <v>18.329999999999998</v>
      </c>
      <c r="Q1541">
        <v>6.5769957566670199</v>
      </c>
      <c r="R1541">
        <v>-2.53769238278012E-4</v>
      </c>
    </row>
    <row r="1542" spans="1:18" x14ac:dyDescent="0.2">
      <c r="A1542" t="s">
        <v>9</v>
      </c>
      <c r="B1542">
        <v>3</v>
      </c>
      <c r="C1542" t="s">
        <v>2</v>
      </c>
      <c r="D1542" s="2">
        <v>43609</v>
      </c>
      <c r="E1542" s="11">
        <v>144</v>
      </c>
      <c r="F1542" s="3">
        <v>0.5362299999978859</v>
      </c>
      <c r="G1542" s="3">
        <v>0.53970000000117579</v>
      </c>
      <c r="H1542" s="13">
        <f t="shared" si="54"/>
        <v>144.53622999999789</v>
      </c>
      <c r="I1542" s="13">
        <f t="shared" si="55"/>
        <v>144.53970000000118</v>
      </c>
      <c r="J1542" s="13">
        <f t="shared" si="56"/>
        <v>144.53796499999953</v>
      </c>
      <c r="K1542" s="7">
        <v>43609.537964999996</v>
      </c>
      <c r="L1542" s="4">
        <v>1431.2</v>
      </c>
      <c r="M1542">
        <v>19.5</v>
      </c>
      <c r="N1542">
        <v>18.329999999999998</v>
      </c>
      <c r="Q1542">
        <v>-18.958855610487898</v>
      </c>
      <c r="R1542">
        <v>-4.6057753390859002E-4</v>
      </c>
    </row>
    <row r="1543" spans="1:18" x14ac:dyDescent="0.2">
      <c r="A1543" t="s">
        <v>9</v>
      </c>
      <c r="B1543">
        <v>3</v>
      </c>
      <c r="C1543" t="s">
        <v>6</v>
      </c>
      <c r="D1543" s="2">
        <v>43609</v>
      </c>
      <c r="E1543" s="11">
        <v>144</v>
      </c>
      <c r="F1543" s="3">
        <v>0.54108999999880325</v>
      </c>
      <c r="G1543" s="3">
        <v>0.54456000000209315</v>
      </c>
      <c r="H1543" s="13">
        <f t="shared" si="54"/>
        <v>144.5410899999988</v>
      </c>
      <c r="I1543" s="13">
        <f t="shared" si="55"/>
        <v>144.54456000000209</v>
      </c>
      <c r="J1543" s="13">
        <f t="shared" si="56"/>
        <v>144.54282500000045</v>
      </c>
      <c r="K1543" s="7">
        <v>43609.542824999997</v>
      </c>
      <c r="L1543" s="4">
        <v>2553.6999999999998</v>
      </c>
      <c r="N1543">
        <v>18.329999999999998</v>
      </c>
      <c r="Q1543">
        <v>6.0558622457846001</v>
      </c>
      <c r="R1543">
        <v>1.6819396947062701E-4</v>
      </c>
    </row>
    <row r="1544" spans="1:18" x14ac:dyDescent="0.2">
      <c r="A1544" t="s">
        <v>9</v>
      </c>
      <c r="B1544">
        <v>4</v>
      </c>
      <c r="C1544" t="s">
        <v>2</v>
      </c>
      <c r="D1544" s="2">
        <v>43609</v>
      </c>
      <c r="E1544" s="11">
        <v>144</v>
      </c>
      <c r="F1544" s="3">
        <v>0.5459499999997206</v>
      </c>
      <c r="G1544" s="3">
        <v>0.5494200000030105</v>
      </c>
      <c r="H1544" s="13">
        <f t="shared" si="54"/>
        <v>144.54594999999972</v>
      </c>
      <c r="I1544" s="13">
        <f t="shared" si="55"/>
        <v>144.54942000000301</v>
      </c>
      <c r="J1544" s="13">
        <f t="shared" si="56"/>
        <v>144.54768500000137</v>
      </c>
      <c r="K1544" s="7">
        <v>43609.547684999998</v>
      </c>
      <c r="L1544" s="4">
        <v>1871.2</v>
      </c>
      <c r="M1544">
        <v>14.7</v>
      </c>
      <c r="N1544">
        <v>18.329999999999998</v>
      </c>
      <c r="Q1544">
        <v>-15.5035163851829</v>
      </c>
      <c r="R1544">
        <v>-2.6084500966225098E-4</v>
      </c>
    </row>
    <row r="1545" spans="1:18" x14ac:dyDescent="0.2">
      <c r="A1545" t="s">
        <v>9</v>
      </c>
      <c r="B1545">
        <v>4</v>
      </c>
      <c r="C1545" t="s">
        <v>6</v>
      </c>
      <c r="D1545" s="2">
        <v>43609</v>
      </c>
      <c r="E1545" s="11">
        <v>144</v>
      </c>
      <c r="F1545" s="3">
        <v>0.55081000000063796</v>
      </c>
      <c r="G1545" s="3">
        <v>0.5542799999966519</v>
      </c>
      <c r="H1545" s="13">
        <f t="shared" si="54"/>
        <v>144.55081000000064</v>
      </c>
      <c r="I1545" s="13">
        <f t="shared" si="55"/>
        <v>144.55427999999665</v>
      </c>
      <c r="J1545" s="13">
        <f t="shared" si="56"/>
        <v>144.55254499999864</v>
      </c>
      <c r="K1545" s="7">
        <v>43609.552544999999</v>
      </c>
      <c r="L1545" s="4">
        <v>2243.6999999999998</v>
      </c>
      <c r="N1545">
        <v>18.329999999999998</v>
      </c>
      <c r="Q1545">
        <v>5.1767764374915197</v>
      </c>
      <c r="R1545">
        <v>3.83931585584574E-4</v>
      </c>
    </row>
    <row r="1546" spans="1:18" x14ac:dyDescent="0.2">
      <c r="A1546" t="s">
        <v>9</v>
      </c>
      <c r="B1546">
        <v>5</v>
      </c>
      <c r="C1546" t="s">
        <v>2</v>
      </c>
      <c r="D1546" s="2">
        <v>43609</v>
      </c>
      <c r="E1546" s="11">
        <v>144</v>
      </c>
      <c r="F1546" s="3">
        <v>0.55567000000155531</v>
      </c>
      <c r="G1546" s="3">
        <v>0.55913999999756925</v>
      </c>
      <c r="H1546" s="13">
        <f t="shared" si="54"/>
        <v>144.55567000000156</v>
      </c>
      <c r="I1546" s="13">
        <f t="shared" si="55"/>
        <v>144.55913999999757</v>
      </c>
      <c r="J1546" s="13">
        <f t="shared" si="56"/>
        <v>144.55740499999956</v>
      </c>
      <c r="K1546" s="7">
        <v>43609.557405</v>
      </c>
      <c r="L1546" s="4">
        <v>1826.2</v>
      </c>
      <c r="M1546">
        <v>14.9</v>
      </c>
      <c r="N1546">
        <v>18.329999999999998</v>
      </c>
      <c r="Q1546">
        <v>-11.810666734261901</v>
      </c>
      <c r="R1546">
        <v>-5.1303597934891697E-4</v>
      </c>
    </row>
    <row r="1547" spans="1:18" x14ac:dyDescent="0.2">
      <c r="A1547" t="s">
        <v>9</v>
      </c>
      <c r="B1547">
        <v>5</v>
      </c>
      <c r="C1547" t="s">
        <v>6</v>
      </c>
      <c r="D1547" s="2">
        <v>43609</v>
      </c>
      <c r="E1547" s="11">
        <v>144</v>
      </c>
      <c r="F1547" s="3">
        <v>0.56053000000247266</v>
      </c>
      <c r="G1547" s="3">
        <v>0.5639999999984866</v>
      </c>
      <c r="H1547" s="13">
        <f t="shared" si="54"/>
        <v>144.56053000000247</v>
      </c>
      <c r="I1547" s="13">
        <f t="shared" si="55"/>
        <v>144.56399999999849</v>
      </c>
      <c r="J1547" s="13">
        <f t="shared" si="56"/>
        <v>144.56226500000048</v>
      </c>
      <c r="K1547" s="7">
        <v>43609.562265</v>
      </c>
      <c r="L1547" s="4">
        <v>1098.7</v>
      </c>
      <c r="N1547">
        <v>18.329999999999998</v>
      </c>
      <c r="Q1547">
        <v>11.3987016974637</v>
      </c>
      <c r="R1547">
        <v>4.5941516439617302E-4</v>
      </c>
    </row>
    <row r="1548" spans="1:18" x14ac:dyDescent="0.2">
      <c r="A1548" t="s">
        <v>9</v>
      </c>
      <c r="B1548">
        <v>1</v>
      </c>
      <c r="C1548" t="s">
        <v>2</v>
      </c>
      <c r="D1548" s="2">
        <v>43620</v>
      </c>
      <c r="E1548" s="11">
        <v>155</v>
      </c>
      <c r="F1548" s="3">
        <v>0.43830999999772757</v>
      </c>
      <c r="G1548" s="3">
        <v>0.44178000000101747</v>
      </c>
      <c r="H1548" s="13">
        <f t="shared" si="54"/>
        <v>155.43830999999773</v>
      </c>
      <c r="I1548" s="13">
        <f t="shared" si="55"/>
        <v>155.44178000000102</v>
      </c>
      <c r="J1548" s="13">
        <f t="shared" si="56"/>
        <v>155.44004499999937</v>
      </c>
      <c r="K1548" s="7">
        <v>43620.440044999996</v>
      </c>
      <c r="L1548" s="4">
        <v>1661.2</v>
      </c>
      <c r="M1548">
        <v>11.3</v>
      </c>
      <c r="N1548">
        <v>17.78</v>
      </c>
      <c r="Q1548">
        <v>-10.0881431104283</v>
      </c>
      <c r="R1548" s="6">
        <v>2.22756386223971E-6</v>
      </c>
    </row>
    <row r="1549" spans="1:18" x14ac:dyDescent="0.2">
      <c r="A1549" t="s">
        <v>9</v>
      </c>
      <c r="B1549">
        <v>1</v>
      </c>
      <c r="C1549" t="s">
        <v>6</v>
      </c>
      <c r="D1549" s="2">
        <v>43620</v>
      </c>
      <c r="E1549" s="11">
        <v>155</v>
      </c>
      <c r="F1549" s="3">
        <v>0.44316999999864493</v>
      </c>
      <c r="G1549" s="3">
        <v>0.44664000000193482</v>
      </c>
      <c r="H1549" s="13">
        <f t="shared" si="54"/>
        <v>155.44316999999864</v>
      </c>
      <c r="I1549" s="13">
        <f t="shared" si="55"/>
        <v>155.44664000000193</v>
      </c>
      <c r="J1549" s="13">
        <f t="shared" si="56"/>
        <v>155.44490500000029</v>
      </c>
      <c r="K1549" s="7">
        <v>43620.444904999997</v>
      </c>
      <c r="L1549" s="4">
        <v>1901.2</v>
      </c>
      <c r="N1549">
        <v>17.78</v>
      </c>
      <c r="Q1549">
        <v>5.4588235664524696</v>
      </c>
      <c r="R1549" s="6">
        <v>-1.1605518971450599E-6</v>
      </c>
    </row>
    <row r="1550" spans="1:18" x14ac:dyDescent="0.2">
      <c r="A1550" t="s">
        <v>9</v>
      </c>
      <c r="B1550">
        <v>2</v>
      </c>
      <c r="C1550" t="s">
        <v>2</v>
      </c>
      <c r="D1550" s="2">
        <v>43620</v>
      </c>
      <c r="E1550" s="11">
        <v>155</v>
      </c>
      <c r="F1550" s="3">
        <v>0.44802999999956228</v>
      </c>
      <c r="G1550" s="3">
        <v>0.45150000000285218</v>
      </c>
      <c r="H1550" s="13">
        <f t="shared" si="54"/>
        <v>155.44802999999956</v>
      </c>
      <c r="I1550" s="13">
        <f t="shared" si="55"/>
        <v>155.45150000000285</v>
      </c>
      <c r="J1550" s="13">
        <f t="shared" si="56"/>
        <v>155.44976500000121</v>
      </c>
      <c r="K1550" s="7">
        <v>43620.449764999998</v>
      </c>
      <c r="L1550" s="4">
        <v>1841.2</v>
      </c>
      <c r="M1550">
        <v>13.2</v>
      </c>
      <c r="N1550">
        <v>17.78</v>
      </c>
      <c r="Q1550">
        <v>-9.0851284305317801</v>
      </c>
      <c r="R1550" s="6">
        <v>1.9665421728087498E-6</v>
      </c>
    </row>
    <row r="1551" spans="1:18" x14ac:dyDescent="0.2">
      <c r="A1551" t="s">
        <v>9</v>
      </c>
      <c r="B1551">
        <v>2</v>
      </c>
      <c r="C1551" t="s">
        <v>6</v>
      </c>
      <c r="D1551" s="2">
        <v>43620</v>
      </c>
      <c r="E1551" s="11">
        <v>155</v>
      </c>
      <c r="F1551" s="3">
        <v>0.45289000000047963</v>
      </c>
      <c r="G1551" s="3">
        <v>0.45636999999987893</v>
      </c>
      <c r="H1551" s="13">
        <f t="shared" si="54"/>
        <v>155.45289000000048</v>
      </c>
      <c r="I1551" s="13">
        <f t="shared" si="55"/>
        <v>155.45636999999988</v>
      </c>
      <c r="J1551" s="13">
        <f t="shared" si="56"/>
        <v>155.45463000000018</v>
      </c>
      <c r="K1551" s="7">
        <v>43620.45463</v>
      </c>
      <c r="L1551" s="4">
        <v>1838.7</v>
      </c>
      <c r="N1551">
        <v>17.78</v>
      </c>
      <c r="Q1551">
        <v>7.2635807297932704</v>
      </c>
      <c r="R1551" s="6">
        <v>-1.5098483107857201E-6</v>
      </c>
    </row>
    <row r="1552" spans="1:18" x14ac:dyDescent="0.2">
      <c r="A1552" t="s">
        <v>9</v>
      </c>
      <c r="B1552">
        <v>3</v>
      </c>
      <c r="C1552" t="s">
        <v>2</v>
      </c>
      <c r="D1552" s="2">
        <v>43620</v>
      </c>
      <c r="E1552" s="11">
        <v>155</v>
      </c>
      <c r="F1552" s="3">
        <v>0.45775000000139698</v>
      </c>
      <c r="G1552" s="3">
        <v>0.46123000000079628</v>
      </c>
      <c r="H1552" s="13">
        <f t="shared" si="54"/>
        <v>155.4577500000014</v>
      </c>
      <c r="I1552" s="13">
        <f t="shared" si="55"/>
        <v>155.4612300000008</v>
      </c>
      <c r="J1552" s="13">
        <f t="shared" si="56"/>
        <v>155.4594900000011</v>
      </c>
      <c r="K1552" s="7">
        <v>43620.459490000001</v>
      </c>
      <c r="L1552" s="4">
        <v>451.2</v>
      </c>
      <c r="M1552">
        <v>12.5</v>
      </c>
      <c r="N1552">
        <v>17.78</v>
      </c>
      <c r="Q1552">
        <v>-17.556077209764702</v>
      </c>
      <c r="R1552" s="6">
        <v>3.8236538696171802E-6</v>
      </c>
    </row>
    <row r="1553" spans="1:18" x14ac:dyDescent="0.2">
      <c r="A1553" t="s">
        <v>9</v>
      </c>
      <c r="B1553">
        <v>3</v>
      </c>
      <c r="C1553" t="s">
        <v>6</v>
      </c>
      <c r="D1553" s="2">
        <v>43620</v>
      </c>
      <c r="E1553" s="11">
        <v>155</v>
      </c>
      <c r="F1553" s="3">
        <v>0.46261999999842374</v>
      </c>
      <c r="G1553" s="3">
        <v>0.46609000000171363</v>
      </c>
      <c r="H1553" s="13">
        <f t="shared" si="54"/>
        <v>155.46261999999842</v>
      </c>
      <c r="I1553" s="13">
        <f t="shared" si="55"/>
        <v>155.46609000000171</v>
      </c>
      <c r="J1553" s="13">
        <f t="shared" si="56"/>
        <v>155.46435500000007</v>
      </c>
      <c r="K1553" s="7">
        <v>43620.464355000004</v>
      </c>
      <c r="L1553" s="4">
        <v>596.20000000000005</v>
      </c>
      <c r="N1553">
        <v>17.78</v>
      </c>
      <c r="Q1553">
        <v>7.1533394171047702</v>
      </c>
      <c r="R1553" s="6">
        <v>-1.4690349266193701E-6</v>
      </c>
    </row>
    <row r="1554" spans="1:18" x14ac:dyDescent="0.2">
      <c r="A1554" t="s">
        <v>9</v>
      </c>
      <c r="B1554">
        <v>4</v>
      </c>
      <c r="C1554" t="s">
        <v>2</v>
      </c>
      <c r="D1554" s="2">
        <v>43620</v>
      </c>
      <c r="E1554" s="11">
        <v>155</v>
      </c>
      <c r="F1554" s="3">
        <v>0.46747999999934109</v>
      </c>
      <c r="G1554" s="3">
        <v>0.47095000000263099</v>
      </c>
      <c r="H1554" s="13">
        <f t="shared" si="54"/>
        <v>155.46747999999934</v>
      </c>
      <c r="I1554" s="13">
        <f t="shared" si="55"/>
        <v>155.47095000000263</v>
      </c>
      <c r="J1554" s="13">
        <f t="shared" si="56"/>
        <v>155.46921500000099</v>
      </c>
      <c r="K1554" s="7">
        <v>43620.469215000005</v>
      </c>
      <c r="L1554" s="4">
        <v>2221.1999999999998</v>
      </c>
      <c r="M1554">
        <v>9.5</v>
      </c>
      <c r="N1554">
        <v>17.78</v>
      </c>
      <c r="Q1554">
        <v>-17.0396426540992</v>
      </c>
      <c r="R1554" s="6">
        <v>3.6467630583779601E-6</v>
      </c>
    </row>
    <row r="1555" spans="1:18" x14ac:dyDescent="0.2">
      <c r="A1555" t="s">
        <v>9</v>
      </c>
      <c r="B1555">
        <v>4</v>
      </c>
      <c r="C1555" t="s">
        <v>6</v>
      </c>
      <c r="D1555" s="2">
        <v>43620</v>
      </c>
      <c r="E1555" s="11">
        <v>155</v>
      </c>
      <c r="F1555" s="3">
        <v>0.47234000000025844</v>
      </c>
      <c r="G1555" s="3">
        <v>0.47581000000354834</v>
      </c>
      <c r="H1555" s="13">
        <f t="shared" si="54"/>
        <v>155.47234000000026</v>
      </c>
      <c r="I1555" s="13">
        <f t="shared" si="55"/>
        <v>155.47581000000355</v>
      </c>
      <c r="J1555" s="13">
        <f t="shared" si="56"/>
        <v>155.4740750000019</v>
      </c>
      <c r="K1555" s="7">
        <v>43620.474075000006</v>
      </c>
      <c r="L1555" s="4">
        <v>1958.7</v>
      </c>
      <c r="N1555">
        <v>17.78</v>
      </c>
      <c r="Q1555">
        <v>8.2211085102776398</v>
      </c>
      <c r="R1555" s="6">
        <v>-1.63720406499481E-6</v>
      </c>
    </row>
    <row r="1556" spans="1:18" x14ac:dyDescent="0.2">
      <c r="A1556" t="s">
        <v>9</v>
      </c>
      <c r="B1556">
        <v>5</v>
      </c>
      <c r="C1556" t="s">
        <v>2</v>
      </c>
      <c r="D1556" s="2">
        <v>43620</v>
      </c>
      <c r="E1556" s="11">
        <v>155</v>
      </c>
      <c r="F1556" s="3">
        <v>0.47720000000117579</v>
      </c>
      <c r="G1556" s="3">
        <v>0.48066999999718973</v>
      </c>
      <c r="H1556" s="13">
        <f t="shared" si="54"/>
        <v>155.47720000000118</v>
      </c>
      <c r="I1556" s="13">
        <f t="shared" si="55"/>
        <v>155.48066999999719</v>
      </c>
      <c r="J1556" s="13">
        <f t="shared" si="56"/>
        <v>155.47893499999918</v>
      </c>
      <c r="K1556" s="7">
        <v>43620.478934999999</v>
      </c>
      <c r="L1556" s="4">
        <v>728.7</v>
      </c>
      <c r="M1556">
        <v>9.6999999999999993</v>
      </c>
      <c r="N1556">
        <v>17.78</v>
      </c>
      <c r="Q1556">
        <v>-13.5212196630118</v>
      </c>
      <c r="R1556" s="6">
        <v>2.7693292655109901E-6</v>
      </c>
    </row>
    <row r="1557" spans="1:18" x14ac:dyDescent="0.2">
      <c r="A1557" t="s">
        <v>9</v>
      </c>
      <c r="B1557">
        <v>5</v>
      </c>
      <c r="C1557" t="s">
        <v>6</v>
      </c>
      <c r="D1557" s="2">
        <v>43620</v>
      </c>
      <c r="E1557" s="11">
        <v>155</v>
      </c>
      <c r="F1557" s="3">
        <v>0.48206000000209315</v>
      </c>
      <c r="G1557" s="3">
        <v>0.48552999999810709</v>
      </c>
      <c r="H1557" s="13">
        <f t="shared" si="54"/>
        <v>155.48206000000209</v>
      </c>
      <c r="I1557" s="13">
        <f t="shared" si="55"/>
        <v>155.48552999999811</v>
      </c>
      <c r="J1557" s="13">
        <f t="shared" si="56"/>
        <v>155.4837950000001</v>
      </c>
      <c r="K1557" s="7">
        <v>43620.483795</v>
      </c>
      <c r="L1557" s="4">
        <v>503.7</v>
      </c>
      <c r="N1557">
        <v>17.78</v>
      </c>
      <c r="Q1557">
        <v>5.6924743233009103</v>
      </c>
      <c r="R1557" s="6">
        <v>-1.0862811240114801E-6</v>
      </c>
    </row>
    <row r="1558" spans="1:18" x14ac:dyDescent="0.2">
      <c r="A1558" t="s">
        <v>9</v>
      </c>
      <c r="B1558">
        <v>1</v>
      </c>
      <c r="C1558" t="s">
        <v>2</v>
      </c>
      <c r="D1558" s="2">
        <v>43620</v>
      </c>
      <c r="E1558" s="11">
        <v>155</v>
      </c>
      <c r="F1558" s="3">
        <v>0.51958000000013271</v>
      </c>
      <c r="G1558" s="3">
        <v>0.52305999999953201</v>
      </c>
      <c r="H1558" s="13">
        <f t="shared" si="54"/>
        <v>155.51958000000013</v>
      </c>
      <c r="I1558" s="13">
        <f t="shared" si="55"/>
        <v>155.52305999999953</v>
      </c>
      <c r="J1558" s="13">
        <f t="shared" si="56"/>
        <v>155.52131999999983</v>
      </c>
      <c r="K1558" s="7">
        <v>43620.52132</v>
      </c>
      <c r="L1558" s="4">
        <v>586.20000000000005</v>
      </c>
      <c r="M1558">
        <v>9.9</v>
      </c>
      <c r="N1558">
        <v>19.440000000000001</v>
      </c>
      <c r="Q1558">
        <v>-10.9274273628481</v>
      </c>
      <c r="R1558" s="6">
        <v>2.1677695078539001E-6</v>
      </c>
    </row>
    <row r="1559" spans="1:18" x14ac:dyDescent="0.2">
      <c r="A1559" t="s">
        <v>9</v>
      </c>
      <c r="B1559">
        <v>1</v>
      </c>
      <c r="C1559" t="s">
        <v>6</v>
      </c>
      <c r="D1559" s="2">
        <v>43620</v>
      </c>
      <c r="E1559" s="11">
        <v>155</v>
      </c>
      <c r="F1559" s="3">
        <v>0.52431000000069616</v>
      </c>
      <c r="G1559" s="3">
        <v>0.5277799999967101</v>
      </c>
      <c r="H1559" s="13">
        <f t="shared" si="54"/>
        <v>155.5243100000007</v>
      </c>
      <c r="I1559" s="13">
        <f t="shared" si="55"/>
        <v>155.52777999999671</v>
      </c>
      <c r="J1559" s="13">
        <f t="shared" si="56"/>
        <v>155.5260449999987</v>
      </c>
      <c r="K1559" s="7">
        <v>43620.526044999999</v>
      </c>
      <c r="L1559" s="4">
        <v>1541.2</v>
      </c>
      <c r="N1559">
        <v>19.440000000000001</v>
      </c>
      <c r="Q1559">
        <v>7.3305454805903398</v>
      </c>
      <c r="R1559" s="6">
        <v>-1.3820143764752801E-6</v>
      </c>
    </row>
    <row r="1560" spans="1:18" x14ac:dyDescent="0.2">
      <c r="A1560" t="s">
        <v>9</v>
      </c>
      <c r="B1560">
        <v>2</v>
      </c>
      <c r="C1560" t="s">
        <v>2</v>
      </c>
      <c r="D1560" s="2">
        <v>43620</v>
      </c>
      <c r="E1560" s="11">
        <v>155</v>
      </c>
      <c r="F1560" s="3">
        <v>0.52902999999787426</v>
      </c>
      <c r="G1560" s="3">
        <v>0.53250000000116415</v>
      </c>
      <c r="H1560" s="13">
        <f t="shared" si="54"/>
        <v>155.52902999999787</v>
      </c>
      <c r="I1560" s="13">
        <f t="shared" si="55"/>
        <v>155.53250000000116</v>
      </c>
      <c r="J1560" s="13">
        <f t="shared" si="56"/>
        <v>155.53076499999952</v>
      </c>
      <c r="K1560" s="7">
        <v>43620.530765000003</v>
      </c>
      <c r="L1560" s="4">
        <v>2181.1999999999998</v>
      </c>
      <c r="M1560">
        <v>7.4</v>
      </c>
      <c r="N1560">
        <v>19.440000000000001</v>
      </c>
      <c r="Q1560">
        <v>-10.1017324005717</v>
      </c>
      <c r="R1560" s="6">
        <v>1.9676824461258999E-6</v>
      </c>
    </row>
    <row r="1561" spans="1:18" x14ac:dyDescent="0.2">
      <c r="A1561" t="s">
        <v>9</v>
      </c>
      <c r="B1561">
        <v>2</v>
      </c>
      <c r="C1561" t="s">
        <v>6</v>
      </c>
      <c r="D1561" s="2">
        <v>43620</v>
      </c>
      <c r="E1561" s="11">
        <v>155</v>
      </c>
      <c r="F1561" s="3">
        <v>0.53375000000232831</v>
      </c>
      <c r="G1561" s="3">
        <v>0.53721999999834225</v>
      </c>
      <c r="H1561" s="13">
        <f t="shared" si="54"/>
        <v>155.53375000000233</v>
      </c>
      <c r="I1561" s="13">
        <f t="shared" si="55"/>
        <v>155.53721999999834</v>
      </c>
      <c r="J1561" s="13">
        <f t="shared" si="56"/>
        <v>155.53548500000034</v>
      </c>
      <c r="K1561" s="7">
        <v>43620.535485</v>
      </c>
      <c r="L1561" s="4">
        <v>2023.7</v>
      </c>
      <c r="N1561">
        <v>19.440000000000001</v>
      </c>
      <c r="Q1561">
        <v>8.3959433514442203</v>
      </c>
      <c r="R1561" s="6">
        <v>-1.52370268996905E-6</v>
      </c>
    </row>
    <row r="1562" spans="1:18" x14ac:dyDescent="0.2">
      <c r="A1562" t="s">
        <v>9</v>
      </c>
      <c r="B1562">
        <v>3</v>
      </c>
      <c r="C1562" t="s">
        <v>2</v>
      </c>
      <c r="D1562" s="2">
        <v>43620</v>
      </c>
      <c r="E1562" s="11">
        <v>155</v>
      </c>
      <c r="F1562" s="3">
        <v>0.5384699999995064</v>
      </c>
      <c r="G1562" s="3">
        <v>0.5419400000027963</v>
      </c>
      <c r="H1562" s="13">
        <f t="shared" si="54"/>
        <v>155.53846999999951</v>
      </c>
      <c r="I1562" s="13">
        <f t="shared" si="55"/>
        <v>155.5419400000028</v>
      </c>
      <c r="J1562" s="13">
        <f t="shared" si="56"/>
        <v>155.54020500000115</v>
      </c>
      <c r="K1562" s="7">
        <v>43620.540204999998</v>
      </c>
      <c r="L1562" s="4">
        <v>2038.7</v>
      </c>
      <c r="M1562">
        <v>8.4</v>
      </c>
      <c r="N1562">
        <v>19.440000000000001</v>
      </c>
      <c r="Q1562">
        <v>-13.952495573005001</v>
      </c>
      <c r="R1562" s="6">
        <v>2.7230275448612699E-6</v>
      </c>
    </row>
    <row r="1563" spans="1:18" x14ac:dyDescent="0.2">
      <c r="A1563" t="s">
        <v>9</v>
      </c>
      <c r="B1563">
        <v>3</v>
      </c>
      <c r="C1563" t="s">
        <v>6</v>
      </c>
      <c r="D1563" s="2">
        <v>43620</v>
      </c>
      <c r="E1563" s="11">
        <v>155</v>
      </c>
      <c r="F1563" s="3">
        <v>0.54318999999668449</v>
      </c>
      <c r="G1563" s="3">
        <v>0.54667000000335975</v>
      </c>
      <c r="H1563" s="13">
        <f t="shared" si="54"/>
        <v>155.54318999999668</v>
      </c>
      <c r="I1563" s="13">
        <f t="shared" si="55"/>
        <v>155.54667000000336</v>
      </c>
      <c r="J1563" s="13">
        <f t="shared" si="56"/>
        <v>155.54493000000002</v>
      </c>
      <c r="K1563" s="7">
        <v>43620.544930000004</v>
      </c>
      <c r="L1563" s="4">
        <v>2063.6999999999998</v>
      </c>
      <c r="N1563">
        <v>19.440000000000001</v>
      </c>
      <c r="Q1563">
        <v>7.3835724268778904</v>
      </c>
      <c r="R1563" s="6">
        <v>-1.3167288412631199E-6</v>
      </c>
    </row>
    <row r="1564" spans="1:18" x14ac:dyDescent="0.2">
      <c r="A1564" t="s">
        <v>9</v>
      </c>
      <c r="B1564">
        <v>4</v>
      </c>
      <c r="C1564" t="s">
        <v>2</v>
      </c>
      <c r="D1564" s="2">
        <v>43620</v>
      </c>
      <c r="E1564" s="11">
        <v>155</v>
      </c>
      <c r="F1564" s="3">
        <v>0.54791999999724794</v>
      </c>
      <c r="G1564" s="3">
        <v>0.55139000000053784</v>
      </c>
      <c r="H1564" s="13">
        <f t="shared" si="54"/>
        <v>155.54791999999725</v>
      </c>
      <c r="I1564" s="13">
        <f t="shared" si="55"/>
        <v>155.55139000000054</v>
      </c>
      <c r="J1564" s="13">
        <f t="shared" si="56"/>
        <v>155.54965499999889</v>
      </c>
      <c r="K1564" s="7">
        <v>43620.549654999995</v>
      </c>
      <c r="L1564" s="4">
        <v>2053.6999999999998</v>
      </c>
      <c r="M1564">
        <v>7.4</v>
      </c>
      <c r="N1564">
        <v>19.440000000000001</v>
      </c>
      <c r="Q1564">
        <v>-13.146042432736699</v>
      </c>
      <c r="R1564" s="6">
        <v>2.5158519461628199E-6</v>
      </c>
    </row>
    <row r="1565" spans="1:18" x14ac:dyDescent="0.2">
      <c r="A1565" t="s">
        <v>9</v>
      </c>
      <c r="B1565">
        <v>4</v>
      </c>
      <c r="C1565" t="s">
        <v>6</v>
      </c>
      <c r="D1565" s="2">
        <v>43620</v>
      </c>
      <c r="E1565" s="11">
        <v>155</v>
      </c>
      <c r="F1565" s="3">
        <v>0.55264000000170199</v>
      </c>
      <c r="G1565" s="3">
        <v>0.55610999999771593</v>
      </c>
      <c r="H1565" s="13">
        <f t="shared" si="54"/>
        <v>155.5526400000017</v>
      </c>
      <c r="I1565" s="13">
        <f t="shared" si="55"/>
        <v>155.55610999999772</v>
      </c>
      <c r="J1565" s="13">
        <f t="shared" si="56"/>
        <v>155.55437499999971</v>
      </c>
      <c r="K1565" s="7">
        <v>43620.554375</v>
      </c>
      <c r="L1565" s="4">
        <v>2018.7</v>
      </c>
      <c r="N1565">
        <v>19.440000000000001</v>
      </c>
      <c r="Q1565">
        <v>6.5965545632239699</v>
      </c>
      <c r="R1565" s="6">
        <v>-1.17114681100452E-6</v>
      </c>
    </row>
    <row r="1566" spans="1:18" x14ac:dyDescent="0.2">
      <c r="A1566" t="s">
        <v>9</v>
      </c>
      <c r="B1566">
        <v>5</v>
      </c>
      <c r="C1566" t="s">
        <v>2</v>
      </c>
      <c r="D1566" s="2">
        <v>43620</v>
      </c>
      <c r="E1566" s="11">
        <v>155</v>
      </c>
      <c r="F1566" s="3">
        <v>0.55735999999888008</v>
      </c>
      <c r="G1566" s="3">
        <v>0.56083000000216998</v>
      </c>
      <c r="H1566" s="13">
        <f t="shared" si="54"/>
        <v>155.55735999999888</v>
      </c>
      <c r="I1566" s="13">
        <f t="shared" si="55"/>
        <v>155.56083000000217</v>
      </c>
      <c r="J1566" s="13">
        <f t="shared" si="56"/>
        <v>155.55909500000053</v>
      </c>
      <c r="K1566" s="7">
        <v>43620.559095000004</v>
      </c>
      <c r="L1566" s="4">
        <v>1933.7</v>
      </c>
      <c r="M1566">
        <v>10.1</v>
      </c>
      <c r="N1566">
        <v>19.440000000000001</v>
      </c>
      <c r="Q1566">
        <v>-13.7377441960993</v>
      </c>
      <c r="R1566" s="6">
        <v>2.5295794392430298E-6</v>
      </c>
    </row>
    <row r="1567" spans="1:18" x14ac:dyDescent="0.2">
      <c r="A1567" t="s">
        <v>9</v>
      </c>
      <c r="B1567">
        <v>5</v>
      </c>
      <c r="C1567" t="s">
        <v>6</v>
      </c>
      <c r="D1567" s="2">
        <v>43620</v>
      </c>
      <c r="E1567" s="11">
        <v>155</v>
      </c>
      <c r="F1567" s="3">
        <v>0.56208000000333413</v>
      </c>
      <c r="G1567" s="3">
        <v>0.56556000000273343</v>
      </c>
      <c r="H1567" s="13">
        <f t="shared" si="54"/>
        <v>155.56208000000333</v>
      </c>
      <c r="I1567" s="13">
        <f t="shared" si="55"/>
        <v>155.56556000000273</v>
      </c>
      <c r="J1567" s="13">
        <f t="shared" si="56"/>
        <v>155.56382000000303</v>
      </c>
      <c r="K1567" s="7">
        <v>43620.563820000003</v>
      </c>
      <c r="L1567" s="4">
        <v>1903.7</v>
      </c>
      <c r="N1567">
        <v>19.440000000000001</v>
      </c>
      <c r="Q1567">
        <v>10.2738594295447</v>
      </c>
      <c r="R1567" s="6">
        <v>-1.8057145143262901E-6</v>
      </c>
    </row>
    <row r="1568" spans="1:18" x14ac:dyDescent="0.2">
      <c r="A1568" t="s">
        <v>9</v>
      </c>
      <c r="B1568">
        <v>1</v>
      </c>
      <c r="C1568" t="s">
        <v>2</v>
      </c>
      <c r="D1568" s="2">
        <v>43640</v>
      </c>
      <c r="E1568" s="11">
        <v>175</v>
      </c>
      <c r="F1568" s="3">
        <v>0.48761999999987893</v>
      </c>
      <c r="G1568" s="3">
        <v>0.49109000000316883</v>
      </c>
      <c r="H1568" s="13">
        <f t="shared" si="54"/>
        <v>175.48761999999988</v>
      </c>
      <c r="I1568" s="13">
        <f t="shared" si="55"/>
        <v>175.49109000000317</v>
      </c>
      <c r="J1568" s="13">
        <f t="shared" si="56"/>
        <v>175.48935500000152</v>
      </c>
      <c r="K1568" s="7">
        <v>43640.489354999998</v>
      </c>
      <c r="L1568" s="4">
        <v>1906.2</v>
      </c>
      <c r="M1568">
        <v>6.7</v>
      </c>
      <c r="N1568">
        <v>25</v>
      </c>
      <c r="Q1568">
        <v>-8.1420127526730006</v>
      </c>
      <c r="R1568">
        <v>4.4796629880764997E-3</v>
      </c>
    </row>
    <row r="1569" spans="1:18" x14ac:dyDescent="0.2">
      <c r="A1569" t="s">
        <v>9</v>
      </c>
      <c r="B1569">
        <v>1</v>
      </c>
      <c r="C1569" t="s">
        <v>6</v>
      </c>
      <c r="D1569" s="2">
        <v>43640</v>
      </c>
      <c r="E1569" s="11">
        <v>175</v>
      </c>
      <c r="F1569" s="3">
        <v>0.49248000000079628</v>
      </c>
      <c r="G1569" s="3">
        <v>0.49594999999681022</v>
      </c>
      <c r="H1569" s="13">
        <f t="shared" si="54"/>
        <v>175.4924800000008</v>
      </c>
      <c r="I1569" s="13">
        <f t="shared" si="55"/>
        <v>175.49594999999681</v>
      </c>
      <c r="J1569" s="13">
        <f t="shared" si="56"/>
        <v>175.4942149999988</v>
      </c>
      <c r="K1569" s="7">
        <v>43640.494214999999</v>
      </c>
      <c r="L1569" s="4">
        <v>1828.7</v>
      </c>
      <c r="N1569">
        <v>25</v>
      </c>
      <c r="Q1569">
        <v>9.6321053627083799</v>
      </c>
      <c r="R1569" s="6">
        <v>-9.2934561688741601E-7</v>
      </c>
    </row>
    <row r="1570" spans="1:18" x14ac:dyDescent="0.2">
      <c r="A1570" t="s">
        <v>9</v>
      </c>
      <c r="B1570">
        <v>2</v>
      </c>
      <c r="C1570" t="s">
        <v>2</v>
      </c>
      <c r="D1570" s="2">
        <v>43640</v>
      </c>
      <c r="E1570" s="11">
        <v>175</v>
      </c>
      <c r="F1570" s="3">
        <v>0.49734000000171363</v>
      </c>
      <c r="G1570" s="3">
        <v>0.50080999999772757</v>
      </c>
      <c r="H1570" s="13">
        <f t="shared" si="54"/>
        <v>175.49734000000171</v>
      </c>
      <c r="I1570" s="13">
        <f t="shared" si="55"/>
        <v>175.50080999999773</v>
      </c>
      <c r="J1570" s="13">
        <f t="shared" si="56"/>
        <v>175.49907499999972</v>
      </c>
      <c r="K1570" s="7">
        <v>43640.499075</v>
      </c>
      <c r="L1570" s="4">
        <v>1763.7</v>
      </c>
      <c r="M1570">
        <v>10.1</v>
      </c>
      <c r="N1570">
        <v>25</v>
      </c>
      <c r="Q1570">
        <v>-12.1139043888484</v>
      </c>
      <c r="R1570" s="6">
        <v>5.1483570371789002E-7</v>
      </c>
    </row>
    <row r="1571" spans="1:18" x14ac:dyDescent="0.2">
      <c r="A1571" t="s">
        <v>9</v>
      </c>
      <c r="B1571">
        <v>2</v>
      </c>
      <c r="C1571" t="s">
        <v>6</v>
      </c>
      <c r="D1571" s="2">
        <v>43640</v>
      </c>
      <c r="E1571" s="11">
        <v>175</v>
      </c>
      <c r="F1571" s="3">
        <v>0.50220000000263099</v>
      </c>
      <c r="G1571" s="3">
        <v>0.50566999999864493</v>
      </c>
      <c r="H1571" s="13">
        <f t="shared" si="54"/>
        <v>175.50220000000263</v>
      </c>
      <c r="I1571" s="13">
        <f t="shared" si="55"/>
        <v>175.50566999999864</v>
      </c>
      <c r="J1571" s="13">
        <f t="shared" si="56"/>
        <v>175.50393500000064</v>
      </c>
      <c r="K1571" s="7">
        <v>43640.503935000001</v>
      </c>
      <c r="L1571" s="4">
        <v>1498.7</v>
      </c>
      <c r="N1571">
        <v>25</v>
      </c>
      <c r="Q1571">
        <v>6.2265803775462496</v>
      </c>
    </row>
    <row r="1572" spans="1:18" x14ac:dyDescent="0.2">
      <c r="A1572" t="s">
        <v>9</v>
      </c>
      <c r="B1572">
        <v>3</v>
      </c>
      <c r="C1572" t="s">
        <v>2</v>
      </c>
      <c r="D1572" s="2">
        <v>43640</v>
      </c>
      <c r="E1572" s="11">
        <v>175</v>
      </c>
      <c r="F1572" s="3">
        <v>0.50706000000354834</v>
      </c>
      <c r="G1572" s="3">
        <v>0.51052999999956228</v>
      </c>
      <c r="H1572" s="13">
        <f t="shared" si="54"/>
        <v>175.50706000000355</v>
      </c>
      <c r="I1572" s="13">
        <f t="shared" si="55"/>
        <v>175.51052999999956</v>
      </c>
      <c r="J1572" s="13">
        <f t="shared" si="56"/>
        <v>175.50879500000156</v>
      </c>
      <c r="K1572" s="7">
        <v>43640.508795000002</v>
      </c>
      <c r="L1572" s="4">
        <v>1516.2</v>
      </c>
      <c r="M1572">
        <v>5.4</v>
      </c>
      <c r="N1572">
        <v>25</v>
      </c>
      <c r="Q1572">
        <v>-10.7159201686181</v>
      </c>
    </row>
    <row r="1573" spans="1:18" x14ac:dyDescent="0.2">
      <c r="A1573" t="s">
        <v>9</v>
      </c>
      <c r="B1573">
        <v>3</v>
      </c>
      <c r="C1573" t="s">
        <v>6</v>
      </c>
      <c r="D1573" s="2">
        <v>43640</v>
      </c>
      <c r="E1573" s="11">
        <v>175</v>
      </c>
      <c r="F1573" s="3">
        <v>0.51191999999718973</v>
      </c>
      <c r="G1573" s="3">
        <v>0.51539000000047963</v>
      </c>
      <c r="H1573" s="13">
        <f t="shared" si="54"/>
        <v>175.51191999999719</v>
      </c>
      <c r="I1573" s="13">
        <f t="shared" si="55"/>
        <v>175.51539000000048</v>
      </c>
      <c r="J1573" s="13">
        <f t="shared" si="56"/>
        <v>175.51365499999883</v>
      </c>
      <c r="K1573" s="7">
        <v>43640.513655000002</v>
      </c>
      <c r="L1573" s="4">
        <v>1748.7</v>
      </c>
      <c r="N1573">
        <v>25</v>
      </c>
      <c r="Q1573">
        <v>9.4669578277936299</v>
      </c>
    </row>
    <row r="1574" spans="1:18" x14ac:dyDescent="0.2">
      <c r="A1574" t="s">
        <v>9</v>
      </c>
      <c r="B1574">
        <v>4</v>
      </c>
      <c r="C1574" t="s">
        <v>2</v>
      </c>
      <c r="D1574" s="2">
        <v>43640</v>
      </c>
      <c r="E1574" s="11">
        <v>175</v>
      </c>
      <c r="F1574" s="3">
        <v>0.51677999999810709</v>
      </c>
      <c r="G1574" s="3">
        <v>0.52025000000139698</v>
      </c>
      <c r="H1574" s="13">
        <f t="shared" si="54"/>
        <v>175.51677999999811</v>
      </c>
      <c r="I1574" s="13">
        <f t="shared" si="55"/>
        <v>175.5202500000014</v>
      </c>
      <c r="J1574" s="13">
        <f t="shared" si="56"/>
        <v>175.51851499999975</v>
      </c>
      <c r="K1574" s="7">
        <v>43640.518515000003</v>
      </c>
      <c r="L1574" s="4">
        <v>2036.2</v>
      </c>
      <c r="M1574">
        <v>6.6</v>
      </c>
      <c r="N1574">
        <v>25</v>
      </c>
      <c r="Q1574">
        <v>-10.1281908745666</v>
      </c>
    </row>
    <row r="1575" spans="1:18" x14ac:dyDescent="0.2">
      <c r="A1575" t="s">
        <v>9</v>
      </c>
      <c r="B1575">
        <v>4</v>
      </c>
      <c r="C1575" t="s">
        <v>6</v>
      </c>
      <c r="D1575" s="2">
        <v>43640</v>
      </c>
      <c r="E1575" s="11">
        <v>175</v>
      </c>
      <c r="F1575" s="3">
        <v>0.52163999999902444</v>
      </c>
      <c r="G1575" s="3">
        <v>0.52511999999842374</v>
      </c>
      <c r="H1575" s="13">
        <f t="shared" si="54"/>
        <v>175.52163999999902</v>
      </c>
      <c r="I1575" s="13">
        <f t="shared" si="55"/>
        <v>175.52511999999842</v>
      </c>
      <c r="J1575" s="13">
        <f t="shared" si="56"/>
        <v>175.52337999999872</v>
      </c>
      <c r="K1575" s="7">
        <v>43640.523379999999</v>
      </c>
      <c r="L1575" s="4">
        <v>1876.2</v>
      </c>
      <c r="N1575">
        <v>25</v>
      </c>
      <c r="Q1575">
        <v>5.5854107417687704</v>
      </c>
    </row>
    <row r="1576" spans="1:18" x14ac:dyDescent="0.2">
      <c r="A1576" t="s">
        <v>9</v>
      </c>
      <c r="B1576">
        <v>5</v>
      </c>
      <c r="C1576" t="s">
        <v>2</v>
      </c>
      <c r="D1576" s="2">
        <v>43640</v>
      </c>
      <c r="E1576" s="11">
        <v>175</v>
      </c>
      <c r="F1576" s="3">
        <v>0.52649999999994179</v>
      </c>
      <c r="G1576" s="3">
        <v>0.52997999999934109</v>
      </c>
      <c r="H1576" s="13">
        <f t="shared" si="54"/>
        <v>175.52649999999994</v>
      </c>
      <c r="I1576" s="13">
        <f t="shared" si="55"/>
        <v>175.52997999999934</v>
      </c>
      <c r="J1576" s="13">
        <f t="shared" si="56"/>
        <v>175.52823999999964</v>
      </c>
      <c r="K1576" s="7">
        <v>43640.52824</v>
      </c>
      <c r="L1576" s="4">
        <v>2031.2</v>
      </c>
      <c r="M1576">
        <v>9.3000000000000007</v>
      </c>
      <c r="N1576">
        <v>25</v>
      </c>
      <c r="Q1576">
        <v>-11.9939626600972</v>
      </c>
    </row>
    <row r="1577" spans="1:18" x14ac:dyDescent="0.2">
      <c r="A1577" t="s">
        <v>9</v>
      </c>
      <c r="B1577">
        <v>5</v>
      </c>
      <c r="C1577" t="s">
        <v>6</v>
      </c>
      <c r="D1577" s="2">
        <v>43640</v>
      </c>
      <c r="E1577" s="11">
        <v>175</v>
      </c>
      <c r="F1577" s="3">
        <v>0.53136999999696855</v>
      </c>
      <c r="G1577" s="3">
        <v>0.53484000000025844</v>
      </c>
      <c r="H1577" s="13">
        <f t="shared" si="54"/>
        <v>175.53136999999697</v>
      </c>
      <c r="I1577" s="13">
        <f t="shared" si="55"/>
        <v>175.53484000000026</v>
      </c>
      <c r="J1577" s="13">
        <f t="shared" si="56"/>
        <v>175.53310499999861</v>
      </c>
      <c r="K1577" s="7">
        <v>43640.533104999995</v>
      </c>
      <c r="L1577" s="4">
        <v>1.2</v>
      </c>
      <c r="N1577">
        <v>25</v>
      </c>
      <c r="Q1577">
        <v>6.37021625023604</v>
      </c>
    </row>
    <row r="1578" spans="1:18" x14ac:dyDescent="0.2">
      <c r="A1578" t="s">
        <v>9</v>
      </c>
      <c r="B1578">
        <v>1</v>
      </c>
      <c r="C1578" t="s">
        <v>2</v>
      </c>
      <c r="D1578" s="2">
        <v>43640</v>
      </c>
      <c r="E1578" s="11">
        <v>175</v>
      </c>
      <c r="F1578" s="3">
        <v>0.61886999999842374</v>
      </c>
      <c r="G1578" s="3">
        <v>0.62234000000171363</v>
      </c>
      <c r="H1578" s="13">
        <f t="shared" si="54"/>
        <v>175.61886999999842</v>
      </c>
      <c r="I1578" s="13">
        <f t="shared" si="55"/>
        <v>175.62234000000171</v>
      </c>
      <c r="J1578" s="13">
        <f t="shared" si="56"/>
        <v>175.62060500000007</v>
      </c>
      <c r="K1578" s="7">
        <v>43640.620605000004</v>
      </c>
      <c r="L1578" s="4">
        <v>1013.7</v>
      </c>
      <c r="M1578">
        <v>8.9</v>
      </c>
      <c r="N1578">
        <v>30</v>
      </c>
      <c r="Q1578">
        <v>-10.321827917010999</v>
      </c>
      <c r="R1578">
        <v>3.170998E-3</v>
      </c>
    </row>
    <row r="1579" spans="1:18" x14ac:dyDescent="0.2">
      <c r="A1579" t="s">
        <v>9</v>
      </c>
      <c r="B1579">
        <v>1</v>
      </c>
      <c r="C1579" t="s">
        <v>6</v>
      </c>
      <c r="D1579" s="2">
        <v>43640</v>
      </c>
      <c r="E1579" s="11">
        <v>175</v>
      </c>
      <c r="F1579" s="3">
        <v>0.62372999999934109</v>
      </c>
      <c r="G1579" s="3">
        <v>0.62720000000263099</v>
      </c>
      <c r="H1579" s="13">
        <f t="shared" si="54"/>
        <v>175.62372999999934</v>
      </c>
      <c r="I1579" s="13">
        <f t="shared" si="55"/>
        <v>175.62720000000263</v>
      </c>
      <c r="J1579" s="13">
        <f t="shared" si="56"/>
        <v>175.62546500000099</v>
      </c>
      <c r="K1579" s="7">
        <v>43640.625465000005</v>
      </c>
      <c r="L1579" s="4">
        <v>893.7</v>
      </c>
      <c r="N1579">
        <v>30</v>
      </c>
      <c r="Q1579">
        <v>8.4352821719121405</v>
      </c>
      <c r="R1579">
        <v>3.3222400000000002E-3</v>
      </c>
    </row>
    <row r="1580" spans="1:18" x14ac:dyDescent="0.2">
      <c r="A1580" t="s">
        <v>9</v>
      </c>
      <c r="B1580">
        <v>2</v>
      </c>
      <c r="C1580" t="s">
        <v>2</v>
      </c>
      <c r="D1580" s="2">
        <v>43640</v>
      </c>
      <c r="E1580" s="11">
        <v>175</v>
      </c>
      <c r="F1580" s="3">
        <v>0.62859000000025844</v>
      </c>
      <c r="G1580" s="3">
        <v>0.63206000000354834</v>
      </c>
      <c r="H1580" s="13">
        <f t="shared" si="54"/>
        <v>175.62859000000026</v>
      </c>
      <c r="I1580" s="13">
        <f t="shared" si="55"/>
        <v>175.63206000000355</v>
      </c>
      <c r="J1580" s="13">
        <f t="shared" si="56"/>
        <v>175.6303250000019</v>
      </c>
      <c r="K1580" s="7">
        <v>43640.630325000006</v>
      </c>
      <c r="L1580" s="4">
        <v>1006.2</v>
      </c>
      <c r="M1580">
        <v>8.5</v>
      </c>
      <c r="N1580">
        <v>30</v>
      </c>
      <c r="Q1580">
        <v>-6.3409257865250996</v>
      </c>
      <c r="R1580">
        <v>3.1905073999999999E-2</v>
      </c>
    </row>
    <row r="1581" spans="1:18" x14ac:dyDescent="0.2">
      <c r="A1581" t="s">
        <v>9</v>
      </c>
      <c r="B1581">
        <v>2</v>
      </c>
      <c r="C1581" t="s">
        <v>6</v>
      </c>
      <c r="D1581" s="2">
        <v>43640</v>
      </c>
      <c r="E1581" s="11">
        <v>175</v>
      </c>
      <c r="F1581" s="3">
        <v>0.63345000000117579</v>
      </c>
      <c r="G1581" s="3">
        <v>0.63691999999718973</v>
      </c>
      <c r="H1581" s="13">
        <f t="shared" si="54"/>
        <v>175.63345000000118</v>
      </c>
      <c r="I1581" s="13">
        <f t="shared" si="55"/>
        <v>175.63691999999719</v>
      </c>
      <c r="J1581" s="13">
        <f t="shared" si="56"/>
        <v>175.63518499999918</v>
      </c>
      <c r="K1581" s="7">
        <v>43640.635184999999</v>
      </c>
      <c r="L1581" s="4">
        <v>896.2</v>
      </c>
      <c r="N1581">
        <v>30</v>
      </c>
      <c r="Q1581">
        <v>7.5084974620246898</v>
      </c>
      <c r="R1581">
        <v>1.0444849000000001E-2</v>
      </c>
    </row>
    <row r="1582" spans="1:18" x14ac:dyDescent="0.2">
      <c r="A1582" t="s">
        <v>9</v>
      </c>
      <c r="B1582">
        <v>3</v>
      </c>
      <c r="C1582" t="s">
        <v>2</v>
      </c>
      <c r="D1582" s="2">
        <v>43640</v>
      </c>
      <c r="E1582" s="11">
        <v>175</v>
      </c>
      <c r="F1582" s="3">
        <v>0.63831000000209315</v>
      </c>
      <c r="G1582" s="3">
        <v>0.64177999999810709</v>
      </c>
      <c r="H1582" s="13">
        <f t="shared" si="54"/>
        <v>175.63831000000209</v>
      </c>
      <c r="I1582" s="13">
        <f t="shared" si="55"/>
        <v>175.64177999999811</v>
      </c>
      <c r="J1582" s="13">
        <f t="shared" si="56"/>
        <v>175.6400450000001</v>
      </c>
      <c r="K1582" s="7">
        <v>43640.640045</v>
      </c>
      <c r="L1582" s="4">
        <v>951.2</v>
      </c>
      <c r="M1582">
        <v>3.9</v>
      </c>
      <c r="N1582">
        <v>30</v>
      </c>
      <c r="Q1582">
        <v>-9.3285924937279301</v>
      </c>
      <c r="R1582">
        <v>2.8114391999999998E-2</v>
      </c>
    </row>
    <row r="1583" spans="1:18" x14ac:dyDescent="0.2">
      <c r="A1583" t="s">
        <v>9</v>
      </c>
      <c r="B1583">
        <v>3</v>
      </c>
      <c r="C1583" t="s">
        <v>6</v>
      </c>
      <c r="D1583" s="2">
        <v>43640</v>
      </c>
      <c r="E1583" s="11">
        <v>175</v>
      </c>
      <c r="F1583" s="3">
        <v>0.6431700000030105</v>
      </c>
      <c r="G1583" s="3">
        <v>0.64663999999902444</v>
      </c>
      <c r="H1583" s="13">
        <f t="shared" si="54"/>
        <v>175.64317000000301</v>
      </c>
      <c r="I1583" s="13">
        <f t="shared" si="55"/>
        <v>175.64663999999902</v>
      </c>
      <c r="J1583" s="13">
        <f t="shared" si="56"/>
        <v>175.64490500000102</v>
      </c>
      <c r="K1583" s="7">
        <v>43640.644905000001</v>
      </c>
      <c r="L1583" s="4">
        <v>1358.7</v>
      </c>
      <c r="N1583">
        <v>30</v>
      </c>
      <c r="Q1583">
        <v>8.4899888192280706</v>
      </c>
      <c r="R1583">
        <v>2.5699224E-2</v>
      </c>
    </row>
    <row r="1584" spans="1:18" x14ac:dyDescent="0.2">
      <c r="A1584" t="s">
        <v>9</v>
      </c>
      <c r="B1584">
        <v>4</v>
      </c>
      <c r="C1584" t="s">
        <v>2</v>
      </c>
      <c r="D1584" s="2">
        <v>43640</v>
      </c>
      <c r="E1584" s="11">
        <v>175</v>
      </c>
      <c r="F1584" s="3">
        <v>0.6480299999966519</v>
      </c>
      <c r="G1584" s="3">
        <v>0.65149999999994179</v>
      </c>
      <c r="H1584" s="13">
        <f t="shared" si="54"/>
        <v>175.64802999999665</v>
      </c>
      <c r="I1584" s="13">
        <f t="shared" si="55"/>
        <v>175.65149999999994</v>
      </c>
      <c r="J1584" s="13">
        <f t="shared" si="56"/>
        <v>175.6497649999983</v>
      </c>
      <c r="K1584" s="7">
        <v>43640.649764999995</v>
      </c>
      <c r="L1584" s="4">
        <v>1043.7</v>
      </c>
      <c r="M1584">
        <v>4.2</v>
      </c>
      <c r="N1584">
        <v>30</v>
      </c>
      <c r="Q1584">
        <v>-7.2635451271836402</v>
      </c>
      <c r="R1584">
        <v>5.2281013000000001E-2</v>
      </c>
    </row>
    <row r="1585" spans="1:18" x14ac:dyDescent="0.2">
      <c r="A1585" t="s">
        <v>9</v>
      </c>
      <c r="B1585">
        <v>1</v>
      </c>
      <c r="C1585" t="s">
        <v>4</v>
      </c>
      <c r="D1585" s="2">
        <v>43657</v>
      </c>
      <c r="E1585" s="11">
        <v>192</v>
      </c>
      <c r="F1585" s="3">
        <v>0.32512000000133412</v>
      </c>
      <c r="G1585" s="3">
        <v>0.32858999999734806</v>
      </c>
      <c r="H1585" s="13">
        <f t="shared" si="54"/>
        <v>192.32512000000133</v>
      </c>
      <c r="I1585" s="13">
        <f t="shared" si="55"/>
        <v>192.32858999999735</v>
      </c>
      <c r="J1585" s="13">
        <f t="shared" si="56"/>
        <v>192.32685499999934</v>
      </c>
      <c r="K1585" s="7">
        <v>43657.326854999999</v>
      </c>
      <c r="L1585" s="4">
        <v>338.7</v>
      </c>
      <c r="M1585">
        <v>5.0999999999999996</v>
      </c>
      <c r="N1585">
        <v>28.89</v>
      </c>
      <c r="Q1585">
        <v>0.91435215383874902</v>
      </c>
      <c r="R1585">
        <v>-4.9704855190062999E-3</v>
      </c>
    </row>
    <row r="1586" spans="1:18" x14ac:dyDescent="0.2">
      <c r="A1586" t="s">
        <v>9</v>
      </c>
      <c r="B1586">
        <v>1</v>
      </c>
      <c r="C1586" t="s">
        <v>6</v>
      </c>
      <c r="D1586" s="2">
        <v>43657</v>
      </c>
      <c r="E1586" s="11">
        <v>192</v>
      </c>
      <c r="F1586" s="3">
        <v>0.32998000000225147</v>
      </c>
      <c r="G1586" s="3">
        <v>0.33344999999826541</v>
      </c>
      <c r="H1586" s="13">
        <f t="shared" si="54"/>
        <v>192.32998000000225</v>
      </c>
      <c r="I1586" s="13">
        <f t="shared" si="55"/>
        <v>192.33344999999827</v>
      </c>
      <c r="J1586" s="13">
        <f t="shared" si="56"/>
        <v>192.33171500000026</v>
      </c>
      <c r="K1586" s="7">
        <v>43657.331715</v>
      </c>
      <c r="L1586" s="4">
        <v>851.2</v>
      </c>
      <c r="N1586">
        <v>28.89</v>
      </c>
      <c r="Q1586">
        <v>-1.2967563350345199</v>
      </c>
      <c r="R1586">
        <v>-4.6926280052562502E-3</v>
      </c>
    </row>
    <row r="1587" spans="1:18" x14ac:dyDescent="0.2">
      <c r="A1587" t="s">
        <v>9</v>
      </c>
      <c r="B1587">
        <v>2</v>
      </c>
      <c r="C1587" t="s">
        <v>4</v>
      </c>
      <c r="D1587" s="2">
        <v>43657</v>
      </c>
      <c r="E1587" s="11">
        <v>192</v>
      </c>
      <c r="F1587" s="3">
        <v>0.33484000000316883</v>
      </c>
      <c r="G1587" s="3">
        <v>0.33830999999918276</v>
      </c>
      <c r="H1587" s="13">
        <f t="shared" si="54"/>
        <v>192.33484000000317</v>
      </c>
      <c r="I1587" s="13">
        <f t="shared" si="55"/>
        <v>192.33830999999918</v>
      </c>
      <c r="J1587" s="13">
        <f t="shared" si="56"/>
        <v>192.33657500000118</v>
      </c>
      <c r="K1587" s="7">
        <v>43657.336575000001</v>
      </c>
      <c r="L1587" s="4">
        <v>973.7</v>
      </c>
      <c r="M1587">
        <v>7.1</v>
      </c>
      <c r="N1587">
        <v>28.89</v>
      </c>
      <c r="Q1587">
        <v>-2.82820353354828</v>
      </c>
      <c r="R1587">
        <v>1.9763447944226701E-3</v>
      </c>
    </row>
    <row r="1588" spans="1:18" x14ac:dyDescent="0.2">
      <c r="A1588" t="s">
        <v>9</v>
      </c>
      <c r="B1588">
        <v>2</v>
      </c>
      <c r="C1588" t="s">
        <v>6</v>
      </c>
      <c r="D1588" s="2">
        <v>43657</v>
      </c>
      <c r="E1588" s="11">
        <v>192</v>
      </c>
      <c r="F1588" s="3">
        <v>0.33969999999681022</v>
      </c>
      <c r="G1588" s="3">
        <v>0.34317000000010012</v>
      </c>
      <c r="H1588" s="13">
        <f t="shared" si="54"/>
        <v>192.33969999999681</v>
      </c>
      <c r="I1588" s="13">
        <f t="shared" si="55"/>
        <v>192.3431700000001</v>
      </c>
      <c r="J1588" s="13">
        <f t="shared" si="56"/>
        <v>192.34143499999846</v>
      </c>
      <c r="K1588" s="7">
        <v>43657.341434999995</v>
      </c>
      <c r="L1588" s="4">
        <v>623.70000000000005</v>
      </c>
      <c r="N1588">
        <v>28.89</v>
      </c>
      <c r="Q1588">
        <v>7.5085189046886196</v>
      </c>
      <c r="R1588">
        <v>3.0213875009210299E-3</v>
      </c>
    </row>
    <row r="1589" spans="1:18" x14ac:dyDescent="0.2">
      <c r="A1589" t="s">
        <v>9</v>
      </c>
      <c r="B1589">
        <v>3</v>
      </c>
      <c r="C1589" t="s">
        <v>4</v>
      </c>
      <c r="D1589" s="2">
        <v>43657</v>
      </c>
      <c r="E1589" s="11">
        <v>192</v>
      </c>
      <c r="F1589" s="3">
        <v>0.34455999999772757</v>
      </c>
      <c r="G1589" s="3">
        <v>0.34803000000101747</v>
      </c>
      <c r="H1589" s="13">
        <f t="shared" si="54"/>
        <v>192.34455999999773</v>
      </c>
      <c r="I1589" s="13">
        <f t="shared" si="55"/>
        <v>192.34803000000102</v>
      </c>
      <c r="J1589" s="13">
        <f t="shared" si="56"/>
        <v>192.34629499999937</v>
      </c>
      <c r="K1589" s="7">
        <v>43657.346294999996</v>
      </c>
      <c r="L1589" s="4">
        <v>701.2</v>
      </c>
      <c r="M1589">
        <v>4.0999999999999996</v>
      </c>
      <c r="N1589">
        <v>28.89</v>
      </c>
      <c r="Q1589">
        <v>-1.86655388825485</v>
      </c>
      <c r="R1589">
        <v>4.77168836846393E-3</v>
      </c>
    </row>
    <row r="1590" spans="1:18" x14ac:dyDescent="0.2">
      <c r="A1590" t="s">
        <v>9</v>
      </c>
      <c r="B1590">
        <v>3</v>
      </c>
      <c r="C1590" t="s">
        <v>6</v>
      </c>
      <c r="D1590" s="2">
        <v>43657</v>
      </c>
      <c r="E1590" s="11">
        <v>192</v>
      </c>
      <c r="F1590" s="3">
        <v>0.34941999999864493</v>
      </c>
      <c r="G1590" s="3">
        <v>0.35289000000193482</v>
      </c>
      <c r="H1590" s="13">
        <f t="shared" si="54"/>
        <v>192.34941999999864</v>
      </c>
      <c r="I1590" s="13">
        <f t="shared" si="55"/>
        <v>192.35289000000193</v>
      </c>
      <c r="J1590" s="13">
        <f t="shared" si="56"/>
        <v>192.35115500000029</v>
      </c>
      <c r="K1590" s="7">
        <v>43657.351154999997</v>
      </c>
      <c r="L1590" s="4">
        <v>746.2</v>
      </c>
      <c r="N1590">
        <v>28.89</v>
      </c>
      <c r="Q1590">
        <v>5.9762276130652099</v>
      </c>
      <c r="R1590">
        <v>3.1045991832133E-3</v>
      </c>
    </row>
    <row r="1591" spans="1:18" x14ac:dyDescent="0.2">
      <c r="A1591" t="s">
        <v>9</v>
      </c>
      <c r="B1591">
        <v>4</v>
      </c>
      <c r="C1591" t="s">
        <v>4</v>
      </c>
      <c r="D1591" s="2">
        <v>43657</v>
      </c>
      <c r="E1591" s="11">
        <v>192</v>
      </c>
      <c r="F1591" s="3">
        <v>0.35427999999956228</v>
      </c>
      <c r="G1591" s="3">
        <v>0.35775000000285218</v>
      </c>
      <c r="H1591" s="13">
        <f t="shared" si="54"/>
        <v>192.35427999999956</v>
      </c>
      <c r="I1591" s="13">
        <f t="shared" si="55"/>
        <v>192.35775000000285</v>
      </c>
      <c r="J1591" s="13">
        <f t="shared" si="56"/>
        <v>192.35601500000121</v>
      </c>
      <c r="K1591" s="7">
        <v>43657.356014999998</v>
      </c>
      <c r="L1591" s="4">
        <v>853.7</v>
      </c>
      <c r="M1591">
        <v>7.9</v>
      </c>
      <c r="N1591">
        <v>28.89</v>
      </c>
      <c r="Q1591">
        <v>-2.54626753540298</v>
      </c>
      <c r="R1591">
        <v>-1.3968668872531701E-3</v>
      </c>
    </row>
    <row r="1592" spans="1:18" x14ac:dyDescent="0.2">
      <c r="A1592" t="s">
        <v>9</v>
      </c>
      <c r="B1592">
        <v>4</v>
      </c>
      <c r="C1592" t="s">
        <v>6</v>
      </c>
      <c r="D1592" s="2">
        <v>43657</v>
      </c>
      <c r="E1592" s="11">
        <v>192</v>
      </c>
      <c r="F1592" s="3">
        <v>0.35914000000047963</v>
      </c>
      <c r="G1592" s="3">
        <v>0.36261999999987893</v>
      </c>
      <c r="H1592" s="13">
        <f t="shared" si="54"/>
        <v>192.35914000000048</v>
      </c>
      <c r="I1592" s="13">
        <f t="shared" si="55"/>
        <v>192.36261999999988</v>
      </c>
      <c r="J1592" s="13">
        <f t="shared" si="56"/>
        <v>192.36088000000018</v>
      </c>
      <c r="K1592" s="7">
        <v>43657.36088</v>
      </c>
      <c r="L1592" s="4">
        <v>596.20000000000005</v>
      </c>
      <c r="N1592">
        <v>28.89</v>
      </c>
      <c r="Q1592">
        <v>9.39723632271191</v>
      </c>
      <c r="R1592">
        <v>1.3305773808395999E-2</v>
      </c>
    </row>
    <row r="1593" spans="1:18" x14ac:dyDescent="0.2">
      <c r="A1593" t="s">
        <v>9</v>
      </c>
      <c r="B1593">
        <v>5</v>
      </c>
      <c r="C1593" t="s">
        <v>4</v>
      </c>
      <c r="D1593" s="2">
        <v>43657</v>
      </c>
      <c r="E1593" s="11">
        <v>192</v>
      </c>
      <c r="F1593" s="3">
        <v>0.36400000000139698</v>
      </c>
      <c r="G1593" s="3">
        <v>0.36748000000079628</v>
      </c>
      <c r="H1593" s="13">
        <f t="shared" si="54"/>
        <v>192.3640000000014</v>
      </c>
      <c r="I1593" s="13">
        <f t="shared" si="55"/>
        <v>192.3674800000008</v>
      </c>
      <c r="J1593" s="13">
        <f t="shared" si="56"/>
        <v>192.3657400000011</v>
      </c>
      <c r="K1593" s="7">
        <v>43657.365740000001</v>
      </c>
      <c r="L1593" s="4">
        <v>738.7</v>
      </c>
      <c r="M1593">
        <v>4.5</v>
      </c>
      <c r="N1593">
        <v>28.89</v>
      </c>
      <c r="Q1593">
        <v>-3.0327801356311701</v>
      </c>
      <c r="R1593">
        <v>-2.5381227252211399E-4</v>
      </c>
    </row>
    <row r="1594" spans="1:18" x14ac:dyDescent="0.2">
      <c r="A1594" t="s">
        <v>9</v>
      </c>
      <c r="B1594">
        <v>5</v>
      </c>
      <c r="C1594" t="s">
        <v>6</v>
      </c>
      <c r="D1594" s="2">
        <v>43657</v>
      </c>
      <c r="E1594" s="11">
        <v>192</v>
      </c>
      <c r="F1594" s="3">
        <v>0.36886999999842374</v>
      </c>
      <c r="G1594" s="3">
        <v>0.37234000000171363</v>
      </c>
      <c r="H1594" s="13">
        <f t="shared" si="54"/>
        <v>192.36886999999842</v>
      </c>
      <c r="I1594" s="13">
        <f t="shared" si="55"/>
        <v>192.37234000000171</v>
      </c>
      <c r="J1594" s="13">
        <f t="shared" si="56"/>
        <v>192.37060500000007</v>
      </c>
      <c r="K1594" s="7">
        <v>43657.370605000004</v>
      </c>
      <c r="L1594" s="4">
        <v>946.2</v>
      </c>
      <c r="N1594">
        <v>28.89</v>
      </c>
      <c r="Q1594">
        <v>7.2940790432303002</v>
      </c>
      <c r="R1594">
        <v>-2.41900466372077E-4</v>
      </c>
    </row>
    <row r="1595" spans="1:18" x14ac:dyDescent="0.2">
      <c r="A1595" t="s">
        <v>9</v>
      </c>
      <c r="B1595">
        <v>1</v>
      </c>
      <c r="C1595" t="s">
        <v>4</v>
      </c>
      <c r="D1595" s="2">
        <v>43657</v>
      </c>
      <c r="E1595" s="11">
        <v>192</v>
      </c>
      <c r="F1595" s="3">
        <v>0.59386999999696855</v>
      </c>
      <c r="G1595" s="3">
        <v>0.59664000000339001</v>
      </c>
      <c r="H1595" s="13">
        <f t="shared" ref="H1595:H1658" si="57">E1595+F1595</f>
        <v>192.59386999999697</v>
      </c>
      <c r="I1595" s="13">
        <f t="shared" ref="I1595:I1658" si="58">E1595+G1595</f>
        <v>192.59664000000339</v>
      </c>
      <c r="J1595" s="13">
        <f t="shared" ref="J1595:J1658" si="59">AVERAGE(H1595:I1595)</f>
        <v>192.59525500000018</v>
      </c>
      <c r="K1595" s="7">
        <v>43657.595255</v>
      </c>
      <c r="L1595" s="4">
        <v>723.7</v>
      </c>
      <c r="M1595">
        <v>5.0999999999999996</v>
      </c>
      <c r="N1595">
        <v>28.89</v>
      </c>
      <c r="Q1595">
        <v>-4.4034017338059099</v>
      </c>
      <c r="R1595">
        <v>3.0074135112058702E-4</v>
      </c>
    </row>
    <row r="1596" spans="1:18" x14ac:dyDescent="0.2">
      <c r="A1596" t="s">
        <v>9</v>
      </c>
      <c r="B1596">
        <v>1</v>
      </c>
      <c r="C1596" t="s">
        <v>6</v>
      </c>
      <c r="D1596" s="2">
        <v>43657</v>
      </c>
      <c r="E1596" s="11">
        <v>192</v>
      </c>
      <c r="F1596" s="3">
        <v>0.59803000000101747</v>
      </c>
      <c r="G1596" s="3">
        <v>0.60149999999703141</v>
      </c>
      <c r="H1596" s="13">
        <f t="shared" si="57"/>
        <v>192.59803000000102</v>
      </c>
      <c r="I1596" s="13">
        <f t="shared" si="58"/>
        <v>192.60149999999703</v>
      </c>
      <c r="J1596" s="13">
        <f t="shared" si="59"/>
        <v>192.59976499999902</v>
      </c>
      <c r="K1596" s="7">
        <v>43657.599764999999</v>
      </c>
      <c r="L1596" s="4">
        <v>621.20000000000005</v>
      </c>
      <c r="N1596">
        <v>28.89</v>
      </c>
      <c r="Q1596">
        <v>4.5504358521898904</v>
      </c>
      <c r="R1596">
        <v>-1.32125335491685E-4</v>
      </c>
    </row>
    <row r="1597" spans="1:18" x14ac:dyDescent="0.2">
      <c r="A1597" t="s">
        <v>9</v>
      </c>
      <c r="B1597">
        <v>2</v>
      </c>
      <c r="C1597" t="s">
        <v>4</v>
      </c>
      <c r="D1597" s="2">
        <v>43657</v>
      </c>
      <c r="E1597" s="11">
        <v>192</v>
      </c>
      <c r="F1597" s="3">
        <v>0.60220000000117579</v>
      </c>
      <c r="G1597" s="3">
        <v>0.60637000000133412</v>
      </c>
      <c r="H1597" s="13">
        <f t="shared" si="57"/>
        <v>192.60220000000118</v>
      </c>
      <c r="I1597" s="13">
        <f t="shared" si="58"/>
        <v>192.60637000000133</v>
      </c>
      <c r="J1597" s="13">
        <f t="shared" si="59"/>
        <v>192.60428500000125</v>
      </c>
      <c r="K1597" s="7">
        <v>43657.604285000001</v>
      </c>
      <c r="L1597" s="4">
        <v>558.70000000000005</v>
      </c>
      <c r="M1597">
        <v>6.3</v>
      </c>
      <c r="N1597">
        <v>28.89</v>
      </c>
      <c r="Q1597">
        <v>-5.4840296015274399</v>
      </c>
      <c r="R1597">
        <v>2.17468626708069E-4</v>
      </c>
    </row>
    <row r="1598" spans="1:18" x14ac:dyDescent="0.2">
      <c r="A1598" t="s">
        <v>9</v>
      </c>
      <c r="B1598">
        <v>2</v>
      </c>
      <c r="C1598" t="s">
        <v>6</v>
      </c>
      <c r="D1598" s="2">
        <v>43657</v>
      </c>
      <c r="E1598" s="11">
        <v>192</v>
      </c>
      <c r="F1598" s="3">
        <v>0.60637000000133412</v>
      </c>
      <c r="G1598" s="3">
        <v>0.61123000000225147</v>
      </c>
      <c r="H1598" s="13">
        <f t="shared" si="57"/>
        <v>192.60637000000133</v>
      </c>
      <c r="I1598" s="13">
        <f t="shared" si="58"/>
        <v>192.61123000000225</v>
      </c>
      <c r="J1598" s="13">
        <f t="shared" si="59"/>
        <v>192.60880000000179</v>
      </c>
      <c r="K1598" s="7">
        <v>43657.608800000002</v>
      </c>
      <c r="L1598" s="4">
        <v>503.7</v>
      </c>
      <c r="N1598">
        <v>28.89</v>
      </c>
      <c r="Q1598">
        <v>2.9182774498189499</v>
      </c>
      <c r="R1598" s="6">
        <v>-5.9594047038313497E-5</v>
      </c>
    </row>
    <row r="1599" spans="1:18" x14ac:dyDescent="0.2">
      <c r="A1599" t="s">
        <v>9</v>
      </c>
      <c r="B1599">
        <v>3</v>
      </c>
      <c r="C1599" t="s">
        <v>4</v>
      </c>
      <c r="D1599" s="2">
        <v>43657</v>
      </c>
      <c r="E1599" s="11">
        <v>192</v>
      </c>
      <c r="F1599" s="3">
        <v>0.61052999999810709</v>
      </c>
      <c r="G1599" s="3">
        <v>0.61609000000316883</v>
      </c>
      <c r="H1599" s="13">
        <f t="shared" si="57"/>
        <v>192.61052999999811</v>
      </c>
      <c r="I1599" s="13">
        <f t="shared" si="58"/>
        <v>192.61609000000317</v>
      </c>
      <c r="J1599" s="13">
        <f t="shared" si="59"/>
        <v>192.61331000000064</v>
      </c>
      <c r="K1599" s="7">
        <v>43657.613310000001</v>
      </c>
      <c r="L1599" s="4">
        <v>453.7</v>
      </c>
      <c r="M1599">
        <v>4.0999999999999996</v>
      </c>
      <c r="N1599">
        <v>28.89</v>
      </c>
      <c r="Q1599">
        <v>-2.8627087196105001</v>
      </c>
      <c r="R1599">
        <v>-3.3368902110624899E-3</v>
      </c>
    </row>
    <row r="1600" spans="1:18" x14ac:dyDescent="0.2">
      <c r="A1600" t="s">
        <v>9</v>
      </c>
      <c r="B1600">
        <v>3</v>
      </c>
      <c r="C1600" t="s">
        <v>6</v>
      </c>
      <c r="D1600" s="2">
        <v>43657</v>
      </c>
      <c r="E1600" s="11">
        <v>192</v>
      </c>
      <c r="F1600" s="3">
        <v>0.61469999999826541</v>
      </c>
      <c r="G1600" s="3">
        <v>0.62094999999681022</v>
      </c>
      <c r="H1600" s="13">
        <f t="shared" si="57"/>
        <v>192.61469999999827</v>
      </c>
      <c r="I1600" s="13">
        <f t="shared" si="58"/>
        <v>192.62094999999681</v>
      </c>
      <c r="J1600" s="13">
        <f t="shared" si="59"/>
        <v>192.61782499999754</v>
      </c>
      <c r="K1600" s="7">
        <v>43657.617824999994</v>
      </c>
      <c r="L1600" s="4">
        <v>646.20000000000005</v>
      </c>
      <c r="N1600">
        <v>28.89</v>
      </c>
      <c r="Q1600">
        <v>2.2833183624806002</v>
      </c>
      <c r="R1600">
        <v>-3.1920302997937402E-4</v>
      </c>
    </row>
    <row r="1601" spans="1:18" x14ac:dyDescent="0.2">
      <c r="A1601" t="s">
        <v>9</v>
      </c>
      <c r="B1601">
        <v>4</v>
      </c>
      <c r="C1601" t="s">
        <v>4</v>
      </c>
      <c r="D1601" s="2">
        <v>43657</v>
      </c>
      <c r="E1601" s="11">
        <v>192</v>
      </c>
      <c r="F1601" s="3">
        <v>0.61886999999842374</v>
      </c>
      <c r="G1601" s="3">
        <v>0.62580999999772757</v>
      </c>
      <c r="H1601" s="13">
        <f t="shared" si="57"/>
        <v>192.61886999999842</v>
      </c>
      <c r="I1601" s="13">
        <f t="shared" si="58"/>
        <v>192.62580999999773</v>
      </c>
      <c r="J1601" s="13">
        <f t="shared" si="59"/>
        <v>192.62233999999808</v>
      </c>
      <c r="K1601" s="7">
        <v>43657.622340000002</v>
      </c>
      <c r="L1601" s="4">
        <v>593.70000000000005</v>
      </c>
      <c r="M1601">
        <v>2.9</v>
      </c>
      <c r="N1601">
        <v>28.89</v>
      </c>
      <c r="Q1601">
        <v>-2.3368943750299298</v>
      </c>
      <c r="R1601" s="6">
        <v>-7.2912088099032094E-5</v>
      </c>
    </row>
    <row r="1602" spans="1:18" x14ac:dyDescent="0.2">
      <c r="A1602" t="s">
        <v>9</v>
      </c>
      <c r="B1602">
        <v>4</v>
      </c>
      <c r="C1602" t="s">
        <v>6</v>
      </c>
      <c r="D1602" s="2">
        <v>43657</v>
      </c>
      <c r="E1602" s="11">
        <v>192</v>
      </c>
      <c r="F1602" s="3">
        <v>0.62303000000247266</v>
      </c>
      <c r="G1602" s="3">
        <v>0.63066999999864493</v>
      </c>
      <c r="H1602" s="13">
        <f t="shared" si="57"/>
        <v>192.62303000000247</v>
      </c>
      <c r="I1602" s="13">
        <f t="shared" si="58"/>
        <v>192.63066999999864</v>
      </c>
      <c r="J1602" s="13">
        <f t="shared" si="59"/>
        <v>192.62685000000056</v>
      </c>
      <c r="K1602" s="7">
        <v>43657.626850000001</v>
      </c>
      <c r="L1602" s="4">
        <v>883.7</v>
      </c>
      <c r="N1602">
        <v>28.89</v>
      </c>
      <c r="Q1602">
        <v>0.80560235373954303</v>
      </c>
      <c r="R1602" s="6">
        <v>-2.27024734292661E-5</v>
      </c>
    </row>
    <row r="1603" spans="1:18" x14ac:dyDescent="0.2">
      <c r="A1603" t="s">
        <v>9</v>
      </c>
      <c r="B1603">
        <v>5</v>
      </c>
      <c r="C1603" t="s">
        <v>4</v>
      </c>
      <c r="D1603" s="2">
        <v>43657</v>
      </c>
      <c r="E1603" s="11">
        <v>192</v>
      </c>
      <c r="F1603" s="3">
        <v>0.62720000000263099</v>
      </c>
      <c r="G1603" s="3">
        <v>0.63552999999956228</v>
      </c>
      <c r="H1603" s="13">
        <f t="shared" si="57"/>
        <v>192.62720000000263</v>
      </c>
      <c r="I1603" s="13">
        <f t="shared" si="58"/>
        <v>192.63552999999956</v>
      </c>
      <c r="J1603" s="13">
        <f t="shared" si="59"/>
        <v>192.6313650000011</v>
      </c>
      <c r="K1603" s="7">
        <v>43657.631365000001</v>
      </c>
      <c r="L1603" s="4">
        <v>2081.1999999999998</v>
      </c>
      <c r="M1603">
        <v>1.7</v>
      </c>
      <c r="N1603">
        <v>28.89</v>
      </c>
      <c r="Q1603">
        <v>-1.7235057219277199</v>
      </c>
      <c r="R1603">
        <v>3.7276546733301701E-4</v>
      </c>
    </row>
    <row r="1604" spans="1:18" x14ac:dyDescent="0.2">
      <c r="A1604" t="s">
        <v>9</v>
      </c>
      <c r="B1604">
        <v>5</v>
      </c>
      <c r="C1604" t="s">
        <v>6</v>
      </c>
      <c r="D1604" s="2">
        <v>43657</v>
      </c>
      <c r="E1604" s="11">
        <v>192</v>
      </c>
      <c r="F1604" s="3">
        <v>0.63137000000278931</v>
      </c>
      <c r="G1604" s="3">
        <v>0.64039000000047963</v>
      </c>
      <c r="H1604" s="13">
        <f t="shared" si="57"/>
        <v>192.63137000000279</v>
      </c>
      <c r="I1604" s="13">
        <f t="shared" si="58"/>
        <v>192.64039000000048</v>
      </c>
      <c r="J1604" s="13">
        <f t="shared" si="59"/>
        <v>192.63588000000163</v>
      </c>
      <c r="K1604" s="7">
        <v>43657.635880000002</v>
      </c>
      <c r="L1604" s="4">
        <v>2003.7</v>
      </c>
      <c r="N1604">
        <v>28.89</v>
      </c>
      <c r="Q1604">
        <v>-1.18729272789337</v>
      </c>
      <c r="R1604">
        <v>2.91984297527876E-4</v>
      </c>
    </row>
    <row r="1605" spans="1:18" x14ac:dyDescent="0.2">
      <c r="A1605" t="s">
        <v>9</v>
      </c>
      <c r="B1605">
        <v>1</v>
      </c>
      <c r="C1605" t="s">
        <v>4</v>
      </c>
      <c r="D1605" s="2">
        <v>43679</v>
      </c>
      <c r="E1605" s="11">
        <v>214</v>
      </c>
      <c r="F1605" s="3">
        <v>0.61458000000129687</v>
      </c>
      <c r="G1605" s="3">
        <v>0.61806000000069616</v>
      </c>
      <c r="H1605" s="13">
        <f t="shared" si="57"/>
        <v>214.6145800000013</v>
      </c>
      <c r="I1605" s="13">
        <f t="shared" si="58"/>
        <v>214.6180600000007</v>
      </c>
      <c r="J1605" s="13">
        <f t="shared" si="59"/>
        <v>214.616320000001</v>
      </c>
      <c r="K1605" s="7">
        <v>43679.616320000001</v>
      </c>
      <c r="L1605" s="4">
        <v>1668.7</v>
      </c>
      <c r="M1605">
        <v>8.6999999999999993</v>
      </c>
      <c r="N1605">
        <v>30</v>
      </c>
      <c r="O1605">
        <v>39.9</v>
      </c>
      <c r="P1605">
        <v>0.41</v>
      </c>
      <c r="Q1605">
        <v>-3.9058669794615999</v>
      </c>
      <c r="R1605">
        <v>-2.9160697855741601E-4</v>
      </c>
    </row>
    <row r="1606" spans="1:18" x14ac:dyDescent="0.2">
      <c r="A1606" t="s">
        <v>9</v>
      </c>
      <c r="B1606">
        <v>1</v>
      </c>
      <c r="C1606" t="s">
        <v>6</v>
      </c>
      <c r="D1606" s="2">
        <v>43679</v>
      </c>
      <c r="E1606" s="11">
        <v>214</v>
      </c>
      <c r="F1606" s="3">
        <v>0.62013999999908265</v>
      </c>
      <c r="G1606" s="3">
        <v>0.62361000000237254</v>
      </c>
      <c r="H1606" s="13">
        <f t="shared" si="57"/>
        <v>214.62013999999908</v>
      </c>
      <c r="I1606" s="13">
        <f t="shared" si="58"/>
        <v>214.62361000000237</v>
      </c>
      <c r="J1606" s="13">
        <f t="shared" si="59"/>
        <v>214.62187500000073</v>
      </c>
      <c r="K1606" s="7">
        <v>43679.621874999997</v>
      </c>
      <c r="L1606" s="4">
        <v>1653.7</v>
      </c>
      <c r="N1606">
        <v>30</v>
      </c>
      <c r="Q1606">
        <v>9.4319270243661304</v>
      </c>
      <c r="R1606" s="6">
        <v>-6.1086076930569802E-5</v>
      </c>
    </row>
    <row r="1607" spans="1:18" x14ac:dyDescent="0.2">
      <c r="A1607" t="s">
        <v>9</v>
      </c>
      <c r="B1607">
        <v>2</v>
      </c>
      <c r="C1607" t="s">
        <v>4</v>
      </c>
      <c r="D1607" s="2">
        <v>43679</v>
      </c>
      <c r="E1607" s="11">
        <v>214</v>
      </c>
      <c r="F1607" s="3">
        <v>0.625</v>
      </c>
      <c r="G1607" s="3">
        <v>0.6284700000032899</v>
      </c>
      <c r="H1607" s="13">
        <f t="shared" si="57"/>
        <v>214.625</v>
      </c>
      <c r="I1607" s="13">
        <f t="shared" si="58"/>
        <v>214.62847000000329</v>
      </c>
      <c r="J1607" s="13">
        <f t="shared" si="59"/>
        <v>214.62673500000164</v>
      </c>
      <c r="K1607" s="7">
        <v>43679.626734999998</v>
      </c>
      <c r="L1607" s="4">
        <v>1626.2</v>
      </c>
      <c r="M1607">
        <v>12.2</v>
      </c>
      <c r="N1607">
        <v>30</v>
      </c>
      <c r="O1607">
        <v>39.700000000000003</v>
      </c>
      <c r="P1607">
        <v>0.69</v>
      </c>
      <c r="Q1607">
        <v>-3.19660973244026</v>
      </c>
      <c r="R1607">
        <v>7.3775346655957001E-4</v>
      </c>
    </row>
    <row r="1608" spans="1:18" x14ac:dyDescent="0.2">
      <c r="A1608" t="s">
        <v>9</v>
      </c>
      <c r="B1608">
        <v>2</v>
      </c>
      <c r="C1608" t="s">
        <v>6</v>
      </c>
      <c r="D1608" s="2">
        <v>43679</v>
      </c>
      <c r="E1608" s="11">
        <v>214</v>
      </c>
      <c r="F1608" s="3">
        <v>0.63193999999930384</v>
      </c>
      <c r="G1608" s="3">
        <v>0.63541999999870313</v>
      </c>
      <c r="H1608" s="13">
        <f t="shared" si="57"/>
        <v>214.6319399999993</v>
      </c>
      <c r="I1608" s="13">
        <f t="shared" si="58"/>
        <v>214.6354199999987</v>
      </c>
      <c r="J1608" s="13">
        <f t="shared" si="59"/>
        <v>214.633679999999</v>
      </c>
      <c r="K1608" s="7">
        <v>43679.633679999999</v>
      </c>
      <c r="L1608" s="4">
        <v>1578.7</v>
      </c>
      <c r="N1608">
        <v>30</v>
      </c>
      <c r="Q1608">
        <v>8.1290380270098694</v>
      </c>
      <c r="R1608">
        <v>-1.21268105975703E-4</v>
      </c>
    </row>
    <row r="1609" spans="1:18" x14ac:dyDescent="0.2">
      <c r="A1609" t="s">
        <v>9</v>
      </c>
      <c r="B1609">
        <v>3</v>
      </c>
      <c r="C1609" t="s">
        <v>4</v>
      </c>
      <c r="D1609" s="2">
        <v>43679</v>
      </c>
      <c r="E1609" s="11">
        <v>214</v>
      </c>
      <c r="F1609" s="3">
        <v>0.63749999999708962</v>
      </c>
      <c r="G1609" s="3">
        <v>0.64097000000037951</v>
      </c>
      <c r="H1609" s="13">
        <f t="shared" si="57"/>
        <v>214.63749999999709</v>
      </c>
      <c r="I1609" s="13">
        <f t="shared" si="58"/>
        <v>214.64097000000038</v>
      </c>
      <c r="J1609" s="13">
        <f t="shared" si="59"/>
        <v>214.63923499999873</v>
      </c>
      <c r="K1609" s="7">
        <v>43679.639234999995</v>
      </c>
      <c r="L1609" s="4">
        <v>1543.7</v>
      </c>
      <c r="M1609">
        <v>5.9</v>
      </c>
      <c r="N1609">
        <v>30</v>
      </c>
      <c r="O1609">
        <v>38.4</v>
      </c>
      <c r="P1609">
        <v>0.59</v>
      </c>
      <c r="Q1609">
        <v>-9.0287767098498506</v>
      </c>
      <c r="R1609">
        <v>-1.08161647634494E-4</v>
      </c>
    </row>
    <row r="1610" spans="1:18" x14ac:dyDescent="0.2">
      <c r="A1610" t="s">
        <v>9</v>
      </c>
      <c r="B1610">
        <v>3</v>
      </c>
      <c r="C1610" t="s">
        <v>6</v>
      </c>
      <c r="D1610" s="2">
        <v>43679</v>
      </c>
      <c r="E1610" s="11">
        <v>214</v>
      </c>
      <c r="F1610" s="3">
        <v>0.64358000000356697</v>
      </c>
      <c r="G1610" s="3">
        <v>0.6470499999995809</v>
      </c>
      <c r="H1610" s="13">
        <f t="shared" si="57"/>
        <v>214.64358000000357</v>
      </c>
      <c r="I1610" s="13">
        <f t="shared" si="58"/>
        <v>214.64704999999958</v>
      </c>
      <c r="J1610" s="13">
        <f t="shared" si="59"/>
        <v>214.64531500000157</v>
      </c>
      <c r="K1610" s="7">
        <v>43679.645315000002</v>
      </c>
      <c r="L1610" s="4">
        <v>1516.2</v>
      </c>
      <c r="N1610">
        <v>30</v>
      </c>
      <c r="Q1610">
        <v>12.009438718596</v>
      </c>
      <c r="R1610">
        <v>-5.5716911839926895E-4</v>
      </c>
    </row>
    <row r="1611" spans="1:18" x14ac:dyDescent="0.2">
      <c r="A1611" t="s">
        <v>9</v>
      </c>
      <c r="B1611">
        <v>4</v>
      </c>
      <c r="C1611" t="s">
        <v>4</v>
      </c>
      <c r="D1611" s="2">
        <v>43679</v>
      </c>
      <c r="E1611" s="11">
        <v>214</v>
      </c>
      <c r="F1611" s="3">
        <v>0.64860999999655178</v>
      </c>
      <c r="G1611" s="3">
        <v>0.65207999999984168</v>
      </c>
      <c r="H1611" s="13">
        <f t="shared" si="57"/>
        <v>214.64860999999655</v>
      </c>
      <c r="I1611" s="13">
        <f t="shared" si="58"/>
        <v>214.65207999999984</v>
      </c>
      <c r="J1611" s="13">
        <f t="shared" si="59"/>
        <v>214.6503449999982</v>
      </c>
      <c r="K1611" s="7">
        <v>43679.650345000002</v>
      </c>
      <c r="L1611" s="4">
        <v>1488.7</v>
      </c>
      <c r="M1611">
        <v>5.7</v>
      </c>
      <c r="N1611">
        <v>30</v>
      </c>
      <c r="O1611">
        <v>34.5</v>
      </c>
      <c r="P1611">
        <v>0.62</v>
      </c>
      <c r="Q1611">
        <v>-1.2170982802099899</v>
      </c>
      <c r="R1611" s="6">
        <v>5.42092031853984E-5</v>
      </c>
    </row>
    <row r="1612" spans="1:18" x14ac:dyDescent="0.2">
      <c r="A1612" t="s">
        <v>9</v>
      </c>
      <c r="B1612">
        <v>4</v>
      </c>
      <c r="C1612" t="s">
        <v>6</v>
      </c>
      <c r="D1612" s="2">
        <v>43679</v>
      </c>
      <c r="E1612" s="11">
        <v>214</v>
      </c>
      <c r="F1612" s="3">
        <v>0.65451000000030035</v>
      </c>
      <c r="G1612" s="3">
        <v>0.65798999999969965</v>
      </c>
      <c r="H1612" s="13">
        <f t="shared" si="57"/>
        <v>214.6545100000003</v>
      </c>
      <c r="I1612" s="13">
        <f t="shared" si="58"/>
        <v>214.6579899999997</v>
      </c>
      <c r="J1612" s="13">
        <f t="shared" si="59"/>
        <v>214.65625</v>
      </c>
      <c r="K1612" s="7">
        <v>43679.65625</v>
      </c>
      <c r="L1612" s="4">
        <v>1456.2</v>
      </c>
      <c r="N1612">
        <v>30</v>
      </c>
      <c r="Q1612">
        <v>8.0991299048885406</v>
      </c>
      <c r="R1612" s="6">
        <v>-3.8558435808205502E-5</v>
      </c>
    </row>
    <row r="1613" spans="1:18" x14ac:dyDescent="0.2">
      <c r="A1613" t="s">
        <v>9</v>
      </c>
      <c r="B1613">
        <v>5</v>
      </c>
      <c r="C1613" t="s">
        <v>4</v>
      </c>
      <c r="D1613" s="2">
        <v>43679</v>
      </c>
      <c r="E1613" s="11">
        <v>214</v>
      </c>
      <c r="F1613" s="3">
        <v>0.66000999999960186</v>
      </c>
      <c r="G1613" s="3">
        <v>0.66348000000289176</v>
      </c>
      <c r="H1613" s="13">
        <f t="shared" si="57"/>
        <v>214.6600099999996</v>
      </c>
      <c r="I1613" s="13">
        <f t="shared" si="58"/>
        <v>214.66348000000289</v>
      </c>
      <c r="J1613" s="13">
        <f t="shared" si="59"/>
        <v>214.66174500000125</v>
      </c>
      <c r="K1613" s="7">
        <v>43679.661745000005</v>
      </c>
      <c r="L1613" s="4">
        <v>1411.2</v>
      </c>
      <c r="M1613">
        <v>10</v>
      </c>
      <c r="N1613">
        <v>30</v>
      </c>
      <c r="O1613">
        <v>47.5</v>
      </c>
      <c r="P1613">
        <v>0.59</v>
      </c>
      <c r="Q1613">
        <v>-0.41725835527677502</v>
      </c>
      <c r="R1613">
        <v>1.35959300406398E-4</v>
      </c>
    </row>
    <row r="1614" spans="1:18" x14ac:dyDescent="0.2">
      <c r="A1614" t="s">
        <v>9</v>
      </c>
      <c r="B1614">
        <v>5</v>
      </c>
      <c r="C1614" t="s">
        <v>6</v>
      </c>
      <c r="D1614" s="2">
        <v>43679</v>
      </c>
      <c r="E1614" s="11">
        <v>214</v>
      </c>
      <c r="F1614" s="3">
        <v>0.66597000000183471</v>
      </c>
      <c r="G1614" s="3">
        <v>0.66943999999784864</v>
      </c>
      <c r="H1614" s="13">
        <f t="shared" si="57"/>
        <v>214.66597000000183</v>
      </c>
      <c r="I1614" s="13">
        <f t="shared" si="58"/>
        <v>214.66943999999785</v>
      </c>
      <c r="J1614" s="13">
        <f t="shared" si="59"/>
        <v>214.66770499999984</v>
      </c>
      <c r="K1614" s="7">
        <v>43679.667705</v>
      </c>
      <c r="L1614" s="4">
        <v>1368.7</v>
      </c>
      <c r="N1614">
        <v>30</v>
      </c>
      <c r="Q1614">
        <v>9.2669446658103105</v>
      </c>
      <c r="R1614" s="6">
        <v>-3.7929390729259402E-5</v>
      </c>
    </row>
    <row r="1615" spans="1:18" x14ac:dyDescent="0.2">
      <c r="A1615" t="s">
        <v>9</v>
      </c>
      <c r="B1615">
        <v>1</v>
      </c>
      <c r="C1615" t="s">
        <v>4</v>
      </c>
      <c r="D1615" s="2">
        <v>43686</v>
      </c>
      <c r="E1615" s="11">
        <v>221</v>
      </c>
      <c r="F1615" s="3">
        <v>0.4853000000002794</v>
      </c>
      <c r="G1615" s="3">
        <v>0.48877000000356929</v>
      </c>
      <c r="H1615" s="13">
        <f t="shared" si="57"/>
        <v>221.48530000000028</v>
      </c>
      <c r="I1615" s="13">
        <f t="shared" si="58"/>
        <v>221.48877000000357</v>
      </c>
      <c r="J1615" s="13">
        <f t="shared" si="59"/>
        <v>221.48703500000192</v>
      </c>
      <c r="K1615" s="7">
        <v>43686.487034999998</v>
      </c>
      <c r="L1615" s="4">
        <v>661.2</v>
      </c>
      <c r="M1615">
        <v>11.3</v>
      </c>
      <c r="N1615">
        <v>25.56</v>
      </c>
      <c r="O1615">
        <v>55.4</v>
      </c>
      <c r="P1615">
        <v>0.7</v>
      </c>
      <c r="Q1615">
        <v>-0.84269227325849905</v>
      </c>
      <c r="R1615">
        <v>-3.2055479635739899E-4</v>
      </c>
    </row>
    <row r="1616" spans="1:18" x14ac:dyDescent="0.2">
      <c r="A1616" t="s">
        <v>9</v>
      </c>
      <c r="B1616">
        <v>1</v>
      </c>
      <c r="C1616" t="s">
        <v>6</v>
      </c>
      <c r="D1616" s="2">
        <v>43686</v>
      </c>
      <c r="E1616" s="11">
        <v>221</v>
      </c>
      <c r="F1616" s="3">
        <v>0.49184000000241213</v>
      </c>
      <c r="G1616" s="3">
        <v>0.49530999999842606</v>
      </c>
      <c r="H1616" s="13">
        <f t="shared" si="57"/>
        <v>221.49184000000241</v>
      </c>
      <c r="I1616" s="13">
        <f t="shared" si="58"/>
        <v>221.49530999999843</v>
      </c>
      <c r="J1616" s="13">
        <f t="shared" si="59"/>
        <v>221.49357500000042</v>
      </c>
      <c r="K1616" s="7">
        <v>43686.493575</v>
      </c>
      <c r="L1616" s="4">
        <v>1528.7</v>
      </c>
      <c r="N1616">
        <v>25.56</v>
      </c>
      <c r="Q1616">
        <v>1.69515865082948</v>
      </c>
      <c r="R1616" s="6">
        <v>-7.1273949458044406E-5</v>
      </c>
    </row>
    <row r="1617" spans="1:18" x14ac:dyDescent="0.2">
      <c r="A1617" t="s">
        <v>9</v>
      </c>
      <c r="B1617">
        <v>2</v>
      </c>
      <c r="C1617" t="s">
        <v>4</v>
      </c>
      <c r="D1617" s="2">
        <v>43686</v>
      </c>
      <c r="E1617" s="11">
        <v>221</v>
      </c>
      <c r="F1617" s="3">
        <v>0.49779999999736901</v>
      </c>
      <c r="G1617" s="3">
        <v>0.50127000000065891</v>
      </c>
      <c r="H1617" s="13">
        <f t="shared" si="57"/>
        <v>221.49779999999737</v>
      </c>
      <c r="I1617" s="13">
        <f t="shared" si="58"/>
        <v>221.50127000000066</v>
      </c>
      <c r="J1617" s="13">
        <f t="shared" si="59"/>
        <v>221.49953499999901</v>
      </c>
      <c r="K1617" s="7">
        <v>43686.499534999995</v>
      </c>
      <c r="L1617" s="4">
        <v>1708.7</v>
      </c>
      <c r="M1617">
        <v>12.8</v>
      </c>
      <c r="N1617">
        <v>25.56</v>
      </c>
      <c r="O1617">
        <v>40.299999999999997</v>
      </c>
      <c r="P1617">
        <v>0.72</v>
      </c>
      <c r="Q1617">
        <v>-1.45235613667501</v>
      </c>
      <c r="R1617">
        <v>-3.5633616361797899E-4</v>
      </c>
    </row>
    <row r="1618" spans="1:18" x14ac:dyDescent="0.2">
      <c r="A1618" t="s">
        <v>9</v>
      </c>
      <c r="B1618">
        <v>2</v>
      </c>
      <c r="C1618" t="s">
        <v>6</v>
      </c>
      <c r="D1618" s="2">
        <v>43686</v>
      </c>
      <c r="E1618" s="11">
        <v>221</v>
      </c>
      <c r="F1618" s="3">
        <v>0.50359000000025844</v>
      </c>
      <c r="G1618" s="3">
        <v>0.50706000000354834</v>
      </c>
      <c r="H1618" s="13">
        <f t="shared" si="57"/>
        <v>221.50359000000026</v>
      </c>
      <c r="I1618" s="13">
        <f t="shared" si="58"/>
        <v>221.50706000000355</v>
      </c>
      <c r="J1618" s="13">
        <f t="shared" si="59"/>
        <v>221.5053250000019</v>
      </c>
      <c r="K1618" s="7">
        <v>43686.505325000006</v>
      </c>
      <c r="L1618" s="4">
        <v>716.2</v>
      </c>
      <c r="N1618">
        <v>25.56</v>
      </c>
      <c r="Q1618">
        <v>0.50430475213703096</v>
      </c>
      <c r="R1618">
        <v>1.14765674646209E-4</v>
      </c>
    </row>
    <row r="1619" spans="1:18" x14ac:dyDescent="0.2">
      <c r="A1619" t="s">
        <v>9</v>
      </c>
      <c r="B1619">
        <v>3</v>
      </c>
      <c r="C1619" t="s">
        <v>4</v>
      </c>
      <c r="D1619" s="2">
        <v>43686</v>
      </c>
      <c r="E1619" s="11">
        <v>221</v>
      </c>
      <c r="F1619" s="3">
        <v>0.51088000000163447</v>
      </c>
      <c r="G1619" s="3">
        <v>0.51434999999764841</v>
      </c>
      <c r="H1619" s="13">
        <f t="shared" si="57"/>
        <v>221.51088000000163</v>
      </c>
      <c r="I1619" s="13">
        <f t="shared" si="58"/>
        <v>221.51434999999765</v>
      </c>
      <c r="J1619" s="13">
        <f t="shared" si="59"/>
        <v>221.51261499999964</v>
      </c>
      <c r="K1619" s="7">
        <v>43686.512615</v>
      </c>
      <c r="L1619" s="4">
        <v>1776.2</v>
      </c>
      <c r="M1619">
        <v>13.6</v>
      </c>
      <c r="N1619">
        <v>25.56</v>
      </c>
      <c r="O1619">
        <v>36.4</v>
      </c>
      <c r="P1619">
        <v>0.78</v>
      </c>
      <c r="Q1619">
        <v>-2.0161478575701102</v>
      </c>
      <c r="R1619">
        <v>1.49142915439619E-4</v>
      </c>
    </row>
    <row r="1620" spans="1:18" x14ac:dyDescent="0.2">
      <c r="A1620" t="s">
        <v>9</v>
      </c>
      <c r="B1620">
        <v>3</v>
      </c>
      <c r="C1620" t="s">
        <v>6</v>
      </c>
      <c r="D1620" s="2">
        <v>43686</v>
      </c>
      <c r="E1620" s="11">
        <v>221</v>
      </c>
      <c r="F1620" s="3">
        <v>0.51771000000007916</v>
      </c>
      <c r="G1620" s="3">
        <v>0.52118000000336906</v>
      </c>
      <c r="H1620" s="13">
        <f t="shared" si="57"/>
        <v>221.51771000000008</v>
      </c>
      <c r="I1620" s="13">
        <f t="shared" si="58"/>
        <v>221.52118000000337</v>
      </c>
      <c r="J1620" s="13">
        <f t="shared" si="59"/>
        <v>221.51944500000172</v>
      </c>
      <c r="K1620" s="7">
        <v>43686.519444999998</v>
      </c>
      <c r="L1620" s="4">
        <v>846.2</v>
      </c>
      <c r="N1620">
        <v>25.56</v>
      </c>
      <c r="Q1620">
        <v>-0.13816363423665701</v>
      </c>
      <c r="R1620">
        <v>2.8099960286115502E-4</v>
      </c>
    </row>
    <row r="1621" spans="1:18" x14ac:dyDescent="0.2">
      <c r="A1621" t="s">
        <v>9</v>
      </c>
      <c r="B1621">
        <v>4</v>
      </c>
      <c r="C1621" t="s">
        <v>4</v>
      </c>
      <c r="D1621" s="2">
        <v>43686</v>
      </c>
      <c r="E1621" s="11">
        <v>221</v>
      </c>
      <c r="F1621" s="3">
        <v>0.52483000000211177</v>
      </c>
      <c r="G1621" s="3">
        <v>0.52829999999812571</v>
      </c>
      <c r="H1621" s="13">
        <f t="shared" si="57"/>
        <v>221.52483000000211</v>
      </c>
      <c r="I1621" s="13">
        <f t="shared" si="58"/>
        <v>221.52829999999813</v>
      </c>
      <c r="J1621" s="13">
        <f t="shared" si="59"/>
        <v>221.52656500000012</v>
      </c>
      <c r="K1621" s="7">
        <v>43686.526565</v>
      </c>
      <c r="L1621" s="4">
        <v>2211.1999999999998</v>
      </c>
      <c r="M1621">
        <v>11.9</v>
      </c>
      <c r="N1621">
        <v>25.56</v>
      </c>
      <c r="O1621">
        <v>35.1</v>
      </c>
      <c r="P1621">
        <v>0.77</v>
      </c>
      <c r="Q1621">
        <v>-1.03981246167936</v>
      </c>
      <c r="R1621">
        <v>-1.0623162056109E-4</v>
      </c>
    </row>
    <row r="1622" spans="1:18" x14ac:dyDescent="0.2">
      <c r="A1622" t="s">
        <v>9</v>
      </c>
      <c r="B1622">
        <v>4</v>
      </c>
      <c r="C1622" t="s">
        <v>6</v>
      </c>
      <c r="D1622" s="2">
        <v>43686</v>
      </c>
      <c r="E1622" s="11">
        <v>221</v>
      </c>
      <c r="F1622" s="3">
        <v>0.53240999999979977</v>
      </c>
      <c r="G1622" s="3">
        <v>0.53588000000308966</v>
      </c>
      <c r="H1622" s="13">
        <f t="shared" si="57"/>
        <v>221.5324099999998</v>
      </c>
      <c r="I1622" s="13">
        <f t="shared" si="58"/>
        <v>221.53588000000309</v>
      </c>
      <c r="J1622" s="13">
        <f t="shared" si="59"/>
        <v>221.53414500000144</v>
      </c>
      <c r="K1622" s="7">
        <v>43686.534144999998</v>
      </c>
      <c r="L1622" s="4">
        <v>768.7</v>
      </c>
      <c r="N1622">
        <v>25.56</v>
      </c>
      <c r="Q1622">
        <v>0.30634696280693302</v>
      </c>
      <c r="R1622">
        <v>2.2744824385616101E-4</v>
      </c>
    </row>
    <row r="1623" spans="1:18" x14ac:dyDescent="0.2">
      <c r="A1623" t="s">
        <v>9</v>
      </c>
      <c r="B1623">
        <v>5</v>
      </c>
      <c r="C1623" t="s">
        <v>4</v>
      </c>
      <c r="D1623" s="2">
        <v>43686</v>
      </c>
      <c r="E1623" s="11">
        <v>221</v>
      </c>
      <c r="F1623" s="3">
        <v>0.53957999999693129</v>
      </c>
      <c r="G1623" s="3">
        <v>0.54306000000360655</v>
      </c>
      <c r="H1623" s="13">
        <f t="shared" si="57"/>
        <v>221.53957999999693</v>
      </c>
      <c r="I1623" s="13">
        <f t="shared" si="58"/>
        <v>221.54306000000361</v>
      </c>
      <c r="J1623" s="13">
        <f t="shared" si="59"/>
        <v>221.54132000000027</v>
      </c>
      <c r="K1623" s="7">
        <v>43686.541320000004</v>
      </c>
      <c r="L1623" s="4">
        <v>668.7</v>
      </c>
      <c r="M1623">
        <v>16.3</v>
      </c>
      <c r="N1623">
        <v>25.56</v>
      </c>
      <c r="O1623">
        <v>43.3</v>
      </c>
      <c r="P1623">
        <v>0.73</v>
      </c>
      <c r="Q1623">
        <v>-3.2426553204643498</v>
      </c>
      <c r="R1623">
        <v>-2.17356812658109E-4</v>
      </c>
    </row>
    <row r="1624" spans="1:18" x14ac:dyDescent="0.2">
      <c r="A1624" t="s">
        <v>9</v>
      </c>
      <c r="B1624">
        <v>5</v>
      </c>
      <c r="C1624" t="s">
        <v>6</v>
      </c>
      <c r="D1624" s="2">
        <v>43686</v>
      </c>
      <c r="E1624" s="11">
        <v>221</v>
      </c>
      <c r="F1624" s="3">
        <v>0.5459499999997206</v>
      </c>
      <c r="G1624" s="3">
        <v>0.5494200000030105</v>
      </c>
      <c r="H1624" s="13">
        <f t="shared" si="57"/>
        <v>221.54594999999972</v>
      </c>
      <c r="I1624" s="13">
        <f t="shared" si="58"/>
        <v>221.54942000000301</v>
      </c>
      <c r="J1624" s="13">
        <f t="shared" si="59"/>
        <v>221.54768500000137</v>
      </c>
      <c r="K1624" s="7">
        <v>43686.547684999998</v>
      </c>
      <c r="L1624" s="4">
        <v>748.7</v>
      </c>
      <c r="N1624">
        <v>25.56</v>
      </c>
      <c r="Q1624">
        <v>0.64031810828191704</v>
      </c>
      <c r="R1624">
        <v>-3.0126880142025599E-4</v>
      </c>
    </row>
    <row r="1625" spans="1:18" x14ac:dyDescent="0.2">
      <c r="A1625" t="s">
        <v>9</v>
      </c>
      <c r="B1625">
        <v>1</v>
      </c>
      <c r="C1625" t="s">
        <v>4</v>
      </c>
      <c r="D1625" s="2">
        <v>43686</v>
      </c>
      <c r="E1625" s="11">
        <v>221</v>
      </c>
      <c r="F1625" s="3">
        <v>0.60549999999784632</v>
      </c>
      <c r="G1625" s="3">
        <v>0.60897000000113621</v>
      </c>
      <c r="H1625" s="13">
        <f t="shared" si="57"/>
        <v>221.60549999999785</v>
      </c>
      <c r="I1625" s="13">
        <f t="shared" si="58"/>
        <v>221.60897000000114</v>
      </c>
      <c r="J1625" s="13">
        <f t="shared" si="59"/>
        <v>221.60723499999949</v>
      </c>
      <c r="K1625" s="7">
        <v>43686.607235000003</v>
      </c>
      <c r="L1625" s="4">
        <v>1878.7</v>
      </c>
      <c r="M1625">
        <v>15.1</v>
      </c>
      <c r="N1625">
        <v>27.78</v>
      </c>
      <c r="O1625">
        <v>41.8</v>
      </c>
      <c r="P1625">
        <v>0.68</v>
      </c>
      <c r="Q1625">
        <v>6.9213149552710004E-2</v>
      </c>
      <c r="R1625">
        <v>-2.3019405649246999E-4</v>
      </c>
    </row>
    <row r="1626" spans="1:18" x14ac:dyDescent="0.2">
      <c r="A1626" t="s">
        <v>9</v>
      </c>
      <c r="B1626">
        <v>1</v>
      </c>
      <c r="C1626" t="s">
        <v>6</v>
      </c>
      <c r="D1626" s="2">
        <v>43686</v>
      </c>
      <c r="E1626" s="11">
        <v>221</v>
      </c>
      <c r="F1626" s="3">
        <v>0.61065000000235159</v>
      </c>
      <c r="G1626" s="3">
        <v>0.61411999999836553</v>
      </c>
      <c r="H1626" s="13">
        <f t="shared" si="57"/>
        <v>221.61065000000235</v>
      </c>
      <c r="I1626" s="13">
        <f t="shared" si="58"/>
        <v>221.61411999999837</v>
      </c>
      <c r="J1626" s="13">
        <f t="shared" si="59"/>
        <v>221.61238500000036</v>
      </c>
      <c r="K1626" s="7">
        <v>43686.612385</v>
      </c>
      <c r="L1626" s="4">
        <v>1751.2</v>
      </c>
      <c r="N1626">
        <v>27.78</v>
      </c>
      <c r="Q1626">
        <v>-0.32664025205978198</v>
      </c>
      <c r="R1626">
        <v>3.1026496871082101E-4</v>
      </c>
    </row>
    <row r="1627" spans="1:18" x14ac:dyDescent="0.2">
      <c r="A1627" t="s">
        <v>9</v>
      </c>
      <c r="B1627">
        <v>2</v>
      </c>
      <c r="C1627" t="s">
        <v>4</v>
      </c>
      <c r="D1627" s="2">
        <v>43686</v>
      </c>
      <c r="E1627" s="11">
        <v>221</v>
      </c>
      <c r="F1627" s="3">
        <v>0.61574000000109663</v>
      </c>
      <c r="G1627" s="3">
        <v>0.61920999999711057</v>
      </c>
      <c r="H1627" s="13">
        <f t="shared" si="57"/>
        <v>221.6157400000011</v>
      </c>
      <c r="I1627" s="13">
        <f t="shared" si="58"/>
        <v>221.61920999999711</v>
      </c>
      <c r="J1627" s="13">
        <f t="shared" si="59"/>
        <v>221.6174749999991</v>
      </c>
      <c r="K1627" s="7">
        <v>43686.617474999999</v>
      </c>
      <c r="L1627" s="4">
        <v>791.2</v>
      </c>
      <c r="M1627">
        <v>13.5</v>
      </c>
      <c r="N1627">
        <v>27.78</v>
      </c>
      <c r="O1627">
        <v>36.799999999999997</v>
      </c>
      <c r="P1627">
        <v>0.67</v>
      </c>
      <c r="Q1627">
        <v>1.0315290582130501</v>
      </c>
      <c r="R1627">
        <v>3.4454421642567498E-4</v>
      </c>
    </row>
    <row r="1628" spans="1:18" x14ac:dyDescent="0.2">
      <c r="A1628" t="s">
        <v>9</v>
      </c>
      <c r="B1628">
        <v>2</v>
      </c>
      <c r="C1628" t="s">
        <v>6</v>
      </c>
      <c r="D1628" s="2">
        <v>43686</v>
      </c>
      <c r="E1628" s="11">
        <v>221</v>
      </c>
      <c r="F1628" s="3">
        <v>0.62088999999832595</v>
      </c>
      <c r="G1628" s="3">
        <v>0.62436000000161584</v>
      </c>
      <c r="H1628" s="13">
        <f t="shared" si="57"/>
        <v>221.62088999999833</v>
      </c>
      <c r="I1628" s="13">
        <f t="shared" si="58"/>
        <v>221.62436000000162</v>
      </c>
      <c r="J1628" s="13">
        <f t="shared" si="59"/>
        <v>221.62262499999997</v>
      </c>
      <c r="K1628" s="7">
        <v>43686.622625000004</v>
      </c>
      <c r="L1628" s="4">
        <v>1743.7</v>
      </c>
      <c r="N1628">
        <v>27.78</v>
      </c>
      <c r="Q1628">
        <v>0.27996500204588998</v>
      </c>
      <c r="R1628" s="6">
        <v>-7.2007790863579395E-5</v>
      </c>
    </row>
    <row r="1629" spans="1:18" x14ac:dyDescent="0.2">
      <c r="A1629" t="s">
        <v>9</v>
      </c>
      <c r="B1629">
        <v>3</v>
      </c>
      <c r="C1629" t="s">
        <v>4</v>
      </c>
      <c r="D1629" s="2">
        <v>43686</v>
      </c>
      <c r="E1629" s="11">
        <v>221</v>
      </c>
      <c r="F1629" s="3">
        <v>0.62668000000121538</v>
      </c>
      <c r="G1629" s="3">
        <v>0.63014999999722932</v>
      </c>
      <c r="H1629" s="13">
        <f t="shared" si="57"/>
        <v>221.62668000000122</v>
      </c>
      <c r="I1629" s="13">
        <f t="shared" si="58"/>
        <v>221.63014999999723</v>
      </c>
      <c r="J1629" s="13">
        <f t="shared" si="59"/>
        <v>221.62841499999922</v>
      </c>
      <c r="K1629" s="7">
        <v>43686.628414999999</v>
      </c>
      <c r="L1629" s="4">
        <v>1693.7</v>
      </c>
      <c r="M1629">
        <v>13.1</v>
      </c>
      <c r="N1629">
        <v>27.78</v>
      </c>
      <c r="O1629">
        <v>40.9</v>
      </c>
      <c r="P1629">
        <v>0.79</v>
      </c>
      <c r="Q1629">
        <v>-4.7617014331645704</v>
      </c>
      <c r="R1629" s="6">
        <v>1.4224744622045901E-5</v>
      </c>
    </row>
    <row r="1630" spans="1:18" x14ac:dyDescent="0.2">
      <c r="A1630" t="s">
        <v>9</v>
      </c>
      <c r="B1630">
        <v>3</v>
      </c>
      <c r="C1630" t="s">
        <v>6</v>
      </c>
      <c r="D1630" s="2">
        <v>43686</v>
      </c>
      <c r="E1630" s="11">
        <v>221</v>
      </c>
      <c r="F1630" s="3">
        <v>0.63270000000193249</v>
      </c>
      <c r="G1630" s="3">
        <v>0.63616999999794643</v>
      </c>
      <c r="H1630" s="13">
        <f t="shared" si="57"/>
        <v>221.63270000000193</v>
      </c>
      <c r="I1630" s="13">
        <f t="shared" si="58"/>
        <v>221.63616999999795</v>
      </c>
      <c r="J1630" s="13">
        <f t="shared" si="59"/>
        <v>221.63443499999994</v>
      </c>
      <c r="K1630" s="7">
        <v>43686.634435</v>
      </c>
      <c r="L1630" s="4">
        <v>1616.2</v>
      </c>
      <c r="N1630">
        <v>27.78</v>
      </c>
      <c r="Q1630">
        <v>8.4582404765014605</v>
      </c>
      <c r="R1630">
        <v>-2.5245418278330801E-4</v>
      </c>
    </row>
    <row r="1631" spans="1:18" x14ac:dyDescent="0.2">
      <c r="A1631" t="s">
        <v>9</v>
      </c>
      <c r="B1631">
        <v>4</v>
      </c>
      <c r="C1631" t="s">
        <v>4</v>
      </c>
      <c r="D1631" s="2">
        <v>43686</v>
      </c>
      <c r="E1631" s="11">
        <v>221</v>
      </c>
      <c r="F1631" s="3">
        <v>0.63818999999784864</v>
      </c>
      <c r="G1631" s="3">
        <v>0.64166999999724794</v>
      </c>
      <c r="H1631" s="13">
        <f t="shared" si="57"/>
        <v>221.63818999999785</v>
      </c>
      <c r="I1631" s="13">
        <f t="shared" si="58"/>
        <v>221.64166999999725</v>
      </c>
      <c r="J1631" s="13">
        <f t="shared" si="59"/>
        <v>221.63992999999755</v>
      </c>
      <c r="K1631" s="7">
        <v>43686.639929999998</v>
      </c>
      <c r="L1631" s="4">
        <v>1578.7</v>
      </c>
      <c r="M1631">
        <v>13.6</v>
      </c>
      <c r="N1631">
        <v>27.78</v>
      </c>
      <c r="O1631">
        <v>48.6</v>
      </c>
      <c r="P1631">
        <v>0.7</v>
      </c>
      <c r="Q1631">
        <v>-2.77879348859621</v>
      </c>
      <c r="R1631">
        <v>1.3699196086779599E-4</v>
      </c>
    </row>
    <row r="1632" spans="1:18" x14ac:dyDescent="0.2">
      <c r="A1632" t="s">
        <v>9</v>
      </c>
      <c r="B1632">
        <v>4</v>
      </c>
      <c r="C1632" t="s">
        <v>6</v>
      </c>
      <c r="D1632" s="2">
        <v>43686</v>
      </c>
      <c r="E1632" s="11">
        <v>221</v>
      </c>
      <c r="F1632" s="3">
        <v>0.64386999999987893</v>
      </c>
      <c r="G1632" s="3">
        <v>0.64734000000316883</v>
      </c>
      <c r="H1632" s="13">
        <f t="shared" si="57"/>
        <v>221.64386999999988</v>
      </c>
      <c r="I1632" s="13">
        <f t="shared" si="58"/>
        <v>221.64734000000317</v>
      </c>
      <c r="J1632" s="13">
        <f t="shared" si="59"/>
        <v>221.64560500000152</v>
      </c>
      <c r="K1632" s="7">
        <v>43686.645604999998</v>
      </c>
      <c r="L1632" s="4">
        <v>1553.7</v>
      </c>
      <c r="N1632">
        <v>27.78</v>
      </c>
      <c r="Q1632">
        <v>1.4035802005779201</v>
      </c>
      <c r="R1632">
        <v>-1.6509608188943701E-4</v>
      </c>
    </row>
    <row r="1633" spans="1:18" x14ac:dyDescent="0.2">
      <c r="A1633" t="s">
        <v>9</v>
      </c>
      <c r="B1633">
        <v>5</v>
      </c>
      <c r="C1633" t="s">
        <v>4</v>
      </c>
      <c r="D1633" s="2">
        <v>43686</v>
      </c>
      <c r="E1633" s="11">
        <v>221</v>
      </c>
      <c r="F1633" s="3">
        <v>0.64918999999645166</v>
      </c>
      <c r="G1633" s="3">
        <v>0.65265999999974156</v>
      </c>
      <c r="H1633" s="13">
        <f t="shared" si="57"/>
        <v>221.64918999999645</v>
      </c>
      <c r="I1633" s="13">
        <f t="shared" si="58"/>
        <v>221.65265999999974</v>
      </c>
      <c r="J1633" s="13">
        <f t="shared" si="59"/>
        <v>221.6509249999981</v>
      </c>
      <c r="K1633" s="7">
        <v>43686.650924999994</v>
      </c>
      <c r="L1633" s="4">
        <v>1503.7</v>
      </c>
      <c r="M1633">
        <v>14.6</v>
      </c>
      <c r="N1633">
        <v>27.78</v>
      </c>
      <c r="O1633">
        <v>41.8</v>
      </c>
      <c r="P1633">
        <v>0.71</v>
      </c>
      <c r="Q1633">
        <v>-2.8993854869710098</v>
      </c>
      <c r="R1633">
        <v>2.0705063695140001E-4</v>
      </c>
    </row>
    <row r="1634" spans="1:18" x14ac:dyDescent="0.2">
      <c r="A1634" t="s">
        <v>9</v>
      </c>
      <c r="B1634">
        <v>5</v>
      </c>
      <c r="C1634" t="s">
        <v>6</v>
      </c>
      <c r="D1634" s="2">
        <v>43686</v>
      </c>
      <c r="E1634" s="11">
        <v>221</v>
      </c>
      <c r="F1634" s="3">
        <v>0.65398999999888474</v>
      </c>
      <c r="G1634" s="3">
        <v>0.65746999999828404</v>
      </c>
      <c r="H1634" s="13">
        <f t="shared" si="57"/>
        <v>221.65398999999888</v>
      </c>
      <c r="I1634" s="13">
        <f t="shared" si="58"/>
        <v>221.65746999999828</v>
      </c>
      <c r="J1634" s="13">
        <f t="shared" si="59"/>
        <v>221.65572999999858</v>
      </c>
      <c r="K1634" s="7">
        <v>43686.655729999999</v>
      </c>
      <c r="L1634" s="4">
        <v>1451.2</v>
      </c>
      <c r="N1634">
        <v>27.78</v>
      </c>
      <c r="Q1634">
        <v>1.1070208867287501</v>
      </c>
      <c r="R1634">
        <v>1.06596943644688E-4</v>
      </c>
    </row>
    <row r="1635" spans="1:18" x14ac:dyDescent="0.2">
      <c r="A1635" t="s">
        <v>9</v>
      </c>
      <c r="B1635">
        <v>1</v>
      </c>
      <c r="C1635" t="s">
        <v>4</v>
      </c>
      <c r="D1635" s="2">
        <v>43691</v>
      </c>
      <c r="E1635" s="11">
        <v>226</v>
      </c>
      <c r="F1635" s="3">
        <v>0.51643999999942025</v>
      </c>
      <c r="G1635" s="3">
        <v>0.51991000000271015</v>
      </c>
      <c r="H1635" s="13">
        <f t="shared" si="57"/>
        <v>226.51643999999942</v>
      </c>
      <c r="I1635" s="13">
        <f t="shared" si="58"/>
        <v>226.51991000000271</v>
      </c>
      <c r="J1635" s="13">
        <f t="shared" si="59"/>
        <v>226.51817500000107</v>
      </c>
      <c r="K1635" s="7">
        <v>43691.518175000005</v>
      </c>
      <c r="L1635" s="4">
        <v>956.2</v>
      </c>
      <c r="M1635">
        <v>6</v>
      </c>
      <c r="N1635">
        <v>21.11</v>
      </c>
      <c r="O1635">
        <v>43.5</v>
      </c>
      <c r="P1635">
        <v>0.69</v>
      </c>
      <c r="Q1635">
        <v>-11.3610398355779</v>
      </c>
      <c r="R1635">
        <v>-4.6501906772565798E-4</v>
      </c>
    </row>
    <row r="1636" spans="1:18" x14ac:dyDescent="0.2">
      <c r="A1636" t="s">
        <v>9</v>
      </c>
      <c r="B1636">
        <v>1</v>
      </c>
      <c r="C1636" t="s">
        <v>6</v>
      </c>
      <c r="D1636" s="2">
        <v>43691</v>
      </c>
      <c r="E1636" s="11">
        <v>226</v>
      </c>
      <c r="F1636" s="3">
        <v>0.52221999999892432</v>
      </c>
      <c r="G1636" s="3">
        <v>0.52569000000221422</v>
      </c>
      <c r="H1636" s="13">
        <f t="shared" si="57"/>
        <v>226.52221999999892</v>
      </c>
      <c r="I1636" s="13">
        <f t="shared" si="58"/>
        <v>226.52569000000221</v>
      </c>
      <c r="J1636" s="13">
        <f t="shared" si="59"/>
        <v>226.52395500000057</v>
      </c>
      <c r="K1636" s="7">
        <v>43691.523954999997</v>
      </c>
      <c r="L1636" s="4">
        <v>1058.7</v>
      </c>
      <c r="N1636">
        <v>21.11</v>
      </c>
      <c r="Q1636">
        <v>12.0847397177644</v>
      </c>
      <c r="R1636">
        <v>-3.0122533984098501E-4</v>
      </c>
    </row>
    <row r="1637" spans="1:18" x14ac:dyDescent="0.2">
      <c r="A1637" t="s">
        <v>9</v>
      </c>
      <c r="B1637">
        <v>2</v>
      </c>
      <c r="C1637" t="s">
        <v>4</v>
      </c>
      <c r="D1637" s="2">
        <v>43691</v>
      </c>
      <c r="E1637" s="11">
        <v>226</v>
      </c>
      <c r="F1637" s="3">
        <v>0.52743000000191387</v>
      </c>
      <c r="G1637" s="3">
        <v>0.53089999999792781</v>
      </c>
      <c r="H1637" s="13">
        <f t="shared" si="57"/>
        <v>226.52743000000191</v>
      </c>
      <c r="I1637" s="13">
        <f t="shared" si="58"/>
        <v>226.53089999999793</v>
      </c>
      <c r="J1637" s="13">
        <f t="shared" si="59"/>
        <v>226.52916499999992</v>
      </c>
      <c r="K1637" s="7">
        <v>43691.529165</v>
      </c>
      <c r="L1637" s="4">
        <v>1021.2</v>
      </c>
      <c r="M1637">
        <v>4.0999999999999996</v>
      </c>
      <c r="N1637">
        <v>23.33</v>
      </c>
      <c r="O1637">
        <v>42.3</v>
      </c>
      <c r="P1637">
        <v>0.73</v>
      </c>
      <c r="Q1637">
        <v>-7.2972003437434001</v>
      </c>
      <c r="R1637">
        <v>-2.6614275636840403E-4</v>
      </c>
    </row>
    <row r="1638" spans="1:18" x14ac:dyDescent="0.2">
      <c r="A1638" t="s">
        <v>9</v>
      </c>
      <c r="B1638">
        <v>2</v>
      </c>
      <c r="C1638" t="s">
        <v>6</v>
      </c>
      <c r="D1638" s="2">
        <v>43691</v>
      </c>
      <c r="E1638" s="11">
        <v>226</v>
      </c>
      <c r="F1638" s="3">
        <v>0.53298999999969965</v>
      </c>
      <c r="G1638" s="3">
        <v>0.53646000000298955</v>
      </c>
      <c r="H1638" s="13">
        <f t="shared" si="57"/>
        <v>226.5329899999997</v>
      </c>
      <c r="I1638" s="13">
        <f t="shared" si="58"/>
        <v>226.53646000000299</v>
      </c>
      <c r="J1638" s="13">
        <f t="shared" si="59"/>
        <v>226.53472500000134</v>
      </c>
      <c r="K1638" s="7">
        <v>43691.534725000005</v>
      </c>
      <c r="L1638" s="4">
        <v>1153.7</v>
      </c>
      <c r="N1638">
        <v>23.33</v>
      </c>
      <c r="Q1638">
        <v>9.2813410528623006</v>
      </c>
      <c r="R1638">
        <v>-5.0943292551713004E-4</v>
      </c>
    </row>
    <row r="1639" spans="1:18" x14ac:dyDescent="0.2">
      <c r="A1639" t="s">
        <v>9</v>
      </c>
      <c r="B1639">
        <v>3</v>
      </c>
      <c r="C1639" t="s">
        <v>4</v>
      </c>
      <c r="D1639" s="2">
        <v>43691</v>
      </c>
      <c r="E1639" s="11">
        <v>226</v>
      </c>
      <c r="F1639" s="3">
        <v>0.53807999999844469</v>
      </c>
      <c r="G1639" s="3">
        <v>0.54155000000173459</v>
      </c>
      <c r="H1639" s="13">
        <f t="shared" si="57"/>
        <v>226.53807999999844</v>
      </c>
      <c r="I1639" s="13">
        <f t="shared" si="58"/>
        <v>226.54155000000173</v>
      </c>
      <c r="J1639" s="13">
        <f t="shared" si="59"/>
        <v>226.53981500000009</v>
      </c>
      <c r="K1639" s="7">
        <v>43691.539814999996</v>
      </c>
      <c r="L1639" s="4">
        <v>896.2</v>
      </c>
      <c r="M1639">
        <v>5.2</v>
      </c>
      <c r="N1639">
        <v>23.33</v>
      </c>
      <c r="O1639">
        <v>34.200000000000003</v>
      </c>
      <c r="P1639">
        <v>0.73</v>
      </c>
      <c r="Q1639">
        <v>-16.754532314158698</v>
      </c>
      <c r="R1639">
        <v>-6.2043940391450804E-4</v>
      </c>
    </row>
    <row r="1640" spans="1:18" x14ac:dyDescent="0.2">
      <c r="A1640" t="s">
        <v>9</v>
      </c>
      <c r="B1640">
        <v>3</v>
      </c>
      <c r="C1640" t="s">
        <v>6</v>
      </c>
      <c r="D1640" s="2">
        <v>43691</v>
      </c>
      <c r="E1640" s="11">
        <v>226</v>
      </c>
      <c r="F1640" s="3">
        <v>0.54351999999926193</v>
      </c>
      <c r="G1640" s="3">
        <v>0.54699000000255182</v>
      </c>
      <c r="H1640" s="13">
        <f t="shared" si="57"/>
        <v>226.54351999999926</v>
      </c>
      <c r="I1640" s="13">
        <f t="shared" si="58"/>
        <v>226.54699000000255</v>
      </c>
      <c r="J1640" s="13">
        <f t="shared" si="59"/>
        <v>226.54525500000091</v>
      </c>
      <c r="K1640" s="7">
        <v>43691.545255000005</v>
      </c>
      <c r="L1640" s="4">
        <v>1486.2</v>
      </c>
      <c r="N1640">
        <v>23.33</v>
      </c>
      <c r="Q1640">
        <v>11.550168716430001</v>
      </c>
      <c r="R1640">
        <v>-6.9179510205360497E-4</v>
      </c>
    </row>
    <row r="1641" spans="1:18" x14ac:dyDescent="0.2">
      <c r="A1641" t="s">
        <v>9</v>
      </c>
      <c r="B1641">
        <v>4</v>
      </c>
      <c r="C1641" t="s">
        <v>4</v>
      </c>
      <c r="D1641" s="2">
        <v>43691</v>
      </c>
      <c r="E1641" s="11">
        <v>226</v>
      </c>
      <c r="F1641" s="3">
        <v>0.54838000000017928</v>
      </c>
      <c r="G1641" s="3">
        <v>0.55185000000346918</v>
      </c>
      <c r="H1641" s="13">
        <f t="shared" si="57"/>
        <v>226.54838000000018</v>
      </c>
      <c r="I1641" s="13">
        <f t="shared" si="58"/>
        <v>226.55185000000347</v>
      </c>
      <c r="J1641" s="13">
        <f t="shared" si="59"/>
        <v>226.55011500000182</v>
      </c>
      <c r="K1641" s="7">
        <v>43691.550115000005</v>
      </c>
      <c r="L1641" s="4">
        <v>1128.7</v>
      </c>
      <c r="M1641">
        <v>4.2</v>
      </c>
      <c r="N1641">
        <v>23.33</v>
      </c>
      <c r="O1641">
        <v>34.700000000000003</v>
      </c>
      <c r="P1641">
        <v>0.66</v>
      </c>
      <c r="Q1641">
        <v>-0.87662981692943998</v>
      </c>
      <c r="R1641">
        <v>-4.02919305531102E-4</v>
      </c>
    </row>
    <row r="1642" spans="1:18" x14ac:dyDescent="0.2">
      <c r="A1642" t="s">
        <v>9</v>
      </c>
      <c r="B1642">
        <v>4</v>
      </c>
      <c r="C1642" t="s">
        <v>6</v>
      </c>
      <c r="D1642" s="2">
        <v>43691</v>
      </c>
      <c r="E1642" s="11">
        <v>226</v>
      </c>
      <c r="F1642" s="3">
        <v>0.55387999999948079</v>
      </c>
      <c r="G1642" s="3">
        <v>0.55735000000277068</v>
      </c>
      <c r="H1642" s="13">
        <f t="shared" si="57"/>
        <v>226.55387999999948</v>
      </c>
      <c r="I1642" s="13">
        <f t="shared" si="58"/>
        <v>226.55735000000277</v>
      </c>
      <c r="J1642" s="13">
        <f t="shared" si="59"/>
        <v>226.55561500000113</v>
      </c>
      <c r="K1642" s="7">
        <v>43691.555615000005</v>
      </c>
      <c r="L1642" s="4">
        <v>1241.2</v>
      </c>
      <c r="N1642">
        <v>23.33</v>
      </c>
      <c r="Q1642">
        <v>9.4764384310187495</v>
      </c>
      <c r="R1642">
        <v>-5.3305623476413095E-4</v>
      </c>
    </row>
    <row r="1643" spans="1:18" x14ac:dyDescent="0.2">
      <c r="A1643" t="s">
        <v>9</v>
      </c>
      <c r="B1643">
        <v>5</v>
      </c>
      <c r="C1643" t="s">
        <v>4</v>
      </c>
      <c r="D1643" s="2">
        <v>43691</v>
      </c>
      <c r="E1643" s="11">
        <v>226</v>
      </c>
      <c r="F1643" s="3">
        <v>0.55913999999756925</v>
      </c>
      <c r="G1643" s="3">
        <v>0.56261999999696855</v>
      </c>
      <c r="H1643" s="13">
        <f t="shared" si="57"/>
        <v>226.55913999999757</v>
      </c>
      <c r="I1643" s="13">
        <f t="shared" si="58"/>
        <v>226.56261999999697</v>
      </c>
      <c r="J1643" s="13">
        <f t="shared" si="59"/>
        <v>226.56087999999727</v>
      </c>
      <c r="K1643" s="7">
        <v>43691.560879999997</v>
      </c>
      <c r="L1643" s="4">
        <v>1806.2</v>
      </c>
      <c r="M1643">
        <v>5.8</v>
      </c>
      <c r="N1643">
        <v>24.44</v>
      </c>
      <c r="O1643">
        <v>41.3</v>
      </c>
      <c r="P1643">
        <v>0.72</v>
      </c>
      <c r="Q1643">
        <v>-6.7642712722257299</v>
      </c>
      <c r="R1643">
        <v>-3.6583144646386902E-4</v>
      </c>
    </row>
    <row r="1644" spans="1:18" x14ac:dyDescent="0.2">
      <c r="A1644" t="s">
        <v>9</v>
      </c>
      <c r="B1644">
        <v>5</v>
      </c>
      <c r="C1644" t="s">
        <v>6</v>
      </c>
      <c r="D1644" s="2">
        <v>43691</v>
      </c>
      <c r="E1644" s="11">
        <v>226</v>
      </c>
      <c r="F1644" s="3">
        <v>0.56457999999838648</v>
      </c>
      <c r="G1644" s="3">
        <v>0.56805999999778578</v>
      </c>
      <c r="H1644" s="13">
        <f t="shared" si="57"/>
        <v>226.56457999999839</v>
      </c>
      <c r="I1644" s="13">
        <f t="shared" si="58"/>
        <v>226.56805999999779</v>
      </c>
      <c r="J1644" s="13">
        <f t="shared" si="59"/>
        <v>226.56631999999809</v>
      </c>
      <c r="K1644" s="7">
        <v>43691.566319999998</v>
      </c>
      <c r="L1644" s="4">
        <v>1813.7</v>
      </c>
      <c r="N1644">
        <v>24.44</v>
      </c>
      <c r="Q1644">
        <v>15.7519647953097</v>
      </c>
      <c r="R1644">
        <v>-3.7900263377552401E-4</v>
      </c>
    </row>
    <row r="1645" spans="1:18" x14ac:dyDescent="0.2">
      <c r="A1645" t="s">
        <v>9</v>
      </c>
      <c r="B1645">
        <v>1</v>
      </c>
      <c r="C1645" t="s">
        <v>4</v>
      </c>
      <c r="D1645" s="2">
        <v>43691</v>
      </c>
      <c r="E1645" s="11">
        <v>226</v>
      </c>
      <c r="F1645" s="3">
        <v>0.60162000000127591</v>
      </c>
      <c r="G1645" s="3">
        <v>0.60508999999728985</v>
      </c>
      <c r="H1645" s="13">
        <f t="shared" si="57"/>
        <v>226.60162000000128</v>
      </c>
      <c r="I1645" s="13">
        <f t="shared" si="58"/>
        <v>226.60508999999729</v>
      </c>
      <c r="J1645" s="13">
        <f t="shared" si="59"/>
        <v>226.60335499999928</v>
      </c>
      <c r="K1645" s="7">
        <v>43691.603354999999</v>
      </c>
      <c r="L1645" s="4">
        <v>1746.2</v>
      </c>
      <c r="M1645">
        <v>5.2</v>
      </c>
      <c r="N1645">
        <v>26.11</v>
      </c>
      <c r="O1645">
        <v>41.4</v>
      </c>
      <c r="P1645">
        <v>0.65</v>
      </c>
      <c r="Q1645">
        <v>-7.53754468545017</v>
      </c>
      <c r="R1645" s="6">
        <v>1.79160090052472E-5</v>
      </c>
    </row>
    <row r="1646" spans="1:18" x14ac:dyDescent="0.2">
      <c r="A1646" t="s">
        <v>9</v>
      </c>
      <c r="B1646">
        <v>1</v>
      </c>
      <c r="C1646" t="s">
        <v>6</v>
      </c>
      <c r="D1646" s="2">
        <v>43691</v>
      </c>
      <c r="E1646" s="11">
        <v>226</v>
      </c>
      <c r="F1646" s="3">
        <v>0.60706000000209315</v>
      </c>
      <c r="G1646" s="3">
        <v>0.61052999999810709</v>
      </c>
      <c r="H1646" s="13">
        <f t="shared" si="57"/>
        <v>226.60706000000209</v>
      </c>
      <c r="I1646" s="13">
        <f t="shared" si="58"/>
        <v>226.61052999999811</v>
      </c>
      <c r="J1646" s="13">
        <f t="shared" si="59"/>
        <v>226.6087950000001</v>
      </c>
      <c r="K1646" s="7">
        <v>43691.608795</v>
      </c>
      <c r="L1646" s="4">
        <v>1728.7</v>
      </c>
      <c r="N1646">
        <v>26.11</v>
      </c>
      <c r="Q1646">
        <v>13.5563457734204</v>
      </c>
      <c r="R1646">
        <v>-2.3789104894257799E-4</v>
      </c>
    </row>
    <row r="1647" spans="1:18" x14ac:dyDescent="0.2">
      <c r="A1647" t="s">
        <v>9</v>
      </c>
      <c r="B1647">
        <v>2</v>
      </c>
      <c r="C1647" t="s">
        <v>4</v>
      </c>
      <c r="D1647" s="2">
        <v>43691</v>
      </c>
      <c r="E1647" s="11">
        <v>226</v>
      </c>
      <c r="F1647" s="3">
        <v>0.61336999999912223</v>
      </c>
      <c r="G1647" s="3">
        <v>0.61684000000241213</v>
      </c>
      <c r="H1647" s="13">
        <f t="shared" si="57"/>
        <v>226.61336999999912</v>
      </c>
      <c r="I1647" s="13">
        <f t="shared" si="58"/>
        <v>226.61684000000241</v>
      </c>
      <c r="J1647" s="13">
        <f t="shared" si="59"/>
        <v>226.61510500000077</v>
      </c>
      <c r="K1647" s="7">
        <v>43691.615105000004</v>
      </c>
      <c r="L1647" s="4">
        <v>1636.2</v>
      </c>
      <c r="M1647">
        <v>5.0999999999999996</v>
      </c>
      <c r="N1647">
        <v>26.67</v>
      </c>
      <c r="O1647">
        <v>32.9</v>
      </c>
      <c r="P1647">
        <v>0.67</v>
      </c>
      <c r="Q1647">
        <v>-2.9251101664060002</v>
      </c>
      <c r="R1647">
        <v>-1.57318674140848E-4</v>
      </c>
    </row>
    <row r="1648" spans="1:18" x14ac:dyDescent="0.2">
      <c r="A1648" t="s">
        <v>9</v>
      </c>
      <c r="B1648">
        <v>2</v>
      </c>
      <c r="C1648" t="s">
        <v>6</v>
      </c>
      <c r="D1648" s="2">
        <v>43691</v>
      </c>
      <c r="E1648" s="11">
        <v>226</v>
      </c>
      <c r="F1648" s="3">
        <v>0.61858000000211177</v>
      </c>
      <c r="G1648" s="3">
        <v>0.62204999999812571</v>
      </c>
      <c r="H1648" s="13">
        <f t="shared" si="57"/>
        <v>226.61858000000211</v>
      </c>
      <c r="I1648" s="13">
        <f t="shared" si="58"/>
        <v>226.62204999999813</v>
      </c>
      <c r="J1648" s="13">
        <f t="shared" si="59"/>
        <v>226.62031500000012</v>
      </c>
      <c r="K1648" s="7">
        <v>43691.620315</v>
      </c>
      <c r="L1648" s="4">
        <v>1583.7</v>
      </c>
      <c r="N1648">
        <v>26.67</v>
      </c>
      <c r="Q1648">
        <v>11.2004338721294</v>
      </c>
      <c r="R1648">
        <v>-1.3035079886346499E-4</v>
      </c>
    </row>
    <row r="1649" spans="1:18" x14ac:dyDescent="0.2">
      <c r="A1649" t="s">
        <v>9</v>
      </c>
      <c r="B1649">
        <v>3</v>
      </c>
      <c r="C1649" t="s">
        <v>4</v>
      </c>
      <c r="D1649" s="2">
        <v>43691</v>
      </c>
      <c r="E1649" s="11">
        <v>226</v>
      </c>
      <c r="F1649" s="3">
        <v>0.62361000000237254</v>
      </c>
      <c r="G1649" s="3">
        <v>0.62707999999838648</v>
      </c>
      <c r="H1649" s="13">
        <f t="shared" si="57"/>
        <v>226.62361000000237</v>
      </c>
      <c r="I1649" s="13">
        <f t="shared" si="58"/>
        <v>226.62707999999839</v>
      </c>
      <c r="J1649" s="13">
        <f t="shared" si="59"/>
        <v>226.62534500000038</v>
      </c>
      <c r="K1649" s="7">
        <v>43691.625345</v>
      </c>
      <c r="L1649" s="4">
        <v>1618.7</v>
      </c>
      <c r="M1649">
        <v>6.4</v>
      </c>
      <c r="N1649">
        <v>27.22</v>
      </c>
      <c r="O1649">
        <v>38.4</v>
      </c>
      <c r="P1649">
        <v>0.67</v>
      </c>
      <c r="Q1649">
        <v>-7.56979738547731</v>
      </c>
      <c r="R1649">
        <v>-4.5460432229885102E-4</v>
      </c>
    </row>
    <row r="1650" spans="1:18" x14ac:dyDescent="0.2">
      <c r="A1650" t="s">
        <v>9</v>
      </c>
      <c r="B1650">
        <v>3</v>
      </c>
      <c r="C1650" t="s">
        <v>6</v>
      </c>
      <c r="D1650" s="2">
        <v>43691</v>
      </c>
      <c r="E1650" s="11">
        <v>226</v>
      </c>
      <c r="F1650" s="3">
        <v>0.62905000000318978</v>
      </c>
      <c r="G1650" s="3">
        <v>0.63251999999920372</v>
      </c>
      <c r="H1650" s="13">
        <f t="shared" si="57"/>
        <v>226.62905000000319</v>
      </c>
      <c r="I1650" s="13">
        <f t="shared" si="58"/>
        <v>226.6325199999992</v>
      </c>
      <c r="J1650" s="13">
        <f t="shared" si="59"/>
        <v>226.6307850000012</v>
      </c>
      <c r="K1650" s="7">
        <v>43691.630785000001</v>
      </c>
      <c r="L1650" s="4">
        <v>1508.7</v>
      </c>
      <c r="N1650">
        <v>27.22</v>
      </c>
      <c r="Q1650">
        <v>14.045200963527</v>
      </c>
      <c r="R1650">
        <v>-5.4457753567041002E-4</v>
      </c>
    </row>
    <row r="1651" spans="1:18" x14ac:dyDescent="0.2">
      <c r="A1651" t="s">
        <v>9</v>
      </c>
      <c r="B1651">
        <v>4</v>
      </c>
      <c r="C1651" t="s">
        <v>4</v>
      </c>
      <c r="D1651" s="2">
        <v>43691</v>
      </c>
      <c r="E1651" s="11">
        <v>226</v>
      </c>
      <c r="F1651" s="3">
        <v>0.6342000000004191</v>
      </c>
      <c r="G1651" s="3">
        <v>0.63766999999643303</v>
      </c>
      <c r="H1651" s="13">
        <f t="shared" si="57"/>
        <v>226.63420000000042</v>
      </c>
      <c r="I1651" s="13">
        <f t="shared" si="58"/>
        <v>226.63766999999643</v>
      </c>
      <c r="J1651" s="13">
        <f t="shared" si="59"/>
        <v>226.63593499999843</v>
      </c>
      <c r="K1651" s="7">
        <v>43691.635934999998</v>
      </c>
      <c r="L1651" s="4">
        <v>1538.7</v>
      </c>
      <c r="M1651">
        <v>4.4000000000000004</v>
      </c>
      <c r="N1651">
        <v>27.78</v>
      </c>
      <c r="O1651">
        <v>29.8</v>
      </c>
      <c r="P1651">
        <v>0.7</v>
      </c>
      <c r="Q1651">
        <v>3.29364131208182</v>
      </c>
      <c r="R1651">
        <v>-3.9698568846179699E-4</v>
      </c>
    </row>
    <row r="1652" spans="1:18" x14ac:dyDescent="0.2">
      <c r="A1652" t="s">
        <v>9</v>
      </c>
      <c r="B1652">
        <v>4</v>
      </c>
      <c r="C1652" t="s">
        <v>6</v>
      </c>
      <c r="D1652" s="2">
        <v>43691</v>
      </c>
      <c r="E1652" s="11">
        <v>226</v>
      </c>
      <c r="F1652" s="3">
        <v>0.64560000000346918</v>
      </c>
      <c r="G1652" s="3">
        <v>0.64906999999948312</v>
      </c>
      <c r="H1652" s="13">
        <f t="shared" si="57"/>
        <v>226.64560000000347</v>
      </c>
      <c r="I1652" s="13">
        <f t="shared" si="58"/>
        <v>226.64906999999948</v>
      </c>
      <c r="J1652" s="13">
        <f t="shared" si="59"/>
        <v>226.64733500000148</v>
      </c>
      <c r="K1652" s="7">
        <v>43691.647335000001</v>
      </c>
      <c r="L1652" s="4">
        <v>1488.7</v>
      </c>
      <c r="N1652">
        <v>27.78</v>
      </c>
      <c r="Q1652">
        <v>-1.4850547972097601</v>
      </c>
      <c r="R1652">
        <v>-3.5090978204853498E-4</v>
      </c>
    </row>
    <row r="1653" spans="1:18" x14ac:dyDescent="0.2">
      <c r="A1653" t="s">
        <v>9</v>
      </c>
      <c r="B1653">
        <v>5</v>
      </c>
      <c r="C1653" t="s">
        <v>4</v>
      </c>
      <c r="D1653" s="2">
        <v>43691</v>
      </c>
      <c r="E1653" s="11">
        <v>226</v>
      </c>
      <c r="F1653" s="3">
        <v>0.64433000000281027</v>
      </c>
      <c r="G1653" s="3">
        <v>0.64779999999882421</v>
      </c>
      <c r="H1653" s="13">
        <f t="shared" si="57"/>
        <v>226.64433000000281</v>
      </c>
      <c r="I1653" s="13">
        <f t="shared" si="58"/>
        <v>226.64779999999882</v>
      </c>
      <c r="J1653" s="13">
        <f t="shared" si="59"/>
        <v>226.64606500000082</v>
      </c>
      <c r="K1653" s="7">
        <v>43691.646065000001</v>
      </c>
      <c r="L1653" s="4">
        <v>1493.7</v>
      </c>
      <c r="M1653">
        <v>2.8</v>
      </c>
      <c r="N1653">
        <v>28.33</v>
      </c>
      <c r="O1653">
        <v>44.7</v>
      </c>
      <c r="P1653">
        <v>0.66</v>
      </c>
      <c r="Q1653">
        <v>-2.5907982434711498</v>
      </c>
      <c r="R1653">
        <v>-4.4193501721896802E-4</v>
      </c>
    </row>
    <row r="1654" spans="1:18" x14ac:dyDescent="0.2">
      <c r="A1654" t="s">
        <v>9</v>
      </c>
      <c r="B1654">
        <v>5</v>
      </c>
      <c r="C1654" t="s">
        <v>6</v>
      </c>
      <c r="D1654" s="2">
        <v>43691</v>
      </c>
      <c r="E1654" s="11">
        <v>226</v>
      </c>
      <c r="F1654" s="3">
        <v>0.65017000000079861</v>
      </c>
      <c r="G1654" s="3">
        <v>0.65365000000019791</v>
      </c>
      <c r="H1654" s="13">
        <f t="shared" si="57"/>
        <v>226.6501700000008</v>
      </c>
      <c r="I1654" s="13">
        <f t="shared" si="58"/>
        <v>226.6536500000002</v>
      </c>
      <c r="J1654" s="13">
        <f t="shared" si="59"/>
        <v>226.6519100000005</v>
      </c>
      <c r="K1654" s="7">
        <v>43691.65191</v>
      </c>
      <c r="L1654" s="4">
        <v>1453.7</v>
      </c>
      <c r="N1654">
        <v>28.33</v>
      </c>
      <c r="Q1654">
        <v>12.520431175928501</v>
      </c>
      <c r="R1654">
        <v>-2.95526860780052E-4</v>
      </c>
    </row>
    <row r="1655" spans="1:18" x14ac:dyDescent="0.2">
      <c r="A1655" t="s">
        <v>9</v>
      </c>
      <c r="B1655">
        <v>1</v>
      </c>
      <c r="C1655" t="s">
        <v>4</v>
      </c>
      <c r="D1655" s="2">
        <v>43699</v>
      </c>
      <c r="E1655" s="11">
        <v>234</v>
      </c>
      <c r="F1655" s="3">
        <v>0.48490000000310829</v>
      </c>
      <c r="G1655" s="3">
        <v>0.48836999999912223</v>
      </c>
      <c r="H1655" s="13">
        <f t="shared" si="57"/>
        <v>234.48490000000311</v>
      </c>
      <c r="I1655" s="13">
        <f t="shared" si="58"/>
        <v>234.48836999999912</v>
      </c>
      <c r="J1655" s="13">
        <f t="shared" si="59"/>
        <v>234.48663500000112</v>
      </c>
      <c r="K1655" s="7">
        <v>43699.486635000001</v>
      </c>
      <c r="L1655" s="4">
        <v>1438.7</v>
      </c>
      <c r="M1655">
        <v>20.399999999999999</v>
      </c>
      <c r="N1655">
        <v>28.33</v>
      </c>
      <c r="O1655">
        <v>35</v>
      </c>
      <c r="P1655">
        <v>0.78</v>
      </c>
      <c r="Q1655">
        <v>-9.9426586938529002</v>
      </c>
      <c r="R1655">
        <v>-1.5015933594161399E-4</v>
      </c>
    </row>
    <row r="1656" spans="1:18" x14ac:dyDescent="0.2">
      <c r="A1656" t="s">
        <v>9</v>
      </c>
      <c r="B1656">
        <v>1</v>
      </c>
      <c r="C1656" t="s">
        <v>6</v>
      </c>
      <c r="D1656" s="2">
        <v>43699</v>
      </c>
      <c r="E1656" s="11">
        <v>234</v>
      </c>
      <c r="F1656" s="3">
        <v>0.49068000000261236</v>
      </c>
      <c r="G1656" s="3">
        <v>0.49416000000201166</v>
      </c>
      <c r="H1656" s="13">
        <f t="shared" si="57"/>
        <v>234.49068000000261</v>
      </c>
      <c r="I1656" s="13">
        <f t="shared" si="58"/>
        <v>234.49416000000201</v>
      </c>
      <c r="J1656" s="13">
        <f t="shared" si="59"/>
        <v>234.49242000000231</v>
      </c>
      <c r="K1656" s="7">
        <v>43699.492420000002</v>
      </c>
      <c r="L1656" s="4">
        <v>1818.7</v>
      </c>
      <c r="N1656">
        <v>28.33</v>
      </c>
      <c r="Q1656">
        <v>22.0993955100782</v>
      </c>
      <c r="R1656">
        <v>-2.5693979083534797E-4</v>
      </c>
    </row>
    <row r="1657" spans="1:18" x14ac:dyDescent="0.2">
      <c r="A1657" t="s">
        <v>9</v>
      </c>
      <c r="B1657">
        <v>2</v>
      </c>
      <c r="C1657" t="s">
        <v>4</v>
      </c>
      <c r="D1657" s="2">
        <v>43699</v>
      </c>
      <c r="E1657" s="11">
        <v>234</v>
      </c>
      <c r="F1657" s="3">
        <v>0.49751000000105705</v>
      </c>
      <c r="G1657" s="3">
        <v>0.50097999999707099</v>
      </c>
      <c r="H1657" s="13">
        <f t="shared" si="57"/>
        <v>234.49751000000106</v>
      </c>
      <c r="I1657" s="13">
        <f t="shared" si="58"/>
        <v>234.50097999999707</v>
      </c>
      <c r="J1657" s="13">
        <f t="shared" si="59"/>
        <v>234.49924499999906</v>
      </c>
      <c r="K1657" s="7">
        <v>43699.499244999999</v>
      </c>
      <c r="L1657" s="4">
        <v>1646.2</v>
      </c>
      <c r="M1657">
        <v>18.600000000000001</v>
      </c>
      <c r="N1657">
        <v>28.33</v>
      </c>
      <c r="O1657">
        <v>46.1</v>
      </c>
      <c r="P1657">
        <v>0.8</v>
      </c>
      <c r="Q1657">
        <v>-7.0873289135956803</v>
      </c>
      <c r="R1657">
        <v>-1.9055747459286601E-4</v>
      </c>
    </row>
    <row r="1658" spans="1:18" x14ac:dyDescent="0.2">
      <c r="A1658" t="s">
        <v>9</v>
      </c>
      <c r="B1658">
        <v>2</v>
      </c>
      <c r="C1658" t="s">
        <v>6</v>
      </c>
      <c r="D1658" s="2">
        <v>43699</v>
      </c>
      <c r="E1658" s="11">
        <v>234</v>
      </c>
      <c r="F1658" s="3">
        <v>0.5042200000025332</v>
      </c>
      <c r="G1658" s="3">
        <v>0.50770000000193249</v>
      </c>
      <c r="H1658" s="13">
        <f t="shared" si="57"/>
        <v>234.50422000000253</v>
      </c>
      <c r="I1658" s="13">
        <f t="shared" si="58"/>
        <v>234.50770000000193</v>
      </c>
      <c r="J1658" s="13">
        <f t="shared" si="59"/>
        <v>234.50596000000223</v>
      </c>
      <c r="K1658" s="7">
        <v>43699.505960000002</v>
      </c>
      <c r="L1658" s="4">
        <v>1501.2</v>
      </c>
      <c r="N1658">
        <v>28.33</v>
      </c>
      <c r="Q1658">
        <v>21.1593983651948</v>
      </c>
      <c r="R1658" s="6">
        <v>-9.1352276533113007E-5</v>
      </c>
    </row>
    <row r="1659" spans="1:18" x14ac:dyDescent="0.2">
      <c r="A1659" t="s">
        <v>9</v>
      </c>
      <c r="B1659">
        <v>3</v>
      </c>
      <c r="C1659" t="s">
        <v>4</v>
      </c>
      <c r="D1659" s="2">
        <v>43699</v>
      </c>
      <c r="E1659" s="11">
        <v>234</v>
      </c>
      <c r="F1659" s="3">
        <v>0.51006999999663094</v>
      </c>
      <c r="G1659" s="3">
        <v>0.51353999999992084</v>
      </c>
      <c r="H1659" s="13">
        <f t="shared" ref="H1659:H1722" si="60">E1659+F1659</f>
        <v>234.51006999999663</v>
      </c>
      <c r="I1659" s="13">
        <f t="shared" ref="I1659:I1722" si="61">E1659+G1659</f>
        <v>234.51353999999992</v>
      </c>
      <c r="J1659" s="13">
        <f t="shared" ref="J1659:J1722" si="62">AVERAGE(H1659:I1659)</f>
        <v>234.51180499999828</v>
      </c>
      <c r="K1659" s="7">
        <v>43699.511805000002</v>
      </c>
      <c r="L1659" s="4">
        <v>1466.2</v>
      </c>
      <c r="M1659">
        <v>17.899999999999999</v>
      </c>
      <c r="N1659">
        <v>28.33</v>
      </c>
      <c r="O1659">
        <v>37.9</v>
      </c>
      <c r="P1659">
        <v>0.82</v>
      </c>
      <c r="Q1659">
        <v>-13.9264142695723</v>
      </c>
      <c r="R1659" s="6">
        <v>4.7400251458180498E-5</v>
      </c>
    </row>
    <row r="1660" spans="1:18" x14ac:dyDescent="0.2">
      <c r="A1660" t="s">
        <v>9</v>
      </c>
      <c r="B1660">
        <v>3</v>
      </c>
      <c r="C1660" t="s">
        <v>6</v>
      </c>
      <c r="D1660" s="2">
        <v>43699</v>
      </c>
      <c r="E1660" s="11">
        <v>234</v>
      </c>
      <c r="F1660" s="3">
        <v>0.5161999999982072</v>
      </c>
      <c r="G1660" s="3">
        <v>0.5196799999976065</v>
      </c>
      <c r="H1660" s="13">
        <f t="shared" si="60"/>
        <v>234.51619999999821</v>
      </c>
      <c r="I1660" s="13">
        <f t="shared" si="61"/>
        <v>234.51967999999761</v>
      </c>
      <c r="J1660" s="13">
        <f t="shared" si="62"/>
        <v>234.51793999999791</v>
      </c>
      <c r="K1660" s="7">
        <v>43699.517939999998</v>
      </c>
      <c r="L1660" s="4">
        <v>1523.7</v>
      </c>
      <c r="N1660">
        <v>28.33</v>
      </c>
      <c r="Q1660">
        <v>20.615161930296399</v>
      </c>
      <c r="R1660" s="6">
        <v>-6.8069918790615997E-6</v>
      </c>
    </row>
    <row r="1661" spans="1:18" x14ac:dyDescent="0.2">
      <c r="A1661" t="s">
        <v>9</v>
      </c>
      <c r="B1661">
        <v>4</v>
      </c>
      <c r="C1661" t="s">
        <v>4</v>
      </c>
      <c r="D1661" s="2">
        <v>43699</v>
      </c>
      <c r="E1661" s="11">
        <v>234</v>
      </c>
      <c r="F1661" s="3">
        <v>0.52257000000099652</v>
      </c>
      <c r="G1661" s="3">
        <v>0.52603999999701045</v>
      </c>
      <c r="H1661" s="13">
        <f t="shared" si="60"/>
        <v>234.522570000001</v>
      </c>
      <c r="I1661" s="13">
        <f t="shared" si="61"/>
        <v>234.52603999999701</v>
      </c>
      <c r="J1661" s="13">
        <f t="shared" si="62"/>
        <v>234.524304999999</v>
      </c>
      <c r="K1661" s="7">
        <v>43699.524304999999</v>
      </c>
      <c r="L1661" s="4">
        <v>2003.7</v>
      </c>
      <c r="M1661">
        <v>18.8</v>
      </c>
      <c r="N1661">
        <v>28.33</v>
      </c>
      <c r="O1661">
        <v>49.1</v>
      </c>
      <c r="P1661">
        <v>0.79</v>
      </c>
      <c r="Q1661">
        <v>-3.9253962074964202</v>
      </c>
      <c r="R1661" s="6">
        <v>-1.7089314089776799E-5</v>
      </c>
    </row>
    <row r="1662" spans="1:18" x14ac:dyDescent="0.2">
      <c r="A1662" t="s">
        <v>9</v>
      </c>
      <c r="B1662">
        <v>4</v>
      </c>
      <c r="C1662" t="s">
        <v>6</v>
      </c>
      <c r="D1662" s="2">
        <v>43699</v>
      </c>
      <c r="E1662" s="11">
        <v>234</v>
      </c>
      <c r="F1662" s="3">
        <v>0.52859000000171363</v>
      </c>
      <c r="G1662" s="3">
        <v>0.53205999999772757</v>
      </c>
      <c r="H1662" s="13">
        <f t="shared" si="60"/>
        <v>234.52859000000171</v>
      </c>
      <c r="I1662" s="13">
        <f t="shared" si="61"/>
        <v>234.53205999999773</v>
      </c>
      <c r="J1662" s="13">
        <f t="shared" si="62"/>
        <v>234.53032499999972</v>
      </c>
      <c r="K1662" s="7">
        <v>43699.530325</v>
      </c>
      <c r="L1662" s="4">
        <v>1908.7</v>
      </c>
      <c r="N1662">
        <v>28.33</v>
      </c>
      <c r="Q1662">
        <v>16.740711437504601</v>
      </c>
      <c r="R1662">
        <v>-1.5369749041825199E-4</v>
      </c>
    </row>
    <row r="1663" spans="1:18" x14ac:dyDescent="0.2">
      <c r="A1663" t="s">
        <v>9</v>
      </c>
      <c r="B1663">
        <v>5</v>
      </c>
      <c r="C1663" t="s">
        <v>4</v>
      </c>
      <c r="D1663" s="2">
        <v>43699</v>
      </c>
      <c r="E1663" s="11">
        <v>234</v>
      </c>
      <c r="F1663" s="3">
        <v>0.53403000000253087</v>
      </c>
      <c r="G1663" s="3">
        <v>0.53749999999854481</v>
      </c>
      <c r="H1663" s="13">
        <f t="shared" si="60"/>
        <v>234.53403000000253</v>
      </c>
      <c r="I1663" s="13">
        <f t="shared" si="61"/>
        <v>234.53749999999854</v>
      </c>
      <c r="J1663" s="13">
        <f t="shared" si="62"/>
        <v>234.53576500000054</v>
      </c>
      <c r="K1663" s="7">
        <v>43699.535765000001</v>
      </c>
      <c r="L1663" s="4">
        <v>938.7</v>
      </c>
      <c r="M1663">
        <v>20.6</v>
      </c>
      <c r="N1663">
        <v>28.33</v>
      </c>
      <c r="O1663">
        <v>30.5</v>
      </c>
      <c r="P1663">
        <v>0.77</v>
      </c>
      <c r="Q1663">
        <v>-5.7028382486327596</v>
      </c>
      <c r="R1663" s="6">
        <v>-5.5165234875586799E-5</v>
      </c>
    </row>
    <row r="1664" spans="1:18" x14ac:dyDescent="0.2">
      <c r="A1664" t="s">
        <v>9</v>
      </c>
      <c r="B1664">
        <v>5</v>
      </c>
      <c r="C1664" t="s">
        <v>6</v>
      </c>
      <c r="D1664" s="2">
        <v>43699</v>
      </c>
      <c r="E1664" s="11">
        <v>234</v>
      </c>
      <c r="F1664" s="3">
        <v>0.53929000000061933</v>
      </c>
      <c r="G1664" s="3">
        <v>0.54277000000001863</v>
      </c>
      <c r="H1664" s="13">
        <f t="shared" si="60"/>
        <v>234.53929000000062</v>
      </c>
      <c r="I1664" s="13">
        <f t="shared" si="61"/>
        <v>234.54277000000002</v>
      </c>
      <c r="J1664" s="13">
        <f t="shared" si="62"/>
        <v>234.54103000000032</v>
      </c>
      <c r="K1664" s="7">
        <v>43699.54103</v>
      </c>
      <c r="L1664" s="4">
        <v>1746.2</v>
      </c>
      <c r="N1664">
        <v>28.33</v>
      </c>
      <c r="Q1664">
        <v>26.592793748843601</v>
      </c>
      <c r="R1664">
        <v>-3.2146084753452799E-4</v>
      </c>
    </row>
    <row r="1665" spans="1:18" x14ac:dyDescent="0.2">
      <c r="A1665" t="s">
        <v>9</v>
      </c>
      <c r="B1665">
        <v>1</v>
      </c>
      <c r="C1665" t="s">
        <v>4</v>
      </c>
      <c r="D1665" s="2">
        <v>43699</v>
      </c>
      <c r="E1665" s="11">
        <v>234</v>
      </c>
      <c r="F1665" s="3">
        <v>0.58073000000149477</v>
      </c>
      <c r="G1665" s="3">
        <v>0.58419999999750871</v>
      </c>
      <c r="H1665" s="13">
        <f t="shared" si="60"/>
        <v>234.58073000000149</v>
      </c>
      <c r="I1665" s="13">
        <f t="shared" si="61"/>
        <v>234.58419999999751</v>
      </c>
      <c r="J1665" s="13">
        <f t="shared" si="62"/>
        <v>234.5824649999995</v>
      </c>
      <c r="K1665" s="7">
        <v>43699.582465</v>
      </c>
      <c r="L1665" s="4">
        <v>393.7</v>
      </c>
      <c r="M1665">
        <v>18.8</v>
      </c>
      <c r="N1665">
        <v>28.89</v>
      </c>
      <c r="O1665">
        <v>36.1</v>
      </c>
      <c r="P1665">
        <v>0.81</v>
      </c>
      <c r="Q1665">
        <v>-0.425603045218998</v>
      </c>
      <c r="R1665" s="6">
        <v>-1.9283979487645798E-5</v>
      </c>
    </row>
    <row r="1666" spans="1:18" x14ac:dyDescent="0.2">
      <c r="A1666" t="s">
        <v>9</v>
      </c>
      <c r="B1666">
        <v>1</v>
      </c>
      <c r="C1666" t="s">
        <v>6</v>
      </c>
      <c r="D1666" s="2">
        <v>43699</v>
      </c>
      <c r="E1666" s="11">
        <v>234</v>
      </c>
      <c r="F1666" s="3">
        <v>0.58576000000175554</v>
      </c>
      <c r="G1666" s="3">
        <v>0.58924000000115484</v>
      </c>
      <c r="H1666" s="13">
        <f t="shared" si="60"/>
        <v>234.58576000000176</v>
      </c>
      <c r="I1666" s="13">
        <f t="shared" si="61"/>
        <v>234.58924000000115</v>
      </c>
      <c r="J1666" s="13">
        <f t="shared" si="62"/>
        <v>234.58750000000146</v>
      </c>
      <c r="K1666" s="7">
        <v>43699.587500000001</v>
      </c>
      <c r="L1666" s="4">
        <v>388.7</v>
      </c>
      <c r="N1666">
        <v>28.89</v>
      </c>
      <c r="Q1666">
        <v>19.3380390588385</v>
      </c>
      <c r="R1666">
        <v>-1.0863170105962401E-4</v>
      </c>
    </row>
    <row r="1667" spans="1:18" x14ac:dyDescent="0.2">
      <c r="A1667" t="s">
        <v>9</v>
      </c>
      <c r="B1667">
        <v>2</v>
      </c>
      <c r="C1667" t="s">
        <v>4</v>
      </c>
      <c r="D1667" s="2">
        <v>43699</v>
      </c>
      <c r="E1667" s="11">
        <v>234</v>
      </c>
      <c r="F1667" s="3">
        <v>0.59154999999736901</v>
      </c>
      <c r="G1667" s="3">
        <v>0.59502000000065891</v>
      </c>
      <c r="H1667" s="13">
        <f t="shared" si="60"/>
        <v>234.59154999999737</v>
      </c>
      <c r="I1667" s="13">
        <f t="shared" si="61"/>
        <v>234.59502000000066</v>
      </c>
      <c r="J1667" s="13">
        <f t="shared" si="62"/>
        <v>234.59328499999901</v>
      </c>
      <c r="K1667" s="7">
        <v>43699.593284999995</v>
      </c>
      <c r="L1667" s="4">
        <v>343.7</v>
      </c>
      <c r="M1667">
        <v>16.5</v>
      </c>
      <c r="N1667">
        <v>28.89</v>
      </c>
      <c r="O1667">
        <v>38.9</v>
      </c>
      <c r="P1667">
        <v>0.81</v>
      </c>
      <c r="Q1667">
        <v>4.9271048191514604</v>
      </c>
      <c r="R1667">
        <v>-1.5333015274311801E-4</v>
      </c>
    </row>
    <row r="1668" spans="1:18" x14ac:dyDescent="0.2">
      <c r="A1668" t="s">
        <v>9</v>
      </c>
      <c r="B1668">
        <v>2</v>
      </c>
      <c r="C1668" t="s">
        <v>6</v>
      </c>
      <c r="D1668" s="2">
        <v>43699</v>
      </c>
      <c r="E1668" s="11">
        <v>234</v>
      </c>
      <c r="F1668" s="3">
        <v>0.5972200000032899</v>
      </c>
      <c r="G1668" s="3">
        <v>0.60068999999930384</v>
      </c>
      <c r="H1668" s="13">
        <f t="shared" si="60"/>
        <v>234.59722000000329</v>
      </c>
      <c r="I1668" s="13">
        <f t="shared" si="61"/>
        <v>234.6006899999993</v>
      </c>
      <c r="J1668" s="13">
        <f t="shared" si="62"/>
        <v>234.5989550000013</v>
      </c>
      <c r="K1668" s="7">
        <v>43699.598955000001</v>
      </c>
      <c r="L1668" s="4">
        <v>591.20000000000005</v>
      </c>
      <c r="N1668">
        <v>28.89</v>
      </c>
      <c r="Q1668">
        <v>19.095179606714201</v>
      </c>
      <c r="R1668">
        <v>-1.3844374695477099E-4</v>
      </c>
    </row>
    <row r="1669" spans="1:18" x14ac:dyDescent="0.2">
      <c r="A1669" t="s">
        <v>9</v>
      </c>
      <c r="B1669">
        <v>3</v>
      </c>
      <c r="C1669" t="s">
        <v>4</v>
      </c>
      <c r="D1669" s="2">
        <v>43699</v>
      </c>
      <c r="E1669" s="11">
        <v>234</v>
      </c>
      <c r="F1669" s="3">
        <v>0.60317999999824679</v>
      </c>
      <c r="G1669" s="3">
        <v>0.60665999999764608</v>
      </c>
      <c r="H1669" s="13">
        <f t="shared" si="60"/>
        <v>234.60317999999825</v>
      </c>
      <c r="I1669" s="13">
        <f t="shared" si="61"/>
        <v>234.60665999999765</v>
      </c>
      <c r="J1669" s="13">
        <f t="shared" si="62"/>
        <v>234.60491999999795</v>
      </c>
      <c r="K1669" s="7">
        <v>43699.604919999998</v>
      </c>
      <c r="L1669" s="4">
        <v>798.7</v>
      </c>
      <c r="M1669">
        <v>17.600000000000001</v>
      </c>
      <c r="N1669">
        <v>28.89</v>
      </c>
      <c r="O1669">
        <v>38.299999999999997</v>
      </c>
      <c r="P1669">
        <v>0.81</v>
      </c>
      <c r="Q1669">
        <v>-7.8578354602821303</v>
      </c>
      <c r="R1669">
        <v>-1.7481076754838701E-4</v>
      </c>
    </row>
    <row r="1670" spans="1:18" x14ac:dyDescent="0.2">
      <c r="A1670" t="s">
        <v>9</v>
      </c>
      <c r="B1670">
        <v>3</v>
      </c>
      <c r="C1670" t="s">
        <v>6</v>
      </c>
      <c r="D1670" s="2">
        <v>43699</v>
      </c>
      <c r="E1670" s="11">
        <v>234</v>
      </c>
      <c r="F1670" s="3">
        <v>0.60902999999962049</v>
      </c>
      <c r="G1670" s="3">
        <v>0.61250000000291038</v>
      </c>
      <c r="H1670" s="13">
        <f t="shared" si="60"/>
        <v>234.60902999999962</v>
      </c>
      <c r="I1670" s="13">
        <f t="shared" si="61"/>
        <v>234.61250000000291</v>
      </c>
      <c r="J1670" s="13">
        <f t="shared" si="62"/>
        <v>234.61076500000127</v>
      </c>
      <c r="K1670" s="7">
        <v>43699.610765000005</v>
      </c>
      <c r="L1670" s="4">
        <v>468.7</v>
      </c>
      <c r="N1670">
        <v>28.89</v>
      </c>
      <c r="Q1670">
        <v>20.384210294885602</v>
      </c>
      <c r="R1670">
        <v>-2.9937542222239599E-4</v>
      </c>
    </row>
    <row r="1671" spans="1:18" x14ac:dyDescent="0.2">
      <c r="A1671" t="s">
        <v>9</v>
      </c>
      <c r="B1671">
        <v>4</v>
      </c>
      <c r="C1671" t="s">
        <v>4</v>
      </c>
      <c r="D1671" s="2">
        <v>43699</v>
      </c>
      <c r="E1671" s="11">
        <v>234</v>
      </c>
      <c r="F1671" s="3">
        <v>0.61475999999674968</v>
      </c>
      <c r="G1671" s="3">
        <v>0.61823000000003958</v>
      </c>
      <c r="H1671" s="13">
        <f t="shared" si="60"/>
        <v>234.61475999999675</v>
      </c>
      <c r="I1671" s="13">
        <f t="shared" si="61"/>
        <v>234.61823000000004</v>
      </c>
      <c r="J1671" s="13">
        <f t="shared" si="62"/>
        <v>234.61649499999839</v>
      </c>
      <c r="K1671" s="7">
        <v>43699.616494999995</v>
      </c>
      <c r="L1671" s="4">
        <v>526.20000000000005</v>
      </c>
      <c r="M1671">
        <v>16.7</v>
      </c>
      <c r="N1671">
        <v>28.89</v>
      </c>
      <c r="O1671">
        <v>44.7</v>
      </c>
      <c r="P1671">
        <v>0.78</v>
      </c>
      <c r="Q1671">
        <v>2.8412989965135398</v>
      </c>
      <c r="R1671">
        <v>-1.7903932381524299E-4</v>
      </c>
    </row>
    <row r="1672" spans="1:18" x14ac:dyDescent="0.2">
      <c r="A1672" t="s">
        <v>9</v>
      </c>
      <c r="B1672">
        <v>4</v>
      </c>
      <c r="C1672" t="s">
        <v>6</v>
      </c>
      <c r="D1672" s="2">
        <v>43699</v>
      </c>
      <c r="E1672" s="11">
        <v>234</v>
      </c>
      <c r="F1672" s="3">
        <v>0.62060000000201399</v>
      </c>
      <c r="G1672" s="3">
        <v>0.62406999999802792</v>
      </c>
      <c r="H1672" s="13">
        <f t="shared" si="60"/>
        <v>234.62060000000201</v>
      </c>
      <c r="I1672" s="13">
        <f t="shared" si="61"/>
        <v>234.62406999999803</v>
      </c>
      <c r="J1672" s="13">
        <f t="shared" si="62"/>
        <v>234.62233500000002</v>
      </c>
      <c r="K1672" s="7">
        <v>43699.622335</v>
      </c>
      <c r="L1672" s="4">
        <v>221.2</v>
      </c>
      <c r="N1672">
        <v>28.89</v>
      </c>
      <c r="Q1672">
        <v>14.597594939904001</v>
      </c>
      <c r="R1672">
        <v>-2.0543560251210901E-4</v>
      </c>
    </row>
    <row r="1673" spans="1:18" x14ac:dyDescent="0.2">
      <c r="A1673" t="s">
        <v>9</v>
      </c>
      <c r="B1673">
        <v>5</v>
      </c>
      <c r="C1673" t="s">
        <v>4</v>
      </c>
      <c r="D1673" s="2">
        <v>43699</v>
      </c>
      <c r="E1673" s="11">
        <v>234</v>
      </c>
      <c r="F1673" s="3">
        <v>0.62720000000263099</v>
      </c>
      <c r="G1673" s="3">
        <v>0.63066999999864493</v>
      </c>
      <c r="H1673" s="13">
        <f t="shared" si="60"/>
        <v>234.62720000000263</v>
      </c>
      <c r="I1673" s="13">
        <f t="shared" si="61"/>
        <v>234.63066999999864</v>
      </c>
      <c r="J1673" s="13">
        <f t="shared" si="62"/>
        <v>234.62893500000064</v>
      </c>
      <c r="K1673" s="7">
        <v>43699.628935000001</v>
      </c>
      <c r="L1673" s="4">
        <v>203.7</v>
      </c>
      <c r="M1673">
        <v>18</v>
      </c>
      <c r="N1673">
        <v>21.67</v>
      </c>
      <c r="O1673">
        <v>42.6</v>
      </c>
      <c r="P1673">
        <v>0.84</v>
      </c>
      <c r="Q1673">
        <v>13.8844958759097</v>
      </c>
      <c r="R1673">
        <v>-1.2984421019299701E-4</v>
      </c>
    </row>
    <row r="1674" spans="1:18" x14ac:dyDescent="0.2">
      <c r="A1674" t="s">
        <v>9</v>
      </c>
      <c r="B1674">
        <v>5</v>
      </c>
      <c r="C1674" t="s">
        <v>6</v>
      </c>
      <c r="D1674" s="2">
        <v>43699</v>
      </c>
      <c r="E1674" s="11">
        <v>234</v>
      </c>
      <c r="F1674" s="3">
        <v>0.63251999999920372</v>
      </c>
      <c r="G1674" s="3">
        <v>0.63599999999860302</v>
      </c>
      <c r="H1674" s="13">
        <f t="shared" si="60"/>
        <v>234.6325199999992</v>
      </c>
      <c r="I1674" s="13">
        <f t="shared" si="61"/>
        <v>234.6359999999986</v>
      </c>
      <c r="J1674" s="13">
        <f t="shared" si="62"/>
        <v>234.6342599999989</v>
      </c>
      <c r="K1674" s="7">
        <v>43699.634259999999</v>
      </c>
      <c r="L1674" s="4">
        <v>146.19999999999999</v>
      </c>
      <c r="N1674">
        <v>21.67</v>
      </c>
      <c r="Q1674">
        <v>20.757302568178499</v>
      </c>
      <c r="R1674" s="6">
        <v>-7.5650670273415502E-5</v>
      </c>
    </row>
    <row r="1675" spans="1:18" x14ac:dyDescent="0.2">
      <c r="A1675" t="s">
        <v>9</v>
      </c>
      <c r="B1675">
        <v>1</v>
      </c>
      <c r="C1675" t="s">
        <v>4</v>
      </c>
      <c r="D1675" s="2">
        <v>43703</v>
      </c>
      <c r="E1675" s="11">
        <v>238</v>
      </c>
      <c r="F1675" s="3">
        <v>0.462149999999383</v>
      </c>
      <c r="G1675" s="3">
        <v>0.4656299999987823</v>
      </c>
      <c r="H1675" s="13">
        <f t="shared" si="60"/>
        <v>238.46214999999938</v>
      </c>
      <c r="I1675" s="13">
        <f t="shared" si="61"/>
        <v>238.46562999999878</v>
      </c>
      <c r="J1675" s="13">
        <f t="shared" si="62"/>
        <v>238.46388999999908</v>
      </c>
      <c r="K1675" s="7">
        <v>43703.463889999999</v>
      </c>
      <c r="L1675" s="4">
        <v>1576.2</v>
      </c>
      <c r="M1675">
        <v>14.3</v>
      </c>
      <c r="N1675">
        <v>21.11</v>
      </c>
      <c r="O1675">
        <v>37.799999999999997</v>
      </c>
      <c r="P1675">
        <v>0.79</v>
      </c>
      <c r="Q1675">
        <v>-13.5498671064209</v>
      </c>
      <c r="R1675" s="6">
        <v>-7.6764968859539796E-5</v>
      </c>
    </row>
    <row r="1676" spans="1:18" x14ac:dyDescent="0.2">
      <c r="A1676" t="s">
        <v>9</v>
      </c>
      <c r="B1676">
        <v>1</v>
      </c>
      <c r="C1676" t="s">
        <v>6</v>
      </c>
      <c r="D1676" s="2">
        <v>43703</v>
      </c>
      <c r="E1676" s="11">
        <v>238</v>
      </c>
      <c r="F1676" s="3">
        <v>0.4678799999965122</v>
      </c>
      <c r="G1676" s="3">
        <v>0.47134999999980209</v>
      </c>
      <c r="H1676" s="13">
        <f t="shared" si="60"/>
        <v>238.46787999999651</v>
      </c>
      <c r="I1676" s="13">
        <f t="shared" si="61"/>
        <v>238.4713499999998</v>
      </c>
      <c r="J1676" s="13">
        <f t="shared" si="62"/>
        <v>238.46961499999816</v>
      </c>
      <c r="K1676" s="7">
        <v>43703.469614999995</v>
      </c>
      <c r="L1676" s="4">
        <v>1601.2</v>
      </c>
      <c r="N1676">
        <v>21.11</v>
      </c>
      <c r="Q1676">
        <v>12.1891205268184</v>
      </c>
      <c r="R1676">
        <v>-2.3420838960300401E-4</v>
      </c>
    </row>
    <row r="1677" spans="1:18" x14ac:dyDescent="0.2">
      <c r="A1677" t="s">
        <v>9</v>
      </c>
      <c r="B1677">
        <v>2</v>
      </c>
      <c r="C1677" t="s">
        <v>4</v>
      </c>
      <c r="D1677" s="2">
        <v>43703</v>
      </c>
      <c r="E1677" s="11">
        <v>238</v>
      </c>
      <c r="F1677" s="3">
        <v>0.47383999999874504</v>
      </c>
      <c r="G1677" s="3">
        <v>0.47731000000203494</v>
      </c>
      <c r="H1677" s="13">
        <f t="shared" si="60"/>
        <v>238.47383999999875</v>
      </c>
      <c r="I1677" s="13">
        <f t="shared" si="61"/>
        <v>238.47731000000203</v>
      </c>
      <c r="J1677" s="13">
        <f t="shared" si="62"/>
        <v>238.47557500000039</v>
      </c>
      <c r="K1677" s="7">
        <v>43703.475575000004</v>
      </c>
      <c r="L1677" s="4">
        <v>1628.7</v>
      </c>
      <c r="M1677">
        <v>14.1</v>
      </c>
      <c r="N1677">
        <v>21.11</v>
      </c>
      <c r="O1677">
        <v>46</v>
      </c>
      <c r="P1677">
        <v>0.81</v>
      </c>
      <c r="Q1677">
        <v>-10.6862946364616</v>
      </c>
      <c r="R1677">
        <v>-1.6057754437795701E-4</v>
      </c>
    </row>
    <row r="1678" spans="1:18" x14ac:dyDescent="0.2">
      <c r="A1678" t="s">
        <v>9</v>
      </c>
      <c r="B1678">
        <v>2</v>
      </c>
      <c r="C1678" t="s">
        <v>6</v>
      </c>
      <c r="D1678" s="2">
        <v>43703</v>
      </c>
      <c r="E1678" s="11">
        <v>238</v>
      </c>
      <c r="F1678" s="3">
        <v>0.47939999999653082</v>
      </c>
      <c r="G1678" s="3">
        <v>0.48286999999982072</v>
      </c>
      <c r="H1678" s="13">
        <f t="shared" si="60"/>
        <v>238.47939999999653</v>
      </c>
      <c r="I1678" s="13">
        <f t="shared" si="61"/>
        <v>238.48286999999982</v>
      </c>
      <c r="J1678" s="13">
        <f t="shared" si="62"/>
        <v>238.48113499999818</v>
      </c>
      <c r="K1678" s="7">
        <v>43703.481134999995</v>
      </c>
      <c r="L1678" s="4">
        <v>1646.2</v>
      </c>
      <c r="N1678">
        <v>21.11</v>
      </c>
      <c r="Q1678">
        <v>11.4998114129562</v>
      </c>
      <c r="R1678">
        <v>-1.26249896963727E-4</v>
      </c>
    </row>
    <row r="1679" spans="1:18" x14ac:dyDescent="0.2">
      <c r="A1679" t="s">
        <v>9</v>
      </c>
      <c r="B1679">
        <v>3</v>
      </c>
      <c r="C1679" t="s">
        <v>4</v>
      </c>
      <c r="D1679" s="2">
        <v>43703</v>
      </c>
      <c r="E1679" s="11">
        <v>238</v>
      </c>
      <c r="F1679" s="3">
        <v>0.4849499999982072</v>
      </c>
      <c r="G1679" s="3">
        <v>0.4884299999976065</v>
      </c>
      <c r="H1679" s="13">
        <f t="shared" si="60"/>
        <v>238.48494999999821</v>
      </c>
      <c r="I1679" s="13">
        <f t="shared" si="61"/>
        <v>238.48842999999761</v>
      </c>
      <c r="J1679" s="13">
        <f t="shared" si="62"/>
        <v>238.48668999999791</v>
      </c>
      <c r="K1679" s="7">
        <v>43703.486689999998</v>
      </c>
      <c r="L1679" s="4">
        <v>1668.7</v>
      </c>
      <c r="M1679">
        <v>12.6</v>
      </c>
      <c r="N1679">
        <v>21.11</v>
      </c>
      <c r="O1679">
        <v>26.5</v>
      </c>
      <c r="P1679">
        <v>0.81</v>
      </c>
      <c r="Q1679">
        <v>-13.7501224705523</v>
      </c>
      <c r="R1679">
        <v>-1.7447655091459399E-4</v>
      </c>
    </row>
    <row r="1680" spans="1:18" x14ac:dyDescent="0.2">
      <c r="A1680" t="s">
        <v>9</v>
      </c>
      <c r="B1680">
        <v>3</v>
      </c>
      <c r="C1680" t="s">
        <v>6</v>
      </c>
      <c r="D1680" s="2">
        <v>43703</v>
      </c>
      <c r="E1680" s="11">
        <v>238</v>
      </c>
      <c r="F1680" s="3">
        <v>0.4911500000016531</v>
      </c>
      <c r="G1680" s="3">
        <v>0.49461999999766704</v>
      </c>
      <c r="H1680" s="13">
        <f t="shared" si="60"/>
        <v>238.49115000000165</v>
      </c>
      <c r="I1680" s="13">
        <f t="shared" si="61"/>
        <v>238.49461999999767</v>
      </c>
      <c r="J1680" s="13">
        <f t="shared" si="62"/>
        <v>238.49288499999966</v>
      </c>
      <c r="K1680" s="7">
        <v>43703.492885</v>
      </c>
      <c r="L1680" s="4">
        <v>1691.2</v>
      </c>
      <c r="N1680">
        <v>21.11</v>
      </c>
      <c r="Q1680">
        <v>12.8250651763961</v>
      </c>
      <c r="R1680">
        <v>-1.7951889330493701E-4</v>
      </c>
    </row>
    <row r="1681" spans="1:18" x14ac:dyDescent="0.2">
      <c r="A1681" t="s">
        <v>9</v>
      </c>
      <c r="B1681">
        <v>4</v>
      </c>
      <c r="C1681" t="s">
        <v>4</v>
      </c>
      <c r="D1681" s="2">
        <v>43703</v>
      </c>
      <c r="E1681" s="11">
        <v>238</v>
      </c>
      <c r="F1681" s="3">
        <v>0.49021999999968102</v>
      </c>
      <c r="G1681" s="3">
        <v>0.49369000000297092</v>
      </c>
      <c r="H1681" s="13">
        <f t="shared" si="60"/>
        <v>238.49021999999968</v>
      </c>
      <c r="I1681" s="13">
        <f t="shared" si="61"/>
        <v>238.49369000000297</v>
      </c>
      <c r="J1681" s="13">
        <f t="shared" si="62"/>
        <v>238.49195500000133</v>
      </c>
      <c r="K1681" s="7">
        <v>43703.491955000005</v>
      </c>
      <c r="L1681" s="4">
        <v>1688.7</v>
      </c>
      <c r="M1681">
        <v>13.9</v>
      </c>
      <c r="N1681">
        <v>21.11</v>
      </c>
      <c r="O1681">
        <v>34.299999999999997</v>
      </c>
      <c r="P1681">
        <v>0.82</v>
      </c>
      <c r="Q1681">
        <v>12.238251345532399</v>
      </c>
      <c r="R1681">
        <v>-2.1143802715956501E-4</v>
      </c>
    </row>
    <row r="1682" spans="1:18" x14ac:dyDescent="0.2">
      <c r="A1682" t="s">
        <v>9</v>
      </c>
      <c r="B1682">
        <v>4</v>
      </c>
      <c r="C1682" t="s">
        <v>6</v>
      </c>
      <c r="D1682" s="2">
        <v>43703</v>
      </c>
      <c r="E1682" s="11">
        <v>238</v>
      </c>
      <c r="F1682" s="3">
        <v>0.50179000000207452</v>
      </c>
      <c r="G1682" s="3">
        <v>0.50527000000147382</v>
      </c>
      <c r="H1682" s="13">
        <f t="shared" si="60"/>
        <v>238.50179000000207</v>
      </c>
      <c r="I1682" s="13">
        <f t="shared" si="61"/>
        <v>238.50527000000147</v>
      </c>
      <c r="J1682" s="13">
        <f t="shared" si="62"/>
        <v>238.50353000000177</v>
      </c>
      <c r="K1682" s="7">
        <v>43703.503530000002</v>
      </c>
      <c r="L1682" s="4">
        <v>1713.7</v>
      </c>
      <c r="N1682">
        <v>21.11</v>
      </c>
      <c r="Q1682">
        <v>11.1925706191507</v>
      </c>
      <c r="R1682">
        <v>-2.3724140515380901E-4</v>
      </c>
    </row>
    <row r="1683" spans="1:18" x14ac:dyDescent="0.2">
      <c r="A1683" t="s">
        <v>9</v>
      </c>
      <c r="B1683">
        <v>5</v>
      </c>
      <c r="C1683" t="s">
        <v>4</v>
      </c>
      <c r="D1683" s="2">
        <v>43703</v>
      </c>
      <c r="E1683" s="11">
        <v>238</v>
      </c>
      <c r="F1683" s="3">
        <v>0.50723000000289176</v>
      </c>
      <c r="G1683" s="3">
        <v>0.51071000000229105</v>
      </c>
      <c r="H1683" s="13">
        <f t="shared" si="60"/>
        <v>238.50723000000289</v>
      </c>
      <c r="I1683" s="13">
        <f t="shared" si="61"/>
        <v>238.51071000000229</v>
      </c>
      <c r="J1683" s="13">
        <f t="shared" si="62"/>
        <v>238.50897000000259</v>
      </c>
      <c r="K1683" s="7">
        <v>43703.508970000003</v>
      </c>
      <c r="L1683" s="4">
        <v>1726.2</v>
      </c>
      <c r="M1683">
        <v>13.8</v>
      </c>
      <c r="N1683">
        <v>21.67</v>
      </c>
      <c r="O1683">
        <v>44.1</v>
      </c>
      <c r="P1683">
        <v>0.76</v>
      </c>
      <c r="Q1683">
        <v>-16.453605233951901</v>
      </c>
      <c r="R1683">
        <v>-2.0256970295218999E-4</v>
      </c>
    </row>
    <row r="1684" spans="1:18" x14ac:dyDescent="0.2">
      <c r="A1684" t="s">
        <v>9</v>
      </c>
      <c r="B1684">
        <v>5</v>
      </c>
      <c r="C1684" t="s">
        <v>6</v>
      </c>
      <c r="D1684" s="2">
        <v>43703</v>
      </c>
      <c r="E1684" s="11">
        <v>238</v>
      </c>
      <c r="F1684" s="3">
        <v>0.51411999999982072</v>
      </c>
      <c r="G1684" s="3">
        <v>0.51759000000311062</v>
      </c>
      <c r="H1684" s="13">
        <f t="shared" si="60"/>
        <v>238.51411999999982</v>
      </c>
      <c r="I1684" s="13">
        <f t="shared" si="61"/>
        <v>238.51759000000311</v>
      </c>
      <c r="J1684" s="13">
        <f t="shared" si="62"/>
        <v>238.51585500000147</v>
      </c>
      <c r="K1684" s="7">
        <v>43703.515855000005</v>
      </c>
      <c r="L1684" s="4">
        <v>1736.2</v>
      </c>
      <c r="N1684">
        <v>21.67</v>
      </c>
      <c r="Q1684">
        <v>12.240031605147101</v>
      </c>
      <c r="R1684">
        <v>-1.1265880604340701E-4</v>
      </c>
    </row>
    <row r="1685" spans="1:18" x14ac:dyDescent="0.2">
      <c r="A1685" t="s">
        <v>9</v>
      </c>
      <c r="B1685">
        <v>1</v>
      </c>
      <c r="C1685" t="s">
        <v>4</v>
      </c>
      <c r="D1685" s="2">
        <v>43703</v>
      </c>
      <c r="E1685" s="11">
        <v>238</v>
      </c>
      <c r="F1685" s="3">
        <v>0.5575200000021141</v>
      </c>
      <c r="G1685" s="3">
        <v>0.5610000000015134</v>
      </c>
      <c r="H1685" s="13">
        <f t="shared" si="60"/>
        <v>238.55752000000211</v>
      </c>
      <c r="I1685" s="13">
        <f t="shared" si="61"/>
        <v>238.56100000000151</v>
      </c>
      <c r="J1685" s="13">
        <f t="shared" si="62"/>
        <v>238.55926000000181</v>
      </c>
      <c r="K1685" s="7">
        <v>43703.559260000002</v>
      </c>
      <c r="L1685" s="4">
        <v>1741.2</v>
      </c>
      <c r="M1685">
        <v>13.5</v>
      </c>
      <c r="N1685">
        <v>23.89</v>
      </c>
      <c r="O1685">
        <v>45.3</v>
      </c>
      <c r="P1685">
        <v>0.77</v>
      </c>
      <c r="Q1685">
        <v>-9.3610638176697805</v>
      </c>
      <c r="R1685" s="6">
        <v>-7.6272924592482699E-5</v>
      </c>
    </row>
    <row r="1686" spans="1:18" x14ac:dyDescent="0.2">
      <c r="A1686" t="s">
        <v>9</v>
      </c>
      <c r="B1686">
        <v>1</v>
      </c>
      <c r="C1686" t="s">
        <v>6</v>
      </c>
      <c r="D1686" s="2">
        <v>43703</v>
      </c>
      <c r="E1686" s="11">
        <v>238</v>
      </c>
      <c r="F1686" s="3">
        <v>0.56388999999762746</v>
      </c>
      <c r="G1686" s="3">
        <v>0.56736000000091735</v>
      </c>
      <c r="H1686" s="13">
        <f t="shared" si="60"/>
        <v>238.56388999999763</v>
      </c>
      <c r="I1686" s="13">
        <f t="shared" si="61"/>
        <v>238.56736000000092</v>
      </c>
      <c r="J1686" s="13">
        <f t="shared" si="62"/>
        <v>238.56562499999927</v>
      </c>
      <c r="K1686" s="7">
        <v>43703.565625000003</v>
      </c>
      <c r="L1686" s="4">
        <v>1733.7</v>
      </c>
      <c r="N1686">
        <v>23.89</v>
      </c>
      <c r="Q1686">
        <v>14.271593865916801</v>
      </c>
      <c r="R1686">
        <v>-1.7501768209721399E-4</v>
      </c>
    </row>
    <row r="1687" spans="1:18" x14ac:dyDescent="0.2">
      <c r="A1687" t="s">
        <v>9</v>
      </c>
      <c r="B1687">
        <v>2</v>
      </c>
      <c r="C1687" t="s">
        <v>4</v>
      </c>
      <c r="D1687" s="2">
        <v>43703</v>
      </c>
      <c r="E1687" s="11">
        <v>238</v>
      </c>
      <c r="F1687" s="3">
        <v>0.56921000000147615</v>
      </c>
      <c r="G1687" s="3">
        <v>0.57269000000087544</v>
      </c>
      <c r="H1687" s="13">
        <f t="shared" si="60"/>
        <v>238.56921000000148</v>
      </c>
      <c r="I1687" s="13">
        <f t="shared" si="61"/>
        <v>238.57269000000088</v>
      </c>
      <c r="J1687" s="13">
        <f t="shared" si="62"/>
        <v>238.57095000000118</v>
      </c>
      <c r="K1687" s="7">
        <v>43703.570950000001</v>
      </c>
      <c r="L1687" s="4">
        <v>1721.2</v>
      </c>
      <c r="M1687">
        <v>11</v>
      </c>
      <c r="N1687">
        <v>23.89</v>
      </c>
      <c r="O1687">
        <v>38.200000000000003</v>
      </c>
      <c r="P1687">
        <v>0.82</v>
      </c>
      <c r="Q1687">
        <v>-7.77773512301553</v>
      </c>
      <c r="R1687">
        <v>-2.44342241042474E-4</v>
      </c>
    </row>
    <row r="1688" spans="1:18" x14ac:dyDescent="0.2">
      <c r="A1688" t="s">
        <v>9</v>
      </c>
      <c r="B1688">
        <v>2</v>
      </c>
      <c r="C1688" t="s">
        <v>6</v>
      </c>
      <c r="D1688" s="2">
        <v>43703</v>
      </c>
      <c r="E1688" s="11">
        <v>238</v>
      </c>
      <c r="F1688" s="3">
        <v>0.57493999999860534</v>
      </c>
      <c r="G1688" s="3">
        <v>0.57841000000189524</v>
      </c>
      <c r="H1688" s="13">
        <f t="shared" si="60"/>
        <v>238.57493999999861</v>
      </c>
      <c r="I1688" s="13">
        <f t="shared" si="61"/>
        <v>238.5784100000019</v>
      </c>
      <c r="J1688" s="13">
        <f t="shared" si="62"/>
        <v>238.57667500000025</v>
      </c>
      <c r="K1688" s="7">
        <v>43703.576675000004</v>
      </c>
      <c r="L1688" s="4">
        <v>1708.7</v>
      </c>
      <c r="N1688">
        <v>23.89</v>
      </c>
      <c r="Q1688">
        <v>13.694821154694001</v>
      </c>
      <c r="R1688">
        <v>-3.0304962447986398E-4</v>
      </c>
    </row>
    <row r="1689" spans="1:18" x14ac:dyDescent="0.2">
      <c r="A1689" t="s">
        <v>9</v>
      </c>
      <c r="B1689">
        <v>3</v>
      </c>
      <c r="C1689" t="s">
        <v>4</v>
      </c>
      <c r="D1689" s="2">
        <v>43703</v>
      </c>
      <c r="E1689" s="11">
        <v>238</v>
      </c>
      <c r="F1689" s="3">
        <v>0.58043999999790685</v>
      </c>
      <c r="G1689" s="3">
        <v>0.58391000000119675</v>
      </c>
      <c r="H1689" s="13">
        <f t="shared" si="60"/>
        <v>238.58043999999791</v>
      </c>
      <c r="I1689" s="13">
        <f t="shared" si="61"/>
        <v>238.5839100000012</v>
      </c>
      <c r="J1689" s="13">
        <f t="shared" si="62"/>
        <v>238.58217499999955</v>
      </c>
      <c r="K1689" s="7">
        <v>43703.582175000003</v>
      </c>
      <c r="L1689" s="4">
        <v>1698.7</v>
      </c>
      <c r="M1689">
        <v>13.1</v>
      </c>
      <c r="N1689">
        <v>23.89</v>
      </c>
      <c r="O1689">
        <v>30.2</v>
      </c>
      <c r="P1689">
        <v>0.82</v>
      </c>
      <c r="Q1689">
        <v>-11.845834919637101</v>
      </c>
      <c r="R1689">
        <v>-3.0752990748442898E-4</v>
      </c>
    </row>
    <row r="1690" spans="1:18" x14ac:dyDescent="0.2">
      <c r="A1690" t="s">
        <v>9</v>
      </c>
      <c r="B1690">
        <v>3</v>
      </c>
      <c r="C1690" t="s">
        <v>6</v>
      </c>
      <c r="D1690" s="2">
        <v>43703</v>
      </c>
      <c r="E1690" s="11">
        <v>238</v>
      </c>
      <c r="F1690" s="3">
        <v>0.58703999999852385</v>
      </c>
      <c r="G1690" s="3">
        <v>0.59051000000181375</v>
      </c>
      <c r="H1690" s="13">
        <f t="shared" si="60"/>
        <v>238.58703999999852</v>
      </c>
      <c r="I1690" s="13">
        <f t="shared" si="61"/>
        <v>238.59051000000181</v>
      </c>
      <c r="J1690" s="13">
        <f t="shared" si="62"/>
        <v>238.58877500000017</v>
      </c>
      <c r="K1690" s="7">
        <v>43703.588774999997</v>
      </c>
      <c r="L1690" s="4">
        <v>1678.7</v>
      </c>
      <c r="N1690">
        <v>23.89</v>
      </c>
      <c r="Q1690">
        <v>14.9766125172239</v>
      </c>
      <c r="R1690">
        <v>-2.87852425188094E-4</v>
      </c>
    </row>
    <row r="1691" spans="1:18" x14ac:dyDescent="0.2">
      <c r="A1691" t="s">
        <v>9</v>
      </c>
      <c r="B1691">
        <v>4</v>
      </c>
      <c r="C1691" t="s">
        <v>4</v>
      </c>
      <c r="D1691" s="2">
        <v>43703</v>
      </c>
      <c r="E1691" s="11">
        <v>238</v>
      </c>
      <c r="F1691" s="3">
        <v>0.5946200000034878</v>
      </c>
      <c r="G1691" s="3">
        <v>0.59808999999950174</v>
      </c>
      <c r="H1691" s="13">
        <f t="shared" si="60"/>
        <v>238.59462000000349</v>
      </c>
      <c r="I1691" s="13">
        <f t="shared" si="61"/>
        <v>238.5980899999995</v>
      </c>
      <c r="J1691" s="13">
        <f t="shared" si="62"/>
        <v>238.59635500000149</v>
      </c>
      <c r="K1691" s="7">
        <v>43703.596355000001</v>
      </c>
      <c r="L1691" s="4">
        <v>1651.2</v>
      </c>
      <c r="M1691">
        <v>13.4</v>
      </c>
      <c r="N1691">
        <v>23.89</v>
      </c>
      <c r="O1691">
        <v>40.200000000000003</v>
      </c>
      <c r="P1691">
        <v>0.8</v>
      </c>
      <c r="Q1691">
        <v>-5.9333920648678999</v>
      </c>
      <c r="R1691">
        <v>-2.5269578121402499E-4</v>
      </c>
    </row>
    <row r="1692" spans="1:18" x14ac:dyDescent="0.2">
      <c r="A1692" t="s">
        <v>9</v>
      </c>
      <c r="B1692">
        <v>4</v>
      </c>
      <c r="C1692" t="s">
        <v>6</v>
      </c>
      <c r="D1692" s="2">
        <v>43703</v>
      </c>
      <c r="E1692" s="11">
        <v>238</v>
      </c>
      <c r="F1692" s="3">
        <v>0.60139000000344822</v>
      </c>
      <c r="G1692" s="3">
        <v>0.60485999999946216</v>
      </c>
      <c r="H1692" s="13">
        <f t="shared" si="60"/>
        <v>238.60139000000345</v>
      </c>
      <c r="I1692" s="13">
        <f t="shared" si="61"/>
        <v>238.60485999999946</v>
      </c>
      <c r="J1692" s="13">
        <f t="shared" si="62"/>
        <v>238.60312500000146</v>
      </c>
      <c r="K1692" s="7">
        <v>43703.603125000001</v>
      </c>
      <c r="L1692" s="4">
        <v>1626.2</v>
      </c>
      <c r="N1692">
        <v>23.89</v>
      </c>
      <c r="Q1692">
        <v>11.893339219249301</v>
      </c>
      <c r="R1692">
        <v>-2.2542821192165401E-4</v>
      </c>
    </row>
    <row r="1693" spans="1:18" x14ac:dyDescent="0.2">
      <c r="A1693" t="s">
        <v>9</v>
      </c>
      <c r="B1693">
        <v>5</v>
      </c>
      <c r="C1693" t="s">
        <v>4</v>
      </c>
      <c r="D1693" s="2">
        <v>43703</v>
      </c>
      <c r="E1693" s="11">
        <v>238</v>
      </c>
      <c r="F1693" s="3">
        <v>0.6068299999969895</v>
      </c>
      <c r="G1693" s="3">
        <v>0.6103000000002794</v>
      </c>
      <c r="H1693" s="13">
        <f t="shared" si="60"/>
        <v>238.60682999999699</v>
      </c>
      <c r="I1693" s="13">
        <f t="shared" si="61"/>
        <v>238.61030000000028</v>
      </c>
      <c r="J1693" s="13">
        <f t="shared" si="62"/>
        <v>238.60856499999863</v>
      </c>
      <c r="K1693" s="7">
        <v>43703.608565000002</v>
      </c>
      <c r="L1693" s="4">
        <v>1606.2</v>
      </c>
      <c r="M1693">
        <v>14.5</v>
      </c>
      <c r="N1693">
        <v>23.33</v>
      </c>
      <c r="O1693">
        <v>48.7</v>
      </c>
      <c r="P1693">
        <v>0.76</v>
      </c>
      <c r="Q1693">
        <v>-7.4048030961431301</v>
      </c>
      <c r="R1693">
        <v>-1.3124534733612801E-4</v>
      </c>
    </row>
    <row r="1694" spans="1:18" x14ac:dyDescent="0.2">
      <c r="A1694" t="s">
        <v>9</v>
      </c>
      <c r="B1694">
        <v>5</v>
      </c>
      <c r="C1694" t="s">
        <v>6</v>
      </c>
      <c r="D1694" s="2">
        <v>43703</v>
      </c>
      <c r="E1694" s="11">
        <v>238</v>
      </c>
      <c r="F1694" s="3">
        <v>0.61318999999639345</v>
      </c>
      <c r="G1694" s="3">
        <v>0.61667000000306871</v>
      </c>
      <c r="H1694" s="13">
        <f t="shared" si="60"/>
        <v>238.61318999999639</v>
      </c>
      <c r="I1694" s="13">
        <f t="shared" si="61"/>
        <v>238.61667000000307</v>
      </c>
      <c r="J1694" s="13">
        <f t="shared" si="62"/>
        <v>238.61492999999973</v>
      </c>
      <c r="K1694" s="7">
        <v>43703.614929999996</v>
      </c>
      <c r="L1694" s="4">
        <v>1578.7</v>
      </c>
      <c r="N1694">
        <v>23.33</v>
      </c>
      <c r="Q1694">
        <v>10.7852352386251</v>
      </c>
      <c r="R1694" s="6">
        <v>-8.16686039663677E-5</v>
      </c>
    </row>
    <row r="1695" spans="1:18" x14ac:dyDescent="0.2">
      <c r="A1695" t="s">
        <v>9</v>
      </c>
      <c r="B1695">
        <v>1</v>
      </c>
      <c r="C1695" t="s">
        <v>4</v>
      </c>
      <c r="D1695" s="2">
        <v>43711</v>
      </c>
      <c r="E1695" s="11">
        <v>246</v>
      </c>
      <c r="F1695" s="3">
        <v>0.42222000000037951</v>
      </c>
      <c r="G1695" s="3">
        <v>0.42568999999639345</v>
      </c>
      <c r="H1695" s="13">
        <f t="shared" si="60"/>
        <v>246.42222000000038</v>
      </c>
      <c r="I1695" s="13">
        <f t="shared" si="61"/>
        <v>246.42568999999639</v>
      </c>
      <c r="J1695" s="13">
        <f t="shared" si="62"/>
        <v>246.42395499999839</v>
      </c>
      <c r="K1695" s="7">
        <v>43711.423954999998</v>
      </c>
      <c r="L1695" s="4">
        <v>1263.7</v>
      </c>
      <c r="M1695">
        <v>11.2</v>
      </c>
      <c r="N1695">
        <v>22.22</v>
      </c>
      <c r="O1695">
        <v>51.5</v>
      </c>
      <c r="P1695">
        <v>0.83</v>
      </c>
      <c r="Q1695">
        <v>-11.537890090522</v>
      </c>
      <c r="R1695" s="6">
        <v>-9.0315994556241594E-6</v>
      </c>
    </row>
    <row r="1696" spans="1:18" x14ac:dyDescent="0.2">
      <c r="A1696" t="s">
        <v>9</v>
      </c>
      <c r="B1696">
        <v>1</v>
      </c>
      <c r="C1696" t="s">
        <v>6</v>
      </c>
      <c r="D1696" s="2">
        <v>43711</v>
      </c>
      <c r="E1696" s="11">
        <v>246</v>
      </c>
      <c r="F1696" s="3">
        <v>0.42917000000306871</v>
      </c>
      <c r="G1696" s="3">
        <v>0.43263999999908265</v>
      </c>
      <c r="H1696" s="13">
        <f t="shared" si="60"/>
        <v>246.42917000000307</v>
      </c>
      <c r="I1696" s="13">
        <f t="shared" si="61"/>
        <v>246.43263999999908</v>
      </c>
      <c r="J1696" s="13">
        <f t="shared" si="62"/>
        <v>246.43090500000108</v>
      </c>
      <c r="K1696" s="7">
        <v>43711.430905000001</v>
      </c>
      <c r="L1696" s="4">
        <v>1306.2</v>
      </c>
      <c r="N1696">
        <v>22.22</v>
      </c>
      <c r="Q1696">
        <v>15.1178243261765</v>
      </c>
      <c r="R1696" s="6">
        <v>-1.19669048624069E-5</v>
      </c>
    </row>
    <row r="1697" spans="1:18" x14ac:dyDescent="0.2">
      <c r="A1697" t="s">
        <v>9</v>
      </c>
      <c r="B1697">
        <v>2</v>
      </c>
      <c r="C1697" t="s">
        <v>4</v>
      </c>
      <c r="D1697" s="2">
        <v>43711</v>
      </c>
      <c r="E1697" s="11">
        <v>246</v>
      </c>
      <c r="F1697" s="3">
        <v>0.43611000000237254</v>
      </c>
      <c r="G1697" s="3">
        <v>0.43957999999838648</v>
      </c>
      <c r="H1697" s="13">
        <f t="shared" si="60"/>
        <v>246.43611000000237</v>
      </c>
      <c r="I1697" s="13">
        <f t="shared" si="61"/>
        <v>246.43957999999839</v>
      </c>
      <c r="J1697" s="13">
        <f t="shared" si="62"/>
        <v>246.43784500000038</v>
      </c>
      <c r="K1697" s="7">
        <v>43711.437845</v>
      </c>
      <c r="L1697" s="4">
        <v>1351.2</v>
      </c>
      <c r="M1697">
        <v>11.3</v>
      </c>
      <c r="N1697">
        <v>22.22</v>
      </c>
      <c r="O1697">
        <v>49.1</v>
      </c>
      <c r="P1697">
        <v>0.84</v>
      </c>
      <c r="Q1697">
        <v>-9.0591453957920702</v>
      </c>
      <c r="R1697">
        <v>-1.6218395159533201E-4</v>
      </c>
    </row>
    <row r="1698" spans="1:18" x14ac:dyDescent="0.2">
      <c r="A1698" t="s">
        <v>9</v>
      </c>
      <c r="B1698">
        <v>2</v>
      </c>
      <c r="C1698" t="s">
        <v>6</v>
      </c>
      <c r="D1698" s="2">
        <v>43711</v>
      </c>
      <c r="E1698" s="11">
        <v>246</v>
      </c>
      <c r="F1698" s="3">
        <v>0.44236000000091735</v>
      </c>
      <c r="G1698" s="3">
        <v>0.44582999999693129</v>
      </c>
      <c r="H1698" s="13">
        <f t="shared" si="60"/>
        <v>246.44236000000092</v>
      </c>
      <c r="I1698" s="13">
        <f t="shared" si="61"/>
        <v>246.44582999999693</v>
      </c>
      <c r="J1698" s="13">
        <f t="shared" si="62"/>
        <v>246.44409499999892</v>
      </c>
      <c r="K1698" s="7">
        <v>43711.444094999999</v>
      </c>
      <c r="L1698" s="4">
        <v>1408.7</v>
      </c>
      <c r="N1698">
        <v>22.22</v>
      </c>
      <c r="Q1698">
        <v>11.731110100504599</v>
      </c>
      <c r="R1698">
        <v>-2.1121813821919501E-4</v>
      </c>
    </row>
    <row r="1699" spans="1:18" x14ac:dyDescent="0.2">
      <c r="A1699" t="s">
        <v>9</v>
      </c>
      <c r="B1699">
        <v>3</v>
      </c>
      <c r="C1699" t="s">
        <v>4</v>
      </c>
      <c r="D1699" s="2">
        <v>43711</v>
      </c>
      <c r="E1699" s="11">
        <v>246</v>
      </c>
      <c r="F1699" s="3">
        <v>0.44791999999870313</v>
      </c>
      <c r="G1699" s="3">
        <v>0.45139000000199303</v>
      </c>
      <c r="H1699" s="13">
        <f t="shared" si="60"/>
        <v>246.4479199999987</v>
      </c>
      <c r="I1699" s="13">
        <f t="shared" si="61"/>
        <v>246.45139000000199</v>
      </c>
      <c r="J1699" s="13">
        <f t="shared" si="62"/>
        <v>246.44965500000035</v>
      </c>
      <c r="K1699" s="7">
        <v>43711.449655000004</v>
      </c>
      <c r="L1699" s="4">
        <v>1451.2</v>
      </c>
      <c r="M1699">
        <v>10.1</v>
      </c>
      <c r="N1699">
        <v>22.22</v>
      </c>
      <c r="O1699">
        <v>50.1</v>
      </c>
      <c r="P1699">
        <v>0.82</v>
      </c>
      <c r="Q1699">
        <v>-18.024233396695799</v>
      </c>
      <c r="R1699">
        <v>-2.2149182826190601E-4</v>
      </c>
    </row>
    <row r="1700" spans="1:18" x14ac:dyDescent="0.2">
      <c r="A1700" t="s">
        <v>9</v>
      </c>
      <c r="B1700">
        <v>3</v>
      </c>
      <c r="C1700" t="s">
        <v>6</v>
      </c>
      <c r="D1700" s="2">
        <v>43711</v>
      </c>
      <c r="E1700" s="11">
        <v>246</v>
      </c>
      <c r="F1700" s="3">
        <v>0.45451000000321073</v>
      </c>
      <c r="G1700" s="3">
        <v>0.45799000000261003</v>
      </c>
      <c r="H1700" s="13">
        <f t="shared" si="60"/>
        <v>246.45451000000321</v>
      </c>
      <c r="I1700" s="13">
        <f t="shared" si="61"/>
        <v>246.45799000000261</v>
      </c>
      <c r="J1700" s="13">
        <f t="shared" si="62"/>
        <v>246.45625000000291</v>
      </c>
      <c r="K1700" s="7">
        <v>43711.456250000003</v>
      </c>
      <c r="L1700" s="4">
        <v>1468.7</v>
      </c>
      <c r="N1700">
        <v>22.22</v>
      </c>
      <c r="Q1700">
        <v>9.7975294855753603</v>
      </c>
      <c r="R1700">
        <v>-2.24233530917662E-4</v>
      </c>
    </row>
    <row r="1701" spans="1:18" x14ac:dyDescent="0.2">
      <c r="A1701" t="s">
        <v>9</v>
      </c>
      <c r="B1701">
        <v>4</v>
      </c>
      <c r="C1701" t="s">
        <v>4</v>
      </c>
      <c r="D1701" s="2">
        <v>43711</v>
      </c>
      <c r="E1701" s="11">
        <v>246</v>
      </c>
      <c r="F1701" s="3">
        <v>0.46110999999655178</v>
      </c>
      <c r="G1701" s="3">
        <v>0.46457999999984168</v>
      </c>
      <c r="H1701" s="13">
        <f t="shared" si="60"/>
        <v>246.46110999999655</v>
      </c>
      <c r="I1701" s="13">
        <f t="shared" si="61"/>
        <v>246.46457999999984</v>
      </c>
      <c r="J1701" s="13">
        <f t="shared" si="62"/>
        <v>246.4628449999982</v>
      </c>
      <c r="K1701" s="7">
        <v>43711.462845000002</v>
      </c>
      <c r="L1701" s="4">
        <v>1511.2</v>
      </c>
      <c r="M1701">
        <v>8.5</v>
      </c>
      <c r="N1701">
        <v>22.22</v>
      </c>
      <c r="O1701">
        <v>38.4</v>
      </c>
      <c r="P1701">
        <v>0.81</v>
      </c>
      <c r="Q1701">
        <v>-6.8864978807076298</v>
      </c>
      <c r="R1701">
        <v>-1.98022320708511E-4</v>
      </c>
    </row>
    <row r="1702" spans="1:18" x14ac:dyDescent="0.2">
      <c r="A1702" t="s">
        <v>9</v>
      </c>
      <c r="B1702">
        <v>4</v>
      </c>
      <c r="C1702" t="s">
        <v>6</v>
      </c>
      <c r="D1702" s="2">
        <v>43711</v>
      </c>
      <c r="E1702" s="11">
        <v>246</v>
      </c>
      <c r="F1702" s="3">
        <v>0.4675100000022212</v>
      </c>
      <c r="G1702" s="3">
        <v>0.47097999999823514</v>
      </c>
      <c r="H1702" s="13">
        <f t="shared" si="60"/>
        <v>246.46751000000222</v>
      </c>
      <c r="I1702" s="13">
        <f t="shared" si="61"/>
        <v>246.47097999999824</v>
      </c>
      <c r="J1702" s="13">
        <f t="shared" si="62"/>
        <v>246.46924500000023</v>
      </c>
      <c r="K1702" s="7">
        <v>43711.469245</v>
      </c>
      <c r="L1702" s="4">
        <v>1543.7</v>
      </c>
      <c r="N1702">
        <v>22.22</v>
      </c>
      <c r="Q1702">
        <v>11.180049677465799</v>
      </c>
      <c r="R1702">
        <v>-2.6334105497687098E-4</v>
      </c>
    </row>
    <row r="1703" spans="1:18" x14ac:dyDescent="0.2">
      <c r="A1703" t="s">
        <v>9</v>
      </c>
      <c r="B1703">
        <v>5</v>
      </c>
      <c r="C1703" t="s">
        <v>4</v>
      </c>
      <c r="D1703" s="2">
        <v>43711</v>
      </c>
      <c r="E1703" s="11">
        <v>246</v>
      </c>
      <c r="F1703" s="3">
        <v>0.47406999999657273</v>
      </c>
      <c r="G1703" s="3">
        <v>0.47755000000324799</v>
      </c>
      <c r="H1703" s="13">
        <f t="shared" si="60"/>
        <v>246.47406999999657</v>
      </c>
      <c r="I1703" s="13">
        <f t="shared" si="61"/>
        <v>246.47755000000325</v>
      </c>
      <c r="J1703" s="13">
        <f t="shared" si="62"/>
        <v>246.47580999999991</v>
      </c>
      <c r="K1703" s="7">
        <v>43711.475810000004</v>
      </c>
      <c r="L1703" s="4">
        <v>1573.7</v>
      </c>
      <c r="M1703">
        <v>12.2</v>
      </c>
      <c r="N1703">
        <v>22.22</v>
      </c>
      <c r="O1703">
        <v>44.5</v>
      </c>
      <c r="P1703">
        <v>0.84</v>
      </c>
      <c r="Q1703">
        <v>-8.1977077163477308</v>
      </c>
      <c r="R1703">
        <v>-3.1519902902462401E-4</v>
      </c>
    </row>
    <row r="1704" spans="1:18" x14ac:dyDescent="0.2">
      <c r="A1704" t="s">
        <v>9</v>
      </c>
      <c r="B1704">
        <v>5</v>
      </c>
      <c r="C1704" t="s">
        <v>6</v>
      </c>
      <c r="D1704" s="2">
        <v>43711</v>
      </c>
      <c r="E1704" s="11">
        <v>246</v>
      </c>
      <c r="F1704" s="3">
        <v>0.48056000000360655</v>
      </c>
      <c r="G1704" s="3">
        <v>0.48402999999962049</v>
      </c>
      <c r="H1704" s="13">
        <f t="shared" si="60"/>
        <v>246.48056000000361</v>
      </c>
      <c r="I1704" s="13">
        <f t="shared" si="61"/>
        <v>246.48402999999962</v>
      </c>
      <c r="J1704" s="13">
        <f t="shared" si="62"/>
        <v>246.48229500000161</v>
      </c>
      <c r="K1704" s="7">
        <v>43711.482295000002</v>
      </c>
      <c r="L1704" s="4">
        <v>1648.7</v>
      </c>
      <c r="N1704">
        <v>22.22</v>
      </c>
      <c r="Q1704">
        <v>8.2692440589309992</v>
      </c>
      <c r="R1704">
        <v>-2.03827342002768E-4</v>
      </c>
    </row>
    <row r="1705" spans="1:18" x14ac:dyDescent="0.2">
      <c r="A1705" t="s">
        <v>9</v>
      </c>
      <c r="B1705">
        <v>1</v>
      </c>
      <c r="C1705" t="s">
        <v>4</v>
      </c>
      <c r="D1705" s="2">
        <v>43711</v>
      </c>
      <c r="E1705" s="11">
        <v>246</v>
      </c>
      <c r="F1705" s="3">
        <v>0.50693999999930384</v>
      </c>
      <c r="G1705" s="3">
        <v>0.51041999999870313</v>
      </c>
      <c r="H1705" s="13">
        <f t="shared" si="60"/>
        <v>246.5069399999993</v>
      </c>
      <c r="I1705" s="13">
        <f t="shared" si="61"/>
        <v>246.5104199999987</v>
      </c>
      <c r="J1705" s="13">
        <f t="shared" si="62"/>
        <v>246.508679999999</v>
      </c>
      <c r="K1705" s="7">
        <v>43711.508679999999</v>
      </c>
      <c r="L1705" s="4">
        <v>1736.2</v>
      </c>
      <c r="M1705">
        <v>11.1</v>
      </c>
      <c r="N1705">
        <v>22.22</v>
      </c>
      <c r="O1705">
        <v>53.8</v>
      </c>
      <c r="P1705">
        <v>0.84</v>
      </c>
      <c r="Q1705">
        <v>-7.6358192254742798</v>
      </c>
      <c r="R1705" s="6">
        <v>-2.3185354488992599E-5</v>
      </c>
    </row>
    <row r="1706" spans="1:18" x14ac:dyDescent="0.2">
      <c r="A1706" t="s">
        <v>9</v>
      </c>
      <c r="B1706">
        <v>1</v>
      </c>
      <c r="C1706" t="s">
        <v>6</v>
      </c>
      <c r="D1706" s="2">
        <v>43711</v>
      </c>
      <c r="E1706" s="11">
        <v>246</v>
      </c>
      <c r="F1706" s="3">
        <v>0.51318999999784864</v>
      </c>
      <c r="G1706" s="3">
        <v>0.51666999999724794</v>
      </c>
      <c r="H1706" s="13">
        <f t="shared" si="60"/>
        <v>246.51318999999785</v>
      </c>
      <c r="I1706" s="13">
        <f t="shared" si="61"/>
        <v>246.51666999999725</v>
      </c>
      <c r="J1706" s="13">
        <f t="shared" si="62"/>
        <v>246.51492999999755</v>
      </c>
      <c r="K1706" s="7">
        <v>43711.514929999998</v>
      </c>
      <c r="L1706" s="4">
        <v>1723.7</v>
      </c>
      <c r="N1706">
        <v>22.22</v>
      </c>
      <c r="Q1706">
        <v>16.715274497986101</v>
      </c>
      <c r="R1706">
        <v>-2.3014738582964001E-4</v>
      </c>
    </row>
    <row r="1707" spans="1:18" x14ac:dyDescent="0.2">
      <c r="A1707" t="s">
        <v>9</v>
      </c>
      <c r="B1707">
        <v>2</v>
      </c>
      <c r="C1707" t="s">
        <v>4</v>
      </c>
      <c r="D1707" s="2">
        <v>43711</v>
      </c>
      <c r="E1707" s="11">
        <v>246</v>
      </c>
      <c r="F1707" s="3">
        <v>0.51943999999639345</v>
      </c>
      <c r="G1707" s="3">
        <v>0.52292000000306871</v>
      </c>
      <c r="H1707" s="13">
        <f t="shared" si="60"/>
        <v>246.51943999999639</v>
      </c>
      <c r="I1707" s="13">
        <f t="shared" si="61"/>
        <v>246.52292000000307</v>
      </c>
      <c r="J1707" s="13">
        <f t="shared" si="62"/>
        <v>246.52117999999973</v>
      </c>
      <c r="K1707" s="7">
        <v>43711.521179999996</v>
      </c>
      <c r="L1707" s="4">
        <v>1013.7</v>
      </c>
      <c r="M1707">
        <v>7.3</v>
      </c>
      <c r="N1707">
        <v>22.22</v>
      </c>
      <c r="O1707">
        <v>51.8</v>
      </c>
      <c r="P1707">
        <v>0.82</v>
      </c>
      <c r="Q1707">
        <v>-6.4229169841002198</v>
      </c>
      <c r="R1707">
        <v>-2.78503912907606E-4</v>
      </c>
    </row>
    <row r="1708" spans="1:18" x14ac:dyDescent="0.2">
      <c r="A1708" t="s">
        <v>9</v>
      </c>
      <c r="B1708">
        <v>2</v>
      </c>
      <c r="C1708" t="s">
        <v>6</v>
      </c>
      <c r="D1708" s="2">
        <v>43711</v>
      </c>
      <c r="E1708" s="11">
        <v>246</v>
      </c>
      <c r="F1708" s="3">
        <v>0.52569000000221422</v>
      </c>
      <c r="G1708" s="3">
        <v>0.52917000000161352</v>
      </c>
      <c r="H1708" s="13">
        <f t="shared" si="60"/>
        <v>246.52569000000221</v>
      </c>
      <c r="I1708" s="13">
        <f t="shared" si="61"/>
        <v>246.52917000000161</v>
      </c>
      <c r="J1708" s="13">
        <f t="shared" si="62"/>
        <v>246.52743000000191</v>
      </c>
      <c r="K1708" s="7">
        <v>43711.527430000002</v>
      </c>
      <c r="L1708" s="4">
        <v>881.2</v>
      </c>
      <c r="N1708">
        <v>22.22</v>
      </c>
      <c r="Q1708">
        <v>16.7435885185016</v>
      </c>
      <c r="R1708">
        <v>-4.2647739709571002E-4</v>
      </c>
    </row>
    <row r="1709" spans="1:18" x14ac:dyDescent="0.2">
      <c r="A1709" t="s">
        <v>9</v>
      </c>
      <c r="B1709">
        <v>3</v>
      </c>
      <c r="C1709" t="s">
        <v>4</v>
      </c>
      <c r="D1709" s="2">
        <v>43711</v>
      </c>
      <c r="E1709" s="11">
        <v>246</v>
      </c>
      <c r="F1709" s="3">
        <v>0.53125</v>
      </c>
      <c r="G1709" s="3">
        <v>0.5347200000032899</v>
      </c>
      <c r="H1709" s="13">
        <f t="shared" si="60"/>
        <v>246.53125</v>
      </c>
      <c r="I1709" s="13">
        <f t="shared" si="61"/>
        <v>246.53472000000329</v>
      </c>
      <c r="J1709" s="13">
        <f t="shared" si="62"/>
        <v>246.53298500000164</v>
      </c>
      <c r="K1709" s="7">
        <v>43711.532984999998</v>
      </c>
      <c r="L1709" s="4">
        <v>1863.7</v>
      </c>
      <c r="M1709">
        <v>8.5</v>
      </c>
      <c r="N1709">
        <v>22.22</v>
      </c>
      <c r="O1709">
        <v>50.6</v>
      </c>
      <c r="P1709">
        <v>0.86</v>
      </c>
      <c r="Q1709">
        <v>-15.3057984875014</v>
      </c>
      <c r="R1709">
        <v>-3.1567807949607E-4</v>
      </c>
    </row>
    <row r="1710" spans="1:18" x14ac:dyDescent="0.2">
      <c r="A1710" t="s">
        <v>9</v>
      </c>
      <c r="B1710">
        <v>3</v>
      </c>
      <c r="C1710" t="s">
        <v>6</v>
      </c>
      <c r="D1710" s="2">
        <v>43711</v>
      </c>
      <c r="E1710" s="11">
        <v>246</v>
      </c>
      <c r="F1710" s="3">
        <v>0.53749999999854481</v>
      </c>
      <c r="G1710" s="3">
        <v>0.54097000000183471</v>
      </c>
      <c r="H1710" s="13">
        <f t="shared" si="60"/>
        <v>246.53749999999854</v>
      </c>
      <c r="I1710" s="13">
        <f t="shared" si="61"/>
        <v>246.54097000000183</v>
      </c>
      <c r="J1710" s="13">
        <f t="shared" si="62"/>
        <v>246.53923500000019</v>
      </c>
      <c r="K1710" s="7">
        <v>43711.539235000004</v>
      </c>
      <c r="L1710" s="4">
        <v>1878.7</v>
      </c>
      <c r="N1710">
        <v>22.22</v>
      </c>
      <c r="Q1710">
        <v>15.251392163047401</v>
      </c>
      <c r="R1710">
        <v>-3.4027528487079001E-4</v>
      </c>
    </row>
    <row r="1711" spans="1:18" x14ac:dyDescent="0.2">
      <c r="A1711" t="s">
        <v>9</v>
      </c>
      <c r="B1711">
        <v>4</v>
      </c>
      <c r="C1711" t="s">
        <v>4</v>
      </c>
      <c r="D1711" s="2">
        <v>43711</v>
      </c>
      <c r="E1711" s="11">
        <v>246</v>
      </c>
      <c r="F1711" s="3">
        <v>0.54374999999708962</v>
      </c>
      <c r="G1711" s="3">
        <v>0.54722000000037951</v>
      </c>
      <c r="H1711" s="13">
        <f t="shared" si="60"/>
        <v>246.54374999999709</v>
      </c>
      <c r="I1711" s="13">
        <f t="shared" si="61"/>
        <v>246.54722000000038</v>
      </c>
      <c r="J1711" s="13">
        <f t="shared" si="62"/>
        <v>246.54548499999873</v>
      </c>
      <c r="K1711" s="7">
        <v>43711.545484999995</v>
      </c>
      <c r="L1711" s="4">
        <v>606.20000000000005</v>
      </c>
      <c r="M1711">
        <v>8.9</v>
      </c>
      <c r="N1711">
        <v>23.89</v>
      </c>
      <c r="O1711">
        <v>47.2</v>
      </c>
      <c r="P1711">
        <v>0.83</v>
      </c>
      <c r="Q1711">
        <v>-7.5380217888637002</v>
      </c>
      <c r="R1711">
        <v>-1.2291465277560799E-4</v>
      </c>
    </row>
    <row r="1712" spans="1:18" x14ac:dyDescent="0.2">
      <c r="A1712" t="s">
        <v>9</v>
      </c>
      <c r="B1712">
        <v>4</v>
      </c>
      <c r="C1712" t="s">
        <v>6</v>
      </c>
      <c r="D1712" s="2">
        <v>43711</v>
      </c>
      <c r="E1712" s="11">
        <v>246</v>
      </c>
      <c r="F1712" s="3">
        <v>0.54965000000083819</v>
      </c>
      <c r="G1712" s="3">
        <v>0.55313000000023749</v>
      </c>
      <c r="H1712" s="13">
        <f t="shared" si="60"/>
        <v>246.54965000000084</v>
      </c>
      <c r="I1712" s="13">
        <f t="shared" si="61"/>
        <v>246.55313000000024</v>
      </c>
      <c r="J1712" s="13">
        <f t="shared" si="62"/>
        <v>246.55139000000054</v>
      </c>
      <c r="K1712" s="7">
        <v>43711.551390000001</v>
      </c>
      <c r="L1712" s="4">
        <v>491.2</v>
      </c>
      <c r="N1712">
        <v>23.89</v>
      </c>
      <c r="Q1712">
        <v>11.109822988116299</v>
      </c>
      <c r="R1712">
        <v>-3.4052520905187401E-4</v>
      </c>
    </row>
    <row r="1713" spans="1:18" x14ac:dyDescent="0.2">
      <c r="A1713" t="s">
        <v>9</v>
      </c>
      <c r="B1713">
        <v>5</v>
      </c>
      <c r="C1713" t="s">
        <v>4</v>
      </c>
      <c r="D1713" s="2">
        <v>43711</v>
      </c>
      <c r="E1713" s="11">
        <v>246</v>
      </c>
      <c r="F1713" s="3">
        <v>0.55556000000069616</v>
      </c>
      <c r="G1713" s="3">
        <v>0.5590299999967101</v>
      </c>
      <c r="H1713" s="13">
        <f t="shared" si="60"/>
        <v>246.5555600000007</v>
      </c>
      <c r="I1713" s="13">
        <f t="shared" si="61"/>
        <v>246.55902999999671</v>
      </c>
      <c r="J1713" s="13">
        <f t="shared" si="62"/>
        <v>246.5572949999987</v>
      </c>
      <c r="K1713" s="7">
        <v>43711.557294999999</v>
      </c>
      <c r="L1713" s="4">
        <v>781.2</v>
      </c>
      <c r="M1713">
        <v>11.7</v>
      </c>
      <c r="N1713">
        <v>23.89</v>
      </c>
      <c r="O1713">
        <v>20.9</v>
      </c>
      <c r="P1713">
        <v>0.85</v>
      </c>
      <c r="Q1713">
        <v>-3.4786020810593898</v>
      </c>
      <c r="R1713">
        <v>-2.5113432884379998E-4</v>
      </c>
    </row>
    <row r="1714" spans="1:18" x14ac:dyDescent="0.2">
      <c r="A1714" t="s">
        <v>9</v>
      </c>
      <c r="B1714">
        <v>5</v>
      </c>
      <c r="C1714" t="s">
        <v>6</v>
      </c>
      <c r="D1714" s="2">
        <v>43711</v>
      </c>
      <c r="E1714" s="11">
        <v>246</v>
      </c>
      <c r="F1714" s="3">
        <v>0.56111000000237254</v>
      </c>
      <c r="G1714" s="3">
        <v>0.56457999999838648</v>
      </c>
      <c r="H1714" s="13">
        <f t="shared" si="60"/>
        <v>246.56111000000237</v>
      </c>
      <c r="I1714" s="13">
        <f t="shared" si="61"/>
        <v>246.56457999999839</v>
      </c>
      <c r="J1714" s="13">
        <f t="shared" si="62"/>
        <v>246.56284500000038</v>
      </c>
      <c r="K1714" s="7">
        <v>43711.562845</v>
      </c>
      <c r="L1714" s="4">
        <v>833.7</v>
      </c>
      <c r="N1714">
        <v>23.89</v>
      </c>
      <c r="Q1714">
        <v>14.3838897006195</v>
      </c>
      <c r="R1714">
        <v>-1.8115070943209999E-4</v>
      </c>
    </row>
    <row r="1715" spans="1:18" x14ac:dyDescent="0.2">
      <c r="A1715" t="s">
        <v>9</v>
      </c>
      <c r="B1715">
        <v>1</v>
      </c>
      <c r="C1715" t="s">
        <v>4</v>
      </c>
      <c r="D1715" s="2">
        <v>43720</v>
      </c>
      <c r="E1715" s="11">
        <v>255</v>
      </c>
      <c r="F1715" s="3">
        <v>0.40121999999973923</v>
      </c>
      <c r="G1715" s="3">
        <v>0.40469000000302913</v>
      </c>
      <c r="H1715" s="13">
        <f t="shared" si="60"/>
        <v>255.40121999999974</v>
      </c>
      <c r="I1715" s="13">
        <f t="shared" si="61"/>
        <v>255.40469000000303</v>
      </c>
      <c r="J1715" s="13">
        <f t="shared" si="62"/>
        <v>255.40295500000138</v>
      </c>
      <c r="K1715" s="7">
        <v>43720.402954999998</v>
      </c>
      <c r="L1715" s="4">
        <v>643.70000000000005</v>
      </c>
      <c r="M1715">
        <v>12.9</v>
      </c>
      <c r="N1715">
        <v>18.89</v>
      </c>
      <c r="O1715">
        <v>51.2</v>
      </c>
      <c r="P1715">
        <v>0.85</v>
      </c>
      <c r="Q1715">
        <v>-8.2120583259937003</v>
      </c>
      <c r="R1715" s="6">
        <v>3.8037666755998099E-5</v>
      </c>
    </row>
    <row r="1716" spans="1:18" x14ac:dyDescent="0.2">
      <c r="A1716" t="s">
        <v>9</v>
      </c>
      <c r="B1716">
        <v>1</v>
      </c>
      <c r="C1716" t="s">
        <v>6</v>
      </c>
      <c r="D1716" s="2">
        <v>43720</v>
      </c>
      <c r="E1716" s="11">
        <v>255</v>
      </c>
      <c r="F1716" s="3">
        <v>0.4069999999992433</v>
      </c>
      <c r="G1716" s="3">
        <v>0.4104700000025332</v>
      </c>
      <c r="H1716" s="13">
        <f t="shared" si="60"/>
        <v>255.40699999999924</v>
      </c>
      <c r="I1716" s="13">
        <f t="shared" si="61"/>
        <v>255.41047000000253</v>
      </c>
      <c r="J1716" s="13">
        <f t="shared" si="62"/>
        <v>255.40873500000089</v>
      </c>
      <c r="K1716" s="7">
        <v>43720.408735000005</v>
      </c>
      <c r="L1716" s="4">
        <v>938.7</v>
      </c>
      <c r="N1716">
        <v>18.89</v>
      </c>
      <c r="Q1716">
        <v>10.5060616808204</v>
      </c>
      <c r="R1716">
        <v>-1.7581230633731599E-4</v>
      </c>
    </row>
    <row r="1717" spans="1:18" x14ac:dyDescent="0.2">
      <c r="A1717" t="s">
        <v>9</v>
      </c>
      <c r="B1717">
        <v>2</v>
      </c>
      <c r="C1717" t="s">
        <v>4</v>
      </c>
      <c r="D1717" s="2">
        <v>43720</v>
      </c>
      <c r="E1717" s="11">
        <v>255</v>
      </c>
      <c r="F1717" s="3">
        <v>0.41221000000223285</v>
      </c>
      <c r="G1717" s="3">
        <v>0.41567999999824679</v>
      </c>
      <c r="H1717" s="13">
        <f t="shared" si="60"/>
        <v>255.41221000000223</v>
      </c>
      <c r="I1717" s="13">
        <f t="shared" si="61"/>
        <v>255.41567999999825</v>
      </c>
      <c r="J1717" s="13">
        <f t="shared" si="62"/>
        <v>255.41394500000024</v>
      </c>
      <c r="K1717" s="7">
        <v>43720.413945</v>
      </c>
      <c r="L1717" s="4">
        <v>698.7</v>
      </c>
      <c r="M1717">
        <v>15.7</v>
      </c>
      <c r="N1717">
        <v>18.89</v>
      </c>
      <c r="O1717">
        <v>44.8</v>
      </c>
      <c r="P1717">
        <v>0.86</v>
      </c>
      <c r="Q1717">
        <v>-12.747873557374801</v>
      </c>
      <c r="R1717">
        <v>-2.1615722767649701E-4</v>
      </c>
    </row>
    <row r="1718" spans="1:18" x14ac:dyDescent="0.2">
      <c r="A1718" t="s">
        <v>9</v>
      </c>
      <c r="B1718">
        <v>2</v>
      </c>
      <c r="C1718" t="s">
        <v>6</v>
      </c>
      <c r="D1718" s="2">
        <v>43720</v>
      </c>
      <c r="E1718" s="11">
        <v>255</v>
      </c>
      <c r="F1718" s="3">
        <v>0.41846000000077765</v>
      </c>
      <c r="G1718" s="3">
        <v>0.42192999999679159</v>
      </c>
      <c r="H1718" s="13">
        <f t="shared" si="60"/>
        <v>255.41846000000078</v>
      </c>
      <c r="I1718" s="13">
        <f t="shared" si="61"/>
        <v>255.42192999999679</v>
      </c>
      <c r="J1718" s="13">
        <f t="shared" si="62"/>
        <v>255.42019499999878</v>
      </c>
      <c r="K1718" s="7">
        <v>43720.420194999999</v>
      </c>
      <c r="L1718" s="4">
        <v>503.7</v>
      </c>
      <c r="N1718">
        <v>18.89</v>
      </c>
      <c r="Q1718">
        <v>11.7713720896919</v>
      </c>
      <c r="R1718">
        <v>-2.8244704448152601E-4</v>
      </c>
    </row>
    <row r="1719" spans="1:18" x14ac:dyDescent="0.2">
      <c r="A1719" t="s">
        <v>9</v>
      </c>
      <c r="B1719">
        <v>3</v>
      </c>
      <c r="C1719" t="s">
        <v>4</v>
      </c>
      <c r="D1719" s="2">
        <v>43720</v>
      </c>
      <c r="E1719" s="11">
        <v>255</v>
      </c>
      <c r="F1719" s="3">
        <v>0.42431000000215136</v>
      </c>
      <c r="G1719" s="3">
        <v>0.42777999999816529</v>
      </c>
      <c r="H1719" s="13">
        <f t="shared" si="60"/>
        <v>255.42431000000215</v>
      </c>
      <c r="I1719" s="13">
        <f t="shared" si="61"/>
        <v>255.42777999999817</v>
      </c>
      <c r="J1719" s="13">
        <f t="shared" si="62"/>
        <v>255.42604500000016</v>
      </c>
      <c r="K1719" s="7">
        <v>43720.426045</v>
      </c>
      <c r="L1719" s="4">
        <v>513.70000000000005</v>
      </c>
      <c r="M1719">
        <v>11.4</v>
      </c>
      <c r="N1719">
        <v>18.89</v>
      </c>
      <c r="O1719">
        <v>54</v>
      </c>
      <c r="P1719">
        <v>0.85</v>
      </c>
      <c r="Q1719">
        <v>-8.9473168318588296</v>
      </c>
      <c r="R1719">
        <v>-2.6125570891233102E-4</v>
      </c>
    </row>
    <row r="1720" spans="1:18" x14ac:dyDescent="0.2">
      <c r="A1720" t="s">
        <v>9</v>
      </c>
      <c r="B1720">
        <v>3</v>
      </c>
      <c r="C1720" t="s">
        <v>6</v>
      </c>
      <c r="D1720" s="2">
        <v>43720</v>
      </c>
      <c r="E1720" s="11">
        <v>255</v>
      </c>
      <c r="F1720" s="3">
        <v>0.43073000000003958</v>
      </c>
      <c r="G1720" s="3">
        <v>0.43420000000332948</v>
      </c>
      <c r="H1720" s="13">
        <f t="shared" si="60"/>
        <v>255.43073000000004</v>
      </c>
      <c r="I1720" s="13">
        <f t="shared" si="61"/>
        <v>255.43420000000333</v>
      </c>
      <c r="J1720" s="13">
        <f t="shared" si="62"/>
        <v>255.43246500000168</v>
      </c>
      <c r="K1720" s="7">
        <v>43720.432465000005</v>
      </c>
      <c r="L1720" s="4">
        <v>523.70000000000005</v>
      </c>
      <c r="N1720">
        <v>18.89</v>
      </c>
      <c r="Q1720">
        <v>9.2194978294611598</v>
      </c>
      <c r="R1720">
        <v>-3.18464466477748E-4</v>
      </c>
    </row>
    <row r="1721" spans="1:18" x14ac:dyDescent="0.2">
      <c r="A1721" t="s">
        <v>9</v>
      </c>
      <c r="B1721">
        <v>4</v>
      </c>
      <c r="C1721" t="s">
        <v>4</v>
      </c>
      <c r="D1721" s="2">
        <v>43720</v>
      </c>
      <c r="E1721" s="11">
        <v>255</v>
      </c>
      <c r="F1721" s="3">
        <v>0.44339999999647262</v>
      </c>
      <c r="G1721" s="3">
        <v>0.44688000000314787</v>
      </c>
      <c r="H1721" s="13">
        <f t="shared" si="60"/>
        <v>255.44339999999647</v>
      </c>
      <c r="I1721" s="13">
        <f t="shared" si="61"/>
        <v>255.44688000000315</v>
      </c>
      <c r="J1721" s="13">
        <f t="shared" si="62"/>
        <v>255.44513999999981</v>
      </c>
      <c r="K1721" s="7">
        <v>43720.445139999996</v>
      </c>
      <c r="L1721" s="4">
        <v>416.2</v>
      </c>
      <c r="M1721">
        <v>16.399999999999999</v>
      </c>
      <c r="N1721">
        <v>18.89</v>
      </c>
      <c r="O1721">
        <v>52.8</v>
      </c>
      <c r="P1721">
        <v>0.85</v>
      </c>
      <c r="Q1721">
        <v>-2.6914411736089998</v>
      </c>
      <c r="R1721">
        <v>-3.0052864708718602E-4</v>
      </c>
    </row>
    <row r="1722" spans="1:18" x14ac:dyDescent="0.2">
      <c r="A1722" t="s">
        <v>9</v>
      </c>
      <c r="B1722">
        <v>4</v>
      </c>
      <c r="C1722" t="s">
        <v>6</v>
      </c>
      <c r="D1722" s="2">
        <v>43720</v>
      </c>
      <c r="E1722" s="11">
        <v>255</v>
      </c>
      <c r="F1722" s="3">
        <v>0.4490700000023935</v>
      </c>
      <c r="G1722" s="3">
        <v>0.4525500000017928</v>
      </c>
      <c r="H1722" s="13">
        <f t="shared" si="60"/>
        <v>255.44907000000239</v>
      </c>
      <c r="I1722" s="13">
        <f t="shared" si="61"/>
        <v>255.45255000000179</v>
      </c>
      <c r="J1722" s="13">
        <f t="shared" si="62"/>
        <v>255.45081000000209</v>
      </c>
      <c r="K1722" s="7">
        <v>43720.450810000002</v>
      </c>
      <c r="L1722" s="4">
        <v>343.7</v>
      </c>
      <c r="N1722">
        <v>18.89</v>
      </c>
      <c r="Q1722">
        <v>8.8147107685415094</v>
      </c>
      <c r="R1722">
        <v>-3.03251145668459E-4</v>
      </c>
    </row>
    <row r="1723" spans="1:18" x14ac:dyDescent="0.2">
      <c r="A1723" t="s">
        <v>9</v>
      </c>
      <c r="B1723">
        <v>5</v>
      </c>
      <c r="C1723" t="s">
        <v>4</v>
      </c>
      <c r="D1723" s="2">
        <v>43720</v>
      </c>
      <c r="E1723" s="11">
        <v>255</v>
      </c>
      <c r="F1723" s="3">
        <v>0.45498000000225147</v>
      </c>
      <c r="G1723" s="3">
        <v>0.45844999999826541</v>
      </c>
      <c r="H1723" s="13">
        <f t="shared" ref="H1723:H1786" si="63">E1723+F1723</f>
        <v>255.45498000000225</v>
      </c>
      <c r="I1723" s="13">
        <f t="shared" ref="I1723:I1786" si="64">E1723+G1723</f>
        <v>255.45844999999827</v>
      </c>
      <c r="J1723" s="13">
        <f t="shared" ref="J1723:J1786" si="65">AVERAGE(H1723:I1723)</f>
        <v>255.45671500000026</v>
      </c>
      <c r="K1723" s="7">
        <v>43720.456715</v>
      </c>
      <c r="L1723" s="4">
        <v>166.2</v>
      </c>
      <c r="M1723">
        <v>13.4</v>
      </c>
      <c r="N1723">
        <v>18.89</v>
      </c>
      <c r="O1723">
        <v>45.9</v>
      </c>
      <c r="P1723">
        <v>0.85</v>
      </c>
      <c r="Q1723">
        <v>-3.6423084374955299</v>
      </c>
      <c r="R1723">
        <v>-2.3697207539668801E-4</v>
      </c>
    </row>
    <row r="1724" spans="1:18" x14ac:dyDescent="0.2">
      <c r="A1724" t="s">
        <v>9</v>
      </c>
      <c r="B1724">
        <v>5</v>
      </c>
      <c r="C1724" t="s">
        <v>6</v>
      </c>
      <c r="D1724" s="2">
        <v>43720</v>
      </c>
      <c r="E1724" s="11">
        <v>255</v>
      </c>
      <c r="F1724" s="3">
        <v>0.46076000000175554</v>
      </c>
      <c r="G1724" s="3">
        <v>0.46424000000115484</v>
      </c>
      <c r="H1724" s="13">
        <f t="shared" si="63"/>
        <v>255.46076000000176</v>
      </c>
      <c r="I1724" s="13">
        <f t="shared" si="64"/>
        <v>255.46424000000115</v>
      </c>
      <c r="J1724" s="13">
        <f t="shared" si="65"/>
        <v>255.46250000000146</v>
      </c>
      <c r="K1724" s="7">
        <v>43720.462500000001</v>
      </c>
      <c r="L1724" s="4">
        <v>128.69999999999999</v>
      </c>
      <c r="N1724">
        <v>18.89</v>
      </c>
      <c r="Q1724">
        <v>11.398020345097899</v>
      </c>
      <c r="R1724">
        <v>-2.8719036532688598E-4</v>
      </c>
    </row>
    <row r="1725" spans="1:18" x14ac:dyDescent="0.2">
      <c r="A1725" t="s">
        <v>9</v>
      </c>
      <c r="B1725">
        <v>1</v>
      </c>
      <c r="C1725" t="s">
        <v>4</v>
      </c>
      <c r="D1725" s="2">
        <v>43720</v>
      </c>
      <c r="E1725" s="11">
        <v>255</v>
      </c>
      <c r="F1725" s="3">
        <v>0.49433000000135507</v>
      </c>
      <c r="G1725" s="3">
        <v>0.49779999999736901</v>
      </c>
      <c r="H1725" s="13">
        <f t="shared" si="63"/>
        <v>255.49433000000136</v>
      </c>
      <c r="I1725" s="13">
        <f t="shared" si="64"/>
        <v>255.49779999999737</v>
      </c>
      <c r="J1725" s="13">
        <f t="shared" si="65"/>
        <v>255.49606499999936</v>
      </c>
      <c r="K1725" s="7">
        <v>43720.496064999999</v>
      </c>
      <c r="L1725" s="4">
        <v>228.7</v>
      </c>
      <c r="M1725">
        <v>16.7</v>
      </c>
      <c r="N1725">
        <v>16.11</v>
      </c>
      <c r="O1725">
        <v>42.9</v>
      </c>
      <c r="P1725">
        <v>0.86</v>
      </c>
      <c r="Q1725">
        <v>2.0027478877913198</v>
      </c>
      <c r="R1725">
        <f>M3871-0.000209561893775962</f>
        <v>-2.0956189377596199E-4</v>
      </c>
    </row>
    <row r="1726" spans="1:18" x14ac:dyDescent="0.2">
      <c r="A1726" t="s">
        <v>9</v>
      </c>
      <c r="B1726">
        <v>1</v>
      </c>
      <c r="C1726" t="s">
        <v>6</v>
      </c>
      <c r="D1726" s="2">
        <v>43720</v>
      </c>
      <c r="E1726" s="11">
        <v>255</v>
      </c>
      <c r="F1726" s="3">
        <v>0.49988000000303145</v>
      </c>
      <c r="G1726" s="3">
        <v>0.50336000000243075</v>
      </c>
      <c r="H1726" s="13">
        <f t="shared" si="63"/>
        <v>255.49988000000303</v>
      </c>
      <c r="I1726" s="13">
        <f t="shared" si="64"/>
        <v>255.50336000000243</v>
      </c>
      <c r="J1726" s="13">
        <f t="shared" si="65"/>
        <v>255.50162000000273</v>
      </c>
      <c r="K1726" s="7">
        <v>43720.501620000003</v>
      </c>
      <c r="L1726" s="4">
        <v>208.7</v>
      </c>
      <c r="N1726">
        <v>16.11</v>
      </c>
      <c r="Q1726">
        <v>9.2215166517196003</v>
      </c>
      <c r="R1726">
        <v>-2.1807665394843901E-4</v>
      </c>
    </row>
    <row r="1727" spans="1:18" x14ac:dyDescent="0.2">
      <c r="A1727" t="s">
        <v>9</v>
      </c>
      <c r="B1727">
        <v>2</v>
      </c>
      <c r="C1727" t="s">
        <v>4</v>
      </c>
      <c r="D1727" s="2">
        <v>43720</v>
      </c>
      <c r="E1727" s="11">
        <v>255</v>
      </c>
      <c r="F1727" s="3">
        <v>0.5057299999971292</v>
      </c>
      <c r="G1727" s="3">
        <v>0.5092000000004191</v>
      </c>
      <c r="H1727" s="13">
        <f t="shared" si="63"/>
        <v>255.50572999999713</v>
      </c>
      <c r="I1727" s="13">
        <f t="shared" si="64"/>
        <v>255.50920000000042</v>
      </c>
      <c r="J1727" s="13">
        <f t="shared" si="65"/>
        <v>255.50746499999877</v>
      </c>
      <c r="K1727" s="7">
        <v>43720.507465000002</v>
      </c>
      <c r="L1727" s="4">
        <v>173.7</v>
      </c>
      <c r="M1727">
        <v>14.7</v>
      </c>
      <c r="N1727">
        <v>16.11</v>
      </c>
      <c r="O1727">
        <v>53.1</v>
      </c>
      <c r="P1727">
        <v>0.84</v>
      </c>
      <c r="Q1727">
        <v>0.98296269032482697</v>
      </c>
      <c r="R1727">
        <v>-3.1706510324017498E-4</v>
      </c>
    </row>
    <row r="1728" spans="1:18" x14ac:dyDescent="0.2">
      <c r="A1728" t="s">
        <v>9</v>
      </c>
      <c r="B1728">
        <v>2</v>
      </c>
      <c r="C1728" t="s">
        <v>6</v>
      </c>
      <c r="D1728" s="2">
        <v>43720</v>
      </c>
      <c r="E1728" s="11">
        <v>255</v>
      </c>
      <c r="F1728" s="3">
        <v>0.51174999999784632</v>
      </c>
      <c r="G1728" s="3">
        <v>0.51522000000113621</v>
      </c>
      <c r="H1728" s="13">
        <f t="shared" si="63"/>
        <v>255.51174999999785</v>
      </c>
      <c r="I1728" s="13">
        <f t="shared" si="64"/>
        <v>255.51522000000114</v>
      </c>
      <c r="J1728" s="13">
        <f t="shared" si="65"/>
        <v>255.51348499999949</v>
      </c>
      <c r="K1728" s="7">
        <v>43720.513485000003</v>
      </c>
      <c r="L1728" s="4">
        <v>186.2</v>
      </c>
      <c r="N1728">
        <v>16.11</v>
      </c>
      <c r="Q1728">
        <v>9.5985777605676006</v>
      </c>
      <c r="R1728">
        <v>-3.50908694266281E-4</v>
      </c>
    </row>
    <row r="1729" spans="1:18" x14ac:dyDescent="0.2">
      <c r="A1729" t="s">
        <v>9</v>
      </c>
      <c r="B1729">
        <v>3</v>
      </c>
      <c r="C1729" t="s">
        <v>4</v>
      </c>
      <c r="D1729" s="2">
        <v>43720</v>
      </c>
      <c r="E1729" s="11">
        <v>255</v>
      </c>
      <c r="F1729" s="3">
        <v>0.51776999999856343</v>
      </c>
      <c r="G1729" s="3">
        <v>0.52124000000185333</v>
      </c>
      <c r="H1729" s="13">
        <f t="shared" si="63"/>
        <v>255.51776999999856</v>
      </c>
      <c r="I1729" s="13">
        <f t="shared" si="64"/>
        <v>255.52124000000185</v>
      </c>
      <c r="J1729" s="13">
        <f t="shared" si="65"/>
        <v>255.51950500000021</v>
      </c>
      <c r="K1729" s="7">
        <v>43720.519505000004</v>
      </c>
      <c r="L1729" s="4">
        <v>196.2</v>
      </c>
      <c r="M1729">
        <v>10.9</v>
      </c>
      <c r="N1729">
        <v>16.11</v>
      </c>
      <c r="O1729">
        <v>57</v>
      </c>
      <c r="P1729">
        <v>0.86</v>
      </c>
      <c r="Q1729">
        <v>-0.13064632872809301</v>
      </c>
      <c r="R1729">
        <v>-3.1305333316452699E-4</v>
      </c>
    </row>
    <row r="1730" spans="1:18" x14ac:dyDescent="0.2">
      <c r="A1730" t="s">
        <v>9</v>
      </c>
      <c r="B1730">
        <v>3</v>
      </c>
      <c r="C1730" t="s">
        <v>6</v>
      </c>
      <c r="D1730" s="2">
        <v>43720</v>
      </c>
      <c r="E1730" s="11">
        <v>255</v>
      </c>
      <c r="F1730" s="3">
        <v>0.52406999999948312</v>
      </c>
      <c r="G1730" s="3">
        <v>0.52754999999888241</v>
      </c>
      <c r="H1730" s="13">
        <f t="shared" si="63"/>
        <v>255.52406999999948</v>
      </c>
      <c r="I1730" s="13">
        <f t="shared" si="64"/>
        <v>255.52754999999888</v>
      </c>
      <c r="J1730" s="13">
        <f t="shared" si="65"/>
        <v>255.52580999999918</v>
      </c>
      <c r="K1730" s="7">
        <v>43720.525809999999</v>
      </c>
      <c r="L1730" s="4">
        <v>216.2</v>
      </c>
      <c r="N1730">
        <v>15</v>
      </c>
      <c r="Q1730">
        <v>8.9655361498851995</v>
      </c>
      <c r="R1730">
        <v>-4.03268821314294E-4</v>
      </c>
    </row>
    <row r="1731" spans="1:18" x14ac:dyDescent="0.2">
      <c r="A1731" t="s">
        <v>9</v>
      </c>
      <c r="B1731">
        <v>4</v>
      </c>
      <c r="C1731" t="s">
        <v>4</v>
      </c>
      <c r="D1731" s="2">
        <v>43720</v>
      </c>
      <c r="E1731" s="11">
        <v>255</v>
      </c>
      <c r="F1731" s="3">
        <v>0.53014999999868451</v>
      </c>
      <c r="G1731" s="3">
        <v>0.5336200000019744</v>
      </c>
      <c r="H1731" s="13">
        <f t="shared" si="63"/>
        <v>255.53014999999868</v>
      </c>
      <c r="I1731" s="13">
        <f t="shared" si="64"/>
        <v>255.53362000000197</v>
      </c>
      <c r="J1731" s="13">
        <f t="shared" si="65"/>
        <v>255.53188500000033</v>
      </c>
      <c r="K1731" s="7">
        <v>43720.531885000004</v>
      </c>
      <c r="L1731" s="4">
        <v>186.2</v>
      </c>
      <c r="M1731">
        <v>9.8000000000000007</v>
      </c>
      <c r="N1731">
        <v>15</v>
      </c>
      <c r="O1731">
        <v>53.6</v>
      </c>
      <c r="P1731">
        <v>0.85</v>
      </c>
      <c r="Q1731">
        <v>1.5229515783664</v>
      </c>
      <c r="R1731">
        <v>-3.0434252582639001E-4</v>
      </c>
    </row>
    <row r="1732" spans="1:18" x14ac:dyDescent="0.2">
      <c r="A1732" t="s">
        <v>9</v>
      </c>
      <c r="B1732">
        <v>4</v>
      </c>
      <c r="C1732" t="s">
        <v>6</v>
      </c>
      <c r="D1732" s="2">
        <v>43720</v>
      </c>
      <c r="E1732" s="11">
        <v>255</v>
      </c>
      <c r="F1732" s="3">
        <v>0.53680999999778578</v>
      </c>
      <c r="G1732" s="3">
        <v>0.54028000000107568</v>
      </c>
      <c r="H1732" s="13">
        <f t="shared" si="63"/>
        <v>255.53680999999779</v>
      </c>
      <c r="I1732" s="13">
        <f t="shared" si="64"/>
        <v>255.54028000000108</v>
      </c>
      <c r="J1732" s="13">
        <f t="shared" si="65"/>
        <v>255.53854499999943</v>
      </c>
      <c r="K1732" s="7">
        <v>43720.538545000003</v>
      </c>
      <c r="L1732" s="4">
        <v>226.2</v>
      </c>
      <c r="N1732">
        <v>15</v>
      </c>
      <c r="Q1732">
        <v>8.0848940420943691</v>
      </c>
      <c r="R1732">
        <v>-3.30890078898993E-4</v>
      </c>
    </row>
    <row r="1733" spans="1:18" x14ac:dyDescent="0.2">
      <c r="A1733" t="s">
        <v>9</v>
      </c>
      <c r="B1733">
        <v>5</v>
      </c>
      <c r="C1733" t="s">
        <v>4</v>
      </c>
      <c r="D1733" s="2">
        <v>43720</v>
      </c>
      <c r="E1733" s="11">
        <v>255</v>
      </c>
      <c r="F1733" s="3">
        <v>0.54439000000274973</v>
      </c>
      <c r="G1733" s="3">
        <v>0.54785999999876367</v>
      </c>
      <c r="H1733" s="13">
        <f t="shared" si="63"/>
        <v>255.54439000000275</v>
      </c>
      <c r="I1733" s="13">
        <f t="shared" si="64"/>
        <v>255.54785999999876</v>
      </c>
      <c r="J1733" s="13">
        <f t="shared" si="65"/>
        <v>255.54612500000076</v>
      </c>
      <c r="K1733" s="7">
        <v>43720.546125000001</v>
      </c>
      <c r="L1733" s="4">
        <v>121.2</v>
      </c>
      <c r="M1733">
        <v>12.7</v>
      </c>
      <c r="N1733">
        <v>15</v>
      </c>
      <c r="O1733">
        <v>48.4</v>
      </c>
      <c r="P1733">
        <v>0.85</v>
      </c>
      <c r="Q1733">
        <v>1.9137886251157199</v>
      </c>
      <c r="R1733">
        <v>-2.7987839675227199E-4</v>
      </c>
    </row>
    <row r="1734" spans="1:18" x14ac:dyDescent="0.2">
      <c r="A1734" t="s">
        <v>9</v>
      </c>
      <c r="B1734">
        <v>5</v>
      </c>
      <c r="C1734" t="s">
        <v>6</v>
      </c>
      <c r="D1734" s="2">
        <v>43720</v>
      </c>
      <c r="E1734" s="11">
        <v>255</v>
      </c>
      <c r="F1734" s="3">
        <v>0.55081000000063796</v>
      </c>
      <c r="G1734" s="3">
        <v>0.5542799999966519</v>
      </c>
      <c r="H1734" s="13">
        <f t="shared" si="63"/>
        <v>255.55081000000064</v>
      </c>
      <c r="I1734" s="13">
        <f t="shared" si="64"/>
        <v>255.55427999999665</v>
      </c>
      <c r="J1734" s="13">
        <f t="shared" si="65"/>
        <v>255.55254499999864</v>
      </c>
      <c r="K1734" s="7">
        <v>43720.552544999999</v>
      </c>
      <c r="L1734" s="4">
        <v>178.7</v>
      </c>
      <c r="N1734">
        <v>15</v>
      </c>
      <c r="Q1734">
        <v>10.784258793402801</v>
      </c>
      <c r="R1734">
        <v>-2.7369658798283899E-4</v>
      </c>
    </row>
    <row r="1735" spans="1:18" x14ac:dyDescent="0.2">
      <c r="A1735" t="s">
        <v>9</v>
      </c>
      <c r="B1735">
        <v>1</v>
      </c>
      <c r="C1735" t="s">
        <v>4</v>
      </c>
      <c r="D1735" s="2">
        <v>43728</v>
      </c>
      <c r="E1735" s="11">
        <v>263</v>
      </c>
      <c r="F1735" s="3">
        <v>0.44056999999884283</v>
      </c>
      <c r="G1735" s="3">
        <v>0.44404000000213273</v>
      </c>
      <c r="H1735" s="13">
        <f t="shared" si="63"/>
        <v>263.44056999999884</v>
      </c>
      <c r="I1735" s="13">
        <f t="shared" si="64"/>
        <v>263.44404000000213</v>
      </c>
      <c r="J1735" s="13">
        <f t="shared" si="65"/>
        <v>263.44230500000049</v>
      </c>
      <c r="K1735" s="7">
        <v>43728.442305000004</v>
      </c>
      <c r="L1735" s="4">
        <v>958.7</v>
      </c>
      <c r="M1735">
        <v>4.3</v>
      </c>
      <c r="N1735">
        <v>15</v>
      </c>
      <c r="O1735">
        <v>44.7</v>
      </c>
      <c r="P1735">
        <v>0.83</v>
      </c>
      <c r="Q1735">
        <v>-3.2305824948991901</v>
      </c>
      <c r="R1735">
        <v>-4.1900868800597799E-4</v>
      </c>
    </row>
    <row r="1736" spans="1:18" x14ac:dyDescent="0.2">
      <c r="A1736" t="s">
        <v>9</v>
      </c>
      <c r="B1736">
        <v>1</v>
      </c>
      <c r="C1736" t="s">
        <v>6</v>
      </c>
      <c r="D1736" s="2">
        <v>43728</v>
      </c>
      <c r="E1736" s="11">
        <v>263</v>
      </c>
      <c r="F1736" s="3">
        <v>0.44664000000193482</v>
      </c>
      <c r="G1736" s="3">
        <v>0.45012000000133412</v>
      </c>
      <c r="H1736" s="13">
        <f t="shared" si="63"/>
        <v>263.44664000000193</v>
      </c>
      <c r="I1736" s="13">
        <f t="shared" si="64"/>
        <v>263.45012000000133</v>
      </c>
      <c r="J1736" s="13">
        <f t="shared" si="65"/>
        <v>263.44838000000163</v>
      </c>
      <c r="K1736" s="7">
        <v>43728.448380000002</v>
      </c>
      <c r="L1736" s="4">
        <v>728.7</v>
      </c>
      <c r="N1736">
        <v>15</v>
      </c>
      <c r="Q1736">
        <v>7.4753043316635397</v>
      </c>
      <c r="R1736">
        <v>-5.0133885385252302E-4</v>
      </c>
    </row>
    <row r="1737" spans="1:18" x14ac:dyDescent="0.2">
      <c r="A1737" t="s">
        <v>9</v>
      </c>
      <c r="B1737">
        <v>2</v>
      </c>
      <c r="C1737" t="s">
        <v>4</v>
      </c>
      <c r="D1737" s="2">
        <v>43728</v>
      </c>
      <c r="E1737" s="11">
        <v>263</v>
      </c>
      <c r="F1737" s="3">
        <v>0.45335999999952037</v>
      </c>
      <c r="G1737" s="3">
        <v>0.45683000000281027</v>
      </c>
      <c r="H1737" s="13">
        <f t="shared" si="63"/>
        <v>263.45335999999952</v>
      </c>
      <c r="I1737" s="13">
        <f t="shared" si="64"/>
        <v>263.45683000000281</v>
      </c>
      <c r="J1737" s="13">
        <f t="shared" si="65"/>
        <v>263.45509500000117</v>
      </c>
      <c r="K1737" s="7">
        <v>43728.455094999998</v>
      </c>
      <c r="L1737" s="4">
        <v>1428.7</v>
      </c>
      <c r="M1737">
        <v>5.0999999999999996</v>
      </c>
      <c r="N1737">
        <v>15</v>
      </c>
      <c r="O1737">
        <v>50.7</v>
      </c>
      <c r="P1737">
        <v>0.75</v>
      </c>
      <c r="Q1737">
        <v>-8.0175154302718408</v>
      </c>
      <c r="R1737">
        <v>-4.8564282369625898E-4</v>
      </c>
    </row>
    <row r="1738" spans="1:18" x14ac:dyDescent="0.2">
      <c r="A1738" t="s">
        <v>9</v>
      </c>
      <c r="B1738">
        <v>2</v>
      </c>
      <c r="C1738" t="s">
        <v>6</v>
      </c>
      <c r="D1738" s="2">
        <v>43728</v>
      </c>
      <c r="E1738" s="11">
        <v>263</v>
      </c>
      <c r="F1738" s="3">
        <v>0.46156999999948312</v>
      </c>
      <c r="G1738" s="3">
        <v>0.46504999999888241</v>
      </c>
      <c r="H1738" s="13">
        <f t="shared" si="63"/>
        <v>263.46156999999948</v>
      </c>
      <c r="I1738" s="13">
        <f t="shared" si="64"/>
        <v>263.46504999999888</v>
      </c>
      <c r="J1738" s="13">
        <f t="shared" si="65"/>
        <v>263.46330999999918</v>
      </c>
      <c r="K1738" s="7">
        <v>43728.463309999999</v>
      </c>
      <c r="L1738" s="4">
        <v>1258.7</v>
      </c>
      <c r="N1738">
        <v>15</v>
      </c>
      <c r="Q1738">
        <v>8.9489907674715905</v>
      </c>
      <c r="R1738">
        <v>-4.8083780994268997E-4</v>
      </c>
    </row>
    <row r="1739" spans="1:18" x14ac:dyDescent="0.2">
      <c r="A1739" t="s">
        <v>9</v>
      </c>
      <c r="B1739">
        <v>3</v>
      </c>
      <c r="C1739" t="s">
        <v>4</v>
      </c>
      <c r="D1739" s="2">
        <v>43728</v>
      </c>
      <c r="E1739" s="11">
        <v>263</v>
      </c>
      <c r="F1739" s="3">
        <v>0.46869000000151573</v>
      </c>
      <c r="G1739" s="3">
        <v>0.47215999999752967</v>
      </c>
      <c r="H1739" s="13">
        <f t="shared" si="63"/>
        <v>263.46869000000152</v>
      </c>
      <c r="I1739" s="13">
        <f t="shared" si="64"/>
        <v>263.47215999999753</v>
      </c>
      <c r="J1739" s="13">
        <f t="shared" si="65"/>
        <v>263.47042499999952</v>
      </c>
      <c r="K1739" s="7">
        <v>43728.470425</v>
      </c>
      <c r="L1739" s="4">
        <v>1463.7</v>
      </c>
      <c r="M1739">
        <v>5.3</v>
      </c>
      <c r="N1739">
        <v>16.670000000000002</v>
      </c>
      <c r="O1739">
        <v>51.5</v>
      </c>
      <c r="P1739">
        <v>0.75</v>
      </c>
      <c r="Q1739">
        <v>-9.7524570052202009</v>
      </c>
      <c r="R1739">
        <v>-4.5481784006313699E-4</v>
      </c>
    </row>
    <row r="1740" spans="1:18" x14ac:dyDescent="0.2">
      <c r="A1740" t="s">
        <v>9</v>
      </c>
      <c r="B1740">
        <v>3</v>
      </c>
      <c r="C1740" t="s">
        <v>6</v>
      </c>
      <c r="D1740" s="2">
        <v>43728</v>
      </c>
      <c r="E1740" s="11">
        <v>263</v>
      </c>
      <c r="F1740" s="3">
        <v>0.475350000000617</v>
      </c>
      <c r="G1740" s="3">
        <v>0.47881999999663094</v>
      </c>
      <c r="H1740" s="13">
        <f t="shared" si="63"/>
        <v>263.47535000000062</v>
      </c>
      <c r="I1740" s="13">
        <f t="shared" si="64"/>
        <v>263.47881999999663</v>
      </c>
      <c r="J1740" s="13">
        <f t="shared" si="65"/>
        <v>263.47708499999862</v>
      </c>
      <c r="K1740" s="7">
        <v>43728.477084999999</v>
      </c>
      <c r="L1740" s="4">
        <v>1461.2</v>
      </c>
      <c r="N1740">
        <v>16.670000000000002</v>
      </c>
      <c r="Q1740">
        <v>10.212145416558201</v>
      </c>
      <c r="R1740">
        <v>-5.02072785462198E-4</v>
      </c>
    </row>
    <row r="1741" spans="1:18" x14ac:dyDescent="0.2">
      <c r="A1741" t="s">
        <v>9</v>
      </c>
      <c r="B1741">
        <v>4</v>
      </c>
      <c r="C1741" t="s">
        <v>4</v>
      </c>
      <c r="D1741" s="2">
        <v>43728</v>
      </c>
      <c r="E1741" s="11">
        <v>263</v>
      </c>
      <c r="F1741" s="3">
        <v>0.48240999999688938</v>
      </c>
      <c r="G1741" s="3">
        <v>0.48588000000017928</v>
      </c>
      <c r="H1741" s="13">
        <f t="shared" si="63"/>
        <v>263.48240999999689</v>
      </c>
      <c r="I1741" s="13">
        <f t="shared" si="64"/>
        <v>263.48588000000018</v>
      </c>
      <c r="J1741" s="13">
        <f t="shared" si="65"/>
        <v>263.48414499999853</v>
      </c>
      <c r="K1741" s="7">
        <v>43728.484144999995</v>
      </c>
      <c r="L1741" s="4">
        <v>1498.7</v>
      </c>
      <c r="M1741">
        <v>3.9</v>
      </c>
      <c r="N1741">
        <v>16.670000000000002</v>
      </c>
      <c r="O1741">
        <v>51.8</v>
      </c>
      <c r="P1741">
        <v>0.79</v>
      </c>
      <c r="Q1741">
        <v>-1.8764469140087201</v>
      </c>
      <c r="R1741">
        <v>-2.9187932955807098E-4</v>
      </c>
    </row>
    <row r="1742" spans="1:18" x14ac:dyDescent="0.2">
      <c r="A1742" t="s">
        <v>9</v>
      </c>
      <c r="B1742">
        <v>4</v>
      </c>
      <c r="C1742" t="s">
        <v>6</v>
      </c>
      <c r="D1742" s="2">
        <v>43728</v>
      </c>
      <c r="E1742" s="11">
        <v>263</v>
      </c>
      <c r="F1742" s="3">
        <v>0.48928999999770895</v>
      </c>
      <c r="G1742" s="3">
        <v>0.49276999999710824</v>
      </c>
      <c r="H1742" s="13">
        <f t="shared" si="63"/>
        <v>263.48928999999771</v>
      </c>
      <c r="I1742" s="13">
        <f t="shared" si="64"/>
        <v>263.49276999999711</v>
      </c>
      <c r="J1742" s="13">
        <f t="shared" si="65"/>
        <v>263.49102999999741</v>
      </c>
      <c r="K1742" s="7">
        <v>43728.491029999997</v>
      </c>
      <c r="L1742" s="4">
        <v>1506.2</v>
      </c>
      <c r="N1742">
        <v>16.670000000000002</v>
      </c>
      <c r="Q1742">
        <v>7.4244393543086096</v>
      </c>
      <c r="R1742">
        <v>-3.7822439355651499E-4</v>
      </c>
    </row>
    <row r="1743" spans="1:18" x14ac:dyDescent="0.2">
      <c r="A1743" t="s">
        <v>9</v>
      </c>
      <c r="B1743">
        <v>5</v>
      </c>
      <c r="C1743" t="s">
        <v>4</v>
      </c>
      <c r="D1743" s="2">
        <v>43728</v>
      </c>
      <c r="E1743" s="11">
        <v>263</v>
      </c>
      <c r="F1743" s="3">
        <v>0.4965299999967101</v>
      </c>
      <c r="G1743" s="3">
        <v>0.5</v>
      </c>
      <c r="H1743" s="13">
        <f t="shared" si="63"/>
        <v>263.49652999999671</v>
      </c>
      <c r="I1743" s="13">
        <f t="shared" si="64"/>
        <v>263.5</v>
      </c>
      <c r="J1743" s="13">
        <f t="shared" si="65"/>
        <v>263.49826499999836</v>
      </c>
      <c r="K1743" s="7">
        <v>43728.498265000002</v>
      </c>
      <c r="L1743" s="4">
        <v>1486.2</v>
      </c>
      <c r="M1743">
        <v>4.2</v>
      </c>
      <c r="N1743">
        <v>18.89</v>
      </c>
      <c r="O1743">
        <v>46.4</v>
      </c>
      <c r="P1743">
        <v>0.79</v>
      </c>
      <c r="Q1743">
        <v>1.1247653176694301</v>
      </c>
      <c r="R1743">
        <v>-3.53812248707306E-4</v>
      </c>
    </row>
    <row r="1744" spans="1:18" x14ac:dyDescent="0.2">
      <c r="A1744" t="s">
        <v>9</v>
      </c>
      <c r="B1744">
        <v>5</v>
      </c>
      <c r="C1744" t="s">
        <v>6</v>
      </c>
      <c r="D1744" s="2">
        <v>43728</v>
      </c>
      <c r="E1744" s="11">
        <v>263</v>
      </c>
      <c r="F1744" s="3">
        <v>0.50381999999808613</v>
      </c>
      <c r="G1744" s="3">
        <v>0.50729000000137603</v>
      </c>
      <c r="H1744" s="13">
        <f t="shared" si="63"/>
        <v>263.50381999999809</v>
      </c>
      <c r="I1744" s="13">
        <f t="shared" si="64"/>
        <v>263.50729000000138</v>
      </c>
      <c r="J1744" s="13">
        <f t="shared" si="65"/>
        <v>263.50555499999973</v>
      </c>
      <c r="K1744" s="7">
        <v>43728.505554999996</v>
      </c>
      <c r="L1744" s="4">
        <v>1498.7</v>
      </c>
      <c r="N1744">
        <v>18.89</v>
      </c>
      <c r="Q1744">
        <v>10.035616244867199</v>
      </c>
      <c r="R1744">
        <v>-3.47573355343431E-4</v>
      </c>
    </row>
    <row r="1745" spans="1:18" x14ac:dyDescent="0.2">
      <c r="A1745" t="s">
        <v>9</v>
      </c>
      <c r="B1745">
        <v>1</v>
      </c>
      <c r="C1745" t="s">
        <v>4</v>
      </c>
      <c r="D1745" s="2">
        <v>43742</v>
      </c>
      <c r="E1745" s="11">
        <v>277</v>
      </c>
      <c r="F1745" s="3">
        <v>0.55971999999746913</v>
      </c>
      <c r="G1745" s="3">
        <v>0.56319000000075903</v>
      </c>
      <c r="H1745" s="13">
        <f t="shared" si="63"/>
        <v>277.55971999999747</v>
      </c>
      <c r="I1745" s="13">
        <f t="shared" si="64"/>
        <v>277.56319000000076</v>
      </c>
      <c r="J1745" s="13">
        <f t="shared" si="65"/>
        <v>277.56145499999911</v>
      </c>
      <c r="K1745" s="7">
        <v>43742.561455000003</v>
      </c>
      <c r="L1745" s="4">
        <v>476.2</v>
      </c>
      <c r="M1745">
        <v>13.4</v>
      </c>
      <c r="N1745">
        <v>11.67</v>
      </c>
      <c r="O1745">
        <v>41.9</v>
      </c>
      <c r="P1745">
        <v>0.76</v>
      </c>
      <c r="Q1745">
        <v>-2.1471864762095501</v>
      </c>
      <c r="R1745">
        <v>-4.7322986491197199E-4</v>
      </c>
    </row>
    <row r="1746" spans="1:18" x14ac:dyDescent="0.2">
      <c r="A1746" t="s">
        <v>9</v>
      </c>
      <c r="B1746">
        <v>1</v>
      </c>
      <c r="C1746" t="s">
        <v>6</v>
      </c>
      <c r="D1746" s="2">
        <v>43742</v>
      </c>
      <c r="E1746" s="11">
        <v>277</v>
      </c>
      <c r="F1746" s="3">
        <v>0.56700999999884516</v>
      </c>
      <c r="G1746" s="3">
        <v>0.57048999999824446</v>
      </c>
      <c r="H1746" s="13">
        <f t="shared" si="63"/>
        <v>277.56700999999885</v>
      </c>
      <c r="I1746" s="13">
        <f t="shared" si="64"/>
        <v>277.57048999999824</v>
      </c>
      <c r="J1746" s="13">
        <f t="shared" si="65"/>
        <v>277.56874999999854</v>
      </c>
      <c r="K1746" s="7">
        <v>43742.568749999999</v>
      </c>
      <c r="L1746" s="4">
        <v>363.7</v>
      </c>
      <c r="N1746">
        <v>11.67</v>
      </c>
      <c r="Q1746">
        <v>4.11940833397147</v>
      </c>
      <c r="R1746">
        <v>-2.4722750217563298E-4</v>
      </c>
    </row>
    <row r="1747" spans="1:18" x14ac:dyDescent="0.2">
      <c r="A1747" t="s">
        <v>9</v>
      </c>
      <c r="B1747">
        <v>2</v>
      </c>
      <c r="C1747" t="s">
        <v>4</v>
      </c>
      <c r="D1747" s="2">
        <v>43742</v>
      </c>
      <c r="E1747" s="11">
        <v>277</v>
      </c>
      <c r="F1747" s="3">
        <v>0.57360999999946216</v>
      </c>
      <c r="G1747" s="3">
        <v>0.57708000000275206</v>
      </c>
      <c r="H1747" s="13">
        <f t="shared" si="63"/>
        <v>277.57360999999946</v>
      </c>
      <c r="I1747" s="13">
        <f t="shared" si="64"/>
        <v>277.57708000000275</v>
      </c>
      <c r="J1747" s="13">
        <f t="shared" si="65"/>
        <v>277.57534500000111</v>
      </c>
      <c r="K1747" s="7">
        <v>43742.575345000005</v>
      </c>
      <c r="L1747" s="4">
        <v>403.7</v>
      </c>
      <c r="M1747">
        <v>14.4</v>
      </c>
      <c r="N1747">
        <v>11.67</v>
      </c>
      <c r="O1747">
        <v>46.2</v>
      </c>
      <c r="P1747">
        <v>0.76</v>
      </c>
      <c r="Q1747">
        <v>-3.1229634948365699</v>
      </c>
      <c r="R1747">
        <v>-4.3623635462864302E-4</v>
      </c>
    </row>
    <row r="1748" spans="1:18" x14ac:dyDescent="0.2">
      <c r="A1748" t="s">
        <v>9</v>
      </c>
      <c r="B1748">
        <v>2</v>
      </c>
      <c r="C1748" t="s">
        <v>6</v>
      </c>
      <c r="D1748" s="2">
        <v>43742</v>
      </c>
      <c r="E1748" s="11">
        <v>277</v>
      </c>
      <c r="F1748" s="3">
        <v>0.57985999999800697</v>
      </c>
      <c r="G1748" s="3">
        <v>0.58333000000129687</v>
      </c>
      <c r="H1748" s="13">
        <f t="shared" si="63"/>
        <v>277.57985999999801</v>
      </c>
      <c r="I1748" s="13">
        <f t="shared" si="64"/>
        <v>277.5833300000013</v>
      </c>
      <c r="J1748" s="13">
        <f t="shared" si="65"/>
        <v>277.58159499999965</v>
      </c>
      <c r="K1748" s="7">
        <v>43742.581594999996</v>
      </c>
      <c r="L1748" s="4">
        <v>313.7</v>
      </c>
      <c r="N1748">
        <v>11.67</v>
      </c>
      <c r="Q1748">
        <v>6.1232854434772097</v>
      </c>
      <c r="R1748">
        <v>-3.6450446728361998E-4</v>
      </c>
    </row>
    <row r="1749" spans="1:18" x14ac:dyDescent="0.2">
      <c r="A1749" t="s">
        <v>9</v>
      </c>
      <c r="B1749">
        <v>3</v>
      </c>
      <c r="C1749" t="s">
        <v>4</v>
      </c>
      <c r="D1749" s="2">
        <v>43742</v>
      </c>
      <c r="E1749" s="11">
        <v>277</v>
      </c>
      <c r="F1749" s="3">
        <v>0.58610999999655178</v>
      </c>
      <c r="G1749" s="3">
        <v>0.58957999999984168</v>
      </c>
      <c r="H1749" s="13">
        <f t="shared" si="63"/>
        <v>277.58610999999655</v>
      </c>
      <c r="I1749" s="13">
        <f t="shared" si="64"/>
        <v>277.58957999999984</v>
      </c>
      <c r="J1749" s="13">
        <f t="shared" si="65"/>
        <v>277.5878449999982</v>
      </c>
      <c r="K1749" s="7">
        <v>43742.587845000002</v>
      </c>
      <c r="L1749" s="4">
        <v>463.7</v>
      </c>
      <c r="M1749">
        <v>12.8</v>
      </c>
      <c r="N1749">
        <v>11.67</v>
      </c>
      <c r="O1749">
        <v>42.4</v>
      </c>
      <c r="P1749">
        <v>0.78</v>
      </c>
      <c r="Q1749">
        <v>-4.4652103692242298</v>
      </c>
      <c r="R1749">
        <v>-3.41555416940779E-4</v>
      </c>
    </row>
    <row r="1750" spans="1:18" x14ac:dyDescent="0.2">
      <c r="A1750" t="s">
        <v>9</v>
      </c>
      <c r="B1750">
        <v>3</v>
      </c>
      <c r="C1750" t="s">
        <v>6</v>
      </c>
      <c r="D1750" s="2">
        <v>43742</v>
      </c>
      <c r="E1750" s="11">
        <v>277</v>
      </c>
      <c r="F1750" s="3">
        <v>0.59305999999924097</v>
      </c>
      <c r="G1750" s="3">
        <v>0.59653000000253087</v>
      </c>
      <c r="H1750" s="13">
        <f t="shared" si="63"/>
        <v>277.59305999999924</v>
      </c>
      <c r="I1750" s="13">
        <f t="shared" si="64"/>
        <v>277.59653000000253</v>
      </c>
      <c r="J1750" s="13">
        <f t="shared" si="65"/>
        <v>277.59479500000089</v>
      </c>
      <c r="K1750" s="7">
        <v>43742.594794999997</v>
      </c>
      <c r="L1750" s="4">
        <v>676.2</v>
      </c>
      <c r="N1750">
        <v>11.67</v>
      </c>
      <c r="Q1750">
        <v>4.8256916856314698</v>
      </c>
      <c r="R1750">
        <v>-3.23345218569919E-4</v>
      </c>
    </row>
    <row r="1751" spans="1:18" x14ac:dyDescent="0.2">
      <c r="A1751" t="s">
        <v>9</v>
      </c>
      <c r="B1751">
        <v>4</v>
      </c>
      <c r="C1751" t="s">
        <v>4</v>
      </c>
      <c r="D1751" s="2">
        <v>43742</v>
      </c>
      <c r="E1751" s="11">
        <v>277</v>
      </c>
      <c r="F1751" s="3">
        <v>0.59930999999778578</v>
      </c>
      <c r="G1751" s="3">
        <v>0.60278000000107568</v>
      </c>
      <c r="H1751" s="13">
        <f t="shared" si="63"/>
        <v>277.59930999999779</v>
      </c>
      <c r="I1751" s="13">
        <f t="shared" si="64"/>
        <v>277.60278000000108</v>
      </c>
      <c r="J1751" s="13">
        <f t="shared" si="65"/>
        <v>277.60104499999943</v>
      </c>
      <c r="K1751" s="7">
        <v>43742.601045000003</v>
      </c>
      <c r="L1751" s="4">
        <v>1126.2</v>
      </c>
      <c r="M1751">
        <v>13.3</v>
      </c>
      <c r="N1751">
        <v>11.67</v>
      </c>
      <c r="O1751">
        <v>48.3</v>
      </c>
      <c r="P1751">
        <v>0.78</v>
      </c>
      <c r="Q1751">
        <v>-3.40449703765242</v>
      </c>
      <c r="R1751">
        <v>-2.3072841480464799E-4</v>
      </c>
    </row>
    <row r="1752" spans="1:18" x14ac:dyDescent="0.2">
      <c r="A1752" t="s">
        <v>9</v>
      </c>
      <c r="B1752">
        <v>4</v>
      </c>
      <c r="C1752" t="s">
        <v>6</v>
      </c>
      <c r="D1752" s="2">
        <v>43742</v>
      </c>
      <c r="E1752" s="11">
        <v>277</v>
      </c>
      <c r="F1752" s="3">
        <v>0.60556000000360655</v>
      </c>
      <c r="G1752" s="3">
        <v>0.60902999999962049</v>
      </c>
      <c r="H1752" s="13">
        <f t="shared" si="63"/>
        <v>277.60556000000361</v>
      </c>
      <c r="I1752" s="13">
        <f t="shared" si="64"/>
        <v>277.60902999999962</v>
      </c>
      <c r="J1752" s="13">
        <f t="shared" si="65"/>
        <v>277.60729500000161</v>
      </c>
      <c r="K1752" s="7">
        <v>43742.607295000002</v>
      </c>
      <c r="L1752" s="4">
        <v>411.2</v>
      </c>
      <c r="N1752">
        <v>11.67</v>
      </c>
      <c r="Q1752">
        <v>4.7627446207065196</v>
      </c>
      <c r="R1752">
        <v>-2.9962652129249701E-4</v>
      </c>
    </row>
    <row r="1753" spans="1:18" x14ac:dyDescent="0.2">
      <c r="A1753" t="s">
        <v>9</v>
      </c>
      <c r="B1753">
        <v>5</v>
      </c>
      <c r="C1753" t="s">
        <v>4</v>
      </c>
      <c r="D1753" s="2">
        <v>43742</v>
      </c>
      <c r="E1753" s="11">
        <v>277</v>
      </c>
      <c r="F1753" s="3">
        <v>0.61110999999800697</v>
      </c>
      <c r="G1753" s="3">
        <v>0.61458000000129687</v>
      </c>
      <c r="H1753" s="13">
        <f t="shared" si="63"/>
        <v>277.61110999999801</v>
      </c>
      <c r="I1753" s="13">
        <f t="shared" si="64"/>
        <v>277.6145800000013</v>
      </c>
      <c r="J1753" s="13">
        <f t="shared" si="65"/>
        <v>277.61284499999965</v>
      </c>
      <c r="K1753" s="7">
        <v>43742.612844999996</v>
      </c>
      <c r="L1753" s="4">
        <v>398.7</v>
      </c>
      <c r="M1753">
        <v>13.2</v>
      </c>
      <c r="N1753">
        <v>12.78</v>
      </c>
      <c r="O1753">
        <v>53.7</v>
      </c>
      <c r="P1753">
        <v>0.8</v>
      </c>
      <c r="Q1753">
        <v>-2.4733368119925601</v>
      </c>
      <c r="R1753">
        <v>-2.4424577883063597E-4</v>
      </c>
    </row>
    <row r="1754" spans="1:18" x14ac:dyDescent="0.2">
      <c r="A1754" t="s">
        <v>9</v>
      </c>
      <c r="B1754">
        <v>5</v>
      </c>
      <c r="C1754" t="s">
        <v>6</v>
      </c>
      <c r="D1754" s="2">
        <v>43742</v>
      </c>
      <c r="E1754" s="11">
        <v>277</v>
      </c>
      <c r="F1754" s="3">
        <v>0.61806000000069616</v>
      </c>
      <c r="G1754" s="3">
        <v>0.6215299999967101</v>
      </c>
      <c r="H1754" s="13">
        <f t="shared" si="63"/>
        <v>277.6180600000007</v>
      </c>
      <c r="I1754" s="13">
        <f t="shared" si="64"/>
        <v>277.62152999999671</v>
      </c>
      <c r="J1754" s="13">
        <f t="shared" si="65"/>
        <v>277.6197949999987</v>
      </c>
      <c r="K1754" s="7">
        <v>43742.619794999999</v>
      </c>
      <c r="L1754" s="4">
        <v>613.70000000000005</v>
      </c>
      <c r="N1754">
        <v>12.78</v>
      </c>
      <c r="Q1754">
        <v>4.4872235698593697</v>
      </c>
      <c r="R1754">
        <v>-1.73697104023389E-4</v>
      </c>
    </row>
    <row r="1755" spans="1:18" x14ac:dyDescent="0.2">
      <c r="A1755" t="s">
        <v>9</v>
      </c>
      <c r="B1755">
        <v>1</v>
      </c>
      <c r="C1755" t="s">
        <v>4</v>
      </c>
      <c r="D1755" s="2">
        <v>43742</v>
      </c>
      <c r="E1755" s="11">
        <v>277</v>
      </c>
      <c r="F1755" s="3">
        <v>0.64235999999800697</v>
      </c>
      <c r="G1755" s="3">
        <v>0.64583000000129687</v>
      </c>
      <c r="H1755" s="13">
        <f t="shared" si="63"/>
        <v>277.64235999999801</v>
      </c>
      <c r="I1755" s="13">
        <f t="shared" si="64"/>
        <v>277.6458300000013</v>
      </c>
      <c r="J1755" s="13">
        <f t="shared" si="65"/>
        <v>277.64409499999965</v>
      </c>
      <c r="K1755" s="7">
        <v>43742.644094999996</v>
      </c>
      <c r="L1755" s="4">
        <v>361.2</v>
      </c>
      <c r="M1755">
        <v>10</v>
      </c>
      <c r="N1755">
        <v>12.78</v>
      </c>
      <c r="O1755">
        <v>50.2</v>
      </c>
      <c r="P1755">
        <v>0.74</v>
      </c>
      <c r="Q1755">
        <v>-2.7129669551187501</v>
      </c>
      <c r="R1755">
        <v>-2.1968315451771999E-4</v>
      </c>
    </row>
    <row r="1756" spans="1:18" x14ac:dyDescent="0.2">
      <c r="A1756" t="s">
        <v>9</v>
      </c>
      <c r="B1756">
        <v>1</v>
      </c>
      <c r="C1756" t="s">
        <v>6</v>
      </c>
      <c r="D1756" s="2">
        <v>43742</v>
      </c>
      <c r="E1756" s="11">
        <v>277</v>
      </c>
      <c r="F1756" s="3">
        <v>0.64792000000306871</v>
      </c>
      <c r="G1756" s="3">
        <v>0.65138999999908265</v>
      </c>
      <c r="H1756" s="13">
        <f t="shared" si="63"/>
        <v>277.64792000000307</v>
      </c>
      <c r="I1756" s="13">
        <f t="shared" si="64"/>
        <v>277.65138999999908</v>
      </c>
      <c r="J1756" s="13">
        <f t="shared" si="65"/>
        <v>277.64965500000108</v>
      </c>
      <c r="K1756" s="7">
        <v>43742.649655000001</v>
      </c>
      <c r="L1756" s="4">
        <v>376.2</v>
      </c>
      <c r="N1756">
        <v>12.78</v>
      </c>
      <c r="Q1756">
        <v>5.8717233559010804</v>
      </c>
      <c r="R1756">
        <v>-2.81920072589456E-4</v>
      </c>
    </row>
    <row r="1757" spans="1:18" x14ac:dyDescent="0.2">
      <c r="A1757" t="s">
        <v>9</v>
      </c>
      <c r="B1757">
        <v>2</v>
      </c>
      <c r="C1757" t="s">
        <v>4</v>
      </c>
      <c r="D1757" s="2">
        <v>43742</v>
      </c>
      <c r="E1757" s="11">
        <v>277</v>
      </c>
      <c r="F1757" s="3">
        <v>0.65486000000237254</v>
      </c>
      <c r="G1757" s="3">
        <v>0.65832999999838648</v>
      </c>
      <c r="H1757" s="13">
        <f t="shared" si="63"/>
        <v>277.65486000000237</v>
      </c>
      <c r="I1757" s="13">
        <f t="shared" si="64"/>
        <v>277.65832999999839</v>
      </c>
      <c r="J1757" s="13">
        <f t="shared" si="65"/>
        <v>277.65659500000038</v>
      </c>
      <c r="K1757" s="7">
        <v>43742.656595</v>
      </c>
      <c r="L1757" s="4">
        <v>443.7</v>
      </c>
      <c r="M1757">
        <v>13.5</v>
      </c>
      <c r="N1757">
        <v>12.78</v>
      </c>
      <c r="O1757">
        <v>58.5</v>
      </c>
      <c r="P1757">
        <v>0.78</v>
      </c>
      <c r="Q1757">
        <v>-4.3262230590501796</v>
      </c>
      <c r="R1757">
        <v>-4.1528958354652501E-4</v>
      </c>
    </row>
    <row r="1758" spans="1:18" x14ac:dyDescent="0.2">
      <c r="A1758" t="s">
        <v>9</v>
      </c>
      <c r="B1758">
        <v>2</v>
      </c>
      <c r="C1758" t="s">
        <v>6</v>
      </c>
      <c r="D1758" s="2">
        <v>43742</v>
      </c>
      <c r="E1758" s="11">
        <v>277</v>
      </c>
      <c r="F1758" s="3">
        <v>0.66042000000015832</v>
      </c>
      <c r="G1758" s="3">
        <v>0.66389000000344822</v>
      </c>
      <c r="H1758" s="13">
        <f t="shared" si="63"/>
        <v>277.66042000000016</v>
      </c>
      <c r="I1758" s="13">
        <f t="shared" si="64"/>
        <v>277.66389000000345</v>
      </c>
      <c r="J1758" s="13">
        <f t="shared" si="65"/>
        <v>277.6621550000018</v>
      </c>
      <c r="K1758" s="7">
        <v>43742.662154999998</v>
      </c>
      <c r="L1758" s="4">
        <v>656.2</v>
      </c>
      <c r="N1758">
        <v>12.78</v>
      </c>
      <c r="Q1758">
        <v>5.6461694063415004</v>
      </c>
      <c r="R1758">
        <v>-3.3699913374115502E-4</v>
      </c>
    </row>
    <row r="1759" spans="1:18" x14ac:dyDescent="0.2">
      <c r="A1759" t="s">
        <v>9</v>
      </c>
      <c r="B1759">
        <v>3</v>
      </c>
      <c r="C1759" t="s">
        <v>4</v>
      </c>
      <c r="D1759" s="2">
        <v>43742</v>
      </c>
      <c r="E1759" s="11">
        <v>277</v>
      </c>
      <c r="F1759" s="3">
        <v>0.66597000000183471</v>
      </c>
      <c r="G1759" s="3">
        <v>0.66943999999784864</v>
      </c>
      <c r="H1759" s="13">
        <f t="shared" si="63"/>
        <v>277.66597000000183</v>
      </c>
      <c r="I1759" s="13">
        <f t="shared" si="64"/>
        <v>277.66943999999785</v>
      </c>
      <c r="J1759" s="13">
        <f t="shared" si="65"/>
        <v>277.66770499999984</v>
      </c>
      <c r="K1759" s="7">
        <v>43742.667705</v>
      </c>
      <c r="L1759" s="4">
        <v>996.2</v>
      </c>
      <c r="M1759">
        <v>13.3</v>
      </c>
      <c r="N1759">
        <v>12.78</v>
      </c>
      <c r="O1759">
        <v>57.6</v>
      </c>
      <c r="P1759">
        <v>0.77</v>
      </c>
      <c r="Q1759">
        <v>-10.0472353497484</v>
      </c>
      <c r="R1759">
        <v>-2.8820365228331499E-4</v>
      </c>
    </row>
    <row r="1760" spans="1:18" x14ac:dyDescent="0.2">
      <c r="A1760" t="s">
        <v>9</v>
      </c>
      <c r="B1760">
        <v>3</v>
      </c>
      <c r="C1760" t="s">
        <v>6</v>
      </c>
      <c r="D1760" s="2">
        <v>43742</v>
      </c>
      <c r="E1760" s="11">
        <v>277</v>
      </c>
      <c r="F1760" s="3">
        <v>0.67274000000179512</v>
      </c>
      <c r="G1760" s="3">
        <v>0.67622000000119442</v>
      </c>
      <c r="H1760" s="13">
        <f t="shared" si="63"/>
        <v>277.6727400000018</v>
      </c>
      <c r="I1760" s="13">
        <f t="shared" si="64"/>
        <v>277.67622000000119</v>
      </c>
      <c r="J1760" s="13">
        <f t="shared" si="65"/>
        <v>277.67448000000149</v>
      </c>
      <c r="K1760" s="7">
        <v>43742.674480000001</v>
      </c>
      <c r="L1760" s="4">
        <v>278.7</v>
      </c>
      <c r="N1760">
        <v>12.78</v>
      </c>
      <c r="Q1760">
        <v>6.8320172175469596</v>
      </c>
      <c r="R1760">
        <v>-3.4659729820584601E-4</v>
      </c>
    </row>
    <row r="1761" spans="1:18" x14ac:dyDescent="0.2">
      <c r="A1761" t="s">
        <v>9</v>
      </c>
      <c r="B1761">
        <v>4</v>
      </c>
      <c r="C1761" t="s">
        <v>4</v>
      </c>
      <c r="D1761" s="2">
        <v>43742</v>
      </c>
      <c r="E1761" s="11">
        <v>277</v>
      </c>
      <c r="F1761" s="3">
        <v>0.67917000000306871</v>
      </c>
      <c r="G1761" s="3">
        <v>0.68263999999908265</v>
      </c>
      <c r="H1761" s="13">
        <f t="shared" si="63"/>
        <v>277.67917000000307</v>
      </c>
      <c r="I1761" s="13">
        <f t="shared" si="64"/>
        <v>277.68263999999908</v>
      </c>
      <c r="J1761" s="13">
        <f t="shared" si="65"/>
        <v>277.68090500000108</v>
      </c>
      <c r="K1761" s="7">
        <v>43742.680905000001</v>
      </c>
      <c r="L1761" s="4">
        <v>263.7</v>
      </c>
      <c r="M1761">
        <v>10.9</v>
      </c>
      <c r="N1761">
        <v>12.78</v>
      </c>
      <c r="O1761">
        <v>58.6</v>
      </c>
      <c r="P1761">
        <v>0.78</v>
      </c>
      <c r="Q1761">
        <v>1.06040751577911</v>
      </c>
      <c r="R1761">
        <v>-2.8853743147442602E-4</v>
      </c>
    </row>
    <row r="1762" spans="1:18" x14ac:dyDescent="0.2">
      <c r="A1762" t="s">
        <v>9</v>
      </c>
      <c r="B1762">
        <v>4</v>
      </c>
      <c r="C1762" t="s">
        <v>6</v>
      </c>
      <c r="D1762" s="2">
        <v>43742</v>
      </c>
      <c r="E1762" s="11">
        <v>277</v>
      </c>
      <c r="F1762" s="3">
        <v>0.68611000000237254</v>
      </c>
      <c r="G1762" s="3">
        <v>0.68957999999838648</v>
      </c>
      <c r="H1762" s="13">
        <f t="shared" si="63"/>
        <v>277.68611000000237</v>
      </c>
      <c r="I1762" s="13">
        <f t="shared" si="64"/>
        <v>277.68957999999839</v>
      </c>
      <c r="J1762" s="13">
        <f t="shared" si="65"/>
        <v>277.68784500000038</v>
      </c>
      <c r="K1762" s="7">
        <v>43742.687845</v>
      </c>
      <c r="L1762" s="4">
        <v>268.7</v>
      </c>
      <c r="N1762">
        <v>12.78</v>
      </c>
      <c r="Q1762">
        <v>5.6383672867416799</v>
      </c>
      <c r="R1762">
        <v>-2.2822712032701399E-4</v>
      </c>
    </row>
    <row r="1763" spans="1:18" x14ac:dyDescent="0.2">
      <c r="A1763" t="s">
        <v>9</v>
      </c>
      <c r="B1763">
        <v>5</v>
      </c>
      <c r="C1763" t="s">
        <v>4</v>
      </c>
      <c r="D1763" s="2">
        <v>43742</v>
      </c>
      <c r="E1763" s="11">
        <v>277</v>
      </c>
      <c r="F1763" s="3">
        <v>0.6909700000032899</v>
      </c>
      <c r="G1763" s="3">
        <v>0.69443999999930384</v>
      </c>
      <c r="H1763" s="13">
        <f t="shared" si="63"/>
        <v>277.69097000000329</v>
      </c>
      <c r="I1763" s="13">
        <f t="shared" si="64"/>
        <v>277.6944399999993</v>
      </c>
      <c r="J1763" s="13">
        <f t="shared" si="65"/>
        <v>277.6927050000013</v>
      </c>
      <c r="K1763" s="7">
        <v>43742.692705000001</v>
      </c>
      <c r="L1763" s="4">
        <v>261.2</v>
      </c>
      <c r="M1763">
        <v>12.1</v>
      </c>
      <c r="N1763">
        <v>13.89</v>
      </c>
      <c r="O1763">
        <v>51.6</v>
      </c>
      <c r="P1763">
        <v>0.77</v>
      </c>
      <c r="Q1763">
        <v>-1.3298966052363099</v>
      </c>
      <c r="R1763">
        <v>-2.0628798628156601E-4</v>
      </c>
    </row>
    <row r="1764" spans="1:18" x14ac:dyDescent="0.2">
      <c r="A1764" t="s">
        <v>9</v>
      </c>
      <c r="B1764">
        <v>5</v>
      </c>
      <c r="C1764" t="s">
        <v>6</v>
      </c>
      <c r="D1764" s="2">
        <v>43742</v>
      </c>
      <c r="E1764" s="11">
        <v>277</v>
      </c>
      <c r="F1764" s="3">
        <v>0.69653000000107568</v>
      </c>
      <c r="G1764" s="3">
        <v>0.69999999999708962</v>
      </c>
      <c r="H1764" s="13">
        <f t="shared" si="63"/>
        <v>277.69653000000108</v>
      </c>
      <c r="I1764" s="13">
        <f t="shared" si="64"/>
        <v>277.69999999999709</v>
      </c>
      <c r="J1764" s="13">
        <f t="shared" si="65"/>
        <v>277.69826499999908</v>
      </c>
      <c r="K1764" s="7">
        <v>43742.698264999999</v>
      </c>
      <c r="L1764" s="4">
        <v>201.2</v>
      </c>
      <c r="N1764">
        <v>13.89</v>
      </c>
      <c r="Q1764">
        <v>4.1631866006396701</v>
      </c>
      <c r="R1764">
        <v>-2.2637816693812501E-4</v>
      </c>
    </row>
    <row r="1765" spans="1:18" x14ac:dyDescent="0.2">
      <c r="A1765" t="s">
        <v>9</v>
      </c>
      <c r="B1765">
        <v>1</v>
      </c>
      <c r="C1765" t="s">
        <v>4</v>
      </c>
      <c r="D1765" s="2">
        <v>43748</v>
      </c>
      <c r="E1765" s="11">
        <v>283</v>
      </c>
      <c r="F1765" s="3">
        <v>0.44653000000107568</v>
      </c>
      <c r="G1765" s="3">
        <v>0.44999999999708962</v>
      </c>
      <c r="H1765" s="13">
        <f t="shared" si="63"/>
        <v>283.44653000000108</v>
      </c>
      <c r="I1765" s="13">
        <f t="shared" si="64"/>
        <v>283.44999999999709</v>
      </c>
      <c r="J1765" s="13">
        <f t="shared" si="65"/>
        <v>283.44826499999908</v>
      </c>
      <c r="K1765" s="7">
        <v>43748.448264999999</v>
      </c>
      <c r="L1765" s="4">
        <v>1163.7</v>
      </c>
      <c r="M1765">
        <v>17</v>
      </c>
      <c r="N1765">
        <v>15</v>
      </c>
      <c r="O1765">
        <v>45.8</v>
      </c>
      <c r="P1765">
        <v>0.77</v>
      </c>
      <c r="Q1765">
        <v>-2.7807703057687498</v>
      </c>
      <c r="R1765">
        <v>-2.27232323915993E-4</v>
      </c>
    </row>
    <row r="1766" spans="1:18" x14ac:dyDescent="0.2">
      <c r="A1766" t="s">
        <v>9</v>
      </c>
      <c r="B1766">
        <v>1</v>
      </c>
      <c r="C1766" t="s">
        <v>6</v>
      </c>
      <c r="D1766" s="2">
        <v>43748</v>
      </c>
      <c r="E1766" s="11">
        <v>283</v>
      </c>
      <c r="F1766" s="3">
        <v>0.45277999999962049</v>
      </c>
      <c r="G1766" s="3">
        <v>0.45625000000291038</v>
      </c>
      <c r="H1766" s="13">
        <f t="shared" si="63"/>
        <v>283.45277999999962</v>
      </c>
      <c r="I1766" s="13">
        <f t="shared" si="64"/>
        <v>283.45625000000291</v>
      </c>
      <c r="J1766" s="13">
        <f t="shared" si="65"/>
        <v>283.45451500000127</v>
      </c>
      <c r="K1766" s="7">
        <v>43748.454515000005</v>
      </c>
      <c r="L1766" s="4">
        <v>1181.2</v>
      </c>
      <c r="N1766">
        <v>15</v>
      </c>
      <c r="Q1766">
        <v>6.5913460955809899</v>
      </c>
      <c r="R1766">
        <v>-2.8887034208324399E-4</v>
      </c>
    </row>
    <row r="1767" spans="1:18" x14ac:dyDescent="0.2">
      <c r="A1767" t="s">
        <v>9</v>
      </c>
      <c r="B1767">
        <v>2</v>
      </c>
      <c r="C1767" t="s">
        <v>4</v>
      </c>
      <c r="D1767" s="2">
        <v>43748</v>
      </c>
      <c r="E1767" s="11">
        <v>283</v>
      </c>
      <c r="F1767" s="3">
        <v>0.45833000000129687</v>
      </c>
      <c r="G1767" s="3">
        <v>0.46181000000069616</v>
      </c>
      <c r="H1767" s="13">
        <f t="shared" si="63"/>
        <v>283.4583300000013</v>
      </c>
      <c r="I1767" s="13">
        <f t="shared" si="64"/>
        <v>283.4618100000007</v>
      </c>
      <c r="J1767" s="13">
        <f t="shared" si="65"/>
        <v>283.460070000001</v>
      </c>
      <c r="K1767" s="7">
        <v>43748.460070000001</v>
      </c>
      <c r="L1767" s="4">
        <v>1201.2</v>
      </c>
      <c r="M1767">
        <v>13.3</v>
      </c>
      <c r="N1767">
        <v>15</v>
      </c>
      <c r="O1767">
        <v>53.3</v>
      </c>
      <c r="P1767">
        <v>0.73</v>
      </c>
      <c r="Q1767">
        <v>-9.3414888721381093</v>
      </c>
      <c r="R1767">
        <v>-3.1060059587653899E-4</v>
      </c>
    </row>
    <row r="1768" spans="1:18" x14ac:dyDescent="0.2">
      <c r="A1768" t="s">
        <v>9</v>
      </c>
      <c r="B1768">
        <v>2</v>
      </c>
      <c r="C1768" t="s">
        <v>6</v>
      </c>
      <c r="D1768" s="2">
        <v>43748</v>
      </c>
      <c r="E1768" s="11">
        <v>283</v>
      </c>
      <c r="F1768" s="3">
        <v>0.46353999999701045</v>
      </c>
      <c r="G1768" s="3">
        <v>0.46701000000030035</v>
      </c>
      <c r="H1768" s="13">
        <f t="shared" si="63"/>
        <v>283.46353999999701</v>
      </c>
      <c r="I1768" s="13">
        <f t="shared" si="64"/>
        <v>283.4670100000003</v>
      </c>
      <c r="J1768" s="13">
        <f t="shared" si="65"/>
        <v>283.46527499999866</v>
      </c>
      <c r="K1768" s="7">
        <v>43748.465274999995</v>
      </c>
      <c r="L1768" s="4">
        <v>1221.2</v>
      </c>
      <c r="N1768">
        <v>15</v>
      </c>
      <c r="Q1768">
        <v>8.7634262268029293</v>
      </c>
      <c r="R1768">
        <v>-2.2165517967780499E-4</v>
      </c>
    </row>
    <row r="1769" spans="1:18" x14ac:dyDescent="0.2">
      <c r="A1769" t="s">
        <v>9</v>
      </c>
      <c r="B1769">
        <v>3</v>
      </c>
      <c r="C1769" t="s">
        <v>4</v>
      </c>
      <c r="D1769" s="2">
        <v>43748</v>
      </c>
      <c r="E1769" s="11">
        <v>283</v>
      </c>
      <c r="F1769" s="3">
        <v>0.47013999999762746</v>
      </c>
      <c r="G1769" s="3">
        <v>0.47361000000091735</v>
      </c>
      <c r="H1769" s="13">
        <f t="shared" si="63"/>
        <v>283.47013999999763</v>
      </c>
      <c r="I1769" s="13">
        <f t="shared" si="64"/>
        <v>283.47361000000092</v>
      </c>
      <c r="J1769" s="13">
        <f t="shared" si="65"/>
        <v>283.47187499999927</v>
      </c>
      <c r="K1769" s="7">
        <v>43748.471875000003</v>
      </c>
      <c r="L1769" s="4">
        <v>1246.2</v>
      </c>
      <c r="M1769">
        <v>15.6</v>
      </c>
      <c r="N1769">
        <v>15</v>
      </c>
      <c r="O1769">
        <v>41.8</v>
      </c>
      <c r="P1769">
        <v>0.75</v>
      </c>
      <c r="Q1769">
        <v>-6.4746570328216801</v>
      </c>
      <c r="R1769">
        <v>-1.61980197074832E-4</v>
      </c>
    </row>
    <row r="1770" spans="1:18" x14ac:dyDescent="0.2">
      <c r="A1770" t="s">
        <v>9</v>
      </c>
      <c r="B1770">
        <v>3</v>
      </c>
      <c r="C1770" t="s">
        <v>6</v>
      </c>
      <c r="D1770" s="2">
        <v>43748</v>
      </c>
      <c r="E1770" s="11">
        <v>283</v>
      </c>
      <c r="F1770" s="3">
        <v>0.4768499999991036</v>
      </c>
      <c r="G1770" s="3">
        <v>0.4803200000023935</v>
      </c>
      <c r="H1770" s="13">
        <f t="shared" si="63"/>
        <v>283.4768499999991</v>
      </c>
      <c r="I1770" s="13">
        <f t="shared" si="64"/>
        <v>283.48032000000239</v>
      </c>
      <c r="J1770" s="13">
        <f t="shared" si="65"/>
        <v>283.47858500000075</v>
      </c>
      <c r="K1770" s="7">
        <v>43748.478585000004</v>
      </c>
      <c r="L1770" s="4">
        <v>1268.7</v>
      </c>
      <c r="N1770">
        <v>15</v>
      </c>
      <c r="Q1770">
        <v>6.7678028709351299</v>
      </c>
      <c r="R1770">
        <v>-1.99051754828734E-4</v>
      </c>
    </row>
    <row r="1771" spans="1:18" x14ac:dyDescent="0.2">
      <c r="A1771" t="s">
        <v>9</v>
      </c>
      <c r="B1771">
        <v>4</v>
      </c>
      <c r="C1771" t="s">
        <v>4</v>
      </c>
      <c r="D1771" s="2">
        <v>43748</v>
      </c>
      <c r="E1771" s="11">
        <v>283</v>
      </c>
      <c r="F1771" s="3">
        <v>0.48193999999784864</v>
      </c>
      <c r="G1771" s="3">
        <v>0.48541999999724794</v>
      </c>
      <c r="H1771" s="13">
        <f t="shared" si="63"/>
        <v>283.48193999999785</v>
      </c>
      <c r="I1771" s="13">
        <f t="shared" si="64"/>
        <v>283.48541999999725</v>
      </c>
      <c r="J1771" s="13">
        <f t="shared" si="65"/>
        <v>283.48367999999755</v>
      </c>
      <c r="K1771" s="7">
        <v>43748.483679999998</v>
      </c>
      <c r="L1771" s="4">
        <v>1286.2</v>
      </c>
      <c r="M1771">
        <v>14.6</v>
      </c>
      <c r="N1771">
        <v>15</v>
      </c>
      <c r="O1771">
        <v>55.1</v>
      </c>
      <c r="P1771">
        <v>0.77</v>
      </c>
      <c r="Q1771">
        <v>-4.5588735997260796</v>
      </c>
      <c r="R1771">
        <v>-1.1125297925017599E-4</v>
      </c>
    </row>
    <row r="1772" spans="1:18" x14ac:dyDescent="0.2">
      <c r="A1772" t="s">
        <v>9</v>
      </c>
      <c r="B1772">
        <v>4</v>
      </c>
      <c r="C1772" t="s">
        <v>6</v>
      </c>
      <c r="D1772" s="2">
        <v>43748</v>
      </c>
      <c r="E1772" s="11">
        <v>283</v>
      </c>
      <c r="F1772" s="3">
        <v>0.48818999999639345</v>
      </c>
      <c r="G1772" s="3">
        <v>0.49167000000306871</v>
      </c>
      <c r="H1772" s="13">
        <f t="shared" si="63"/>
        <v>283.48818999999639</v>
      </c>
      <c r="I1772" s="13">
        <f t="shared" si="64"/>
        <v>283.49167000000307</v>
      </c>
      <c r="J1772" s="13">
        <f t="shared" si="65"/>
        <v>283.48992999999973</v>
      </c>
      <c r="K1772" s="7">
        <v>43748.489929999996</v>
      </c>
      <c r="L1772" s="4">
        <v>1308.7</v>
      </c>
      <c r="N1772">
        <v>15</v>
      </c>
      <c r="Q1772">
        <v>7.2774671560315101</v>
      </c>
      <c r="R1772">
        <v>-1.57458936029528E-4</v>
      </c>
    </row>
    <row r="1773" spans="1:18" x14ac:dyDescent="0.2">
      <c r="A1773" t="s">
        <v>9</v>
      </c>
      <c r="B1773">
        <v>5</v>
      </c>
      <c r="C1773" t="s">
        <v>4</v>
      </c>
      <c r="D1773" s="2">
        <v>43748</v>
      </c>
      <c r="E1773" s="11">
        <v>283</v>
      </c>
      <c r="F1773" s="3">
        <v>0.49375000000145519</v>
      </c>
      <c r="G1773" s="3">
        <v>0.49721999999746913</v>
      </c>
      <c r="H1773" s="13">
        <f t="shared" si="63"/>
        <v>283.49375000000146</v>
      </c>
      <c r="I1773" s="13">
        <f t="shared" si="64"/>
        <v>283.49721999999747</v>
      </c>
      <c r="J1773" s="13">
        <f t="shared" si="65"/>
        <v>283.49548499999946</v>
      </c>
      <c r="K1773" s="7">
        <v>43748.495484999999</v>
      </c>
      <c r="L1773" s="4">
        <v>1321.2</v>
      </c>
      <c r="M1773">
        <v>17.600000000000001</v>
      </c>
      <c r="N1773">
        <v>18.89</v>
      </c>
      <c r="O1773">
        <v>34.299999999999997</v>
      </c>
      <c r="P1773">
        <v>0.78</v>
      </c>
      <c r="Q1773">
        <v>-5.7388538916312903</v>
      </c>
      <c r="R1773" s="6">
        <v>1.21760979647981E-5</v>
      </c>
    </row>
    <row r="1774" spans="1:18" x14ac:dyDescent="0.2">
      <c r="A1774" t="s">
        <v>9</v>
      </c>
      <c r="B1774">
        <v>5</v>
      </c>
      <c r="C1774" t="s">
        <v>6</v>
      </c>
      <c r="D1774" s="2">
        <v>43748</v>
      </c>
      <c r="E1774" s="11">
        <v>283</v>
      </c>
      <c r="F1774" s="3">
        <v>0.49930999999924097</v>
      </c>
      <c r="G1774" s="3">
        <v>0.50278000000253087</v>
      </c>
      <c r="H1774" s="13">
        <f t="shared" si="63"/>
        <v>283.49930999999924</v>
      </c>
      <c r="I1774" s="13">
        <f t="shared" si="64"/>
        <v>283.50278000000253</v>
      </c>
      <c r="J1774" s="13">
        <f t="shared" si="65"/>
        <v>283.50104500000089</v>
      </c>
      <c r="K1774" s="7">
        <v>43748.501044999997</v>
      </c>
      <c r="L1774" s="4">
        <v>1333.7</v>
      </c>
      <c r="N1774">
        <v>18.89</v>
      </c>
      <c r="Q1774">
        <v>5.8360550550786101</v>
      </c>
      <c r="R1774" s="6">
        <v>-4.8119294213572699E-5</v>
      </c>
    </row>
    <row r="1775" spans="1:18" x14ac:dyDescent="0.2">
      <c r="A1775" t="s">
        <v>9</v>
      </c>
      <c r="B1775">
        <v>1</v>
      </c>
      <c r="C1775" t="s">
        <v>4</v>
      </c>
      <c r="D1775" s="2">
        <v>43748</v>
      </c>
      <c r="E1775" s="11">
        <v>283</v>
      </c>
      <c r="F1775" s="3">
        <v>0.54860999999800697</v>
      </c>
      <c r="G1775" s="3">
        <v>0.55208000000129687</v>
      </c>
      <c r="H1775" s="13">
        <f t="shared" si="63"/>
        <v>283.54860999999801</v>
      </c>
      <c r="I1775" s="13">
        <f t="shared" si="64"/>
        <v>283.5520800000013</v>
      </c>
      <c r="J1775" s="13">
        <f t="shared" si="65"/>
        <v>283.55034499999965</v>
      </c>
      <c r="K1775" s="7">
        <v>43748.550344999996</v>
      </c>
      <c r="L1775" s="4">
        <v>1363.7</v>
      </c>
      <c r="M1775">
        <v>13</v>
      </c>
      <c r="N1775">
        <v>19.440000000000001</v>
      </c>
      <c r="O1775">
        <v>40.1</v>
      </c>
      <c r="P1775">
        <v>0.81</v>
      </c>
      <c r="Q1775">
        <v>-0.69894186539618797</v>
      </c>
      <c r="R1775" s="6">
        <v>-1.03773255964392E-5</v>
      </c>
    </row>
    <row r="1776" spans="1:18" x14ac:dyDescent="0.2">
      <c r="A1776" t="s">
        <v>9</v>
      </c>
      <c r="B1776">
        <v>1</v>
      </c>
      <c r="C1776" t="s">
        <v>6</v>
      </c>
      <c r="D1776" s="2">
        <v>43748</v>
      </c>
      <c r="E1776" s="11">
        <v>283</v>
      </c>
      <c r="F1776" s="3">
        <v>0.55417000000306871</v>
      </c>
      <c r="G1776" s="3">
        <v>0.55763999999908265</v>
      </c>
      <c r="H1776" s="13">
        <f t="shared" si="63"/>
        <v>283.55417000000307</v>
      </c>
      <c r="I1776" s="13">
        <f t="shared" si="64"/>
        <v>283.55763999999908</v>
      </c>
      <c r="J1776" s="13">
        <f t="shared" si="65"/>
        <v>283.55590500000108</v>
      </c>
      <c r="K1776" s="7">
        <v>43748.555905000001</v>
      </c>
      <c r="L1776" s="4">
        <v>1361.2</v>
      </c>
      <c r="N1776">
        <v>19.440000000000001</v>
      </c>
      <c r="Q1776">
        <v>7.5694815359768297</v>
      </c>
      <c r="R1776" s="6">
        <v>-2.6216031303579501E-5</v>
      </c>
    </row>
    <row r="1777" spans="1:18" x14ac:dyDescent="0.2">
      <c r="A1777" t="s">
        <v>9</v>
      </c>
      <c r="B1777">
        <v>2</v>
      </c>
      <c r="C1777" t="s">
        <v>4</v>
      </c>
      <c r="D1777" s="2">
        <v>43748</v>
      </c>
      <c r="E1777" s="11">
        <v>283</v>
      </c>
      <c r="F1777" s="3">
        <v>0.55971999999746913</v>
      </c>
      <c r="G1777" s="3">
        <v>0.56319000000075903</v>
      </c>
      <c r="H1777" s="13">
        <f t="shared" si="63"/>
        <v>283.55971999999747</v>
      </c>
      <c r="I1777" s="13">
        <f t="shared" si="64"/>
        <v>283.56319000000076</v>
      </c>
      <c r="J1777" s="13">
        <f t="shared" si="65"/>
        <v>283.56145499999911</v>
      </c>
      <c r="K1777" s="7">
        <v>43748.561455000003</v>
      </c>
      <c r="L1777" s="4">
        <v>1351.2</v>
      </c>
      <c r="M1777">
        <v>15.6</v>
      </c>
      <c r="N1777">
        <v>19.440000000000001</v>
      </c>
      <c r="O1777">
        <v>45.6</v>
      </c>
      <c r="P1777">
        <v>0.74</v>
      </c>
      <c r="Q1777">
        <v>-6.09081238231912</v>
      </c>
      <c r="R1777" s="6">
        <v>-6.7668500734996995E-5</v>
      </c>
    </row>
    <row r="1778" spans="1:18" x14ac:dyDescent="0.2">
      <c r="A1778" t="s">
        <v>9</v>
      </c>
      <c r="B1778">
        <v>2</v>
      </c>
      <c r="C1778" t="s">
        <v>6</v>
      </c>
      <c r="D1778" s="2">
        <v>43748</v>
      </c>
      <c r="E1778" s="11">
        <v>283</v>
      </c>
      <c r="F1778" s="3">
        <v>0.56667000000015832</v>
      </c>
      <c r="G1778" s="3">
        <v>0.57014000000344822</v>
      </c>
      <c r="H1778" s="13">
        <f t="shared" si="63"/>
        <v>283.56667000000016</v>
      </c>
      <c r="I1778" s="13">
        <f t="shared" si="64"/>
        <v>283.57014000000345</v>
      </c>
      <c r="J1778" s="13">
        <f t="shared" si="65"/>
        <v>283.5684050000018</v>
      </c>
      <c r="K1778" s="7">
        <v>43748.568404999998</v>
      </c>
      <c r="L1778" s="4">
        <v>1338.7</v>
      </c>
      <c r="N1778">
        <v>19.440000000000001</v>
      </c>
      <c r="Q1778">
        <v>9.7822753374297307</v>
      </c>
      <c r="R1778" s="6">
        <v>-4.79066984210515E-5</v>
      </c>
    </row>
    <row r="1779" spans="1:18" x14ac:dyDescent="0.2">
      <c r="A1779" t="s">
        <v>9</v>
      </c>
      <c r="B1779">
        <v>3</v>
      </c>
      <c r="C1779" t="s">
        <v>4</v>
      </c>
      <c r="D1779" s="2">
        <v>43748</v>
      </c>
      <c r="E1779" s="11">
        <v>283</v>
      </c>
      <c r="F1779" s="3">
        <v>0.57291999999870313</v>
      </c>
      <c r="G1779" s="3">
        <v>0.57639000000199303</v>
      </c>
      <c r="H1779" s="13">
        <f t="shared" si="63"/>
        <v>283.5729199999987</v>
      </c>
      <c r="I1779" s="13">
        <f t="shared" si="64"/>
        <v>283.57639000000199</v>
      </c>
      <c r="J1779" s="13">
        <f t="shared" si="65"/>
        <v>283.57465500000035</v>
      </c>
      <c r="K1779" s="7">
        <v>43748.574655000004</v>
      </c>
      <c r="L1779" s="4">
        <v>1323.7</v>
      </c>
      <c r="M1779">
        <v>16.5</v>
      </c>
      <c r="N1779">
        <v>20</v>
      </c>
      <c r="O1779">
        <v>46.9</v>
      </c>
      <c r="P1779">
        <v>0.76</v>
      </c>
      <c r="Q1779">
        <v>-4.3060082299258502</v>
      </c>
      <c r="R1779">
        <v>-1.7812348610354701E-4</v>
      </c>
    </row>
    <row r="1780" spans="1:18" x14ac:dyDescent="0.2">
      <c r="A1780" t="s">
        <v>9</v>
      </c>
      <c r="B1780">
        <v>3</v>
      </c>
      <c r="C1780" t="s">
        <v>6</v>
      </c>
      <c r="D1780" s="2">
        <v>43748</v>
      </c>
      <c r="E1780" s="11">
        <v>283</v>
      </c>
      <c r="F1780" s="3">
        <v>0.57916999999724794</v>
      </c>
      <c r="G1780" s="3">
        <v>0.58264000000053784</v>
      </c>
      <c r="H1780" s="13">
        <f t="shared" si="63"/>
        <v>283.57916999999725</v>
      </c>
      <c r="I1780" s="13">
        <f t="shared" si="64"/>
        <v>283.58264000000054</v>
      </c>
      <c r="J1780" s="13">
        <f t="shared" si="65"/>
        <v>283.58090499999889</v>
      </c>
      <c r="K1780" s="7">
        <v>43748.580904999995</v>
      </c>
      <c r="L1780" s="4">
        <v>1306.2</v>
      </c>
      <c r="N1780">
        <v>20</v>
      </c>
      <c r="Q1780">
        <v>8.56142815594675</v>
      </c>
      <c r="R1780">
        <v>-1.8599169840471101E-4</v>
      </c>
    </row>
    <row r="1781" spans="1:18" x14ac:dyDescent="0.2">
      <c r="A1781" t="s">
        <v>9</v>
      </c>
      <c r="B1781">
        <v>4</v>
      </c>
      <c r="C1781" t="s">
        <v>4</v>
      </c>
      <c r="D1781" s="2">
        <v>43748</v>
      </c>
      <c r="E1781" s="11">
        <v>283</v>
      </c>
      <c r="F1781" s="3">
        <v>0.58471999999892432</v>
      </c>
      <c r="G1781" s="3">
        <v>0.58819000000221422</v>
      </c>
      <c r="H1781" s="13">
        <f t="shared" si="63"/>
        <v>283.58471999999892</v>
      </c>
      <c r="I1781" s="13">
        <f t="shared" si="64"/>
        <v>283.58819000000221</v>
      </c>
      <c r="J1781" s="13">
        <f t="shared" si="65"/>
        <v>283.58645500000057</v>
      </c>
      <c r="K1781" s="7">
        <v>43748.586454999997</v>
      </c>
      <c r="L1781" s="4">
        <v>1288.7</v>
      </c>
      <c r="M1781">
        <v>15.4</v>
      </c>
      <c r="N1781">
        <v>20</v>
      </c>
      <c r="O1781">
        <v>37.200000000000003</v>
      </c>
      <c r="P1781">
        <v>0.77</v>
      </c>
      <c r="Q1781">
        <v>-3.5536971821562502</v>
      </c>
      <c r="R1781">
        <v>-1.4867736567160899E-4</v>
      </c>
    </row>
    <row r="1782" spans="1:18" x14ac:dyDescent="0.2">
      <c r="A1782" t="s">
        <v>9</v>
      </c>
      <c r="B1782">
        <v>4</v>
      </c>
      <c r="C1782" t="s">
        <v>6</v>
      </c>
      <c r="D1782" s="2">
        <v>43748</v>
      </c>
      <c r="E1782" s="11">
        <v>283</v>
      </c>
      <c r="F1782" s="3">
        <v>0.5902799999967101</v>
      </c>
      <c r="G1782" s="3">
        <v>0.59375</v>
      </c>
      <c r="H1782" s="13">
        <f t="shared" si="63"/>
        <v>283.59027999999671</v>
      </c>
      <c r="I1782" s="13">
        <f t="shared" si="64"/>
        <v>283.59375</v>
      </c>
      <c r="J1782" s="13">
        <f t="shared" si="65"/>
        <v>283.59201499999836</v>
      </c>
      <c r="K1782" s="7">
        <v>43748.592015000002</v>
      </c>
      <c r="L1782" s="4">
        <v>1268.7</v>
      </c>
      <c r="N1782">
        <v>20</v>
      </c>
      <c r="Q1782">
        <v>7.7124407940427604</v>
      </c>
      <c r="R1782">
        <v>-1.2592711655103701E-4</v>
      </c>
    </row>
    <row r="1783" spans="1:18" x14ac:dyDescent="0.2">
      <c r="A1783" t="s">
        <v>9</v>
      </c>
      <c r="B1783">
        <v>5</v>
      </c>
      <c r="C1783" t="s">
        <v>4</v>
      </c>
      <c r="D1783" s="2">
        <v>43748</v>
      </c>
      <c r="E1783" s="11">
        <v>283</v>
      </c>
      <c r="F1783" s="3">
        <v>0.59653000000253087</v>
      </c>
      <c r="G1783" s="3">
        <v>0.59999999999854481</v>
      </c>
      <c r="H1783" s="13">
        <f t="shared" si="63"/>
        <v>283.59653000000253</v>
      </c>
      <c r="I1783" s="13">
        <f t="shared" si="64"/>
        <v>283.59999999999854</v>
      </c>
      <c r="J1783" s="13">
        <f t="shared" si="65"/>
        <v>283.59826500000054</v>
      </c>
      <c r="K1783" s="7">
        <v>43748.598265000001</v>
      </c>
      <c r="L1783" s="4">
        <v>1243.7</v>
      </c>
      <c r="M1783">
        <v>14.2</v>
      </c>
      <c r="N1783">
        <v>20</v>
      </c>
      <c r="O1783">
        <v>47</v>
      </c>
      <c r="P1783">
        <v>0.78</v>
      </c>
      <c r="Q1783">
        <v>-4.2280976959855501</v>
      </c>
      <c r="R1783" s="6">
        <v>-1.09740082439036E-5</v>
      </c>
    </row>
    <row r="1784" spans="1:18" x14ac:dyDescent="0.2">
      <c r="A1784" t="s">
        <v>9</v>
      </c>
      <c r="B1784">
        <v>5</v>
      </c>
      <c r="C1784" t="s">
        <v>6</v>
      </c>
      <c r="D1784" s="2">
        <v>43748</v>
      </c>
      <c r="E1784" s="11">
        <v>283</v>
      </c>
      <c r="F1784" s="3">
        <v>0.6018499999991036</v>
      </c>
      <c r="G1784" s="3">
        <v>0.6053200000023935</v>
      </c>
      <c r="H1784" s="13">
        <f t="shared" si="63"/>
        <v>283.6018499999991</v>
      </c>
      <c r="I1784" s="13">
        <f t="shared" si="64"/>
        <v>283.60532000000239</v>
      </c>
      <c r="J1784" s="13">
        <f t="shared" si="65"/>
        <v>283.60358500000075</v>
      </c>
      <c r="K1784" s="7">
        <v>43748.603585000004</v>
      </c>
      <c r="L1784" s="4">
        <v>1221.2</v>
      </c>
      <c r="N1784">
        <v>20</v>
      </c>
      <c r="Q1784">
        <v>6.1833277633848498</v>
      </c>
      <c r="R1784" s="6">
        <v>-7.8338686575863797E-5</v>
      </c>
    </row>
    <row r="1785" spans="1:18" x14ac:dyDescent="0.2">
      <c r="A1785" t="s">
        <v>9</v>
      </c>
      <c r="B1785">
        <v>1</v>
      </c>
      <c r="C1785" t="s">
        <v>4</v>
      </c>
      <c r="D1785" s="2">
        <v>43760</v>
      </c>
      <c r="E1785" s="11">
        <v>295</v>
      </c>
      <c r="F1785" s="3">
        <v>0.42431000000215136</v>
      </c>
      <c r="G1785" s="3">
        <v>0.42777999999816529</v>
      </c>
      <c r="H1785" s="13">
        <f t="shared" si="63"/>
        <v>295.42431000000215</v>
      </c>
      <c r="I1785" s="13">
        <f t="shared" si="64"/>
        <v>295.42777999999817</v>
      </c>
      <c r="J1785" s="13">
        <f t="shared" si="65"/>
        <v>295.42604500000016</v>
      </c>
      <c r="K1785" s="7">
        <v>43760.426045</v>
      </c>
      <c r="L1785" s="4">
        <v>501.2</v>
      </c>
      <c r="M1785">
        <v>14.1</v>
      </c>
      <c r="N1785">
        <v>10.56</v>
      </c>
      <c r="O1785">
        <v>44</v>
      </c>
      <c r="P1785">
        <v>0.8</v>
      </c>
      <c r="Q1785">
        <v>-0.46270977247100997</v>
      </c>
      <c r="R1785">
        <v>-1.17808424737506E-4</v>
      </c>
    </row>
    <row r="1786" spans="1:18" x14ac:dyDescent="0.2">
      <c r="A1786" t="s">
        <v>9</v>
      </c>
      <c r="B1786">
        <v>1</v>
      </c>
      <c r="C1786" t="s">
        <v>6</v>
      </c>
      <c r="D1786" s="2">
        <v>43760</v>
      </c>
      <c r="E1786" s="11">
        <v>295</v>
      </c>
      <c r="F1786" s="3">
        <v>0.43056000000069616</v>
      </c>
      <c r="G1786" s="3">
        <v>0.4340299999967101</v>
      </c>
      <c r="H1786" s="13">
        <f t="shared" si="63"/>
        <v>295.4305600000007</v>
      </c>
      <c r="I1786" s="13">
        <f t="shared" si="64"/>
        <v>295.43402999999671</v>
      </c>
      <c r="J1786" s="13">
        <f t="shared" si="65"/>
        <v>295.4322949999987</v>
      </c>
      <c r="K1786" s="7">
        <v>43760.432294999999</v>
      </c>
      <c r="L1786" s="4">
        <v>543.70000000000005</v>
      </c>
      <c r="N1786">
        <v>10.56</v>
      </c>
      <c r="Q1786">
        <v>4.5138156276968804</v>
      </c>
      <c r="R1786">
        <v>-2.9175271410624299E-4</v>
      </c>
    </row>
    <row r="1787" spans="1:18" x14ac:dyDescent="0.2">
      <c r="A1787" t="s">
        <v>9</v>
      </c>
      <c r="B1787">
        <v>2</v>
      </c>
      <c r="C1787" t="s">
        <v>4</v>
      </c>
      <c r="D1787" s="2">
        <v>43760</v>
      </c>
      <c r="E1787" s="11">
        <v>295</v>
      </c>
      <c r="F1787" s="3">
        <v>0.43576000000030035</v>
      </c>
      <c r="G1787" s="3">
        <v>0.43923999999969965</v>
      </c>
      <c r="H1787" s="13">
        <f t="shared" ref="H1787:H1850" si="66">E1787+F1787</f>
        <v>295.4357600000003</v>
      </c>
      <c r="I1787" s="13">
        <f t="shared" ref="I1787:I1850" si="67">E1787+G1787</f>
        <v>295.4392399999997</v>
      </c>
      <c r="J1787" s="13">
        <f t="shared" ref="J1787:J1850" si="68">AVERAGE(H1787:I1787)</f>
        <v>295.4375</v>
      </c>
      <c r="K1787" s="7">
        <v>43760.4375</v>
      </c>
      <c r="L1787" s="4">
        <v>753.7</v>
      </c>
      <c r="M1787">
        <v>16.899999999999999</v>
      </c>
      <c r="N1787">
        <v>11.11</v>
      </c>
      <c r="O1787">
        <v>44.3</v>
      </c>
      <c r="P1787">
        <v>0.74</v>
      </c>
      <c r="Q1787">
        <v>-9.3749444977182002</v>
      </c>
      <c r="R1787">
        <v>-2.4454006500774199E-4</v>
      </c>
    </row>
    <row r="1788" spans="1:18" x14ac:dyDescent="0.2">
      <c r="A1788" t="s">
        <v>9</v>
      </c>
      <c r="B1788">
        <v>2</v>
      </c>
      <c r="C1788" t="s">
        <v>6</v>
      </c>
      <c r="D1788" s="2">
        <v>43760</v>
      </c>
      <c r="E1788" s="11">
        <v>295</v>
      </c>
      <c r="F1788" s="3">
        <v>0.44236000000091735</v>
      </c>
      <c r="G1788" s="3">
        <v>0.44582999999693129</v>
      </c>
      <c r="H1788" s="13">
        <f t="shared" si="66"/>
        <v>295.44236000000092</v>
      </c>
      <c r="I1788" s="13">
        <f t="shared" si="67"/>
        <v>295.44582999999693</v>
      </c>
      <c r="J1788" s="13">
        <f t="shared" si="68"/>
        <v>295.44409499999892</v>
      </c>
      <c r="K1788" s="7">
        <v>43760.444094999999</v>
      </c>
      <c r="L1788" s="4">
        <v>766.2</v>
      </c>
      <c r="N1788">
        <v>11.11</v>
      </c>
      <c r="Q1788">
        <v>5.4830755301884198</v>
      </c>
      <c r="R1788">
        <v>-2.0437265507502201E-4</v>
      </c>
    </row>
    <row r="1789" spans="1:18" x14ac:dyDescent="0.2">
      <c r="A1789" t="s">
        <v>9</v>
      </c>
      <c r="B1789">
        <v>3</v>
      </c>
      <c r="C1789" t="s">
        <v>4</v>
      </c>
      <c r="D1789" s="2">
        <v>43760</v>
      </c>
      <c r="E1789" s="11">
        <v>295</v>
      </c>
      <c r="F1789" s="3">
        <v>0.44791999999870313</v>
      </c>
      <c r="G1789" s="3">
        <v>0.45139000000199303</v>
      </c>
      <c r="H1789" s="13">
        <f t="shared" si="66"/>
        <v>295.4479199999987</v>
      </c>
      <c r="I1789" s="13">
        <f t="shared" si="67"/>
        <v>295.45139000000199</v>
      </c>
      <c r="J1789" s="13">
        <f t="shared" si="68"/>
        <v>295.44965500000035</v>
      </c>
      <c r="K1789" s="7">
        <v>43760.449655000004</v>
      </c>
      <c r="L1789" s="4">
        <v>876.2</v>
      </c>
      <c r="M1789">
        <v>15.1</v>
      </c>
      <c r="N1789">
        <v>11.11</v>
      </c>
      <c r="O1789">
        <v>56.5</v>
      </c>
      <c r="P1789">
        <v>0.79</v>
      </c>
      <c r="Q1789">
        <v>-9.6888349801561606</v>
      </c>
      <c r="R1789" s="6">
        <v>-5.6491713807553198E-5</v>
      </c>
    </row>
    <row r="1790" spans="1:18" x14ac:dyDescent="0.2">
      <c r="A1790" t="s">
        <v>9</v>
      </c>
      <c r="B1790">
        <v>3</v>
      </c>
      <c r="C1790" t="s">
        <v>6</v>
      </c>
      <c r="D1790" s="2">
        <v>43760</v>
      </c>
      <c r="E1790" s="11">
        <v>295</v>
      </c>
      <c r="F1790" s="3">
        <v>0.45451000000321073</v>
      </c>
      <c r="G1790" s="3">
        <v>0.45799000000261003</v>
      </c>
      <c r="H1790" s="13">
        <f t="shared" si="66"/>
        <v>295.45451000000321</v>
      </c>
      <c r="I1790" s="13">
        <f t="shared" si="67"/>
        <v>295.45799000000261</v>
      </c>
      <c r="J1790" s="13">
        <f t="shared" si="68"/>
        <v>295.45625000000291</v>
      </c>
      <c r="K1790" s="7">
        <v>43760.456250000003</v>
      </c>
      <c r="L1790" s="4">
        <v>566.20000000000005</v>
      </c>
      <c r="N1790">
        <v>11.11</v>
      </c>
      <c r="Q1790">
        <v>4.5429761697945796</v>
      </c>
      <c r="R1790">
        <v>-1.2598996377196901E-4</v>
      </c>
    </row>
    <row r="1791" spans="1:18" x14ac:dyDescent="0.2">
      <c r="A1791" t="s">
        <v>9</v>
      </c>
      <c r="B1791">
        <v>4</v>
      </c>
      <c r="C1791" t="s">
        <v>4</v>
      </c>
      <c r="D1791" s="2">
        <v>43760</v>
      </c>
      <c r="E1791" s="11">
        <v>295</v>
      </c>
      <c r="F1791" s="3">
        <v>0.46110999999655178</v>
      </c>
      <c r="G1791" s="3">
        <v>0.46457999999984168</v>
      </c>
      <c r="H1791" s="13">
        <f t="shared" si="66"/>
        <v>295.46110999999655</v>
      </c>
      <c r="I1791" s="13">
        <f t="shared" si="67"/>
        <v>295.46457999999984</v>
      </c>
      <c r="J1791" s="13">
        <f t="shared" si="68"/>
        <v>295.4628449999982</v>
      </c>
      <c r="K1791" s="7">
        <v>43760.462845000002</v>
      </c>
      <c r="L1791" s="4">
        <v>473.7</v>
      </c>
      <c r="M1791">
        <v>15.6</v>
      </c>
      <c r="N1791">
        <v>11.11</v>
      </c>
      <c r="O1791">
        <v>36.4</v>
      </c>
      <c r="P1791">
        <v>0.78</v>
      </c>
      <c r="Q1791">
        <v>-5.6795921194443197</v>
      </c>
      <c r="R1791">
        <v>-1.9181875934107099E-4</v>
      </c>
    </row>
    <row r="1792" spans="1:18" x14ac:dyDescent="0.2">
      <c r="A1792" t="s">
        <v>9</v>
      </c>
      <c r="B1792">
        <v>4</v>
      </c>
      <c r="C1792" t="s">
        <v>6</v>
      </c>
      <c r="D1792" s="2">
        <v>43760</v>
      </c>
      <c r="E1792" s="11">
        <v>295</v>
      </c>
      <c r="F1792" s="3">
        <v>0.46701000000030035</v>
      </c>
      <c r="G1792" s="3">
        <v>0.47048999999969965</v>
      </c>
      <c r="H1792" s="13">
        <f t="shared" si="66"/>
        <v>295.4670100000003</v>
      </c>
      <c r="I1792" s="13">
        <f t="shared" si="67"/>
        <v>295.4704899999997</v>
      </c>
      <c r="J1792" s="13">
        <f t="shared" si="68"/>
        <v>295.46875</v>
      </c>
      <c r="K1792" s="7">
        <v>43760.46875</v>
      </c>
      <c r="L1792" s="4">
        <v>301.2</v>
      </c>
      <c r="N1792">
        <v>11.11</v>
      </c>
      <c r="Q1792">
        <v>4.4021902922097</v>
      </c>
      <c r="R1792">
        <v>-1.7720868895510601E-4</v>
      </c>
    </row>
    <row r="1793" spans="1:18" x14ac:dyDescent="0.2">
      <c r="A1793" t="s">
        <v>9</v>
      </c>
      <c r="B1793">
        <v>5</v>
      </c>
      <c r="C1793" t="s">
        <v>6</v>
      </c>
      <c r="D1793" s="2">
        <v>43760</v>
      </c>
      <c r="E1793" s="11">
        <v>295</v>
      </c>
      <c r="F1793" s="3">
        <v>0.47361000000091735</v>
      </c>
      <c r="G1793" s="3">
        <v>0.47707999999693129</v>
      </c>
      <c r="H1793" s="13">
        <f t="shared" si="66"/>
        <v>295.47361000000092</v>
      </c>
      <c r="I1793" s="13">
        <f t="shared" si="67"/>
        <v>295.47707999999693</v>
      </c>
      <c r="J1793" s="13">
        <f t="shared" si="68"/>
        <v>295.47534499999892</v>
      </c>
      <c r="K1793" s="7">
        <v>43760.475344999999</v>
      </c>
      <c r="L1793" s="4">
        <v>403.7</v>
      </c>
      <c r="M1793">
        <v>15.6</v>
      </c>
      <c r="N1793">
        <v>13.89</v>
      </c>
      <c r="O1793">
        <v>45.9</v>
      </c>
      <c r="P1793">
        <v>0.81</v>
      </c>
      <c r="Q1793">
        <v>5.0107598507133302</v>
      </c>
      <c r="R1793">
        <v>-2.5246588698302902E-4</v>
      </c>
    </row>
    <row r="1794" spans="1:18" x14ac:dyDescent="0.2">
      <c r="A1794" t="s">
        <v>9</v>
      </c>
      <c r="B1794">
        <v>5</v>
      </c>
      <c r="C1794" t="s">
        <v>4</v>
      </c>
      <c r="D1794" s="2">
        <v>43760</v>
      </c>
      <c r="E1794" s="11">
        <v>295</v>
      </c>
      <c r="F1794" s="3">
        <v>0.47916999999870313</v>
      </c>
      <c r="G1794" s="3">
        <v>0.48264000000199303</v>
      </c>
      <c r="H1794" s="13">
        <f t="shared" si="66"/>
        <v>295.4791699999987</v>
      </c>
      <c r="I1794" s="13">
        <f t="shared" si="67"/>
        <v>295.48264000000199</v>
      </c>
      <c r="J1794" s="13">
        <f t="shared" si="68"/>
        <v>295.48090500000035</v>
      </c>
      <c r="K1794" s="7">
        <v>43760.480905000004</v>
      </c>
      <c r="L1794" s="4">
        <v>431.2</v>
      </c>
      <c r="N1794">
        <v>13.89</v>
      </c>
      <c r="Q1794">
        <v>-3.4651991352741098</v>
      </c>
      <c r="R1794">
        <v>-2.2635511713895199E-4</v>
      </c>
    </row>
    <row r="1795" spans="1:18" x14ac:dyDescent="0.2">
      <c r="A1795" t="s">
        <v>9</v>
      </c>
      <c r="B1795">
        <v>1</v>
      </c>
      <c r="C1795" t="s">
        <v>4</v>
      </c>
      <c r="D1795" s="2">
        <v>43766</v>
      </c>
      <c r="E1795" s="11">
        <v>301</v>
      </c>
      <c r="F1795" s="3">
        <v>0.41943999999784864</v>
      </c>
      <c r="G1795" s="3">
        <v>0.42291999999724794</v>
      </c>
      <c r="H1795" s="13">
        <f t="shared" si="66"/>
        <v>301.41943999999785</v>
      </c>
      <c r="I1795" s="13">
        <f t="shared" si="67"/>
        <v>301.42291999999725</v>
      </c>
      <c r="J1795" s="13">
        <f t="shared" si="68"/>
        <v>301.42117999999755</v>
      </c>
      <c r="K1795" s="7">
        <v>43766.421179999998</v>
      </c>
      <c r="L1795" s="4">
        <v>261.2</v>
      </c>
      <c r="M1795">
        <v>18.600000000000001</v>
      </c>
      <c r="N1795">
        <v>13.33</v>
      </c>
      <c r="O1795">
        <v>45.1</v>
      </c>
      <c r="P1795">
        <v>0.8</v>
      </c>
      <c r="Q1795">
        <v>0.34883464820703203</v>
      </c>
      <c r="R1795" s="6">
        <v>-9.7286500498280803E-5</v>
      </c>
    </row>
    <row r="1796" spans="1:18" x14ac:dyDescent="0.2">
      <c r="A1796" t="s">
        <v>9</v>
      </c>
      <c r="B1796">
        <v>1</v>
      </c>
      <c r="C1796" t="s">
        <v>6</v>
      </c>
      <c r="D1796" s="2">
        <v>43766</v>
      </c>
      <c r="E1796" s="11">
        <v>301</v>
      </c>
      <c r="F1796" s="3">
        <v>0.42568999999639345</v>
      </c>
      <c r="G1796" s="3">
        <v>0.42917000000306871</v>
      </c>
      <c r="H1796" s="13">
        <f t="shared" si="66"/>
        <v>301.42568999999639</v>
      </c>
      <c r="I1796" s="13">
        <f t="shared" si="67"/>
        <v>301.42917000000307</v>
      </c>
      <c r="J1796" s="13">
        <f t="shared" si="68"/>
        <v>301.42742999999973</v>
      </c>
      <c r="K1796" s="7">
        <v>43766.427429999996</v>
      </c>
      <c r="L1796" s="4">
        <v>338.7</v>
      </c>
      <c r="N1796">
        <v>13.33</v>
      </c>
      <c r="Q1796">
        <v>5.0921516443717803</v>
      </c>
      <c r="R1796">
        <v>-2.17088811759971E-4</v>
      </c>
    </row>
    <row r="1797" spans="1:18" x14ac:dyDescent="0.2">
      <c r="A1797" t="s">
        <v>9</v>
      </c>
      <c r="B1797">
        <v>2</v>
      </c>
      <c r="C1797" t="s">
        <v>4</v>
      </c>
      <c r="D1797" s="2">
        <v>43766</v>
      </c>
      <c r="E1797" s="11">
        <v>301</v>
      </c>
      <c r="F1797" s="3">
        <v>0.4317700000028708</v>
      </c>
      <c r="G1797" s="3">
        <v>0.43523999999888474</v>
      </c>
      <c r="H1797" s="13">
        <f t="shared" si="66"/>
        <v>301.43177000000287</v>
      </c>
      <c r="I1797" s="13">
        <f t="shared" si="67"/>
        <v>301.43523999999888</v>
      </c>
      <c r="J1797" s="13">
        <f t="shared" si="68"/>
        <v>301.43350500000088</v>
      </c>
      <c r="K1797" s="7">
        <v>43766.433505000001</v>
      </c>
      <c r="L1797" s="4">
        <v>376.2</v>
      </c>
      <c r="M1797">
        <v>20.9</v>
      </c>
      <c r="N1797">
        <v>13.89</v>
      </c>
      <c r="O1797">
        <v>52.5</v>
      </c>
      <c r="P1797">
        <v>0.78</v>
      </c>
      <c r="Q1797">
        <v>-4.5120040245602002</v>
      </c>
      <c r="R1797">
        <v>-1.6911328097741601E-4</v>
      </c>
    </row>
    <row r="1798" spans="1:18" x14ac:dyDescent="0.2">
      <c r="A1798" t="s">
        <v>9</v>
      </c>
      <c r="B1798">
        <v>2</v>
      </c>
      <c r="C1798" t="s">
        <v>6</v>
      </c>
      <c r="D1798" s="2">
        <v>43766</v>
      </c>
      <c r="E1798" s="11">
        <v>301</v>
      </c>
      <c r="F1798" s="3">
        <v>0.43802000000141561</v>
      </c>
      <c r="G1798" s="3">
        <v>0.44148999999742955</v>
      </c>
      <c r="H1798" s="13">
        <f t="shared" si="66"/>
        <v>301.43802000000142</v>
      </c>
      <c r="I1798" s="13">
        <f t="shared" si="67"/>
        <v>301.44148999999743</v>
      </c>
      <c r="J1798" s="13">
        <f t="shared" si="68"/>
        <v>301.43975499999942</v>
      </c>
      <c r="K1798" s="7">
        <v>43766.439754999999</v>
      </c>
      <c r="L1798" s="4">
        <v>436.2</v>
      </c>
      <c r="N1798">
        <v>13.89</v>
      </c>
      <c r="Q1798">
        <v>4.72183027904269</v>
      </c>
      <c r="R1798">
        <v>-1.5730507274075201E-4</v>
      </c>
    </row>
    <row r="1799" spans="1:18" x14ac:dyDescent="0.2">
      <c r="A1799" t="s">
        <v>9</v>
      </c>
      <c r="B1799">
        <v>3</v>
      </c>
      <c r="C1799" t="s">
        <v>4</v>
      </c>
      <c r="D1799" s="2">
        <v>43766</v>
      </c>
      <c r="E1799" s="11">
        <v>301</v>
      </c>
      <c r="F1799" s="3">
        <v>0.44374999999854481</v>
      </c>
      <c r="G1799" s="3">
        <v>0.44722000000183471</v>
      </c>
      <c r="H1799" s="13">
        <f t="shared" si="66"/>
        <v>301.44374999999854</v>
      </c>
      <c r="I1799" s="13">
        <f t="shared" si="67"/>
        <v>301.44722000000183</v>
      </c>
      <c r="J1799" s="13">
        <f t="shared" si="68"/>
        <v>301.44548500000019</v>
      </c>
      <c r="K1799" s="7">
        <v>43766.445485000004</v>
      </c>
      <c r="L1799" s="4">
        <v>473.7</v>
      </c>
      <c r="M1799">
        <v>21.3</v>
      </c>
      <c r="N1799">
        <v>13.89</v>
      </c>
      <c r="O1799">
        <v>49.4</v>
      </c>
      <c r="P1799">
        <v>0.77</v>
      </c>
      <c r="Q1799">
        <v>-5.1524877658484698</v>
      </c>
      <c r="R1799">
        <v>-1.60865870167967E-4</v>
      </c>
    </row>
    <row r="1800" spans="1:18" x14ac:dyDescent="0.2">
      <c r="A1800" t="s">
        <v>9</v>
      </c>
      <c r="B1800">
        <v>3</v>
      </c>
      <c r="C1800" t="s">
        <v>6</v>
      </c>
      <c r="D1800" s="2">
        <v>43766</v>
      </c>
      <c r="E1800" s="11">
        <v>301</v>
      </c>
      <c r="F1800" s="3">
        <v>0.45068999999784864</v>
      </c>
      <c r="G1800" s="3">
        <v>0.45416999999724794</v>
      </c>
      <c r="H1800" s="13">
        <f t="shared" si="66"/>
        <v>301.45068999999785</v>
      </c>
      <c r="I1800" s="13">
        <f t="shared" si="67"/>
        <v>301.45416999999725</v>
      </c>
      <c r="J1800" s="13">
        <f t="shared" si="68"/>
        <v>301.45242999999755</v>
      </c>
      <c r="K1800" s="7">
        <v>43766.452429999998</v>
      </c>
      <c r="L1800" s="4">
        <v>678.7</v>
      </c>
      <c r="N1800">
        <v>13.89</v>
      </c>
      <c r="Q1800">
        <v>4.6810917993056496</v>
      </c>
      <c r="R1800">
        <v>-2.0096088347133201E-4</v>
      </c>
    </row>
    <row r="1801" spans="1:18" x14ac:dyDescent="0.2">
      <c r="A1801" t="s">
        <v>9</v>
      </c>
      <c r="B1801">
        <v>4</v>
      </c>
      <c r="C1801" t="s">
        <v>4</v>
      </c>
      <c r="D1801" s="2">
        <v>43766</v>
      </c>
      <c r="E1801" s="11">
        <v>301</v>
      </c>
      <c r="F1801" s="3">
        <v>0.45693999999639345</v>
      </c>
      <c r="G1801" s="3">
        <v>0.46042000000306871</v>
      </c>
      <c r="H1801" s="13">
        <f t="shared" si="66"/>
        <v>301.45693999999639</v>
      </c>
      <c r="I1801" s="13">
        <f t="shared" si="67"/>
        <v>301.46042000000307</v>
      </c>
      <c r="J1801" s="13">
        <f t="shared" si="68"/>
        <v>301.45867999999973</v>
      </c>
      <c r="K1801" s="7">
        <v>43766.458679999996</v>
      </c>
      <c r="L1801" s="4">
        <v>671.2</v>
      </c>
      <c r="M1801">
        <v>22.9</v>
      </c>
      <c r="N1801">
        <v>13.89</v>
      </c>
      <c r="O1801">
        <v>48.5</v>
      </c>
      <c r="P1801">
        <v>0.79</v>
      </c>
      <c r="Q1801">
        <v>-8.4143767828713898</v>
      </c>
      <c r="R1801">
        <v>-1.26254026804053E-4</v>
      </c>
    </row>
    <row r="1802" spans="1:18" x14ac:dyDescent="0.2">
      <c r="A1802" t="s">
        <v>9</v>
      </c>
      <c r="B1802">
        <v>4</v>
      </c>
      <c r="C1802" t="s">
        <v>6</v>
      </c>
      <c r="D1802" s="2">
        <v>43766</v>
      </c>
      <c r="E1802" s="11">
        <v>301</v>
      </c>
      <c r="F1802" s="3">
        <v>0.46319000000221422</v>
      </c>
      <c r="G1802" s="3">
        <v>0.46667000000161352</v>
      </c>
      <c r="H1802" s="13">
        <f t="shared" si="66"/>
        <v>301.46319000000221</v>
      </c>
      <c r="I1802" s="13">
        <f t="shared" si="67"/>
        <v>301.46667000000161</v>
      </c>
      <c r="J1802" s="13">
        <f t="shared" si="68"/>
        <v>301.46493000000191</v>
      </c>
      <c r="K1802" s="7">
        <v>43766.464930000002</v>
      </c>
      <c r="L1802" s="4">
        <v>561.20000000000005</v>
      </c>
      <c r="N1802">
        <v>13.89</v>
      </c>
      <c r="Q1802">
        <v>5.5593502266773198</v>
      </c>
      <c r="R1802">
        <v>-1.8130365322135701E-4</v>
      </c>
    </row>
    <row r="1803" spans="1:18" x14ac:dyDescent="0.2">
      <c r="A1803" t="s">
        <v>9</v>
      </c>
      <c r="B1803">
        <v>5</v>
      </c>
      <c r="C1803" t="s">
        <v>4</v>
      </c>
      <c r="D1803" s="2">
        <v>43766</v>
      </c>
      <c r="E1803" s="11">
        <v>301</v>
      </c>
      <c r="F1803" s="3">
        <v>0.46858000000065658</v>
      </c>
      <c r="G1803" s="3">
        <v>0.47204999999667052</v>
      </c>
      <c r="H1803" s="13">
        <f t="shared" si="66"/>
        <v>301.46858000000066</v>
      </c>
      <c r="I1803" s="13">
        <f t="shared" si="67"/>
        <v>301.47204999999667</v>
      </c>
      <c r="J1803" s="13">
        <f t="shared" si="68"/>
        <v>301.47031499999866</v>
      </c>
      <c r="K1803" s="7">
        <v>43766.470314999999</v>
      </c>
      <c r="L1803" s="4">
        <v>578.70000000000005</v>
      </c>
      <c r="M1803">
        <v>20</v>
      </c>
      <c r="N1803">
        <v>13.89</v>
      </c>
      <c r="O1803">
        <v>48.7</v>
      </c>
      <c r="P1803">
        <v>0.81</v>
      </c>
      <c r="Q1803">
        <v>-7.8157577483700003</v>
      </c>
      <c r="R1803">
        <v>-1.06425436751765E-4</v>
      </c>
    </row>
    <row r="1804" spans="1:18" x14ac:dyDescent="0.2">
      <c r="A1804" t="s">
        <v>9</v>
      </c>
      <c r="B1804">
        <v>5</v>
      </c>
      <c r="C1804" t="s">
        <v>6</v>
      </c>
      <c r="D1804" s="2">
        <v>43766</v>
      </c>
      <c r="E1804" s="11">
        <v>301</v>
      </c>
      <c r="F1804" s="3">
        <v>0.47464999999647262</v>
      </c>
      <c r="G1804" s="3">
        <v>0.47813000000314787</v>
      </c>
      <c r="H1804" s="13">
        <f t="shared" si="66"/>
        <v>301.47464999999647</v>
      </c>
      <c r="I1804" s="13">
        <f t="shared" si="67"/>
        <v>301.47813000000315</v>
      </c>
      <c r="J1804" s="13">
        <f t="shared" si="68"/>
        <v>301.47638999999981</v>
      </c>
      <c r="K1804" s="7">
        <v>43766.476389999996</v>
      </c>
      <c r="L1804" s="4">
        <v>673.7</v>
      </c>
      <c r="N1804">
        <v>13.89</v>
      </c>
      <c r="Q1804">
        <v>5.5626616213808502</v>
      </c>
      <c r="R1804">
        <v>-1.1324524826526E-4</v>
      </c>
    </row>
    <row r="1805" spans="1:18" x14ac:dyDescent="0.2">
      <c r="A1805" t="s">
        <v>9</v>
      </c>
      <c r="B1805">
        <v>1</v>
      </c>
      <c r="C1805" t="s">
        <v>4</v>
      </c>
      <c r="D1805" s="2">
        <v>43766</v>
      </c>
      <c r="E1805" s="11">
        <v>301</v>
      </c>
      <c r="F1805" s="3">
        <v>0.53229000000283122</v>
      </c>
      <c r="G1805" s="3">
        <v>0.53575999999884516</v>
      </c>
      <c r="H1805" s="13">
        <f t="shared" si="66"/>
        <v>301.53229000000283</v>
      </c>
      <c r="I1805" s="13">
        <f t="shared" si="67"/>
        <v>301.53575999999885</v>
      </c>
      <c r="J1805" s="13">
        <f t="shared" si="68"/>
        <v>301.53402500000084</v>
      </c>
      <c r="K1805" s="7">
        <v>43766.534025000001</v>
      </c>
      <c r="L1805" s="4">
        <v>568.70000000000005</v>
      </c>
      <c r="M1805">
        <v>17.399999999999999</v>
      </c>
      <c r="N1805">
        <v>15.56</v>
      </c>
      <c r="O1805">
        <v>39.9</v>
      </c>
      <c r="P1805">
        <v>0.79</v>
      </c>
      <c r="Q1805">
        <v>-3.3215950079645502</v>
      </c>
      <c r="R1805">
        <v>-1.4002918378649799E-4</v>
      </c>
    </row>
    <row r="1806" spans="1:18" x14ac:dyDescent="0.2">
      <c r="A1806" t="s">
        <v>9</v>
      </c>
      <c r="B1806">
        <v>1</v>
      </c>
      <c r="C1806" t="s">
        <v>6</v>
      </c>
      <c r="D1806" s="2">
        <v>43766</v>
      </c>
      <c r="E1806" s="11">
        <v>301</v>
      </c>
      <c r="F1806" s="3">
        <v>0.53889000000344822</v>
      </c>
      <c r="G1806" s="3">
        <v>0.54235999999946216</v>
      </c>
      <c r="H1806" s="13">
        <f t="shared" si="66"/>
        <v>301.53889000000345</v>
      </c>
      <c r="I1806" s="13">
        <f t="shared" si="67"/>
        <v>301.54235999999946</v>
      </c>
      <c r="J1806" s="13">
        <f t="shared" si="68"/>
        <v>301.54062500000146</v>
      </c>
      <c r="K1806" s="7">
        <v>43766.540625000001</v>
      </c>
      <c r="L1806" s="4">
        <v>556.20000000000005</v>
      </c>
      <c r="N1806">
        <v>15.56</v>
      </c>
      <c r="Q1806">
        <v>5.7579330752937601</v>
      </c>
      <c r="R1806">
        <v>-1.20451378642859E-4</v>
      </c>
    </row>
    <row r="1807" spans="1:18" x14ac:dyDescent="0.2">
      <c r="A1807" t="s">
        <v>9</v>
      </c>
      <c r="B1807">
        <v>2</v>
      </c>
      <c r="C1807" t="s">
        <v>4</v>
      </c>
      <c r="D1807" s="2">
        <v>43766</v>
      </c>
      <c r="E1807" s="11">
        <v>301</v>
      </c>
      <c r="F1807" s="3">
        <v>0.54514000000199303</v>
      </c>
      <c r="G1807" s="3">
        <v>0.54860999999800697</v>
      </c>
      <c r="H1807" s="13">
        <f t="shared" si="66"/>
        <v>301.54514000000199</v>
      </c>
      <c r="I1807" s="13">
        <f t="shared" si="67"/>
        <v>301.54860999999801</v>
      </c>
      <c r="J1807" s="13">
        <f t="shared" si="68"/>
        <v>301.546875</v>
      </c>
      <c r="K1807" s="7">
        <v>43766.546875</v>
      </c>
      <c r="L1807" s="4">
        <v>468.7</v>
      </c>
      <c r="M1807">
        <v>16.2</v>
      </c>
      <c r="N1807">
        <v>15.56</v>
      </c>
      <c r="O1807">
        <v>49</v>
      </c>
      <c r="P1807">
        <v>0.76</v>
      </c>
      <c r="Q1807">
        <v>-7.6428118167581403</v>
      </c>
      <c r="R1807">
        <v>-1.06995853551293E-4</v>
      </c>
    </row>
    <row r="1808" spans="1:18" x14ac:dyDescent="0.2">
      <c r="A1808" t="s">
        <v>9</v>
      </c>
      <c r="B1808">
        <v>2</v>
      </c>
      <c r="C1808" t="s">
        <v>6</v>
      </c>
      <c r="D1808" s="2">
        <v>43766</v>
      </c>
      <c r="E1808" s="11">
        <v>301</v>
      </c>
      <c r="F1808" s="3">
        <v>0.55208000000129687</v>
      </c>
      <c r="G1808" s="3">
        <v>0.55556000000069616</v>
      </c>
      <c r="H1808" s="13">
        <f t="shared" si="66"/>
        <v>301.5520800000013</v>
      </c>
      <c r="I1808" s="13">
        <f t="shared" si="67"/>
        <v>301.5555600000007</v>
      </c>
      <c r="J1808" s="13">
        <f t="shared" si="68"/>
        <v>301.553820000001</v>
      </c>
      <c r="K1808" s="7">
        <v>43766.553820000001</v>
      </c>
      <c r="L1808" s="4">
        <v>488.7</v>
      </c>
      <c r="N1808">
        <v>15.56</v>
      </c>
      <c r="Q1808">
        <v>6.6439831585522899</v>
      </c>
      <c r="R1808">
        <v>-1.582008894506E-4</v>
      </c>
    </row>
    <row r="1809" spans="1:18" x14ac:dyDescent="0.2">
      <c r="A1809" t="s">
        <v>9</v>
      </c>
      <c r="B1809">
        <v>3</v>
      </c>
      <c r="C1809" t="s">
        <v>4</v>
      </c>
      <c r="D1809" s="2">
        <v>43766</v>
      </c>
      <c r="E1809" s="11">
        <v>301</v>
      </c>
      <c r="F1809" s="3">
        <v>0.5590299999967101</v>
      </c>
      <c r="G1809" s="3">
        <v>0.5625</v>
      </c>
      <c r="H1809" s="13">
        <f t="shared" si="66"/>
        <v>301.55902999999671</v>
      </c>
      <c r="I1809" s="13">
        <f t="shared" si="67"/>
        <v>301.5625</v>
      </c>
      <c r="J1809" s="13">
        <f t="shared" si="68"/>
        <v>301.56076499999836</v>
      </c>
      <c r="K1809" s="7">
        <v>43766.560765000002</v>
      </c>
      <c r="L1809" s="4">
        <v>488.7</v>
      </c>
      <c r="M1809">
        <v>23.4</v>
      </c>
      <c r="N1809">
        <v>15.56</v>
      </c>
      <c r="O1809">
        <v>57.1</v>
      </c>
      <c r="P1809">
        <v>0.76</v>
      </c>
      <c r="Q1809">
        <v>-4.91803318139136</v>
      </c>
      <c r="R1809">
        <v>-1.3908311743570501E-4</v>
      </c>
    </row>
    <row r="1810" spans="1:18" x14ac:dyDescent="0.2">
      <c r="A1810" t="s">
        <v>9</v>
      </c>
      <c r="B1810">
        <v>3</v>
      </c>
      <c r="C1810" t="s">
        <v>6</v>
      </c>
      <c r="D1810" s="2">
        <v>43766</v>
      </c>
      <c r="E1810" s="11">
        <v>301</v>
      </c>
      <c r="F1810" s="3">
        <v>0.56493000000045868</v>
      </c>
      <c r="G1810" s="3">
        <v>0.56805999999778578</v>
      </c>
      <c r="H1810" s="13">
        <f t="shared" si="66"/>
        <v>301.56493000000046</v>
      </c>
      <c r="I1810" s="13">
        <f t="shared" si="67"/>
        <v>301.56805999999779</v>
      </c>
      <c r="J1810" s="13">
        <f t="shared" si="68"/>
        <v>301.56649499999912</v>
      </c>
      <c r="K1810" s="7">
        <v>43766.566494999999</v>
      </c>
      <c r="L1810" s="4">
        <v>581.20000000000005</v>
      </c>
      <c r="N1810">
        <v>15.56</v>
      </c>
      <c r="Q1810">
        <v>5.2882997785964099</v>
      </c>
      <c r="R1810">
        <v>-1.6253092238314399E-4</v>
      </c>
    </row>
    <row r="1811" spans="1:18" x14ac:dyDescent="0.2">
      <c r="A1811" t="s">
        <v>9</v>
      </c>
      <c r="B1811">
        <v>4</v>
      </c>
      <c r="C1811" t="s">
        <v>4</v>
      </c>
      <c r="D1811" s="2">
        <v>43766</v>
      </c>
      <c r="E1811" s="11">
        <v>301</v>
      </c>
      <c r="F1811" s="3">
        <v>0.57014000000344822</v>
      </c>
      <c r="G1811" s="3">
        <v>0.57360999999946216</v>
      </c>
      <c r="H1811" s="13">
        <f t="shared" si="66"/>
        <v>301.57014000000345</v>
      </c>
      <c r="I1811" s="13">
        <f t="shared" si="67"/>
        <v>301.57360999999946</v>
      </c>
      <c r="J1811" s="13">
        <f t="shared" si="68"/>
        <v>301.57187500000146</v>
      </c>
      <c r="K1811" s="7">
        <v>43766.571875000001</v>
      </c>
      <c r="L1811" s="4">
        <v>628.70000000000005</v>
      </c>
      <c r="M1811">
        <v>22.7</v>
      </c>
      <c r="N1811">
        <v>15.56</v>
      </c>
      <c r="O1811">
        <v>49.9</v>
      </c>
      <c r="P1811">
        <v>0.77</v>
      </c>
      <c r="Q1811">
        <v>-9.6950496486279203</v>
      </c>
      <c r="R1811" s="6">
        <v>-6.2795279236326998E-5</v>
      </c>
    </row>
    <row r="1812" spans="1:18" x14ac:dyDescent="0.2">
      <c r="A1812" t="s">
        <v>9</v>
      </c>
      <c r="B1812">
        <v>4</v>
      </c>
      <c r="C1812" t="s">
        <v>6</v>
      </c>
      <c r="D1812" s="2">
        <v>43766</v>
      </c>
      <c r="E1812" s="11">
        <v>301</v>
      </c>
      <c r="F1812" s="3">
        <v>0.57603999999992084</v>
      </c>
      <c r="G1812" s="3">
        <v>0.57951000000321073</v>
      </c>
      <c r="H1812" s="13">
        <f t="shared" si="66"/>
        <v>301.57603999999992</v>
      </c>
      <c r="I1812" s="13">
        <f t="shared" si="67"/>
        <v>301.57951000000321</v>
      </c>
      <c r="J1812" s="13">
        <f t="shared" si="68"/>
        <v>301.57777500000157</v>
      </c>
      <c r="K1812" s="7">
        <v>43766.577774999998</v>
      </c>
      <c r="L1812" s="4">
        <v>526.20000000000005</v>
      </c>
      <c r="N1812">
        <v>15.56</v>
      </c>
      <c r="Q1812">
        <v>4.9941096484717997</v>
      </c>
      <c r="R1812" s="6">
        <v>1.11355287294843E-5</v>
      </c>
    </row>
    <row r="1813" spans="1:18" x14ac:dyDescent="0.2">
      <c r="A1813" t="s">
        <v>9</v>
      </c>
      <c r="B1813">
        <v>5</v>
      </c>
      <c r="C1813" t="s">
        <v>4</v>
      </c>
      <c r="D1813" s="2">
        <v>43766</v>
      </c>
      <c r="E1813" s="11">
        <v>301</v>
      </c>
      <c r="F1813" s="3">
        <v>0.58193999999639345</v>
      </c>
      <c r="G1813" s="3">
        <v>0.58542000000306871</v>
      </c>
      <c r="H1813" s="13">
        <f t="shared" si="66"/>
        <v>301.58193999999639</v>
      </c>
      <c r="I1813" s="13">
        <f t="shared" si="67"/>
        <v>301.58542000000307</v>
      </c>
      <c r="J1813" s="13">
        <f t="shared" si="68"/>
        <v>301.58367999999973</v>
      </c>
      <c r="K1813" s="7">
        <v>43766.583679999996</v>
      </c>
      <c r="L1813" s="4">
        <v>401.2</v>
      </c>
      <c r="M1813">
        <v>19.3</v>
      </c>
      <c r="N1813">
        <v>16.11</v>
      </c>
      <c r="O1813">
        <v>51.4</v>
      </c>
      <c r="P1813">
        <v>0.82</v>
      </c>
      <c r="Q1813">
        <v>-6.4139236689552801</v>
      </c>
      <c r="R1813">
        <v>-1.3560280459085601E-4</v>
      </c>
    </row>
    <row r="1814" spans="1:18" x14ac:dyDescent="0.2">
      <c r="A1814" t="s">
        <v>9</v>
      </c>
      <c r="B1814">
        <v>5</v>
      </c>
      <c r="C1814" t="s">
        <v>6</v>
      </c>
      <c r="D1814" s="2">
        <v>43766</v>
      </c>
      <c r="E1814" s="11">
        <v>301</v>
      </c>
      <c r="F1814" s="3">
        <v>0.58853999999701045</v>
      </c>
      <c r="G1814" s="3">
        <v>0.59201000000030035</v>
      </c>
      <c r="H1814" s="13">
        <f t="shared" si="66"/>
        <v>301.58853999999701</v>
      </c>
      <c r="I1814" s="13">
        <f t="shared" si="67"/>
        <v>301.5920100000003</v>
      </c>
      <c r="J1814" s="13">
        <f t="shared" si="68"/>
        <v>301.59027499999866</v>
      </c>
      <c r="K1814" s="7">
        <v>43766.590274999995</v>
      </c>
      <c r="L1814" s="4">
        <v>381.2</v>
      </c>
      <c r="N1814">
        <v>16.11</v>
      </c>
      <c r="Q1814">
        <v>6.4708306632514203</v>
      </c>
      <c r="R1814">
        <v>-1.8578195856639701E-4</v>
      </c>
    </row>
    <row r="1815" spans="1:18" x14ac:dyDescent="0.2">
      <c r="A1815" t="s">
        <v>9</v>
      </c>
      <c r="B1815">
        <v>1</v>
      </c>
      <c r="C1815" t="s">
        <v>4</v>
      </c>
      <c r="D1815" s="2">
        <v>43773</v>
      </c>
      <c r="E1815" s="11">
        <v>308</v>
      </c>
      <c r="F1815" s="3">
        <v>0.40625</v>
      </c>
      <c r="G1815" s="3">
        <v>0.4097200000032899</v>
      </c>
      <c r="H1815" s="13">
        <f t="shared" si="66"/>
        <v>308.40625</v>
      </c>
      <c r="I1815" s="13">
        <f t="shared" si="67"/>
        <v>308.40972000000329</v>
      </c>
      <c r="J1815" s="13">
        <f t="shared" si="68"/>
        <v>308.40798500000164</v>
      </c>
      <c r="K1815" s="7">
        <v>43773.407984999998</v>
      </c>
      <c r="L1815" s="4">
        <v>791.2</v>
      </c>
      <c r="M1815">
        <v>14.9</v>
      </c>
      <c r="N1815">
        <v>10</v>
      </c>
      <c r="O1815">
        <v>49.7</v>
      </c>
      <c r="P1815">
        <v>0.72</v>
      </c>
      <c r="Q1815">
        <v>-1.9738920795970301</v>
      </c>
      <c r="R1815">
        <v>-1.14703771637806E-4</v>
      </c>
    </row>
    <row r="1816" spans="1:18" x14ac:dyDescent="0.2">
      <c r="A1816" t="s">
        <v>9</v>
      </c>
      <c r="B1816">
        <v>1</v>
      </c>
      <c r="C1816" t="s">
        <v>6</v>
      </c>
      <c r="D1816" s="2">
        <v>43773</v>
      </c>
      <c r="E1816" s="11">
        <v>308</v>
      </c>
      <c r="F1816" s="3">
        <v>0.41457999999693129</v>
      </c>
      <c r="G1816" s="3">
        <v>0.41806000000360655</v>
      </c>
      <c r="H1816" s="13">
        <f t="shared" si="66"/>
        <v>308.41457999999693</v>
      </c>
      <c r="I1816" s="13">
        <f t="shared" si="67"/>
        <v>308.41806000000361</v>
      </c>
      <c r="J1816" s="13">
        <f t="shared" si="68"/>
        <v>308.41632000000027</v>
      </c>
      <c r="K1816" s="7">
        <v>43773.416320000004</v>
      </c>
      <c r="L1816" s="4">
        <v>821.2</v>
      </c>
      <c r="N1816">
        <v>10</v>
      </c>
      <c r="Q1816">
        <v>2.2180477575954201</v>
      </c>
      <c r="R1816" s="6">
        <v>-8.2707012373782398E-5</v>
      </c>
    </row>
    <row r="1817" spans="1:18" x14ac:dyDescent="0.2">
      <c r="A1817" t="s">
        <v>9</v>
      </c>
      <c r="B1817">
        <v>2</v>
      </c>
      <c r="C1817" t="s">
        <v>4</v>
      </c>
      <c r="D1817" s="2">
        <v>43773</v>
      </c>
      <c r="E1817" s="11">
        <v>308</v>
      </c>
      <c r="F1817" s="3">
        <v>0.41978999999992084</v>
      </c>
      <c r="G1817" s="3">
        <v>0.42326000000321073</v>
      </c>
      <c r="H1817" s="13">
        <f t="shared" si="66"/>
        <v>308.41978999999992</v>
      </c>
      <c r="I1817" s="13">
        <f t="shared" si="67"/>
        <v>308.42326000000321</v>
      </c>
      <c r="J1817" s="13">
        <f t="shared" si="68"/>
        <v>308.42152500000157</v>
      </c>
      <c r="K1817" s="7">
        <v>43773.421524999998</v>
      </c>
      <c r="L1817" s="4">
        <v>763.7</v>
      </c>
      <c r="M1817">
        <v>17.100000000000001</v>
      </c>
      <c r="N1817">
        <v>10</v>
      </c>
      <c r="O1817">
        <v>44</v>
      </c>
      <c r="P1817">
        <v>0.7</v>
      </c>
      <c r="Q1817">
        <v>-7.0775375683323301</v>
      </c>
      <c r="R1817" s="6">
        <v>-4.2079512782542002E-5</v>
      </c>
    </row>
    <row r="1818" spans="1:18" x14ac:dyDescent="0.2">
      <c r="A1818" t="s">
        <v>9</v>
      </c>
      <c r="B1818">
        <v>2</v>
      </c>
      <c r="C1818" t="s">
        <v>6</v>
      </c>
      <c r="D1818" s="2">
        <v>43773</v>
      </c>
      <c r="E1818" s="11">
        <v>308</v>
      </c>
      <c r="F1818" s="3">
        <v>0.42603999999846565</v>
      </c>
      <c r="G1818" s="3">
        <v>0.42951000000175554</v>
      </c>
      <c r="H1818" s="13">
        <f t="shared" si="66"/>
        <v>308.42603999999847</v>
      </c>
      <c r="I1818" s="13">
        <f t="shared" si="67"/>
        <v>308.42951000000176</v>
      </c>
      <c r="J1818" s="13">
        <f t="shared" si="68"/>
        <v>308.42777500000011</v>
      </c>
      <c r="K1818" s="7">
        <v>43773.427775000004</v>
      </c>
      <c r="L1818" s="4">
        <v>901.2</v>
      </c>
      <c r="N1818">
        <v>10</v>
      </c>
      <c r="Q1818">
        <v>2.9516163432708198</v>
      </c>
      <c r="R1818" s="6">
        <v>-8.0869414968455798E-5</v>
      </c>
    </row>
    <row r="1819" spans="1:18" x14ac:dyDescent="0.2">
      <c r="A1819" t="s">
        <v>9</v>
      </c>
      <c r="B1819">
        <v>3</v>
      </c>
      <c r="C1819" t="s">
        <v>4</v>
      </c>
      <c r="D1819" s="2">
        <v>43773</v>
      </c>
      <c r="E1819" s="11">
        <v>308</v>
      </c>
      <c r="F1819" s="3">
        <v>0.43299000000115484</v>
      </c>
      <c r="G1819" s="3">
        <v>0.43645999999716878</v>
      </c>
      <c r="H1819" s="13">
        <f t="shared" si="66"/>
        <v>308.43299000000115</v>
      </c>
      <c r="I1819" s="13">
        <f t="shared" si="67"/>
        <v>308.43645999999717</v>
      </c>
      <c r="J1819" s="13">
        <f t="shared" si="68"/>
        <v>308.43472499999916</v>
      </c>
      <c r="K1819" s="7">
        <v>43773.434724999999</v>
      </c>
      <c r="L1819" s="4">
        <v>943.7</v>
      </c>
      <c r="M1819">
        <v>17.2</v>
      </c>
      <c r="N1819">
        <v>10</v>
      </c>
      <c r="O1819">
        <v>41.9</v>
      </c>
      <c r="P1819">
        <v>0.73</v>
      </c>
      <c r="Q1819">
        <v>-5.3542247775979304</v>
      </c>
      <c r="R1819" s="6">
        <v>-8.6583088022417298E-5</v>
      </c>
    </row>
    <row r="1820" spans="1:18" x14ac:dyDescent="0.2">
      <c r="A1820" t="s">
        <v>9</v>
      </c>
      <c r="B1820">
        <v>3</v>
      </c>
      <c r="C1820" t="s">
        <v>6</v>
      </c>
      <c r="D1820" s="2">
        <v>43773</v>
      </c>
      <c r="E1820" s="11">
        <v>308</v>
      </c>
      <c r="F1820" s="3">
        <v>0.43888999999762746</v>
      </c>
      <c r="G1820" s="3">
        <v>0.44236000000091735</v>
      </c>
      <c r="H1820" s="13">
        <f t="shared" si="66"/>
        <v>308.43888999999763</v>
      </c>
      <c r="I1820" s="13">
        <f t="shared" si="67"/>
        <v>308.44236000000092</v>
      </c>
      <c r="J1820" s="13">
        <f t="shared" si="68"/>
        <v>308.44062499999927</v>
      </c>
      <c r="K1820" s="7">
        <v>43773.440625000003</v>
      </c>
      <c r="L1820" s="4">
        <v>1011.2</v>
      </c>
      <c r="N1820">
        <v>10</v>
      </c>
      <c r="Q1820">
        <v>3.0969826837840699</v>
      </c>
      <c r="R1820">
        <v>-1.5977142174953001E-4</v>
      </c>
    </row>
    <row r="1821" spans="1:18" x14ac:dyDescent="0.2">
      <c r="A1821" t="s">
        <v>9</v>
      </c>
      <c r="B1821">
        <v>4</v>
      </c>
      <c r="C1821" t="s">
        <v>4</v>
      </c>
      <c r="D1821" s="2">
        <v>43773</v>
      </c>
      <c r="E1821" s="11">
        <v>308</v>
      </c>
      <c r="F1821" s="3">
        <v>0.44582999999693129</v>
      </c>
      <c r="G1821" s="3">
        <v>0.44931000000360655</v>
      </c>
      <c r="H1821" s="13">
        <f t="shared" si="66"/>
        <v>308.44582999999693</v>
      </c>
      <c r="I1821" s="13">
        <f t="shared" si="67"/>
        <v>308.44931000000361</v>
      </c>
      <c r="J1821" s="13">
        <f t="shared" si="68"/>
        <v>308.44757000000027</v>
      </c>
      <c r="K1821" s="7">
        <v>43773.447570000004</v>
      </c>
      <c r="L1821" s="4">
        <v>918.7</v>
      </c>
      <c r="M1821">
        <v>15.2</v>
      </c>
      <c r="N1821">
        <v>10</v>
      </c>
      <c r="O1821">
        <v>51.4</v>
      </c>
      <c r="P1821">
        <v>0.72</v>
      </c>
      <c r="Q1821">
        <v>-6.6453276718714296</v>
      </c>
      <c r="R1821">
        <v>-1.32764930702317E-4</v>
      </c>
    </row>
    <row r="1822" spans="1:18" x14ac:dyDescent="0.2">
      <c r="A1822" t="s">
        <v>9</v>
      </c>
      <c r="B1822">
        <v>4</v>
      </c>
      <c r="C1822" t="s">
        <v>6</v>
      </c>
      <c r="D1822" s="2">
        <v>43773</v>
      </c>
      <c r="E1822" s="11">
        <v>308</v>
      </c>
      <c r="F1822" s="3">
        <v>0.45242999999754829</v>
      </c>
      <c r="G1822" s="3">
        <v>0.45590000000083819</v>
      </c>
      <c r="H1822" s="13">
        <f t="shared" si="66"/>
        <v>308.45242999999755</v>
      </c>
      <c r="I1822" s="13">
        <f t="shared" si="67"/>
        <v>308.45590000000084</v>
      </c>
      <c r="J1822" s="13">
        <f t="shared" si="68"/>
        <v>308.45416499999919</v>
      </c>
      <c r="K1822" s="7">
        <v>43773.454165000003</v>
      </c>
      <c r="L1822" s="4">
        <v>966.2</v>
      </c>
      <c r="N1822">
        <v>10</v>
      </c>
      <c r="Q1822">
        <v>3.5160780889867902</v>
      </c>
      <c r="R1822">
        <v>-1.3876109387126601E-4</v>
      </c>
    </row>
    <row r="1823" spans="1:18" x14ac:dyDescent="0.2">
      <c r="A1823" t="s">
        <v>9</v>
      </c>
      <c r="B1823">
        <v>5</v>
      </c>
      <c r="C1823" t="s">
        <v>4</v>
      </c>
      <c r="D1823" s="2">
        <v>43773</v>
      </c>
      <c r="E1823" s="11">
        <v>308</v>
      </c>
      <c r="F1823" s="3">
        <v>0.45764000000053784</v>
      </c>
      <c r="G1823" s="3">
        <v>0.46110999999655178</v>
      </c>
      <c r="H1823" s="13">
        <f t="shared" si="66"/>
        <v>308.45764000000054</v>
      </c>
      <c r="I1823" s="13">
        <f t="shared" si="67"/>
        <v>308.46110999999655</v>
      </c>
      <c r="J1823" s="13">
        <f t="shared" si="68"/>
        <v>308.45937499999854</v>
      </c>
      <c r="K1823" s="7">
        <v>43773.459374999999</v>
      </c>
      <c r="L1823" s="4">
        <v>898.7</v>
      </c>
      <c r="M1823">
        <v>16.3</v>
      </c>
      <c r="N1823">
        <v>10</v>
      </c>
      <c r="O1823">
        <v>53.4</v>
      </c>
      <c r="P1823">
        <v>0.74</v>
      </c>
      <c r="Q1823">
        <v>-7.0957163334992002</v>
      </c>
      <c r="R1823">
        <v>-1.55853101330475E-4</v>
      </c>
    </row>
    <row r="1824" spans="1:18" x14ac:dyDescent="0.2">
      <c r="A1824" t="s">
        <v>9</v>
      </c>
      <c r="B1824">
        <v>5</v>
      </c>
      <c r="C1824" t="s">
        <v>6</v>
      </c>
      <c r="D1824" s="2">
        <v>43773</v>
      </c>
      <c r="E1824" s="11">
        <v>308</v>
      </c>
      <c r="F1824" s="3">
        <v>0.46388999999908265</v>
      </c>
      <c r="G1824" s="3">
        <v>0.46736000000237254</v>
      </c>
      <c r="H1824" s="13">
        <f t="shared" si="66"/>
        <v>308.46388999999908</v>
      </c>
      <c r="I1824" s="13">
        <f t="shared" si="67"/>
        <v>308.46736000000237</v>
      </c>
      <c r="J1824" s="13">
        <f t="shared" si="68"/>
        <v>308.46562500000073</v>
      </c>
      <c r="K1824" s="7">
        <v>43773.465624999997</v>
      </c>
      <c r="L1824" s="4">
        <v>1088.7</v>
      </c>
      <c r="N1824">
        <v>10</v>
      </c>
      <c r="Q1824">
        <v>3.9853810678618702</v>
      </c>
      <c r="R1824">
        <v>-2.2252560717907899E-4</v>
      </c>
    </row>
    <row r="1825" spans="1:18" x14ac:dyDescent="0.2">
      <c r="A1825" t="s">
        <v>9</v>
      </c>
      <c r="B1825">
        <v>1</v>
      </c>
      <c r="C1825" t="s">
        <v>4</v>
      </c>
      <c r="D1825" s="2">
        <v>43773</v>
      </c>
      <c r="E1825" s="11">
        <v>308</v>
      </c>
      <c r="F1825" s="3">
        <v>0.57082999999693129</v>
      </c>
      <c r="G1825" s="3">
        <v>0.57431000000360655</v>
      </c>
      <c r="H1825" s="13">
        <f t="shared" si="66"/>
        <v>308.57082999999693</v>
      </c>
      <c r="I1825" s="13">
        <f t="shared" si="67"/>
        <v>308.57431000000361</v>
      </c>
      <c r="J1825" s="13">
        <f t="shared" si="68"/>
        <v>308.57257000000027</v>
      </c>
      <c r="K1825" s="7">
        <v>43773.572570000004</v>
      </c>
      <c r="L1825" s="4">
        <v>288.7</v>
      </c>
      <c r="M1825">
        <v>15.4</v>
      </c>
      <c r="N1825">
        <v>11.11</v>
      </c>
      <c r="O1825">
        <v>43.7</v>
      </c>
      <c r="P1825">
        <v>0.76</v>
      </c>
      <c r="Q1825">
        <v>-1.15747984070249</v>
      </c>
      <c r="R1825">
        <v>-1.79404476276381E-4</v>
      </c>
    </row>
    <row r="1826" spans="1:18" x14ac:dyDescent="0.2">
      <c r="A1826" t="s">
        <v>9</v>
      </c>
      <c r="B1826">
        <v>1</v>
      </c>
      <c r="C1826" t="s">
        <v>6</v>
      </c>
      <c r="D1826" s="2">
        <v>43773</v>
      </c>
      <c r="E1826" s="11">
        <v>308</v>
      </c>
      <c r="F1826" s="3">
        <v>0.57742999999754829</v>
      </c>
      <c r="G1826" s="3">
        <v>0.58090000000083819</v>
      </c>
      <c r="H1826" s="13">
        <f t="shared" si="66"/>
        <v>308.57742999999755</v>
      </c>
      <c r="I1826" s="13">
        <f t="shared" si="67"/>
        <v>308.58090000000084</v>
      </c>
      <c r="J1826" s="13">
        <f t="shared" si="68"/>
        <v>308.57916499999919</v>
      </c>
      <c r="K1826" s="7">
        <v>43773.579165000003</v>
      </c>
      <c r="L1826" s="4">
        <v>421.2</v>
      </c>
      <c r="N1826">
        <v>11.11</v>
      </c>
      <c r="Q1826">
        <v>2.3368976154819201</v>
      </c>
      <c r="R1826">
        <v>-1.1292139892081799E-4</v>
      </c>
    </row>
    <row r="1827" spans="1:18" x14ac:dyDescent="0.2">
      <c r="A1827" t="s">
        <v>9</v>
      </c>
      <c r="B1827">
        <v>2</v>
      </c>
      <c r="C1827" t="s">
        <v>4</v>
      </c>
      <c r="D1827" s="2">
        <v>43773</v>
      </c>
      <c r="E1827" s="11">
        <v>308</v>
      </c>
      <c r="F1827" s="3">
        <v>0.58402999999816529</v>
      </c>
      <c r="G1827" s="3">
        <v>0.58750000000145519</v>
      </c>
      <c r="H1827" s="13">
        <f t="shared" si="66"/>
        <v>308.58402999999817</v>
      </c>
      <c r="I1827" s="13">
        <f t="shared" si="67"/>
        <v>308.58750000000146</v>
      </c>
      <c r="J1827" s="13">
        <f t="shared" si="68"/>
        <v>308.58576499999981</v>
      </c>
      <c r="K1827" s="7">
        <v>43773.585764999996</v>
      </c>
      <c r="L1827" s="4">
        <v>471.2</v>
      </c>
      <c r="M1827">
        <v>14.7</v>
      </c>
      <c r="N1827">
        <v>11.11</v>
      </c>
      <c r="O1827">
        <v>47.1</v>
      </c>
      <c r="P1827">
        <v>0.73</v>
      </c>
      <c r="Q1827">
        <v>-3.9845419740036201</v>
      </c>
      <c r="R1827">
        <v>-1.7007284306790399E-4</v>
      </c>
    </row>
    <row r="1828" spans="1:18" x14ac:dyDescent="0.2">
      <c r="A1828" t="s">
        <v>9</v>
      </c>
      <c r="B1828">
        <v>2</v>
      </c>
      <c r="C1828" t="s">
        <v>6</v>
      </c>
      <c r="D1828" s="2">
        <v>43773</v>
      </c>
      <c r="E1828" s="11">
        <v>308</v>
      </c>
      <c r="F1828" s="3">
        <v>0.5902799999967101</v>
      </c>
      <c r="G1828" s="3">
        <v>0.59375</v>
      </c>
      <c r="H1828" s="13">
        <f t="shared" si="66"/>
        <v>308.59027999999671</v>
      </c>
      <c r="I1828" s="13">
        <f t="shared" si="67"/>
        <v>308.59375</v>
      </c>
      <c r="J1828" s="13">
        <f t="shared" si="68"/>
        <v>308.59201499999836</v>
      </c>
      <c r="K1828" s="7">
        <v>43773.592015000002</v>
      </c>
      <c r="L1828" s="4">
        <v>408.7</v>
      </c>
      <c r="N1828">
        <v>11.11</v>
      </c>
      <c r="Q1828">
        <v>3.4362490777752899</v>
      </c>
      <c r="R1828">
        <v>-1.9315266975518801E-4</v>
      </c>
    </row>
    <row r="1829" spans="1:18" x14ac:dyDescent="0.2">
      <c r="A1829" t="s">
        <v>9</v>
      </c>
      <c r="B1829">
        <v>3</v>
      </c>
      <c r="C1829" t="s">
        <v>4</v>
      </c>
      <c r="D1829" s="2">
        <v>43773</v>
      </c>
      <c r="E1829" s="11">
        <v>308</v>
      </c>
      <c r="F1829" s="3">
        <v>0.59792000000015832</v>
      </c>
      <c r="G1829" s="3">
        <v>0.60139000000344822</v>
      </c>
      <c r="H1829" s="13">
        <f t="shared" si="66"/>
        <v>308.59792000000016</v>
      </c>
      <c r="I1829" s="13">
        <f t="shared" si="67"/>
        <v>308.60139000000345</v>
      </c>
      <c r="J1829" s="13">
        <f t="shared" si="68"/>
        <v>308.5996550000018</v>
      </c>
      <c r="K1829" s="7">
        <v>43773.599654999998</v>
      </c>
      <c r="L1829" s="4">
        <v>321.2</v>
      </c>
      <c r="M1829">
        <v>17.2</v>
      </c>
      <c r="N1829">
        <v>11.11</v>
      </c>
      <c r="O1829">
        <v>41.5</v>
      </c>
      <c r="P1829">
        <v>0.74</v>
      </c>
      <c r="Q1829">
        <v>-2.4657978641523099</v>
      </c>
      <c r="R1829">
        <v>-1.6445385114132301E-4</v>
      </c>
    </row>
    <row r="1830" spans="1:18" x14ac:dyDescent="0.2">
      <c r="A1830" t="s">
        <v>9</v>
      </c>
      <c r="B1830">
        <v>3</v>
      </c>
      <c r="C1830" t="s">
        <v>6</v>
      </c>
      <c r="D1830" s="2">
        <v>43773</v>
      </c>
      <c r="E1830" s="11">
        <v>308</v>
      </c>
      <c r="F1830" s="3">
        <v>0.60485999999946216</v>
      </c>
      <c r="G1830" s="3">
        <v>0.60833000000275206</v>
      </c>
      <c r="H1830" s="13">
        <f t="shared" si="66"/>
        <v>308.60485999999946</v>
      </c>
      <c r="I1830" s="13">
        <f t="shared" si="67"/>
        <v>308.60833000000275</v>
      </c>
      <c r="J1830" s="13">
        <f t="shared" si="68"/>
        <v>308.60659500000111</v>
      </c>
      <c r="K1830" s="7">
        <v>43773.606595000005</v>
      </c>
      <c r="L1830" s="4">
        <v>233.7</v>
      </c>
      <c r="N1830">
        <v>11.11</v>
      </c>
      <c r="Q1830">
        <v>3.0277827256492</v>
      </c>
      <c r="R1830">
        <v>-1.80059448157186E-4</v>
      </c>
    </row>
    <row r="1831" spans="1:18" x14ac:dyDescent="0.2">
      <c r="A1831" t="s">
        <v>9</v>
      </c>
      <c r="B1831">
        <v>4</v>
      </c>
      <c r="C1831" t="s">
        <v>4</v>
      </c>
      <c r="D1831" s="2">
        <v>43773</v>
      </c>
      <c r="E1831" s="11">
        <v>308</v>
      </c>
      <c r="F1831" s="3">
        <v>0.61041999999724794</v>
      </c>
      <c r="G1831" s="3">
        <v>0.61389000000053784</v>
      </c>
      <c r="H1831" s="13">
        <f t="shared" si="66"/>
        <v>308.61041999999725</v>
      </c>
      <c r="I1831" s="13">
        <f t="shared" si="67"/>
        <v>308.61389000000054</v>
      </c>
      <c r="J1831" s="13">
        <f t="shared" si="68"/>
        <v>308.61215499999889</v>
      </c>
      <c r="K1831" s="7">
        <v>43773.612154999995</v>
      </c>
      <c r="L1831" s="4">
        <v>231.2</v>
      </c>
      <c r="M1831">
        <v>15.4</v>
      </c>
      <c r="N1831">
        <v>11.11</v>
      </c>
      <c r="O1831">
        <v>49.6</v>
      </c>
      <c r="P1831">
        <v>0.73</v>
      </c>
      <c r="Q1831">
        <v>-3.04621263249788</v>
      </c>
      <c r="R1831">
        <v>-1.41487347319512E-4</v>
      </c>
    </row>
    <row r="1832" spans="1:18" x14ac:dyDescent="0.2">
      <c r="A1832" t="s">
        <v>9</v>
      </c>
      <c r="B1832">
        <v>4</v>
      </c>
      <c r="C1832" t="s">
        <v>6</v>
      </c>
      <c r="D1832" s="2">
        <v>43773</v>
      </c>
      <c r="E1832" s="11">
        <v>308</v>
      </c>
      <c r="F1832" s="3">
        <v>0.61735999999655178</v>
      </c>
      <c r="G1832" s="3">
        <v>0.62082999999984168</v>
      </c>
      <c r="H1832" s="13">
        <f t="shared" si="66"/>
        <v>308.61735999999655</v>
      </c>
      <c r="I1832" s="13">
        <f t="shared" si="67"/>
        <v>308.62082999999984</v>
      </c>
      <c r="J1832" s="13">
        <f t="shared" si="68"/>
        <v>308.6190949999982</v>
      </c>
      <c r="K1832" s="7">
        <v>43773.619095000002</v>
      </c>
      <c r="L1832" s="4">
        <v>231.2</v>
      </c>
      <c r="N1832">
        <v>11.11</v>
      </c>
      <c r="Q1832">
        <v>2.56190201527924</v>
      </c>
      <c r="R1832" s="6">
        <v>-9.0800568196153307E-5</v>
      </c>
    </row>
    <row r="1833" spans="1:18" x14ac:dyDescent="0.2">
      <c r="A1833" t="s">
        <v>9</v>
      </c>
      <c r="B1833">
        <v>5</v>
      </c>
      <c r="C1833" t="s">
        <v>4</v>
      </c>
      <c r="D1833" s="2">
        <v>43773</v>
      </c>
      <c r="E1833" s="11">
        <v>308</v>
      </c>
      <c r="F1833" s="3">
        <v>0.62292000000161352</v>
      </c>
      <c r="G1833" s="3">
        <v>0.62638999999762746</v>
      </c>
      <c r="H1833" s="13">
        <f t="shared" si="66"/>
        <v>308.62292000000161</v>
      </c>
      <c r="I1833" s="13">
        <f t="shared" si="67"/>
        <v>308.62638999999763</v>
      </c>
      <c r="J1833" s="13">
        <f t="shared" si="68"/>
        <v>308.62465499999962</v>
      </c>
      <c r="K1833" s="7">
        <v>43773.624655</v>
      </c>
      <c r="L1833" s="4">
        <v>166.2</v>
      </c>
      <c r="M1833">
        <v>14</v>
      </c>
      <c r="N1833">
        <v>11.11</v>
      </c>
      <c r="O1833">
        <v>48.5</v>
      </c>
      <c r="P1833">
        <v>0.75</v>
      </c>
      <c r="Q1833">
        <v>-2.2586611106271399</v>
      </c>
      <c r="R1833">
        <v>-1.85136691738988E-4</v>
      </c>
    </row>
    <row r="1834" spans="1:18" x14ac:dyDescent="0.2">
      <c r="A1834" t="s">
        <v>9</v>
      </c>
      <c r="B1834">
        <v>5</v>
      </c>
      <c r="C1834" t="s">
        <v>6</v>
      </c>
      <c r="D1834" s="2">
        <v>43773</v>
      </c>
      <c r="E1834" s="11">
        <v>308</v>
      </c>
      <c r="F1834" s="3">
        <v>0.63332999999693129</v>
      </c>
      <c r="G1834" s="3">
        <v>0.63681000000360655</v>
      </c>
      <c r="H1834" s="13">
        <f t="shared" si="66"/>
        <v>308.63332999999693</v>
      </c>
      <c r="I1834" s="13">
        <f t="shared" si="67"/>
        <v>308.63681000000361</v>
      </c>
      <c r="J1834" s="13">
        <f t="shared" si="68"/>
        <v>308.63507000000027</v>
      </c>
      <c r="K1834" s="7">
        <v>43773.635070000004</v>
      </c>
      <c r="L1834" s="4">
        <v>166.2</v>
      </c>
      <c r="N1834">
        <v>11.11</v>
      </c>
      <c r="Q1834">
        <v>2.4864180791436401</v>
      </c>
      <c r="R1834">
        <v>-1.5003256191089301E-4</v>
      </c>
    </row>
    <row r="1835" spans="1:18" x14ac:dyDescent="0.2">
      <c r="A1835" t="s">
        <v>9</v>
      </c>
      <c r="B1835">
        <v>1</v>
      </c>
      <c r="C1835" t="s">
        <v>4</v>
      </c>
      <c r="D1835" s="2">
        <v>43780</v>
      </c>
      <c r="E1835" s="11">
        <v>315</v>
      </c>
      <c r="F1835" s="3">
        <v>0.43263999999908265</v>
      </c>
      <c r="G1835" s="3">
        <v>0.43611000000237254</v>
      </c>
      <c r="H1835" s="13">
        <f t="shared" si="66"/>
        <v>315.43263999999908</v>
      </c>
      <c r="I1835" s="13">
        <f t="shared" si="67"/>
        <v>315.43611000000237</v>
      </c>
      <c r="J1835" s="13">
        <f t="shared" si="68"/>
        <v>315.43437500000073</v>
      </c>
      <c r="K1835" s="7">
        <v>43780.434374999997</v>
      </c>
      <c r="L1835" s="4">
        <v>496.2</v>
      </c>
      <c r="M1835">
        <v>18.100000000000001</v>
      </c>
      <c r="N1835">
        <v>7.78</v>
      </c>
      <c r="O1835">
        <v>36.4</v>
      </c>
      <c r="P1835">
        <v>0.65</v>
      </c>
      <c r="Q1835">
        <v>-2.2582235903177401</v>
      </c>
      <c r="R1835" s="6">
        <v>-8.1304805287461801E-5</v>
      </c>
    </row>
    <row r="1836" spans="1:18" x14ac:dyDescent="0.2">
      <c r="A1836" t="s">
        <v>9</v>
      </c>
      <c r="B1836">
        <v>1</v>
      </c>
      <c r="C1836" t="s">
        <v>6</v>
      </c>
      <c r="D1836" s="2">
        <v>43780</v>
      </c>
      <c r="E1836" s="11">
        <v>315</v>
      </c>
      <c r="F1836" s="3">
        <v>0.43888999999762746</v>
      </c>
      <c r="G1836" s="3">
        <v>0.44236000000091735</v>
      </c>
      <c r="H1836" s="13">
        <f t="shared" si="66"/>
        <v>315.43888999999763</v>
      </c>
      <c r="I1836" s="13">
        <f t="shared" si="67"/>
        <v>315.44236000000092</v>
      </c>
      <c r="J1836" s="13">
        <f t="shared" si="68"/>
        <v>315.44062499999927</v>
      </c>
      <c r="K1836" s="7">
        <v>43780.440625000003</v>
      </c>
      <c r="L1836" s="4">
        <v>591.20000000000005</v>
      </c>
      <c r="N1836">
        <v>7.78</v>
      </c>
      <c r="Q1836">
        <v>1.8815068964145101</v>
      </c>
      <c r="R1836" s="6">
        <v>3.7388027909610497E-5</v>
      </c>
    </row>
    <row r="1837" spans="1:18" x14ac:dyDescent="0.2">
      <c r="A1837" t="s">
        <v>9</v>
      </c>
      <c r="B1837">
        <v>2</v>
      </c>
      <c r="C1837" t="s">
        <v>6</v>
      </c>
      <c r="D1837" s="2">
        <v>43780</v>
      </c>
      <c r="E1837" s="11">
        <v>315</v>
      </c>
      <c r="F1837" s="3">
        <v>0.44653000000107568</v>
      </c>
      <c r="G1837" s="3">
        <v>0.44999999999708962</v>
      </c>
      <c r="H1837" s="13">
        <f t="shared" si="66"/>
        <v>315.44653000000108</v>
      </c>
      <c r="I1837" s="13">
        <f t="shared" si="67"/>
        <v>315.44999999999709</v>
      </c>
      <c r="J1837" s="13">
        <f t="shared" si="68"/>
        <v>315.44826499999908</v>
      </c>
      <c r="K1837" s="7">
        <v>43780.448264999999</v>
      </c>
      <c r="L1837" s="4">
        <v>673.7</v>
      </c>
      <c r="M1837">
        <v>17.5</v>
      </c>
      <c r="N1837">
        <v>7.78</v>
      </c>
      <c r="O1837">
        <v>30.3</v>
      </c>
      <c r="P1837">
        <v>0.69</v>
      </c>
      <c r="Q1837">
        <v>2.5000084160541198</v>
      </c>
      <c r="R1837">
        <v>-1.4773178684105399E-4</v>
      </c>
    </row>
    <row r="1838" spans="1:18" x14ac:dyDescent="0.2">
      <c r="A1838" t="s">
        <v>9</v>
      </c>
      <c r="B1838">
        <v>2</v>
      </c>
      <c r="C1838" t="s">
        <v>4</v>
      </c>
      <c r="D1838" s="2">
        <v>43780</v>
      </c>
      <c r="E1838" s="11">
        <v>315</v>
      </c>
      <c r="F1838" s="3">
        <v>0.45313000000169268</v>
      </c>
      <c r="G1838" s="3">
        <v>0.45659999999770662</v>
      </c>
      <c r="H1838" s="13">
        <f t="shared" si="66"/>
        <v>315.45313000000169</v>
      </c>
      <c r="I1838" s="13">
        <f t="shared" si="67"/>
        <v>315.45659999999771</v>
      </c>
      <c r="J1838" s="13">
        <f t="shared" si="68"/>
        <v>315.4548649999997</v>
      </c>
      <c r="K1838" s="7">
        <v>43780.454865</v>
      </c>
      <c r="L1838" s="4">
        <v>538.70000000000005</v>
      </c>
      <c r="N1838">
        <v>7.78</v>
      </c>
      <c r="Q1838">
        <v>-3.9224339607451899</v>
      </c>
      <c r="R1838">
        <v>-1.7737412120416099E-4</v>
      </c>
    </row>
    <row r="1839" spans="1:18" x14ac:dyDescent="0.2">
      <c r="A1839" t="s">
        <v>9</v>
      </c>
      <c r="B1839">
        <v>3</v>
      </c>
      <c r="C1839" t="s">
        <v>4</v>
      </c>
      <c r="D1839" s="2">
        <v>43780</v>
      </c>
      <c r="E1839" s="11">
        <v>315</v>
      </c>
      <c r="F1839" s="3">
        <v>0.45971999999892432</v>
      </c>
      <c r="G1839" s="3">
        <v>0.46319000000221422</v>
      </c>
      <c r="H1839" s="13">
        <f t="shared" si="66"/>
        <v>315.45971999999892</v>
      </c>
      <c r="I1839" s="13">
        <f t="shared" si="67"/>
        <v>315.46319000000221</v>
      </c>
      <c r="J1839" s="13">
        <f t="shared" si="68"/>
        <v>315.46145500000057</v>
      </c>
      <c r="K1839" s="7">
        <v>43780.461454999997</v>
      </c>
      <c r="L1839" s="4">
        <v>503.7</v>
      </c>
      <c r="M1839">
        <v>21</v>
      </c>
      <c r="N1839">
        <v>7.78</v>
      </c>
      <c r="O1839">
        <v>43.8</v>
      </c>
      <c r="P1839">
        <v>0.65</v>
      </c>
      <c r="Q1839">
        <v>-2.9603206384477199</v>
      </c>
      <c r="R1839">
        <v>-2.2390124725933601E-4</v>
      </c>
    </row>
    <row r="1840" spans="1:18" x14ac:dyDescent="0.2">
      <c r="A1840" t="s">
        <v>9</v>
      </c>
      <c r="B1840">
        <v>3</v>
      </c>
      <c r="C1840" t="s">
        <v>6</v>
      </c>
      <c r="D1840" s="2">
        <v>43780</v>
      </c>
      <c r="E1840" s="11">
        <v>315</v>
      </c>
      <c r="F1840" s="3">
        <v>0.46667000000161352</v>
      </c>
      <c r="G1840" s="3">
        <v>0.47013999999762746</v>
      </c>
      <c r="H1840" s="13">
        <f t="shared" si="66"/>
        <v>315.46667000000161</v>
      </c>
      <c r="I1840" s="13">
        <f t="shared" si="67"/>
        <v>315.47013999999763</v>
      </c>
      <c r="J1840" s="13">
        <f t="shared" si="68"/>
        <v>315.46840499999962</v>
      </c>
      <c r="K1840" s="7">
        <v>43780.468405</v>
      </c>
      <c r="L1840" s="4">
        <v>803.7</v>
      </c>
      <c r="N1840">
        <v>7.78</v>
      </c>
      <c r="Q1840">
        <v>2.1583989760734199</v>
      </c>
      <c r="R1840">
        <v>-3.1318993307514001E-4</v>
      </c>
    </row>
    <row r="1841" spans="1:18" x14ac:dyDescent="0.2">
      <c r="A1841" t="s">
        <v>9</v>
      </c>
      <c r="B1841">
        <v>4</v>
      </c>
      <c r="C1841" t="s">
        <v>4</v>
      </c>
      <c r="D1841" s="2">
        <v>43780</v>
      </c>
      <c r="E1841" s="11">
        <v>315</v>
      </c>
      <c r="F1841" s="3">
        <v>0.47568999999930384</v>
      </c>
      <c r="G1841" s="3">
        <v>0.47916999999870313</v>
      </c>
      <c r="H1841" s="13">
        <f t="shared" si="66"/>
        <v>315.4756899999993</v>
      </c>
      <c r="I1841" s="13">
        <f t="shared" si="67"/>
        <v>315.4791699999987</v>
      </c>
      <c r="J1841" s="13">
        <f t="shared" si="68"/>
        <v>315.477429999999</v>
      </c>
      <c r="K1841" s="7">
        <v>43780.477429999999</v>
      </c>
      <c r="L1841" s="4">
        <v>561.20000000000005</v>
      </c>
      <c r="M1841">
        <v>15.6</v>
      </c>
      <c r="N1841">
        <v>7.22</v>
      </c>
      <c r="O1841">
        <v>39.799999999999997</v>
      </c>
      <c r="P1841">
        <v>0.67</v>
      </c>
      <c r="Q1841">
        <v>-5.5457710526220696</v>
      </c>
      <c r="R1841">
        <v>-1.4447364185326099E-4</v>
      </c>
    </row>
    <row r="1842" spans="1:18" x14ac:dyDescent="0.2">
      <c r="A1842" t="s">
        <v>9</v>
      </c>
      <c r="B1842">
        <v>4</v>
      </c>
      <c r="C1842" t="s">
        <v>6</v>
      </c>
      <c r="D1842" s="2">
        <v>43780</v>
      </c>
      <c r="E1842" s="11">
        <v>315</v>
      </c>
      <c r="F1842" s="3">
        <v>0.48124999999708962</v>
      </c>
      <c r="G1842" s="3">
        <v>0.48472000000037951</v>
      </c>
      <c r="H1842" s="13">
        <f t="shared" si="66"/>
        <v>315.48124999999709</v>
      </c>
      <c r="I1842" s="13">
        <f t="shared" si="67"/>
        <v>315.48472000000038</v>
      </c>
      <c r="J1842" s="13">
        <f t="shared" si="68"/>
        <v>315.48298499999873</v>
      </c>
      <c r="K1842" s="7">
        <v>43780.482984999995</v>
      </c>
      <c r="L1842" s="4">
        <v>518.70000000000005</v>
      </c>
      <c r="N1842">
        <v>7.22</v>
      </c>
      <c r="Q1842">
        <v>2.7213231975604102</v>
      </c>
      <c r="R1842">
        <v>-2.3403854504019299E-4</v>
      </c>
    </row>
    <row r="1843" spans="1:18" x14ac:dyDescent="0.2">
      <c r="A1843" t="s">
        <v>9</v>
      </c>
      <c r="B1843">
        <v>5</v>
      </c>
      <c r="C1843" t="s">
        <v>4</v>
      </c>
      <c r="D1843" s="2">
        <v>43780</v>
      </c>
      <c r="E1843" s="11">
        <v>315</v>
      </c>
      <c r="F1843" s="3">
        <v>0.48681000000215136</v>
      </c>
      <c r="G1843" s="3">
        <v>0.49027999999816529</v>
      </c>
      <c r="H1843" s="13">
        <f t="shared" si="66"/>
        <v>315.48681000000215</v>
      </c>
      <c r="I1843" s="13">
        <f t="shared" si="67"/>
        <v>315.49027999999817</v>
      </c>
      <c r="J1843" s="13">
        <f t="shared" si="68"/>
        <v>315.48854500000016</v>
      </c>
      <c r="K1843" s="7">
        <v>43780.488545</v>
      </c>
      <c r="L1843" s="4">
        <v>518.70000000000005</v>
      </c>
      <c r="M1843">
        <v>16.2</v>
      </c>
      <c r="N1843">
        <v>6.66</v>
      </c>
      <c r="O1843">
        <v>37.799999999999997</v>
      </c>
      <c r="P1843">
        <v>0.65</v>
      </c>
      <c r="Q1843">
        <v>-4.3228725479134704</v>
      </c>
      <c r="R1843">
        <v>-1.46714696067148E-4</v>
      </c>
    </row>
    <row r="1844" spans="1:18" x14ac:dyDescent="0.2">
      <c r="A1844" t="s">
        <v>9</v>
      </c>
      <c r="B1844">
        <v>5</v>
      </c>
      <c r="C1844" t="s">
        <v>6</v>
      </c>
      <c r="D1844" s="2">
        <v>43780</v>
      </c>
      <c r="E1844" s="11">
        <v>315</v>
      </c>
      <c r="F1844" s="3">
        <v>0.49235999999655178</v>
      </c>
      <c r="G1844" s="3">
        <v>0.49582999999984168</v>
      </c>
      <c r="H1844" s="13">
        <f t="shared" si="66"/>
        <v>315.49235999999655</v>
      </c>
      <c r="I1844" s="13">
        <f t="shared" si="67"/>
        <v>315.49582999999984</v>
      </c>
      <c r="J1844" s="13">
        <f t="shared" si="68"/>
        <v>315.4940949999982</v>
      </c>
      <c r="K1844" s="7">
        <v>43780.494095000002</v>
      </c>
      <c r="L1844" s="4">
        <v>418.7</v>
      </c>
      <c r="N1844">
        <v>6.66</v>
      </c>
      <c r="Q1844">
        <v>1.6696017997633501</v>
      </c>
      <c r="R1844">
        <v>-1.6215714485182E-4</v>
      </c>
    </row>
    <row r="1845" spans="1:18" x14ac:dyDescent="0.2">
      <c r="A1845" t="s">
        <v>9</v>
      </c>
      <c r="B1845">
        <v>1</v>
      </c>
      <c r="C1845" t="s">
        <v>4</v>
      </c>
      <c r="D1845" s="2">
        <v>43780</v>
      </c>
      <c r="E1845" s="11">
        <v>315</v>
      </c>
      <c r="F1845" s="3">
        <v>0.54306000000360655</v>
      </c>
      <c r="G1845" s="3">
        <v>0.54652999999962049</v>
      </c>
      <c r="H1845" s="13">
        <f t="shared" si="66"/>
        <v>315.54306000000361</v>
      </c>
      <c r="I1845" s="13">
        <f t="shared" si="67"/>
        <v>315.54652999999962</v>
      </c>
      <c r="J1845" s="13">
        <f t="shared" si="68"/>
        <v>315.54479500000161</v>
      </c>
      <c r="K1845" s="7">
        <v>43780.544795000002</v>
      </c>
      <c r="L1845" s="4">
        <v>613.70000000000005</v>
      </c>
      <c r="M1845">
        <v>15.6</v>
      </c>
      <c r="N1845">
        <v>6.11</v>
      </c>
      <c r="O1845">
        <v>40.6</v>
      </c>
      <c r="P1845">
        <v>0.64</v>
      </c>
      <c r="Q1845">
        <v>-1.88268478103282</v>
      </c>
      <c r="R1845">
        <v>-1.6807813613519001E-4</v>
      </c>
    </row>
    <row r="1846" spans="1:18" x14ac:dyDescent="0.2">
      <c r="A1846" t="s">
        <v>9</v>
      </c>
      <c r="B1846">
        <v>1</v>
      </c>
      <c r="C1846" t="s">
        <v>6</v>
      </c>
      <c r="D1846" s="2">
        <v>43780</v>
      </c>
      <c r="E1846" s="11">
        <v>315</v>
      </c>
      <c r="F1846" s="3">
        <v>0.54931000000215136</v>
      </c>
      <c r="G1846" s="3">
        <v>0.55277999999816529</v>
      </c>
      <c r="H1846" s="13">
        <f t="shared" si="66"/>
        <v>315.54931000000215</v>
      </c>
      <c r="I1846" s="13">
        <f t="shared" si="67"/>
        <v>315.55277999999817</v>
      </c>
      <c r="J1846" s="13">
        <f t="shared" si="68"/>
        <v>315.55104500000016</v>
      </c>
      <c r="K1846" s="7">
        <v>43780.551045</v>
      </c>
      <c r="L1846" s="4">
        <v>666.2</v>
      </c>
      <c r="N1846">
        <v>6.11</v>
      </c>
      <c r="Q1846">
        <v>1.95264023773835</v>
      </c>
      <c r="R1846">
        <v>-1.8154133683377199E-4</v>
      </c>
    </row>
    <row r="1847" spans="1:18" x14ac:dyDescent="0.2">
      <c r="A1847" t="s">
        <v>9</v>
      </c>
      <c r="B1847">
        <v>2</v>
      </c>
      <c r="C1847" t="s">
        <v>4</v>
      </c>
      <c r="D1847" s="2">
        <v>43780</v>
      </c>
      <c r="E1847" s="11">
        <v>315</v>
      </c>
      <c r="F1847" s="3">
        <v>0.55556000000069616</v>
      </c>
      <c r="G1847" s="3">
        <v>0.5590299999967101</v>
      </c>
      <c r="H1847" s="13">
        <f t="shared" si="66"/>
        <v>315.5555600000007</v>
      </c>
      <c r="I1847" s="13">
        <f t="shared" si="67"/>
        <v>315.55902999999671</v>
      </c>
      <c r="J1847" s="13">
        <f t="shared" si="68"/>
        <v>315.5572949999987</v>
      </c>
      <c r="K1847" s="7">
        <v>43780.557294999999</v>
      </c>
      <c r="L1847" s="4">
        <v>711.2</v>
      </c>
      <c r="M1847">
        <v>15.6</v>
      </c>
      <c r="N1847">
        <v>6.66</v>
      </c>
      <c r="O1847">
        <v>44.7</v>
      </c>
      <c r="P1847">
        <v>0.63</v>
      </c>
      <c r="Q1847">
        <v>-5.5549548007595702</v>
      </c>
      <c r="R1847">
        <v>-1.40508191459269E-4</v>
      </c>
    </row>
    <row r="1848" spans="1:18" x14ac:dyDescent="0.2">
      <c r="A1848" t="s">
        <v>9</v>
      </c>
      <c r="B1848">
        <v>2</v>
      </c>
      <c r="C1848" t="s">
        <v>6</v>
      </c>
      <c r="D1848" s="2">
        <v>43780</v>
      </c>
      <c r="E1848" s="11">
        <v>315</v>
      </c>
      <c r="F1848" s="3">
        <v>0.56111000000237254</v>
      </c>
      <c r="G1848" s="3">
        <v>0.56457999999838648</v>
      </c>
      <c r="H1848" s="13">
        <f t="shared" si="66"/>
        <v>315.56111000000237</v>
      </c>
      <c r="I1848" s="13">
        <f t="shared" si="67"/>
        <v>315.56457999999839</v>
      </c>
      <c r="J1848" s="13">
        <f t="shared" si="68"/>
        <v>315.56284500000038</v>
      </c>
      <c r="K1848" s="7">
        <v>43780.562845</v>
      </c>
      <c r="L1848" s="4">
        <v>631.20000000000005</v>
      </c>
      <c r="N1848">
        <v>6.66</v>
      </c>
      <c r="Q1848">
        <v>2.2128469066290002</v>
      </c>
      <c r="R1848" s="6">
        <v>-8.0608686259460403E-5</v>
      </c>
    </row>
    <row r="1849" spans="1:18" x14ac:dyDescent="0.2">
      <c r="A1849" t="s">
        <v>9</v>
      </c>
      <c r="B1849">
        <v>3</v>
      </c>
      <c r="C1849" t="s">
        <v>4</v>
      </c>
      <c r="D1849" s="2">
        <v>43780</v>
      </c>
      <c r="E1849" s="11">
        <v>315</v>
      </c>
      <c r="F1849" s="3">
        <v>0.56943999999930384</v>
      </c>
      <c r="G1849" s="3">
        <v>0.57291999999870313</v>
      </c>
      <c r="H1849" s="13">
        <f t="shared" si="66"/>
        <v>315.5694399999993</v>
      </c>
      <c r="I1849" s="13">
        <f t="shared" si="67"/>
        <v>315.5729199999987</v>
      </c>
      <c r="J1849" s="13">
        <f t="shared" si="68"/>
        <v>315.571179999999</v>
      </c>
      <c r="K1849" s="7">
        <v>43780.571179999999</v>
      </c>
      <c r="L1849" s="4">
        <v>413.7</v>
      </c>
      <c r="M1849">
        <v>19.100000000000001</v>
      </c>
      <c r="N1849">
        <v>5.55</v>
      </c>
      <c r="O1849">
        <v>42.9</v>
      </c>
      <c r="P1849">
        <v>0.66</v>
      </c>
      <c r="Q1849">
        <v>-2.63858973200088</v>
      </c>
      <c r="R1849">
        <v>-2.4340269057612101E-4</v>
      </c>
    </row>
    <row r="1850" spans="1:18" x14ac:dyDescent="0.2">
      <c r="A1850" t="s">
        <v>9</v>
      </c>
      <c r="B1850">
        <v>3</v>
      </c>
      <c r="C1850" t="s">
        <v>6</v>
      </c>
      <c r="D1850" s="2">
        <v>43780</v>
      </c>
      <c r="E1850" s="11">
        <v>315</v>
      </c>
      <c r="F1850" s="3">
        <v>0.57568999999784864</v>
      </c>
      <c r="G1850" s="3">
        <v>0.57916999999724794</v>
      </c>
      <c r="H1850" s="13">
        <f t="shared" si="66"/>
        <v>315.57568999999785</v>
      </c>
      <c r="I1850" s="13">
        <f t="shared" si="67"/>
        <v>315.57916999999725</v>
      </c>
      <c r="J1850" s="13">
        <f t="shared" si="68"/>
        <v>315.57742999999755</v>
      </c>
      <c r="K1850" s="7">
        <v>43780.577429999998</v>
      </c>
      <c r="L1850" s="4">
        <v>426.2</v>
      </c>
      <c r="N1850">
        <v>5.55</v>
      </c>
      <c r="Q1850">
        <v>2.6381677573192999</v>
      </c>
      <c r="R1850">
        <v>-2.6709847477276099E-4</v>
      </c>
    </row>
    <row r="1851" spans="1:18" x14ac:dyDescent="0.2">
      <c r="A1851" t="s">
        <v>9</v>
      </c>
      <c r="B1851">
        <v>4</v>
      </c>
      <c r="C1851" t="s">
        <v>4</v>
      </c>
      <c r="D1851" s="2">
        <v>43780</v>
      </c>
      <c r="E1851" s="11">
        <v>315</v>
      </c>
      <c r="F1851" s="3">
        <v>0.58159999999770662</v>
      </c>
      <c r="G1851" s="3">
        <v>0.58507000000099652</v>
      </c>
      <c r="H1851" s="13">
        <f t="shared" ref="H1851:H1854" si="69">E1851+F1851</f>
        <v>315.58159999999771</v>
      </c>
      <c r="I1851" s="13">
        <f t="shared" ref="I1851:I1854" si="70">E1851+G1851</f>
        <v>315.585070000001</v>
      </c>
      <c r="J1851" s="13">
        <f t="shared" ref="J1851:J1854" si="71">AVERAGE(H1851:I1851)</f>
        <v>315.58333499999935</v>
      </c>
      <c r="K1851" s="7">
        <v>43780.583335000003</v>
      </c>
      <c r="L1851" s="4">
        <v>368.7</v>
      </c>
      <c r="M1851">
        <v>16.399999999999999</v>
      </c>
      <c r="N1851">
        <v>5</v>
      </c>
      <c r="O1851">
        <v>42.3</v>
      </c>
      <c r="P1851">
        <v>0.66</v>
      </c>
      <c r="Q1851">
        <v>-4.4259217877281198</v>
      </c>
      <c r="R1851">
        <v>-2.0381193845787099E-4</v>
      </c>
    </row>
    <row r="1852" spans="1:18" x14ac:dyDescent="0.2">
      <c r="A1852" t="s">
        <v>9</v>
      </c>
      <c r="B1852">
        <v>4</v>
      </c>
      <c r="C1852" t="s">
        <v>6</v>
      </c>
      <c r="D1852" s="2">
        <v>43780</v>
      </c>
      <c r="E1852" s="11">
        <v>315</v>
      </c>
      <c r="F1852" s="3">
        <v>0.58888999999908265</v>
      </c>
      <c r="G1852" s="3">
        <v>0.59236000000237254</v>
      </c>
      <c r="H1852" s="13">
        <f t="shared" si="69"/>
        <v>315.58888999999908</v>
      </c>
      <c r="I1852" s="13">
        <f t="shared" si="70"/>
        <v>315.59236000000237</v>
      </c>
      <c r="J1852" s="13">
        <f t="shared" si="71"/>
        <v>315.59062500000073</v>
      </c>
      <c r="K1852" s="7">
        <v>43780.590624999997</v>
      </c>
      <c r="L1852" s="4">
        <v>388.7</v>
      </c>
      <c r="N1852">
        <v>5</v>
      </c>
      <c r="Q1852">
        <v>2.14191276243234</v>
      </c>
      <c r="R1852">
        <v>-2.1148588348007501E-4</v>
      </c>
    </row>
    <row r="1853" spans="1:18" x14ac:dyDescent="0.2">
      <c r="A1853" t="s">
        <v>9</v>
      </c>
      <c r="B1853">
        <v>5</v>
      </c>
      <c r="C1853" t="s">
        <v>4</v>
      </c>
      <c r="D1853" s="2">
        <v>43780</v>
      </c>
      <c r="E1853" s="11">
        <v>315</v>
      </c>
      <c r="F1853" s="3">
        <v>0.59513999999762746</v>
      </c>
      <c r="G1853" s="3">
        <v>0.59861000000091735</v>
      </c>
      <c r="H1853" s="13">
        <f t="shared" si="69"/>
        <v>315.59513999999763</v>
      </c>
      <c r="I1853" s="13">
        <f t="shared" si="70"/>
        <v>315.59861000000092</v>
      </c>
      <c r="J1853" s="13">
        <f t="shared" si="71"/>
        <v>315.59687499999927</v>
      </c>
      <c r="K1853" s="7">
        <v>43780.596875000003</v>
      </c>
      <c r="L1853" s="4">
        <v>423.7</v>
      </c>
      <c r="M1853">
        <v>18.100000000000001</v>
      </c>
      <c r="N1853">
        <v>5</v>
      </c>
      <c r="O1853">
        <v>47</v>
      </c>
      <c r="P1853">
        <v>0.64</v>
      </c>
      <c r="Q1853">
        <v>-3.0924196633075201</v>
      </c>
      <c r="R1853">
        <v>-1.3493471356965599E-4</v>
      </c>
    </row>
    <row r="1854" spans="1:18" x14ac:dyDescent="0.2">
      <c r="A1854" t="s">
        <v>9</v>
      </c>
      <c r="B1854">
        <v>5</v>
      </c>
      <c r="C1854" t="s">
        <v>6</v>
      </c>
      <c r="D1854" s="2">
        <v>43780</v>
      </c>
      <c r="E1854" s="11">
        <v>315</v>
      </c>
      <c r="F1854" s="3">
        <v>0.60068999999930384</v>
      </c>
      <c r="G1854" s="3">
        <v>0.60416999999870313</v>
      </c>
      <c r="H1854" s="13">
        <f t="shared" si="69"/>
        <v>315.6006899999993</v>
      </c>
      <c r="I1854" s="13">
        <f t="shared" si="70"/>
        <v>315.6041699999987</v>
      </c>
      <c r="J1854" s="13">
        <f t="shared" si="71"/>
        <v>315.602429999999</v>
      </c>
      <c r="K1854" s="7">
        <v>43780.602429999999</v>
      </c>
      <c r="L1854" s="4">
        <v>353.7</v>
      </c>
      <c r="N1854">
        <v>5</v>
      </c>
      <c r="Q1854">
        <v>1.5102057796345301</v>
      </c>
      <c r="R1854">
        <v>-1.54866522155821E-4</v>
      </c>
    </row>
  </sheetData>
  <conditionalFormatting sqref="F376:F377">
    <cfRule type="timePeriod" dxfId="1" priority="1" timePeriod="lastMonth">
      <formula>AND(MONTH(F376)=MONTH(EDATE(TODAY(),0-1)),YEAR(F376)=YEAR(EDATE(TODAY(),0-1)))</formula>
    </cfRule>
    <cfRule type="timePeriod" dxfId="0" priority="2" timePeriod="lastMonth">
      <formula>AND(MONTH(F376)=MONTH(EDATE(TODAY(),0-1)),YEAR(F376)=YEAR(EDATE(TODAY(),0-1)))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441C6-B6ED-4363-86B1-E57235041F59}">
  <sheetPr codeName="Sheet6"/>
  <dimension ref="A1:AJ1854"/>
  <sheetViews>
    <sheetView topLeftCell="T1" workbookViewId="0">
      <pane ySplit="1" topLeftCell="A833" activePane="bottomLeft" state="frozen"/>
      <selection pane="bottomLeft" activeCell="AD925" sqref="AD925"/>
    </sheetView>
  </sheetViews>
  <sheetFormatPr baseColWidth="10" defaultColWidth="8.83203125" defaultRowHeight="15" x14ac:dyDescent="0.2"/>
  <cols>
    <col min="3" max="3" width="13.5" customWidth="1"/>
    <col min="4" max="5" width="19" customWidth="1"/>
    <col min="6" max="7" width="21.5" style="4" customWidth="1"/>
    <col min="8" max="9" width="20.33203125" customWidth="1"/>
    <col min="10" max="11" width="19.33203125" customWidth="1"/>
    <col min="12" max="13" width="17.5" customWidth="1"/>
    <col min="14" max="14" width="24.6640625" customWidth="1"/>
    <col min="15" max="15" width="24.6640625" style="4" customWidth="1"/>
    <col min="16" max="18" width="34.6640625" customWidth="1"/>
    <col min="19" max="21" width="41.83203125" customWidth="1"/>
    <col min="27" max="27" width="8.83203125" style="16"/>
    <col min="29" max="30" width="12.83203125" style="4" customWidth="1"/>
    <col min="31" max="33" width="27.6640625" customWidth="1"/>
    <col min="34" max="34" width="14" customWidth="1"/>
    <col min="35" max="35" width="16.6640625" customWidth="1"/>
    <col min="36" max="36" width="12" bestFit="1" customWidth="1"/>
  </cols>
  <sheetData>
    <row r="1" spans="1:36" ht="42" customHeight="1" x14ac:dyDescent="0.35">
      <c r="A1" s="1" t="s">
        <v>22</v>
      </c>
      <c r="B1" s="1" t="s">
        <v>0</v>
      </c>
      <c r="C1" s="1" t="s">
        <v>13</v>
      </c>
      <c r="D1" s="12" t="s">
        <v>32</v>
      </c>
      <c r="E1" s="12" t="s">
        <v>34</v>
      </c>
      <c r="F1" s="5" t="s">
        <v>10</v>
      </c>
      <c r="G1" s="17" t="s">
        <v>33</v>
      </c>
      <c r="H1" s="5" t="s">
        <v>17</v>
      </c>
      <c r="I1" s="17" t="s">
        <v>35</v>
      </c>
      <c r="J1" s="5" t="s">
        <v>12</v>
      </c>
      <c r="K1" s="17" t="s">
        <v>36</v>
      </c>
      <c r="L1" s="1" t="s">
        <v>18</v>
      </c>
      <c r="M1" s="12" t="s">
        <v>37</v>
      </c>
      <c r="N1" s="1" t="s">
        <v>19</v>
      </c>
      <c r="O1" s="5" t="s">
        <v>38</v>
      </c>
      <c r="P1" s="1" t="s">
        <v>31</v>
      </c>
      <c r="Q1" s="1" t="s">
        <v>39</v>
      </c>
      <c r="R1" s="1" t="s">
        <v>45</v>
      </c>
      <c r="S1" s="1" t="s">
        <v>29</v>
      </c>
      <c r="T1" s="1" t="s">
        <v>40</v>
      </c>
      <c r="U1" s="1" t="s">
        <v>44</v>
      </c>
      <c r="X1" s="1" t="s">
        <v>22</v>
      </c>
      <c r="Y1" s="1" t="s">
        <v>0</v>
      </c>
      <c r="Z1" s="1" t="s">
        <v>1</v>
      </c>
      <c r="AA1" s="15" t="s">
        <v>13</v>
      </c>
      <c r="AB1" s="12" t="s">
        <v>27</v>
      </c>
      <c r="AC1" s="5" t="s">
        <v>10</v>
      </c>
      <c r="AD1" s="5" t="s">
        <v>33</v>
      </c>
      <c r="AE1" s="1" t="s">
        <v>30</v>
      </c>
      <c r="AF1" s="1" t="s">
        <v>41</v>
      </c>
      <c r="AG1" s="1" t="s">
        <v>46</v>
      </c>
      <c r="AH1" s="1" t="s">
        <v>29</v>
      </c>
      <c r="AI1" s="1" t="s">
        <v>40</v>
      </c>
      <c r="AJ1" s="1" t="s">
        <v>47</v>
      </c>
    </row>
    <row r="2" spans="1:36" x14ac:dyDescent="0.2">
      <c r="A2" t="s">
        <v>9</v>
      </c>
      <c r="B2">
        <v>1</v>
      </c>
      <c r="C2" s="2">
        <v>43580</v>
      </c>
      <c r="D2" s="13">
        <v>115.42349499999909</v>
      </c>
      <c r="E2" s="13">
        <v>115.44294000000009</v>
      </c>
      <c r="F2" s="4">
        <v>1411.2</v>
      </c>
      <c r="G2" s="4">
        <v>1528.2</v>
      </c>
      <c r="H2">
        <v>16.8</v>
      </c>
      <c r="I2">
        <v>18.32</v>
      </c>
      <c r="J2">
        <v>11.11</v>
      </c>
      <c r="K2">
        <v>11.11</v>
      </c>
      <c r="P2">
        <v>3.6759759892625401</v>
      </c>
      <c r="Q2">
        <v>3.6548722223418282</v>
      </c>
      <c r="R2">
        <v>0.82584246885025381</v>
      </c>
      <c r="S2" s="6">
        <v>-3.3187959552392498E-5</v>
      </c>
      <c r="T2" s="6">
        <v>-9.2049803145864795E-5</v>
      </c>
      <c r="U2" s="6">
        <v>8.1186773532731878E-5</v>
      </c>
      <c r="X2" t="s">
        <v>9</v>
      </c>
      <c r="Y2">
        <v>1</v>
      </c>
      <c r="Z2" t="s">
        <v>2</v>
      </c>
      <c r="AA2" s="16">
        <v>43580</v>
      </c>
      <c r="AB2">
        <v>115.41863499999818</v>
      </c>
      <c r="AC2" s="4">
        <v>1381.2</v>
      </c>
      <c r="AD2" s="4">
        <v>1501.7</v>
      </c>
      <c r="AE2">
        <v>0.97388535124741005</v>
      </c>
      <c r="AF2">
        <v>-0.55154379613028681</v>
      </c>
      <c r="AG2">
        <v>1.1729367790170317</v>
      </c>
      <c r="AH2">
        <v>5.04844107526369E-5</v>
      </c>
      <c r="AI2">
        <v>-6.0726091037926805E-5</v>
      </c>
      <c r="AJ2">
        <v>7.3988587727613048E-5</v>
      </c>
    </row>
    <row r="3" spans="1:36" x14ac:dyDescent="0.2">
      <c r="A3" t="s">
        <v>9</v>
      </c>
      <c r="B3">
        <v>2</v>
      </c>
      <c r="C3" s="2">
        <v>43580</v>
      </c>
      <c r="D3" s="13">
        <v>115.43321500000093</v>
      </c>
      <c r="E3" s="13"/>
      <c r="F3" s="4">
        <v>1473.7</v>
      </c>
      <c r="H3">
        <v>21</v>
      </c>
      <c r="J3">
        <v>11.11</v>
      </c>
      <c r="P3">
        <v>3.1579425526015701</v>
      </c>
      <c r="S3" s="6">
        <v>-7.7014176630064502E-5</v>
      </c>
      <c r="T3" s="6"/>
      <c r="U3" s="6"/>
      <c r="X3" t="s">
        <v>9</v>
      </c>
      <c r="Y3">
        <v>2</v>
      </c>
      <c r="Z3" t="s">
        <v>2</v>
      </c>
      <c r="AA3" s="16">
        <v>43580</v>
      </c>
      <c r="AB3">
        <v>115.42835500000001</v>
      </c>
      <c r="AC3" s="4">
        <v>1446.2</v>
      </c>
      <c r="AE3">
        <v>-0.15737510352471201</v>
      </c>
      <c r="AH3">
        <v>-8.2474329607532305E-5</v>
      </c>
    </row>
    <row r="4" spans="1:36" x14ac:dyDescent="0.2">
      <c r="A4" t="s">
        <v>9</v>
      </c>
      <c r="B4">
        <v>3</v>
      </c>
      <c r="C4" s="2">
        <v>43580</v>
      </c>
      <c r="D4" s="13">
        <v>115.44294000000082</v>
      </c>
      <c r="E4" s="13"/>
      <c r="F4" s="4">
        <v>1536.2</v>
      </c>
      <c r="H4">
        <v>21.2</v>
      </c>
      <c r="J4">
        <v>11.11</v>
      </c>
      <c r="P4">
        <v>2.8550885548360099</v>
      </c>
      <c r="S4" s="6">
        <v>-3.53158178764731E-5</v>
      </c>
      <c r="T4" s="6"/>
      <c r="U4" s="6"/>
      <c r="X4" t="s">
        <v>9</v>
      </c>
      <c r="Y4">
        <v>3</v>
      </c>
      <c r="Z4" t="s">
        <v>2</v>
      </c>
      <c r="AA4" s="16">
        <v>43580</v>
      </c>
      <c r="AB4">
        <v>115.43807500000185</v>
      </c>
      <c r="AC4" s="4">
        <v>1511.2</v>
      </c>
      <c r="AE4">
        <v>-2.2350421599774499</v>
      </c>
      <c r="AH4">
        <v>-3.5589188664666898E-5</v>
      </c>
    </row>
    <row r="5" spans="1:36" x14ac:dyDescent="0.2">
      <c r="A5" t="s">
        <v>9</v>
      </c>
      <c r="B5">
        <v>4</v>
      </c>
      <c r="C5" s="2">
        <v>43580</v>
      </c>
      <c r="D5" s="13">
        <v>115.45266500000071</v>
      </c>
      <c r="E5" s="13"/>
      <c r="F5" s="4">
        <v>1583.7</v>
      </c>
      <c r="H5">
        <v>20.3</v>
      </c>
      <c r="J5">
        <v>11.11</v>
      </c>
      <c r="P5">
        <v>5.0094178480523501</v>
      </c>
      <c r="S5" s="6">
        <v>-8.3462390039443893E-5</v>
      </c>
      <c r="T5" s="6"/>
      <c r="U5" s="6"/>
      <c r="X5" t="s">
        <v>9</v>
      </c>
      <c r="Y5">
        <v>4</v>
      </c>
      <c r="Z5" t="s">
        <v>2</v>
      </c>
      <c r="AA5" s="16">
        <v>43580</v>
      </c>
      <c r="AB5">
        <v>115.44780000000173</v>
      </c>
      <c r="AC5" s="4">
        <v>1561.2</v>
      </c>
      <c r="AE5">
        <v>-0.95135716385236002</v>
      </c>
      <c r="AH5">
        <v>-8.7545068296849705E-5</v>
      </c>
    </row>
    <row r="6" spans="1:36" x14ac:dyDescent="0.2">
      <c r="A6" t="s">
        <v>9</v>
      </c>
      <c r="B6">
        <v>5</v>
      </c>
      <c r="C6" s="2">
        <v>43580</v>
      </c>
      <c r="D6" s="13">
        <v>115.4623849999989</v>
      </c>
      <c r="E6" s="13"/>
      <c r="F6" s="4">
        <v>1636.2</v>
      </c>
      <c r="H6">
        <v>12.3</v>
      </c>
      <c r="J6">
        <v>11.11</v>
      </c>
      <c r="P6">
        <v>3.5759361669566698</v>
      </c>
      <c r="S6">
        <v>-2.3126867163094999E-4</v>
      </c>
      <c r="X6" t="s">
        <v>9</v>
      </c>
      <c r="Y6">
        <v>5</v>
      </c>
      <c r="Z6" t="s">
        <v>2</v>
      </c>
      <c r="AA6" s="16">
        <v>43580</v>
      </c>
      <c r="AB6">
        <v>115.45752500000162</v>
      </c>
      <c r="AC6" s="4">
        <v>1608.7</v>
      </c>
      <c r="AE6">
        <v>-0.38782990454432198</v>
      </c>
      <c r="AH6">
        <v>-1.48506279373222E-4</v>
      </c>
    </row>
    <row r="7" spans="1:36" x14ac:dyDescent="0.2">
      <c r="A7" t="s">
        <v>9</v>
      </c>
      <c r="B7">
        <v>1</v>
      </c>
      <c r="C7" s="2">
        <v>43580</v>
      </c>
      <c r="D7" s="13">
        <v>115.52748499999871</v>
      </c>
      <c r="E7" s="13">
        <v>115.54693199999966</v>
      </c>
      <c r="F7" s="4">
        <v>1841.2</v>
      </c>
      <c r="G7" s="4">
        <v>1794.2</v>
      </c>
      <c r="H7">
        <v>15.5</v>
      </c>
      <c r="I7">
        <v>16.96</v>
      </c>
      <c r="J7">
        <v>16.670000000000002</v>
      </c>
      <c r="K7">
        <v>16.670000000000002</v>
      </c>
      <c r="P7">
        <v>3.7356318122968402</v>
      </c>
      <c r="Q7">
        <v>3.467100165088552</v>
      </c>
      <c r="R7">
        <v>0.57271732211453552</v>
      </c>
      <c r="S7">
        <v>-1.07453284635842E-4</v>
      </c>
      <c r="T7" s="6">
        <v>-3.3824724101699465E-5</v>
      </c>
      <c r="U7" s="6">
        <v>1.0047408383551661E-4</v>
      </c>
      <c r="X7" t="s">
        <v>9</v>
      </c>
      <c r="Y7">
        <v>1</v>
      </c>
      <c r="Z7" t="s">
        <v>2</v>
      </c>
      <c r="AA7" s="16">
        <v>43580</v>
      </c>
      <c r="AB7">
        <v>115.52262500000143</v>
      </c>
      <c r="AC7" s="4">
        <v>1813.7</v>
      </c>
      <c r="AD7" s="4">
        <v>1761.7</v>
      </c>
      <c r="AE7">
        <v>1.368291708516</v>
      </c>
      <c r="AF7">
        <v>7.061918694014338E-2</v>
      </c>
      <c r="AG7">
        <v>1.1826369678757578</v>
      </c>
      <c r="AH7">
        <v>-6.3911558650692904E-5</v>
      </c>
      <c r="AI7">
        <v>-6.5357568771029912E-5</v>
      </c>
      <c r="AJ7">
        <v>5.7266864844650745E-5</v>
      </c>
    </row>
    <row r="8" spans="1:36" x14ac:dyDescent="0.2">
      <c r="A8" t="s">
        <v>9</v>
      </c>
      <c r="B8">
        <v>2</v>
      </c>
      <c r="C8" s="2">
        <v>43580</v>
      </c>
      <c r="D8" s="13">
        <v>115.53721000000223</v>
      </c>
      <c r="E8" s="13"/>
      <c r="F8" s="4">
        <v>1821.2</v>
      </c>
      <c r="H8">
        <v>19.3</v>
      </c>
      <c r="J8">
        <v>16.670000000000002</v>
      </c>
      <c r="P8">
        <v>3.52948220922559</v>
      </c>
      <c r="S8">
        <v>-1.0592514843911601E-4</v>
      </c>
      <c r="T8" s="6"/>
      <c r="U8" s="6"/>
      <c r="X8" t="s">
        <v>9</v>
      </c>
      <c r="Y8">
        <v>2</v>
      </c>
      <c r="Z8" t="s">
        <v>2</v>
      </c>
      <c r="AA8" s="16">
        <v>43580</v>
      </c>
      <c r="AB8">
        <v>115.53235000000132</v>
      </c>
      <c r="AC8" s="4">
        <v>1828.7</v>
      </c>
      <c r="AE8">
        <v>-4.3246483542909199E-2</v>
      </c>
      <c r="AH8">
        <v>-1.00688113257426E-4</v>
      </c>
    </row>
    <row r="9" spans="1:36" x14ac:dyDescent="0.2">
      <c r="A9" t="s">
        <v>9</v>
      </c>
      <c r="B9">
        <v>3</v>
      </c>
      <c r="C9" s="2">
        <v>43580</v>
      </c>
      <c r="D9" s="13">
        <v>115.54693499999848</v>
      </c>
      <c r="E9" s="13"/>
      <c r="F9" s="4">
        <v>1856.2</v>
      </c>
      <c r="H9">
        <v>22.1</v>
      </c>
      <c r="J9">
        <v>16.670000000000002</v>
      </c>
      <c r="P9">
        <v>2.7603715882775699</v>
      </c>
      <c r="S9" s="6">
        <v>1.7223472665394601E-5</v>
      </c>
      <c r="T9" s="6"/>
      <c r="U9" s="6"/>
      <c r="X9" t="s">
        <v>9</v>
      </c>
      <c r="Y9">
        <v>3</v>
      </c>
      <c r="Z9" t="s">
        <v>2</v>
      </c>
      <c r="AA9" s="16">
        <v>43580</v>
      </c>
      <c r="AB9">
        <v>115.5420750000012</v>
      </c>
      <c r="AC9" s="4">
        <v>1856.2</v>
      </c>
      <c r="AE9">
        <v>-1.63678219133924</v>
      </c>
      <c r="AH9">
        <v>2.1984784635610399E-5</v>
      </c>
    </row>
    <row r="10" spans="1:36" x14ac:dyDescent="0.2">
      <c r="A10" t="s">
        <v>9</v>
      </c>
      <c r="B10">
        <v>4</v>
      </c>
      <c r="C10" s="2">
        <v>43580</v>
      </c>
      <c r="D10" s="13">
        <v>115.55665500000032</v>
      </c>
      <c r="E10" s="13"/>
      <c r="F10" s="4">
        <v>1533.7</v>
      </c>
      <c r="H10">
        <v>14.7</v>
      </c>
      <c r="J10">
        <v>16.670000000000002</v>
      </c>
      <c r="P10">
        <v>4.23204142999605</v>
      </c>
      <c r="S10">
        <v>1.19987228977268E-4</v>
      </c>
      <c r="T10" s="6"/>
      <c r="U10" s="6"/>
      <c r="X10" t="s">
        <v>9</v>
      </c>
      <c r="Y10">
        <v>4</v>
      </c>
      <c r="Z10" t="s">
        <v>2</v>
      </c>
      <c r="AA10" s="16">
        <v>43580</v>
      </c>
      <c r="AB10">
        <v>115.5517949999994</v>
      </c>
      <c r="AC10" s="4">
        <v>1836.2</v>
      </c>
      <c r="AE10">
        <v>-0.31770136416543399</v>
      </c>
      <c r="AH10">
        <v>-5.4602608355904101E-5</v>
      </c>
    </row>
    <row r="11" spans="1:36" x14ac:dyDescent="0.2">
      <c r="A11" t="s">
        <v>9</v>
      </c>
      <c r="B11">
        <v>5</v>
      </c>
      <c r="C11" s="2">
        <v>43580</v>
      </c>
      <c r="D11" s="13">
        <v>115.56637499999852</v>
      </c>
      <c r="E11" s="13"/>
      <c r="F11" s="4">
        <v>1918.7</v>
      </c>
      <c r="H11">
        <v>13.2</v>
      </c>
      <c r="J11">
        <v>16.670000000000002</v>
      </c>
      <c r="P11">
        <v>3.07797378564671</v>
      </c>
      <c r="S11" s="6">
        <v>-9.2955889076201895E-5</v>
      </c>
      <c r="X11" t="s">
        <v>9</v>
      </c>
      <c r="Y11">
        <v>5</v>
      </c>
      <c r="Z11" t="s">
        <v>2</v>
      </c>
      <c r="AA11" s="16">
        <v>43580</v>
      </c>
      <c r="AB11">
        <v>115.56151500000124</v>
      </c>
      <c r="AC11" s="4">
        <v>1473.7</v>
      </c>
      <c r="AE11">
        <v>0.98253426523230003</v>
      </c>
      <c r="AH11">
        <v>-1.2957034822673699E-4</v>
      </c>
    </row>
    <row r="12" spans="1:36" x14ac:dyDescent="0.2">
      <c r="A12" t="s">
        <v>9</v>
      </c>
      <c r="B12">
        <v>1</v>
      </c>
      <c r="C12" s="2">
        <v>43584</v>
      </c>
      <c r="D12" s="13">
        <v>119.41817499999888</v>
      </c>
      <c r="E12" s="13">
        <v>119.43761599999998</v>
      </c>
      <c r="F12" s="4">
        <v>1018.7</v>
      </c>
      <c r="G12" s="4">
        <v>1373.2</v>
      </c>
      <c r="H12">
        <v>22.8</v>
      </c>
      <c r="I12">
        <v>23.240000000000002</v>
      </c>
      <c r="J12">
        <v>7.78</v>
      </c>
      <c r="K12">
        <v>7.7799999999999994</v>
      </c>
      <c r="P12">
        <v>2.1615025291043799</v>
      </c>
      <c r="Q12">
        <v>2.4777204923292877</v>
      </c>
      <c r="R12">
        <v>0.80920167462666492</v>
      </c>
      <c r="S12" s="6">
        <v>5.2517080636796298E-5</v>
      </c>
      <c r="T12" s="6">
        <v>1.2494753506583019E-5</v>
      </c>
      <c r="U12" s="6">
        <v>4.4655290033386907E-5</v>
      </c>
      <c r="X12" t="s">
        <v>9</v>
      </c>
      <c r="Y12">
        <v>1</v>
      </c>
      <c r="Z12" t="s">
        <v>2</v>
      </c>
      <c r="AA12" s="16">
        <v>43584</v>
      </c>
      <c r="AB12">
        <v>119.41330999999991</v>
      </c>
      <c r="AC12" s="4">
        <v>1316.2</v>
      </c>
      <c r="AD12" s="4">
        <v>1405.2</v>
      </c>
      <c r="AE12">
        <v>0.93258504282038202</v>
      </c>
      <c r="AF12">
        <v>-1.03492594465239</v>
      </c>
      <c r="AG12">
        <v>1.5571883805789664</v>
      </c>
      <c r="AH12">
        <v>1.5207484388726799E-4</v>
      </c>
      <c r="AI12">
        <v>5.860395734866657E-5</v>
      </c>
      <c r="AJ12">
        <v>5.6315422820087548E-5</v>
      </c>
    </row>
    <row r="13" spans="1:36" x14ac:dyDescent="0.2">
      <c r="A13" t="s">
        <v>9</v>
      </c>
      <c r="B13">
        <v>2</v>
      </c>
      <c r="C13" s="2">
        <v>43584</v>
      </c>
      <c r="D13" s="13">
        <v>119.42789500000072</v>
      </c>
      <c r="E13" s="13"/>
      <c r="F13" s="4">
        <v>1318.7</v>
      </c>
      <c r="H13">
        <v>24.6</v>
      </c>
      <c r="J13">
        <v>7.78</v>
      </c>
      <c r="P13">
        <v>1.86553420662229</v>
      </c>
      <c r="S13" s="6">
        <v>3.7114349366694799E-5</v>
      </c>
      <c r="T13" s="6"/>
      <c r="U13" s="6"/>
      <c r="X13" t="s">
        <v>9</v>
      </c>
      <c r="Y13">
        <v>2</v>
      </c>
      <c r="Z13" t="s">
        <v>2</v>
      </c>
      <c r="AA13" s="16">
        <v>43584</v>
      </c>
      <c r="AB13">
        <v>119.4230349999998</v>
      </c>
      <c r="AC13" s="4">
        <v>1323.7</v>
      </c>
      <c r="AE13">
        <v>-0.75590932068076799</v>
      </c>
      <c r="AH13">
        <v>6.7545845198190994E-5</v>
      </c>
    </row>
    <row r="14" spans="1:36" x14ac:dyDescent="0.2">
      <c r="A14" t="s">
        <v>9</v>
      </c>
      <c r="B14">
        <v>3</v>
      </c>
      <c r="C14" s="2">
        <v>43584</v>
      </c>
      <c r="D14" s="13">
        <v>119.43761499999891</v>
      </c>
      <c r="E14" s="13"/>
      <c r="F14" s="4">
        <v>1338.7</v>
      </c>
      <c r="H14">
        <v>27.6</v>
      </c>
      <c r="J14">
        <v>7.78</v>
      </c>
      <c r="P14">
        <v>2.0313223453159801</v>
      </c>
      <c r="S14" s="6">
        <v>1.0956539364524301E-5</v>
      </c>
      <c r="T14" s="6"/>
      <c r="U14" s="6"/>
      <c r="X14" t="s">
        <v>9</v>
      </c>
      <c r="Y14">
        <v>3</v>
      </c>
      <c r="Z14" t="s">
        <v>2</v>
      </c>
      <c r="AA14" s="16">
        <v>43584</v>
      </c>
      <c r="AB14">
        <v>119.43275500000163</v>
      </c>
      <c r="AC14" s="4">
        <v>1333.7</v>
      </c>
      <c r="AE14">
        <v>-3.09609875429673</v>
      </c>
      <c r="AH14">
        <v>3.5094535434072398E-5</v>
      </c>
    </row>
    <row r="15" spans="1:36" x14ac:dyDescent="0.2">
      <c r="A15" t="s">
        <v>9</v>
      </c>
      <c r="B15">
        <v>4</v>
      </c>
      <c r="C15" s="2">
        <v>43584</v>
      </c>
      <c r="D15" s="13">
        <v>119.44733500000075</v>
      </c>
      <c r="E15" s="13"/>
      <c r="F15" s="4">
        <v>1561.2</v>
      </c>
      <c r="H15">
        <v>22.2</v>
      </c>
      <c r="J15">
        <v>7.78</v>
      </c>
      <c r="P15">
        <v>3.8722820089691998</v>
      </c>
      <c r="S15" s="6">
        <v>-6.2502833761411602E-5</v>
      </c>
      <c r="T15" s="6"/>
      <c r="U15" s="6"/>
      <c r="X15" t="s">
        <v>9</v>
      </c>
      <c r="Y15">
        <v>4</v>
      </c>
      <c r="Z15" t="s">
        <v>2</v>
      </c>
      <c r="AA15" s="16">
        <v>43584</v>
      </c>
      <c r="AB15">
        <v>119.44247499999983</v>
      </c>
      <c r="AC15" s="4">
        <v>1428.7</v>
      </c>
      <c r="AE15">
        <v>-1.9892242876347399</v>
      </c>
      <c r="AH15">
        <v>9.0681111793829898E-6</v>
      </c>
    </row>
    <row r="16" spans="1:36" x14ac:dyDescent="0.2">
      <c r="A16" t="s">
        <v>9</v>
      </c>
      <c r="B16">
        <v>5</v>
      </c>
      <c r="C16" s="2">
        <v>43584</v>
      </c>
      <c r="D16" s="13">
        <v>119.45706000000064</v>
      </c>
      <c r="E16" s="13"/>
      <c r="F16" s="4">
        <v>1628.7</v>
      </c>
      <c r="H16">
        <v>19</v>
      </c>
      <c r="J16">
        <v>7.78</v>
      </c>
      <c r="P16">
        <v>2.4579613716345898</v>
      </c>
      <c r="S16" s="6">
        <v>2.4388631926311301E-5</v>
      </c>
      <c r="X16" t="s">
        <v>9</v>
      </c>
      <c r="Y16">
        <v>5</v>
      </c>
      <c r="Z16" t="s">
        <v>2</v>
      </c>
      <c r="AA16" s="16">
        <v>43584</v>
      </c>
      <c r="AB16">
        <v>119.45219999999972</v>
      </c>
      <c r="AC16" s="4">
        <v>1623.7</v>
      </c>
      <c r="AE16">
        <v>-0.265982403470094</v>
      </c>
      <c r="AH16">
        <v>2.9236451044418499E-5</v>
      </c>
    </row>
    <row r="17" spans="1:36" x14ac:dyDescent="0.2">
      <c r="A17" t="s">
        <v>9</v>
      </c>
      <c r="B17">
        <v>1</v>
      </c>
      <c r="C17" s="2">
        <v>43584</v>
      </c>
      <c r="D17" s="13">
        <v>119.5217049999992</v>
      </c>
      <c r="E17" s="13">
        <v>119.5411460000003</v>
      </c>
      <c r="F17" s="4">
        <v>1648.7</v>
      </c>
      <c r="G17" s="4">
        <v>1626.7</v>
      </c>
      <c r="H17">
        <v>21.7</v>
      </c>
      <c r="I17">
        <v>23.700000000000003</v>
      </c>
      <c r="J17">
        <v>13.33</v>
      </c>
      <c r="K17">
        <v>13.330000000000002</v>
      </c>
      <c r="P17">
        <v>4.08303426820454</v>
      </c>
      <c r="Q17">
        <v>3.4564744720157963</v>
      </c>
      <c r="R17">
        <v>0.52699136055751428</v>
      </c>
      <c r="S17" s="6">
        <v>4.5244639606358798E-5</v>
      </c>
      <c r="T17" s="6">
        <v>3.4290882653508055E-5</v>
      </c>
      <c r="U17" s="6">
        <v>3.4018800569232643E-5</v>
      </c>
      <c r="X17" t="s">
        <v>9</v>
      </c>
      <c r="Y17">
        <v>1</v>
      </c>
      <c r="Z17" t="s">
        <v>2</v>
      </c>
      <c r="AA17" s="16">
        <v>43584</v>
      </c>
      <c r="AB17">
        <v>119.51684000000023</v>
      </c>
      <c r="AC17" s="4">
        <v>1826.2</v>
      </c>
      <c r="AD17" s="4">
        <v>1759.2</v>
      </c>
      <c r="AE17">
        <v>0.801716233046741</v>
      </c>
      <c r="AF17">
        <v>-0.89409954484235266</v>
      </c>
      <c r="AG17">
        <v>1.2512621181005061</v>
      </c>
      <c r="AH17">
        <v>1.9997904687030899E-4</v>
      </c>
      <c r="AI17">
        <v>6.7141031724084432E-5</v>
      </c>
      <c r="AJ17">
        <v>1.2034944926464751E-4</v>
      </c>
    </row>
    <row r="18" spans="1:36" x14ac:dyDescent="0.2">
      <c r="A18" t="s">
        <v>9</v>
      </c>
      <c r="B18">
        <v>2</v>
      </c>
      <c r="C18" s="2">
        <v>43584</v>
      </c>
      <c r="D18" s="13">
        <v>119.53142500000104</v>
      </c>
      <c r="E18" s="13"/>
      <c r="F18" s="4">
        <v>1603.7</v>
      </c>
      <c r="H18">
        <v>23.5</v>
      </c>
      <c r="J18">
        <v>13.33</v>
      </c>
      <c r="P18">
        <v>3.1311538026069101</v>
      </c>
      <c r="S18" s="6">
        <v>5.9205188951629198E-5</v>
      </c>
      <c r="T18" s="6"/>
      <c r="U18" s="6"/>
      <c r="X18" t="s">
        <v>9</v>
      </c>
      <c r="Y18">
        <v>2</v>
      </c>
      <c r="Z18" t="s">
        <v>2</v>
      </c>
      <c r="AA18" s="16">
        <v>43584</v>
      </c>
      <c r="AB18">
        <v>119.52656500000012</v>
      </c>
      <c r="AC18" s="4">
        <v>1781.2</v>
      </c>
      <c r="AE18">
        <v>-0.60475207862364999</v>
      </c>
      <c r="AH18">
        <v>1.00977680367371E-4</v>
      </c>
    </row>
    <row r="19" spans="1:36" x14ac:dyDescent="0.2">
      <c r="A19" t="s">
        <v>9</v>
      </c>
      <c r="B19">
        <v>3</v>
      </c>
      <c r="C19" s="2">
        <v>43584</v>
      </c>
      <c r="D19" s="13">
        <v>119.54114499999923</v>
      </c>
      <c r="E19" s="13"/>
      <c r="F19" s="4">
        <v>1426.2</v>
      </c>
      <c r="H19">
        <v>26.7</v>
      </c>
      <c r="J19">
        <v>13.33</v>
      </c>
      <c r="P19">
        <v>3.4382567660881702</v>
      </c>
      <c r="S19" s="6">
        <v>-1.7548041099025701E-5</v>
      </c>
      <c r="T19" s="6"/>
      <c r="U19" s="6"/>
      <c r="X19" t="s">
        <v>9</v>
      </c>
      <c r="Y19">
        <v>3</v>
      </c>
      <c r="Z19" t="s">
        <v>2</v>
      </c>
      <c r="AA19" s="16">
        <v>43584</v>
      </c>
      <c r="AB19">
        <v>119.53628499999832</v>
      </c>
      <c r="AC19" s="4">
        <v>1591.2</v>
      </c>
      <c r="AE19">
        <v>-2.5461966845939998</v>
      </c>
      <c r="AH19">
        <v>1.5263528874102201E-4</v>
      </c>
    </row>
    <row r="20" spans="1:36" x14ac:dyDescent="0.2">
      <c r="A20" t="s">
        <v>9</v>
      </c>
      <c r="B20">
        <v>4</v>
      </c>
      <c r="C20" s="2">
        <v>43584</v>
      </c>
      <c r="D20" s="13">
        <v>119.55086500000107</v>
      </c>
      <c r="E20" s="13"/>
      <c r="F20" s="4">
        <v>1823.7</v>
      </c>
      <c r="H20">
        <v>25.9</v>
      </c>
      <c r="J20">
        <v>13.33</v>
      </c>
      <c r="P20">
        <v>3.8497938341942599</v>
      </c>
      <c r="S20" s="6">
        <v>1.9107373453194301E-5</v>
      </c>
      <c r="T20" s="6"/>
      <c r="U20" s="6"/>
      <c r="X20" t="s">
        <v>9</v>
      </c>
      <c r="Y20">
        <v>4</v>
      </c>
      <c r="Z20" t="s">
        <v>2</v>
      </c>
      <c r="AA20" s="16">
        <v>43584</v>
      </c>
      <c r="AB20">
        <v>119.54600500000015</v>
      </c>
      <c r="AC20" s="4">
        <v>1681.2</v>
      </c>
      <c r="AE20">
        <v>-1.5696625420716099</v>
      </c>
      <c r="AH20">
        <v>-6.3485036356789805E-5</v>
      </c>
    </row>
    <row r="21" spans="1:36" x14ac:dyDescent="0.2">
      <c r="A21" t="s">
        <v>9</v>
      </c>
      <c r="B21">
        <v>5</v>
      </c>
      <c r="C21" s="2">
        <v>43584</v>
      </c>
      <c r="D21" s="13">
        <v>119.56059000000096</v>
      </c>
      <c r="E21" s="13"/>
      <c r="F21" s="4">
        <v>1631.2</v>
      </c>
      <c r="H21">
        <v>20.7</v>
      </c>
      <c r="J21">
        <v>13.33</v>
      </c>
      <c r="P21">
        <v>2.7801336889850998</v>
      </c>
      <c r="S21" s="6">
        <v>6.5445252355383695E-5</v>
      </c>
      <c r="X21" t="s">
        <v>9</v>
      </c>
      <c r="Y21">
        <v>5</v>
      </c>
      <c r="Z21" t="s">
        <v>2</v>
      </c>
      <c r="AA21" s="16">
        <v>43584</v>
      </c>
      <c r="AB21">
        <v>119.55573000000004</v>
      </c>
      <c r="AC21" s="4">
        <v>1916.2</v>
      </c>
      <c r="AE21">
        <v>-0.55160265196924496</v>
      </c>
      <c r="AH21">
        <v>-5.4401821001490001E-5</v>
      </c>
    </row>
    <row r="22" spans="1:36" x14ac:dyDescent="0.2">
      <c r="A22" t="s">
        <v>9</v>
      </c>
      <c r="B22">
        <v>1</v>
      </c>
      <c r="C22" s="2">
        <v>43606</v>
      </c>
      <c r="D22" s="13">
        <v>141.50734999999986</v>
      </c>
      <c r="E22" s="13">
        <v>141.52679400000051</v>
      </c>
      <c r="F22" s="4">
        <v>1886.2</v>
      </c>
      <c r="G22" s="4">
        <v>1903.2</v>
      </c>
      <c r="H22">
        <v>16.899999999999999</v>
      </c>
      <c r="I22">
        <v>22.18</v>
      </c>
      <c r="J22">
        <v>18.89</v>
      </c>
      <c r="K22">
        <v>18.89</v>
      </c>
      <c r="P22">
        <v>7.4966876839090704</v>
      </c>
      <c r="Q22">
        <v>6.4432504002125786</v>
      </c>
      <c r="R22">
        <v>1.7025328387921541</v>
      </c>
      <c r="S22">
        <v>-1.08970012903933E-4</v>
      </c>
      <c r="T22" s="6">
        <v>-8.9737275874191192E-5</v>
      </c>
      <c r="U22" s="6">
        <v>1.2633130969818136E-4</v>
      </c>
      <c r="X22" t="s">
        <v>9</v>
      </c>
      <c r="Y22">
        <v>1</v>
      </c>
      <c r="Z22" t="s">
        <v>2</v>
      </c>
      <c r="AA22" s="16">
        <v>43606</v>
      </c>
      <c r="AB22">
        <v>141.50248500000089</v>
      </c>
      <c r="AC22" s="4">
        <v>1876.2</v>
      </c>
      <c r="AD22" s="4">
        <v>1899.2</v>
      </c>
      <c r="AE22">
        <v>-9.3976981275009308</v>
      </c>
      <c r="AF22">
        <v>-11.193472090381066</v>
      </c>
      <c r="AG22">
        <v>1.8611231043666145</v>
      </c>
      <c r="AH22">
        <v>1.0274893568885399E-4</v>
      </c>
      <c r="AI22">
        <v>9.1541641016297629E-5</v>
      </c>
      <c r="AJ22">
        <v>9.8571875980326323E-5</v>
      </c>
    </row>
    <row r="23" spans="1:36" x14ac:dyDescent="0.2">
      <c r="A23" t="s">
        <v>9</v>
      </c>
      <c r="B23">
        <v>2</v>
      </c>
      <c r="C23" s="2">
        <v>43606</v>
      </c>
      <c r="D23" s="13">
        <v>141.51707499999975</v>
      </c>
      <c r="E23" s="13"/>
      <c r="F23" s="4">
        <v>1896.2</v>
      </c>
      <c r="H23">
        <v>23.8</v>
      </c>
      <c r="J23">
        <v>18.89</v>
      </c>
      <c r="P23">
        <v>7.96487869195097</v>
      </c>
      <c r="S23">
        <v>-2.5158282027174601E-4</v>
      </c>
      <c r="T23" s="6"/>
      <c r="U23" s="6"/>
      <c r="X23" t="s">
        <v>9</v>
      </c>
      <c r="Y23">
        <v>2</v>
      </c>
      <c r="Z23" t="s">
        <v>2</v>
      </c>
      <c r="AA23" s="16">
        <v>43606</v>
      </c>
      <c r="AB23">
        <v>141.51221000000078</v>
      </c>
      <c r="AC23" s="4">
        <v>1893.7</v>
      </c>
      <c r="AE23">
        <v>-11.6757462886361</v>
      </c>
      <c r="AH23">
        <v>2.50711086101336E-4</v>
      </c>
    </row>
    <row r="24" spans="1:36" x14ac:dyDescent="0.2">
      <c r="A24" t="s">
        <v>9</v>
      </c>
      <c r="B24">
        <v>3</v>
      </c>
      <c r="C24" s="2">
        <v>43606</v>
      </c>
      <c r="D24" s="13">
        <v>141.52679500000158</v>
      </c>
      <c r="E24" s="13"/>
      <c r="F24" s="4">
        <v>1911.2</v>
      </c>
      <c r="H24">
        <v>27.8</v>
      </c>
      <c r="J24">
        <v>18.89</v>
      </c>
      <c r="P24">
        <v>7.5398452222028096</v>
      </c>
      <c r="S24" s="6">
        <v>1.59889103298151E-5</v>
      </c>
      <c r="T24" s="6"/>
      <c r="U24" s="6"/>
      <c r="X24" t="s">
        <v>9</v>
      </c>
      <c r="Y24">
        <v>3</v>
      </c>
      <c r="Z24" t="s">
        <v>2</v>
      </c>
      <c r="AA24" s="16">
        <v>43606</v>
      </c>
      <c r="AB24">
        <v>141.52193500000067</v>
      </c>
      <c r="AC24" s="4">
        <v>1906.2</v>
      </c>
      <c r="AE24">
        <v>-14.173054842755599</v>
      </c>
      <c r="AH24">
        <v>-1.00053196434483E-5</v>
      </c>
    </row>
    <row r="25" spans="1:36" x14ac:dyDescent="0.2">
      <c r="A25" t="s">
        <v>9</v>
      </c>
      <c r="B25">
        <v>4</v>
      </c>
      <c r="C25" s="2">
        <v>43606</v>
      </c>
      <c r="D25" s="13">
        <v>141.53651499999978</v>
      </c>
      <c r="E25" s="13"/>
      <c r="F25" s="4">
        <v>1913.7</v>
      </c>
      <c r="H25">
        <v>25</v>
      </c>
      <c r="J25">
        <v>18.89</v>
      </c>
      <c r="P25">
        <v>4.2710244084701596</v>
      </c>
      <c r="S25" s="6">
        <v>5.5775512342688003E-5</v>
      </c>
      <c r="T25" s="6"/>
      <c r="U25" s="6"/>
      <c r="X25" t="s">
        <v>9</v>
      </c>
      <c r="Y25">
        <v>4</v>
      </c>
      <c r="Z25" t="s">
        <v>2</v>
      </c>
      <c r="AA25" s="16">
        <v>43606</v>
      </c>
      <c r="AB25">
        <v>141.53165499999886</v>
      </c>
      <c r="AC25" s="4">
        <v>1908.7</v>
      </c>
      <c r="AE25">
        <v>-10.6172327295644</v>
      </c>
      <c r="AH25">
        <v>7.6160783751750893E-5</v>
      </c>
    </row>
    <row r="26" spans="1:36" x14ac:dyDescent="0.2">
      <c r="A26" t="s">
        <v>9</v>
      </c>
      <c r="B26">
        <v>5</v>
      </c>
      <c r="C26" s="2">
        <v>43606</v>
      </c>
      <c r="D26" s="13">
        <v>141.54623500000162</v>
      </c>
      <c r="E26" s="13"/>
      <c r="F26" s="4">
        <v>1908.7</v>
      </c>
      <c r="H26">
        <v>17.399999999999999</v>
      </c>
      <c r="J26">
        <v>18.89</v>
      </c>
      <c r="P26">
        <v>4.9438159945298796</v>
      </c>
      <c r="S26">
        <v>-1.5989796886777999E-4</v>
      </c>
      <c r="X26" t="s">
        <v>9</v>
      </c>
      <c r="Y26">
        <v>5</v>
      </c>
      <c r="Z26" t="s">
        <v>2</v>
      </c>
      <c r="AA26" s="16">
        <v>43606</v>
      </c>
      <c r="AB26">
        <v>141.5413750000007</v>
      </c>
      <c r="AC26" s="4">
        <v>1911.2</v>
      </c>
      <c r="AE26">
        <v>-10.103628463448301</v>
      </c>
      <c r="AH26">
        <v>3.8092719182995601E-5</v>
      </c>
    </row>
    <row r="27" spans="1:36" x14ac:dyDescent="0.2">
      <c r="A27" t="s">
        <v>9</v>
      </c>
      <c r="B27">
        <v>1</v>
      </c>
      <c r="C27" s="2">
        <v>43609</v>
      </c>
      <c r="D27" s="13">
        <v>144.45185499999934</v>
      </c>
      <c r="E27" s="13">
        <v>144.47129600000045</v>
      </c>
      <c r="F27" s="4">
        <v>1866.2</v>
      </c>
      <c r="G27" s="4">
        <v>1845.7</v>
      </c>
      <c r="H27">
        <v>15.4</v>
      </c>
      <c r="I27">
        <v>17.04</v>
      </c>
      <c r="J27">
        <v>17.22</v>
      </c>
      <c r="K27">
        <v>17.22</v>
      </c>
      <c r="P27">
        <v>13.858078973046799</v>
      </c>
      <c r="Q27">
        <v>8.1142853351682849</v>
      </c>
      <c r="R27">
        <v>3.4491170443699062</v>
      </c>
      <c r="S27">
        <v>6.2929445788704997E-4</v>
      </c>
      <c r="T27" s="6">
        <v>-8.2149743657085594E-5</v>
      </c>
      <c r="U27" s="6">
        <v>4.4940767734401977E-4</v>
      </c>
      <c r="X27" t="s">
        <v>9</v>
      </c>
      <c r="Y27">
        <v>1</v>
      </c>
      <c r="Z27" t="s">
        <v>2</v>
      </c>
      <c r="AA27" s="16">
        <v>43609</v>
      </c>
      <c r="AB27">
        <v>144.44698999999673</v>
      </c>
      <c r="AC27" s="4">
        <v>548.70000000000005</v>
      </c>
      <c r="AD27" s="4">
        <v>1393.7</v>
      </c>
      <c r="AE27">
        <v>-12.1519098983149</v>
      </c>
      <c r="AF27">
        <v>-14.701454053565422</v>
      </c>
      <c r="AG27">
        <v>3.7484846962178628</v>
      </c>
      <c r="AH27">
        <v>5.7397537458794801E-4</v>
      </c>
      <c r="AI27">
        <v>6.1212350379984815E-5</v>
      </c>
      <c r="AJ27">
        <v>4.2527085823872618E-4</v>
      </c>
    </row>
    <row r="28" spans="1:36" x14ac:dyDescent="0.2">
      <c r="A28" t="s">
        <v>9</v>
      </c>
      <c r="B28">
        <v>2</v>
      </c>
      <c r="C28" s="2">
        <v>43609</v>
      </c>
      <c r="D28" s="13">
        <v>144.46157500000118</v>
      </c>
      <c r="E28" s="13"/>
      <c r="F28" s="4">
        <v>2153.6999999999998</v>
      </c>
      <c r="H28">
        <v>17.899999999999999</v>
      </c>
      <c r="J28">
        <v>17.22</v>
      </c>
      <c r="P28">
        <v>8.1993482871146401</v>
      </c>
      <c r="S28">
        <v>-6.2140064300827199E-4</v>
      </c>
      <c r="T28" s="6"/>
      <c r="U28" s="6"/>
      <c r="X28" t="s">
        <v>9</v>
      </c>
      <c r="Y28">
        <v>2</v>
      </c>
      <c r="Z28" t="s">
        <v>2</v>
      </c>
      <c r="AA28" s="16">
        <v>43609</v>
      </c>
      <c r="AB28">
        <v>144.45671500000026</v>
      </c>
      <c r="AC28" s="4">
        <v>1918.7</v>
      </c>
      <c r="AE28">
        <v>-14.3003380770778</v>
      </c>
      <c r="AH28">
        <v>3.7818235810742302E-4</v>
      </c>
    </row>
    <row r="29" spans="1:36" x14ac:dyDescent="0.2">
      <c r="A29" t="s">
        <v>9</v>
      </c>
      <c r="B29">
        <v>3</v>
      </c>
      <c r="C29" s="2">
        <v>43609</v>
      </c>
      <c r="D29" s="13">
        <v>144.47129499999937</v>
      </c>
      <c r="E29" s="13"/>
      <c r="F29" s="4">
        <v>2001.2</v>
      </c>
      <c r="H29">
        <v>20.9</v>
      </c>
      <c r="J29">
        <v>17.22</v>
      </c>
      <c r="P29">
        <v>4.7071262114321799</v>
      </c>
      <c r="S29">
        <v>-1.2751406389668299E-4</v>
      </c>
      <c r="T29" s="6"/>
      <c r="U29" s="6"/>
      <c r="X29" t="s">
        <v>9</v>
      </c>
      <c r="Y29">
        <v>3</v>
      </c>
      <c r="Z29" t="s">
        <v>2</v>
      </c>
      <c r="AA29" s="16">
        <v>43609</v>
      </c>
      <c r="AB29">
        <v>144.46643499999846</v>
      </c>
      <c r="AC29" s="4">
        <v>1703.7</v>
      </c>
      <c r="AE29">
        <v>-20.800432558518398</v>
      </c>
      <c r="AH29">
        <v>-2.17381990216145E-4</v>
      </c>
    </row>
    <row r="30" spans="1:36" x14ac:dyDescent="0.2">
      <c r="A30" t="s">
        <v>9</v>
      </c>
      <c r="B30">
        <v>4</v>
      </c>
      <c r="C30" s="2">
        <v>43609</v>
      </c>
      <c r="D30" s="13">
        <v>144.48101500000121</v>
      </c>
      <c r="E30" s="13"/>
      <c r="F30" s="4">
        <v>1066.2</v>
      </c>
      <c r="H30">
        <v>16.5</v>
      </c>
      <c r="J30">
        <v>17.22</v>
      </c>
      <c r="P30">
        <v>7.0554067959712397</v>
      </c>
      <c r="S30">
        <v>-1.6586128588126799E-4</v>
      </c>
      <c r="T30" s="6"/>
      <c r="U30" s="6"/>
      <c r="X30" t="s">
        <v>9</v>
      </c>
      <c r="Y30">
        <v>4</v>
      </c>
      <c r="Z30" t="s">
        <v>2</v>
      </c>
      <c r="AA30" s="16">
        <v>43609</v>
      </c>
      <c r="AB30">
        <v>144.47615500000029</v>
      </c>
      <c r="AC30" s="4">
        <v>1881.2</v>
      </c>
      <c r="AE30">
        <v>-15.049531526622101</v>
      </c>
      <c r="AH30">
        <v>4.1116654542388901E-5</v>
      </c>
    </row>
    <row r="31" spans="1:36" x14ac:dyDescent="0.2">
      <c r="A31" t="s">
        <v>9</v>
      </c>
      <c r="B31">
        <v>5</v>
      </c>
      <c r="C31" s="2">
        <v>43609</v>
      </c>
      <c r="D31" s="13">
        <v>144.4907400000011</v>
      </c>
      <c r="E31" s="13"/>
      <c r="F31" s="4">
        <v>2141.1999999999998</v>
      </c>
      <c r="H31">
        <v>14.5</v>
      </c>
      <c r="J31">
        <v>17.22</v>
      </c>
      <c r="P31">
        <v>6.7514664082765599</v>
      </c>
      <c r="S31">
        <v>-1.25267183386255E-4</v>
      </c>
      <c r="X31" t="s">
        <v>9</v>
      </c>
      <c r="Y31">
        <v>5</v>
      </c>
      <c r="Z31" t="s">
        <v>2</v>
      </c>
      <c r="AA31" s="16">
        <v>43609</v>
      </c>
      <c r="AB31">
        <v>144.48588000000018</v>
      </c>
      <c r="AC31" s="4">
        <v>916.2</v>
      </c>
      <c r="AE31">
        <v>-11.2050582072939</v>
      </c>
      <c r="AH31">
        <v>-4.69830645121691E-4</v>
      </c>
    </row>
    <row r="32" spans="1:36" x14ac:dyDescent="0.2">
      <c r="A32" t="s">
        <v>9</v>
      </c>
      <c r="B32">
        <v>1</v>
      </c>
      <c r="C32" s="2">
        <v>43609</v>
      </c>
      <c r="D32" s="13">
        <v>144.52337999999872</v>
      </c>
      <c r="E32" s="13">
        <v>144.54282399999937</v>
      </c>
      <c r="F32" s="4">
        <v>1446.2</v>
      </c>
      <c r="G32" s="4">
        <v>1736.7</v>
      </c>
      <c r="H32">
        <v>18.8</v>
      </c>
      <c r="I32">
        <v>17.400000000000002</v>
      </c>
      <c r="J32">
        <v>18.329999999999998</v>
      </c>
      <c r="K32">
        <v>18.329999999999998</v>
      </c>
      <c r="P32">
        <v>11.518755658201901</v>
      </c>
      <c r="Q32">
        <v>8.1454183591217486</v>
      </c>
      <c r="R32">
        <v>3.0660351466688458</v>
      </c>
      <c r="S32">
        <v>-1.85496283470854E-4</v>
      </c>
      <c r="T32" s="6">
        <v>1.1445503954050161E-4</v>
      </c>
      <c r="U32" s="6">
        <v>3.24061292099792E-4</v>
      </c>
      <c r="X32" t="s">
        <v>9</v>
      </c>
      <c r="Y32">
        <v>1</v>
      </c>
      <c r="Z32" t="s">
        <v>2</v>
      </c>
      <c r="AA32" s="16">
        <v>43609</v>
      </c>
      <c r="AB32">
        <v>144.51851499999975</v>
      </c>
      <c r="AC32" s="4">
        <v>1876.2</v>
      </c>
      <c r="AD32" s="4">
        <v>1864.7</v>
      </c>
      <c r="AE32">
        <v>-12.1051985370884</v>
      </c>
      <c r="AF32">
        <v>-13.916306477304897</v>
      </c>
      <c r="AG32">
        <v>3.2795120970347273</v>
      </c>
      <c r="AH32">
        <v>-9.3855509696608096E-5</v>
      </c>
      <c r="AI32">
        <v>-2.9506034870323359E-4</v>
      </c>
      <c r="AJ32">
        <v>1.8607048186448417E-4</v>
      </c>
    </row>
    <row r="33" spans="1:36" x14ac:dyDescent="0.2">
      <c r="A33" t="s">
        <v>9</v>
      </c>
      <c r="B33">
        <v>2</v>
      </c>
      <c r="C33" s="2">
        <v>43609</v>
      </c>
      <c r="D33" s="13">
        <v>144.53310499999861</v>
      </c>
      <c r="E33" s="13"/>
      <c r="F33" s="4">
        <v>1341.2</v>
      </c>
      <c r="H33">
        <v>19.100000000000001</v>
      </c>
      <c r="J33">
        <v>18.329999999999998</v>
      </c>
      <c r="P33">
        <v>6.5769957566670199</v>
      </c>
      <c r="S33">
        <v>-2.53769238278012E-4</v>
      </c>
      <c r="T33" s="6"/>
      <c r="U33" s="6"/>
      <c r="X33" t="s">
        <v>9</v>
      </c>
      <c r="Y33">
        <v>2</v>
      </c>
      <c r="Z33" t="s">
        <v>2</v>
      </c>
      <c r="AA33" s="16">
        <v>43609</v>
      </c>
      <c r="AB33">
        <v>144.52823999999964</v>
      </c>
      <c r="AC33" s="4">
        <v>2318.6999999999998</v>
      </c>
      <c r="AE33">
        <v>-11.2032951195034</v>
      </c>
      <c r="AH33">
        <v>-1.46987710899802E-4</v>
      </c>
    </row>
    <row r="34" spans="1:36" x14ac:dyDescent="0.2">
      <c r="A34" t="s">
        <v>9</v>
      </c>
      <c r="B34">
        <v>3</v>
      </c>
      <c r="C34" s="2">
        <v>43609</v>
      </c>
      <c r="D34" s="13">
        <v>144.54282500000045</v>
      </c>
      <c r="E34" s="13"/>
      <c r="F34" s="4">
        <v>2553.6999999999998</v>
      </c>
      <c r="H34">
        <v>19.5</v>
      </c>
      <c r="J34">
        <v>18.329999999999998</v>
      </c>
      <c r="P34">
        <v>6.0558622457846001</v>
      </c>
      <c r="S34">
        <v>1.6819396947062701E-4</v>
      </c>
      <c r="T34" s="6"/>
      <c r="U34" s="6"/>
      <c r="X34" t="s">
        <v>9</v>
      </c>
      <c r="Y34">
        <v>3</v>
      </c>
      <c r="Z34" t="s">
        <v>2</v>
      </c>
      <c r="AA34" s="16">
        <v>43609</v>
      </c>
      <c r="AB34">
        <v>144.53796499999953</v>
      </c>
      <c r="AC34" s="4">
        <v>1431.2</v>
      </c>
      <c r="AE34">
        <v>-18.958855610487898</v>
      </c>
      <c r="AH34">
        <v>-4.6057753390859002E-4</v>
      </c>
    </row>
    <row r="35" spans="1:36" x14ac:dyDescent="0.2">
      <c r="A35" t="s">
        <v>9</v>
      </c>
      <c r="B35">
        <v>4</v>
      </c>
      <c r="C35" s="2">
        <v>43609</v>
      </c>
      <c r="D35" s="13">
        <v>144.55254499999864</v>
      </c>
      <c r="E35" s="13"/>
      <c r="F35" s="4">
        <v>2243.6999999999998</v>
      </c>
      <c r="H35">
        <v>14.7</v>
      </c>
      <c r="J35">
        <v>18.329999999999998</v>
      </c>
      <c r="P35">
        <v>5.1767764374915197</v>
      </c>
      <c r="S35">
        <v>3.83931585584574E-4</v>
      </c>
      <c r="T35" s="6"/>
      <c r="U35" s="6"/>
      <c r="X35" t="s">
        <v>9</v>
      </c>
      <c r="Y35">
        <v>4</v>
      </c>
      <c r="Z35" t="s">
        <v>2</v>
      </c>
      <c r="AA35" s="16">
        <v>43609</v>
      </c>
      <c r="AB35">
        <v>144.54768500000137</v>
      </c>
      <c r="AC35" s="4">
        <v>1871.2</v>
      </c>
      <c r="AE35">
        <v>-15.5035163851829</v>
      </c>
      <c r="AH35">
        <v>-2.6084500966225098E-4</v>
      </c>
    </row>
    <row r="36" spans="1:36" x14ac:dyDescent="0.2">
      <c r="A36" t="s">
        <v>9</v>
      </c>
      <c r="B36">
        <v>5</v>
      </c>
      <c r="C36" s="2">
        <v>43609</v>
      </c>
      <c r="D36" s="13">
        <v>144.56226500000048</v>
      </c>
      <c r="E36" s="13"/>
      <c r="F36" s="4">
        <v>1098.7</v>
      </c>
      <c r="H36">
        <v>14.9</v>
      </c>
      <c r="J36">
        <v>18.329999999999998</v>
      </c>
      <c r="P36">
        <v>11.3987016974637</v>
      </c>
      <c r="S36">
        <v>4.5941516439617302E-4</v>
      </c>
      <c r="X36" t="s">
        <v>9</v>
      </c>
      <c r="Y36">
        <v>5</v>
      </c>
      <c r="Z36" t="s">
        <v>2</v>
      </c>
      <c r="AA36" s="16">
        <v>43609</v>
      </c>
      <c r="AB36">
        <v>144.55740499999956</v>
      </c>
      <c r="AC36" s="4">
        <v>1826.2</v>
      </c>
      <c r="AE36">
        <v>-11.810666734261901</v>
      </c>
      <c r="AH36">
        <v>-5.1303597934891697E-4</v>
      </c>
    </row>
    <row r="37" spans="1:36" x14ac:dyDescent="0.2">
      <c r="A37" t="s">
        <v>9</v>
      </c>
      <c r="B37">
        <v>1</v>
      </c>
      <c r="C37" s="2">
        <v>43620</v>
      </c>
      <c r="D37" s="13">
        <v>155.44490500000029</v>
      </c>
      <c r="E37" s="13">
        <v>155.4643520000005</v>
      </c>
      <c r="F37" s="4">
        <v>1901.2</v>
      </c>
      <c r="G37" s="4">
        <v>1359.7</v>
      </c>
      <c r="H37">
        <v>11.3</v>
      </c>
      <c r="I37">
        <v>11.24</v>
      </c>
      <c r="J37">
        <v>17.78</v>
      </c>
      <c r="K37">
        <v>17.78</v>
      </c>
      <c r="P37">
        <v>5.4588235664524696</v>
      </c>
      <c r="Q37">
        <v>6.7578653093858119</v>
      </c>
      <c r="R37">
        <v>1.1592881354935471</v>
      </c>
      <c r="S37" s="6">
        <v>-1.1605518971450599E-6</v>
      </c>
      <c r="T37" s="6">
        <v>-1.3725840647112883E-6</v>
      </c>
      <c r="U37" s="6">
        <v>2.3722088888809734E-7</v>
      </c>
      <c r="X37" t="s">
        <v>9</v>
      </c>
      <c r="Y37">
        <v>1</v>
      </c>
      <c r="Z37" t="s">
        <v>2</v>
      </c>
      <c r="AA37" s="16">
        <v>43620</v>
      </c>
      <c r="AB37">
        <v>155.44004499999937</v>
      </c>
      <c r="AC37" s="4">
        <v>1661.2</v>
      </c>
      <c r="AD37" s="4">
        <v>1380.6999999999998</v>
      </c>
      <c r="AE37">
        <v>-10.0881431104283</v>
      </c>
      <c r="AF37">
        <v>-13.458042213567158</v>
      </c>
      <c r="AG37">
        <v>3.8763494055294552</v>
      </c>
      <c r="AH37">
        <v>2.22756386223971E-6</v>
      </c>
      <c r="AI37">
        <v>2.886770445710918E-6</v>
      </c>
      <c r="AJ37">
        <v>8.2923234772376071E-7</v>
      </c>
    </row>
    <row r="38" spans="1:36" x14ac:dyDescent="0.2">
      <c r="A38" t="s">
        <v>9</v>
      </c>
      <c r="B38">
        <v>2</v>
      </c>
      <c r="C38" s="2">
        <v>43620</v>
      </c>
      <c r="D38" s="13">
        <v>155.45463000000018</v>
      </c>
      <c r="E38" s="13"/>
      <c r="F38" s="4">
        <v>1838.7</v>
      </c>
      <c r="H38">
        <v>13.2</v>
      </c>
      <c r="J38">
        <v>17.78</v>
      </c>
      <c r="P38">
        <v>7.2635807297932704</v>
      </c>
      <c r="S38" s="6">
        <v>-1.5098483107857201E-6</v>
      </c>
      <c r="T38" s="6"/>
      <c r="U38" s="6"/>
      <c r="X38" t="s">
        <v>9</v>
      </c>
      <c r="Y38">
        <v>2</v>
      </c>
      <c r="Z38" t="s">
        <v>2</v>
      </c>
      <c r="AA38" s="16">
        <v>43620</v>
      </c>
      <c r="AB38">
        <v>155.44976500000121</v>
      </c>
      <c r="AC38" s="4">
        <v>1841.2</v>
      </c>
      <c r="AE38">
        <v>-9.0851284305317801</v>
      </c>
      <c r="AH38">
        <v>1.9665421728087498E-6</v>
      </c>
    </row>
    <row r="39" spans="1:36" x14ac:dyDescent="0.2">
      <c r="A39" t="s">
        <v>9</v>
      </c>
      <c r="B39">
        <v>3</v>
      </c>
      <c r="C39" s="2">
        <v>43620</v>
      </c>
      <c r="D39" s="13">
        <v>155.46435500000007</v>
      </c>
      <c r="E39" s="13"/>
      <c r="F39" s="4">
        <v>596.20000000000005</v>
      </c>
      <c r="H39">
        <v>12.5</v>
      </c>
      <c r="J39">
        <v>17.78</v>
      </c>
      <c r="P39">
        <v>7.1533394171047702</v>
      </c>
      <c r="S39" s="6">
        <v>-1.4690349266193701E-6</v>
      </c>
      <c r="T39" s="6"/>
      <c r="U39" s="6"/>
      <c r="X39" t="s">
        <v>9</v>
      </c>
      <c r="Y39">
        <v>3</v>
      </c>
      <c r="Z39" t="s">
        <v>2</v>
      </c>
      <c r="AA39" s="16">
        <v>43620</v>
      </c>
      <c r="AB39">
        <v>155.4594900000011</v>
      </c>
      <c r="AC39" s="4">
        <v>451.2</v>
      </c>
      <c r="AE39">
        <v>-17.556077209764702</v>
      </c>
      <c r="AH39">
        <v>3.8236538696171802E-6</v>
      </c>
    </row>
    <row r="40" spans="1:36" x14ac:dyDescent="0.2">
      <c r="A40" t="s">
        <v>9</v>
      </c>
      <c r="B40">
        <v>4</v>
      </c>
      <c r="C40" s="2">
        <v>43620</v>
      </c>
      <c r="D40" s="13">
        <v>155.4740750000019</v>
      </c>
      <c r="E40" s="13"/>
      <c r="F40" s="4">
        <v>1958.7</v>
      </c>
      <c r="H40">
        <v>9.5</v>
      </c>
      <c r="J40">
        <v>17.78</v>
      </c>
      <c r="P40">
        <v>8.2211085102776398</v>
      </c>
      <c r="S40" s="6">
        <v>-1.63720406499481E-6</v>
      </c>
      <c r="T40" s="6"/>
      <c r="U40" s="6"/>
      <c r="X40" t="s">
        <v>9</v>
      </c>
      <c r="Y40">
        <v>4</v>
      </c>
      <c r="Z40" t="s">
        <v>2</v>
      </c>
      <c r="AA40" s="16">
        <v>43620</v>
      </c>
      <c r="AB40">
        <v>155.46921500000099</v>
      </c>
      <c r="AC40" s="4">
        <v>2221.1999999999998</v>
      </c>
      <c r="AE40">
        <v>-17.0396426540992</v>
      </c>
      <c r="AH40">
        <v>3.6467630583779601E-6</v>
      </c>
    </row>
    <row r="41" spans="1:36" x14ac:dyDescent="0.2">
      <c r="A41" t="s">
        <v>9</v>
      </c>
      <c r="B41">
        <v>5</v>
      </c>
      <c r="C41" s="2">
        <v>43620</v>
      </c>
      <c r="D41" s="13">
        <v>155.4837950000001</v>
      </c>
      <c r="E41" s="13"/>
      <c r="F41" s="4">
        <v>503.7</v>
      </c>
      <c r="H41">
        <v>9.6999999999999993</v>
      </c>
      <c r="J41">
        <v>17.78</v>
      </c>
      <c r="P41">
        <v>5.6924743233009103</v>
      </c>
      <c r="S41" s="6">
        <v>-1.0862811240114801E-6</v>
      </c>
      <c r="X41" t="s">
        <v>9</v>
      </c>
      <c r="Y41">
        <v>5</v>
      </c>
      <c r="Z41" t="s">
        <v>2</v>
      </c>
      <c r="AA41" s="16">
        <v>43620</v>
      </c>
      <c r="AB41">
        <v>155.47893499999918</v>
      </c>
      <c r="AC41" s="4">
        <v>728.7</v>
      </c>
      <c r="AE41">
        <v>-13.5212196630118</v>
      </c>
      <c r="AH41">
        <v>2.7693292655109901E-6</v>
      </c>
    </row>
    <row r="42" spans="1:36" x14ac:dyDescent="0.2">
      <c r="A42" t="s">
        <v>9</v>
      </c>
      <c r="B42">
        <v>1</v>
      </c>
      <c r="C42" s="2">
        <v>43620</v>
      </c>
      <c r="D42" s="13">
        <v>155.5260449999987</v>
      </c>
      <c r="E42" s="13">
        <v>155.54493100000036</v>
      </c>
      <c r="F42" s="4">
        <v>1541.2</v>
      </c>
      <c r="G42" s="4">
        <v>1910.2</v>
      </c>
      <c r="H42">
        <v>9.9</v>
      </c>
      <c r="I42">
        <v>8.64</v>
      </c>
      <c r="J42">
        <v>19.440000000000001</v>
      </c>
      <c r="K42">
        <v>19.440000000000001</v>
      </c>
      <c r="P42">
        <v>7.3305454805903398</v>
      </c>
      <c r="Q42">
        <v>7.9960950503362245</v>
      </c>
      <c r="R42">
        <v>1.4252142821514229</v>
      </c>
      <c r="S42" s="6">
        <v>-1.3820143764752801E-6</v>
      </c>
      <c r="T42" s="6">
        <v>-1.439861446607652E-6</v>
      </c>
      <c r="U42" s="6">
        <v>2.4062070705608413E-7</v>
      </c>
      <c r="X42" t="s">
        <v>9</v>
      </c>
      <c r="Y42">
        <v>1</v>
      </c>
      <c r="Z42" t="s">
        <v>2</v>
      </c>
      <c r="AA42" s="16">
        <v>43620</v>
      </c>
      <c r="AB42">
        <v>155.52131999999983</v>
      </c>
      <c r="AC42" s="4">
        <v>586.20000000000005</v>
      </c>
      <c r="AD42" s="4">
        <v>1758.7</v>
      </c>
      <c r="AE42">
        <v>-10.9274273628481</v>
      </c>
      <c r="AF42">
        <v>-12.373088393052161</v>
      </c>
      <c r="AG42">
        <v>1.7466585461366639</v>
      </c>
      <c r="AH42">
        <v>2.1677695078539001E-6</v>
      </c>
      <c r="AI42">
        <v>2.3807821768493842E-6</v>
      </c>
      <c r="AJ42">
        <v>3.0559047125205582E-7</v>
      </c>
    </row>
    <row r="43" spans="1:36" x14ac:dyDescent="0.2">
      <c r="A43" t="s">
        <v>9</v>
      </c>
      <c r="B43">
        <v>2</v>
      </c>
      <c r="C43" s="2">
        <v>43620</v>
      </c>
      <c r="D43" s="13">
        <v>155.53548500000034</v>
      </c>
      <c r="E43" s="13"/>
      <c r="F43" s="4">
        <v>2023.7</v>
      </c>
      <c r="H43">
        <v>7.4</v>
      </c>
      <c r="J43">
        <v>19.440000000000001</v>
      </c>
      <c r="P43">
        <v>8.3959433514442203</v>
      </c>
      <c r="S43" s="6">
        <v>-1.52370268996905E-6</v>
      </c>
      <c r="T43" s="6"/>
      <c r="U43" s="6"/>
      <c r="X43" t="s">
        <v>9</v>
      </c>
      <c r="Y43">
        <v>2</v>
      </c>
      <c r="Z43" t="s">
        <v>2</v>
      </c>
      <c r="AA43" s="16">
        <v>43620</v>
      </c>
      <c r="AB43">
        <v>155.53076499999952</v>
      </c>
      <c r="AC43" s="4">
        <v>2181.1999999999998</v>
      </c>
      <c r="AE43">
        <v>-10.1017324005717</v>
      </c>
      <c r="AH43">
        <v>1.9676824461258999E-6</v>
      </c>
    </row>
    <row r="44" spans="1:36" x14ac:dyDescent="0.2">
      <c r="A44" t="s">
        <v>9</v>
      </c>
      <c r="B44">
        <v>3</v>
      </c>
      <c r="C44" s="2">
        <v>43620</v>
      </c>
      <c r="D44" s="13">
        <v>155.54493000000002</v>
      </c>
      <c r="E44" s="13"/>
      <c r="F44" s="4">
        <v>2063.6999999999998</v>
      </c>
      <c r="H44">
        <v>8.4</v>
      </c>
      <c r="J44">
        <v>19.440000000000001</v>
      </c>
      <c r="P44">
        <v>7.3835724268778904</v>
      </c>
      <c r="S44" s="6">
        <v>-1.3167288412631199E-6</v>
      </c>
      <c r="T44" s="6"/>
      <c r="U44" s="6"/>
      <c r="X44" t="s">
        <v>9</v>
      </c>
      <c r="Y44">
        <v>3</v>
      </c>
      <c r="Z44" t="s">
        <v>2</v>
      </c>
      <c r="AA44" s="16">
        <v>43620</v>
      </c>
      <c r="AB44">
        <v>155.54020500000115</v>
      </c>
      <c r="AC44" s="4">
        <v>2038.7</v>
      </c>
      <c r="AE44">
        <v>-13.952495573005001</v>
      </c>
      <c r="AH44">
        <v>2.7230275448612699E-6</v>
      </c>
    </row>
    <row r="45" spans="1:36" x14ac:dyDescent="0.2">
      <c r="A45" t="s">
        <v>9</v>
      </c>
      <c r="B45">
        <v>4</v>
      </c>
      <c r="C45" s="2">
        <v>43620</v>
      </c>
      <c r="D45" s="13">
        <v>155.55437499999971</v>
      </c>
      <c r="E45" s="13"/>
      <c r="F45" s="4">
        <v>2018.7</v>
      </c>
      <c r="H45">
        <v>7.4</v>
      </c>
      <c r="J45">
        <v>19.440000000000001</v>
      </c>
      <c r="P45">
        <v>6.5965545632239699</v>
      </c>
      <c r="S45" s="6">
        <v>-1.17114681100452E-6</v>
      </c>
      <c r="T45" s="6"/>
      <c r="U45" s="6"/>
      <c r="X45" t="s">
        <v>9</v>
      </c>
      <c r="Y45">
        <v>4</v>
      </c>
      <c r="Z45" t="s">
        <v>2</v>
      </c>
      <c r="AA45" s="16">
        <v>43620</v>
      </c>
      <c r="AB45">
        <v>155.54965499999889</v>
      </c>
      <c r="AC45" s="4">
        <v>2053.6999999999998</v>
      </c>
      <c r="AE45">
        <v>-13.146042432736699</v>
      </c>
      <c r="AH45">
        <v>2.5158519461628199E-6</v>
      </c>
    </row>
    <row r="46" spans="1:36" x14ac:dyDescent="0.2">
      <c r="A46" t="s">
        <v>9</v>
      </c>
      <c r="B46">
        <v>5</v>
      </c>
      <c r="C46" s="2">
        <v>43620</v>
      </c>
      <c r="D46" s="13">
        <v>155.56382000000303</v>
      </c>
      <c r="E46" s="13"/>
      <c r="F46" s="4">
        <v>1903.7</v>
      </c>
      <c r="H46">
        <v>10.1</v>
      </c>
      <c r="J46">
        <v>19.440000000000001</v>
      </c>
      <c r="P46">
        <v>10.2738594295447</v>
      </c>
      <c r="S46" s="6">
        <v>-1.8057145143262901E-6</v>
      </c>
      <c r="X46" t="s">
        <v>9</v>
      </c>
      <c r="Y46">
        <v>5</v>
      </c>
      <c r="Z46" t="s">
        <v>2</v>
      </c>
      <c r="AA46" s="16">
        <v>43620</v>
      </c>
      <c r="AB46">
        <v>155.55909500000053</v>
      </c>
      <c r="AC46" s="4">
        <v>1933.7</v>
      </c>
      <c r="AE46">
        <v>-13.7377441960993</v>
      </c>
      <c r="AH46">
        <v>2.5295794392430298E-6</v>
      </c>
    </row>
    <row r="47" spans="1:36" x14ac:dyDescent="0.2">
      <c r="A47" t="s">
        <v>9</v>
      </c>
      <c r="B47">
        <v>1</v>
      </c>
      <c r="C47" s="2">
        <v>43640</v>
      </c>
      <c r="D47" s="13">
        <v>175.4942149999988</v>
      </c>
      <c r="E47" s="13">
        <v>175.51365799999911</v>
      </c>
      <c r="F47" s="4">
        <v>1828.7</v>
      </c>
      <c r="G47" s="4">
        <v>1390.7</v>
      </c>
      <c r="H47">
        <v>6.7</v>
      </c>
      <c r="I47">
        <v>7.6200000000000019</v>
      </c>
      <c r="J47">
        <v>25</v>
      </c>
      <c r="K47">
        <v>25</v>
      </c>
      <c r="P47">
        <v>9.6321053627083799</v>
      </c>
      <c r="Q47">
        <v>7.4562541120106136</v>
      </c>
      <c r="R47">
        <v>1.9344824077930989</v>
      </c>
      <c r="S47" s="6">
        <v>-9.2934561688741601E-7</v>
      </c>
      <c r="T47" s="6">
        <v>-9.2934561688741601E-7</v>
      </c>
      <c r="U47" s="6" t="e">
        <v>#DIV/0!</v>
      </c>
      <c r="X47" t="s">
        <v>9</v>
      </c>
      <c r="Y47">
        <v>1</v>
      </c>
      <c r="Z47" t="s">
        <v>2</v>
      </c>
      <c r="AA47" s="16">
        <v>43640</v>
      </c>
      <c r="AB47">
        <v>175.48935500000152</v>
      </c>
      <c r="AC47" s="4">
        <v>1906.2</v>
      </c>
      <c r="AD47" s="4">
        <v>1850.7</v>
      </c>
      <c r="AE47">
        <v>-8.1420127526730006</v>
      </c>
      <c r="AF47">
        <v>-10.618798168960661</v>
      </c>
      <c r="AG47">
        <v>1.6210347146880602</v>
      </c>
      <c r="AH47">
        <v>4.4796629880764997E-3</v>
      </c>
      <c r="AI47">
        <v>2.2400889118901089E-3</v>
      </c>
      <c r="AJ47">
        <v>3.1672360324819892E-3</v>
      </c>
    </row>
    <row r="48" spans="1:36" x14ac:dyDescent="0.2">
      <c r="A48" t="s">
        <v>9</v>
      </c>
      <c r="B48">
        <v>2</v>
      </c>
      <c r="C48" s="2">
        <v>43640</v>
      </c>
      <c r="D48" s="13">
        <v>175.50393500000064</v>
      </c>
      <c r="E48" s="13"/>
      <c r="F48" s="4">
        <v>1498.7</v>
      </c>
      <c r="H48">
        <v>10.1</v>
      </c>
      <c r="J48">
        <v>25</v>
      </c>
      <c r="P48">
        <v>6.2265803775462496</v>
      </c>
      <c r="T48" s="6"/>
      <c r="U48" s="6"/>
      <c r="X48" t="s">
        <v>9</v>
      </c>
      <c r="Y48">
        <v>2</v>
      </c>
      <c r="Z48" t="s">
        <v>2</v>
      </c>
      <c r="AA48" s="16">
        <v>43640</v>
      </c>
      <c r="AB48">
        <v>175.49907499999972</v>
      </c>
      <c r="AC48" s="4">
        <v>1763.7</v>
      </c>
      <c r="AE48">
        <v>-12.1139043888484</v>
      </c>
      <c r="AH48">
        <v>5.1483570371789002E-7</v>
      </c>
    </row>
    <row r="49" spans="1:36" x14ac:dyDescent="0.2">
      <c r="A49" t="s">
        <v>9</v>
      </c>
      <c r="B49">
        <v>3</v>
      </c>
      <c r="C49" s="2">
        <v>43640</v>
      </c>
      <c r="D49" s="13">
        <v>175.51365499999883</v>
      </c>
      <c r="E49" s="13"/>
      <c r="F49" s="4">
        <v>1748.7</v>
      </c>
      <c r="H49">
        <v>5.4</v>
      </c>
      <c r="J49">
        <v>25</v>
      </c>
      <c r="P49">
        <v>9.4669578277936299</v>
      </c>
      <c r="T49" s="6"/>
      <c r="U49" s="6"/>
      <c r="X49" t="s">
        <v>9</v>
      </c>
      <c r="Y49">
        <v>3</v>
      </c>
      <c r="Z49" t="s">
        <v>2</v>
      </c>
      <c r="AA49" s="16">
        <v>43640</v>
      </c>
      <c r="AB49">
        <v>175.50879500000156</v>
      </c>
      <c r="AC49" s="4">
        <v>1516.2</v>
      </c>
      <c r="AE49">
        <v>-10.7159201686181</v>
      </c>
    </row>
    <row r="50" spans="1:36" x14ac:dyDescent="0.2">
      <c r="A50" t="s">
        <v>9</v>
      </c>
      <c r="B50">
        <v>4</v>
      </c>
      <c r="C50" s="2">
        <v>43640</v>
      </c>
      <c r="D50" s="13">
        <v>175.52337999999872</v>
      </c>
      <c r="E50" s="13"/>
      <c r="F50" s="4">
        <v>1876.2</v>
      </c>
      <c r="H50">
        <v>6.6</v>
      </c>
      <c r="J50">
        <v>25</v>
      </c>
      <c r="P50">
        <v>5.5854107417687704</v>
      </c>
      <c r="T50" s="6"/>
      <c r="U50" s="6"/>
      <c r="X50" t="s">
        <v>9</v>
      </c>
      <c r="Y50">
        <v>4</v>
      </c>
      <c r="Z50" t="s">
        <v>2</v>
      </c>
      <c r="AA50" s="16">
        <v>43640</v>
      </c>
      <c r="AB50">
        <v>175.51851499999975</v>
      </c>
      <c r="AC50" s="4">
        <v>2036.2</v>
      </c>
      <c r="AE50">
        <v>-10.1281908745666</v>
      </c>
    </row>
    <row r="51" spans="1:36" x14ac:dyDescent="0.2">
      <c r="A51" t="s">
        <v>9</v>
      </c>
      <c r="B51">
        <v>5</v>
      </c>
      <c r="C51" s="2">
        <v>43640</v>
      </c>
      <c r="D51" s="13">
        <v>175.53310499999861</v>
      </c>
      <c r="E51" s="13"/>
      <c r="F51" s="4">
        <v>1.2</v>
      </c>
      <c r="H51">
        <v>9.3000000000000007</v>
      </c>
      <c r="J51">
        <v>25</v>
      </c>
      <c r="P51">
        <v>6.37021625023604</v>
      </c>
      <c r="X51" t="s">
        <v>9</v>
      </c>
      <c r="Y51">
        <v>5</v>
      </c>
      <c r="Z51" t="s">
        <v>2</v>
      </c>
      <c r="AA51" s="16">
        <v>43640</v>
      </c>
      <c r="AB51">
        <v>175.52823999999964</v>
      </c>
      <c r="AC51" s="4">
        <v>2031.2</v>
      </c>
      <c r="AE51">
        <v>-11.9939626600972</v>
      </c>
    </row>
    <row r="52" spans="1:36" s="18" customFormat="1" x14ac:dyDescent="0.2">
      <c r="A52" s="18" t="s">
        <v>9</v>
      </c>
      <c r="B52" s="18">
        <v>1</v>
      </c>
      <c r="C52" s="19">
        <v>43640</v>
      </c>
      <c r="D52" s="20">
        <v>175.62546500000099</v>
      </c>
      <c r="E52" s="20">
        <v>175.6351850000004</v>
      </c>
      <c r="F52" s="21">
        <v>893.7</v>
      </c>
      <c r="G52" s="21">
        <v>1049.5333333333335</v>
      </c>
      <c r="H52" s="18">
        <v>8.9</v>
      </c>
      <c r="I52" s="18">
        <v>7.0999999999999988</v>
      </c>
      <c r="J52" s="18">
        <v>30</v>
      </c>
      <c r="K52">
        <v>30</v>
      </c>
      <c r="O52" s="21"/>
      <c r="P52" s="18">
        <v>8.4352821719121405</v>
      </c>
      <c r="Q52">
        <v>8.1445894843883</v>
      </c>
      <c r="R52">
        <v>0.55155054165607376</v>
      </c>
      <c r="S52" s="18">
        <v>3.3222400000000002E-3</v>
      </c>
      <c r="T52" s="6">
        <v>1.3155437666666667E-2</v>
      </c>
      <c r="U52" s="6">
        <v>1.1432096108061736E-2</v>
      </c>
      <c r="X52" s="18" t="s">
        <v>9</v>
      </c>
      <c r="Y52" s="18">
        <v>1</v>
      </c>
      <c r="Z52" s="18" t="s">
        <v>2</v>
      </c>
      <c r="AA52" s="22">
        <v>43640</v>
      </c>
      <c r="AB52" s="18">
        <v>175.62060500000007</v>
      </c>
      <c r="AC52" s="21">
        <v>1013.7</v>
      </c>
      <c r="AD52" s="4">
        <v>990.36666666666679</v>
      </c>
      <c r="AE52" s="18">
        <v>-10.321827917010999</v>
      </c>
      <c r="AF52">
        <v>-8.6637820657546758</v>
      </c>
      <c r="AG52">
        <v>2.0720461196564348</v>
      </c>
      <c r="AH52" s="18">
        <v>3.170998E-3</v>
      </c>
      <c r="AI52">
        <v>2.1063488000000002E-2</v>
      </c>
      <c r="AJ52">
        <v>1.561083650245418E-2</v>
      </c>
    </row>
    <row r="53" spans="1:36" s="18" customFormat="1" x14ac:dyDescent="0.2">
      <c r="A53" s="18" t="s">
        <v>9</v>
      </c>
      <c r="B53" s="18">
        <v>2</v>
      </c>
      <c r="C53" s="19">
        <v>43640</v>
      </c>
      <c r="D53" s="20">
        <v>175.63518499999918</v>
      </c>
      <c r="E53" s="20"/>
      <c r="F53" s="21">
        <v>896.2</v>
      </c>
      <c r="G53" s="21"/>
      <c r="H53" s="18">
        <v>8.5</v>
      </c>
      <c r="J53" s="18">
        <v>30</v>
      </c>
      <c r="K53"/>
      <c r="O53" s="21"/>
      <c r="P53" s="18">
        <v>7.5084974620246898</v>
      </c>
      <c r="Q53"/>
      <c r="R53"/>
      <c r="S53" s="18">
        <v>1.0444849000000001E-2</v>
      </c>
      <c r="T53" s="6"/>
      <c r="U53" s="6"/>
      <c r="X53" s="18" t="s">
        <v>9</v>
      </c>
      <c r="Y53" s="18">
        <v>2</v>
      </c>
      <c r="Z53" s="18" t="s">
        <v>2</v>
      </c>
      <c r="AA53" s="22">
        <v>43640</v>
      </c>
      <c r="AB53" s="18">
        <v>175.6303250000019</v>
      </c>
      <c r="AC53" s="21">
        <v>1006.2</v>
      </c>
      <c r="AD53" s="4"/>
      <c r="AE53" s="18">
        <v>-6.3409257865250996</v>
      </c>
      <c r="AF53"/>
      <c r="AG53"/>
      <c r="AH53" s="18">
        <v>3.1905073999999999E-2</v>
      </c>
      <c r="AI53"/>
      <c r="AJ53"/>
    </row>
    <row r="54" spans="1:36" s="18" customFormat="1" x14ac:dyDescent="0.2">
      <c r="A54" s="18" t="s">
        <v>9</v>
      </c>
      <c r="B54" s="18">
        <v>3</v>
      </c>
      <c r="C54" s="19">
        <v>43640</v>
      </c>
      <c r="D54" s="20">
        <v>175.64490500000102</v>
      </c>
      <c r="E54" s="20"/>
      <c r="F54" s="21">
        <v>1358.7</v>
      </c>
      <c r="G54" s="21"/>
      <c r="H54" s="18">
        <v>3.9</v>
      </c>
      <c r="J54" s="18">
        <v>30</v>
      </c>
      <c r="K54"/>
      <c r="O54" s="21"/>
      <c r="P54" s="18">
        <v>8.4899888192280706</v>
      </c>
      <c r="Q54"/>
      <c r="R54"/>
      <c r="S54" s="18">
        <v>2.5699224E-2</v>
      </c>
      <c r="T54" s="6"/>
      <c r="U54" s="6"/>
      <c r="X54" s="18" t="s">
        <v>9</v>
      </c>
      <c r="Y54" s="18">
        <v>3</v>
      </c>
      <c r="Z54" s="18" t="s">
        <v>2</v>
      </c>
      <c r="AA54" s="22">
        <v>43640</v>
      </c>
      <c r="AB54" s="18">
        <v>175.6400450000001</v>
      </c>
      <c r="AC54" s="21">
        <v>951.2</v>
      </c>
      <c r="AD54" s="4"/>
      <c r="AE54" s="18">
        <v>-9.3285924937279301</v>
      </c>
      <c r="AF54"/>
      <c r="AG54"/>
      <c r="AH54" s="18">
        <v>2.8114391999999998E-2</v>
      </c>
      <c r="AI54"/>
      <c r="AJ54"/>
    </row>
    <row r="55" spans="1:36" x14ac:dyDescent="0.2">
      <c r="A55" t="s">
        <v>9</v>
      </c>
      <c r="B55">
        <v>1</v>
      </c>
      <c r="C55" s="2">
        <v>43657</v>
      </c>
      <c r="D55" s="13">
        <v>192.33171500000026</v>
      </c>
      <c r="E55" s="13">
        <v>192.35115799999986</v>
      </c>
      <c r="F55" s="4">
        <v>851.2</v>
      </c>
      <c r="G55" s="4">
        <v>752.7</v>
      </c>
      <c r="H55">
        <v>5.0999999999999996</v>
      </c>
      <c r="I55">
        <v>5.7399999999999993</v>
      </c>
      <c r="J55">
        <v>28.89</v>
      </c>
      <c r="K55">
        <v>28.889999999999997</v>
      </c>
      <c r="P55">
        <v>-1.2967563350345199</v>
      </c>
      <c r="Q55">
        <v>5.7758611097323049</v>
      </c>
      <c r="R55">
        <v>4.1377382534688758</v>
      </c>
      <c r="S55">
        <v>-4.6926280052562502E-3</v>
      </c>
      <c r="T55" s="6">
        <v>2.8994464041804001E-3</v>
      </c>
      <c r="U55" s="6">
        <v>6.6305403500978057E-3</v>
      </c>
      <c r="X55" t="s">
        <v>9</v>
      </c>
      <c r="Y55">
        <v>1</v>
      </c>
      <c r="Z55" t="s">
        <v>4</v>
      </c>
      <c r="AA55" s="16">
        <v>43657</v>
      </c>
      <c r="AB55">
        <v>192.32685499999934</v>
      </c>
      <c r="AC55" s="4">
        <v>338.7</v>
      </c>
      <c r="AD55" s="4">
        <v>721.2</v>
      </c>
      <c r="AE55">
        <v>0.91435215383874902</v>
      </c>
      <c r="AF55">
        <v>-1.8718905877997063</v>
      </c>
      <c r="AG55">
        <v>1.6186537890809429</v>
      </c>
      <c r="AH55">
        <v>-4.9704855190062999E-3</v>
      </c>
      <c r="AI55">
        <v>2.5373696821003218E-5</v>
      </c>
      <c r="AJ55">
        <v>3.6535295802402595E-3</v>
      </c>
    </row>
    <row r="56" spans="1:36" x14ac:dyDescent="0.2">
      <c r="A56" t="s">
        <v>9</v>
      </c>
      <c r="B56">
        <v>2</v>
      </c>
      <c r="C56" s="2">
        <v>43657</v>
      </c>
      <c r="D56" s="13">
        <v>192.34143499999846</v>
      </c>
      <c r="E56" s="13"/>
      <c r="F56" s="4">
        <v>623.70000000000005</v>
      </c>
      <c r="H56">
        <v>7.1</v>
      </c>
      <c r="J56">
        <v>28.89</v>
      </c>
      <c r="P56">
        <v>7.5085189046886196</v>
      </c>
      <c r="S56">
        <v>3.0213875009210299E-3</v>
      </c>
      <c r="X56" t="s">
        <v>9</v>
      </c>
      <c r="Y56">
        <v>2</v>
      </c>
      <c r="Z56" t="s">
        <v>4</v>
      </c>
      <c r="AA56" s="16">
        <v>43657</v>
      </c>
      <c r="AB56">
        <v>192.33657500000118</v>
      </c>
      <c r="AC56" s="4">
        <v>973.7</v>
      </c>
      <c r="AE56">
        <v>-2.82820353354828</v>
      </c>
      <c r="AH56">
        <v>1.9763447944226701E-3</v>
      </c>
    </row>
    <row r="57" spans="1:36" x14ac:dyDescent="0.2">
      <c r="A57" t="s">
        <v>9</v>
      </c>
      <c r="B57">
        <v>3</v>
      </c>
      <c r="C57" s="2">
        <v>43657</v>
      </c>
      <c r="D57" s="13">
        <v>192.35115500000029</v>
      </c>
      <c r="E57" s="13"/>
      <c r="F57" s="4">
        <v>746.2</v>
      </c>
      <c r="H57">
        <v>4.0999999999999996</v>
      </c>
      <c r="J57">
        <v>28.89</v>
      </c>
      <c r="P57">
        <v>5.9762276130652099</v>
      </c>
      <c r="S57">
        <v>3.1045991832133E-3</v>
      </c>
      <c r="T57" s="6"/>
      <c r="U57" s="6"/>
      <c r="X57" t="s">
        <v>9</v>
      </c>
      <c r="Y57">
        <v>3</v>
      </c>
      <c r="Z57" t="s">
        <v>4</v>
      </c>
      <c r="AA57" s="16">
        <v>43657</v>
      </c>
      <c r="AB57">
        <v>192.34629499999937</v>
      </c>
      <c r="AC57" s="4">
        <v>701.2</v>
      </c>
      <c r="AE57">
        <v>-1.86655388825485</v>
      </c>
      <c r="AH57">
        <v>4.77168836846393E-3</v>
      </c>
    </row>
    <row r="58" spans="1:36" x14ac:dyDescent="0.2">
      <c r="A58" t="s">
        <v>9</v>
      </c>
      <c r="B58">
        <v>4</v>
      </c>
      <c r="C58" s="2">
        <v>43657</v>
      </c>
      <c r="D58" s="13">
        <v>192.36088000000018</v>
      </c>
      <c r="E58" s="13"/>
      <c r="F58" s="4">
        <v>596.20000000000005</v>
      </c>
      <c r="H58">
        <v>7.9</v>
      </c>
      <c r="J58">
        <v>28.89</v>
      </c>
      <c r="P58">
        <v>9.39723632271191</v>
      </c>
      <c r="S58">
        <v>1.3305773808395999E-2</v>
      </c>
      <c r="T58" s="6"/>
      <c r="U58" s="6"/>
      <c r="X58" t="s">
        <v>9</v>
      </c>
      <c r="Y58">
        <v>4</v>
      </c>
      <c r="Z58" t="s">
        <v>4</v>
      </c>
      <c r="AA58" s="16">
        <v>43657</v>
      </c>
      <c r="AB58">
        <v>192.35601500000121</v>
      </c>
      <c r="AC58" s="4">
        <v>853.7</v>
      </c>
      <c r="AE58">
        <v>-2.54626753540298</v>
      </c>
      <c r="AH58">
        <v>-1.3968668872531701E-3</v>
      </c>
    </row>
    <row r="59" spans="1:36" x14ac:dyDescent="0.2">
      <c r="A59" t="s">
        <v>9</v>
      </c>
      <c r="B59">
        <v>5</v>
      </c>
      <c r="C59" s="2">
        <v>43657</v>
      </c>
      <c r="D59" s="13">
        <v>192.37060500000007</v>
      </c>
      <c r="E59" s="13"/>
      <c r="F59" s="4">
        <v>946.2</v>
      </c>
      <c r="H59">
        <v>4.5</v>
      </c>
      <c r="J59">
        <v>28.89</v>
      </c>
      <c r="P59">
        <v>7.2940790432303002</v>
      </c>
      <c r="S59">
        <v>-2.41900466372077E-4</v>
      </c>
      <c r="T59" s="6"/>
      <c r="U59" s="6"/>
      <c r="X59" t="s">
        <v>9</v>
      </c>
      <c r="Y59">
        <v>5</v>
      </c>
      <c r="Z59" t="s">
        <v>4</v>
      </c>
      <c r="AA59" s="16">
        <v>43657</v>
      </c>
      <c r="AB59">
        <v>192.3657400000011</v>
      </c>
      <c r="AC59" s="4">
        <v>738.7</v>
      </c>
      <c r="AE59">
        <v>-3.0327801356311701</v>
      </c>
      <c r="AH59">
        <v>-2.5381227252211399E-4</v>
      </c>
    </row>
    <row r="60" spans="1:36" x14ac:dyDescent="0.2">
      <c r="A60" t="s">
        <v>9</v>
      </c>
      <c r="B60">
        <v>1</v>
      </c>
      <c r="C60" s="2">
        <v>43657</v>
      </c>
      <c r="D60" s="13">
        <v>192.59976499999902</v>
      </c>
      <c r="E60" s="13">
        <v>192.6178240000001</v>
      </c>
      <c r="F60" s="4">
        <v>621.20000000000005</v>
      </c>
      <c r="G60" s="4">
        <v>931.7</v>
      </c>
      <c r="H60">
        <v>5.0999999999999996</v>
      </c>
      <c r="I60">
        <v>4.0199999999999996</v>
      </c>
      <c r="J60">
        <v>28.89</v>
      </c>
      <c r="K60">
        <v>28.889999999999997</v>
      </c>
      <c r="P60">
        <v>4.5504358521898904</v>
      </c>
      <c r="Q60">
        <v>1.8740682580671226</v>
      </c>
      <c r="R60">
        <v>2.1756810691162607</v>
      </c>
      <c r="S60">
        <v>-1.32125335491685E-4</v>
      </c>
      <c r="T60" s="6">
        <v>-4.8328117682152511E-5</v>
      </c>
      <c r="U60" s="6">
        <v>2.2191852478914531E-4</v>
      </c>
      <c r="X60" t="s">
        <v>9</v>
      </c>
      <c r="Y60">
        <v>1</v>
      </c>
      <c r="Z60" t="s">
        <v>4</v>
      </c>
      <c r="AA60" s="16">
        <v>43657</v>
      </c>
      <c r="AB60">
        <v>192.59525500000018</v>
      </c>
      <c r="AC60" s="4">
        <v>723.7</v>
      </c>
      <c r="AD60" s="4">
        <v>882.2</v>
      </c>
      <c r="AE60">
        <v>-4.4034017338059099</v>
      </c>
      <c r="AF60">
        <v>-3.3621080303802997</v>
      </c>
      <c r="AG60">
        <v>1.5469586263757766</v>
      </c>
      <c r="AH60">
        <v>3.0074135112058702E-4</v>
      </c>
      <c r="AI60">
        <v>-5.0376537079996971E-4</v>
      </c>
      <c r="AJ60">
        <v>1.592792105604307E-3</v>
      </c>
    </row>
    <row r="61" spans="1:36" x14ac:dyDescent="0.2">
      <c r="A61" t="s">
        <v>9</v>
      </c>
      <c r="B61">
        <v>2</v>
      </c>
      <c r="C61" s="2">
        <v>43657</v>
      </c>
      <c r="D61" s="13">
        <v>192.60880000000179</v>
      </c>
      <c r="E61" s="13"/>
      <c r="F61" s="4">
        <v>503.7</v>
      </c>
      <c r="H61">
        <v>6.3</v>
      </c>
      <c r="J61">
        <v>28.89</v>
      </c>
      <c r="P61">
        <v>2.9182774498189499</v>
      </c>
      <c r="S61" s="6">
        <v>-5.9594047038313497E-5</v>
      </c>
      <c r="X61" t="s">
        <v>9</v>
      </c>
      <c r="Y61">
        <v>2</v>
      </c>
      <c r="Z61" t="s">
        <v>4</v>
      </c>
      <c r="AA61" s="16">
        <v>43657</v>
      </c>
      <c r="AB61">
        <v>192.60428500000125</v>
      </c>
      <c r="AC61" s="4">
        <v>558.70000000000005</v>
      </c>
      <c r="AE61">
        <v>-5.4840296015274399</v>
      </c>
      <c r="AH61">
        <v>2.17468626708069E-4</v>
      </c>
    </row>
    <row r="62" spans="1:36" x14ac:dyDescent="0.2">
      <c r="A62" t="s">
        <v>9</v>
      </c>
      <c r="B62">
        <v>3</v>
      </c>
      <c r="C62" s="2">
        <v>43657</v>
      </c>
      <c r="D62" s="13">
        <v>192.61782499999754</v>
      </c>
      <c r="E62" s="13"/>
      <c r="F62" s="4">
        <v>646.20000000000005</v>
      </c>
      <c r="H62">
        <v>4.0999999999999996</v>
      </c>
      <c r="J62">
        <v>28.89</v>
      </c>
      <c r="P62">
        <v>2.2833183624806002</v>
      </c>
      <c r="S62">
        <v>-3.1920302997937402E-4</v>
      </c>
      <c r="T62" s="6"/>
      <c r="U62" s="6"/>
      <c r="X62" t="s">
        <v>9</v>
      </c>
      <c r="Y62">
        <v>3</v>
      </c>
      <c r="Z62" t="s">
        <v>4</v>
      </c>
      <c r="AA62" s="16">
        <v>43657</v>
      </c>
      <c r="AB62">
        <v>192.61331000000064</v>
      </c>
      <c r="AC62" s="4">
        <v>453.7</v>
      </c>
      <c r="AE62">
        <v>-2.8627087196105001</v>
      </c>
      <c r="AH62">
        <v>-3.3368902110624899E-3</v>
      </c>
    </row>
    <row r="63" spans="1:36" x14ac:dyDescent="0.2">
      <c r="A63" t="s">
        <v>9</v>
      </c>
      <c r="B63">
        <v>4</v>
      </c>
      <c r="C63" s="2">
        <v>43657</v>
      </c>
      <c r="D63" s="13">
        <v>192.62685000000056</v>
      </c>
      <c r="E63" s="13"/>
      <c r="F63" s="4">
        <v>883.7</v>
      </c>
      <c r="H63">
        <v>2.9</v>
      </c>
      <c r="J63">
        <v>28.89</v>
      </c>
      <c r="P63">
        <v>0.80560235373954303</v>
      </c>
      <c r="S63" s="6">
        <v>-2.27024734292661E-5</v>
      </c>
      <c r="T63" s="6"/>
      <c r="U63" s="6"/>
      <c r="X63" t="s">
        <v>9</v>
      </c>
      <c r="Y63">
        <v>4</v>
      </c>
      <c r="Z63" t="s">
        <v>4</v>
      </c>
      <c r="AA63" s="16">
        <v>43657</v>
      </c>
      <c r="AB63">
        <v>192.62233999999808</v>
      </c>
      <c r="AC63" s="4">
        <v>593.70000000000005</v>
      </c>
      <c r="AE63">
        <v>-2.3368943750299298</v>
      </c>
      <c r="AH63">
        <v>-7.2912088099032094E-5</v>
      </c>
    </row>
    <row r="64" spans="1:36" x14ac:dyDescent="0.2">
      <c r="A64" t="s">
        <v>9</v>
      </c>
      <c r="B64">
        <v>5</v>
      </c>
      <c r="C64" s="2">
        <v>43657</v>
      </c>
      <c r="D64" s="13">
        <v>192.63588000000163</v>
      </c>
      <c r="E64" s="13"/>
      <c r="F64" s="4">
        <v>2003.7</v>
      </c>
      <c r="H64">
        <v>1.7</v>
      </c>
      <c r="J64">
        <v>28.89</v>
      </c>
      <c r="P64">
        <v>-1.18729272789337</v>
      </c>
      <c r="S64">
        <v>2.91984297527876E-4</v>
      </c>
      <c r="T64" s="6"/>
      <c r="U64" s="6"/>
      <c r="X64" t="s">
        <v>9</v>
      </c>
      <c r="Y64">
        <v>5</v>
      </c>
      <c r="Z64" t="s">
        <v>4</v>
      </c>
      <c r="AA64" s="16">
        <v>43657</v>
      </c>
      <c r="AB64">
        <v>192.6313650000011</v>
      </c>
      <c r="AC64" s="4">
        <v>2081.1999999999998</v>
      </c>
      <c r="AE64">
        <v>-1.7235057219277199</v>
      </c>
      <c r="AH64">
        <v>3.7276546733301701E-4</v>
      </c>
    </row>
    <row r="65" spans="1:36" x14ac:dyDescent="0.2">
      <c r="A65" t="s">
        <v>9</v>
      </c>
      <c r="B65">
        <v>1</v>
      </c>
      <c r="C65" s="2">
        <v>43679</v>
      </c>
      <c r="D65" s="13">
        <v>214.62187500000073</v>
      </c>
      <c r="E65" s="13">
        <v>214.64496500000024</v>
      </c>
      <c r="F65" s="4">
        <v>1653.7</v>
      </c>
      <c r="G65" s="4">
        <v>1514.7</v>
      </c>
      <c r="H65">
        <v>8.6999999999999993</v>
      </c>
      <c r="I65">
        <v>8.5</v>
      </c>
      <c r="J65">
        <v>30</v>
      </c>
      <c r="K65">
        <v>30</v>
      </c>
      <c r="L65">
        <v>39.9</v>
      </c>
      <c r="M65">
        <v>40</v>
      </c>
      <c r="N65">
        <v>0.41</v>
      </c>
      <c r="O65" s="4">
        <v>0.57999999999999996</v>
      </c>
      <c r="P65">
        <v>9.4319270243661304</v>
      </c>
      <c r="Q65">
        <v>9.3872956681341719</v>
      </c>
      <c r="R65">
        <v>1.5917516941918466</v>
      </c>
      <c r="S65" s="6">
        <v>-6.1086076930569802E-5</v>
      </c>
      <c r="T65" s="6">
        <v>-1.6320222556860135E-4</v>
      </c>
      <c r="U65" s="6">
        <v>2.2283707519164399E-4</v>
      </c>
      <c r="X65" t="s">
        <v>9</v>
      </c>
      <c r="Y65">
        <v>1</v>
      </c>
      <c r="Z65" t="s">
        <v>4</v>
      </c>
      <c r="AA65" s="16">
        <v>43679</v>
      </c>
      <c r="AB65">
        <v>214.616320000001</v>
      </c>
      <c r="AC65" s="4">
        <v>1668.7</v>
      </c>
      <c r="AD65" s="4">
        <v>1547.7</v>
      </c>
      <c r="AE65">
        <v>-3.9058669794615999</v>
      </c>
      <c r="AF65">
        <v>-3.5531220114476945</v>
      </c>
      <c r="AG65">
        <v>3.3736097928137458</v>
      </c>
      <c r="AH65">
        <v>-2.9160697855741601E-4</v>
      </c>
      <c r="AI65">
        <v>1.0563066879189127E-4</v>
      </c>
      <c r="AJ65">
        <v>3.8943809762044919E-4</v>
      </c>
    </row>
    <row r="66" spans="1:36" x14ac:dyDescent="0.2">
      <c r="A66" t="s">
        <v>9</v>
      </c>
      <c r="B66">
        <v>2</v>
      </c>
      <c r="C66" s="2">
        <v>43679</v>
      </c>
      <c r="D66" s="13">
        <v>214.633679999999</v>
      </c>
      <c r="E66" s="13"/>
      <c r="F66" s="4">
        <v>1578.7</v>
      </c>
      <c r="H66">
        <v>12.2</v>
      </c>
      <c r="J66">
        <v>30</v>
      </c>
      <c r="L66">
        <v>39.700000000000003</v>
      </c>
      <c r="N66">
        <v>0.69</v>
      </c>
      <c r="P66">
        <v>8.1290380270098694</v>
      </c>
      <c r="S66">
        <v>-1.21268105975703E-4</v>
      </c>
      <c r="X66" t="s">
        <v>9</v>
      </c>
      <c r="Y66">
        <v>2</v>
      </c>
      <c r="Z66" t="s">
        <v>4</v>
      </c>
      <c r="AA66" s="16">
        <v>43679</v>
      </c>
      <c r="AB66">
        <v>214.62673500000164</v>
      </c>
      <c r="AC66" s="4">
        <v>1626.2</v>
      </c>
      <c r="AE66">
        <v>-3.19660973244026</v>
      </c>
      <c r="AH66">
        <v>7.3775346655957001E-4</v>
      </c>
    </row>
    <row r="67" spans="1:36" x14ac:dyDescent="0.2">
      <c r="A67" t="s">
        <v>9</v>
      </c>
      <c r="B67">
        <v>3</v>
      </c>
      <c r="C67" s="2">
        <v>43679</v>
      </c>
      <c r="D67" s="13">
        <v>214.64531500000157</v>
      </c>
      <c r="E67" s="13"/>
      <c r="F67" s="4">
        <v>1516.2</v>
      </c>
      <c r="H67">
        <v>5.9</v>
      </c>
      <c r="J67">
        <v>30</v>
      </c>
      <c r="L67">
        <v>38.4</v>
      </c>
      <c r="N67">
        <v>0.59</v>
      </c>
      <c r="P67">
        <v>12.009438718596</v>
      </c>
      <c r="S67">
        <v>-5.5716911839926895E-4</v>
      </c>
      <c r="T67" s="6"/>
      <c r="U67" s="6"/>
      <c r="X67" t="s">
        <v>9</v>
      </c>
      <c r="Y67">
        <v>3</v>
      </c>
      <c r="Z67" t="s">
        <v>4</v>
      </c>
      <c r="AA67" s="16">
        <v>43679</v>
      </c>
      <c r="AB67">
        <v>214.63923499999873</v>
      </c>
      <c r="AC67" s="4">
        <v>1543.7</v>
      </c>
      <c r="AE67">
        <v>-9.0287767098498506</v>
      </c>
      <c r="AH67">
        <v>-1.08161647634494E-4</v>
      </c>
    </row>
    <row r="68" spans="1:36" x14ac:dyDescent="0.2">
      <c r="A68" t="s">
        <v>9</v>
      </c>
      <c r="B68">
        <v>4</v>
      </c>
      <c r="C68" s="2">
        <v>43679</v>
      </c>
      <c r="D68" s="13">
        <v>214.65625</v>
      </c>
      <c r="E68" s="13"/>
      <c r="F68" s="4">
        <v>1456.2</v>
      </c>
      <c r="H68">
        <v>5.7</v>
      </c>
      <c r="J68">
        <v>30</v>
      </c>
      <c r="L68">
        <v>34.5</v>
      </c>
      <c r="N68">
        <v>0.62</v>
      </c>
      <c r="P68">
        <v>8.0991299048885406</v>
      </c>
      <c r="S68" s="6">
        <v>-3.8558435808205502E-5</v>
      </c>
      <c r="T68" s="6"/>
      <c r="U68" s="6"/>
      <c r="X68" t="s">
        <v>9</v>
      </c>
      <c r="Y68">
        <v>4</v>
      </c>
      <c r="Z68" t="s">
        <v>4</v>
      </c>
      <c r="AA68" s="16">
        <v>43679</v>
      </c>
      <c r="AB68">
        <v>214.6503449999982</v>
      </c>
      <c r="AC68" s="4">
        <v>1488.7</v>
      </c>
      <c r="AE68">
        <v>-1.2170982802099899</v>
      </c>
      <c r="AH68">
        <v>5.42092031853984E-5</v>
      </c>
    </row>
    <row r="69" spans="1:36" x14ac:dyDescent="0.2">
      <c r="A69" t="s">
        <v>9</v>
      </c>
      <c r="B69">
        <v>5</v>
      </c>
      <c r="C69" s="2">
        <v>43679</v>
      </c>
      <c r="D69" s="13">
        <v>214.66770499999984</v>
      </c>
      <c r="E69" s="13"/>
      <c r="F69" s="4">
        <v>1368.7</v>
      </c>
      <c r="H69">
        <v>10</v>
      </c>
      <c r="J69">
        <v>30</v>
      </c>
      <c r="L69">
        <v>47.5</v>
      </c>
      <c r="N69">
        <v>0.59</v>
      </c>
      <c r="P69">
        <v>9.2669446658103105</v>
      </c>
      <c r="S69" s="6">
        <v>-3.7929390729259402E-5</v>
      </c>
      <c r="T69" s="6"/>
      <c r="U69" s="6"/>
      <c r="X69" t="s">
        <v>9</v>
      </c>
      <c r="Y69">
        <v>5</v>
      </c>
      <c r="Z69" t="s">
        <v>4</v>
      </c>
      <c r="AA69" s="16">
        <v>43679</v>
      </c>
      <c r="AB69">
        <v>214.66174500000125</v>
      </c>
      <c r="AC69" s="4">
        <v>1411.2</v>
      </c>
      <c r="AE69">
        <v>-0.41725835527677502</v>
      </c>
      <c r="AH69">
        <v>1.35959300406398E-4</v>
      </c>
    </row>
    <row r="70" spans="1:36" x14ac:dyDescent="0.2">
      <c r="A70" t="s">
        <v>9</v>
      </c>
      <c r="B70">
        <v>1</v>
      </c>
      <c r="C70" s="2">
        <v>43686</v>
      </c>
      <c r="D70" s="13">
        <v>221.49357500000042</v>
      </c>
      <c r="E70" s="13">
        <v>221.52003500000137</v>
      </c>
      <c r="F70" s="4">
        <v>1528.7</v>
      </c>
      <c r="G70" s="4">
        <v>921.7</v>
      </c>
      <c r="H70">
        <v>11.3</v>
      </c>
      <c r="I70">
        <v>13.180000000000001</v>
      </c>
      <c r="J70">
        <v>25.56</v>
      </c>
      <c r="K70">
        <v>25.56</v>
      </c>
      <c r="L70">
        <v>55.4</v>
      </c>
      <c r="M70">
        <v>42.1</v>
      </c>
      <c r="N70">
        <v>0.7</v>
      </c>
      <c r="O70" s="4">
        <v>0.74</v>
      </c>
      <c r="P70">
        <v>1.69515865082948</v>
      </c>
      <c r="Q70">
        <v>0.60159296796374073</v>
      </c>
      <c r="R70">
        <v>0.67846528471122769</v>
      </c>
      <c r="S70" s="6">
        <v>-7.1273949458044406E-5</v>
      </c>
      <c r="T70" s="6">
        <v>5.013415409704493E-5</v>
      </c>
      <c r="U70" s="6">
        <v>2.3829621276039633E-4</v>
      </c>
      <c r="X70" t="s">
        <v>9</v>
      </c>
      <c r="Y70">
        <v>1</v>
      </c>
      <c r="Z70" t="s">
        <v>4</v>
      </c>
      <c r="AA70" s="16">
        <v>43686</v>
      </c>
      <c r="AB70">
        <v>221.48703500000192</v>
      </c>
      <c r="AC70" s="4">
        <v>661.2</v>
      </c>
      <c r="AD70" s="4">
        <v>1405.2</v>
      </c>
      <c r="AE70">
        <v>-0.84269227325849905</v>
      </c>
      <c r="AF70">
        <v>-1.7187328099294656</v>
      </c>
      <c r="AG70">
        <v>0.96308513666899465</v>
      </c>
      <c r="AH70">
        <v>-3.2055479635739899E-4</v>
      </c>
      <c r="AI70">
        <v>-1.702672955509916E-4</v>
      </c>
      <c r="AJ70">
        <v>2.0343846105163232E-4</v>
      </c>
    </row>
    <row r="71" spans="1:36" x14ac:dyDescent="0.2">
      <c r="A71" t="s">
        <v>9</v>
      </c>
      <c r="B71">
        <v>2</v>
      </c>
      <c r="C71" s="2">
        <v>43686</v>
      </c>
      <c r="D71" s="13">
        <v>221.5053250000019</v>
      </c>
      <c r="E71" s="13"/>
      <c r="F71" s="4">
        <v>716.2</v>
      </c>
      <c r="H71">
        <v>12.8</v>
      </c>
      <c r="J71">
        <v>25.56</v>
      </c>
      <c r="L71">
        <v>40.299999999999997</v>
      </c>
      <c r="N71">
        <v>0.72</v>
      </c>
      <c r="P71">
        <v>0.50430475213703096</v>
      </c>
      <c r="S71">
        <v>1.14765674646209E-4</v>
      </c>
      <c r="X71" t="s">
        <v>9</v>
      </c>
      <c r="Y71">
        <v>2</v>
      </c>
      <c r="Z71" t="s">
        <v>4</v>
      </c>
      <c r="AA71" s="16">
        <v>43686</v>
      </c>
      <c r="AB71">
        <v>221.49953499999901</v>
      </c>
      <c r="AC71" s="4">
        <v>1708.7</v>
      </c>
      <c r="AE71">
        <v>-1.45235613667501</v>
      </c>
      <c r="AH71">
        <v>-3.5633616361797899E-4</v>
      </c>
    </row>
    <row r="72" spans="1:36" x14ac:dyDescent="0.2">
      <c r="A72" t="s">
        <v>9</v>
      </c>
      <c r="B72">
        <v>3</v>
      </c>
      <c r="C72" s="2">
        <v>43686</v>
      </c>
      <c r="D72" s="13">
        <v>221.51944500000172</v>
      </c>
      <c r="E72" s="13"/>
      <c r="F72" s="4">
        <v>846.2</v>
      </c>
      <c r="H72">
        <v>13.6</v>
      </c>
      <c r="J72">
        <v>25.56</v>
      </c>
      <c r="L72">
        <v>36.4</v>
      </c>
      <c r="N72">
        <v>0.78</v>
      </c>
      <c r="P72">
        <v>-0.13816363423665701</v>
      </c>
      <c r="S72">
        <v>2.8099960286115502E-4</v>
      </c>
      <c r="T72" s="6"/>
      <c r="U72" s="6"/>
      <c r="X72" t="s">
        <v>9</v>
      </c>
      <c r="Y72">
        <v>3</v>
      </c>
      <c r="Z72" t="s">
        <v>4</v>
      </c>
      <c r="AA72" s="16">
        <v>43686</v>
      </c>
      <c r="AB72">
        <v>221.51261499999964</v>
      </c>
      <c r="AC72" s="4">
        <v>1776.2</v>
      </c>
      <c r="AE72">
        <v>-2.0161478575701102</v>
      </c>
      <c r="AH72">
        <v>1.49142915439619E-4</v>
      </c>
    </row>
    <row r="73" spans="1:36" x14ac:dyDescent="0.2">
      <c r="A73" t="s">
        <v>9</v>
      </c>
      <c r="B73">
        <v>4</v>
      </c>
      <c r="C73" s="2">
        <v>43686</v>
      </c>
      <c r="D73" s="13">
        <v>221.53414500000144</v>
      </c>
      <c r="E73" s="13"/>
      <c r="F73" s="4">
        <v>768.7</v>
      </c>
      <c r="H73">
        <v>11.9</v>
      </c>
      <c r="J73">
        <v>25.56</v>
      </c>
      <c r="L73">
        <v>35.1</v>
      </c>
      <c r="N73">
        <v>0.77</v>
      </c>
      <c r="P73">
        <v>0.30634696280693302</v>
      </c>
      <c r="S73">
        <v>2.2744824385616101E-4</v>
      </c>
      <c r="T73" s="6"/>
      <c r="U73" s="6"/>
      <c r="X73" t="s">
        <v>9</v>
      </c>
      <c r="Y73">
        <v>4</v>
      </c>
      <c r="Z73" t="s">
        <v>4</v>
      </c>
      <c r="AA73" s="16">
        <v>43686</v>
      </c>
      <c r="AB73">
        <v>221.52656500000012</v>
      </c>
      <c r="AC73" s="4">
        <v>2211.1999999999998</v>
      </c>
      <c r="AE73">
        <v>-1.03981246167936</v>
      </c>
      <c r="AH73">
        <v>-1.0623162056109E-4</v>
      </c>
    </row>
    <row r="74" spans="1:36" x14ac:dyDescent="0.2">
      <c r="A74" t="s">
        <v>9</v>
      </c>
      <c r="B74">
        <v>5</v>
      </c>
      <c r="C74" s="2">
        <v>43686</v>
      </c>
      <c r="D74" s="13">
        <v>221.54768500000137</v>
      </c>
      <c r="E74" s="13"/>
      <c r="F74" s="4">
        <v>748.7</v>
      </c>
      <c r="H74">
        <v>16.3</v>
      </c>
      <c r="J74">
        <v>25.56</v>
      </c>
      <c r="L74">
        <v>43.3</v>
      </c>
      <c r="N74">
        <v>0.73</v>
      </c>
      <c r="P74">
        <v>0.64031810828191704</v>
      </c>
      <c r="S74">
        <v>-3.0126880142025599E-4</v>
      </c>
      <c r="T74" s="6"/>
      <c r="U74" s="6"/>
      <c r="X74" t="s">
        <v>9</v>
      </c>
      <c r="Y74">
        <v>5</v>
      </c>
      <c r="Z74" t="s">
        <v>4</v>
      </c>
      <c r="AA74" s="16">
        <v>43686</v>
      </c>
      <c r="AB74">
        <v>221.54132000000027</v>
      </c>
      <c r="AC74" s="4">
        <v>668.7</v>
      </c>
      <c r="AE74">
        <v>-3.2426553204643498</v>
      </c>
      <c r="AH74">
        <v>-2.17356812658109E-4</v>
      </c>
    </row>
    <row r="75" spans="1:36" x14ac:dyDescent="0.2">
      <c r="A75" t="s">
        <v>9</v>
      </c>
      <c r="B75">
        <v>1</v>
      </c>
      <c r="C75" s="2">
        <v>43686</v>
      </c>
      <c r="D75" s="13">
        <v>221.61238500000036</v>
      </c>
      <c r="E75" s="13">
        <v>221.63415600000008</v>
      </c>
      <c r="F75" s="4">
        <v>1751.2</v>
      </c>
      <c r="G75" s="4">
        <v>1623.2</v>
      </c>
      <c r="H75">
        <v>15.1</v>
      </c>
      <c r="I75">
        <v>13.98</v>
      </c>
      <c r="J75">
        <v>27.78</v>
      </c>
      <c r="K75">
        <v>27.78</v>
      </c>
      <c r="L75">
        <v>41.8</v>
      </c>
      <c r="M75">
        <v>41.98</v>
      </c>
      <c r="N75">
        <v>0.68</v>
      </c>
      <c r="O75" s="4">
        <v>0.71</v>
      </c>
      <c r="P75">
        <v>-0.32664025205978198</v>
      </c>
      <c r="Q75">
        <v>2.1844332627588474</v>
      </c>
      <c r="R75">
        <v>3.5729433049250732</v>
      </c>
      <c r="S75">
        <v>3.1026496871082101E-4</v>
      </c>
      <c r="T75" s="6">
        <v>-1.453922863616308E-5</v>
      </c>
      <c r="U75" s="6">
        <v>2.2513621763386215E-4</v>
      </c>
      <c r="X75" t="s">
        <v>9</v>
      </c>
      <c r="Y75">
        <v>1</v>
      </c>
      <c r="Z75" t="s">
        <v>4</v>
      </c>
      <c r="AA75" s="16">
        <v>43686</v>
      </c>
      <c r="AB75">
        <v>221.60723499999949</v>
      </c>
      <c r="AC75" s="4">
        <v>1878.7</v>
      </c>
      <c r="AD75" s="4">
        <v>1489.2</v>
      </c>
      <c r="AE75">
        <v>6.9213149552710004E-2</v>
      </c>
      <c r="AF75">
        <v>-1.8678276401932059</v>
      </c>
      <c r="AG75">
        <v>2.3678509340531049</v>
      </c>
      <c r="AH75">
        <v>-2.3019405649246999E-4</v>
      </c>
      <c r="AI75">
        <v>9.4523500474889371E-5</v>
      </c>
      <c r="AJ75">
        <v>2.172933886308183E-4</v>
      </c>
    </row>
    <row r="76" spans="1:36" x14ac:dyDescent="0.2">
      <c r="A76" t="s">
        <v>9</v>
      </c>
      <c r="B76">
        <v>2</v>
      </c>
      <c r="C76" s="2">
        <v>43686</v>
      </c>
      <c r="D76" s="13">
        <v>221.62262499999997</v>
      </c>
      <c r="E76" s="13"/>
      <c r="F76" s="4">
        <v>1743.7</v>
      </c>
      <c r="H76">
        <v>13.5</v>
      </c>
      <c r="J76">
        <v>27.78</v>
      </c>
      <c r="L76">
        <v>36.799999999999997</v>
      </c>
      <c r="N76">
        <v>0.67</v>
      </c>
      <c r="P76">
        <v>0.27996500204588998</v>
      </c>
      <c r="S76" s="6">
        <v>-7.2007790863579395E-5</v>
      </c>
      <c r="X76" t="s">
        <v>9</v>
      </c>
      <c r="Y76">
        <v>2</v>
      </c>
      <c r="Z76" t="s">
        <v>4</v>
      </c>
      <c r="AA76" s="16">
        <v>43686</v>
      </c>
      <c r="AB76">
        <v>221.6174749999991</v>
      </c>
      <c r="AC76" s="4">
        <v>791.2</v>
      </c>
      <c r="AE76">
        <v>1.0315290582130501</v>
      </c>
      <c r="AH76">
        <v>3.4454421642567498E-4</v>
      </c>
    </row>
    <row r="77" spans="1:36" x14ac:dyDescent="0.2">
      <c r="A77" t="s">
        <v>9</v>
      </c>
      <c r="B77">
        <v>3</v>
      </c>
      <c r="C77" s="2">
        <v>43686</v>
      </c>
      <c r="D77" s="13">
        <v>221.63443499999994</v>
      </c>
      <c r="E77" s="13"/>
      <c r="F77" s="4">
        <v>1616.2</v>
      </c>
      <c r="H77">
        <v>13.1</v>
      </c>
      <c r="J77">
        <v>27.78</v>
      </c>
      <c r="L77">
        <v>40.9</v>
      </c>
      <c r="N77">
        <v>0.79</v>
      </c>
      <c r="P77">
        <v>8.4582404765014605</v>
      </c>
      <c r="S77">
        <v>-2.5245418278330801E-4</v>
      </c>
      <c r="T77" s="6"/>
      <c r="U77" s="6"/>
      <c r="X77" t="s">
        <v>9</v>
      </c>
      <c r="Y77">
        <v>3</v>
      </c>
      <c r="Z77" t="s">
        <v>4</v>
      </c>
      <c r="AA77" s="16">
        <v>43686</v>
      </c>
      <c r="AB77">
        <v>221.62841499999922</v>
      </c>
      <c r="AC77" s="4">
        <v>1693.7</v>
      </c>
      <c r="AE77">
        <v>-4.7617014331645704</v>
      </c>
      <c r="AH77">
        <v>1.4224744622045901E-5</v>
      </c>
    </row>
    <row r="78" spans="1:36" x14ac:dyDescent="0.2">
      <c r="A78" t="s">
        <v>9</v>
      </c>
      <c r="B78">
        <v>4</v>
      </c>
      <c r="C78" s="2">
        <v>43686</v>
      </c>
      <c r="D78" s="13">
        <v>221.64560500000152</v>
      </c>
      <c r="E78" s="13"/>
      <c r="F78" s="4">
        <v>1553.7</v>
      </c>
      <c r="H78">
        <v>13.6</v>
      </c>
      <c r="J78">
        <v>27.78</v>
      </c>
      <c r="L78">
        <v>48.6</v>
      </c>
      <c r="N78">
        <v>0.7</v>
      </c>
      <c r="P78">
        <v>1.4035802005779201</v>
      </c>
      <c r="S78">
        <v>-1.6509608188943701E-4</v>
      </c>
      <c r="T78" s="6"/>
      <c r="U78" s="6"/>
      <c r="X78" t="s">
        <v>9</v>
      </c>
      <c r="Y78">
        <v>4</v>
      </c>
      <c r="Z78" t="s">
        <v>4</v>
      </c>
      <c r="AA78" s="16">
        <v>43686</v>
      </c>
      <c r="AB78">
        <v>221.63992999999755</v>
      </c>
      <c r="AC78" s="4">
        <v>1578.7</v>
      </c>
      <c r="AE78">
        <v>-2.77879348859621</v>
      </c>
      <c r="AH78">
        <v>1.3699196086779599E-4</v>
      </c>
    </row>
    <row r="79" spans="1:36" x14ac:dyDescent="0.2">
      <c r="A79" t="s">
        <v>9</v>
      </c>
      <c r="B79">
        <v>5</v>
      </c>
      <c r="C79" s="2">
        <v>43686</v>
      </c>
      <c r="D79" s="13">
        <v>221.65572999999858</v>
      </c>
      <c r="E79" s="13"/>
      <c r="F79" s="4">
        <v>1451.2</v>
      </c>
      <c r="H79">
        <v>14.6</v>
      </c>
      <c r="J79">
        <v>27.78</v>
      </c>
      <c r="L79">
        <v>41.8</v>
      </c>
      <c r="N79">
        <v>0.71</v>
      </c>
      <c r="P79">
        <v>1.1070208867287501</v>
      </c>
      <c r="S79">
        <v>1.06596943644688E-4</v>
      </c>
      <c r="T79" s="6"/>
      <c r="U79" s="6"/>
      <c r="X79" t="s">
        <v>9</v>
      </c>
      <c r="Y79">
        <v>5</v>
      </c>
      <c r="Z79" t="s">
        <v>4</v>
      </c>
      <c r="AA79" s="16">
        <v>43686</v>
      </c>
      <c r="AB79">
        <v>221.6509249999981</v>
      </c>
      <c r="AC79" s="4">
        <v>1503.7</v>
      </c>
      <c r="AE79">
        <v>-2.8993854869710098</v>
      </c>
      <c r="AH79">
        <v>2.0705063695140001E-4</v>
      </c>
    </row>
    <row r="80" spans="1:36" x14ac:dyDescent="0.2">
      <c r="A80" t="s">
        <v>9</v>
      </c>
      <c r="B80">
        <v>1</v>
      </c>
      <c r="C80" s="2">
        <v>43691</v>
      </c>
      <c r="D80" s="13">
        <v>226.52395500000057</v>
      </c>
      <c r="E80" s="13">
        <v>226.5451740000004</v>
      </c>
      <c r="F80" s="4">
        <v>1058.7</v>
      </c>
      <c r="G80" s="4">
        <v>1350.7</v>
      </c>
      <c r="H80">
        <v>6</v>
      </c>
      <c r="I80">
        <v>5.0600000000000005</v>
      </c>
      <c r="J80">
        <v>21.11</v>
      </c>
      <c r="K80">
        <v>23.107999999999997</v>
      </c>
      <c r="L80">
        <v>43.5</v>
      </c>
      <c r="M80">
        <v>39.200000000000003</v>
      </c>
      <c r="N80">
        <v>0.69</v>
      </c>
      <c r="O80" s="4">
        <v>0.70600000000000007</v>
      </c>
      <c r="P80">
        <v>12.0847397177644</v>
      </c>
      <c r="Q80">
        <v>11.628930542677031</v>
      </c>
      <c r="R80">
        <v>2.6152330479896695</v>
      </c>
      <c r="S80">
        <v>-3.0122533984098501E-4</v>
      </c>
      <c r="T80" s="6">
        <v>-4.82902447190275E-4</v>
      </c>
      <c r="U80" s="6">
        <v>1.5054663107035227E-4</v>
      </c>
      <c r="X80" t="s">
        <v>9</v>
      </c>
      <c r="Y80">
        <v>1</v>
      </c>
      <c r="Z80" t="s">
        <v>4</v>
      </c>
      <c r="AA80" s="16">
        <v>43691</v>
      </c>
      <c r="AB80">
        <v>226.51817500000107</v>
      </c>
      <c r="AC80" s="4">
        <v>956.2</v>
      </c>
      <c r="AD80" s="4">
        <v>1161.7</v>
      </c>
      <c r="AE80">
        <v>-11.3610398355779</v>
      </c>
      <c r="AF80">
        <v>-8.6107347165270323</v>
      </c>
      <c r="AG80">
        <v>5.8914513482815369</v>
      </c>
      <c r="AH80">
        <v>-4.6501906772565798E-4</v>
      </c>
      <c r="AI80">
        <v>-4.2407039600070816E-4</v>
      </c>
      <c r="AJ80">
        <v>1.3135625624244795E-4</v>
      </c>
    </row>
    <row r="81" spans="1:36" x14ac:dyDescent="0.2">
      <c r="A81" t="s">
        <v>9</v>
      </c>
      <c r="B81">
        <v>2</v>
      </c>
      <c r="C81" s="2">
        <v>43691</v>
      </c>
      <c r="D81" s="13">
        <v>226.53472500000134</v>
      </c>
      <c r="E81" s="13"/>
      <c r="F81" s="4">
        <v>1153.7</v>
      </c>
      <c r="H81">
        <v>4.0999999999999996</v>
      </c>
      <c r="J81">
        <v>23.33</v>
      </c>
      <c r="L81">
        <v>42.3</v>
      </c>
      <c r="N81">
        <v>0.73</v>
      </c>
      <c r="P81">
        <v>9.2813410528623006</v>
      </c>
      <c r="S81">
        <v>-5.0943292551713004E-4</v>
      </c>
      <c r="X81" t="s">
        <v>9</v>
      </c>
      <c r="Y81">
        <v>2</v>
      </c>
      <c r="Z81" t="s">
        <v>4</v>
      </c>
      <c r="AA81" s="16">
        <v>43691</v>
      </c>
      <c r="AB81">
        <v>226.52916499999992</v>
      </c>
      <c r="AC81" s="4">
        <v>1021.2</v>
      </c>
      <c r="AE81">
        <v>-7.2972003437434001</v>
      </c>
      <c r="AH81">
        <v>-2.6614275636840403E-4</v>
      </c>
    </row>
    <row r="82" spans="1:36" x14ac:dyDescent="0.2">
      <c r="A82" t="s">
        <v>9</v>
      </c>
      <c r="B82">
        <v>3</v>
      </c>
      <c r="C82" s="2">
        <v>43691</v>
      </c>
      <c r="D82" s="13">
        <v>226.54525500000091</v>
      </c>
      <c r="E82" s="13"/>
      <c r="F82" s="4">
        <v>1486.2</v>
      </c>
      <c r="H82">
        <v>5.2</v>
      </c>
      <c r="J82">
        <v>23.33</v>
      </c>
      <c r="L82">
        <v>34.200000000000003</v>
      </c>
      <c r="N82">
        <v>0.73</v>
      </c>
      <c r="P82">
        <v>11.550168716430001</v>
      </c>
      <c r="S82">
        <v>-6.9179510205360497E-4</v>
      </c>
      <c r="T82" s="6"/>
      <c r="U82" s="6"/>
      <c r="X82" t="s">
        <v>9</v>
      </c>
      <c r="Y82">
        <v>3</v>
      </c>
      <c r="Z82" t="s">
        <v>4</v>
      </c>
      <c r="AA82" s="16">
        <v>43691</v>
      </c>
      <c r="AB82">
        <v>226.53981500000009</v>
      </c>
      <c r="AC82" s="4">
        <v>896.2</v>
      </c>
      <c r="AE82">
        <v>-16.754532314158698</v>
      </c>
      <c r="AH82">
        <v>-6.2043940391450804E-4</v>
      </c>
    </row>
    <row r="83" spans="1:36" x14ac:dyDescent="0.2">
      <c r="A83" t="s">
        <v>9</v>
      </c>
      <c r="B83">
        <v>4</v>
      </c>
      <c r="C83" s="2">
        <v>43691</v>
      </c>
      <c r="D83" s="13">
        <v>226.55561500000113</v>
      </c>
      <c r="E83" s="13"/>
      <c r="F83" s="4">
        <v>1241.2</v>
      </c>
      <c r="H83">
        <v>4.2</v>
      </c>
      <c r="J83">
        <v>23.33</v>
      </c>
      <c r="L83">
        <v>34.700000000000003</v>
      </c>
      <c r="N83">
        <v>0.66</v>
      </c>
      <c r="P83">
        <v>9.4764384310187495</v>
      </c>
      <c r="S83">
        <v>-5.3305623476413095E-4</v>
      </c>
      <c r="T83" s="6"/>
      <c r="U83" s="6"/>
      <c r="X83" t="s">
        <v>9</v>
      </c>
      <c r="Y83">
        <v>4</v>
      </c>
      <c r="Z83" t="s">
        <v>4</v>
      </c>
      <c r="AA83" s="16">
        <v>43691</v>
      </c>
      <c r="AB83">
        <v>226.55011500000182</v>
      </c>
      <c r="AC83" s="4">
        <v>1128.7</v>
      </c>
      <c r="AE83">
        <v>-0.87662981692943998</v>
      </c>
      <c r="AH83">
        <v>-4.02919305531102E-4</v>
      </c>
    </row>
    <row r="84" spans="1:36" x14ac:dyDescent="0.2">
      <c r="A84" t="s">
        <v>9</v>
      </c>
      <c r="B84">
        <v>5</v>
      </c>
      <c r="C84" s="2">
        <v>43691</v>
      </c>
      <c r="D84" s="13">
        <v>226.56631999999809</v>
      </c>
      <c r="E84" s="13"/>
      <c r="F84" s="4">
        <v>1813.7</v>
      </c>
      <c r="H84">
        <v>5.8</v>
      </c>
      <c r="J84">
        <v>24.44</v>
      </c>
      <c r="L84">
        <v>41.3</v>
      </c>
      <c r="N84">
        <v>0.72</v>
      </c>
      <c r="P84">
        <v>15.7519647953097</v>
      </c>
      <c r="S84">
        <v>-3.7900263377552401E-4</v>
      </c>
      <c r="T84" s="6"/>
      <c r="U84" s="6"/>
      <c r="X84" t="s">
        <v>9</v>
      </c>
      <c r="Y84">
        <v>5</v>
      </c>
      <c r="Z84" t="s">
        <v>4</v>
      </c>
      <c r="AA84" s="16">
        <v>43691</v>
      </c>
      <c r="AB84">
        <v>226.56087999999727</v>
      </c>
      <c r="AC84" s="4">
        <v>1806.2</v>
      </c>
      <c r="AE84">
        <v>-6.7642712722257299</v>
      </c>
      <c r="AH84">
        <v>-3.6583144646386902E-4</v>
      </c>
    </row>
    <row r="85" spans="1:36" x14ac:dyDescent="0.2">
      <c r="A85" t="s">
        <v>9</v>
      </c>
      <c r="B85">
        <v>1</v>
      </c>
      <c r="C85" s="2">
        <v>43691</v>
      </c>
      <c r="D85" s="13">
        <v>226.6087950000001</v>
      </c>
      <c r="E85" s="13">
        <v>226.63182800000067</v>
      </c>
      <c r="F85" s="4">
        <v>1728.7</v>
      </c>
      <c r="G85" s="4">
        <v>1552.7</v>
      </c>
      <c r="H85">
        <v>5.2</v>
      </c>
      <c r="I85">
        <v>4.78</v>
      </c>
      <c r="J85">
        <v>26.11</v>
      </c>
      <c r="K85">
        <v>27.222000000000001</v>
      </c>
      <c r="L85">
        <v>41.4</v>
      </c>
      <c r="M85">
        <v>37.44</v>
      </c>
      <c r="N85">
        <v>0.65</v>
      </c>
      <c r="O85" s="4">
        <v>0.67000000000000015</v>
      </c>
      <c r="P85">
        <v>13.5563457734204</v>
      </c>
      <c r="Q85">
        <v>9.9674713975591072</v>
      </c>
      <c r="R85">
        <v>6.4943447328121549</v>
      </c>
      <c r="S85">
        <v>-2.3789104894257799E-4</v>
      </c>
      <c r="T85" s="6">
        <v>-3.1185120526100799E-4</v>
      </c>
      <c r="U85" s="6">
        <v>1.5359533176039733E-4</v>
      </c>
      <c r="X85" t="s">
        <v>9</v>
      </c>
      <c r="Y85">
        <v>1</v>
      </c>
      <c r="Z85" t="s">
        <v>4</v>
      </c>
      <c r="AA85" s="16">
        <v>43691</v>
      </c>
      <c r="AB85">
        <v>226.60335499999928</v>
      </c>
      <c r="AC85" s="4">
        <v>1746.2</v>
      </c>
      <c r="AD85" s="4">
        <v>1606.7</v>
      </c>
      <c r="AE85">
        <v>-7.53754468545017</v>
      </c>
      <c r="AF85">
        <v>-3.4659218337445616</v>
      </c>
      <c r="AG85">
        <v>4.4768828349320771</v>
      </c>
      <c r="AH85">
        <v>1.79160090052472E-5</v>
      </c>
      <c r="AI85">
        <v>-2.8658553862304336E-4</v>
      </c>
      <c r="AJ85">
        <v>2.085563952588275E-4</v>
      </c>
    </row>
    <row r="86" spans="1:36" x14ac:dyDescent="0.2">
      <c r="A86" t="s">
        <v>9</v>
      </c>
      <c r="B86">
        <v>2</v>
      </c>
      <c r="C86" s="2">
        <v>43691</v>
      </c>
      <c r="D86" s="13">
        <v>226.62031500000012</v>
      </c>
      <c r="E86" s="13"/>
      <c r="F86" s="4">
        <v>1583.7</v>
      </c>
      <c r="H86">
        <v>5.0999999999999996</v>
      </c>
      <c r="J86">
        <v>26.67</v>
      </c>
      <c r="L86">
        <v>32.9</v>
      </c>
      <c r="N86">
        <v>0.67</v>
      </c>
      <c r="P86">
        <v>11.2004338721294</v>
      </c>
      <c r="S86">
        <v>-1.3035079886346499E-4</v>
      </c>
      <c r="X86" t="s">
        <v>9</v>
      </c>
      <c r="Y86">
        <v>2</v>
      </c>
      <c r="Z86" t="s">
        <v>4</v>
      </c>
      <c r="AA86" s="16">
        <v>43691</v>
      </c>
      <c r="AB86">
        <v>226.61510500000077</v>
      </c>
      <c r="AC86" s="4">
        <v>1636.2</v>
      </c>
      <c r="AE86">
        <v>-2.9251101664060002</v>
      </c>
      <c r="AH86">
        <v>-1.57318674140848E-4</v>
      </c>
    </row>
    <row r="87" spans="1:36" x14ac:dyDescent="0.2">
      <c r="A87" t="s">
        <v>9</v>
      </c>
      <c r="B87">
        <v>3</v>
      </c>
      <c r="C87" s="2">
        <v>43691</v>
      </c>
      <c r="D87" s="13">
        <v>226.6307850000012</v>
      </c>
      <c r="E87" s="13"/>
      <c r="F87" s="4">
        <v>1508.7</v>
      </c>
      <c r="H87">
        <v>6.4</v>
      </c>
      <c r="J87">
        <v>27.22</v>
      </c>
      <c r="L87">
        <v>38.4</v>
      </c>
      <c r="N87">
        <v>0.67</v>
      </c>
      <c r="P87">
        <v>14.045200963527</v>
      </c>
      <c r="S87">
        <v>-5.4457753567041002E-4</v>
      </c>
      <c r="T87" s="6"/>
      <c r="U87" s="6"/>
      <c r="X87" t="s">
        <v>9</v>
      </c>
      <c r="Y87">
        <v>3</v>
      </c>
      <c r="Z87" t="s">
        <v>4</v>
      </c>
      <c r="AA87" s="16">
        <v>43691</v>
      </c>
      <c r="AB87">
        <v>226.62534500000038</v>
      </c>
      <c r="AC87" s="4">
        <v>1618.7</v>
      </c>
      <c r="AE87">
        <v>-7.56979738547731</v>
      </c>
      <c r="AH87">
        <v>-4.5460432229885102E-4</v>
      </c>
    </row>
    <row r="88" spans="1:36" x14ac:dyDescent="0.2">
      <c r="A88" t="s">
        <v>9</v>
      </c>
      <c r="B88">
        <v>4</v>
      </c>
      <c r="C88" s="2">
        <v>43691</v>
      </c>
      <c r="D88" s="13">
        <v>226.64733500000148</v>
      </c>
      <c r="E88" s="13"/>
      <c r="F88" s="4">
        <v>1488.7</v>
      </c>
      <c r="H88">
        <v>4.4000000000000004</v>
      </c>
      <c r="J88">
        <v>27.78</v>
      </c>
      <c r="L88">
        <v>29.8</v>
      </c>
      <c r="N88">
        <v>0.7</v>
      </c>
      <c r="P88">
        <v>-1.4850547972097601</v>
      </c>
      <c r="S88">
        <v>-3.5090978204853498E-4</v>
      </c>
      <c r="T88" s="6"/>
      <c r="U88" s="6"/>
      <c r="X88" t="s">
        <v>9</v>
      </c>
      <c r="Y88">
        <v>4</v>
      </c>
      <c r="Z88" t="s">
        <v>4</v>
      </c>
      <c r="AA88" s="16">
        <v>43691</v>
      </c>
      <c r="AB88">
        <v>226.63593499999843</v>
      </c>
      <c r="AC88" s="4">
        <v>1538.7</v>
      </c>
      <c r="AE88">
        <v>3.29364131208182</v>
      </c>
      <c r="AH88">
        <v>-3.9698568846179699E-4</v>
      </c>
    </row>
    <row r="89" spans="1:36" x14ac:dyDescent="0.2">
      <c r="A89" t="s">
        <v>9</v>
      </c>
      <c r="B89">
        <v>5</v>
      </c>
      <c r="C89" s="2">
        <v>43691</v>
      </c>
      <c r="D89" s="13">
        <v>226.6519100000005</v>
      </c>
      <c r="E89" s="13"/>
      <c r="F89" s="4">
        <v>1453.7</v>
      </c>
      <c r="H89">
        <v>2.8</v>
      </c>
      <c r="J89">
        <v>28.33</v>
      </c>
      <c r="L89">
        <v>44.7</v>
      </c>
      <c r="N89">
        <v>0.66</v>
      </c>
      <c r="P89">
        <v>12.520431175928501</v>
      </c>
      <c r="S89">
        <v>-2.95526860780052E-4</v>
      </c>
      <c r="T89" s="6"/>
      <c r="U89" s="6"/>
      <c r="X89" t="s">
        <v>9</v>
      </c>
      <c r="Y89">
        <v>5</v>
      </c>
      <c r="Z89" t="s">
        <v>4</v>
      </c>
      <c r="AA89" s="16">
        <v>43691</v>
      </c>
      <c r="AB89">
        <v>226.64606500000082</v>
      </c>
      <c r="AC89" s="4">
        <v>1493.7</v>
      </c>
      <c r="AE89">
        <v>-2.5907982434711498</v>
      </c>
      <c r="AH89">
        <v>-4.4193501721896802E-4</v>
      </c>
    </row>
    <row r="90" spans="1:36" x14ac:dyDescent="0.2">
      <c r="A90" t="s">
        <v>9</v>
      </c>
      <c r="B90">
        <v>1</v>
      </c>
      <c r="C90" s="2">
        <v>43699</v>
      </c>
      <c r="D90" s="13">
        <v>234.49242000000231</v>
      </c>
      <c r="E90" s="13">
        <v>234.51753500000049</v>
      </c>
      <c r="F90" s="4">
        <v>1818.7</v>
      </c>
      <c r="G90" s="4">
        <v>1699.7</v>
      </c>
      <c r="H90">
        <v>20.399999999999999</v>
      </c>
      <c r="I90">
        <v>19.260000000000002</v>
      </c>
      <c r="J90">
        <v>28.33</v>
      </c>
      <c r="K90">
        <v>28.329999999999995</v>
      </c>
      <c r="L90">
        <v>35</v>
      </c>
      <c r="M90">
        <v>39.72</v>
      </c>
      <c r="N90">
        <v>0.78</v>
      </c>
      <c r="O90" s="4">
        <v>0.79200000000000004</v>
      </c>
      <c r="P90">
        <v>22.0993955100782</v>
      </c>
      <c r="Q90">
        <v>21.441492198383521</v>
      </c>
      <c r="R90">
        <v>3.5294646490594199</v>
      </c>
      <c r="S90">
        <v>-2.5693979083534797E-4</v>
      </c>
      <c r="T90" s="6">
        <v>-1.6605147944006053E-4</v>
      </c>
      <c r="U90" s="6">
        <v>1.2600015438289931E-4</v>
      </c>
      <c r="X90" t="s">
        <v>9</v>
      </c>
      <c r="Y90">
        <v>1</v>
      </c>
      <c r="Z90" t="s">
        <v>4</v>
      </c>
      <c r="AA90" s="16">
        <v>43699</v>
      </c>
      <c r="AB90">
        <v>234.48663500000112</v>
      </c>
      <c r="AC90" s="4">
        <v>1438.7</v>
      </c>
      <c r="AD90" s="4">
        <v>1498.7</v>
      </c>
      <c r="AE90">
        <v>-9.9426586938529002</v>
      </c>
      <c r="AF90">
        <v>-8.116927266630011</v>
      </c>
      <c r="AG90">
        <v>3.9223801975577359</v>
      </c>
      <c r="AH90">
        <v>-1.5015933594161399E-4</v>
      </c>
      <c r="AI90">
        <v>-7.3114221608332615E-5</v>
      </c>
      <c r="AJ90">
        <v>9.7099899484901438E-5</v>
      </c>
    </row>
    <row r="91" spans="1:36" x14ac:dyDescent="0.2">
      <c r="A91" t="s">
        <v>9</v>
      </c>
      <c r="B91">
        <v>2</v>
      </c>
      <c r="C91" s="2">
        <v>43699</v>
      </c>
      <c r="D91" s="13">
        <v>234.50596000000223</v>
      </c>
      <c r="E91" s="13"/>
      <c r="F91" s="4">
        <v>1501.2</v>
      </c>
      <c r="H91">
        <v>18.600000000000001</v>
      </c>
      <c r="J91">
        <v>28.33</v>
      </c>
      <c r="L91">
        <v>46.1</v>
      </c>
      <c r="N91">
        <v>0.8</v>
      </c>
      <c r="P91">
        <v>21.1593983651948</v>
      </c>
      <c r="S91" s="6">
        <v>-9.1352276533113007E-5</v>
      </c>
      <c r="X91" t="s">
        <v>9</v>
      </c>
      <c r="Y91">
        <v>2</v>
      </c>
      <c r="Z91" t="s">
        <v>4</v>
      </c>
      <c r="AA91" s="16">
        <v>43699</v>
      </c>
      <c r="AB91">
        <v>234.49924499999906</v>
      </c>
      <c r="AC91" s="4">
        <v>1646.2</v>
      </c>
      <c r="AE91">
        <v>-7.0873289135956803</v>
      </c>
      <c r="AH91">
        <v>-1.9055747459286601E-4</v>
      </c>
    </row>
    <row r="92" spans="1:36" x14ac:dyDescent="0.2">
      <c r="A92" t="s">
        <v>9</v>
      </c>
      <c r="B92">
        <v>3</v>
      </c>
      <c r="C92" s="2">
        <v>43699</v>
      </c>
      <c r="D92" s="13">
        <v>234.51793999999791</v>
      </c>
      <c r="E92" s="13"/>
      <c r="F92" s="4">
        <v>1523.7</v>
      </c>
      <c r="H92">
        <v>17.899999999999999</v>
      </c>
      <c r="J92">
        <v>28.33</v>
      </c>
      <c r="L92">
        <v>37.9</v>
      </c>
      <c r="N92">
        <v>0.82</v>
      </c>
      <c r="P92">
        <v>20.615161930296399</v>
      </c>
      <c r="S92" s="6">
        <v>-6.8069918790615997E-6</v>
      </c>
      <c r="T92" s="6"/>
      <c r="U92" s="6"/>
      <c r="X92" t="s">
        <v>9</v>
      </c>
      <c r="Y92">
        <v>3</v>
      </c>
      <c r="Z92" t="s">
        <v>4</v>
      </c>
      <c r="AA92" s="16">
        <v>43699</v>
      </c>
      <c r="AB92">
        <v>234.51180499999828</v>
      </c>
      <c r="AC92" s="4">
        <v>1466.2</v>
      </c>
      <c r="AE92">
        <v>-13.9264142695723</v>
      </c>
      <c r="AH92">
        <v>4.7400251458180498E-5</v>
      </c>
    </row>
    <row r="93" spans="1:36" x14ac:dyDescent="0.2">
      <c r="A93" t="s">
        <v>9</v>
      </c>
      <c r="B93">
        <v>4</v>
      </c>
      <c r="C93" s="2">
        <v>43699</v>
      </c>
      <c r="D93" s="13">
        <v>234.53032499999972</v>
      </c>
      <c r="E93" s="13"/>
      <c r="F93" s="4">
        <v>1908.7</v>
      </c>
      <c r="H93">
        <v>18.8</v>
      </c>
      <c r="J93">
        <v>28.33</v>
      </c>
      <c r="L93">
        <v>49.1</v>
      </c>
      <c r="N93">
        <v>0.79</v>
      </c>
      <c r="P93">
        <v>16.740711437504601</v>
      </c>
      <c r="S93">
        <v>-1.5369749041825199E-4</v>
      </c>
      <c r="T93" s="6"/>
      <c r="U93" s="6"/>
      <c r="X93" t="s">
        <v>9</v>
      </c>
      <c r="Y93">
        <v>4</v>
      </c>
      <c r="Z93" t="s">
        <v>4</v>
      </c>
      <c r="AA93" s="16">
        <v>43699</v>
      </c>
      <c r="AB93">
        <v>234.524304999999</v>
      </c>
      <c r="AC93" s="4">
        <v>2003.7</v>
      </c>
      <c r="AE93">
        <v>-3.9253962074964202</v>
      </c>
      <c r="AH93">
        <v>-1.7089314089776799E-5</v>
      </c>
    </row>
    <row r="94" spans="1:36" x14ac:dyDescent="0.2">
      <c r="A94" t="s">
        <v>9</v>
      </c>
      <c r="B94">
        <v>5</v>
      </c>
      <c r="C94" s="2">
        <v>43699</v>
      </c>
      <c r="D94" s="13">
        <v>234.54103000000032</v>
      </c>
      <c r="E94" s="13"/>
      <c r="F94" s="4">
        <v>1746.2</v>
      </c>
      <c r="H94">
        <v>20.6</v>
      </c>
      <c r="J94">
        <v>28.33</v>
      </c>
      <c r="L94">
        <v>30.5</v>
      </c>
      <c r="N94">
        <v>0.77</v>
      </c>
      <c r="P94">
        <v>26.592793748843601</v>
      </c>
      <c r="S94">
        <v>-3.2146084753452799E-4</v>
      </c>
      <c r="T94" s="6"/>
      <c r="U94" s="6"/>
      <c r="X94" t="s">
        <v>9</v>
      </c>
      <c r="Y94">
        <v>5</v>
      </c>
      <c r="Z94" t="s">
        <v>4</v>
      </c>
      <c r="AA94" s="16">
        <v>43699</v>
      </c>
      <c r="AB94">
        <v>234.53576500000054</v>
      </c>
      <c r="AC94" s="4">
        <v>938.7</v>
      </c>
      <c r="AE94">
        <v>-5.7028382486327596</v>
      </c>
      <c r="AH94">
        <v>-5.5165234875586799E-5</v>
      </c>
    </row>
    <row r="95" spans="1:36" x14ac:dyDescent="0.2">
      <c r="A95" t="s">
        <v>9</v>
      </c>
      <c r="B95">
        <v>1</v>
      </c>
      <c r="C95" s="2">
        <v>43699</v>
      </c>
      <c r="D95" s="13">
        <v>234.58750000000146</v>
      </c>
      <c r="E95" s="13">
        <v>234.61076300000059</v>
      </c>
      <c r="F95" s="4">
        <v>388.7</v>
      </c>
      <c r="G95" s="4">
        <v>363.20000000000005</v>
      </c>
      <c r="H95">
        <v>18.8</v>
      </c>
      <c r="I95">
        <v>17.52</v>
      </c>
      <c r="J95">
        <v>28.89</v>
      </c>
      <c r="K95">
        <v>27.446000000000005</v>
      </c>
      <c r="L95">
        <v>36.1</v>
      </c>
      <c r="M95">
        <v>40.119999999999997</v>
      </c>
      <c r="N95">
        <v>0.81</v>
      </c>
      <c r="O95" s="4">
        <v>0.80999999999999994</v>
      </c>
      <c r="P95">
        <v>19.3380390588385</v>
      </c>
      <c r="Q95">
        <v>18.834465293704163</v>
      </c>
      <c r="R95">
        <v>2.4683821441201559</v>
      </c>
      <c r="S95">
        <v>-1.0863170105962401E-4</v>
      </c>
      <c r="T95" s="6">
        <v>-1.655074286044631E-4</v>
      </c>
      <c r="U95" s="6">
        <v>8.8820643789669015E-5</v>
      </c>
      <c r="X95" t="s">
        <v>9</v>
      </c>
      <c r="Y95">
        <v>1</v>
      </c>
      <c r="Z95" t="s">
        <v>4</v>
      </c>
      <c r="AA95" s="16">
        <v>43699</v>
      </c>
      <c r="AB95">
        <v>234.5824649999995</v>
      </c>
      <c r="AC95" s="4">
        <v>393.7</v>
      </c>
      <c r="AD95" s="4">
        <v>453.2</v>
      </c>
      <c r="AE95">
        <v>-0.425603045218998</v>
      </c>
      <c r="AF95">
        <v>2.6738922372147145</v>
      </c>
      <c r="AG95">
        <v>7.9263293081733179</v>
      </c>
      <c r="AH95">
        <v>-1.9283979487645798E-5</v>
      </c>
      <c r="AI95">
        <v>-1.3126168675747814E-4</v>
      </c>
      <c r="AJ95">
        <v>6.5588219972673211E-5</v>
      </c>
    </row>
    <row r="96" spans="1:36" x14ac:dyDescent="0.2">
      <c r="A96" t="s">
        <v>9</v>
      </c>
      <c r="B96">
        <v>2</v>
      </c>
      <c r="C96" s="2">
        <v>43699</v>
      </c>
      <c r="D96" s="13">
        <v>234.5989550000013</v>
      </c>
      <c r="E96" s="13"/>
      <c r="F96" s="4">
        <v>591.20000000000005</v>
      </c>
      <c r="H96">
        <v>16.5</v>
      </c>
      <c r="J96">
        <v>28.89</v>
      </c>
      <c r="L96">
        <v>38.9</v>
      </c>
      <c r="N96">
        <v>0.81</v>
      </c>
      <c r="P96">
        <v>19.095179606714201</v>
      </c>
      <c r="S96">
        <v>-1.3844374695477099E-4</v>
      </c>
      <c r="X96" t="s">
        <v>9</v>
      </c>
      <c r="Y96">
        <v>2</v>
      </c>
      <c r="Z96" t="s">
        <v>4</v>
      </c>
      <c r="AA96" s="16">
        <v>43699</v>
      </c>
      <c r="AB96">
        <v>234.59328499999901</v>
      </c>
      <c r="AC96" s="4">
        <v>343.7</v>
      </c>
      <c r="AE96">
        <v>4.9271048191514604</v>
      </c>
      <c r="AH96">
        <v>-1.5333015274311801E-4</v>
      </c>
    </row>
    <row r="97" spans="1:36" x14ac:dyDescent="0.2">
      <c r="A97" t="s">
        <v>9</v>
      </c>
      <c r="B97">
        <v>3</v>
      </c>
      <c r="C97" s="2">
        <v>43699</v>
      </c>
      <c r="D97" s="13">
        <v>234.61076500000127</v>
      </c>
      <c r="E97" s="13"/>
      <c r="F97" s="4">
        <v>468.7</v>
      </c>
      <c r="H97">
        <v>17.600000000000001</v>
      </c>
      <c r="J97">
        <v>28.89</v>
      </c>
      <c r="L97">
        <v>38.299999999999997</v>
      </c>
      <c r="N97">
        <v>0.81</v>
      </c>
      <c r="P97">
        <v>20.384210294885602</v>
      </c>
      <c r="S97">
        <v>-2.9937542222239599E-4</v>
      </c>
      <c r="T97" s="6"/>
      <c r="U97" s="6"/>
      <c r="X97" t="s">
        <v>9</v>
      </c>
      <c r="Y97">
        <v>3</v>
      </c>
      <c r="Z97" t="s">
        <v>4</v>
      </c>
      <c r="AA97" s="16">
        <v>43699</v>
      </c>
      <c r="AB97">
        <v>234.60491999999795</v>
      </c>
      <c r="AC97" s="4">
        <v>798.7</v>
      </c>
      <c r="AE97">
        <v>-7.8578354602821303</v>
      </c>
      <c r="AH97">
        <v>-1.7481076754838701E-4</v>
      </c>
    </row>
    <row r="98" spans="1:36" x14ac:dyDescent="0.2">
      <c r="A98" t="s">
        <v>9</v>
      </c>
      <c r="B98">
        <v>4</v>
      </c>
      <c r="C98" s="2">
        <v>43699</v>
      </c>
      <c r="D98" s="13">
        <v>234.62233500000002</v>
      </c>
      <c r="E98" s="13"/>
      <c r="F98" s="4">
        <v>221.2</v>
      </c>
      <c r="H98">
        <v>16.7</v>
      </c>
      <c r="J98">
        <v>28.89</v>
      </c>
      <c r="L98">
        <v>44.7</v>
      </c>
      <c r="N98">
        <v>0.78</v>
      </c>
      <c r="P98">
        <v>14.597594939904001</v>
      </c>
      <c r="S98">
        <v>-2.0543560251210901E-4</v>
      </c>
      <c r="T98" s="6"/>
      <c r="U98" s="6"/>
      <c r="X98" t="s">
        <v>9</v>
      </c>
      <c r="Y98">
        <v>4</v>
      </c>
      <c r="Z98" t="s">
        <v>4</v>
      </c>
      <c r="AA98" s="16">
        <v>43699</v>
      </c>
      <c r="AB98">
        <v>234.61649499999839</v>
      </c>
      <c r="AC98" s="4">
        <v>526.20000000000005</v>
      </c>
      <c r="AE98">
        <v>2.8412989965135398</v>
      </c>
      <c r="AH98">
        <v>-1.7903932381524299E-4</v>
      </c>
    </row>
    <row r="99" spans="1:36" x14ac:dyDescent="0.2">
      <c r="A99" t="s">
        <v>9</v>
      </c>
      <c r="B99">
        <v>5</v>
      </c>
      <c r="C99" s="2">
        <v>43699</v>
      </c>
      <c r="D99" s="13">
        <v>234.6342599999989</v>
      </c>
      <c r="E99" s="13"/>
      <c r="F99" s="4">
        <v>146.19999999999999</v>
      </c>
      <c r="H99">
        <v>18</v>
      </c>
      <c r="J99">
        <v>21.67</v>
      </c>
      <c r="L99">
        <v>42.6</v>
      </c>
      <c r="N99">
        <v>0.84</v>
      </c>
      <c r="P99">
        <v>20.757302568178499</v>
      </c>
      <c r="S99" s="6">
        <v>-7.5650670273415502E-5</v>
      </c>
      <c r="T99" s="6"/>
      <c r="U99" s="6"/>
      <c r="X99" t="s">
        <v>9</v>
      </c>
      <c r="Y99">
        <v>5</v>
      </c>
      <c r="Z99" t="s">
        <v>4</v>
      </c>
      <c r="AA99" s="16">
        <v>43699</v>
      </c>
      <c r="AB99">
        <v>234.62893500000064</v>
      </c>
      <c r="AC99" s="4">
        <v>203.7</v>
      </c>
      <c r="AE99">
        <v>13.8844958759097</v>
      </c>
      <c r="AH99">
        <v>-1.2984421019299701E-4</v>
      </c>
    </row>
    <row r="100" spans="1:36" x14ac:dyDescent="0.2">
      <c r="A100" t="s">
        <v>9</v>
      </c>
      <c r="B100">
        <v>1</v>
      </c>
      <c r="C100" s="2">
        <v>43703</v>
      </c>
      <c r="D100" s="13">
        <v>238.46961499999816</v>
      </c>
      <c r="E100" s="13">
        <v>238.49260399999986</v>
      </c>
      <c r="F100" s="4">
        <v>1601.2</v>
      </c>
      <c r="G100" s="4">
        <v>1677.7</v>
      </c>
      <c r="H100">
        <v>14.3</v>
      </c>
      <c r="I100">
        <v>13.74</v>
      </c>
      <c r="J100">
        <v>21.11</v>
      </c>
      <c r="K100">
        <v>21.222000000000001</v>
      </c>
      <c r="L100">
        <v>37.799999999999997</v>
      </c>
      <c r="M100">
        <v>37.739999999999995</v>
      </c>
      <c r="N100">
        <v>0.79</v>
      </c>
      <c r="O100" s="4">
        <v>0.79800000000000004</v>
      </c>
      <c r="P100">
        <v>12.1891205268184</v>
      </c>
      <c r="Q100">
        <v>11.9893198680937</v>
      </c>
      <c r="R100">
        <v>0.64723928960141286</v>
      </c>
      <c r="S100">
        <v>-2.3420838960300401E-4</v>
      </c>
      <c r="T100" s="6">
        <v>-1.7797547821377679E-4</v>
      </c>
      <c r="U100" s="6">
        <v>5.834975571624229E-5</v>
      </c>
      <c r="X100" t="s">
        <v>9</v>
      </c>
      <c r="Y100">
        <v>1</v>
      </c>
      <c r="Z100" t="s">
        <v>4</v>
      </c>
      <c r="AA100" s="16">
        <v>43703</v>
      </c>
      <c r="AB100">
        <v>238.46388999999908</v>
      </c>
      <c r="AC100" s="4">
        <v>1576.2</v>
      </c>
      <c r="AD100" s="4">
        <v>1657.7</v>
      </c>
      <c r="AE100">
        <v>-13.5498671064209</v>
      </c>
      <c r="AF100">
        <v>-8.4403276203708604</v>
      </c>
      <c r="AG100">
        <v>11.738419070612759</v>
      </c>
      <c r="AH100">
        <v>-7.6764968859539796E-5</v>
      </c>
      <c r="AI100">
        <v>-1.6516535885276916E-4</v>
      </c>
      <c r="AJ100">
        <v>5.3531813158067885E-5</v>
      </c>
    </row>
    <row r="101" spans="1:36" x14ac:dyDescent="0.2">
      <c r="A101" t="s">
        <v>9</v>
      </c>
      <c r="B101">
        <v>2</v>
      </c>
      <c r="C101" s="2">
        <v>43703</v>
      </c>
      <c r="D101" s="13">
        <v>238.48113499999818</v>
      </c>
      <c r="E101" s="13"/>
      <c r="F101" s="4">
        <v>1646.2</v>
      </c>
      <c r="H101">
        <v>14.1</v>
      </c>
      <c r="J101">
        <v>21.11</v>
      </c>
      <c r="L101">
        <v>46</v>
      </c>
      <c r="N101">
        <v>0.81</v>
      </c>
      <c r="P101">
        <v>11.4998114129562</v>
      </c>
      <c r="S101">
        <v>-1.26249896963727E-4</v>
      </c>
      <c r="X101" t="s">
        <v>9</v>
      </c>
      <c r="Y101">
        <v>2</v>
      </c>
      <c r="Z101" t="s">
        <v>4</v>
      </c>
      <c r="AA101" s="16">
        <v>43703</v>
      </c>
      <c r="AB101">
        <v>238.47557500000039</v>
      </c>
      <c r="AC101" s="4">
        <v>1628.7</v>
      </c>
      <c r="AE101">
        <v>-10.6862946364616</v>
      </c>
      <c r="AH101">
        <v>-1.6057754437795701E-4</v>
      </c>
    </row>
    <row r="102" spans="1:36" x14ac:dyDescent="0.2">
      <c r="A102" t="s">
        <v>9</v>
      </c>
      <c r="B102">
        <v>3</v>
      </c>
      <c r="C102" s="2">
        <v>43703</v>
      </c>
      <c r="D102" s="13">
        <v>238.49288499999966</v>
      </c>
      <c r="E102" s="13"/>
      <c r="F102" s="4">
        <v>1691.2</v>
      </c>
      <c r="H102">
        <v>12.6</v>
      </c>
      <c r="J102">
        <v>21.11</v>
      </c>
      <c r="L102">
        <v>26.5</v>
      </c>
      <c r="N102">
        <v>0.81</v>
      </c>
      <c r="P102">
        <v>12.8250651763961</v>
      </c>
      <c r="S102">
        <v>-1.7951889330493701E-4</v>
      </c>
      <c r="T102" s="6"/>
      <c r="U102" s="6"/>
      <c r="X102" t="s">
        <v>9</v>
      </c>
      <c r="Y102">
        <v>3</v>
      </c>
      <c r="Z102" t="s">
        <v>4</v>
      </c>
      <c r="AA102" s="16">
        <v>43703</v>
      </c>
      <c r="AB102">
        <v>238.48668999999791</v>
      </c>
      <c r="AC102" s="4">
        <v>1668.7</v>
      </c>
      <c r="AE102">
        <v>-13.7501224705523</v>
      </c>
      <c r="AH102">
        <v>-1.7447655091459399E-4</v>
      </c>
    </row>
    <row r="103" spans="1:36" x14ac:dyDescent="0.2">
      <c r="A103" t="s">
        <v>9</v>
      </c>
      <c r="B103">
        <v>4</v>
      </c>
      <c r="C103" s="2">
        <v>43703</v>
      </c>
      <c r="D103" s="13">
        <v>238.50353000000177</v>
      </c>
      <c r="E103" s="13"/>
      <c r="F103" s="4">
        <v>1713.7</v>
      </c>
      <c r="H103">
        <v>13.9</v>
      </c>
      <c r="J103">
        <v>21.11</v>
      </c>
      <c r="L103">
        <v>34.299999999999997</v>
      </c>
      <c r="N103">
        <v>0.82</v>
      </c>
      <c r="P103">
        <v>11.1925706191507</v>
      </c>
      <c r="S103">
        <v>-2.3724140515380901E-4</v>
      </c>
      <c r="T103" s="6"/>
      <c r="U103" s="6"/>
      <c r="X103" t="s">
        <v>9</v>
      </c>
      <c r="Y103">
        <v>4</v>
      </c>
      <c r="Z103" t="s">
        <v>4</v>
      </c>
      <c r="AA103" s="16">
        <v>43703</v>
      </c>
      <c r="AB103">
        <v>238.49195500000133</v>
      </c>
      <c r="AC103" s="4">
        <v>1688.7</v>
      </c>
      <c r="AE103">
        <v>12.238251345532399</v>
      </c>
      <c r="AH103">
        <v>-2.1143802715956501E-4</v>
      </c>
    </row>
    <row r="104" spans="1:36" x14ac:dyDescent="0.2">
      <c r="A104" t="s">
        <v>9</v>
      </c>
      <c r="B104">
        <v>5</v>
      </c>
      <c r="C104" s="2">
        <v>43703</v>
      </c>
      <c r="D104" s="13">
        <v>238.51585500000147</v>
      </c>
      <c r="E104" s="13"/>
      <c r="F104" s="4">
        <v>1736.2</v>
      </c>
      <c r="H104">
        <v>13.8</v>
      </c>
      <c r="J104">
        <v>21.67</v>
      </c>
      <c r="L104">
        <v>44.1</v>
      </c>
      <c r="N104">
        <v>0.76</v>
      </c>
      <c r="P104">
        <v>12.240031605147101</v>
      </c>
      <c r="S104">
        <v>-1.1265880604340701E-4</v>
      </c>
      <c r="T104" s="6"/>
      <c r="U104" s="6"/>
      <c r="X104" t="s">
        <v>9</v>
      </c>
      <c r="Y104">
        <v>5</v>
      </c>
      <c r="Z104" t="s">
        <v>4</v>
      </c>
      <c r="AA104" s="16">
        <v>43703</v>
      </c>
      <c r="AB104">
        <v>238.50897000000259</v>
      </c>
      <c r="AC104" s="4">
        <v>1726.2</v>
      </c>
      <c r="AE104">
        <v>-16.453605233951901</v>
      </c>
      <c r="AH104">
        <v>-2.0256970295218999E-4</v>
      </c>
    </row>
    <row r="105" spans="1:36" x14ac:dyDescent="0.2">
      <c r="A105" t="s">
        <v>9</v>
      </c>
      <c r="B105">
        <v>1</v>
      </c>
      <c r="C105" s="2">
        <v>43703</v>
      </c>
      <c r="D105" s="13">
        <v>238.56562499999927</v>
      </c>
      <c r="E105" s="13">
        <v>238.58982600000019</v>
      </c>
      <c r="F105" s="4">
        <v>1733.7</v>
      </c>
      <c r="G105" s="4">
        <v>1665.2</v>
      </c>
      <c r="H105">
        <v>13.5</v>
      </c>
      <c r="I105">
        <v>13.1</v>
      </c>
      <c r="J105">
        <v>23.89</v>
      </c>
      <c r="K105">
        <v>23.777999999999999</v>
      </c>
      <c r="L105">
        <v>45.3</v>
      </c>
      <c r="M105">
        <v>40.520000000000003</v>
      </c>
      <c r="N105">
        <v>0.77</v>
      </c>
      <c r="O105" s="4">
        <v>0.79399999999999993</v>
      </c>
      <c r="P105">
        <v>14.271593865916801</v>
      </c>
      <c r="Q105">
        <v>13.124320399141819</v>
      </c>
      <c r="R105">
        <v>1.7363271339064847</v>
      </c>
      <c r="S105">
        <v>-1.7501768209721399E-4</v>
      </c>
      <c r="T105" s="6">
        <v>-2.1460330953063873E-4</v>
      </c>
      <c r="U105" s="6">
        <v>9.0199805885640848E-5</v>
      </c>
      <c r="X105" t="s">
        <v>9</v>
      </c>
      <c r="Y105">
        <v>1</v>
      </c>
      <c r="Z105" t="s">
        <v>4</v>
      </c>
      <c r="AA105" s="16">
        <v>43703</v>
      </c>
      <c r="AB105">
        <v>238.55926000000181</v>
      </c>
      <c r="AC105" s="4">
        <v>1741.2</v>
      </c>
      <c r="AD105" s="4">
        <v>1683.7</v>
      </c>
      <c r="AE105">
        <v>-9.3610638176697805</v>
      </c>
      <c r="AF105">
        <v>-8.4645658042666891</v>
      </c>
      <c r="AG105">
        <v>2.2493534293132296</v>
      </c>
      <c r="AH105">
        <v>-7.6272924592482699E-5</v>
      </c>
      <c r="AI105">
        <v>-2.0241724033390773E-4</v>
      </c>
      <c r="AJ105">
        <v>9.5278718636040275E-5</v>
      </c>
    </row>
    <row r="106" spans="1:36" x14ac:dyDescent="0.2">
      <c r="A106" t="s">
        <v>9</v>
      </c>
      <c r="B106">
        <v>2</v>
      </c>
      <c r="C106" s="2">
        <v>43703</v>
      </c>
      <c r="D106" s="13">
        <v>238.57667500000025</v>
      </c>
      <c r="E106" s="13"/>
      <c r="F106" s="4">
        <v>1708.7</v>
      </c>
      <c r="H106">
        <v>11</v>
      </c>
      <c r="J106">
        <v>23.89</v>
      </c>
      <c r="L106">
        <v>38.200000000000003</v>
      </c>
      <c r="N106">
        <v>0.82</v>
      </c>
      <c r="P106">
        <v>13.694821154694001</v>
      </c>
      <c r="S106">
        <v>-3.0304962447986398E-4</v>
      </c>
      <c r="X106" t="s">
        <v>9</v>
      </c>
      <c r="Y106">
        <v>2</v>
      </c>
      <c r="Z106" t="s">
        <v>4</v>
      </c>
      <c r="AA106" s="16">
        <v>43703</v>
      </c>
      <c r="AB106">
        <v>238.57095000000118</v>
      </c>
      <c r="AC106" s="4">
        <v>1721.2</v>
      </c>
      <c r="AE106">
        <v>-7.77773512301553</v>
      </c>
      <c r="AH106">
        <v>-2.44342241042474E-4</v>
      </c>
    </row>
    <row r="107" spans="1:36" x14ac:dyDescent="0.2">
      <c r="A107" t="s">
        <v>9</v>
      </c>
      <c r="B107">
        <v>3</v>
      </c>
      <c r="C107" s="2">
        <v>43703</v>
      </c>
      <c r="D107" s="13">
        <v>238.58877500000017</v>
      </c>
      <c r="E107" s="13"/>
      <c r="F107" s="4">
        <v>1678.7</v>
      </c>
      <c r="H107">
        <v>13.1</v>
      </c>
      <c r="J107">
        <v>23.89</v>
      </c>
      <c r="L107">
        <v>30.2</v>
      </c>
      <c r="N107">
        <v>0.82</v>
      </c>
      <c r="P107">
        <v>14.9766125172239</v>
      </c>
      <c r="S107">
        <v>-2.87852425188094E-4</v>
      </c>
      <c r="T107" s="6"/>
      <c r="U107" s="6"/>
      <c r="X107" t="s">
        <v>9</v>
      </c>
      <c r="Y107">
        <v>3</v>
      </c>
      <c r="Z107" t="s">
        <v>4</v>
      </c>
      <c r="AA107" s="16">
        <v>43703</v>
      </c>
      <c r="AB107">
        <v>238.58217499999955</v>
      </c>
      <c r="AC107" s="4">
        <v>1698.7</v>
      </c>
      <c r="AE107">
        <v>-11.845834919637101</v>
      </c>
      <c r="AH107">
        <v>-3.0752990748442898E-4</v>
      </c>
    </row>
    <row r="108" spans="1:36" x14ac:dyDescent="0.2">
      <c r="A108" t="s">
        <v>9</v>
      </c>
      <c r="B108">
        <v>4</v>
      </c>
      <c r="C108" s="2">
        <v>43703</v>
      </c>
      <c r="D108" s="13">
        <v>238.60312500000146</v>
      </c>
      <c r="E108" s="13"/>
      <c r="F108" s="4">
        <v>1626.2</v>
      </c>
      <c r="H108">
        <v>13.4</v>
      </c>
      <c r="J108">
        <v>23.89</v>
      </c>
      <c r="L108">
        <v>40.200000000000003</v>
      </c>
      <c r="N108">
        <v>0.8</v>
      </c>
      <c r="P108">
        <v>11.893339219249301</v>
      </c>
      <c r="S108">
        <v>-2.2542821192165401E-4</v>
      </c>
      <c r="T108" s="6"/>
      <c r="U108" s="6"/>
      <c r="X108" t="s">
        <v>9</v>
      </c>
      <c r="Y108">
        <v>4</v>
      </c>
      <c r="Z108" t="s">
        <v>4</v>
      </c>
      <c r="AA108" s="16">
        <v>43703</v>
      </c>
      <c r="AB108">
        <v>238.59635500000149</v>
      </c>
      <c r="AC108" s="4">
        <v>1651.2</v>
      </c>
      <c r="AE108">
        <v>-5.9333920648678999</v>
      </c>
      <c r="AH108">
        <v>-2.5269578121402499E-4</v>
      </c>
    </row>
    <row r="109" spans="1:36" x14ac:dyDescent="0.2">
      <c r="A109" t="s">
        <v>9</v>
      </c>
      <c r="B109">
        <v>5</v>
      </c>
      <c r="C109" s="2">
        <v>43703</v>
      </c>
      <c r="D109" s="13">
        <v>238.61492999999973</v>
      </c>
      <c r="E109" s="13"/>
      <c r="F109" s="4">
        <v>1578.7</v>
      </c>
      <c r="H109">
        <v>14.5</v>
      </c>
      <c r="J109">
        <v>23.33</v>
      </c>
      <c r="L109">
        <v>48.7</v>
      </c>
      <c r="N109">
        <v>0.76</v>
      </c>
      <c r="P109">
        <v>10.7852352386251</v>
      </c>
      <c r="S109" s="6">
        <v>-8.16686039663677E-5</v>
      </c>
      <c r="T109" s="6"/>
      <c r="U109" s="6"/>
      <c r="X109" t="s">
        <v>9</v>
      </c>
      <c r="Y109">
        <v>5</v>
      </c>
      <c r="Z109" t="s">
        <v>4</v>
      </c>
      <c r="AA109" s="16">
        <v>43703</v>
      </c>
      <c r="AB109">
        <v>238.60856499999863</v>
      </c>
      <c r="AC109" s="4">
        <v>1606.2</v>
      </c>
      <c r="AE109">
        <v>-7.4048030961431301</v>
      </c>
      <c r="AH109">
        <v>-1.3124534733612801E-4</v>
      </c>
    </row>
    <row r="110" spans="1:36" x14ac:dyDescent="0.2">
      <c r="A110" t="s">
        <v>9</v>
      </c>
      <c r="B110">
        <v>1</v>
      </c>
      <c r="C110" s="2">
        <v>43711</v>
      </c>
      <c r="D110" s="13">
        <v>246.43090500000108</v>
      </c>
      <c r="E110" s="13">
        <v>246.45655800000094</v>
      </c>
      <c r="F110" s="4">
        <v>1306.2</v>
      </c>
      <c r="G110" s="4">
        <v>1475.2</v>
      </c>
      <c r="H110">
        <v>11.2</v>
      </c>
      <c r="I110">
        <v>10.66</v>
      </c>
      <c r="J110">
        <v>22.22</v>
      </c>
      <c r="K110">
        <v>22.22</v>
      </c>
      <c r="L110">
        <v>51.5</v>
      </c>
      <c r="M110">
        <v>46.72</v>
      </c>
      <c r="N110">
        <v>0.83</v>
      </c>
      <c r="O110" s="4">
        <v>0.82799999999999996</v>
      </c>
      <c r="P110">
        <v>15.1178243261765</v>
      </c>
      <c r="Q110">
        <v>11.219151529730651</v>
      </c>
      <c r="R110">
        <v>2.5586247980846286</v>
      </c>
      <c r="S110" s="6">
        <v>-1.19669048624069E-5</v>
      </c>
      <c r="T110" s="6">
        <v>-1.8291739419578056E-4</v>
      </c>
      <c r="U110" s="6">
        <v>9.8281758480328854E-5</v>
      </c>
      <c r="X110" t="s">
        <v>9</v>
      </c>
      <c r="Y110">
        <v>1</v>
      </c>
      <c r="Z110" t="s">
        <v>4</v>
      </c>
      <c r="AA110" s="16">
        <v>43711</v>
      </c>
      <c r="AB110">
        <v>246.42395499999839</v>
      </c>
      <c r="AC110" s="4">
        <v>1263.7</v>
      </c>
      <c r="AD110" s="4">
        <v>1430.2</v>
      </c>
      <c r="AE110">
        <v>-11.537890090522</v>
      </c>
      <c r="AF110">
        <v>-10.741094896013045</v>
      </c>
      <c r="AG110">
        <v>4.4111982391267821</v>
      </c>
      <c r="AH110">
        <v>-9.0315994556241594E-6</v>
      </c>
      <c r="AI110">
        <v>-1.8118574580919944E-4</v>
      </c>
      <c r="AJ110">
        <v>1.1165317830818397E-4</v>
      </c>
    </row>
    <row r="111" spans="1:36" x14ac:dyDescent="0.2">
      <c r="A111" t="s">
        <v>9</v>
      </c>
      <c r="B111">
        <v>2</v>
      </c>
      <c r="C111" s="2">
        <v>43711</v>
      </c>
      <c r="D111" s="13">
        <v>246.44409499999892</v>
      </c>
      <c r="E111" s="13"/>
      <c r="F111" s="4">
        <v>1408.7</v>
      </c>
      <c r="H111">
        <v>11.3</v>
      </c>
      <c r="J111">
        <v>22.22</v>
      </c>
      <c r="L111">
        <v>49.1</v>
      </c>
      <c r="N111">
        <v>0.84</v>
      </c>
      <c r="P111">
        <v>11.731110100504599</v>
      </c>
      <c r="S111">
        <v>-2.1121813821919501E-4</v>
      </c>
      <c r="X111" t="s">
        <v>9</v>
      </c>
      <c r="Y111">
        <v>2</v>
      </c>
      <c r="Z111" t="s">
        <v>4</v>
      </c>
      <c r="AA111" s="16">
        <v>43711</v>
      </c>
      <c r="AB111">
        <v>246.43784500000038</v>
      </c>
      <c r="AC111" s="4">
        <v>1351.2</v>
      </c>
      <c r="AE111">
        <v>-9.0591453957920702</v>
      </c>
      <c r="AH111">
        <v>-1.6218395159533201E-4</v>
      </c>
    </row>
    <row r="112" spans="1:36" x14ac:dyDescent="0.2">
      <c r="A112" t="s">
        <v>9</v>
      </c>
      <c r="B112">
        <v>3</v>
      </c>
      <c r="C112" s="2">
        <v>43711</v>
      </c>
      <c r="D112" s="13">
        <v>246.45625000000291</v>
      </c>
      <c r="E112" s="13"/>
      <c r="F112" s="4">
        <v>1468.7</v>
      </c>
      <c r="H112">
        <v>10.1</v>
      </c>
      <c r="J112">
        <v>22.22</v>
      </c>
      <c r="L112">
        <v>50.1</v>
      </c>
      <c r="N112">
        <v>0.82</v>
      </c>
      <c r="P112">
        <v>9.7975294855753603</v>
      </c>
      <c r="S112">
        <v>-2.24233530917662E-4</v>
      </c>
      <c r="T112" s="6"/>
      <c r="U112" s="6"/>
      <c r="X112" t="s">
        <v>9</v>
      </c>
      <c r="Y112">
        <v>3</v>
      </c>
      <c r="Z112" t="s">
        <v>4</v>
      </c>
      <c r="AA112" s="16">
        <v>43711</v>
      </c>
      <c r="AB112">
        <v>246.44965500000035</v>
      </c>
      <c r="AC112" s="4">
        <v>1451.2</v>
      </c>
      <c r="AE112">
        <v>-18.024233396695799</v>
      </c>
      <c r="AH112">
        <v>-2.2149182826190601E-4</v>
      </c>
    </row>
    <row r="113" spans="1:36" x14ac:dyDescent="0.2">
      <c r="A113" t="s">
        <v>9</v>
      </c>
      <c r="B113">
        <v>4</v>
      </c>
      <c r="C113" s="2">
        <v>43711</v>
      </c>
      <c r="D113" s="13">
        <v>246.46924500000023</v>
      </c>
      <c r="E113" s="13"/>
      <c r="F113" s="4">
        <v>1543.7</v>
      </c>
      <c r="H113">
        <v>8.5</v>
      </c>
      <c r="J113">
        <v>22.22</v>
      </c>
      <c r="L113">
        <v>38.4</v>
      </c>
      <c r="N113">
        <v>0.81</v>
      </c>
      <c r="P113">
        <v>11.180049677465799</v>
      </c>
      <c r="S113">
        <v>-2.6334105497687098E-4</v>
      </c>
      <c r="T113" s="6"/>
      <c r="U113" s="6"/>
      <c r="X113" t="s">
        <v>9</v>
      </c>
      <c r="Y113">
        <v>4</v>
      </c>
      <c r="Z113" t="s">
        <v>4</v>
      </c>
      <c r="AA113" s="16">
        <v>43711</v>
      </c>
      <c r="AB113">
        <v>246.4628449999982</v>
      </c>
      <c r="AC113" s="4">
        <v>1511.2</v>
      </c>
      <c r="AE113">
        <v>-6.8864978807076298</v>
      </c>
      <c r="AH113">
        <v>-1.98022320708511E-4</v>
      </c>
    </row>
    <row r="114" spans="1:36" x14ac:dyDescent="0.2">
      <c r="A114" t="s">
        <v>9</v>
      </c>
      <c r="B114">
        <v>5</v>
      </c>
      <c r="C114" s="2">
        <v>43711</v>
      </c>
      <c r="D114" s="13">
        <v>246.48229500000161</v>
      </c>
      <c r="E114" s="13"/>
      <c r="F114" s="4">
        <v>1648.7</v>
      </c>
      <c r="H114">
        <v>12.2</v>
      </c>
      <c r="J114">
        <v>22.22</v>
      </c>
      <c r="L114">
        <v>44.5</v>
      </c>
      <c r="N114">
        <v>0.84</v>
      </c>
      <c r="P114">
        <v>8.2692440589309992</v>
      </c>
      <c r="S114">
        <v>-2.03827342002768E-4</v>
      </c>
      <c r="T114" s="6"/>
      <c r="U114" s="6"/>
      <c r="X114" t="s">
        <v>9</v>
      </c>
      <c r="Y114">
        <v>5</v>
      </c>
      <c r="Z114" t="s">
        <v>4</v>
      </c>
      <c r="AA114" s="16">
        <v>43711</v>
      </c>
      <c r="AB114">
        <v>246.47580999999991</v>
      </c>
      <c r="AC114" s="4">
        <v>1573.7</v>
      </c>
      <c r="AE114">
        <v>-8.1977077163477308</v>
      </c>
      <c r="AH114">
        <v>-3.1519902902462401E-4</v>
      </c>
    </row>
    <row r="115" spans="1:36" x14ac:dyDescent="0.2">
      <c r="A115" t="s">
        <v>9</v>
      </c>
      <c r="B115">
        <v>1</v>
      </c>
      <c r="C115" s="2">
        <v>43711</v>
      </c>
      <c r="D115" s="13">
        <v>246.51492999999755</v>
      </c>
      <c r="E115" s="13">
        <v>246.53916600000011</v>
      </c>
      <c r="F115" s="4">
        <v>1723.7</v>
      </c>
      <c r="G115" s="4">
        <v>1161.7</v>
      </c>
      <c r="H115">
        <v>11.1</v>
      </c>
      <c r="I115">
        <v>9.5</v>
      </c>
      <c r="J115">
        <v>22.22</v>
      </c>
      <c r="K115">
        <v>22.887999999999998</v>
      </c>
      <c r="L115">
        <v>53.8</v>
      </c>
      <c r="M115">
        <v>44.86</v>
      </c>
      <c r="N115">
        <v>0.84</v>
      </c>
      <c r="O115" s="4">
        <v>0.84000000000000008</v>
      </c>
      <c r="P115">
        <v>16.715274497986101</v>
      </c>
      <c r="Q115">
        <v>14.840793573654178</v>
      </c>
      <c r="R115">
        <v>2.3147246703860875</v>
      </c>
      <c r="S115">
        <v>-2.3014738582964001E-4</v>
      </c>
      <c r="T115" s="6">
        <v>-3.037151972560228E-4</v>
      </c>
      <c r="U115" s="6">
        <v>9.7719562061413529E-5</v>
      </c>
      <c r="X115" t="s">
        <v>9</v>
      </c>
      <c r="Y115">
        <v>1</v>
      </c>
      <c r="Z115" t="s">
        <v>4</v>
      </c>
      <c r="AA115" s="16">
        <v>43711</v>
      </c>
      <c r="AB115">
        <v>246.508679999999</v>
      </c>
      <c r="AC115" s="4">
        <v>1736.2</v>
      </c>
      <c r="AD115" s="4">
        <v>1200.2</v>
      </c>
      <c r="AE115">
        <v>-7.6358192254742798</v>
      </c>
      <c r="AF115">
        <v>-8.0762317133997978</v>
      </c>
      <c r="AG115">
        <v>4.3766972894488969</v>
      </c>
      <c r="AH115">
        <v>-2.3185354488992599E-5</v>
      </c>
      <c r="AI115">
        <v>-1.9828326570241534E-4</v>
      </c>
      <c r="AJ115">
        <v>1.2180910859276465E-4</v>
      </c>
    </row>
    <row r="116" spans="1:36" x14ac:dyDescent="0.2">
      <c r="A116" t="s">
        <v>9</v>
      </c>
      <c r="B116">
        <v>2</v>
      </c>
      <c r="C116" s="2">
        <v>43711</v>
      </c>
      <c r="D116" s="13">
        <v>246.52743000000191</v>
      </c>
      <c r="E116" s="13"/>
      <c r="F116" s="4">
        <v>881.2</v>
      </c>
      <c r="H116">
        <v>7.3</v>
      </c>
      <c r="J116">
        <v>22.22</v>
      </c>
      <c r="L116">
        <v>51.8</v>
      </c>
      <c r="N116">
        <v>0.82</v>
      </c>
      <c r="P116">
        <v>16.7435885185016</v>
      </c>
      <c r="S116">
        <v>-4.2647739709571002E-4</v>
      </c>
      <c r="X116" t="s">
        <v>9</v>
      </c>
      <c r="Y116">
        <v>2</v>
      </c>
      <c r="Z116" t="s">
        <v>4</v>
      </c>
      <c r="AA116" s="16">
        <v>43711</v>
      </c>
      <c r="AB116">
        <v>246.52117999999973</v>
      </c>
      <c r="AC116" s="4">
        <v>1013.7</v>
      </c>
      <c r="AE116">
        <v>-6.4229169841002198</v>
      </c>
      <c r="AH116">
        <v>-2.78503912907606E-4</v>
      </c>
    </row>
    <row r="117" spans="1:36" x14ac:dyDescent="0.2">
      <c r="A117" t="s">
        <v>9</v>
      </c>
      <c r="B117">
        <v>3</v>
      </c>
      <c r="C117" s="2">
        <v>43711</v>
      </c>
      <c r="D117" s="13">
        <v>246.53923500000019</v>
      </c>
      <c r="E117" s="13"/>
      <c r="F117" s="4">
        <v>1878.7</v>
      </c>
      <c r="H117">
        <v>8.5</v>
      </c>
      <c r="J117">
        <v>22.22</v>
      </c>
      <c r="L117">
        <v>50.6</v>
      </c>
      <c r="N117">
        <v>0.86</v>
      </c>
      <c r="P117">
        <v>15.251392163047401</v>
      </c>
      <c r="S117">
        <v>-3.4027528487079001E-4</v>
      </c>
      <c r="T117" s="6"/>
      <c r="U117" s="6"/>
      <c r="X117" t="s">
        <v>9</v>
      </c>
      <c r="Y117">
        <v>3</v>
      </c>
      <c r="Z117" t="s">
        <v>4</v>
      </c>
      <c r="AA117" s="16">
        <v>43711</v>
      </c>
      <c r="AB117">
        <v>246.53298500000164</v>
      </c>
      <c r="AC117" s="4">
        <v>1863.7</v>
      </c>
      <c r="AE117">
        <v>-15.3057984875014</v>
      </c>
      <c r="AH117">
        <v>-3.1567807949607E-4</v>
      </c>
    </row>
    <row r="118" spans="1:36" x14ac:dyDescent="0.2">
      <c r="A118" t="s">
        <v>9</v>
      </c>
      <c r="B118">
        <v>4</v>
      </c>
      <c r="C118" s="2">
        <v>43711</v>
      </c>
      <c r="D118" s="13">
        <v>246.55139000000054</v>
      </c>
      <c r="E118" s="13"/>
      <c r="F118" s="4">
        <v>491.2</v>
      </c>
      <c r="H118">
        <v>8.9</v>
      </c>
      <c r="J118">
        <v>23.89</v>
      </c>
      <c r="L118">
        <v>47.2</v>
      </c>
      <c r="N118">
        <v>0.83</v>
      </c>
      <c r="P118">
        <v>11.109822988116299</v>
      </c>
      <c r="S118">
        <v>-3.4052520905187401E-4</v>
      </c>
      <c r="T118" s="6"/>
      <c r="U118" s="6"/>
      <c r="X118" t="s">
        <v>9</v>
      </c>
      <c r="Y118">
        <v>4</v>
      </c>
      <c r="Z118" t="s">
        <v>4</v>
      </c>
      <c r="AA118" s="16">
        <v>43711</v>
      </c>
      <c r="AB118">
        <v>246.54548499999873</v>
      </c>
      <c r="AC118" s="4">
        <v>606.20000000000005</v>
      </c>
      <c r="AE118">
        <v>-7.5380217888637002</v>
      </c>
      <c r="AH118">
        <v>-1.2291465277560799E-4</v>
      </c>
    </row>
    <row r="119" spans="1:36" x14ac:dyDescent="0.2">
      <c r="A119" t="s">
        <v>9</v>
      </c>
      <c r="B119">
        <v>5</v>
      </c>
      <c r="C119" s="2">
        <v>43711</v>
      </c>
      <c r="D119" s="13">
        <v>246.56284500000038</v>
      </c>
      <c r="E119" s="13"/>
      <c r="F119" s="4">
        <v>833.7</v>
      </c>
      <c r="H119">
        <v>11.7</v>
      </c>
      <c r="J119">
        <v>23.89</v>
      </c>
      <c r="L119">
        <v>20.9</v>
      </c>
      <c r="N119">
        <v>0.85</v>
      </c>
      <c r="P119">
        <v>14.3838897006195</v>
      </c>
      <c r="S119">
        <v>-1.8115070943209999E-4</v>
      </c>
      <c r="T119" s="6"/>
      <c r="U119" s="6"/>
      <c r="X119" t="s">
        <v>9</v>
      </c>
      <c r="Y119">
        <v>5</v>
      </c>
      <c r="Z119" t="s">
        <v>4</v>
      </c>
      <c r="AA119" s="16">
        <v>43711</v>
      </c>
      <c r="AB119">
        <v>246.5572949999987</v>
      </c>
      <c r="AC119" s="4">
        <v>781.2</v>
      </c>
      <c r="AE119">
        <v>-3.4786020810593898</v>
      </c>
      <c r="AH119">
        <v>-2.5113432884379998E-4</v>
      </c>
    </row>
    <row r="120" spans="1:36" x14ac:dyDescent="0.2">
      <c r="A120" t="s">
        <v>9</v>
      </c>
      <c r="B120">
        <v>1</v>
      </c>
      <c r="C120" s="2">
        <v>43720</v>
      </c>
      <c r="D120" s="13">
        <v>255.40873500000089</v>
      </c>
      <c r="E120" s="13">
        <v>255.43494100000098</v>
      </c>
      <c r="F120" s="4">
        <v>938.7</v>
      </c>
      <c r="G120" s="4">
        <v>487.7</v>
      </c>
      <c r="H120">
        <v>12.9</v>
      </c>
      <c r="I120">
        <v>13.959999999999999</v>
      </c>
      <c r="J120">
        <v>18.89</v>
      </c>
      <c r="K120">
        <v>18.89</v>
      </c>
      <c r="L120">
        <v>51.2</v>
      </c>
      <c r="M120">
        <v>49.74</v>
      </c>
      <c r="N120">
        <v>0.85</v>
      </c>
      <c r="O120" s="4">
        <v>0.85199999999999998</v>
      </c>
      <c r="P120">
        <v>10.5060616808204</v>
      </c>
      <c r="Q120">
        <v>10.341932542722573</v>
      </c>
      <c r="R120">
        <v>1.3017126479954757</v>
      </c>
      <c r="S120">
        <v>-1.7581230633731599E-4</v>
      </c>
      <c r="T120" s="6">
        <v>-2.7343306565838699E-4</v>
      </c>
      <c r="U120" s="6">
        <v>5.6385442966372882E-5</v>
      </c>
      <c r="X120" t="s">
        <v>9</v>
      </c>
      <c r="Y120">
        <v>1</v>
      </c>
      <c r="Z120" t="s">
        <v>4</v>
      </c>
      <c r="AA120" s="16">
        <v>43720</v>
      </c>
      <c r="AB120">
        <v>255.40295500000138</v>
      </c>
      <c r="AC120" s="4">
        <v>643.70000000000005</v>
      </c>
      <c r="AD120" s="4">
        <v>487.7</v>
      </c>
      <c r="AE120">
        <v>-8.2120583259937003</v>
      </c>
      <c r="AF120">
        <v>-7.2481996652663723</v>
      </c>
      <c r="AG120">
        <v>4.1179161927185204</v>
      </c>
      <c r="AH120">
        <v>3.8037666755998099E-5</v>
      </c>
      <c r="AI120">
        <v>-1.9537519846334078E-4</v>
      </c>
      <c r="AJ120">
        <v>1.3420250367749567E-4</v>
      </c>
    </row>
    <row r="121" spans="1:36" x14ac:dyDescent="0.2">
      <c r="A121" t="s">
        <v>9</v>
      </c>
      <c r="B121">
        <v>2</v>
      </c>
      <c r="C121" s="2">
        <v>43720</v>
      </c>
      <c r="D121" s="13">
        <v>255.42019499999878</v>
      </c>
      <c r="E121" s="13"/>
      <c r="F121" s="4">
        <v>503.7</v>
      </c>
      <c r="H121">
        <v>15.7</v>
      </c>
      <c r="J121">
        <v>18.89</v>
      </c>
      <c r="L121">
        <v>44.8</v>
      </c>
      <c r="N121">
        <v>0.86</v>
      </c>
      <c r="P121">
        <v>11.7713720896919</v>
      </c>
      <c r="S121">
        <v>-2.8244704448152601E-4</v>
      </c>
      <c r="X121" t="s">
        <v>9</v>
      </c>
      <c r="Y121">
        <v>2</v>
      </c>
      <c r="Z121" t="s">
        <v>4</v>
      </c>
      <c r="AA121" s="16">
        <v>43720</v>
      </c>
      <c r="AB121">
        <v>255.41394500000024</v>
      </c>
      <c r="AC121" s="4">
        <v>698.7</v>
      </c>
      <c r="AE121">
        <v>-12.747873557374801</v>
      </c>
      <c r="AH121">
        <v>-2.1615722767649701E-4</v>
      </c>
    </row>
    <row r="122" spans="1:36" x14ac:dyDescent="0.2">
      <c r="A122" t="s">
        <v>9</v>
      </c>
      <c r="B122">
        <v>3</v>
      </c>
      <c r="C122" s="2">
        <v>43720</v>
      </c>
      <c r="D122" s="13">
        <v>255.43246500000168</v>
      </c>
      <c r="E122" s="13"/>
      <c r="F122" s="4">
        <v>523.70000000000005</v>
      </c>
      <c r="H122">
        <v>11.4</v>
      </c>
      <c r="J122">
        <v>18.89</v>
      </c>
      <c r="L122">
        <v>54</v>
      </c>
      <c r="N122">
        <v>0.85</v>
      </c>
      <c r="P122">
        <v>9.2194978294611598</v>
      </c>
      <c r="S122">
        <v>-3.18464466477748E-4</v>
      </c>
      <c r="T122" s="6"/>
      <c r="U122" s="6"/>
      <c r="X122" t="s">
        <v>9</v>
      </c>
      <c r="Y122">
        <v>3</v>
      </c>
      <c r="Z122" t="s">
        <v>4</v>
      </c>
      <c r="AA122" s="16">
        <v>43720</v>
      </c>
      <c r="AB122">
        <v>255.42604500000016</v>
      </c>
      <c r="AC122" s="4">
        <v>513.70000000000005</v>
      </c>
      <c r="AE122">
        <v>-8.9473168318588296</v>
      </c>
      <c r="AH122">
        <v>-2.6125570891233102E-4</v>
      </c>
    </row>
    <row r="123" spans="1:36" x14ac:dyDescent="0.2">
      <c r="A123" t="s">
        <v>9</v>
      </c>
      <c r="B123">
        <v>4</v>
      </c>
      <c r="C123" s="2">
        <v>43720</v>
      </c>
      <c r="D123" s="13">
        <v>255.45081000000209</v>
      </c>
      <c r="E123" s="13"/>
      <c r="F123" s="4">
        <v>343.7</v>
      </c>
      <c r="H123">
        <v>16.399999999999999</v>
      </c>
      <c r="J123">
        <v>18.89</v>
      </c>
      <c r="L123">
        <v>52.8</v>
      </c>
      <c r="N123">
        <v>0.85</v>
      </c>
      <c r="P123">
        <v>8.8147107685415094</v>
      </c>
      <c r="S123">
        <v>-3.03251145668459E-4</v>
      </c>
      <c r="T123" s="6"/>
      <c r="U123" s="6"/>
      <c r="X123" t="s">
        <v>9</v>
      </c>
      <c r="Y123">
        <v>4</v>
      </c>
      <c r="Z123" t="s">
        <v>4</v>
      </c>
      <c r="AA123" s="16">
        <v>43720</v>
      </c>
      <c r="AB123">
        <v>255.44513999999981</v>
      </c>
      <c r="AC123" s="4">
        <v>416.2</v>
      </c>
      <c r="AE123">
        <v>-2.6914411736089998</v>
      </c>
      <c r="AH123">
        <v>-3.0052864708718602E-4</v>
      </c>
    </row>
    <row r="124" spans="1:36" x14ac:dyDescent="0.2">
      <c r="A124" t="s">
        <v>9</v>
      </c>
      <c r="B124">
        <v>5</v>
      </c>
      <c r="C124" s="2">
        <v>43720</v>
      </c>
      <c r="D124" s="13">
        <v>255.46250000000146</v>
      </c>
      <c r="E124" s="13"/>
      <c r="F124" s="4">
        <v>128.69999999999999</v>
      </c>
      <c r="H124">
        <v>13.4</v>
      </c>
      <c r="J124">
        <v>18.89</v>
      </c>
      <c r="L124">
        <v>45.9</v>
      </c>
      <c r="N124">
        <v>0.85</v>
      </c>
      <c r="P124">
        <v>11.398020345097899</v>
      </c>
      <c r="S124">
        <v>-2.8719036532688598E-4</v>
      </c>
      <c r="T124" s="6"/>
      <c r="U124" s="6"/>
      <c r="X124" t="s">
        <v>9</v>
      </c>
      <c r="Y124">
        <v>5</v>
      </c>
      <c r="Z124" t="s">
        <v>4</v>
      </c>
      <c r="AA124" s="16">
        <v>43720</v>
      </c>
      <c r="AB124">
        <v>255.45671500000026</v>
      </c>
      <c r="AC124" s="4">
        <v>166.2</v>
      </c>
      <c r="AE124">
        <v>-3.6423084374955299</v>
      </c>
      <c r="AH124">
        <v>-2.3697207539668801E-4</v>
      </c>
    </row>
    <row r="125" spans="1:36" x14ac:dyDescent="0.2">
      <c r="A125" t="s">
        <v>9</v>
      </c>
      <c r="B125">
        <v>1</v>
      </c>
      <c r="C125" s="2">
        <v>43720</v>
      </c>
      <c r="D125" s="13">
        <v>255.50162000000273</v>
      </c>
      <c r="E125" s="13">
        <v>255.52640099999991</v>
      </c>
      <c r="F125" s="4">
        <v>208.7</v>
      </c>
      <c r="G125" s="4">
        <v>203.2</v>
      </c>
      <c r="H125">
        <v>16.7</v>
      </c>
      <c r="I125">
        <v>12.959999999999999</v>
      </c>
      <c r="J125">
        <v>16.11</v>
      </c>
      <c r="K125">
        <v>15.443999999999999</v>
      </c>
      <c r="L125">
        <v>42.9</v>
      </c>
      <c r="M125">
        <v>51</v>
      </c>
      <c r="N125">
        <v>0.86</v>
      </c>
      <c r="O125" s="4">
        <v>0.85199999999999998</v>
      </c>
      <c r="P125">
        <v>9.2215166517196003</v>
      </c>
      <c r="Q125">
        <v>9.3309566795339141</v>
      </c>
      <c r="R125">
        <v>0.98512555757996567</v>
      </c>
      <c r="S125">
        <v>-2.1807665394843901E-4</v>
      </c>
      <c r="T125" s="6">
        <v>-3.1536816728216919E-4</v>
      </c>
      <c r="U125" s="6">
        <v>7.1471572785779535E-5</v>
      </c>
      <c r="X125" t="s">
        <v>9</v>
      </c>
      <c r="Y125">
        <v>1</v>
      </c>
      <c r="Z125" t="s">
        <v>4</v>
      </c>
      <c r="AA125" s="16">
        <v>43720</v>
      </c>
      <c r="AB125">
        <v>255.49606499999936</v>
      </c>
      <c r="AC125" s="4">
        <v>228.7</v>
      </c>
      <c r="AD125" s="4">
        <v>181.2</v>
      </c>
      <c r="AE125">
        <v>2.0027478877913198</v>
      </c>
      <c r="AF125">
        <v>1.2583608905740349</v>
      </c>
      <c r="AG125">
        <v>0.874484272710633</v>
      </c>
      <c r="AH125">
        <v>-2.0956189377596199E-4</v>
      </c>
      <c r="AI125">
        <v>-2.8478025055186522E-4</v>
      </c>
      <c r="AJ125">
        <v>4.4458381926764371E-5</v>
      </c>
    </row>
    <row r="126" spans="1:36" x14ac:dyDescent="0.2">
      <c r="A126" t="s">
        <v>9</v>
      </c>
      <c r="B126">
        <v>2</v>
      </c>
      <c r="C126" s="2">
        <v>43720</v>
      </c>
      <c r="D126" s="13">
        <v>255.51348499999949</v>
      </c>
      <c r="E126" s="13"/>
      <c r="F126" s="4">
        <v>186.2</v>
      </c>
      <c r="H126">
        <v>14.7</v>
      </c>
      <c r="J126">
        <v>16.11</v>
      </c>
      <c r="L126">
        <v>53.1</v>
      </c>
      <c r="N126">
        <v>0.84</v>
      </c>
      <c r="P126">
        <v>9.5985777605676006</v>
      </c>
      <c r="S126">
        <v>-3.50908694266281E-4</v>
      </c>
      <c r="X126" t="s">
        <v>9</v>
      </c>
      <c r="Y126">
        <v>2</v>
      </c>
      <c r="Z126" t="s">
        <v>4</v>
      </c>
      <c r="AA126" s="16">
        <v>43720</v>
      </c>
      <c r="AB126">
        <v>255.50746499999877</v>
      </c>
      <c r="AC126" s="4">
        <v>173.7</v>
      </c>
      <c r="AE126">
        <v>0.98296269032482697</v>
      </c>
      <c r="AH126">
        <v>-3.1706510324017498E-4</v>
      </c>
    </row>
    <row r="127" spans="1:36" x14ac:dyDescent="0.2">
      <c r="A127" t="s">
        <v>9</v>
      </c>
      <c r="B127">
        <v>3</v>
      </c>
      <c r="C127" s="2">
        <v>43720</v>
      </c>
      <c r="D127" s="13">
        <v>255.52580999999918</v>
      </c>
      <c r="E127" s="13"/>
      <c r="F127" s="4">
        <v>216.2</v>
      </c>
      <c r="H127">
        <v>10.9</v>
      </c>
      <c r="J127">
        <v>15</v>
      </c>
      <c r="L127">
        <v>57</v>
      </c>
      <c r="N127">
        <v>0.86</v>
      </c>
      <c r="P127">
        <v>8.9655361498851995</v>
      </c>
      <c r="S127">
        <v>-4.03268821314294E-4</v>
      </c>
      <c r="T127" s="6"/>
      <c r="U127" s="6"/>
      <c r="X127" t="s">
        <v>9</v>
      </c>
      <c r="Y127">
        <v>3</v>
      </c>
      <c r="Z127" t="s">
        <v>4</v>
      </c>
      <c r="AA127" s="16">
        <v>43720</v>
      </c>
      <c r="AB127">
        <v>255.51950500000021</v>
      </c>
      <c r="AC127" s="4">
        <v>196.2</v>
      </c>
      <c r="AE127">
        <v>-0.13064632872809301</v>
      </c>
      <c r="AH127">
        <v>-3.1305333316452699E-4</v>
      </c>
    </row>
    <row r="128" spans="1:36" x14ac:dyDescent="0.2">
      <c r="A128" t="s">
        <v>9</v>
      </c>
      <c r="B128">
        <v>4</v>
      </c>
      <c r="C128" s="2">
        <v>43720</v>
      </c>
      <c r="D128" s="13">
        <v>255.53854499999943</v>
      </c>
      <c r="E128" s="13"/>
      <c r="F128" s="4">
        <v>226.2</v>
      </c>
      <c r="H128">
        <v>9.8000000000000007</v>
      </c>
      <c r="J128">
        <v>15</v>
      </c>
      <c r="L128">
        <v>53.6</v>
      </c>
      <c r="N128">
        <v>0.85</v>
      </c>
      <c r="P128">
        <v>8.0848940420943691</v>
      </c>
      <c r="S128">
        <v>-3.30890078898993E-4</v>
      </c>
      <c r="T128" s="6"/>
      <c r="U128" s="6"/>
      <c r="X128" t="s">
        <v>9</v>
      </c>
      <c r="Y128">
        <v>4</v>
      </c>
      <c r="Z128" t="s">
        <v>4</v>
      </c>
      <c r="AA128" s="16">
        <v>43720</v>
      </c>
      <c r="AB128">
        <v>255.53188500000033</v>
      </c>
      <c r="AC128" s="4">
        <v>186.2</v>
      </c>
      <c r="AE128">
        <v>1.5229515783664</v>
      </c>
      <c r="AH128">
        <v>-3.0434252582639001E-4</v>
      </c>
    </row>
    <row r="129" spans="1:36" x14ac:dyDescent="0.2">
      <c r="A129" t="s">
        <v>9</v>
      </c>
      <c r="B129">
        <v>5</v>
      </c>
      <c r="C129" s="2">
        <v>43720</v>
      </c>
      <c r="D129" s="13">
        <v>255.55254499999864</v>
      </c>
      <c r="E129" s="13"/>
      <c r="F129" s="4">
        <v>178.7</v>
      </c>
      <c r="H129">
        <v>12.7</v>
      </c>
      <c r="J129">
        <v>15</v>
      </c>
      <c r="L129">
        <v>48.4</v>
      </c>
      <c r="N129">
        <v>0.85</v>
      </c>
      <c r="P129">
        <v>10.784258793402801</v>
      </c>
      <c r="S129">
        <v>-2.7369658798283899E-4</v>
      </c>
      <c r="T129" s="6"/>
      <c r="U129" s="6"/>
      <c r="X129" t="s">
        <v>9</v>
      </c>
      <c r="Y129">
        <v>5</v>
      </c>
      <c r="Z129" t="s">
        <v>4</v>
      </c>
      <c r="AA129" s="16">
        <v>43720</v>
      </c>
      <c r="AB129">
        <v>255.54612500000076</v>
      </c>
      <c r="AC129" s="4">
        <v>121.2</v>
      </c>
      <c r="AE129">
        <v>1.9137886251157199</v>
      </c>
      <c r="AH129">
        <v>-2.7987839675227199E-4</v>
      </c>
    </row>
    <row r="130" spans="1:36" x14ac:dyDescent="0.2">
      <c r="A130" t="s">
        <v>9</v>
      </c>
      <c r="B130">
        <v>1</v>
      </c>
      <c r="C130" s="2">
        <v>43728</v>
      </c>
      <c r="D130" s="13">
        <v>263.44838000000163</v>
      </c>
      <c r="E130" s="13">
        <v>263.47707199999934</v>
      </c>
      <c r="F130" s="4">
        <v>728.7</v>
      </c>
      <c r="G130" s="4">
        <v>1290.7</v>
      </c>
      <c r="H130">
        <v>4.3</v>
      </c>
      <c r="I130">
        <v>4.5599999999999996</v>
      </c>
      <c r="J130">
        <v>15</v>
      </c>
      <c r="K130">
        <v>16.446000000000002</v>
      </c>
      <c r="L130">
        <v>44.7</v>
      </c>
      <c r="M130">
        <v>49.019999999999996</v>
      </c>
      <c r="N130">
        <v>0.83</v>
      </c>
      <c r="O130" s="4">
        <v>0.78200000000000003</v>
      </c>
      <c r="P130">
        <v>7.4753043316635397</v>
      </c>
      <c r="Q130">
        <v>8.8192992229738287</v>
      </c>
      <c r="R130">
        <v>1.3405431580636598</v>
      </c>
      <c r="S130">
        <v>-5.0133885385252302E-4</v>
      </c>
      <c r="T130" s="6">
        <v>-4.4200943963147141E-4</v>
      </c>
      <c r="U130" s="6">
        <v>7.3521992226241196E-5</v>
      </c>
      <c r="X130" t="s">
        <v>9</v>
      </c>
      <c r="Y130">
        <v>1</v>
      </c>
      <c r="Z130" t="s">
        <v>4</v>
      </c>
      <c r="AA130" s="16">
        <v>43728</v>
      </c>
      <c r="AB130">
        <v>263.44230500000049</v>
      </c>
      <c r="AC130" s="4">
        <v>958.7</v>
      </c>
      <c r="AD130" s="4">
        <v>1367.2</v>
      </c>
      <c r="AE130">
        <v>-3.2305824948991901</v>
      </c>
      <c r="AF130">
        <v>-4.3504473053461048</v>
      </c>
      <c r="AG130">
        <v>4.4716279425848837</v>
      </c>
      <c r="AH130">
        <v>-4.1900868800597799E-4</v>
      </c>
      <c r="AI130">
        <v>-4.0103218600615021E-4</v>
      </c>
      <c r="AJ130">
        <v>7.8292847320327253E-5</v>
      </c>
    </row>
    <row r="131" spans="1:36" x14ac:dyDescent="0.2">
      <c r="A131" t="s">
        <v>9</v>
      </c>
      <c r="B131">
        <v>2</v>
      </c>
      <c r="C131" s="2">
        <v>43728</v>
      </c>
      <c r="D131" s="13">
        <v>263.46330999999918</v>
      </c>
      <c r="E131" s="13"/>
      <c r="F131" s="4">
        <v>1258.7</v>
      </c>
      <c r="H131">
        <v>5.0999999999999996</v>
      </c>
      <c r="J131">
        <v>15</v>
      </c>
      <c r="L131">
        <v>50.7</v>
      </c>
      <c r="N131">
        <v>0.75</v>
      </c>
      <c r="P131">
        <v>8.9489907674715905</v>
      </c>
      <c r="S131">
        <v>-4.8083780994268997E-4</v>
      </c>
      <c r="X131" t="s">
        <v>9</v>
      </c>
      <c r="Y131">
        <v>2</v>
      </c>
      <c r="Z131" t="s">
        <v>4</v>
      </c>
      <c r="AA131" s="16">
        <v>43728</v>
      </c>
      <c r="AB131">
        <v>263.45509500000117</v>
      </c>
      <c r="AC131" s="4">
        <v>1428.7</v>
      </c>
      <c r="AE131">
        <v>-8.0175154302718408</v>
      </c>
      <c r="AH131">
        <v>-4.8564282369625898E-4</v>
      </c>
    </row>
    <row r="132" spans="1:36" x14ac:dyDescent="0.2">
      <c r="A132" t="s">
        <v>9</v>
      </c>
      <c r="B132">
        <v>3</v>
      </c>
      <c r="C132" s="2">
        <v>43728</v>
      </c>
      <c r="D132" s="13">
        <v>263.47708499999862</v>
      </c>
      <c r="E132" s="13"/>
      <c r="F132" s="4">
        <v>1461.2</v>
      </c>
      <c r="H132">
        <v>5.3</v>
      </c>
      <c r="J132">
        <v>16.670000000000002</v>
      </c>
      <c r="L132">
        <v>51.5</v>
      </c>
      <c r="N132">
        <v>0.75</v>
      </c>
      <c r="P132">
        <v>10.212145416558201</v>
      </c>
      <c r="S132">
        <v>-5.02072785462198E-4</v>
      </c>
      <c r="T132" s="6"/>
      <c r="U132" s="6"/>
      <c r="X132" t="s">
        <v>9</v>
      </c>
      <c r="Y132">
        <v>3</v>
      </c>
      <c r="Z132" t="s">
        <v>4</v>
      </c>
      <c r="AA132" s="16">
        <v>43728</v>
      </c>
      <c r="AB132">
        <v>263.47042499999952</v>
      </c>
      <c r="AC132" s="4">
        <v>1463.7</v>
      </c>
      <c r="AE132">
        <v>-9.7524570052202009</v>
      </c>
      <c r="AH132">
        <v>-4.5481784006313699E-4</v>
      </c>
    </row>
    <row r="133" spans="1:36" x14ac:dyDescent="0.2">
      <c r="A133" t="s">
        <v>9</v>
      </c>
      <c r="B133">
        <v>4</v>
      </c>
      <c r="C133" s="2">
        <v>43728</v>
      </c>
      <c r="D133" s="13">
        <v>263.49102999999741</v>
      </c>
      <c r="E133" s="13"/>
      <c r="F133" s="4">
        <v>1506.2</v>
      </c>
      <c r="H133">
        <v>3.9</v>
      </c>
      <c r="J133">
        <v>16.670000000000002</v>
      </c>
      <c r="L133">
        <v>51.8</v>
      </c>
      <c r="N133">
        <v>0.79</v>
      </c>
      <c r="P133">
        <v>7.4244393543086096</v>
      </c>
      <c r="S133">
        <v>-3.7822439355651499E-4</v>
      </c>
      <c r="T133" s="6"/>
      <c r="U133" s="6"/>
      <c r="X133" t="s">
        <v>9</v>
      </c>
      <c r="Y133">
        <v>4</v>
      </c>
      <c r="Z133" t="s">
        <v>4</v>
      </c>
      <c r="AA133" s="16">
        <v>43728</v>
      </c>
      <c r="AB133">
        <v>263.48414499999853</v>
      </c>
      <c r="AC133" s="4">
        <v>1498.7</v>
      </c>
      <c r="AE133">
        <v>-1.8764469140087201</v>
      </c>
      <c r="AH133">
        <v>-2.9187932955807098E-4</v>
      </c>
    </row>
    <row r="134" spans="1:36" x14ac:dyDescent="0.2">
      <c r="A134" t="s">
        <v>9</v>
      </c>
      <c r="B134">
        <v>5</v>
      </c>
      <c r="C134" s="2">
        <v>43728</v>
      </c>
      <c r="D134" s="13">
        <v>263.50555499999973</v>
      </c>
      <c r="E134" s="13"/>
      <c r="F134" s="4">
        <v>1498.7</v>
      </c>
      <c r="H134">
        <v>4.2</v>
      </c>
      <c r="J134">
        <v>18.89</v>
      </c>
      <c r="L134">
        <v>46.4</v>
      </c>
      <c r="N134">
        <v>0.79</v>
      </c>
      <c r="P134">
        <v>10.035616244867199</v>
      </c>
      <c r="S134">
        <v>-3.47573355343431E-4</v>
      </c>
      <c r="T134" s="6"/>
      <c r="U134" s="6"/>
      <c r="X134" t="s">
        <v>9</v>
      </c>
      <c r="Y134">
        <v>5</v>
      </c>
      <c r="Z134" t="s">
        <v>4</v>
      </c>
      <c r="AA134" s="16">
        <v>43728</v>
      </c>
      <c r="AB134">
        <v>263.49826499999836</v>
      </c>
      <c r="AC134" s="4">
        <v>1486.2</v>
      </c>
      <c r="AE134">
        <v>1.1247653176694301</v>
      </c>
      <c r="AH134">
        <v>-3.53812248707306E-4</v>
      </c>
    </row>
    <row r="135" spans="1:36" x14ac:dyDescent="0.2">
      <c r="A135" t="s">
        <v>9</v>
      </c>
      <c r="B135">
        <v>1</v>
      </c>
      <c r="C135" s="2">
        <v>43742</v>
      </c>
      <c r="D135" s="13">
        <v>277.56874999999854</v>
      </c>
      <c r="E135" s="13">
        <v>277.59444599999989</v>
      </c>
      <c r="F135" s="4">
        <v>363.7</v>
      </c>
      <c r="G135" s="4">
        <v>475.7</v>
      </c>
      <c r="H135">
        <v>13.4</v>
      </c>
      <c r="I135">
        <v>13.420000000000002</v>
      </c>
      <c r="J135">
        <v>11.67</v>
      </c>
      <c r="K135">
        <v>11.891999999999999</v>
      </c>
      <c r="L135">
        <v>41.9</v>
      </c>
      <c r="M135">
        <v>46.5</v>
      </c>
      <c r="N135">
        <v>0.76</v>
      </c>
      <c r="O135" s="4">
        <v>0.77600000000000002</v>
      </c>
      <c r="P135">
        <v>4.11940833397147</v>
      </c>
      <c r="Q135">
        <v>4.8636707307292077</v>
      </c>
      <c r="R135">
        <v>0.75728077558402829</v>
      </c>
      <c r="S135">
        <v>-2.4722750217563298E-4</v>
      </c>
      <c r="T135" s="6">
        <v>-2.8168016266901159E-4</v>
      </c>
      <c r="U135" s="6">
        <v>7.3765237197981521E-5</v>
      </c>
      <c r="X135" t="s">
        <v>9</v>
      </c>
      <c r="Y135">
        <v>1</v>
      </c>
      <c r="Z135" t="s">
        <v>4</v>
      </c>
      <c r="AA135" s="16">
        <v>43742</v>
      </c>
      <c r="AB135">
        <v>277.56145499999911</v>
      </c>
      <c r="AC135" s="4">
        <v>476.2</v>
      </c>
      <c r="AD135" s="4">
        <v>573.70000000000005</v>
      </c>
      <c r="AE135">
        <v>-2.1471864762095501</v>
      </c>
      <c r="AF135">
        <v>-3.1226388379830659</v>
      </c>
      <c r="AG135">
        <v>0.90208687187918146</v>
      </c>
      <c r="AH135">
        <v>-4.7322986491197199E-4</v>
      </c>
      <c r="AI135">
        <v>-3.4519916602333562E-4</v>
      </c>
      <c r="AJ135">
        <v>1.0953086978644129E-4</v>
      </c>
    </row>
    <row r="136" spans="1:36" x14ac:dyDescent="0.2">
      <c r="A136" t="s">
        <v>9</v>
      </c>
      <c r="B136">
        <v>2</v>
      </c>
      <c r="C136" s="2">
        <v>43742</v>
      </c>
      <c r="D136" s="13">
        <v>277.58159499999965</v>
      </c>
      <c r="E136" s="13"/>
      <c r="F136" s="4">
        <v>313.7</v>
      </c>
      <c r="H136">
        <v>14.4</v>
      </c>
      <c r="J136">
        <v>11.67</v>
      </c>
      <c r="L136">
        <v>46.2</v>
      </c>
      <c r="N136">
        <v>0.76</v>
      </c>
      <c r="P136">
        <v>6.1232854434772097</v>
      </c>
      <c r="S136">
        <v>-3.6450446728361998E-4</v>
      </c>
      <c r="X136" t="s">
        <v>9</v>
      </c>
      <c r="Y136">
        <v>2</v>
      </c>
      <c r="Z136" t="s">
        <v>4</v>
      </c>
      <c r="AA136" s="16">
        <v>43742</v>
      </c>
      <c r="AB136">
        <v>277.57534500000111</v>
      </c>
      <c r="AC136" s="4">
        <v>403.7</v>
      </c>
      <c r="AE136">
        <v>-3.1229634948365699</v>
      </c>
      <c r="AH136">
        <v>-4.3623635462864302E-4</v>
      </c>
    </row>
    <row r="137" spans="1:36" x14ac:dyDescent="0.2">
      <c r="A137" t="s">
        <v>9</v>
      </c>
      <c r="B137">
        <v>3</v>
      </c>
      <c r="C137" s="2">
        <v>43742</v>
      </c>
      <c r="D137" s="13">
        <v>277.59479500000089</v>
      </c>
      <c r="E137" s="13"/>
      <c r="F137" s="4">
        <v>676.2</v>
      </c>
      <c r="H137">
        <v>12.8</v>
      </c>
      <c r="J137">
        <v>11.67</v>
      </c>
      <c r="L137">
        <v>42.4</v>
      </c>
      <c r="N137">
        <v>0.78</v>
      </c>
      <c r="P137">
        <v>4.8256916856314698</v>
      </c>
      <c r="S137">
        <v>-3.23345218569919E-4</v>
      </c>
      <c r="T137" s="6"/>
      <c r="U137" s="6"/>
      <c r="X137" t="s">
        <v>9</v>
      </c>
      <c r="Y137">
        <v>3</v>
      </c>
      <c r="Z137" t="s">
        <v>4</v>
      </c>
      <c r="AA137" s="16">
        <v>43742</v>
      </c>
      <c r="AB137">
        <v>277.5878449999982</v>
      </c>
      <c r="AC137" s="4">
        <v>463.7</v>
      </c>
      <c r="AE137">
        <v>-4.4652103692242298</v>
      </c>
      <c r="AH137">
        <v>-3.41555416940779E-4</v>
      </c>
    </row>
    <row r="138" spans="1:36" x14ac:dyDescent="0.2">
      <c r="A138" t="s">
        <v>9</v>
      </c>
      <c r="B138">
        <v>4</v>
      </c>
      <c r="C138" s="2">
        <v>43742</v>
      </c>
      <c r="D138" s="13">
        <v>277.60729500000161</v>
      </c>
      <c r="E138" s="13"/>
      <c r="F138" s="4">
        <v>411.2</v>
      </c>
      <c r="H138">
        <v>13.3</v>
      </c>
      <c r="J138">
        <v>11.67</v>
      </c>
      <c r="L138">
        <v>48.3</v>
      </c>
      <c r="N138">
        <v>0.78</v>
      </c>
      <c r="P138">
        <v>4.7627446207065196</v>
      </c>
      <c r="S138">
        <v>-2.9962652129249701E-4</v>
      </c>
      <c r="T138" s="6"/>
      <c r="U138" s="6"/>
      <c r="X138" t="s">
        <v>9</v>
      </c>
      <c r="Y138">
        <v>4</v>
      </c>
      <c r="Z138" t="s">
        <v>4</v>
      </c>
      <c r="AA138" s="16">
        <v>43742</v>
      </c>
      <c r="AB138">
        <v>277.60104499999943</v>
      </c>
      <c r="AC138" s="4">
        <v>1126.2</v>
      </c>
      <c r="AE138">
        <v>-3.40449703765242</v>
      </c>
      <c r="AH138">
        <v>-2.3072841480464799E-4</v>
      </c>
    </row>
    <row r="139" spans="1:36" x14ac:dyDescent="0.2">
      <c r="A139" t="s">
        <v>9</v>
      </c>
      <c r="B139">
        <v>5</v>
      </c>
      <c r="C139" s="2">
        <v>43742</v>
      </c>
      <c r="D139" s="13">
        <v>277.6197949999987</v>
      </c>
      <c r="E139" s="13"/>
      <c r="F139" s="4">
        <v>613.70000000000005</v>
      </c>
      <c r="H139">
        <v>13.2</v>
      </c>
      <c r="J139">
        <v>12.78</v>
      </c>
      <c r="L139">
        <v>53.7</v>
      </c>
      <c r="N139">
        <v>0.8</v>
      </c>
      <c r="P139">
        <v>4.4872235698593697</v>
      </c>
      <c r="S139">
        <v>-1.73697104023389E-4</v>
      </c>
      <c r="T139" s="6"/>
      <c r="U139" s="6"/>
      <c r="X139" t="s">
        <v>9</v>
      </c>
      <c r="Y139">
        <v>5</v>
      </c>
      <c r="Z139" t="s">
        <v>4</v>
      </c>
      <c r="AA139" s="16">
        <v>43742</v>
      </c>
      <c r="AB139">
        <v>277.61284499999965</v>
      </c>
      <c r="AC139" s="4">
        <v>398.7</v>
      </c>
      <c r="AE139">
        <v>-2.4733368119925601</v>
      </c>
      <c r="AH139">
        <v>-2.4424577883063597E-4</v>
      </c>
    </row>
    <row r="140" spans="1:36" x14ac:dyDescent="0.2">
      <c r="A140" t="s">
        <v>9</v>
      </c>
      <c r="B140">
        <v>1</v>
      </c>
      <c r="C140" s="2">
        <v>43742</v>
      </c>
      <c r="D140" s="13">
        <v>277.64965500000108</v>
      </c>
      <c r="E140" s="13">
        <v>277.67448000000076</v>
      </c>
      <c r="F140" s="4">
        <v>376.2</v>
      </c>
      <c r="G140" s="4">
        <v>356.20000000000005</v>
      </c>
      <c r="H140">
        <v>10</v>
      </c>
      <c r="I140">
        <v>11.959999999999999</v>
      </c>
      <c r="J140">
        <v>12.78</v>
      </c>
      <c r="K140">
        <v>13.001999999999999</v>
      </c>
      <c r="L140">
        <v>50.2</v>
      </c>
      <c r="M140">
        <v>55.3</v>
      </c>
      <c r="N140">
        <v>0.74</v>
      </c>
      <c r="O140" s="4">
        <v>0.76800000000000002</v>
      </c>
      <c r="P140">
        <v>5.8717233559010804</v>
      </c>
      <c r="Q140">
        <v>5.6302927734341779</v>
      </c>
      <c r="R140">
        <v>0.95592208798858858</v>
      </c>
      <c r="S140">
        <v>-2.81920072589456E-4</v>
      </c>
      <c r="T140" s="6">
        <v>-2.8402435836031919E-4</v>
      </c>
      <c r="U140" s="6">
        <v>5.7364062800234436E-5</v>
      </c>
      <c r="X140" t="s">
        <v>9</v>
      </c>
      <c r="Y140">
        <v>1</v>
      </c>
      <c r="Z140" t="s">
        <v>4</v>
      </c>
      <c r="AA140" s="16">
        <v>43742</v>
      </c>
      <c r="AB140">
        <v>277.64409499999965</v>
      </c>
      <c r="AC140" s="4">
        <v>361.2</v>
      </c>
      <c r="AD140" s="4">
        <v>465.19999999999993</v>
      </c>
      <c r="AE140">
        <v>-2.7129669551187501</v>
      </c>
      <c r="AF140">
        <v>-3.4711828906749056</v>
      </c>
      <c r="AG140">
        <v>4.1734538935702448</v>
      </c>
      <c r="AH140">
        <v>-2.1968315451771999E-4</v>
      </c>
      <c r="AI140">
        <v>-2.8360036162071044E-4</v>
      </c>
      <c r="AJ140">
        <v>8.2840552960972339E-5</v>
      </c>
    </row>
    <row r="141" spans="1:36" x14ac:dyDescent="0.2">
      <c r="A141" t="s">
        <v>9</v>
      </c>
      <c r="B141">
        <v>2</v>
      </c>
      <c r="C141" s="2">
        <v>43742</v>
      </c>
      <c r="D141" s="13">
        <v>277.6621550000018</v>
      </c>
      <c r="E141" s="13"/>
      <c r="F141" s="4">
        <v>656.2</v>
      </c>
      <c r="H141">
        <v>13.5</v>
      </c>
      <c r="J141">
        <v>12.78</v>
      </c>
      <c r="L141">
        <v>58.5</v>
      </c>
      <c r="N141">
        <v>0.78</v>
      </c>
      <c r="P141">
        <v>5.6461694063415004</v>
      </c>
      <c r="S141">
        <v>-3.3699913374115502E-4</v>
      </c>
      <c r="X141" t="s">
        <v>9</v>
      </c>
      <c r="Y141">
        <v>2</v>
      </c>
      <c r="Z141" t="s">
        <v>4</v>
      </c>
      <c r="AA141" s="16">
        <v>43742</v>
      </c>
      <c r="AB141">
        <v>277.65659500000038</v>
      </c>
      <c r="AC141" s="4">
        <v>443.7</v>
      </c>
      <c r="AE141">
        <v>-4.3262230590501796</v>
      </c>
      <c r="AH141">
        <v>-4.1528958354652501E-4</v>
      </c>
    </row>
    <row r="142" spans="1:36" x14ac:dyDescent="0.2">
      <c r="A142" t="s">
        <v>9</v>
      </c>
      <c r="B142">
        <v>3</v>
      </c>
      <c r="C142" s="2">
        <v>43742</v>
      </c>
      <c r="D142" s="13">
        <v>277.67448000000149</v>
      </c>
      <c r="E142" s="13"/>
      <c r="F142" s="4">
        <v>278.7</v>
      </c>
      <c r="H142">
        <v>13.3</v>
      </c>
      <c r="J142">
        <v>12.78</v>
      </c>
      <c r="L142">
        <v>57.6</v>
      </c>
      <c r="N142">
        <v>0.77</v>
      </c>
      <c r="P142">
        <v>6.8320172175469596</v>
      </c>
      <c r="S142">
        <v>-3.4659729820584601E-4</v>
      </c>
      <c r="T142" s="6"/>
      <c r="U142" s="6"/>
      <c r="X142" t="s">
        <v>9</v>
      </c>
      <c r="Y142">
        <v>3</v>
      </c>
      <c r="Z142" t="s">
        <v>4</v>
      </c>
      <c r="AA142" s="16">
        <v>43742</v>
      </c>
      <c r="AB142">
        <v>277.66770499999984</v>
      </c>
      <c r="AC142" s="4">
        <v>996.2</v>
      </c>
      <c r="AE142">
        <v>-10.0472353497484</v>
      </c>
      <c r="AH142">
        <v>-2.8820365228331499E-4</v>
      </c>
    </row>
    <row r="143" spans="1:36" x14ac:dyDescent="0.2">
      <c r="A143" t="s">
        <v>9</v>
      </c>
      <c r="B143">
        <v>4</v>
      </c>
      <c r="C143" s="2">
        <v>43742</v>
      </c>
      <c r="D143" s="13">
        <v>277.68784500000038</v>
      </c>
      <c r="E143" s="13"/>
      <c r="F143" s="4">
        <v>268.7</v>
      </c>
      <c r="H143">
        <v>10.9</v>
      </c>
      <c r="J143">
        <v>12.78</v>
      </c>
      <c r="L143">
        <v>58.6</v>
      </c>
      <c r="N143">
        <v>0.78</v>
      </c>
      <c r="P143">
        <v>5.6383672867416799</v>
      </c>
      <c r="S143">
        <v>-2.2822712032701399E-4</v>
      </c>
      <c r="T143" s="6"/>
      <c r="U143" s="6"/>
      <c r="X143" t="s">
        <v>9</v>
      </c>
      <c r="Y143">
        <v>4</v>
      </c>
      <c r="Z143" t="s">
        <v>4</v>
      </c>
      <c r="AA143" s="16">
        <v>43742</v>
      </c>
      <c r="AB143">
        <v>277.68090500000108</v>
      </c>
      <c r="AC143" s="4">
        <v>263.7</v>
      </c>
      <c r="AE143">
        <v>1.06040751577911</v>
      </c>
      <c r="AH143">
        <v>-2.8853743147442602E-4</v>
      </c>
    </row>
    <row r="144" spans="1:36" x14ac:dyDescent="0.2">
      <c r="A144" t="s">
        <v>9</v>
      </c>
      <c r="B144">
        <v>5</v>
      </c>
      <c r="C144" s="2">
        <v>43742</v>
      </c>
      <c r="D144" s="13">
        <v>277.69826499999908</v>
      </c>
      <c r="E144" s="13"/>
      <c r="F144" s="4">
        <v>201.2</v>
      </c>
      <c r="H144">
        <v>12.1</v>
      </c>
      <c r="J144">
        <v>13.89</v>
      </c>
      <c r="L144">
        <v>51.6</v>
      </c>
      <c r="N144">
        <v>0.77</v>
      </c>
      <c r="P144">
        <v>4.1631866006396701</v>
      </c>
      <c r="S144">
        <v>-2.2637816693812501E-4</v>
      </c>
      <c r="T144" s="6"/>
      <c r="U144" s="6"/>
      <c r="X144" t="s">
        <v>9</v>
      </c>
      <c r="Y144">
        <v>5</v>
      </c>
      <c r="Z144" t="s">
        <v>4</v>
      </c>
      <c r="AA144" s="16">
        <v>43742</v>
      </c>
      <c r="AB144">
        <v>277.6927050000013</v>
      </c>
      <c r="AC144" s="4">
        <v>261.2</v>
      </c>
      <c r="AE144">
        <v>-1.3298966052363099</v>
      </c>
      <c r="AH144">
        <v>-2.0628798628156601E-4</v>
      </c>
    </row>
    <row r="145" spans="1:36" x14ac:dyDescent="0.2">
      <c r="A145" t="s">
        <v>9</v>
      </c>
      <c r="B145">
        <v>1</v>
      </c>
      <c r="C145" s="2">
        <v>43748</v>
      </c>
      <c r="D145" s="13">
        <v>283.45451500000127</v>
      </c>
      <c r="E145" s="13">
        <v>283.47787000000028</v>
      </c>
      <c r="F145" s="4">
        <v>1181.2</v>
      </c>
      <c r="G145" s="4">
        <v>1262.7</v>
      </c>
      <c r="H145">
        <v>17</v>
      </c>
      <c r="I145">
        <v>15.62</v>
      </c>
      <c r="J145">
        <v>15</v>
      </c>
      <c r="K145">
        <v>15.778</v>
      </c>
      <c r="L145">
        <v>45.8</v>
      </c>
      <c r="M145">
        <v>46.059999999999988</v>
      </c>
      <c r="N145">
        <v>0.77</v>
      </c>
      <c r="O145" s="4">
        <v>0.76</v>
      </c>
      <c r="P145">
        <v>6.5913460955809899</v>
      </c>
      <c r="Q145">
        <v>7.0472194808858344</v>
      </c>
      <c r="R145">
        <v>1.0898615781749352</v>
      </c>
      <c r="S145">
        <v>-2.8887034208324399E-4</v>
      </c>
      <c r="T145" s="6">
        <v>-1.8303110136657676E-4</v>
      </c>
      <c r="U145" s="6">
        <v>8.9170562670005859E-5</v>
      </c>
      <c r="X145" t="s">
        <v>9</v>
      </c>
      <c r="Y145">
        <v>1</v>
      </c>
      <c r="Z145" t="s">
        <v>4</v>
      </c>
      <c r="AA145" s="16">
        <v>43748</v>
      </c>
      <c r="AB145">
        <v>283.44826499999908</v>
      </c>
      <c r="AC145" s="4">
        <v>1163.7</v>
      </c>
      <c r="AD145" s="4">
        <v>1243.7</v>
      </c>
      <c r="AE145">
        <v>-2.7807703057687498</v>
      </c>
      <c r="AF145">
        <v>-5.7789287404171814</v>
      </c>
      <c r="AG145">
        <v>2.4318186141273501</v>
      </c>
      <c r="AH145">
        <v>-2.27232323915993E-4</v>
      </c>
      <c r="AI145">
        <v>-1.5977799963054837E-4</v>
      </c>
      <c r="AJ145">
        <v>1.2168122324286124E-4</v>
      </c>
    </row>
    <row r="146" spans="1:36" x14ac:dyDescent="0.2">
      <c r="A146" t="s">
        <v>9</v>
      </c>
      <c r="B146">
        <v>2</v>
      </c>
      <c r="C146" s="2">
        <v>43748</v>
      </c>
      <c r="D146" s="13">
        <v>283.46527499999866</v>
      </c>
      <c r="E146" s="13"/>
      <c r="F146" s="4">
        <v>1221.2</v>
      </c>
      <c r="H146">
        <v>13.3</v>
      </c>
      <c r="J146">
        <v>15</v>
      </c>
      <c r="L146">
        <v>53.3</v>
      </c>
      <c r="N146">
        <v>0.73</v>
      </c>
      <c r="P146">
        <v>8.7634262268029293</v>
      </c>
      <c r="S146">
        <v>-2.2165517967780499E-4</v>
      </c>
      <c r="X146" t="s">
        <v>9</v>
      </c>
      <c r="Y146">
        <v>2</v>
      </c>
      <c r="Z146" t="s">
        <v>4</v>
      </c>
      <c r="AA146" s="16">
        <v>43748</v>
      </c>
      <c r="AB146">
        <v>283.460070000001</v>
      </c>
      <c r="AC146" s="4">
        <v>1201.2</v>
      </c>
      <c r="AE146">
        <v>-9.3414888721381093</v>
      </c>
      <c r="AH146">
        <v>-3.1060059587653899E-4</v>
      </c>
    </row>
    <row r="147" spans="1:36" x14ac:dyDescent="0.2">
      <c r="A147" t="s">
        <v>9</v>
      </c>
      <c r="B147">
        <v>3</v>
      </c>
      <c r="C147" s="2">
        <v>43748</v>
      </c>
      <c r="D147" s="13">
        <v>283.47858500000075</v>
      </c>
      <c r="E147" s="13"/>
      <c r="F147" s="4">
        <v>1268.7</v>
      </c>
      <c r="H147">
        <v>15.6</v>
      </c>
      <c r="J147">
        <v>15</v>
      </c>
      <c r="L147">
        <v>41.8</v>
      </c>
      <c r="N147">
        <v>0.75</v>
      </c>
      <c r="P147">
        <v>6.7678028709351299</v>
      </c>
      <c r="S147">
        <v>-1.99051754828734E-4</v>
      </c>
      <c r="T147" s="6"/>
      <c r="U147" s="6"/>
      <c r="X147" t="s">
        <v>9</v>
      </c>
      <c r="Y147">
        <v>3</v>
      </c>
      <c r="Z147" t="s">
        <v>4</v>
      </c>
      <c r="AA147" s="16">
        <v>43748</v>
      </c>
      <c r="AB147">
        <v>283.47187499999927</v>
      </c>
      <c r="AC147" s="4">
        <v>1246.2</v>
      </c>
      <c r="AE147">
        <v>-6.4746570328216801</v>
      </c>
      <c r="AH147">
        <v>-1.61980197074832E-4</v>
      </c>
    </row>
    <row r="148" spans="1:36" x14ac:dyDescent="0.2">
      <c r="A148" t="s">
        <v>9</v>
      </c>
      <c r="B148">
        <v>4</v>
      </c>
      <c r="C148" s="2">
        <v>43748</v>
      </c>
      <c r="D148" s="13">
        <v>283.48992999999973</v>
      </c>
      <c r="E148" s="13"/>
      <c r="F148" s="4">
        <v>1308.7</v>
      </c>
      <c r="H148">
        <v>14.6</v>
      </c>
      <c r="J148">
        <v>15</v>
      </c>
      <c r="L148">
        <v>55.1</v>
      </c>
      <c r="N148">
        <v>0.77</v>
      </c>
      <c r="P148">
        <v>7.2774671560315101</v>
      </c>
      <c r="S148">
        <v>-1.57458936029528E-4</v>
      </c>
      <c r="T148" s="6"/>
      <c r="U148" s="6"/>
      <c r="X148" t="s">
        <v>9</v>
      </c>
      <c r="Y148">
        <v>4</v>
      </c>
      <c r="Z148" t="s">
        <v>4</v>
      </c>
      <c r="AA148" s="16">
        <v>43748</v>
      </c>
      <c r="AB148">
        <v>283.48367999999755</v>
      </c>
      <c r="AC148" s="4">
        <v>1286.2</v>
      </c>
      <c r="AE148">
        <v>-4.5588735997260796</v>
      </c>
      <c r="AH148">
        <v>-1.1125297925017599E-4</v>
      </c>
    </row>
    <row r="149" spans="1:36" x14ac:dyDescent="0.2">
      <c r="A149" t="s">
        <v>9</v>
      </c>
      <c r="B149">
        <v>5</v>
      </c>
      <c r="C149" s="2">
        <v>43748</v>
      </c>
      <c r="D149" s="13">
        <v>283.50104500000089</v>
      </c>
      <c r="E149" s="13"/>
      <c r="F149" s="4">
        <v>1333.7</v>
      </c>
      <c r="H149">
        <v>17.600000000000001</v>
      </c>
      <c r="J149">
        <v>18.89</v>
      </c>
      <c r="L149">
        <v>34.299999999999997</v>
      </c>
      <c r="N149">
        <v>0.78</v>
      </c>
      <c r="P149">
        <v>5.8360550550786101</v>
      </c>
      <c r="S149" s="6">
        <v>-4.8119294213572699E-5</v>
      </c>
      <c r="T149" s="6"/>
      <c r="U149" s="6"/>
      <c r="X149" t="s">
        <v>9</v>
      </c>
      <c r="Y149">
        <v>5</v>
      </c>
      <c r="Z149" t="s">
        <v>4</v>
      </c>
      <c r="AA149" s="16">
        <v>43748</v>
      </c>
      <c r="AB149">
        <v>283.49548499999946</v>
      </c>
      <c r="AC149" s="4">
        <v>1321.2</v>
      </c>
      <c r="AE149">
        <v>-5.7388538916312903</v>
      </c>
      <c r="AH149">
        <v>1.21760979647981E-5</v>
      </c>
    </row>
    <row r="150" spans="1:36" x14ac:dyDescent="0.2">
      <c r="A150" t="s">
        <v>9</v>
      </c>
      <c r="B150">
        <v>1</v>
      </c>
      <c r="C150" s="2">
        <v>43748</v>
      </c>
      <c r="D150" s="13">
        <v>283.55590500000108</v>
      </c>
      <c r="E150" s="13">
        <v>283.5801630000002</v>
      </c>
      <c r="F150" s="4">
        <v>1361.2</v>
      </c>
      <c r="G150" s="4">
        <v>1299.2</v>
      </c>
      <c r="H150">
        <v>13</v>
      </c>
      <c r="I150">
        <v>14.940000000000001</v>
      </c>
      <c r="J150">
        <v>19.440000000000001</v>
      </c>
      <c r="K150">
        <v>19.776</v>
      </c>
      <c r="L150">
        <v>40.1</v>
      </c>
      <c r="M150">
        <v>43.36</v>
      </c>
      <c r="N150">
        <v>0.81</v>
      </c>
      <c r="O150" s="4">
        <v>0.77200000000000002</v>
      </c>
      <c r="P150">
        <v>7.5694815359768297</v>
      </c>
      <c r="Q150">
        <v>7.9617907173561848</v>
      </c>
      <c r="R150">
        <v>1.327849922467059</v>
      </c>
      <c r="S150" s="6">
        <v>-2.6216031303579501E-5</v>
      </c>
      <c r="T150" s="6">
        <v>-9.2876046251248555E-5</v>
      </c>
      <c r="U150" s="6">
        <v>6.4109345237949481E-5</v>
      </c>
      <c r="X150" t="s">
        <v>9</v>
      </c>
      <c r="Y150">
        <v>1</v>
      </c>
      <c r="Z150" t="s">
        <v>4</v>
      </c>
      <c r="AA150" s="16">
        <v>43748</v>
      </c>
      <c r="AB150">
        <v>283.55034499999965</v>
      </c>
      <c r="AC150" s="4">
        <v>1363.7</v>
      </c>
      <c r="AD150" s="4">
        <v>1314.2</v>
      </c>
      <c r="AE150">
        <v>-0.69894186539618797</v>
      </c>
      <c r="AF150">
        <v>-3.7755114711565922</v>
      </c>
      <c r="AG150">
        <v>1.9596786426027275</v>
      </c>
      <c r="AH150">
        <v>-1.03773255964392E-5</v>
      </c>
      <c r="AI150">
        <v>-8.3164137270099156E-5</v>
      </c>
      <c r="AJ150">
        <v>7.7554352651099521E-5</v>
      </c>
    </row>
    <row r="151" spans="1:36" x14ac:dyDescent="0.2">
      <c r="A151" t="s">
        <v>9</v>
      </c>
      <c r="B151">
        <v>2</v>
      </c>
      <c r="C151" s="2">
        <v>43748</v>
      </c>
      <c r="D151" s="13">
        <v>283.5684050000018</v>
      </c>
      <c r="E151" s="13"/>
      <c r="F151" s="4">
        <v>1338.7</v>
      </c>
      <c r="H151">
        <v>15.6</v>
      </c>
      <c r="J151">
        <v>19.440000000000001</v>
      </c>
      <c r="L151">
        <v>45.6</v>
      </c>
      <c r="N151">
        <v>0.74</v>
      </c>
      <c r="P151">
        <v>9.7822753374297307</v>
      </c>
      <c r="S151" s="6">
        <v>-4.79066984210515E-5</v>
      </c>
      <c r="X151" t="s">
        <v>9</v>
      </c>
      <c r="Y151">
        <v>2</v>
      </c>
      <c r="Z151" t="s">
        <v>4</v>
      </c>
      <c r="AA151" s="16">
        <v>43748</v>
      </c>
      <c r="AB151">
        <v>283.56145499999911</v>
      </c>
      <c r="AC151" s="4">
        <v>1351.2</v>
      </c>
      <c r="AE151">
        <v>-6.09081238231912</v>
      </c>
      <c r="AH151">
        <v>-6.7668500734996995E-5</v>
      </c>
    </row>
    <row r="152" spans="1:36" x14ac:dyDescent="0.2">
      <c r="A152" t="s">
        <v>9</v>
      </c>
      <c r="B152">
        <v>3</v>
      </c>
      <c r="C152" s="2">
        <v>43748</v>
      </c>
      <c r="D152" s="13">
        <v>283.58090499999889</v>
      </c>
      <c r="E152" s="13"/>
      <c r="F152" s="4">
        <v>1306.2</v>
      </c>
      <c r="H152">
        <v>16.5</v>
      </c>
      <c r="J152">
        <v>20</v>
      </c>
      <c r="L152">
        <v>46.9</v>
      </c>
      <c r="N152">
        <v>0.76</v>
      </c>
      <c r="P152">
        <v>8.56142815594675</v>
      </c>
      <c r="S152">
        <v>-1.8599169840471101E-4</v>
      </c>
      <c r="T152" s="6"/>
      <c r="U152" s="6"/>
      <c r="X152" t="s">
        <v>9</v>
      </c>
      <c r="Y152">
        <v>3</v>
      </c>
      <c r="Z152" t="s">
        <v>4</v>
      </c>
      <c r="AA152" s="16">
        <v>43748</v>
      </c>
      <c r="AB152">
        <v>283.57465500000035</v>
      </c>
      <c r="AC152" s="4">
        <v>1323.7</v>
      </c>
      <c r="AE152">
        <v>-4.3060082299258502</v>
      </c>
      <c r="AH152">
        <v>-1.7812348610354701E-4</v>
      </c>
    </row>
    <row r="153" spans="1:36" x14ac:dyDescent="0.2">
      <c r="A153" t="s">
        <v>9</v>
      </c>
      <c r="B153">
        <v>4</v>
      </c>
      <c r="C153" s="2">
        <v>43748</v>
      </c>
      <c r="D153" s="13">
        <v>283.59201499999836</v>
      </c>
      <c r="E153" s="13"/>
      <c r="F153" s="4">
        <v>1268.7</v>
      </c>
      <c r="H153">
        <v>15.4</v>
      </c>
      <c r="J153">
        <v>20</v>
      </c>
      <c r="L153">
        <v>37.200000000000003</v>
      </c>
      <c r="N153">
        <v>0.77</v>
      </c>
      <c r="P153">
        <v>7.7124407940427604</v>
      </c>
      <c r="S153">
        <v>-1.2592711655103701E-4</v>
      </c>
      <c r="T153" s="6"/>
      <c r="U153" s="6"/>
      <c r="X153" t="s">
        <v>9</v>
      </c>
      <c r="Y153">
        <v>4</v>
      </c>
      <c r="Z153" t="s">
        <v>4</v>
      </c>
      <c r="AA153" s="16">
        <v>43748</v>
      </c>
      <c r="AB153">
        <v>283.58645500000057</v>
      </c>
      <c r="AC153" s="4">
        <v>1288.7</v>
      </c>
      <c r="AE153">
        <v>-3.5536971821562502</v>
      </c>
      <c r="AH153">
        <v>-1.4867736567160899E-4</v>
      </c>
    </row>
    <row r="154" spans="1:36" x14ac:dyDescent="0.2">
      <c r="A154" t="s">
        <v>9</v>
      </c>
      <c r="B154">
        <v>5</v>
      </c>
      <c r="C154" s="2">
        <v>43748</v>
      </c>
      <c r="D154" s="13">
        <v>283.60358500000075</v>
      </c>
      <c r="E154" s="13"/>
      <c r="F154" s="4">
        <v>1221.2</v>
      </c>
      <c r="H154">
        <v>14.2</v>
      </c>
      <c r="J154">
        <v>20</v>
      </c>
      <c r="L154">
        <v>47</v>
      </c>
      <c r="N154">
        <v>0.78</v>
      </c>
      <c r="P154">
        <v>6.1833277633848498</v>
      </c>
      <c r="S154" s="6">
        <v>-7.8338686575863797E-5</v>
      </c>
      <c r="T154" s="6"/>
      <c r="U154" s="6"/>
      <c r="X154" t="s">
        <v>9</v>
      </c>
      <c r="Y154">
        <v>5</v>
      </c>
      <c r="Z154" t="s">
        <v>4</v>
      </c>
      <c r="AA154" s="16">
        <v>43748</v>
      </c>
      <c r="AB154">
        <v>283.59826500000054</v>
      </c>
      <c r="AC154" s="4">
        <v>1243.7</v>
      </c>
      <c r="AE154">
        <v>-4.2280976959855501</v>
      </c>
      <c r="AH154">
        <v>-1.09740082439036E-5</v>
      </c>
    </row>
    <row r="155" spans="1:36" x14ac:dyDescent="0.2">
      <c r="A155" t="s">
        <v>9</v>
      </c>
      <c r="B155">
        <v>1</v>
      </c>
      <c r="C155" s="2">
        <v>43760</v>
      </c>
      <c r="D155" s="13">
        <v>295.4322949999987</v>
      </c>
      <c r="E155" s="13">
        <v>295.4553469999999</v>
      </c>
      <c r="F155" s="4">
        <v>543.70000000000005</v>
      </c>
      <c r="G155" s="4">
        <v>516.20000000000005</v>
      </c>
      <c r="H155">
        <v>14.1</v>
      </c>
      <c r="I155">
        <v>15.425000000000001</v>
      </c>
      <c r="J155">
        <v>10.56</v>
      </c>
      <c r="K155">
        <v>11.556000000000001</v>
      </c>
      <c r="L155">
        <v>44</v>
      </c>
      <c r="M155">
        <v>45.300000000000004</v>
      </c>
      <c r="N155">
        <v>0.8</v>
      </c>
      <c r="O155" s="4">
        <v>0.77750000000000008</v>
      </c>
      <c r="P155">
        <v>4.5138156276968804</v>
      </c>
      <c r="Q155">
        <v>4.7905634941205824</v>
      </c>
      <c r="R155">
        <v>0.45187995204894676</v>
      </c>
      <c r="S155">
        <v>-2.9175271410624299E-4</v>
      </c>
      <c r="T155" s="6">
        <v>-2.1035798177827382E-4</v>
      </c>
      <c r="U155" s="6">
        <v>6.4519067616107398E-5</v>
      </c>
      <c r="X155" t="s">
        <v>9</v>
      </c>
      <c r="Y155">
        <v>1</v>
      </c>
      <c r="Z155" t="s">
        <v>4</v>
      </c>
      <c r="AA155" s="16">
        <v>43760</v>
      </c>
      <c r="AB155">
        <v>295.42604500000016</v>
      </c>
      <c r="AC155" s="4">
        <v>501.2</v>
      </c>
      <c r="AD155" s="4">
        <v>607.20000000000005</v>
      </c>
      <c r="AE155">
        <v>-0.46270977247100997</v>
      </c>
      <c r="AF155">
        <v>-5.7342561010127593</v>
      </c>
      <c r="AG155">
        <v>3.931733538526065</v>
      </c>
      <c r="AH155">
        <v>-1.17808424737506E-4</v>
      </c>
      <c r="AI155">
        <v>-1.6740281600656484E-4</v>
      </c>
      <c r="AJ155">
        <v>7.8712361668189037E-5</v>
      </c>
    </row>
    <row r="156" spans="1:36" x14ac:dyDescent="0.2">
      <c r="A156" t="s">
        <v>9</v>
      </c>
      <c r="B156">
        <v>2</v>
      </c>
      <c r="C156" s="2">
        <v>43760</v>
      </c>
      <c r="D156" s="13">
        <v>295.44409499999892</v>
      </c>
      <c r="E156" s="13"/>
      <c r="F156" s="4">
        <v>766.2</v>
      </c>
      <c r="H156">
        <v>16.899999999999999</v>
      </c>
      <c r="J156">
        <v>11.11</v>
      </c>
      <c r="L156">
        <v>44.3</v>
      </c>
      <c r="N156">
        <v>0.74</v>
      </c>
      <c r="P156">
        <v>5.4830755301884198</v>
      </c>
      <c r="S156">
        <v>-2.0437265507502201E-4</v>
      </c>
      <c r="X156" t="s">
        <v>9</v>
      </c>
      <c r="Y156">
        <v>2</v>
      </c>
      <c r="Z156" t="s">
        <v>4</v>
      </c>
      <c r="AA156" s="16">
        <v>43760</v>
      </c>
      <c r="AB156">
        <v>295.4375</v>
      </c>
      <c r="AC156" s="4">
        <v>753.7</v>
      </c>
      <c r="AE156">
        <v>-9.3749444977182002</v>
      </c>
      <c r="AH156">
        <v>-2.4454006500774199E-4</v>
      </c>
    </row>
    <row r="157" spans="1:36" x14ac:dyDescent="0.2">
      <c r="A157" t="s">
        <v>9</v>
      </c>
      <c r="B157">
        <v>3</v>
      </c>
      <c r="C157" s="2">
        <v>43760</v>
      </c>
      <c r="D157" s="13">
        <v>295.45625000000291</v>
      </c>
      <c r="E157" s="13"/>
      <c r="F157" s="4">
        <v>566.20000000000005</v>
      </c>
      <c r="H157">
        <v>15.1</v>
      </c>
      <c r="J157">
        <v>11.11</v>
      </c>
      <c r="L157">
        <v>56.5</v>
      </c>
      <c r="N157">
        <v>0.79</v>
      </c>
      <c r="P157">
        <v>4.5429761697945796</v>
      </c>
      <c r="S157">
        <v>-1.2598996377196901E-4</v>
      </c>
      <c r="T157" s="6"/>
      <c r="U157" s="6"/>
      <c r="X157" t="s">
        <v>9</v>
      </c>
      <c r="Y157">
        <v>3</v>
      </c>
      <c r="Z157" t="s">
        <v>4</v>
      </c>
      <c r="AA157" s="16">
        <v>43760</v>
      </c>
      <c r="AB157">
        <v>295.44965500000035</v>
      </c>
      <c r="AC157" s="4">
        <v>876.2</v>
      </c>
      <c r="AE157">
        <v>-9.6888349801561606</v>
      </c>
      <c r="AH157">
        <v>-5.6491713807553198E-5</v>
      </c>
    </row>
    <row r="158" spans="1:36" x14ac:dyDescent="0.2">
      <c r="A158" t="s">
        <v>9</v>
      </c>
      <c r="B158">
        <v>4</v>
      </c>
      <c r="C158" s="2">
        <v>43760</v>
      </c>
      <c r="D158" s="13">
        <v>295.46875</v>
      </c>
      <c r="E158" s="13"/>
      <c r="F158" s="4">
        <v>301.2</v>
      </c>
      <c r="H158">
        <v>15.6</v>
      </c>
      <c r="J158">
        <v>11.11</v>
      </c>
      <c r="L158">
        <v>36.4</v>
      </c>
      <c r="N158">
        <v>0.78</v>
      </c>
      <c r="P158">
        <v>4.4021902922097</v>
      </c>
      <c r="S158">
        <v>-1.7720868895510601E-4</v>
      </c>
      <c r="T158" s="6"/>
      <c r="U158" s="6"/>
      <c r="X158" t="s">
        <v>9</v>
      </c>
      <c r="Y158">
        <v>4</v>
      </c>
      <c r="Z158" t="s">
        <v>4</v>
      </c>
      <c r="AA158" s="16">
        <v>43760</v>
      </c>
      <c r="AB158">
        <v>295.4628449999982</v>
      </c>
      <c r="AC158" s="4">
        <v>473.7</v>
      </c>
      <c r="AE158">
        <v>-5.6795921194443197</v>
      </c>
      <c r="AH158">
        <v>-1.9181875934107099E-4</v>
      </c>
    </row>
    <row r="159" spans="1:36" x14ac:dyDescent="0.2">
      <c r="A159" t="s">
        <v>9</v>
      </c>
      <c r="B159">
        <v>5</v>
      </c>
      <c r="C159" s="2">
        <v>43760</v>
      </c>
      <c r="D159" s="13">
        <v>295.47534499999892</v>
      </c>
      <c r="E159" s="13"/>
      <c r="F159" s="4">
        <v>403.7</v>
      </c>
      <c r="J159">
        <v>13.89</v>
      </c>
      <c r="P159">
        <v>5.0107598507133302</v>
      </c>
      <c r="S159">
        <v>-2.5246588698302902E-4</v>
      </c>
      <c r="T159" s="6"/>
      <c r="U159" s="6"/>
      <c r="X159" t="s">
        <v>9</v>
      </c>
      <c r="Y159">
        <v>5</v>
      </c>
      <c r="Z159" t="s">
        <v>4</v>
      </c>
      <c r="AA159" s="16">
        <v>43760</v>
      </c>
      <c r="AB159">
        <v>295.48090500000035</v>
      </c>
      <c r="AC159" s="4">
        <v>431.2</v>
      </c>
      <c r="AE159">
        <v>-3.4651991352741098</v>
      </c>
      <c r="AH159">
        <v>-2.2635511713895199E-4</v>
      </c>
    </row>
    <row r="160" spans="1:36" x14ac:dyDescent="0.2">
      <c r="A160" t="s">
        <v>9</v>
      </c>
      <c r="B160">
        <v>1</v>
      </c>
      <c r="C160" s="2">
        <v>43766</v>
      </c>
      <c r="D160" s="13">
        <v>301.42742999999973</v>
      </c>
      <c r="E160" s="13">
        <v>301.4521869999997</v>
      </c>
      <c r="F160" s="4">
        <v>338.7</v>
      </c>
      <c r="G160" s="4">
        <v>537.70000000000005</v>
      </c>
      <c r="H160">
        <v>18.600000000000001</v>
      </c>
      <c r="I160">
        <v>20.74</v>
      </c>
      <c r="J160">
        <v>13.33</v>
      </c>
      <c r="K160">
        <v>13.778</v>
      </c>
      <c r="L160">
        <v>45.1</v>
      </c>
      <c r="M160">
        <v>48.839999999999996</v>
      </c>
      <c r="N160">
        <v>0.8</v>
      </c>
      <c r="O160" s="4">
        <v>0.79</v>
      </c>
      <c r="P160">
        <v>5.0921516443717803</v>
      </c>
      <c r="Q160">
        <v>5.1234171141556581</v>
      </c>
      <c r="R160">
        <v>0.43037036829176029</v>
      </c>
      <c r="S160">
        <v>-2.17088811759971E-4</v>
      </c>
      <c r="T160" s="6">
        <v>-1.7398073389173442E-4</v>
      </c>
      <c r="U160" s="6">
        <v>4.064091806740355E-5</v>
      </c>
      <c r="X160" t="s">
        <v>9</v>
      </c>
      <c r="Y160">
        <v>1</v>
      </c>
      <c r="Z160" t="s">
        <v>4</v>
      </c>
      <c r="AA160" s="16">
        <v>43766</v>
      </c>
      <c r="AB160">
        <v>301.42117999999755</v>
      </c>
      <c r="AC160" s="4">
        <v>261.2</v>
      </c>
      <c r="AD160" s="4">
        <v>472.2</v>
      </c>
      <c r="AE160">
        <v>0.34883464820703203</v>
      </c>
      <c r="AF160">
        <v>-5.1091583346886056</v>
      </c>
      <c r="AG160">
        <v>3.4784446052580695</v>
      </c>
      <c r="AH160">
        <v>-9.7286500498280803E-5</v>
      </c>
      <c r="AI160">
        <v>-1.3198902303989638E-4</v>
      </c>
      <c r="AJ160">
        <v>3.2026297881415607E-5</v>
      </c>
    </row>
    <row r="161" spans="1:36" x14ac:dyDescent="0.2">
      <c r="A161" t="s">
        <v>9</v>
      </c>
      <c r="B161">
        <v>2</v>
      </c>
      <c r="C161" s="2">
        <v>43766</v>
      </c>
      <c r="D161" s="13">
        <v>301.43975499999942</v>
      </c>
      <c r="E161" s="13"/>
      <c r="F161" s="4">
        <v>436.2</v>
      </c>
      <c r="H161">
        <v>20.9</v>
      </c>
      <c r="J161">
        <v>13.89</v>
      </c>
      <c r="L161">
        <v>52.5</v>
      </c>
      <c r="N161">
        <v>0.78</v>
      </c>
      <c r="P161">
        <v>4.72183027904269</v>
      </c>
      <c r="S161">
        <v>-1.5730507274075201E-4</v>
      </c>
      <c r="X161" t="s">
        <v>9</v>
      </c>
      <c r="Y161">
        <v>2</v>
      </c>
      <c r="Z161" t="s">
        <v>4</v>
      </c>
      <c r="AA161" s="16">
        <v>43766</v>
      </c>
      <c r="AB161">
        <v>301.43350500000088</v>
      </c>
      <c r="AC161" s="4">
        <v>376.2</v>
      </c>
      <c r="AE161">
        <v>-4.5120040245602002</v>
      </c>
      <c r="AH161">
        <v>-1.6911328097741601E-4</v>
      </c>
    </row>
    <row r="162" spans="1:36" x14ac:dyDescent="0.2">
      <c r="A162" t="s">
        <v>9</v>
      </c>
      <c r="B162">
        <v>3</v>
      </c>
      <c r="C162" s="2">
        <v>43766</v>
      </c>
      <c r="D162" s="13">
        <v>301.45242999999755</v>
      </c>
      <c r="E162" s="13"/>
      <c r="F162" s="4">
        <v>678.7</v>
      </c>
      <c r="H162">
        <v>21.3</v>
      </c>
      <c r="J162">
        <v>13.89</v>
      </c>
      <c r="L162">
        <v>49.4</v>
      </c>
      <c r="N162">
        <v>0.77</v>
      </c>
      <c r="P162">
        <v>4.6810917993056496</v>
      </c>
      <c r="S162">
        <v>-2.0096088347133201E-4</v>
      </c>
      <c r="T162" s="6"/>
      <c r="U162" s="6"/>
      <c r="X162" t="s">
        <v>9</v>
      </c>
      <c r="Y162">
        <v>3</v>
      </c>
      <c r="Z162" t="s">
        <v>4</v>
      </c>
      <c r="AA162" s="16">
        <v>43766</v>
      </c>
      <c r="AB162">
        <v>301.44548500000019</v>
      </c>
      <c r="AC162" s="4">
        <v>473.7</v>
      </c>
      <c r="AE162">
        <v>-5.1524877658484698</v>
      </c>
      <c r="AH162">
        <v>-1.60865870167967E-4</v>
      </c>
    </row>
    <row r="163" spans="1:36" x14ac:dyDescent="0.2">
      <c r="A163" t="s">
        <v>9</v>
      </c>
      <c r="B163">
        <v>4</v>
      </c>
      <c r="C163" s="2">
        <v>43766</v>
      </c>
      <c r="D163" s="13">
        <v>301.46493000000191</v>
      </c>
      <c r="E163" s="13"/>
      <c r="F163" s="4">
        <v>561.20000000000005</v>
      </c>
      <c r="H163">
        <v>22.9</v>
      </c>
      <c r="J163">
        <v>13.89</v>
      </c>
      <c r="L163">
        <v>48.5</v>
      </c>
      <c r="N163">
        <v>0.79</v>
      </c>
      <c r="P163">
        <v>5.5593502266773198</v>
      </c>
      <c r="S163">
        <v>-1.8130365322135701E-4</v>
      </c>
      <c r="T163" s="6"/>
      <c r="U163" s="6"/>
      <c r="X163" t="s">
        <v>9</v>
      </c>
      <c r="Y163">
        <v>4</v>
      </c>
      <c r="Z163" t="s">
        <v>4</v>
      </c>
      <c r="AA163" s="16">
        <v>43766</v>
      </c>
      <c r="AB163">
        <v>301.45867999999973</v>
      </c>
      <c r="AC163" s="4">
        <v>671.2</v>
      </c>
      <c r="AE163">
        <v>-8.4143767828713898</v>
      </c>
      <c r="AH163">
        <v>-1.26254026804053E-4</v>
      </c>
    </row>
    <row r="164" spans="1:36" x14ac:dyDescent="0.2">
      <c r="A164" t="s">
        <v>9</v>
      </c>
      <c r="B164">
        <v>5</v>
      </c>
      <c r="C164" s="2">
        <v>43766</v>
      </c>
      <c r="D164" s="13">
        <v>301.47638999999981</v>
      </c>
      <c r="E164" s="13"/>
      <c r="F164" s="4">
        <v>673.7</v>
      </c>
      <c r="H164">
        <v>20</v>
      </c>
      <c r="J164">
        <v>13.89</v>
      </c>
      <c r="L164">
        <v>48.7</v>
      </c>
      <c r="N164">
        <v>0.81</v>
      </c>
      <c r="P164">
        <v>5.5626616213808502</v>
      </c>
      <c r="S164">
        <v>-1.1324524826526E-4</v>
      </c>
      <c r="T164" s="6"/>
      <c r="U164" s="6"/>
      <c r="X164" t="s">
        <v>9</v>
      </c>
      <c r="Y164">
        <v>5</v>
      </c>
      <c r="Z164" t="s">
        <v>4</v>
      </c>
      <c r="AA164" s="16">
        <v>43766</v>
      </c>
      <c r="AB164">
        <v>301.47031499999866</v>
      </c>
      <c r="AC164" s="4">
        <v>578.70000000000005</v>
      </c>
      <c r="AE164">
        <v>-7.8157577483700003</v>
      </c>
      <c r="AH164">
        <v>-1.06425436751765E-4</v>
      </c>
    </row>
    <row r="165" spans="1:36" x14ac:dyDescent="0.2">
      <c r="A165" t="s">
        <v>9</v>
      </c>
      <c r="B165">
        <v>1</v>
      </c>
      <c r="C165" s="2">
        <v>43766</v>
      </c>
      <c r="D165" s="13">
        <v>301.54062500000146</v>
      </c>
      <c r="E165" s="13">
        <v>301.56579800000037</v>
      </c>
      <c r="F165" s="4">
        <v>556.20000000000005</v>
      </c>
      <c r="G165" s="4">
        <v>506.7</v>
      </c>
      <c r="H165">
        <v>17.399999999999999</v>
      </c>
      <c r="I165">
        <v>19.799999999999997</v>
      </c>
      <c r="J165">
        <v>15.56</v>
      </c>
      <c r="K165">
        <v>15.669999999999998</v>
      </c>
      <c r="L165">
        <v>39.9</v>
      </c>
      <c r="M165">
        <v>49.46</v>
      </c>
      <c r="N165">
        <v>0.79</v>
      </c>
      <c r="O165" s="4">
        <v>0.78</v>
      </c>
      <c r="P165">
        <v>5.7579330752937601</v>
      </c>
      <c r="Q165">
        <v>5.8310312648331353</v>
      </c>
      <c r="R165">
        <v>0.71947422732116162</v>
      </c>
      <c r="S165">
        <v>-1.20451378642859E-4</v>
      </c>
      <c r="T165" s="6">
        <v>-1.2316592406270312E-4</v>
      </c>
      <c r="U165" s="6">
        <v>7.8648058857793446E-5</v>
      </c>
      <c r="X165" t="s">
        <v>9</v>
      </c>
      <c r="Y165">
        <v>1</v>
      </c>
      <c r="Z165" t="s">
        <v>4</v>
      </c>
      <c r="AA165" s="16">
        <v>43766</v>
      </c>
      <c r="AB165">
        <v>301.53402500000084</v>
      </c>
      <c r="AC165" s="4">
        <v>568.70000000000005</v>
      </c>
      <c r="AD165" s="4">
        <v>511.2</v>
      </c>
      <c r="AE165">
        <v>-3.3215950079645502</v>
      </c>
      <c r="AF165">
        <v>-6.3982826647394502</v>
      </c>
      <c r="AG165">
        <v>2.4533097780140625</v>
      </c>
      <c r="AH165">
        <v>-1.4002918378649799E-4</v>
      </c>
      <c r="AI165">
        <v>-1.1690124772013581E-4</v>
      </c>
      <c r="AJ165">
        <v>3.3174755686244555E-5</v>
      </c>
    </row>
    <row r="166" spans="1:36" x14ac:dyDescent="0.2">
      <c r="A166" t="s">
        <v>9</v>
      </c>
      <c r="B166">
        <v>2</v>
      </c>
      <c r="C166" s="2">
        <v>43766</v>
      </c>
      <c r="D166" s="13">
        <v>301.553820000001</v>
      </c>
      <c r="E166" s="13"/>
      <c r="F166" s="4">
        <v>488.7</v>
      </c>
      <c r="H166">
        <v>16.2</v>
      </c>
      <c r="J166">
        <v>15.56</v>
      </c>
      <c r="L166">
        <v>49</v>
      </c>
      <c r="N166">
        <v>0.76</v>
      </c>
      <c r="P166">
        <v>6.6439831585522899</v>
      </c>
      <c r="S166">
        <v>-1.582008894506E-4</v>
      </c>
      <c r="X166" t="s">
        <v>9</v>
      </c>
      <c r="Y166">
        <v>2</v>
      </c>
      <c r="Z166" t="s">
        <v>4</v>
      </c>
      <c r="AA166" s="16">
        <v>43766</v>
      </c>
      <c r="AB166">
        <v>301.546875</v>
      </c>
      <c r="AC166" s="4">
        <v>468.7</v>
      </c>
      <c r="AE166">
        <v>-7.6428118167581403</v>
      </c>
      <c r="AH166">
        <v>-1.06995853551293E-4</v>
      </c>
    </row>
    <row r="167" spans="1:36" x14ac:dyDescent="0.2">
      <c r="A167" t="s">
        <v>9</v>
      </c>
      <c r="B167">
        <v>3</v>
      </c>
      <c r="C167" s="2">
        <v>43766</v>
      </c>
      <c r="D167" s="13">
        <v>301.56649499999912</v>
      </c>
      <c r="E167" s="13"/>
      <c r="F167" s="4">
        <v>581.20000000000005</v>
      </c>
      <c r="H167">
        <v>23.4</v>
      </c>
      <c r="J167">
        <v>15.56</v>
      </c>
      <c r="L167">
        <v>57.1</v>
      </c>
      <c r="N167">
        <v>0.76</v>
      </c>
      <c r="P167">
        <v>5.2882997785964099</v>
      </c>
      <c r="S167">
        <v>-1.6253092238314399E-4</v>
      </c>
      <c r="T167" s="6"/>
      <c r="U167" s="6"/>
      <c r="X167" t="s">
        <v>9</v>
      </c>
      <c r="Y167">
        <v>3</v>
      </c>
      <c r="Z167" t="s">
        <v>4</v>
      </c>
      <c r="AA167" s="16">
        <v>43766</v>
      </c>
      <c r="AB167">
        <v>301.56076499999836</v>
      </c>
      <c r="AC167" s="4">
        <v>488.7</v>
      </c>
      <c r="AE167">
        <v>-4.91803318139136</v>
      </c>
      <c r="AH167">
        <v>-1.3908311743570501E-4</v>
      </c>
    </row>
    <row r="168" spans="1:36" x14ac:dyDescent="0.2">
      <c r="A168" t="s">
        <v>9</v>
      </c>
      <c r="B168">
        <v>4</v>
      </c>
      <c r="C168" s="2">
        <v>43766</v>
      </c>
      <c r="D168" s="13">
        <v>301.57777500000157</v>
      </c>
      <c r="E168" s="13"/>
      <c r="F168" s="4">
        <v>526.20000000000005</v>
      </c>
      <c r="H168">
        <v>22.7</v>
      </c>
      <c r="J168">
        <v>15.56</v>
      </c>
      <c r="L168">
        <v>49.9</v>
      </c>
      <c r="N168">
        <v>0.77</v>
      </c>
      <c r="P168">
        <v>4.9941096484717997</v>
      </c>
      <c r="S168" s="6">
        <v>1.11355287294843E-5</v>
      </c>
      <c r="T168" s="6"/>
      <c r="U168" s="6"/>
      <c r="X168" t="s">
        <v>9</v>
      </c>
      <c r="Y168">
        <v>4</v>
      </c>
      <c r="Z168" t="s">
        <v>4</v>
      </c>
      <c r="AA168" s="16">
        <v>43766</v>
      </c>
      <c r="AB168">
        <v>301.57187500000146</v>
      </c>
      <c r="AC168" s="4">
        <v>628.70000000000005</v>
      </c>
      <c r="AE168">
        <v>-9.6950496486279203</v>
      </c>
      <c r="AH168">
        <v>-6.2795279236326998E-5</v>
      </c>
    </row>
    <row r="169" spans="1:36" x14ac:dyDescent="0.2">
      <c r="A169" t="s">
        <v>9</v>
      </c>
      <c r="B169">
        <v>5</v>
      </c>
      <c r="C169" s="2">
        <v>43766</v>
      </c>
      <c r="D169" s="13">
        <v>301.59027499999866</v>
      </c>
      <c r="E169" s="13"/>
      <c r="F169" s="4">
        <v>381.2</v>
      </c>
      <c r="H169">
        <v>19.3</v>
      </c>
      <c r="J169">
        <v>16.11</v>
      </c>
      <c r="L169">
        <v>51.4</v>
      </c>
      <c r="N169">
        <v>0.82</v>
      </c>
      <c r="P169">
        <v>6.4708306632514203</v>
      </c>
      <c r="S169">
        <v>-1.8578195856639701E-4</v>
      </c>
      <c r="T169" s="6"/>
      <c r="U169" s="6"/>
      <c r="X169" t="s">
        <v>9</v>
      </c>
      <c r="Y169">
        <v>5</v>
      </c>
      <c r="Z169" t="s">
        <v>4</v>
      </c>
      <c r="AA169" s="16">
        <v>43766</v>
      </c>
      <c r="AB169">
        <v>301.58367999999973</v>
      </c>
      <c r="AC169" s="4">
        <v>401.2</v>
      </c>
      <c r="AE169">
        <v>-6.4139236689552801</v>
      </c>
      <c r="AH169">
        <v>-1.3560280459085601E-4</v>
      </c>
    </row>
    <row r="170" spans="1:36" x14ac:dyDescent="0.2">
      <c r="A170" t="s">
        <v>9</v>
      </c>
      <c r="B170">
        <v>1</v>
      </c>
      <c r="C170" s="2">
        <v>43773</v>
      </c>
      <c r="D170" s="13">
        <v>308.41632000000027</v>
      </c>
      <c r="E170" s="13">
        <v>308.44090199999994</v>
      </c>
      <c r="F170" s="4">
        <v>821.2</v>
      </c>
      <c r="G170" s="4">
        <v>957.7</v>
      </c>
      <c r="H170">
        <v>14.9</v>
      </c>
      <c r="I170">
        <v>16.14</v>
      </c>
      <c r="J170">
        <v>10</v>
      </c>
      <c r="K170">
        <v>10</v>
      </c>
      <c r="L170">
        <v>49.7</v>
      </c>
      <c r="M170">
        <v>48.08</v>
      </c>
      <c r="N170">
        <v>0.72</v>
      </c>
      <c r="O170" s="4">
        <v>0.72200000000000009</v>
      </c>
      <c r="P170">
        <v>2.2180477575954201</v>
      </c>
      <c r="Q170">
        <v>3.1536211882997938</v>
      </c>
      <c r="R170">
        <v>0.66002102692900122</v>
      </c>
      <c r="S170" s="6">
        <v>-8.2707012373782398E-5</v>
      </c>
      <c r="T170" s="6">
        <v>-1.3692691002842265E-4</v>
      </c>
      <c r="U170" s="6">
        <v>5.9022480789341646E-5</v>
      </c>
      <c r="X170" t="s">
        <v>9</v>
      </c>
      <c r="Y170">
        <v>1</v>
      </c>
      <c r="Z170" t="s">
        <v>4</v>
      </c>
      <c r="AA170" s="16">
        <v>43773</v>
      </c>
      <c r="AB170">
        <v>308.40798500000164</v>
      </c>
      <c r="AC170" s="4">
        <v>791.2</v>
      </c>
      <c r="AD170" s="4">
        <v>863.2</v>
      </c>
      <c r="AE170">
        <v>-1.9738920795970301</v>
      </c>
      <c r="AF170">
        <v>-5.629339686179585</v>
      </c>
      <c r="AG170">
        <v>2.1632010182909576</v>
      </c>
      <c r="AH170">
        <v>-1.14703771637806E-4</v>
      </c>
      <c r="AI170">
        <v>-1.0639688089511147E-4</v>
      </c>
      <c r="AJ170">
        <v>4.398723238943148E-5</v>
      </c>
    </row>
    <row r="171" spans="1:36" x14ac:dyDescent="0.2">
      <c r="A171" t="s">
        <v>9</v>
      </c>
      <c r="B171">
        <v>2</v>
      </c>
      <c r="C171" s="2">
        <v>43773</v>
      </c>
      <c r="D171" s="13">
        <v>308.42777500000011</v>
      </c>
      <c r="E171" s="13"/>
      <c r="F171" s="4">
        <v>901.2</v>
      </c>
      <c r="H171">
        <v>17.100000000000001</v>
      </c>
      <c r="J171">
        <v>10</v>
      </c>
      <c r="L171">
        <v>44</v>
      </c>
      <c r="N171">
        <v>0.7</v>
      </c>
      <c r="P171">
        <v>2.9516163432708198</v>
      </c>
      <c r="S171" s="6">
        <v>-8.0869414968455798E-5</v>
      </c>
      <c r="X171" t="s">
        <v>9</v>
      </c>
      <c r="Y171">
        <v>2</v>
      </c>
      <c r="Z171" t="s">
        <v>4</v>
      </c>
      <c r="AA171" s="16">
        <v>43773</v>
      </c>
      <c r="AB171">
        <v>308.42152500000157</v>
      </c>
      <c r="AC171" s="4">
        <v>763.7</v>
      </c>
      <c r="AE171">
        <v>-7.0775375683323301</v>
      </c>
      <c r="AH171">
        <v>-4.2079512782542002E-5</v>
      </c>
    </row>
    <row r="172" spans="1:36" x14ac:dyDescent="0.2">
      <c r="A172" t="s">
        <v>9</v>
      </c>
      <c r="B172">
        <v>3</v>
      </c>
      <c r="C172" s="2">
        <v>43773</v>
      </c>
      <c r="D172" s="13">
        <v>308.44062499999927</v>
      </c>
      <c r="E172" s="13"/>
      <c r="F172" s="4">
        <v>1011.2</v>
      </c>
      <c r="H172">
        <v>17.2</v>
      </c>
      <c r="J172">
        <v>10</v>
      </c>
      <c r="L172">
        <v>41.9</v>
      </c>
      <c r="N172">
        <v>0.73</v>
      </c>
      <c r="P172">
        <v>3.0969826837840699</v>
      </c>
      <c r="S172">
        <v>-1.5977142174953001E-4</v>
      </c>
      <c r="T172" s="6"/>
      <c r="U172" s="6"/>
      <c r="X172" t="s">
        <v>9</v>
      </c>
      <c r="Y172">
        <v>3</v>
      </c>
      <c r="Z172" t="s">
        <v>4</v>
      </c>
      <c r="AA172" s="16">
        <v>43773</v>
      </c>
      <c r="AB172">
        <v>308.43472499999916</v>
      </c>
      <c r="AC172" s="4">
        <v>943.7</v>
      </c>
      <c r="AE172">
        <v>-5.3542247775979304</v>
      </c>
      <c r="AH172">
        <v>-8.6583088022417298E-5</v>
      </c>
    </row>
    <row r="173" spans="1:36" x14ac:dyDescent="0.2">
      <c r="A173" t="s">
        <v>9</v>
      </c>
      <c r="B173">
        <v>4</v>
      </c>
      <c r="C173" s="2">
        <v>43773</v>
      </c>
      <c r="D173" s="13">
        <v>308.45416499999919</v>
      </c>
      <c r="E173" s="13"/>
      <c r="F173" s="4">
        <v>966.2</v>
      </c>
      <c r="H173">
        <v>15.2</v>
      </c>
      <c r="J173">
        <v>10</v>
      </c>
      <c r="L173">
        <v>51.4</v>
      </c>
      <c r="N173">
        <v>0.72</v>
      </c>
      <c r="P173">
        <v>3.5160780889867902</v>
      </c>
      <c r="S173">
        <v>-1.3876109387126601E-4</v>
      </c>
      <c r="T173" s="6"/>
      <c r="U173" s="6"/>
      <c r="X173" t="s">
        <v>9</v>
      </c>
      <c r="Y173">
        <v>4</v>
      </c>
      <c r="Z173" t="s">
        <v>4</v>
      </c>
      <c r="AA173" s="16">
        <v>43773</v>
      </c>
      <c r="AB173">
        <v>308.44757000000027</v>
      </c>
      <c r="AC173" s="4">
        <v>918.7</v>
      </c>
      <c r="AE173">
        <v>-6.6453276718714296</v>
      </c>
      <c r="AH173">
        <v>-1.32764930702317E-4</v>
      </c>
    </row>
    <row r="174" spans="1:36" x14ac:dyDescent="0.2">
      <c r="A174" t="s">
        <v>9</v>
      </c>
      <c r="B174">
        <v>5</v>
      </c>
      <c r="C174" s="2">
        <v>43773</v>
      </c>
      <c r="D174" s="13">
        <v>308.46562500000073</v>
      </c>
      <c r="E174" s="13"/>
      <c r="F174" s="4">
        <v>1088.7</v>
      </c>
      <c r="H174">
        <v>16.3</v>
      </c>
      <c r="J174">
        <v>10</v>
      </c>
      <c r="L174">
        <v>53.4</v>
      </c>
      <c r="N174">
        <v>0.74</v>
      </c>
      <c r="P174">
        <v>3.9853810678618702</v>
      </c>
      <c r="S174">
        <v>-2.2252560717907899E-4</v>
      </c>
      <c r="T174" s="6"/>
      <c r="U174" s="6"/>
      <c r="X174" t="s">
        <v>9</v>
      </c>
      <c r="Y174">
        <v>5</v>
      </c>
      <c r="Z174" t="s">
        <v>4</v>
      </c>
      <c r="AA174" s="16">
        <v>43773</v>
      </c>
      <c r="AB174">
        <v>308.45937499999854</v>
      </c>
      <c r="AC174" s="4">
        <v>898.7</v>
      </c>
      <c r="AE174">
        <v>-7.0957163334992002</v>
      </c>
      <c r="AH174">
        <v>-1.55853101330475E-4</v>
      </c>
    </row>
    <row r="175" spans="1:36" x14ac:dyDescent="0.2">
      <c r="A175" t="s">
        <v>9</v>
      </c>
      <c r="B175">
        <v>1</v>
      </c>
      <c r="C175" s="2">
        <v>43773</v>
      </c>
      <c r="D175" s="13">
        <v>308.57916499999919</v>
      </c>
      <c r="E175" s="13">
        <v>308.60638799999941</v>
      </c>
      <c r="F175" s="4">
        <v>421.2</v>
      </c>
      <c r="G175" s="4">
        <v>292.2</v>
      </c>
      <c r="H175">
        <v>15.4</v>
      </c>
      <c r="I175">
        <v>15.339999999999998</v>
      </c>
      <c r="J175">
        <v>11.11</v>
      </c>
      <c r="K175">
        <v>11.11</v>
      </c>
      <c r="L175">
        <v>43.7</v>
      </c>
      <c r="M175">
        <v>46.08</v>
      </c>
      <c r="N175">
        <v>0.76</v>
      </c>
      <c r="O175" s="4">
        <v>0.74199999999999999</v>
      </c>
      <c r="P175">
        <v>2.3368976154819201</v>
      </c>
      <c r="Q175">
        <v>2.7698499026658583</v>
      </c>
      <c r="R175">
        <v>0.45322202263078831</v>
      </c>
      <c r="S175">
        <v>-1.1292139892081799E-4</v>
      </c>
      <c r="T175" s="6">
        <v>-1.4539332938804766E-4</v>
      </c>
      <c r="U175" s="6">
        <v>4.3413744091143518E-5</v>
      </c>
      <c r="X175" t="s">
        <v>9</v>
      </c>
      <c r="Y175">
        <v>1</v>
      </c>
      <c r="Z175" t="s">
        <v>4</v>
      </c>
      <c r="AA175" s="16">
        <v>43773</v>
      </c>
      <c r="AB175">
        <v>308.57257000000027</v>
      </c>
      <c r="AC175" s="4">
        <v>288.7</v>
      </c>
      <c r="AD175" s="4">
        <v>295.7</v>
      </c>
      <c r="AE175">
        <v>-1.15747984070249</v>
      </c>
      <c r="AF175">
        <v>-2.5825386843966878</v>
      </c>
      <c r="AG175">
        <v>1.0404235392509178</v>
      </c>
      <c r="AH175">
        <v>-1.79404476276381E-4</v>
      </c>
      <c r="AI175">
        <v>-1.681110419088216E-4</v>
      </c>
      <c r="AJ175">
        <v>1.6907537029652663E-5</v>
      </c>
    </row>
    <row r="176" spans="1:36" x14ac:dyDescent="0.2">
      <c r="A176" t="s">
        <v>9</v>
      </c>
      <c r="B176">
        <v>2</v>
      </c>
      <c r="C176" s="2">
        <v>43773</v>
      </c>
      <c r="D176" s="13">
        <v>308.59201499999836</v>
      </c>
      <c r="E176" s="13"/>
      <c r="F176" s="4">
        <v>408.7</v>
      </c>
      <c r="H176">
        <v>14.7</v>
      </c>
      <c r="J176">
        <v>11.11</v>
      </c>
      <c r="L176">
        <v>47.1</v>
      </c>
      <c r="N176">
        <v>0.73</v>
      </c>
      <c r="P176">
        <v>3.4362490777752899</v>
      </c>
      <c r="S176">
        <v>-1.9315266975518801E-4</v>
      </c>
      <c r="X176" t="s">
        <v>9</v>
      </c>
      <c r="Y176">
        <v>2</v>
      </c>
      <c r="Z176" t="s">
        <v>4</v>
      </c>
      <c r="AA176" s="16">
        <v>43773</v>
      </c>
      <c r="AB176">
        <v>308.58576499999981</v>
      </c>
      <c r="AC176" s="4">
        <v>471.2</v>
      </c>
      <c r="AE176">
        <v>-3.9845419740036201</v>
      </c>
      <c r="AH176">
        <v>-1.7007284306790399E-4</v>
      </c>
    </row>
    <row r="177" spans="1:36" x14ac:dyDescent="0.2">
      <c r="A177" t="s">
        <v>9</v>
      </c>
      <c r="B177">
        <v>3</v>
      </c>
      <c r="C177" s="2">
        <v>43773</v>
      </c>
      <c r="D177" s="13">
        <v>308.60659500000111</v>
      </c>
      <c r="E177" s="13"/>
      <c r="F177" s="4">
        <v>233.7</v>
      </c>
      <c r="H177">
        <v>17.2</v>
      </c>
      <c r="J177">
        <v>11.11</v>
      </c>
      <c r="L177">
        <v>41.5</v>
      </c>
      <c r="N177">
        <v>0.74</v>
      </c>
      <c r="P177">
        <v>3.0277827256492</v>
      </c>
      <c r="S177">
        <v>-1.80059448157186E-4</v>
      </c>
      <c r="T177" s="6"/>
      <c r="U177" s="6"/>
      <c r="X177" t="s">
        <v>9</v>
      </c>
      <c r="Y177">
        <v>3</v>
      </c>
      <c r="Z177" t="s">
        <v>4</v>
      </c>
      <c r="AA177" s="16">
        <v>43773</v>
      </c>
      <c r="AB177">
        <v>308.5996550000018</v>
      </c>
      <c r="AC177" s="4">
        <v>321.2</v>
      </c>
      <c r="AE177">
        <v>-2.4657978641523099</v>
      </c>
      <c r="AH177">
        <v>-1.6445385114132301E-4</v>
      </c>
    </row>
    <row r="178" spans="1:36" x14ac:dyDescent="0.2">
      <c r="A178" t="s">
        <v>9</v>
      </c>
      <c r="B178">
        <v>4</v>
      </c>
      <c r="C178" s="2">
        <v>43773</v>
      </c>
      <c r="D178" s="13">
        <v>308.6190949999982</v>
      </c>
      <c r="E178" s="13"/>
      <c r="F178" s="4">
        <v>231.2</v>
      </c>
      <c r="H178">
        <v>15.4</v>
      </c>
      <c r="J178">
        <v>11.11</v>
      </c>
      <c r="L178">
        <v>49.6</v>
      </c>
      <c r="N178">
        <v>0.73</v>
      </c>
      <c r="P178">
        <v>2.56190201527924</v>
      </c>
      <c r="S178" s="6">
        <v>-9.0800568196153307E-5</v>
      </c>
      <c r="T178" s="6"/>
      <c r="U178" s="6"/>
      <c r="X178" t="s">
        <v>9</v>
      </c>
      <c r="Y178">
        <v>4</v>
      </c>
      <c r="Z178" t="s">
        <v>4</v>
      </c>
      <c r="AA178" s="16">
        <v>43773</v>
      </c>
      <c r="AB178">
        <v>308.61215499999889</v>
      </c>
      <c r="AC178" s="4">
        <v>231.2</v>
      </c>
      <c r="AE178">
        <v>-3.04621263249788</v>
      </c>
      <c r="AH178">
        <v>-1.41487347319512E-4</v>
      </c>
    </row>
    <row r="179" spans="1:36" x14ac:dyDescent="0.2">
      <c r="A179" t="s">
        <v>9</v>
      </c>
      <c r="B179">
        <v>5</v>
      </c>
      <c r="C179" s="2">
        <v>43773</v>
      </c>
      <c r="D179" s="13">
        <v>308.63507000000027</v>
      </c>
      <c r="E179" s="13"/>
      <c r="F179" s="4">
        <v>166.2</v>
      </c>
      <c r="H179">
        <v>14</v>
      </c>
      <c r="J179">
        <v>11.11</v>
      </c>
      <c r="L179">
        <v>48.5</v>
      </c>
      <c r="N179">
        <v>0.75</v>
      </c>
      <c r="P179">
        <v>2.4864180791436401</v>
      </c>
      <c r="S179">
        <v>-1.5003256191089301E-4</v>
      </c>
      <c r="T179" s="6"/>
      <c r="U179" s="6"/>
      <c r="X179" t="s">
        <v>9</v>
      </c>
      <c r="Y179">
        <v>5</v>
      </c>
      <c r="Z179" t="s">
        <v>4</v>
      </c>
      <c r="AA179" s="16">
        <v>43773</v>
      </c>
      <c r="AB179">
        <v>308.62465499999962</v>
      </c>
      <c r="AC179" s="4">
        <v>166.2</v>
      </c>
      <c r="AE179">
        <v>-2.2586611106271399</v>
      </c>
      <c r="AH179">
        <v>-1.85136691738988E-4</v>
      </c>
    </row>
    <row r="180" spans="1:36" x14ac:dyDescent="0.2">
      <c r="A180" t="s">
        <v>9</v>
      </c>
      <c r="B180">
        <v>1</v>
      </c>
      <c r="C180" s="2">
        <v>43780</v>
      </c>
      <c r="D180" s="13">
        <v>315.44062499999927</v>
      </c>
      <c r="E180" s="13">
        <v>315.46687499999899</v>
      </c>
      <c r="F180" s="4">
        <v>591.20000000000005</v>
      </c>
      <c r="G180" s="4">
        <v>601.20000000000005</v>
      </c>
      <c r="H180">
        <v>18.100000000000001</v>
      </c>
      <c r="I180">
        <v>17.725000000000001</v>
      </c>
      <c r="J180">
        <v>7.78</v>
      </c>
      <c r="K180">
        <v>7.444</v>
      </c>
      <c r="L180">
        <v>36.4</v>
      </c>
      <c r="M180">
        <v>39.449999999999996</v>
      </c>
      <c r="N180">
        <v>0.65</v>
      </c>
      <c r="O180" s="4">
        <v>0.65500000000000003</v>
      </c>
      <c r="P180">
        <v>1.8815068964145101</v>
      </c>
      <c r="Q180">
        <v>2.1861678571731624</v>
      </c>
      <c r="R180">
        <v>0.43165873041661307</v>
      </c>
      <c r="S180" s="6">
        <v>3.7388027909610497E-5</v>
      </c>
      <c r="T180" s="6">
        <v>-1.6394587637971929E-4</v>
      </c>
      <c r="U180" s="6">
        <v>1.3037274248791871E-4</v>
      </c>
      <c r="X180" t="s">
        <v>9</v>
      </c>
      <c r="Y180">
        <v>1</v>
      </c>
      <c r="Z180" t="s">
        <v>4</v>
      </c>
      <c r="AA180" s="16">
        <v>43780</v>
      </c>
      <c r="AB180">
        <v>315.43437500000073</v>
      </c>
      <c r="AC180" s="4">
        <v>496.2</v>
      </c>
      <c r="AD180" s="4">
        <v>523.70000000000005</v>
      </c>
      <c r="AE180">
        <v>-2.2582235903177401</v>
      </c>
      <c r="AF180">
        <v>-3.8019243580092379</v>
      </c>
      <c r="AG180">
        <v>1.2667102822053751</v>
      </c>
      <c r="AH180">
        <v>-8.1304805287461801E-5</v>
      </c>
      <c r="AI180">
        <v>-1.5475370233427357E-4</v>
      </c>
      <c r="AJ180">
        <v>5.2101132573251234E-5</v>
      </c>
    </row>
    <row r="181" spans="1:36" x14ac:dyDescent="0.2">
      <c r="A181" t="s">
        <v>9</v>
      </c>
      <c r="B181">
        <v>2</v>
      </c>
      <c r="C181" s="2">
        <v>43780</v>
      </c>
      <c r="D181" s="13">
        <v>315.44826499999908</v>
      </c>
      <c r="E181" s="13"/>
      <c r="F181" s="4">
        <v>673.7</v>
      </c>
      <c r="J181">
        <v>7.78</v>
      </c>
      <c r="P181">
        <v>2.5000084160541198</v>
      </c>
      <c r="S181">
        <v>-1.4773178684105399E-4</v>
      </c>
      <c r="X181" t="s">
        <v>9</v>
      </c>
      <c r="Y181">
        <v>2</v>
      </c>
      <c r="Z181" t="s">
        <v>4</v>
      </c>
      <c r="AA181" s="16">
        <v>43780</v>
      </c>
      <c r="AB181">
        <v>315.4548649999997</v>
      </c>
      <c r="AC181" s="4">
        <v>538.70000000000005</v>
      </c>
      <c r="AE181">
        <v>-3.9224339607451899</v>
      </c>
      <c r="AH181">
        <v>-1.7737412120416099E-4</v>
      </c>
    </row>
    <row r="182" spans="1:36" x14ac:dyDescent="0.2">
      <c r="A182" t="s">
        <v>9</v>
      </c>
      <c r="B182">
        <v>3</v>
      </c>
      <c r="C182" s="2">
        <v>43780</v>
      </c>
      <c r="D182" s="13">
        <v>315.46840499999962</v>
      </c>
      <c r="E182" s="13"/>
      <c r="F182" s="4">
        <v>803.7</v>
      </c>
      <c r="H182">
        <v>21</v>
      </c>
      <c r="J182">
        <v>7.78</v>
      </c>
      <c r="L182">
        <v>43.8</v>
      </c>
      <c r="N182">
        <v>0.65</v>
      </c>
      <c r="P182">
        <v>2.1583989760734199</v>
      </c>
      <c r="S182">
        <v>-3.1318993307514001E-4</v>
      </c>
      <c r="T182" s="6"/>
      <c r="U182" s="6"/>
      <c r="X182" t="s">
        <v>9</v>
      </c>
      <c r="Y182">
        <v>3</v>
      </c>
      <c r="Z182" t="s">
        <v>4</v>
      </c>
      <c r="AA182" s="16">
        <v>43780</v>
      </c>
      <c r="AB182">
        <v>315.46145500000057</v>
      </c>
      <c r="AC182" s="4">
        <v>503.7</v>
      </c>
      <c r="AE182">
        <v>-2.9603206384477199</v>
      </c>
      <c r="AH182">
        <v>-2.2390124725933601E-4</v>
      </c>
    </row>
    <row r="183" spans="1:36" x14ac:dyDescent="0.2">
      <c r="A183" t="s">
        <v>9</v>
      </c>
      <c r="B183">
        <v>4</v>
      </c>
      <c r="C183" s="2">
        <v>43780</v>
      </c>
      <c r="D183" s="13">
        <v>315.48298499999873</v>
      </c>
      <c r="E183" s="13"/>
      <c r="F183" s="4">
        <v>518.70000000000005</v>
      </c>
      <c r="H183">
        <v>15.6</v>
      </c>
      <c r="J183">
        <v>7.22</v>
      </c>
      <c r="L183">
        <v>39.799999999999997</v>
      </c>
      <c r="N183">
        <v>0.67</v>
      </c>
      <c r="P183">
        <v>2.7213231975604102</v>
      </c>
      <c r="S183">
        <v>-2.3403854504019299E-4</v>
      </c>
      <c r="T183" s="6"/>
      <c r="U183" s="6"/>
      <c r="X183" t="s">
        <v>9</v>
      </c>
      <c r="Y183">
        <v>4</v>
      </c>
      <c r="Z183" t="s">
        <v>4</v>
      </c>
      <c r="AA183" s="16">
        <v>43780</v>
      </c>
      <c r="AB183">
        <v>315.477429999999</v>
      </c>
      <c r="AC183" s="4">
        <v>561.20000000000005</v>
      </c>
      <c r="AE183">
        <v>-5.5457710526220696</v>
      </c>
      <c r="AH183">
        <v>-1.4447364185326099E-4</v>
      </c>
    </row>
    <row r="184" spans="1:36" x14ac:dyDescent="0.2">
      <c r="A184" t="s">
        <v>9</v>
      </c>
      <c r="B184">
        <v>5</v>
      </c>
      <c r="C184" s="2">
        <v>43780</v>
      </c>
      <c r="D184" s="13">
        <v>315.4940949999982</v>
      </c>
      <c r="E184" s="13"/>
      <c r="F184" s="4">
        <v>418.7</v>
      </c>
      <c r="H184">
        <v>16.2</v>
      </c>
      <c r="J184">
        <v>6.66</v>
      </c>
      <c r="L184">
        <v>37.799999999999997</v>
      </c>
      <c r="N184">
        <v>0.65</v>
      </c>
      <c r="P184">
        <v>1.6696017997633501</v>
      </c>
      <c r="S184">
        <v>-1.6215714485182E-4</v>
      </c>
      <c r="T184" s="6"/>
      <c r="U184" s="6"/>
      <c r="X184" t="s">
        <v>9</v>
      </c>
      <c r="Y184">
        <v>5</v>
      </c>
      <c r="Z184" t="s">
        <v>4</v>
      </c>
      <c r="AA184" s="16">
        <v>43780</v>
      </c>
      <c r="AB184">
        <v>315.48854500000016</v>
      </c>
      <c r="AC184" s="4">
        <v>518.70000000000005</v>
      </c>
      <c r="AE184">
        <v>-4.3228725479134704</v>
      </c>
      <c r="AH184">
        <v>-1.46714696067148E-4</v>
      </c>
    </row>
    <row r="185" spans="1:36" x14ac:dyDescent="0.2">
      <c r="A185" t="s">
        <v>9</v>
      </c>
      <c r="B185">
        <v>1</v>
      </c>
      <c r="C185" s="2">
        <v>43780</v>
      </c>
      <c r="D185" s="13">
        <v>315.55104500000016</v>
      </c>
      <c r="E185" s="13">
        <v>315.57687499999957</v>
      </c>
      <c r="F185" s="4">
        <v>666.2</v>
      </c>
      <c r="G185" s="4">
        <v>493.2</v>
      </c>
      <c r="H185">
        <v>15.6</v>
      </c>
      <c r="I185">
        <v>16.959999999999997</v>
      </c>
      <c r="J185">
        <v>6.11</v>
      </c>
      <c r="K185">
        <v>5.6639999999999997</v>
      </c>
      <c r="L185">
        <v>40.6</v>
      </c>
      <c r="M185">
        <v>43.5</v>
      </c>
      <c r="N185">
        <v>0.64</v>
      </c>
      <c r="O185" s="4">
        <v>0.64600000000000013</v>
      </c>
      <c r="P185">
        <v>1.95264023773835</v>
      </c>
      <c r="Q185">
        <v>2.091154688750704</v>
      </c>
      <c r="R185">
        <v>0.41027325140184645</v>
      </c>
      <c r="S185">
        <v>-1.8154133683377199E-4</v>
      </c>
      <c r="T185" s="6">
        <v>-1.7912018070037787E-4</v>
      </c>
      <c r="U185" s="6">
        <v>6.9076652045230811E-5</v>
      </c>
      <c r="X185" t="s">
        <v>9</v>
      </c>
      <c r="Y185">
        <v>1</v>
      </c>
      <c r="Z185" t="s">
        <v>4</v>
      </c>
      <c r="AA185" s="16">
        <v>43780</v>
      </c>
      <c r="AB185">
        <v>315.54479500000161</v>
      </c>
      <c r="AC185" s="4">
        <v>613.70000000000005</v>
      </c>
      <c r="AD185" s="4">
        <v>506.2</v>
      </c>
      <c r="AE185">
        <v>-1.88268478103282</v>
      </c>
      <c r="AF185">
        <v>-3.5189141529657819</v>
      </c>
      <c r="AG185">
        <v>1.4664787385449809</v>
      </c>
      <c r="AH185">
        <v>-1.6807813613519001E-4</v>
      </c>
      <c r="AI185">
        <v>-1.7814713403962139E-4</v>
      </c>
      <c r="AJ185">
        <v>4.5558637613944553E-5</v>
      </c>
    </row>
    <row r="186" spans="1:36" x14ac:dyDescent="0.2">
      <c r="A186" t="s">
        <v>9</v>
      </c>
      <c r="B186">
        <v>2</v>
      </c>
      <c r="C186" s="2">
        <v>43780</v>
      </c>
      <c r="D186" s="13">
        <v>315.56284500000038</v>
      </c>
      <c r="E186" s="13"/>
      <c r="F186" s="4">
        <v>631.20000000000005</v>
      </c>
      <c r="H186">
        <v>15.6</v>
      </c>
      <c r="J186">
        <v>6.66</v>
      </c>
      <c r="L186">
        <v>44.7</v>
      </c>
      <c r="N186">
        <v>0.63</v>
      </c>
      <c r="P186">
        <v>2.2128469066290002</v>
      </c>
      <c r="S186" s="6">
        <v>-8.0608686259460403E-5</v>
      </c>
      <c r="X186" t="s">
        <v>9</v>
      </c>
      <c r="Y186">
        <v>2</v>
      </c>
      <c r="Z186" t="s">
        <v>4</v>
      </c>
      <c r="AA186" s="16">
        <v>43780</v>
      </c>
      <c r="AB186">
        <v>315.5572949999987</v>
      </c>
      <c r="AC186" s="4">
        <v>711.2</v>
      </c>
      <c r="AE186">
        <v>-5.5549548007595702</v>
      </c>
      <c r="AH186">
        <v>-1.40508191459269E-4</v>
      </c>
    </row>
    <row r="187" spans="1:36" x14ac:dyDescent="0.2">
      <c r="A187" t="s">
        <v>9</v>
      </c>
      <c r="B187">
        <v>3</v>
      </c>
      <c r="C187" s="2">
        <v>43780</v>
      </c>
      <c r="D187" s="13">
        <v>315.57742999999755</v>
      </c>
      <c r="E187" s="13"/>
      <c r="F187" s="4">
        <v>426.2</v>
      </c>
      <c r="H187">
        <v>19.100000000000001</v>
      </c>
      <c r="J187">
        <v>5.55</v>
      </c>
      <c r="L187">
        <v>42.9</v>
      </c>
      <c r="N187">
        <v>0.66</v>
      </c>
      <c r="P187">
        <v>2.6381677573192999</v>
      </c>
      <c r="S187">
        <v>-2.6709847477276099E-4</v>
      </c>
      <c r="T187" s="6"/>
      <c r="U187" s="6"/>
      <c r="X187" t="s">
        <v>9</v>
      </c>
      <c r="Y187">
        <v>3</v>
      </c>
      <c r="Z187" t="s">
        <v>4</v>
      </c>
      <c r="AA187" s="16">
        <v>43780</v>
      </c>
      <c r="AB187">
        <v>315.571179999999</v>
      </c>
      <c r="AC187" s="4">
        <v>413.7</v>
      </c>
      <c r="AE187">
        <v>-2.63858973200088</v>
      </c>
      <c r="AH187">
        <v>-2.4340269057612101E-4</v>
      </c>
    </row>
    <row r="188" spans="1:36" x14ac:dyDescent="0.2">
      <c r="A188" t="s">
        <v>9</v>
      </c>
      <c r="B188">
        <v>4</v>
      </c>
      <c r="C188" s="2">
        <v>43780</v>
      </c>
      <c r="D188" s="13">
        <v>315.59062500000073</v>
      </c>
      <c r="E188" s="13"/>
      <c r="F188" s="4">
        <v>388.7</v>
      </c>
      <c r="H188">
        <v>16.399999999999999</v>
      </c>
      <c r="J188">
        <v>5</v>
      </c>
      <c r="L188">
        <v>42.3</v>
      </c>
      <c r="N188">
        <v>0.66</v>
      </c>
      <c r="P188">
        <v>2.14191276243234</v>
      </c>
      <c r="S188">
        <v>-2.1148588348007501E-4</v>
      </c>
      <c r="T188" s="6"/>
      <c r="U188" s="6"/>
      <c r="X188" t="s">
        <v>9</v>
      </c>
      <c r="Y188">
        <v>4</v>
      </c>
      <c r="Z188" t="s">
        <v>4</v>
      </c>
      <c r="AA188" s="16">
        <v>43780</v>
      </c>
      <c r="AB188">
        <v>315.58333499999935</v>
      </c>
      <c r="AC188" s="4">
        <v>368.7</v>
      </c>
      <c r="AE188">
        <v>-4.4259217877281198</v>
      </c>
      <c r="AH188">
        <v>-2.0381193845787099E-4</v>
      </c>
    </row>
    <row r="189" spans="1:36" x14ac:dyDescent="0.2">
      <c r="A189" t="s">
        <v>9</v>
      </c>
      <c r="B189">
        <v>5</v>
      </c>
      <c r="C189" s="2">
        <v>43780</v>
      </c>
      <c r="D189" s="13">
        <v>315.602429999999</v>
      </c>
      <c r="E189" s="13"/>
      <c r="F189" s="4">
        <v>353.7</v>
      </c>
      <c r="H189">
        <v>18.100000000000001</v>
      </c>
      <c r="J189">
        <v>5</v>
      </c>
      <c r="L189">
        <v>47</v>
      </c>
      <c r="N189">
        <v>0.64</v>
      </c>
      <c r="P189">
        <v>1.5102057796345301</v>
      </c>
      <c r="S189">
        <v>-1.54866522155821E-4</v>
      </c>
      <c r="T189" s="6"/>
      <c r="U189" s="6"/>
      <c r="X189" t="s">
        <v>9</v>
      </c>
      <c r="Y189">
        <v>5</v>
      </c>
      <c r="Z189" t="s">
        <v>4</v>
      </c>
      <c r="AA189" s="16">
        <v>43780</v>
      </c>
      <c r="AB189">
        <v>315.59687499999927</v>
      </c>
      <c r="AC189" s="4">
        <v>423.7</v>
      </c>
      <c r="AE189">
        <v>-3.0924196633075201</v>
      </c>
      <c r="AH189">
        <v>-1.3493471356965599E-4</v>
      </c>
    </row>
    <row r="190" spans="1:36" x14ac:dyDescent="0.2">
      <c r="A190" t="s">
        <v>7</v>
      </c>
      <c r="B190">
        <v>1</v>
      </c>
      <c r="C190" s="2">
        <v>43571</v>
      </c>
      <c r="D190" s="13">
        <v>106.43368055555555</v>
      </c>
      <c r="E190" s="13">
        <v>106.46729166666664</v>
      </c>
      <c r="F190" s="4">
        <v>1391.2</v>
      </c>
      <c r="G190" s="4">
        <v>1542.7</v>
      </c>
      <c r="H190" s="4">
        <v>26.9</v>
      </c>
      <c r="I190">
        <v>26.8</v>
      </c>
      <c r="J190" s="4">
        <v>7.22</v>
      </c>
      <c r="K190">
        <v>7.5539999999999994</v>
      </c>
      <c r="M190" t="e">
        <v>#DIV/0!</v>
      </c>
      <c r="O190" s="4" t="e">
        <v>#DIV/0!</v>
      </c>
      <c r="P190">
        <v>1.6540980839411701</v>
      </c>
      <c r="Q190">
        <v>1.4924509987308621</v>
      </c>
      <c r="R190">
        <v>0.55665031300701306</v>
      </c>
      <c r="S190">
        <v>5.7916244335295498E-5</v>
      </c>
      <c r="T190" s="6">
        <v>1.2699769032006088E-4</v>
      </c>
      <c r="U190" s="6">
        <v>5.1430344519678825E-5</v>
      </c>
      <c r="X190" t="s">
        <v>7</v>
      </c>
      <c r="Y190">
        <v>1</v>
      </c>
      <c r="Z190" t="s">
        <v>2</v>
      </c>
      <c r="AA190" s="16">
        <v>43571</v>
      </c>
      <c r="AB190">
        <v>106.42881944444444</v>
      </c>
      <c r="AC190" s="4">
        <v>1361.2</v>
      </c>
      <c r="AD190" s="4">
        <v>1484.7</v>
      </c>
      <c r="AE190">
        <v>-0.81355818331534502</v>
      </c>
      <c r="AF190">
        <v>-1.2759471341326647</v>
      </c>
      <c r="AG190">
        <v>0.7712849014303389</v>
      </c>
      <c r="AH190">
        <v>1.4175786803315301E-4</v>
      </c>
      <c r="AI190">
        <v>2.0160939532125978E-4</v>
      </c>
      <c r="AJ190">
        <v>4.2717068935476459E-5</v>
      </c>
    </row>
    <row r="191" spans="1:36" x14ac:dyDescent="0.2">
      <c r="A191" t="s">
        <v>7</v>
      </c>
      <c r="B191">
        <v>2</v>
      </c>
      <c r="C191" s="2">
        <v>43571</v>
      </c>
      <c r="D191" s="13">
        <v>106.44340277777778</v>
      </c>
      <c r="E191" s="13"/>
      <c r="F191" s="4">
        <v>1463.7</v>
      </c>
      <c r="H191" s="4">
        <v>24.3</v>
      </c>
      <c r="J191" s="4">
        <v>7.22</v>
      </c>
      <c r="P191">
        <v>0.82692471029085102</v>
      </c>
      <c r="S191">
        <v>1.02868715787531E-4</v>
      </c>
      <c r="X191" t="s">
        <v>7</v>
      </c>
      <c r="Y191">
        <v>2</v>
      </c>
      <c r="Z191" t="s">
        <v>2</v>
      </c>
      <c r="AA191" s="16">
        <v>43571</v>
      </c>
      <c r="AB191">
        <v>106.43854166666667</v>
      </c>
      <c r="AC191" s="4">
        <v>1431.2</v>
      </c>
      <c r="AE191">
        <v>-0.167305180830568</v>
      </c>
      <c r="AH191">
        <v>1.86422043954819E-4</v>
      </c>
    </row>
    <row r="192" spans="1:36" x14ac:dyDescent="0.2">
      <c r="A192" t="s">
        <v>7</v>
      </c>
      <c r="B192">
        <v>3</v>
      </c>
      <c r="C192" s="2">
        <v>43571</v>
      </c>
      <c r="D192" s="13">
        <v>106.453125</v>
      </c>
      <c r="E192" s="13"/>
      <c r="F192" s="4">
        <v>1518.7</v>
      </c>
      <c r="H192" s="4">
        <v>27.7</v>
      </c>
      <c r="J192" s="4">
        <v>7.22</v>
      </c>
      <c r="P192">
        <v>1.91604558976966</v>
      </c>
      <c r="S192">
        <v>1.3544391606353499E-4</v>
      </c>
      <c r="T192" s="6"/>
      <c r="U192" s="6"/>
      <c r="X192" t="s">
        <v>7</v>
      </c>
      <c r="Y192">
        <v>3</v>
      </c>
      <c r="Z192" t="s">
        <v>2</v>
      </c>
      <c r="AA192" s="16">
        <v>43571</v>
      </c>
      <c r="AB192">
        <v>106.44826388888889</v>
      </c>
      <c r="AC192" s="4">
        <v>1493.7</v>
      </c>
      <c r="AE192">
        <v>-1.90382270158195</v>
      </c>
      <c r="AH192">
        <v>2.0068010207423799E-4</v>
      </c>
    </row>
    <row r="193" spans="1:36" x14ac:dyDescent="0.2">
      <c r="A193" t="s">
        <v>7</v>
      </c>
      <c r="B193">
        <v>4</v>
      </c>
      <c r="C193" s="2">
        <v>43571</v>
      </c>
      <c r="D193" s="13">
        <v>106.46284722222222</v>
      </c>
      <c r="E193" s="13"/>
      <c r="F193" s="4">
        <v>1563.7</v>
      </c>
      <c r="H193" s="4">
        <v>28.1</v>
      </c>
      <c r="J193" s="4">
        <v>7.22</v>
      </c>
      <c r="P193">
        <v>0.99050102666379902</v>
      </c>
      <c r="S193">
        <v>1.97326564544176E-4</v>
      </c>
      <c r="T193" s="6"/>
      <c r="U193" s="6"/>
      <c r="X193" t="s">
        <v>7</v>
      </c>
      <c r="Y193">
        <v>4</v>
      </c>
      <c r="Z193" t="s">
        <v>2</v>
      </c>
      <c r="AA193" s="16">
        <v>43571</v>
      </c>
      <c r="AB193">
        <v>106.45798611111111</v>
      </c>
      <c r="AC193" s="4">
        <v>1543.7</v>
      </c>
      <c r="AE193">
        <v>-1.52658097307464</v>
      </c>
      <c r="AH193">
        <v>2.5690945361745598E-4</v>
      </c>
    </row>
    <row r="194" spans="1:36" x14ac:dyDescent="0.2">
      <c r="A194" t="s">
        <v>7</v>
      </c>
      <c r="B194">
        <v>5</v>
      </c>
      <c r="C194" s="2">
        <v>43571</v>
      </c>
      <c r="D194" s="13">
        <v>106.54340277777777</v>
      </c>
      <c r="E194" s="13"/>
      <c r="F194" s="4">
        <v>1776.2</v>
      </c>
      <c r="H194" s="4">
        <v>27</v>
      </c>
      <c r="J194" s="4">
        <v>8.89</v>
      </c>
      <c r="P194">
        <v>2.0746855829888302</v>
      </c>
      <c r="S194">
        <v>1.41433010869767E-4</v>
      </c>
      <c r="T194" s="6"/>
      <c r="U194" s="6"/>
      <c r="X194" t="s">
        <v>7</v>
      </c>
      <c r="Y194">
        <v>5</v>
      </c>
      <c r="Z194" t="s">
        <v>2</v>
      </c>
      <c r="AA194" s="16">
        <v>43571</v>
      </c>
      <c r="AB194">
        <v>106.46770833333333</v>
      </c>
      <c r="AC194" s="4">
        <v>1593.7</v>
      </c>
      <c r="AE194">
        <v>-1.96846863186082</v>
      </c>
      <c r="AH194">
        <v>2.2227750892663299E-4</v>
      </c>
    </row>
    <row r="195" spans="1:36" x14ac:dyDescent="0.2">
      <c r="A195" t="s">
        <v>7</v>
      </c>
      <c r="B195">
        <v>1</v>
      </c>
      <c r="C195" s="2">
        <v>43571</v>
      </c>
      <c r="D195" s="13">
        <v>106.55312499999999</v>
      </c>
      <c r="E195" s="13">
        <v>106.57256944444444</v>
      </c>
      <c r="F195" s="4">
        <v>1771.2</v>
      </c>
      <c r="G195" s="4">
        <v>1731.7</v>
      </c>
      <c r="H195" s="4">
        <v>27.1</v>
      </c>
      <c r="I195">
        <v>24.560000000000002</v>
      </c>
      <c r="J195" s="4">
        <v>8.89</v>
      </c>
      <c r="K195">
        <v>8.89</v>
      </c>
      <c r="M195" t="e">
        <v>#DIV/0!</v>
      </c>
      <c r="O195" s="4" t="e">
        <v>#DIV/0!</v>
      </c>
      <c r="P195">
        <v>2.0146269817321101</v>
      </c>
      <c r="Q195">
        <v>-0.33747289257215829</v>
      </c>
      <c r="R195">
        <v>1.4653055562274573</v>
      </c>
      <c r="S195" s="6">
        <v>-5.6700000000000003E-5</v>
      </c>
      <c r="T195" s="6">
        <v>1.033598E-4</v>
      </c>
      <c r="U195" s="6">
        <v>9.9678693195687514E-5</v>
      </c>
      <c r="X195" t="s">
        <v>7</v>
      </c>
      <c r="Y195">
        <v>1</v>
      </c>
      <c r="Z195" t="s">
        <v>2</v>
      </c>
      <c r="AA195" s="16">
        <v>43571</v>
      </c>
      <c r="AB195">
        <v>106.5482638888889</v>
      </c>
      <c r="AC195" s="4">
        <v>1773.7</v>
      </c>
      <c r="AD195" s="4">
        <v>1739.2</v>
      </c>
      <c r="AE195">
        <v>-0.25263974797615002</v>
      </c>
      <c r="AF195">
        <v>1.4402042164267681</v>
      </c>
      <c r="AG195">
        <v>1.2186909763244052</v>
      </c>
      <c r="AH195">
        <v>-6.9667999999999998E-4</v>
      </c>
      <c r="AI195">
        <v>-1.4921839999999998E-4</v>
      </c>
      <c r="AJ195">
        <v>3.4279457164138402E-4</v>
      </c>
    </row>
    <row r="196" spans="1:36" x14ac:dyDescent="0.2">
      <c r="A196" t="s">
        <v>7</v>
      </c>
      <c r="B196">
        <v>2</v>
      </c>
      <c r="C196" s="2">
        <v>43571</v>
      </c>
      <c r="D196" s="13">
        <v>106.56284722222222</v>
      </c>
      <c r="E196" s="13"/>
      <c r="F196" s="4">
        <v>1756.2</v>
      </c>
      <c r="H196" s="4">
        <v>25.5</v>
      </c>
      <c r="J196" s="4">
        <v>8.89</v>
      </c>
      <c r="P196">
        <v>9.8802566393490193E-2</v>
      </c>
      <c r="S196" s="6">
        <v>7.4099999999999999E-5</v>
      </c>
      <c r="X196" t="s">
        <v>7</v>
      </c>
      <c r="Y196">
        <v>2</v>
      </c>
      <c r="Z196" t="s">
        <v>2</v>
      </c>
      <c r="AA196" s="16">
        <v>43571</v>
      </c>
      <c r="AB196">
        <v>106.55798611111112</v>
      </c>
      <c r="AC196" s="4">
        <v>1763.7</v>
      </c>
      <c r="AE196">
        <v>3.1043629473051899</v>
      </c>
      <c r="AH196">
        <v>-2.7515800000000001E-4</v>
      </c>
    </row>
    <row r="197" spans="1:36" x14ac:dyDescent="0.2">
      <c r="A197" t="s">
        <v>7</v>
      </c>
      <c r="B197">
        <v>3</v>
      </c>
      <c r="C197" s="2">
        <v>43571</v>
      </c>
      <c r="D197" s="13">
        <v>106.57256944444444</v>
      </c>
      <c r="E197" s="13"/>
      <c r="F197" s="4">
        <v>1741.2</v>
      </c>
      <c r="H197" s="4">
        <v>20.6</v>
      </c>
      <c r="J197" s="4">
        <v>8.89</v>
      </c>
      <c r="P197">
        <v>-0.90393485453457201</v>
      </c>
      <c r="S197">
        <v>1.3679299999999999E-4</v>
      </c>
      <c r="T197" s="6"/>
      <c r="U197" s="6"/>
      <c r="X197" t="s">
        <v>7</v>
      </c>
      <c r="Y197">
        <v>3</v>
      </c>
      <c r="Z197" t="s">
        <v>2</v>
      </c>
      <c r="AA197" s="16">
        <v>43571</v>
      </c>
      <c r="AB197">
        <v>106.56770833333334</v>
      </c>
      <c r="AC197" s="4">
        <v>1743.7</v>
      </c>
      <c r="AE197">
        <v>1.15394447743957</v>
      </c>
      <c r="AH197">
        <v>2.97E-5</v>
      </c>
    </row>
    <row r="198" spans="1:36" x14ac:dyDescent="0.2">
      <c r="A198" t="s">
        <v>7</v>
      </c>
      <c r="B198">
        <v>4</v>
      </c>
      <c r="C198" s="2">
        <v>43571</v>
      </c>
      <c r="D198" s="13">
        <v>106.58229166666666</v>
      </c>
      <c r="E198" s="13"/>
      <c r="F198" s="4">
        <v>1706.2</v>
      </c>
      <c r="H198" s="4">
        <v>24.7</v>
      </c>
      <c r="J198" s="4">
        <v>8.89</v>
      </c>
      <c r="P198">
        <v>-1.2529267285043</v>
      </c>
      <c r="S198">
        <v>1.8142200000000001E-4</v>
      </c>
      <c r="T198" s="6"/>
      <c r="U198" s="6"/>
      <c r="X198" t="s">
        <v>7</v>
      </c>
      <c r="Y198">
        <v>4</v>
      </c>
      <c r="Z198" t="s">
        <v>2</v>
      </c>
      <c r="AA198" s="16">
        <v>43571</v>
      </c>
      <c r="AB198">
        <v>106.57743055555557</v>
      </c>
      <c r="AC198" s="4">
        <v>1716.2</v>
      </c>
      <c r="AE198">
        <v>1.3025953514388899</v>
      </c>
      <c r="AH198">
        <v>8.8300000000000005E-5</v>
      </c>
    </row>
    <row r="199" spans="1:36" x14ac:dyDescent="0.2">
      <c r="A199" t="s">
        <v>7</v>
      </c>
      <c r="B199">
        <v>5</v>
      </c>
      <c r="C199" s="2">
        <v>43571</v>
      </c>
      <c r="D199" s="13">
        <v>106.59201388888889</v>
      </c>
      <c r="E199" s="13"/>
      <c r="F199" s="4">
        <v>1683.7</v>
      </c>
      <c r="H199" s="4">
        <v>24.9</v>
      </c>
      <c r="J199" s="4">
        <v>8.89</v>
      </c>
      <c r="P199">
        <v>-1.64393242794752</v>
      </c>
      <c r="S199">
        <v>1.8118400000000001E-4</v>
      </c>
      <c r="T199" s="6"/>
      <c r="U199" s="6"/>
      <c r="X199" t="s">
        <v>7</v>
      </c>
      <c r="Y199">
        <v>5</v>
      </c>
      <c r="Z199" t="s">
        <v>2</v>
      </c>
      <c r="AA199" s="16">
        <v>43571</v>
      </c>
      <c r="AB199">
        <v>106.58715277777777</v>
      </c>
      <c r="AC199" s="4">
        <v>1698.7</v>
      </c>
      <c r="AE199">
        <v>1.89275805392634</v>
      </c>
      <c r="AH199">
        <v>1.0774599999999999E-4</v>
      </c>
    </row>
    <row r="200" spans="1:36" x14ac:dyDescent="0.2">
      <c r="A200" t="s">
        <v>7</v>
      </c>
      <c r="B200">
        <v>1</v>
      </c>
      <c r="C200" s="2">
        <v>43577</v>
      </c>
      <c r="D200" s="13">
        <v>112.38501157407407</v>
      </c>
      <c r="E200" s="13">
        <v>112.40445601851852</v>
      </c>
      <c r="F200" s="4">
        <v>483.7</v>
      </c>
      <c r="G200" s="4">
        <v>528.70000000000005</v>
      </c>
      <c r="H200" s="4">
        <v>21.6</v>
      </c>
      <c r="I200">
        <v>24.119999999999997</v>
      </c>
      <c r="J200" s="4">
        <v>12.78</v>
      </c>
      <c r="K200">
        <v>13.668000000000001</v>
      </c>
      <c r="M200" t="e">
        <v>#DIV/0!</v>
      </c>
      <c r="O200" s="4" t="e">
        <v>#DIV/0!</v>
      </c>
      <c r="P200">
        <v>0.96112489633797005</v>
      </c>
      <c r="Q200">
        <v>1.1171643957983122</v>
      </c>
      <c r="R200">
        <v>0.18512382714101372</v>
      </c>
      <c r="S200">
        <v>-1.6482103959568001E-4</v>
      </c>
      <c r="T200" s="6">
        <v>-3.7836665789320541E-5</v>
      </c>
      <c r="U200" s="6">
        <v>7.361571300458504E-5</v>
      </c>
      <c r="X200" t="s">
        <v>7</v>
      </c>
      <c r="Y200">
        <v>1</v>
      </c>
      <c r="Z200" t="s">
        <v>4</v>
      </c>
      <c r="AA200" s="16">
        <v>43577</v>
      </c>
      <c r="AB200">
        <v>112.38015046296296</v>
      </c>
      <c r="AC200" s="4">
        <v>441.2</v>
      </c>
      <c r="AD200" s="4">
        <v>516.20000000000005</v>
      </c>
      <c r="AE200">
        <v>-1.4833441319124001</v>
      </c>
      <c r="AF200">
        <v>-1.8775895322997456</v>
      </c>
      <c r="AG200">
        <v>0.8885601076573425</v>
      </c>
      <c r="AH200">
        <v>1.51627393571243E-4</v>
      </c>
      <c r="AI200">
        <v>6.5273381702854623E-5</v>
      </c>
      <c r="AJ200">
        <v>6.1295716957724528E-5</v>
      </c>
    </row>
    <row r="201" spans="1:36" x14ac:dyDescent="0.2">
      <c r="A201" t="s">
        <v>7</v>
      </c>
      <c r="B201">
        <v>2</v>
      </c>
      <c r="C201" s="2">
        <v>43577</v>
      </c>
      <c r="D201" s="13">
        <v>112.39473379629629</v>
      </c>
      <c r="E201" s="13"/>
      <c r="F201" s="4">
        <v>563.70000000000005</v>
      </c>
      <c r="H201" s="4">
        <v>22.7</v>
      </c>
      <c r="J201" s="4">
        <v>12.78</v>
      </c>
      <c r="P201">
        <v>0.95681875878745004</v>
      </c>
      <c r="S201">
        <v>2.5683017267820499E-5</v>
      </c>
      <c r="X201" t="s">
        <v>7</v>
      </c>
      <c r="Y201">
        <v>2</v>
      </c>
      <c r="Z201" t="s">
        <v>4</v>
      </c>
      <c r="AA201" s="16">
        <v>43577</v>
      </c>
      <c r="AB201">
        <v>112.38987268518518</v>
      </c>
      <c r="AC201" s="4">
        <v>561.20000000000005</v>
      </c>
      <c r="AE201">
        <v>-0.58465367240616795</v>
      </c>
      <c r="AH201">
        <v>3.5705598764205397E-5</v>
      </c>
    </row>
    <row r="202" spans="1:36" x14ac:dyDescent="0.2">
      <c r="A202" t="s">
        <v>7</v>
      </c>
      <c r="B202">
        <v>3</v>
      </c>
      <c r="C202" s="2">
        <v>43577</v>
      </c>
      <c r="D202" s="13">
        <v>112.40445601851852</v>
      </c>
      <c r="E202" s="13"/>
      <c r="F202" s="4">
        <v>481.2</v>
      </c>
      <c r="H202" s="4">
        <v>25.9</v>
      </c>
      <c r="J202" s="4">
        <v>12.78</v>
      </c>
      <c r="P202">
        <v>1.4038614127959499</v>
      </c>
      <c r="S202">
        <v>-6.02668349597601E-6</v>
      </c>
      <c r="T202" s="6"/>
      <c r="U202" s="6"/>
      <c r="X202" t="s">
        <v>7</v>
      </c>
      <c r="Y202">
        <v>3</v>
      </c>
      <c r="Z202" t="s">
        <v>4</v>
      </c>
      <c r="AA202" s="16">
        <v>43577</v>
      </c>
      <c r="AB202">
        <v>112.3995949074074</v>
      </c>
      <c r="AC202" s="4">
        <v>523.70000000000005</v>
      </c>
      <c r="AE202">
        <v>-2.2798212731634</v>
      </c>
      <c r="AH202">
        <v>1.07096035171758E-4</v>
      </c>
    </row>
    <row r="203" spans="1:36" x14ac:dyDescent="0.2">
      <c r="A203" t="s">
        <v>7</v>
      </c>
      <c r="B203">
        <v>4</v>
      </c>
      <c r="C203" s="2">
        <v>43577</v>
      </c>
      <c r="D203" s="13">
        <v>112.41417824074074</v>
      </c>
      <c r="E203" s="13"/>
      <c r="F203" s="4">
        <v>536.20000000000005</v>
      </c>
      <c r="H203" s="4">
        <v>26.1</v>
      </c>
      <c r="J203" s="4">
        <v>12.78</v>
      </c>
      <c r="P203">
        <v>1.08516614012045</v>
      </c>
      <c r="S203">
        <v>-2.0521658912953898E-5</v>
      </c>
      <c r="T203" s="6"/>
      <c r="U203" s="6"/>
      <c r="X203" t="s">
        <v>7</v>
      </c>
      <c r="Y203">
        <v>4</v>
      </c>
      <c r="Z203" t="s">
        <v>4</v>
      </c>
      <c r="AA203" s="16">
        <v>43577</v>
      </c>
      <c r="AB203">
        <v>112.40931712962963</v>
      </c>
      <c r="AC203" s="4">
        <v>553.70000000000005</v>
      </c>
      <c r="AE203">
        <v>-2.1055129206011398</v>
      </c>
      <c r="AH203">
        <v>9.3962573132963207E-6</v>
      </c>
    </row>
    <row r="204" spans="1:36" x14ac:dyDescent="0.2">
      <c r="A204" t="s">
        <v>7</v>
      </c>
      <c r="B204">
        <v>5</v>
      </c>
      <c r="C204" s="2">
        <v>43577</v>
      </c>
      <c r="D204" s="13">
        <v>112.42390046296296</v>
      </c>
      <c r="E204" s="13"/>
      <c r="F204" s="4">
        <v>578.70000000000005</v>
      </c>
      <c r="H204" s="4">
        <v>24.3</v>
      </c>
      <c r="J204" s="4">
        <v>17.22</v>
      </c>
      <c r="P204">
        <v>1.17885077094974</v>
      </c>
      <c r="S204">
        <v>-2.34969642098133E-5</v>
      </c>
      <c r="T204" s="6"/>
      <c r="U204" s="6"/>
      <c r="X204" t="s">
        <v>7</v>
      </c>
      <c r="Y204">
        <v>5</v>
      </c>
      <c r="Z204" t="s">
        <v>4</v>
      </c>
      <c r="AA204" s="16">
        <v>43577</v>
      </c>
      <c r="AB204">
        <v>112.41903935185185</v>
      </c>
      <c r="AC204" s="4">
        <v>501.2</v>
      </c>
      <c r="AE204">
        <v>-2.9346156634156202</v>
      </c>
      <c r="AH204">
        <v>2.25416236937704E-5</v>
      </c>
    </row>
    <row r="205" spans="1:36" x14ac:dyDescent="0.2">
      <c r="A205" t="s">
        <v>7</v>
      </c>
      <c r="B205">
        <v>1</v>
      </c>
      <c r="C205" s="2">
        <v>43577</v>
      </c>
      <c r="D205" s="13">
        <v>112.52118055555556</v>
      </c>
      <c r="E205" s="13">
        <v>112.54062500000001</v>
      </c>
      <c r="F205" s="4">
        <v>936.2</v>
      </c>
      <c r="G205" s="4">
        <v>1446.7</v>
      </c>
      <c r="H205" s="4">
        <v>22.8</v>
      </c>
      <c r="I205">
        <v>23.660000000000004</v>
      </c>
      <c r="J205" s="4">
        <v>17.22</v>
      </c>
      <c r="K205">
        <v>17.22</v>
      </c>
      <c r="M205" t="e">
        <v>#DIV/0!</v>
      </c>
      <c r="O205" s="4" t="e">
        <v>#DIV/0!</v>
      </c>
      <c r="P205">
        <v>3.0289820854529901</v>
      </c>
      <c r="Q205">
        <v>2.7015440531028658</v>
      </c>
      <c r="R205">
        <v>0.82468543313710674</v>
      </c>
      <c r="S205">
        <v>1.6198896209047801E-4</v>
      </c>
      <c r="T205" s="6">
        <v>8.6771119870253738E-5</v>
      </c>
      <c r="U205" s="6">
        <v>6.9924613090380686E-5</v>
      </c>
      <c r="X205" t="s">
        <v>7</v>
      </c>
      <c r="Y205">
        <v>1</v>
      </c>
      <c r="Z205" t="s">
        <v>4</v>
      </c>
      <c r="AA205" s="16">
        <v>43577</v>
      </c>
      <c r="AB205">
        <v>112.51631944444443</v>
      </c>
      <c r="AC205" s="4">
        <v>1258.7</v>
      </c>
      <c r="AD205" s="4">
        <v>1416.2</v>
      </c>
      <c r="AE205">
        <v>-2.2580428761990698</v>
      </c>
      <c r="AF205">
        <v>-2.4597138994668457</v>
      </c>
      <c r="AG205">
        <v>1.6334777015860198</v>
      </c>
      <c r="AH205">
        <v>-2.0571450561710099E-4</v>
      </c>
      <c r="AI205">
        <v>5.0734689730338428E-5</v>
      </c>
      <c r="AJ205">
        <v>1.6695039284166948E-4</v>
      </c>
    </row>
    <row r="206" spans="1:36" x14ac:dyDescent="0.2">
      <c r="A206" t="s">
        <v>7</v>
      </c>
      <c r="B206">
        <v>2</v>
      </c>
      <c r="C206" s="2">
        <v>43577</v>
      </c>
      <c r="D206" s="13">
        <v>112.53090277777778</v>
      </c>
      <c r="E206" s="13"/>
      <c r="F206" s="4">
        <v>1186.2</v>
      </c>
      <c r="H206" s="4">
        <v>24.7</v>
      </c>
      <c r="J206" s="4">
        <v>17.22</v>
      </c>
      <c r="P206">
        <v>1.7602546497512199</v>
      </c>
      <c r="S206">
        <v>6.0910565163501899E-5</v>
      </c>
      <c r="X206" t="s">
        <v>7</v>
      </c>
      <c r="Y206">
        <v>2</v>
      </c>
      <c r="Z206" t="s">
        <v>4</v>
      </c>
      <c r="AA206" s="16">
        <v>43577</v>
      </c>
      <c r="AB206">
        <v>112.52604166666666</v>
      </c>
      <c r="AC206" s="4">
        <v>1141.2</v>
      </c>
      <c r="AE206">
        <v>-4.1894801313537497E-2</v>
      </c>
      <c r="AH206">
        <v>4.2422614945768699E-5</v>
      </c>
    </row>
    <row r="207" spans="1:36" x14ac:dyDescent="0.2">
      <c r="A207" t="s">
        <v>7</v>
      </c>
      <c r="B207">
        <v>3</v>
      </c>
      <c r="C207" s="2">
        <v>43577</v>
      </c>
      <c r="D207" s="13">
        <v>112.54062500000001</v>
      </c>
      <c r="E207" s="13"/>
      <c r="F207" s="4">
        <v>1093.7</v>
      </c>
      <c r="H207" s="4">
        <v>25.3</v>
      </c>
      <c r="J207" s="4">
        <v>17.22</v>
      </c>
      <c r="P207">
        <v>2.0645607548880198</v>
      </c>
      <c r="S207">
        <v>1.0159163842551999E-4</v>
      </c>
      <c r="T207" s="6"/>
      <c r="U207" s="6"/>
      <c r="X207" t="s">
        <v>7</v>
      </c>
      <c r="Y207">
        <v>3</v>
      </c>
      <c r="Z207" t="s">
        <v>4</v>
      </c>
      <c r="AA207" s="16">
        <v>43577</v>
      </c>
      <c r="AB207">
        <v>112.53576388888888</v>
      </c>
      <c r="AC207" s="4">
        <v>1351.2</v>
      </c>
      <c r="AE207">
        <v>-2.36800209007923</v>
      </c>
      <c r="AH207">
        <v>4.2319558850375399E-5</v>
      </c>
    </row>
    <row r="208" spans="1:36" x14ac:dyDescent="0.2">
      <c r="A208" t="s">
        <v>7</v>
      </c>
      <c r="B208">
        <v>4</v>
      </c>
      <c r="C208" s="2">
        <v>43577</v>
      </c>
      <c r="D208" s="13">
        <v>112.55034722222223</v>
      </c>
      <c r="E208" s="13"/>
      <c r="F208" s="4">
        <v>1983.7</v>
      </c>
      <c r="H208" s="4">
        <v>23.6</v>
      </c>
      <c r="J208" s="4">
        <v>17.22</v>
      </c>
      <c r="P208">
        <v>3.8461633915406099</v>
      </c>
      <c r="S208">
        <v>1.2868313175997499E-4</v>
      </c>
      <c r="T208" s="6"/>
      <c r="U208" s="6"/>
      <c r="X208" t="s">
        <v>7</v>
      </c>
      <c r="Y208">
        <v>4</v>
      </c>
      <c r="Z208" t="s">
        <v>4</v>
      </c>
      <c r="AA208" s="16">
        <v>43577</v>
      </c>
      <c r="AB208">
        <v>112.5454861111111</v>
      </c>
      <c r="AC208" s="4">
        <v>1903.7</v>
      </c>
      <c r="AE208">
        <v>-3.07276580841005</v>
      </c>
      <c r="AH208">
        <v>1.2301516583355999E-4</v>
      </c>
    </row>
    <row r="209" spans="1:36" x14ac:dyDescent="0.2">
      <c r="A209" t="s">
        <v>7</v>
      </c>
      <c r="B209">
        <v>5</v>
      </c>
      <c r="C209" s="2">
        <v>43577</v>
      </c>
      <c r="D209" s="13">
        <v>112.56006944444445</v>
      </c>
      <c r="E209" s="13"/>
      <c r="F209" s="4">
        <v>2033.7</v>
      </c>
      <c r="H209" s="4">
        <v>21.9</v>
      </c>
      <c r="J209" s="4">
        <v>17.22</v>
      </c>
      <c r="P209">
        <v>2.80775938388149</v>
      </c>
      <c r="S209">
        <v>-1.9318698088206199E-5</v>
      </c>
      <c r="T209" s="6"/>
      <c r="U209" s="6"/>
      <c r="X209" t="s">
        <v>7</v>
      </c>
      <c r="Y209">
        <v>5</v>
      </c>
      <c r="Z209" t="s">
        <v>4</v>
      </c>
      <c r="AA209" s="16">
        <v>43577</v>
      </c>
      <c r="AB209">
        <v>112.55520833333333</v>
      </c>
      <c r="AC209" s="4">
        <v>1426.2</v>
      </c>
      <c r="AE209">
        <v>-4.5578639213323404</v>
      </c>
      <c r="AH209">
        <v>2.51630614639089E-4</v>
      </c>
    </row>
    <row r="210" spans="1:36" x14ac:dyDescent="0.2">
      <c r="A210" t="s">
        <v>7</v>
      </c>
      <c r="B210">
        <v>1</v>
      </c>
      <c r="C210" s="2">
        <v>43585</v>
      </c>
      <c r="D210" s="13">
        <v>120.40578703703704</v>
      </c>
      <c r="E210" s="13">
        <v>120.4252314814815</v>
      </c>
      <c r="F210" s="4">
        <v>193.7</v>
      </c>
      <c r="G210" s="4">
        <v>250.7</v>
      </c>
      <c r="H210" s="4">
        <v>27.3</v>
      </c>
      <c r="I210">
        <v>27.52</v>
      </c>
      <c r="J210" s="4">
        <v>13.89</v>
      </c>
      <c r="K210">
        <v>13.89</v>
      </c>
      <c r="M210" t="e">
        <v>#DIV/0!</v>
      </c>
      <c r="O210" s="4" t="e">
        <v>#DIV/0!</v>
      </c>
      <c r="P210">
        <v>0.99232204525301004</v>
      </c>
      <c r="Q210">
        <v>1.4414528086832221</v>
      </c>
      <c r="R210">
        <v>0.43785081378429985</v>
      </c>
      <c r="S210">
        <v>-4.8131970310524397E-5</v>
      </c>
      <c r="T210" s="6">
        <v>-2.7076041859687177E-5</v>
      </c>
      <c r="U210" s="6">
        <v>4.7763327885303601E-5</v>
      </c>
      <c r="X210" t="s">
        <v>7</v>
      </c>
      <c r="Y210">
        <v>1</v>
      </c>
      <c r="Z210" t="s">
        <v>2</v>
      </c>
      <c r="AA210" s="16">
        <v>43585</v>
      </c>
      <c r="AB210">
        <v>120.40092592592592</v>
      </c>
      <c r="AC210" s="4">
        <v>153.69999999999999</v>
      </c>
      <c r="AD210" s="4">
        <v>260.2</v>
      </c>
      <c r="AE210">
        <v>-0.25168799275855702</v>
      </c>
      <c r="AF210">
        <v>-0.80649625600796515</v>
      </c>
      <c r="AG210">
        <v>0.91471073583047413</v>
      </c>
      <c r="AH210">
        <v>-1.32368188639572E-5</v>
      </c>
      <c r="AI210">
        <v>7.2945418395091592E-6</v>
      </c>
      <c r="AJ210">
        <v>4.4877749888624501E-5</v>
      </c>
    </row>
    <row r="211" spans="1:36" x14ac:dyDescent="0.2">
      <c r="A211" t="s">
        <v>7</v>
      </c>
      <c r="B211">
        <v>2</v>
      </c>
      <c r="C211" s="2">
        <v>43585</v>
      </c>
      <c r="D211" s="13">
        <v>120.41550925925927</v>
      </c>
      <c r="E211" s="13"/>
      <c r="F211" s="4">
        <v>216.2</v>
      </c>
      <c r="H211" s="4">
        <v>27.2</v>
      </c>
      <c r="J211" s="4">
        <v>13.89</v>
      </c>
      <c r="P211">
        <v>1.5562474855869199</v>
      </c>
      <c r="S211">
        <v>-9.4075228449488706E-5</v>
      </c>
      <c r="X211" t="s">
        <v>7</v>
      </c>
      <c r="Y211">
        <v>2</v>
      </c>
      <c r="Z211" t="s">
        <v>2</v>
      </c>
      <c r="AA211" s="16">
        <v>43585</v>
      </c>
      <c r="AB211">
        <v>120.41064814814814</v>
      </c>
      <c r="AC211" s="4">
        <v>238.7</v>
      </c>
      <c r="AE211">
        <v>7.9455543746220297E-2</v>
      </c>
      <c r="AH211">
        <v>-2.55045631639221E-5</v>
      </c>
    </row>
    <row r="212" spans="1:36" x14ac:dyDescent="0.2">
      <c r="A212" t="s">
        <v>7</v>
      </c>
      <c r="B212">
        <v>3</v>
      </c>
      <c r="C212" s="2">
        <v>43585</v>
      </c>
      <c r="D212" s="13">
        <v>120.42523148148149</v>
      </c>
      <c r="E212" s="13"/>
      <c r="F212" s="4">
        <v>271.2</v>
      </c>
      <c r="H212" s="4">
        <v>27.5</v>
      </c>
      <c r="J212" s="4">
        <v>13.89</v>
      </c>
      <c r="P212">
        <v>1.2559619661307799</v>
      </c>
      <c r="S212">
        <v>3.5015195088466997E-5</v>
      </c>
      <c r="T212" s="6"/>
      <c r="U212" s="6"/>
      <c r="X212" t="s">
        <v>7</v>
      </c>
      <c r="Y212">
        <v>3</v>
      </c>
      <c r="Z212" t="s">
        <v>2</v>
      </c>
      <c r="AA212" s="16">
        <v>43585</v>
      </c>
      <c r="AB212">
        <v>120.42037037037036</v>
      </c>
      <c r="AC212" s="4">
        <v>261.2</v>
      </c>
      <c r="AE212">
        <v>-0.72119240680867103</v>
      </c>
      <c r="AH212">
        <v>1.03495606541357E-5</v>
      </c>
    </row>
    <row r="213" spans="1:36" x14ac:dyDescent="0.2">
      <c r="A213" t="s">
        <v>7</v>
      </c>
      <c r="B213">
        <v>4</v>
      </c>
      <c r="C213" s="2">
        <v>43585</v>
      </c>
      <c r="D213" s="13">
        <v>120.43495370370371</v>
      </c>
      <c r="E213" s="13"/>
      <c r="F213" s="4">
        <v>296.2</v>
      </c>
      <c r="H213" s="4">
        <v>28.9</v>
      </c>
      <c r="J213" s="4">
        <v>13.89</v>
      </c>
      <c r="P213">
        <v>2.1386534839051201</v>
      </c>
      <c r="S213">
        <v>-1.34959190867598E-5</v>
      </c>
      <c r="T213" s="6"/>
      <c r="U213" s="6"/>
      <c r="X213" t="s">
        <v>7</v>
      </c>
      <c r="Y213">
        <v>4</v>
      </c>
      <c r="Z213" t="s">
        <v>2</v>
      </c>
      <c r="AA213" s="16">
        <v>43585</v>
      </c>
      <c r="AB213">
        <v>120.43009259259259</v>
      </c>
      <c r="AC213" s="4">
        <v>316.2</v>
      </c>
      <c r="AE213">
        <v>-0.83388297092164798</v>
      </c>
      <c r="AH213">
        <v>8.3840378744685798E-5</v>
      </c>
    </row>
    <row r="214" spans="1:36" x14ac:dyDescent="0.2">
      <c r="A214" t="s">
        <v>7</v>
      </c>
      <c r="B214">
        <v>5</v>
      </c>
      <c r="C214" s="2">
        <v>43585</v>
      </c>
      <c r="D214" s="13">
        <v>120.44467592592594</v>
      </c>
      <c r="E214" s="13"/>
      <c r="F214" s="4">
        <v>276.2</v>
      </c>
      <c r="H214" s="4">
        <v>26.7</v>
      </c>
      <c r="J214" s="4">
        <v>13.89</v>
      </c>
      <c r="P214">
        <v>1.26407906254028</v>
      </c>
      <c r="S214">
        <v>-1.469228654013E-5</v>
      </c>
      <c r="T214" s="6"/>
      <c r="U214" s="6"/>
      <c r="X214" t="s">
        <v>7</v>
      </c>
      <c r="Y214">
        <v>5</v>
      </c>
      <c r="Z214" t="s">
        <v>2</v>
      </c>
      <c r="AA214" s="16">
        <v>43585</v>
      </c>
      <c r="AB214">
        <v>120.43981481481481</v>
      </c>
      <c r="AC214" s="4">
        <v>331.2</v>
      </c>
      <c r="AE214">
        <v>-2.3051734532971699</v>
      </c>
      <c r="AH214">
        <v>-1.8975848173396399E-5</v>
      </c>
    </row>
    <row r="215" spans="1:36" x14ac:dyDescent="0.2">
      <c r="A215" t="s">
        <v>7</v>
      </c>
      <c r="B215">
        <v>1</v>
      </c>
      <c r="C215" s="2">
        <v>43585</v>
      </c>
      <c r="D215" s="13">
        <v>120.5099537037037</v>
      </c>
      <c r="E215" s="13">
        <v>120.52939814814815</v>
      </c>
      <c r="F215" s="4">
        <v>336.2</v>
      </c>
      <c r="G215" s="4">
        <v>377.2</v>
      </c>
      <c r="H215" s="4">
        <v>27.3</v>
      </c>
      <c r="I215">
        <v>26.660000000000004</v>
      </c>
      <c r="J215" s="4">
        <v>11.11</v>
      </c>
      <c r="K215">
        <v>11.11</v>
      </c>
      <c r="M215" t="e">
        <v>#DIV/0!</v>
      </c>
      <c r="O215" s="4" t="e">
        <v>#DIV/0!</v>
      </c>
      <c r="P215">
        <v>1.2164101743155</v>
      </c>
      <c r="Q215">
        <v>1.3702319986821281</v>
      </c>
      <c r="R215">
        <v>0.29892663109705137</v>
      </c>
      <c r="S215">
        <v>4.7485862453173802E-5</v>
      </c>
      <c r="T215" s="6">
        <v>5.8663336177432591E-6</v>
      </c>
      <c r="U215" s="6">
        <v>3.1613808099618319E-5</v>
      </c>
      <c r="X215" t="s">
        <v>7</v>
      </c>
      <c r="Y215">
        <v>1</v>
      </c>
      <c r="Z215" t="s">
        <v>2</v>
      </c>
      <c r="AA215" s="16">
        <v>43585</v>
      </c>
      <c r="AB215">
        <v>120.50509259259259</v>
      </c>
      <c r="AC215" s="4">
        <v>356.2</v>
      </c>
      <c r="AD215" s="4">
        <v>354.7</v>
      </c>
      <c r="AE215">
        <v>-1.88145426587297</v>
      </c>
      <c r="AF215">
        <v>-1.7142270501109949</v>
      </c>
      <c r="AG215">
        <v>1.5555029673257794</v>
      </c>
      <c r="AH215">
        <v>8.7457073698952197E-6</v>
      </c>
      <c r="AI215">
        <v>-2.5158237365133451E-5</v>
      </c>
      <c r="AJ215">
        <v>4.6423236058673842E-5</v>
      </c>
    </row>
    <row r="216" spans="1:36" x14ac:dyDescent="0.2">
      <c r="A216" t="s">
        <v>7</v>
      </c>
      <c r="B216">
        <v>2</v>
      </c>
      <c r="C216" s="2">
        <v>43585</v>
      </c>
      <c r="D216" s="13">
        <v>120.51967592592592</v>
      </c>
      <c r="E216" s="13"/>
      <c r="F216" s="4">
        <v>248.7</v>
      </c>
      <c r="H216" s="4">
        <v>29.2</v>
      </c>
      <c r="J216" s="4">
        <v>11.11</v>
      </c>
      <c r="P216">
        <v>1.5450191474572901</v>
      </c>
      <c r="S216">
        <v>-3.5080398395546001E-5</v>
      </c>
      <c r="X216" t="s">
        <v>7</v>
      </c>
      <c r="Y216">
        <v>2</v>
      </c>
      <c r="Z216" t="s">
        <v>2</v>
      </c>
      <c r="AA216" s="16">
        <v>43585</v>
      </c>
      <c r="AB216">
        <v>120.51481481481481</v>
      </c>
      <c r="AC216" s="4">
        <v>261.2</v>
      </c>
      <c r="AE216">
        <v>8.9167159825846498E-2</v>
      </c>
      <c r="AH216">
        <v>2.3888551823239602E-5</v>
      </c>
    </row>
    <row r="217" spans="1:36" x14ac:dyDescent="0.2">
      <c r="A217" t="s">
        <v>7</v>
      </c>
      <c r="B217">
        <v>3</v>
      </c>
      <c r="C217" s="2">
        <v>43585</v>
      </c>
      <c r="D217" s="13">
        <v>120.52939814814815</v>
      </c>
      <c r="E217" s="13"/>
      <c r="F217" s="4">
        <v>288.7</v>
      </c>
      <c r="H217" s="4">
        <v>26.4</v>
      </c>
      <c r="J217" s="4">
        <v>11.11</v>
      </c>
      <c r="P217">
        <v>1.0560478412210299</v>
      </c>
      <c r="S217">
        <v>7.6138602628981896E-6</v>
      </c>
      <c r="T217" s="6"/>
      <c r="U217" s="6"/>
      <c r="X217" t="s">
        <v>7</v>
      </c>
      <c r="Y217">
        <v>3</v>
      </c>
      <c r="Z217" t="s">
        <v>2</v>
      </c>
      <c r="AA217" s="16">
        <v>43585</v>
      </c>
      <c r="AB217">
        <v>120.52453703703704</v>
      </c>
      <c r="AC217" s="4">
        <v>236.2</v>
      </c>
      <c r="AE217">
        <v>-1.12006736930847</v>
      </c>
      <c r="AH217">
        <v>-9.2014276157900994E-5</v>
      </c>
    </row>
    <row r="218" spans="1:36" x14ac:dyDescent="0.2">
      <c r="A218" t="s">
        <v>7</v>
      </c>
      <c r="B218">
        <v>4</v>
      </c>
      <c r="C218" s="2">
        <v>43585</v>
      </c>
      <c r="D218" s="13">
        <v>120.53912037037037</v>
      </c>
      <c r="E218" s="13"/>
      <c r="F218" s="4">
        <v>496.2</v>
      </c>
      <c r="H218" s="4">
        <v>26.2</v>
      </c>
      <c r="J218" s="4">
        <v>11.11</v>
      </c>
      <c r="P218">
        <v>1.8010213716267101</v>
      </c>
      <c r="S218">
        <v>2.17284970767558E-5</v>
      </c>
      <c r="T218" s="6"/>
      <c r="U218" s="6"/>
      <c r="X218" t="s">
        <v>7</v>
      </c>
      <c r="Y218">
        <v>4</v>
      </c>
      <c r="Z218" t="s">
        <v>2</v>
      </c>
      <c r="AA218" s="16">
        <v>43585</v>
      </c>
      <c r="AB218">
        <v>120.53425925925926</v>
      </c>
      <c r="AC218" s="4">
        <v>471.2</v>
      </c>
      <c r="AE218">
        <v>-1.4956066640405099</v>
      </c>
      <c r="AH218">
        <v>-1.7938744104353499E-5</v>
      </c>
    </row>
    <row r="219" spans="1:36" x14ac:dyDescent="0.2">
      <c r="A219" t="s">
        <v>7</v>
      </c>
      <c r="B219">
        <v>5</v>
      </c>
      <c r="C219" s="2">
        <v>43585</v>
      </c>
      <c r="D219" s="13">
        <v>120.54884259259259</v>
      </c>
      <c r="E219" s="13"/>
      <c r="F219" s="4">
        <v>516.20000000000005</v>
      </c>
      <c r="H219" s="4">
        <v>24.2</v>
      </c>
      <c r="J219" s="4">
        <v>11.11</v>
      </c>
      <c r="P219">
        <v>1.2326614587901099</v>
      </c>
      <c r="S219">
        <v>-1.24161533085655E-5</v>
      </c>
      <c r="T219" s="6"/>
      <c r="U219" s="6"/>
      <c r="X219" t="s">
        <v>7</v>
      </c>
      <c r="Y219">
        <v>5</v>
      </c>
      <c r="Z219" t="s">
        <v>2</v>
      </c>
      <c r="AA219" s="16">
        <v>43585</v>
      </c>
      <c r="AB219">
        <v>120.54398148148148</v>
      </c>
      <c r="AC219" s="4">
        <v>448.7</v>
      </c>
      <c r="AE219">
        <v>-4.1631741111588703</v>
      </c>
      <c r="AH219">
        <v>-4.8472425756547598E-5</v>
      </c>
    </row>
    <row r="220" spans="1:36" x14ac:dyDescent="0.2">
      <c r="A220" t="s">
        <v>7</v>
      </c>
      <c r="B220">
        <v>1</v>
      </c>
      <c r="C220" s="2">
        <v>43601</v>
      </c>
      <c r="D220" s="13">
        <v>136.41407407407408</v>
      </c>
      <c r="E220" s="13">
        <v>136.43351851851853</v>
      </c>
      <c r="F220" s="4">
        <v>568.70000000000005</v>
      </c>
      <c r="G220" s="4">
        <v>922.2</v>
      </c>
      <c r="H220" s="4">
        <v>28.6</v>
      </c>
      <c r="I220">
        <v>26.880000000000003</v>
      </c>
      <c r="J220" s="4">
        <v>15.56</v>
      </c>
      <c r="K220">
        <v>15.559999999999999</v>
      </c>
      <c r="M220" t="e">
        <v>#DIV/0!</v>
      </c>
      <c r="O220" s="4" t="e">
        <v>#DIV/0!</v>
      </c>
      <c r="P220">
        <v>-9.6856554547387307E-3</v>
      </c>
      <c r="Q220">
        <v>-0.5521121057109154</v>
      </c>
      <c r="R220">
        <v>0.92891700200075888</v>
      </c>
      <c r="S220">
        <v>-5.3671762038535499E-4</v>
      </c>
      <c r="T220" s="6">
        <v>-1.1663535707809577E-4</v>
      </c>
      <c r="U220" s="6">
        <v>3.1391365401428015E-4</v>
      </c>
      <c r="X220" t="s">
        <v>7</v>
      </c>
      <c r="Y220">
        <v>1</v>
      </c>
      <c r="Z220" t="s">
        <v>2</v>
      </c>
      <c r="AA220" s="16">
        <v>43601</v>
      </c>
      <c r="AB220">
        <v>136.40921296296295</v>
      </c>
      <c r="AC220" s="4">
        <v>851.2</v>
      </c>
      <c r="AD220" s="4">
        <v>1171.2</v>
      </c>
      <c r="AE220">
        <v>1.55383505967818</v>
      </c>
      <c r="AF220">
        <v>0.39748788151926256</v>
      </c>
      <c r="AG220">
        <v>0.78752046805428177</v>
      </c>
      <c r="AH220">
        <v>2.1857494198983501E-4</v>
      </c>
      <c r="AI220">
        <v>-1.1712858104617766E-4</v>
      </c>
      <c r="AJ220">
        <v>3.056698090824453E-4</v>
      </c>
    </row>
    <row r="221" spans="1:36" x14ac:dyDescent="0.2">
      <c r="A221" t="s">
        <v>7</v>
      </c>
      <c r="B221">
        <v>2</v>
      </c>
      <c r="C221" s="2">
        <v>43601</v>
      </c>
      <c r="D221" s="13">
        <v>136.4237962962963</v>
      </c>
      <c r="E221" s="13"/>
      <c r="F221" s="4">
        <v>1758.7</v>
      </c>
      <c r="H221" s="4">
        <v>27.2</v>
      </c>
      <c r="J221" s="4">
        <v>15.56</v>
      </c>
      <c r="P221">
        <v>0.365781899784897</v>
      </c>
      <c r="S221">
        <v>-3.3844828687291402E-4</v>
      </c>
      <c r="X221" t="s">
        <v>7</v>
      </c>
      <c r="Y221">
        <v>2</v>
      </c>
      <c r="Z221" t="s">
        <v>2</v>
      </c>
      <c r="AA221" s="16">
        <v>43601</v>
      </c>
      <c r="AB221">
        <v>136.41893518518518</v>
      </c>
      <c r="AC221" s="4">
        <v>808.7</v>
      </c>
      <c r="AE221">
        <v>0.61199815245981104</v>
      </c>
      <c r="AH221">
        <v>-2.8724881673281298E-4</v>
      </c>
    </row>
    <row r="222" spans="1:36" x14ac:dyDescent="0.2">
      <c r="A222" t="s">
        <v>7</v>
      </c>
      <c r="B222">
        <v>3</v>
      </c>
      <c r="C222" s="2">
        <v>43601</v>
      </c>
      <c r="D222" s="13">
        <v>136.43351851851853</v>
      </c>
      <c r="E222" s="13"/>
      <c r="F222" s="4">
        <v>571.20000000000005</v>
      </c>
      <c r="H222" s="4">
        <v>19</v>
      </c>
      <c r="J222" s="4">
        <v>15.56</v>
      </c>
      <c r="P222">
        <v>-1.8557337118285101E-2</v>
      </c>
      <c r="S222">
        <v>2.4005379986648999E-4</v>
      </c>
      <c r="T222" s="6"/>
      <c r="U222" s="6"/>
      <c r="X222" t="s">
        <v>7</v>
      </c>
      <c r="Y222">
        <v>3</v>
      </c>
      <c r="Z222" t="s">
        <v>2</v>
      </c>
      <c r="AA222" s="16">
        <v>43601</v>
      </c>
      <c r="AB222">
        <v>136.4286574074074</v>
      </c>
      <c r="AC222" s="4">
        <v>1663.7</v>
      </c>
      <c r="AE222">
        <v>-4.29490190571351E-2</v>
      </c>
      <c r="AH222">
        <v>1.08377615267236E-4</v>
      </c>
    </row>
    <row r="223" spans="1:36" x14ac:dyDescent="0.2">
      <c r="A223" t="s">
        <v>7</v>
      </c>
      <c r="B223">
        <v>4</v>
      </c>
      <c r="C223" s="2">
        <v>43601</v>
      </c>
      <c r="D223" s="13">
        <v>136.44324074074075</v>
      </c>
      <c r="E223" s="13"/>
      <c r="F223" s="4">
        <v>681.2</v>
      </c>
      <c r="H223" s="4">
        <v>28.3</v>
      </c>
      <c r="J223" s="4">
        <v>15.56</v>
      </c>
      <c r="P223">
        <v>-1.6945513174381099</v>
      </c>
      <c r="S223">
        <v>4.3268654103715399E-5</v>
      </c>
      <c r="T223" s="6"/>
      <c r="U223" s="6"/>
      <c r="X223" t="s">
        <v>7</v>
      </c>
      <c r="Y223">
        <v>4</v>
      </c>
      <c r="Z223" t="s">
        <v>2</v>
      </c>
      <c r="AA223" s="16">
        <v>43601</v>
      </c>
      <c r="AB223">
        <v>136.43837962962962</v>
      </c>
      <c r="AC223" s="4">
        <v>1698.7</v>
      </c>
      <c r="AE223">
        <v>0.41744491638744202</v>
      </c>
      <c r="AH223">
        <v>-5.4155084697896799E-4</v>
      </c>
    </row>
    <row r="224" spans="1:36" x14ac:dyDescent="0.2">
      <c r="A224" t="s">
        <v>7</v>
      </c>
      <c r="B224">
        <v>5</v>
      </c>
      <c r="C224" s="2">
        <v>43601</v>
      </c>
      <c r="D224" s="13">
        <v>136.45296296296297</v>
      </c>
      <c r="E224" s="13"/>
      <c r="F224" s="4">
        <v>1031.2</v>
      </c>
      <c r="H224" s="4">
        <v>31.3</v>
      </c>
      <c r="J224" s="4">
        <v>15.56</v>
      </c>
      <c r="P224">
        <v>-1.40354811832834</v>
      </c>
      <c r="S224">
        <v>8.6666678975848198E-6</v>
      </c>
      <c r="T224" s="6"/>
      <c r="U224" s="6"/>
      <c r="X224" t="s">
        <v>7</v>
      </c>
      <c r="Y224">
        <v>5</v>
      </c>
      <c r="Z224" t="s">
        <v>2</v>
      </c>
      <c r="AA224" s="16">
        <v>43601</v>
      </c>
      <c r="AB224">
        <v>136.44810185185185</v>
      </c>
      <c r="AC224" s="4">
        <v>833.7</v>
      </c>
      <c r="AE224">
        <v>-0.55288970187198505</v>
      </c>
      <c r="AH224">
        <v>-8.3795798776178305E-5</v>
      </c>
    </row>
    <row r="225" spans="1:36" x14ac:dyDescent="0.2">
      <c r="A225" t="s">
        <v>7</v>
      </c>
      <c r="B225">
        <v>1</v>
      </c>
      <c r="C225" s="2">
        <v>43601</v>
      </c>
      <c r="D225" s="13">
        <v>136.51719907407409</v>
      </c>
      <c r="E225" s="13">
        <v>136.53664351851853</v>
      </c>
      <c r="F225" s="4">
        <v>2046.2</v>
      </c>
      <c r="G225" s="4">
        <v>1448.2</v>
      </c>
      <c r="H225" s="4">
        <v>28.3</v>
      </c>
      <c r="I225" s="4">
        <v>24.86</v>
      </c>
      <c r="J225" s="4">
        <v>16.670000000000002</v>
      </c>
      <c r="K225">
        <v>16.670000000000002</v>
      </c>
      <c r="M225" t="e">
        <v>#DIV/0!</v>
      </c>
      <c r="O225" s="4" t="e">
        <v>#DIV/0!</v>
      </c>
      <c r="P225">
        <v>1.34342406098565</v>
      </c>
      <c r="Q225">
        <v>0.25247294684875798</v>
      </c>
      <c r="R225">
        <v>0.73001915558068808</v>
      </c>
      <c r="S225">
        <v>1.29173555256823E-4</v>
      </c>
      <c r="T225" s="6">
        <v>1.5073982577449538E-4</v>
      </c>
      <c r="U225" s="6">
        <v>3.7290043260171978E-5</v>
      </c>
      <c r="X225" t="s">
        <v>7</v>
      </c>
      <c r="Y225">
        <v>1</v>
      </c>
      <c r="Z225" t="s">
        <v>2</v>
      </c>
      <c r="AA225" s="16">
        <v>43601</v>
      </c>
      <c r="AB225">
        <v>136.51233796296296</v>
      </c>
      <c r="AC225" s="4">
        <v>1978.7</v>
      </c>
      <c r="AD225" s="4">
        <v>1482.7</v>
      </c>
      <c r="AE225">
        <v>1.9128857269984501</v>
      </c>
      <c r="AF225">
        <v>0.24746926823244592</v>
      </c>
      <c r="AG225">
        <v>0.95039444771725234</v>
      </c>
      <c r="AH225">
        <v>1.0870529891252599E-4</v>
      </c>
      <c r="AI225">
        <v>1.312642052413116E-4</v>
      </c>
      <c r="AJ225">
        <v>1.4108033717915398E-5</v>
      </c>
    </row>
    <row r="226" spans="1:36" x14ac:dyDescent="0.2">
      <c r="A226" t="s">
        <v>7</v>
      </c>
      <c r="B226">
        <v>2</v>
      </c>
      <c r="C226" s="2">
        <v>43601</v>
      </c>
      <c r="D226" s="13">
        <v>136.52692129629628</v>
      </c>
      <c r="E226" s="13"/>
      <c r="F226" s="4">
        <v>2038.7</v>
      </c>
      <c r="H226" s="4">
        <v>26.4</v>
      </c>
      <c r="J226" s="4">
        <v>16.670000000000002</v>
      </c>
      <c r="P226">
        <v>0.63860637235852102</v>
      </c>
      <c r="S226">
        <v>1.31822984772179E-4</v>
      </c>
      <c r="X226" t="s">
        <v>7</v>
      </c>
      <c r="Y226">
        <v>2</v>
      </c>
      <c r="Z226" t="s">
        <v>2</v>
      </c>
      <c r="AA226" s="16">
        <v>43601</v>
      </c>
      <c r="AB226">
        <v>136.52206018518518</v>
      </c>
      <c r="AC226" s="4">
        <v>656.2</v>
      </c>
      <c r="AE226">
        <v>-0.166315628693432</v>
      </c>
      <c r="AH226">
        <v>1.29675922484606E-4</v>
      </c>
    </row>
    <row r="227" spans="1:36" x14ac:dyDescent="0.2">
      <c r="A227" t="s">
        <v>7</v>
      </c>
      <c r="B227">
        <v>3</v>
      </c>
      <c r="C227" s="2">
        <v>43601</v>
      </c>
      <c r="D227" s="13">
        <v>136.53664351851853</v>
      </c>
      <c r="E227" s="13"/>
      <c r="F227" s="4">
        <v>1981.2</v>
      </c>
      <c r="H227" s="4">
        <v>20.9</v>
      </c>
      <c r="J227" s="4">
        <v>16.670000000000002</v>
      </c>
      <c r="P227">
        <v>-0.13570718853015201</v>
      </c>
      <c r="S227">
        <v>1.2436098179114701E-4</v>
      </c>
      <c r="T227" s="6"/>
      <c r="U227" s="6"/>
      <c r="X227" t="s">
        <v>7</v>
      </c>
      <c r="Y227">
        <v>3</v>
      </c>
      <c r="Z227" t="s">
        <v>2</v>
      </c>
      <c r="AA227" s="16">
        <v>43601</v>
      </c>
      <c r="AB227">
        <v>136.53178240740741</v>
      </c>
      <c r="AC227" s="4">
        <v>2058.6999999999998</v>
      </c>
      <c r="AE227">
        <v>-0.47700073774527602</v>
      </c>
      <c r="AH227">
        <v>1.3179983052120001E-4</v>
      </c>
    </row>
    <row r="228" spans="1:36" x14ac:dyDescent="0.2">
      <c r="A228" t="s">
        <v>7</v>
      </c>
      <c r="B228">
        <v>4</v>
      </c>
      <c r="C228" s="2">
        <v>43601</v>
      </c>
      <c r="D228" s="13">
        <v>136.54636574074073</v>
      </c>
      <c r="E228" s="13"/>
      <c r="F228" s="4">
        <v>573.70000000000005</v>
      </c>
      <c r="H228" s="4">
        <v>27.2</v>
      </c>
      <c r="J228" s="4">
        <v>16.670000000000002</v>
      </c>
      <c r="P228">
        <v>-0.44834148858794698</v>
      </c>
      <c r="S228">
        <v>1.5410309284617801E-4</v>
      </c>
      <c r="T228" s="6"/>
      <c r="U228" s="6"/>
      <c r="X228" t="s">
        <v>7</v>
      </c>
      <c r="Y228">
        <v>4</v>
      </c>
      <c r="Z228" t="s">
        <v>2</v>
      </c>
      <c r="AA228" s="16">
        <v>43601</v>
      </c>
      <c r="AB228">
        <v>136.54150462962963</v>
      </c>
      <c r="AC228" s="4">
        <v>1996.2</v>
      </c>
      <c r="AE228">
        <v>-6.2813010763880406E-2</v>
      </c>
      <c r="AH228">
        <v>1.4138480205580701E-4</v>
      </c>
    </row>
    <row r="229" spans="1:36" x14ac:dyDescent="0.2">
      <c r="A229" t="s">
        <v>7</v>
      </c>
      <c r="B229">
        <v>5</v>
      </c>
      <c r="C229" s="2">
        <v>43601</v>
      </c>
      <c r="D229" s="13">
        <v>136.55608796296298</v>
      </c>
      <c r="E229" s="13"/>
      <c r="F229" s="4">
        <v>601.20000000000005</v>
      </c>
      <c r="H229" s="4">
        <v>21.5</v>
      </c>
      <c r="J229" s="4">
        <v>16.670000000000002</v>
      </c>
      <c r="P229">
        <v>-0.13561702198228201</v>
      </c>
      <c r="S229">
        <v>2.1423851420614999E-4</v>
      </c>
      <c r="T229" s="6"/>
      <c r="U229" s="6"/>
      <c r="X229" t="s">
        <v>7</v>
      </c>
      <c r="Y229">
        <v>5</v>
      </c>
      <c r="Z229" t="s">
        <v>2</v>
      </c>
      <c r="AA229" s="16">
        <v>43601</v>
      </c>
      <c r="AB229">
        <v>136.55122685185185</v>
      </c>
      <c r="AC229" s="4">
        <v>723.7</v>
      </c>
      <c r="AE229">
        <v>3.0589991366368099E-2</v>
      </c>
      <c r="AH229">
        <v>1.4475517223241899E-4</v>
      </c>
    </row>
    <row r="230" spans="1:36" x14ac:dyDescent="0.2">
      <c r="A230" t="s">
        <v>7</v>
      </c>
      <c r="B230">
        <v>1</v>
      </c>
      <c r="C230" s="2">
        <v>43608</v>
      </c>
      <c r="D230" s="13">
        <v>143.3892361111111</v>
      </c>
      <c r="E230" s="13">
        <v>143.40868055555555</v>
      </c>
      <c r="F230" s="4">
        <v>1186.2</v>
      </c>
      <c r="G230" s="4">
        <v>1357.2</v>
      </c>
      <c r="H230" s="4">
        <v>18.8</v>
      </c>
      <c r="I230">
        <v>16.540000000000003</v>
      </c>
      <c r="J230" s="4">
        <v>16.11</v>
      </c>
      <c r="K230">
        <v>16.11</v>
      </c>
      <c r="M230" t="e">
        <v>#DIV/0!</v>
      </c>
      <c r="O230" s="4" t="e">
        <v>#DIV/0!</v>
      </c>
      <c r="P230">
        <v>2.23080948664402</v>
      </c>
      <c r="Q230">
        <v>1.4880208288086783</v>
      </c>
      <c r="R230">
        <v>1.7728309577287471</v>
      </c>
      <c r="S230">
        <v>-4.5906818573451902E-6</v>
      </c>
      <c r="T230" s="6">
        <v>-1.2762873151446569E-4</v>
      </c>
      <c r="U230" s="6">
        <v>4.1439094770768468E-4</v>
      </c>
      <c r="X230" t="s">
        <v>7</v>
      </c>
      <c r="Y230">
        <v>1</v>
      </c>
      <c r="Z230" t="s">
        <v>2</v>
      </c>
      <c r="AA230" s="16">
        <v>43608</v>
      </c>
      <c r="AB230">
        <v>143.38437500000001</v>
      </c>
      <c r="AC230" s="4">
        <v>1111.2</v>
      </c>
      <c r="AD230" s="4">
        <v>1349.2</v>
      </c>
      <c r="AE230">
        <v>1.66716157001968</v>
      </c>
      <c r="AF230">
        <v>8.1346073486868425E-2</v>
      </c>
      <c r="AG230">
        <v>2.6983739422634212</v>
      </c>
      <c r="AH230">
        <v>4.8281927382888502E-4</v>
      </c>
      <c r="AI230">
        <v>-2.0777272718035907E-6</v>
      </c>
      <c r="AJ230">
        <v>5.9265657587501163E-4</v>
      </c>
    </row>
    <row r="231" spans="1:36" x14ac:dyDescent="0.2">
      <c r="A231" t="s">
        <v>7</v>
      </c>
      <c r="B231">
        <v>2</v>
      </c>
      <c r="C231" s="2">
        <v>43608</v>
      </c>
      <c r="D231" s="13">
        <v>143.39895833333333</v>
      </c>
      <c r="E231" s="13"/>
      <c r="F231" s="4">
        <v>931.2</v>
      </c>
      <c r="H231" s="4">
        <v>18.600000000000001</v>
      </c>
      <c r="J231" s="4">
        <v>16.11</v>
      </c>
      <c r="P231">
        <v>2.8819930776397902</v>
      </c>
      <c r="S231">
        <v>-4.5661127963000898E-4</v>
      </c>
      <c r="X231" t="s">
        <v>7</v>
      </c>
      <c r="Y231">
        <v>2</v>
      </c>
      <c r="Z231" t="s">
        <v>2</v>
      </c>
      <c r="AA231" s="16">
        <v>43608</v>
      </c>
      <c r="AB231">
        <v>143.39409722222223</v>
      </c>
      <c r="AC231" s="4">
        <v>1206.2</v>
      </c>
      <c r="AE231">
        <v>-0.39364010043717901</v>
      </c>
      <c r="AH231">
        <v>-1.0669597279423E-4</v>
      </c>
    </row>
    <row r="232" spans="1:36" x14ac:dyDescent="0.2">
      <c r="A232" t="s">
        <v>7</v>
      </c>
      <c r="B232">
        <v>3</v>
      </c>
      <c r="C232" s="2">
        <v>43608</v>
      </c>
      <c r="D232" s="13">
        <v>143.40868055555555</v>
      </c>
      <c r="E232" s="13"/>
      <c r="F232" s="4">
        <v>1371.2</v>
      </c>
      <c r="H232" s="4">
        <v>12.8</v>
      </c>
      <c r="J232" s="4">
        <v>16.11</v>
      </c>
      <c r="P232">
        <v>1.3936996941511599</v>
      </c>
      <c r="S232">
        <v>-5.9836618664460702E-4</v>
      </c>
      <c r="T232" s="6"/>
      <c r="U232" s="6"/>
      <c r="X232" t="s">
        <v>7</v>
      </c>
      <c r="Y232">
        <v>3</v>
      </c>
      <c r="Z232" t="s">
        <v>2</v>
      </c>
      <c r="AA232" s="16">
        <v>43608</v>
      </c>
      <c r="AB232">
        <v>143.40381944444445</v>
      </c>
      <c r="AC232" s="4">
        <v>1278.7</v>
      </c>
      <c r="AE232">
        <v>-3.64689750958008</v>
      </c>
      <c r="AH232">
        <v>1.8519958818380999E-4</v>
      </c>
    </row>
    <row r="233" spans="1:36" x14ac:dyDescent="0.2">
      <c r="A233" t="s">
        <v>7</v>
      </c>
      <c r="B233">
        <v>4</v>
      </c>
      <c r="C233" s="2">
        <v>43608</v>
      </c>
      <c r="D233" s="13">
        <v>143.41840277777777</v>
      </c>
      <c r="E233" s="13"/>
      <c r="F233" s="4">
        <v>1633.7</v>
      </c>
      <c r="H233" s="4">
        <v>19.100000000000001</v>
      </c>
      <c r="J233" s="4">
        <v>16.11</v>
      </c>
      <c r="P233">
        <v>2.4645682228471801</v>
      </c>
      <c r="S233">
        <v>-2.6951978701885299E-5</v>
      </c>
      <c r="T233" s="6"/>
      <c r="U233" s="6"/>
      <c r="X233" t="s">
        <v>7</v>
      </c>
      <c r="Y233">
        <v>4</v>
      </c>
      <c r="Z233" t="s">
        <v>2</v>
      </c>
      <c r="AA233" s="16">
        <v>43608</v>
      </c>
      <c r="AB233">
        <v>143.41354166666667</v>
      </c>
      <c r="AC233" s="4">
        <v>1548.7</v>
      </c>
      <c r="AE233">
        <v>3.5183431457325001</v>
      </c>
      <c r="AH233">
        <v>-9.7967290331316494E-4</v>
      </c>
    </row>
    <row r="234" spans="1:36" x14ac:dyDescent="0.2">
      <c r="A234" t="s">
        <v>7</v>
      </c>
      <c r="B234">
        <v>5</v>
      </c>
      <c r="C234" s="2">
        <v>43608</v>
      </c>
      <c r="D234" s="13">
        <v>143.42812499999999</v>
      </c>
      <c r="E234" s="13"/>
      <c r="F234" s="4">
        <v>1663.7</v>
      </c>
      <c r="H234" s="4">
        <v>13.4</v>
      </c>
      <c r="J234" s="4">
        <v>16.11</v>
      </c>
      <c r="P234">
        <v>-1.5309663372387601</v>
      </c>
      <c r="S234">
        <v>4.4837646926151799E-4</v>
      </c>
      <c r="T234" s="6"/>
      <c r="U234" s="6"/>
      <c r="X234" t="s">
        <v>7</v>
      </c>
      <c r="Y234">
        <v>5</v>
      </c>
      <c r="Z234" t="s">
        <v>2</v>
      </c>
      <c r="AA234" s="16">
        <v>43608</v>
      </c>
      <c r="AB234">
        <v>143.4232638888889</v>
      </c>
      <c r="AC234" s="4">
        <v>1601.2</v>
      </c>
      <c r="AE234">
        <v>-0.73823673830057901</v>
      </c>
      <c r="AH234">
        <v>4.0796137773568201E-4</v>
      </c>
    </row>
    <row r="235" spans="1:36" s="18" customFormat="1" x14ac:dyDescent="0.2">
      <c r="A235" s="18" t="s">
        <v>7</v>
      </c>
      <c r="B235" s="18">
        <v>1</v>
      </c>
      <c r="C235" s="19">
        <v>43608</v>
      </c>
      <c r="D235" s="20">
        <v>143.55729166666666</v>
      </c>
      <c r="E235" s="20">
        <v>143.57187500000001</v>
      </c>
      <c r="F235" s="21">
        <v>1013.7</v>
      </c>
      <c r="G235" s="4">
        <v>676.2</v>
      </c>
      <c r="H235" s="21">
        <v>18.7</v>
      </c>
      <c r="I235" s="4">
        <v>17.2</v>
      </c>
      <c r="J235" s="21">
        <v>18.329999999999998</v>
      </c>
      <c r="K235" s="4">
        <v>18.329999999999998</v>
      </c>
      <c r="M235" t="e">
        <v>#DIV/0!</v>
      </c>
      <c r="O235" s="4" t="e">
        <v>#DIV/0!</v>
      </c>
      <c r="P235" s="18">
        <v>1.36124456760533</v>
      </c>
      <c r="Q235">
        <v>0.82270341205623643</v>
      </c>
      <c r="R235">
        <v>1.0419796687841991</v>
      </c>
      <c r="S235" s="18">
        <v>4.0920940598121599E-4</v>
      </c>
      <c r="T235" s="6">
        <v>2.7875249380987215E-5</v>
      </c>
      <c r="U235" s="6">
        <v>2.8046926220832026E-4</v>
      </c>
      <c r="X235" s="18" t="s">
        <v>7</v>
      </c>
      <c r="Y235" s="18">
        <v>1</v>
      </c>
      <c r="Z235" s="18" t="s">
        <v>2</v>
      </c>
      <c r="AA235" s="22">
        <v>43608</v>
      </c>
      <c r="AB235" s="18">
        <v>143.55243055555556</v>
      </c>
      <c r="AC235" s="21">
        <v>1128.7</v>
      </c>
      <c r="AD235" s="4">
        <v>756.2</v>
      </c>
      <c r="AE235" s="18">
        <v>-3.0513031639338002</v>
      </c>
      <c r="AF235">
        <v>-0.3643049359747953</v>
      </c>
      <c r="AG235">
        <v>1.9794195292315688</v>
      </c>
      <c r="AH235" s="18">
        <v>-1.7365378784746401E-2</v>
      </c>
      <c r="AI235">
        <v>-4.2848369057200695E-3</v>
      </c>
      <c r="AJ235">
        <v>8.7207873813180126E-3</v>
      </c>
    </row>
    <row r="236" spans="1:36" s="18" customFormat="1" x14ac:dyDescent="0.2">
      <c r="A236" s="18" t="s">
        <v>7</v>
      </c>
      <c r="B236" s="18">
        <v>2</v>
      </c>
      <c r="C236" s="19">
        <v>43608</v>
      </c>
      <c r="D236" s="20">
        <v>143.56701388888888</v>
      </c>
      <c r="E236" s="20"/>
      <c r="F236" s="21">
        <v>961.2</v>
      </c>
      <c r="G236" s="4"/>
      <c r="H236" s="21">
        <v>18.600000000000001</v>
      </c>
      <c r="I236"/>
      <c r="J236" s="21">
        <v>18.329999999999998</v>
      </c>
      <c r="K236"/>
      <c r="M236"/>
      <c r="O236" s="4"/>
      <c r="P236" s="18">
        <v>1.15764899835782</v>
      </c>
      <c r="Q236"/>
      <c r="R236"/>
      <c r="S236" s="18">
        <v>-1.6595973871909801E-5</v>
      </c>
      <c r="T236"/>
      <c r="U236"/>
      <c r="X236" s="18" t="s">
        <v>7</v>
      </c>
      <c r="Y236" s="18">
        <v>2</v>
      </c>
      <c r="Z236" s="18" t="s">
        <v>2</v>
      </c>
      <c r="AA236" s="22">
        <v>43608</v>
      </c>
      <c r="AB236" s="18">
        <v>143.56215277777778</v>
      </c>
      <c r="AC236" s="21">
        <v>836.2</v>
      </c>
      <c r="AD236" s="4"/>
      <c r="AE236" s="18">
        <v>1.7036707836218801</v>
      </c>
      <c r="AF236"/>
      <c r="AG236"/>
      <c r="AH236" s="18">
        <v>1.9621956040114701E-4</v>
      </c>
      <c r="AI236"/>
      <c r="AJ236"/>
    </row>
    <row r="237" spans="1:36" s="18" customFormat="1" x14ac:dyDescent="0.2">
      <c r="A237" s="18" t="s">
        <v>7</v>
      </c>
      <c r="B237" s="18">
        <v>3</v>
      </c>
      <c r="C237" s="19">
        <v>43608</v>
      </c>
      <c r="D237" s="20">
        <v>143.5767361111111</v>
      </c>
      <c r="E237" s="20"/>
      <c r="F237" s="21">
        <v>728.7</v>
      </c>
      <c r="G237" s="21"/>
      <c r="H237" s="21">
        <v>12.5</v>
      </c>
      <c r="J237" s="21">
        <v>18.329999999999998</v>
      </c>
      <c r="K237"/>
      <c r="M237"/>
      <c r="O237" s="4"/>
      <c r="P237" s="18">
        <v>-0.72612363925951395</v>
      </c>
      <c r="Q237"/>
      <c r="R237"/>
      <c r="S237" s="18">
        <v>-1.43475121417713E-5</v>
      </c>
      <c r="T237" s="6"/>
      <c r="U237" s="6"/>
      <c r="X237" s="18" t="s">
        <v>7</v>
      </c>
      <c r="Y237" s="18">
        <v>3</v>
      </c>
      <c r="Z237" s="18" t="s">
        <v>2</v>
      </c>
      <c r="AA237" s="22">
        <v>43608</v>
      </c>
      <c r="AB237" s="18">
        <v>143.57187500000001</v>
      </c>
      <c r="AC237" s="21">
        <v>1031.2</v>
      </c>
      <c r="AD237" s="4"/>
      <c r="AE237" s="18">
        <v>0.127178199666339</v>
      </c>
      <c r="AF237"/>
      <c r="AG237"/>
      <c r="AH237" s="18">
        <v>2.8691038381430701E-5</v>
      </c>
      <c r="AI237"/>
      <c r="AJ237"/>
    </row>
    <row r="238" spans="1:36" s="18" customFormat="1" x14ac:dyDescent="0.2">
      <c r="A238" s="18" t="s">
        <v>7</v>
      </c>
      <c r="B238" s="18">
        <v>4</v>
      </c>
      <c r="C238" s="19">
        <v>43608</v>
      </c>
      <c r="D238" s="20">
        <v>143.58645833333333</v>
      </c>
      <c r="E238" s="20"/>
      <c r="F238" s="21">
        <v>1.2</v>
      </c>
      <c r="G238" s="21"/>
      <c r="H238" s="21">
        <v>19</v>
      </c>
      <c r="J238" s="21">
        <v>18.329999999999998</v>
      </c>
      <c r="K238"/>
      <c r="M238"/>
      <c r="O238" s="4"/>
      <c r="P238" s="18">
        <v>1.49804372152131</v>
      </c>
      <c r="Q238"/>
      <c r="R238"/>
      <c r="S238" s="18">
        <v>-2.6676492244358599E-4</v>
      </c>
      <c r="T238" s="6"/>
      <c r="U238" s="6"/>
      <c r="X238" s="18" t="s">
        <v>7</v>
      </c>
      <c r="Y238" s="18">
        <v>4</v>
      </c>
      <c r="Z238" s="18" t="s">
        <v>2</v>
      </c>
      <c r="AA238" s="22">
        <v>43608</v>
      </c>
      <c r="AB238" s="18">
        <v>143.58159722222223</v>
      </c>
      <c r="AC238" s="21">
        <v>28.7</v>
      </c>
      <c r="AD238" s="4"/>
      <c r="AE238" s="18">
        <v>-0.23676556325359999</v>
      </c>
      <c r="AF238"/>
      <c r="AG238"/>
      <c r="AH238" s="18">
        <v>1.1205630835445801E-6</v>
      </c>
      <c r="AI238"/>
      <c r="AJ238"/>
    </row>
    <row r="239" spans="1:36" x14ac:dyDescent="0.2">
      <c r="A239" t="s">
        <v>7</v>
      </c>
      <c r="B239">
        <v>1</v>
      </c>
      <c r="C239" s="2">
        <v>43614</v>
      </c>
      <c r="D239" s="13">
        <v>149.4267361111111</v>
      </c>
      <c r="E239" s="13">
        <v>149.44618055555557</v>
      </c>
      <c r="F239" s="4">
        <v>941.2</v>
      </c>
      <c r="G239" s="4">
        <v>1158.2</v>
      </c>
      <c r="H239" s="4">
        <v>25.2</v>
      </c>
      <c r="I239" s="4">
        <v>23.5</v>
      </c>
      <c r="J239" s="4">
        <v>17.22</v>
      </c>
      <c r="K239" s="4">
        <v>17.22</v>
      </c>
      <c r="P239">
        <v>3.2636361550161301</v>
      </c>
      <c r="Q239">
        <v>4.0869975551487681</v>
      </c>
      <c r="R239">
        <v>0.75306191426405644</v>
      </c>
      <c r="S239">
        <v>1.2728237282033799E-3</v>
      </c>
      <c r="T239" s="6">
        <f>AVERAGE(S239:S243)</f>
        <v>-3.0066798641058276E-3</v>
      </c>
      <c r="U239" s="6">
        <v>9.7045047769255266E-3</v>
      </c>
      <c r="X239" t="s">
        <v>7</v>
      </c>
      <c r="Y239">
        <v>1</v>
      </c>
      <c r="Z239" t="s">
        <v>2</v>
      </c>
      <c r="AA239" s="16">
        <v>43614</v>
      </c>
      <c r="AB239">
        <v>149.421875</v>
      </c>
      <c r="AC239" s="4">
        <v>1018.7</v>
      </c>
      <c r="AD239" s="4">
        <v>1398.7</v>
      </c>
      <c r="AE239">
        <v>4.4068148271899199</v>
      </c>
      <c r="AF239">
        <v>2.4263965713835303</v>
      </c>
      <c r="AG239">
        <v>1.1317462991542542</v>
      </c>
      <c r="AH239">
        <v>-0.22641090229215</v>
      </c>
      <c r="AI239">
        <v>-8.7886976270940831E-2</v>
      </c>
      <c r="AJ239">
        <v>0.12647690620460914</v>
      </c>
    </row>
    <row r="240" spans="1:36" x14ac:dyDescent="0.2">
      <c r="A240" t="s">
        <v>7</v>
      </c>
      <c r="B240">
        <v>2</v>
      </c>
      <c r="C240" s="2">
        <v>43614</v>
      </c>
      <c r="D240" s="13">
        <v>149.43645833333335</v>
      </c>
      <c r="E240" s="13"/>
      <c r="F240" s="4">
        <v>873.7</v>
      </c>
      <c r="H240" s="4">
        <v>25.3</v>
      </c>
      <c r="J240" s="4">
        <v>17.22</v>
      </c>
      <c r="M240" t="e">
        <v>#DIV/0!</v>
      </c>
      <c r="O240" s="4" t="e">
        <v>#DIV/0!</v>
      </c>
      <c r="P240">
        <v>3.4042091753033001</v>
      </c>
      <c r="S240">
        <v>1.3936213776738499E-3</v>
      </c>
      <c r="T240" s="6"/>
      <c r="U240" s="6"/>
      <c r="X240" t="s">
        <v>7</v>
      </c>
      <c r="Y240">
        <v>2</v>
      </c>
      <c r="Z240" t="s">
        <v>2</v>
      </c>
      <c r="AA240" s="16">
        <v>43614</v>
      </c>
      <c r="AB240">
        <v>149.43159722222222</v>
      </c>
      <c r="AC240" s="4">
        <v>951.2</v>
      </c>
      <c r="AE240">
        <v>2.2894167775982899</v>
      </c>
      <c r="AH240">
        <v>6.4075702758892598E-3</v>
      </c>
    </row>
    <row r="241" spans="1:36" x14ac:dyDescent="0.2">
      <c r="A241" t="s">
        <v>7</v>
      </c>
      <c r="B241">
        <v>3</v>
      </c>
      <c r="C241" s="2">
        <v>43614</v>
      </c>
      <c r="D241" s="13">
        <v>149.44618055555554</v>
      </c>
      <c r="E241" s="13"/>
      <c r="F241" s="4">
        <v>1223.7</v>
      </c>
      <c r="H241" s="4">
        <v>19.3</v>
      </c>
      <c r="J241" s="4">
        <v>17.22</v>
      </c>
      <c r="P241">
        <v>4.9855964000456297</v>
      </c>
      <c r="S241">
        <v>-2.0366289532283598E-2</v>
      </c>
      <c r="X241" t="s">
        <v>7</v>
      </c>
      <c r="Y241">
        <v>3</v>
      </c>
      <c r="Z241" t="s">
        <v>2</v>
      </c>
      <c r="AA241" s="16">
        <v>43614</v>
      </c>
      <c r="AB241">
        <v>149.44131944444445</v>
      </c>
      <c r="AC241" s="4">
        <v>986.2</v>
      </c>
      <c r="AE241">
        <v>1.96655829665824</v>
      </c>
      <c r="AH241">
        <v>5.7178267781731395E-4</v>
      </c>
    </row>
    <row r="242" spans="1:36" x14ac:dyDescent="0.2">
      <c r="A242" t="s">
        <v>7</v>
      </c>
      <c r="B242">
        <v>4</v>
      </c>
      <c r="C242" s="2">
        <v>43614</v>
      </c>
      <c r="D242" s="13">
        <v>149.45590277777779</v>
      </c>
      <c r="E242" s="13"/>
      <c r="F242" s="4">
        <v>1298.7</v>
      </c>
      <c r="H242" s="4">
        <v>24.5</v>
      </c>
      <c r="J242" s="4">
        <v>17.22</v>
      </c>
      <c r="P242">
        <v>4.6479170159798899</v>
      </c>
      <c r="S242">
        <v>1.2728237282033799E-3</v>
      </c>
      <c r="T242" s="6"/>
      <c r="U242" s="6"/>
      <c r="X242" t="s">
        <v>7</v>
      </c>
      <c r="Y242">
        <v>4</v>
      </c>
      <c r="Z242" t="s">
        <v>2</v>
      </c>
      <c r="AA242" s="16">
        <v>43614</v>
      </c>
      <c r="AB242">
        <v>149.45104166666667</v>
      </c>
      <c r="AC242" s="4">
        <v>2006.2</v>
      </c>
      <c r="AE242">
        <v>1.6510715332105099</v>
      </c>
      <c r="AH242">
        <v>-0.22641090229215</v>
      </c>
    </row>
    <row r="243" spans="1:36" x14ac:dyDescent="0.2">
      <c r="A243" t="s">
        <v>7</v>
      </c>
      <c r="B243">
        <v>5</v>
      </c>
      <c r="C243" s="2">
        <v>43614</v>
      </c>
      <c r="D243" s="13">
        <v>149.46562499999999</v>
      </c>
      <c r="E243" s="13"/>
      <c r="F243" s="4">
        <v>1453.7</v>
      </c>
      <c r="H243" s="4">
        <v>23.2</v>
      </c>
      <c r="J243" s="4">
        <v>17.22</v>
      </c>
      <c r="P243">
        <v>4.1336290293988904</v>
      </c>
      <c r="S243">
        <v>1.3936213776738499E-3</v>
      </c>
      <c r="T243" s="6"/>
      <c r="U243" s="6"/>
      <c r="X243" t="s">
        <v>7</v>
      </c>
      <c r="Y243">
        <v>5</v>
      </c>
      <c r="Z243" t="s">
        <v>2</v>
      </c>
      <c r="AA243" s="16">
        <v>43614</v>
      </c>
      <c r="AB243">
        <v>149.46076388888889</v>
      </c>
      <c r="AC243" s="4">
        <v>2031.2</v>
      </c>
      <c r="AE243">
        <v>1.8181214222606901</v>
      </c>
      <c r="AH243">
        <v>6.4075702758892598E-3</v>
      </c>
    </row>
    <row r="244" spans="1:36" x14ac:dyDescent="0.2">
      <c r="A244" t="s">
        <v>7</v>
      </c>
      <c r="B244">
        <v>1</v>
      </c>
      <c r="C244" s="2">
        <v>43614</v>
      </c>
      <c r="D244" s="13">
        <v>149.52465277777779</v>
      </c>
      <c r="E244" s="13">
        <v>149.54409722222221</v>
      </c>
      <c r="F244" s="4">
        <v>638.70000000000005</v>
      </c>
      <c r="G244" s="4">
        <v>1275.7</v>
      </c>
      <c r="H244" s="4">
        <v>22.7</v>
      </c>
      <c r="I244" s="4">
        <v>21.5</v>
      </c>
      <c r="J244" s="4">
        <v>20.56</v>
      </c>
      <c r="K244" s="4">
        <v>20.56</v>
      </c>
      <c r="P244">
        <v>2.26829167424652</v>
      </c>
      <c r="Q244">
        <v>4.8109888197166324</v>
      </c>
      <c r="R244">
        <v>1.4880348675512587</v>
      </c>
      <c r="S244">
        <v>-2.0366289532283598E-2</v>
      </c>
      <c r="T244">
        <f>AVERAGE(S244:S248)</f>
        <v>-2.0366289532283598E-2</v>
      </c>
      <c r="U244" s="6" t="e">
        <v>#DIV/0!</v>
      </c>
      <c r="X244" t="s">
        <v>7</v>
      </c>
      <c r="Y244">
        <v>1</v>
      </c>
      <c r="Z244" t="s">
        <v>2</v>
      </c>
      <c r="AA244" s="16">
        <v>43614</v>
      </c>
      <c r="AB244">
        <v>149.51979166666666</v>
      </c>
      <c r="AC244" s="4">
        <v>1206.2</v>
      </c>
      <c r="AD244" s="4">
        <v>1246.7</v>
      </c>
      <c r="AE244">
        <v>8.8282412757044</v>
      </c>
      <c r="AF244">
        <v>3.9988774434157994</v>
      </c>
      <c r="AG244">
        <v>2.7220648270753065</v>
      </c>
      <c r="AH244">
        <v>5.7178267781731395E-4</v>
      </c>
      <c r="AI244">
        <v>5.7178267781731395E-4</v>
      </c>
      <c r="AJ244" t="e">
        <v>#DIV/0!</v>
      </c>
    </row>
    <row r="245" spans="1:36" x14ac:dyDescent="0.2">
      <c r="A245" t="s">
        <v>7</v>
      </c>
      <c r="B245">
        <v>2</v>
      </c>
      <c r="C245" s="2">
        <v>43614</v>
      </c>
      <c r="D245" s="13">
        <v>149.53437500000001</v>
      </c>
      <c r="E245" s="13"/>
      <c r="F245" s="4">
        <v>1226.2</v>
      </c>
      <c r="H245" s="4">
        <v>24.9</v>
      </c>
      <c r="J245" s="4">
        <v>20.56</v>
      </c>
      <c r="M245" t="e">
        <v>#DIV/0!</v>
      </c>
      <c r="O245" s="4" t="e">
        <v>#DIV/0!</v>
      </c>
      <c r="P245">
        <v>5.1322956037055096</v>
      </c>
      <c r="T245" s="6"/>
      <c r="U245" s="6"/>
      <c r="X245" t="s">
        <v>7</v>
      </c>
      <c r="Y245">
        <v>2</v>
      </c>
      <c r="Z245" t="s">
        <v>2</v>
      </c>
      <c r="AA245" s="16">
        <v>43614</v>
      </c>
      <c r="AB245">
        <v>149.52951388888889</v>
      </c>
      <c r="AC245" s="4">
        <v>836.2</v>
      </c>
      <c r="AE245">
        <v>3.2789194987383401</v>
      </c>
    </row>
    <row r="246" spans="1:36" x14ac:dyDescent="0.2">
      <c r="A246" t="s">
        <v>7</v>
      </c>
      <c r="B246">
        <v>3</v>
      </c>
      <c r="C246" s="2">
        <v>43614</v>
      </c>
      <c r="D246" s="13">
        <v>149.54409722222221</v>
      </c>
      <c r="E246" s="13"/>
      <c r="F246" s="4">
        <v>1333.7</v>
      </c>
      <c r="H246" s="4">
        <v>18.899999999999999</v>
      </c>
      <c r="J246" s="4">
        <v>20.56</v>
      </c>
      <c r="P246">
        <v>5.23400913308872</v>
      </c>
      <c r="X246" t="s">
        <v>7</v>
      </c>
      <c r="Y246">
        <v>3</v>
      </c>
      <c r="Z246" t="s">
        <v>2</v>
      </c>
      <c r="AA246" s="16">
        <v>43614</v>
      </c>
      <c r="AB246">
        <v>149.53923611111111</v>
      </c>
      <c r="AC246" s="4">
        <v>1046.2</v>
      </c>
      <c r="AE246">
        <v>2.9207243606479301</v>
      </c>
    </row>
    <row r="247" spans="1:36" x14ac:dyDescent="0.2">
      <c r="A247" t="s">
        <v>7</v>
      </c>
      <c r="B247">
        <v>4</v>
      </c>
      <c r="C247" s="2">
        <v>43614</v>
      </c>
      <c r="D247" s="13">
        <v>149.55381944444446</v>
      </c>
      <c r="E247" s="13"/>
      <c r="F247" s="4">
        <v>2013.7</v>
      </c>
      <c r="H247" s="4">
        <v>21.9</v>
      </c>
      <c r="J247" s="4">
        <v>20.56</v>
      </c>
      <c r="P247">
        <v>5.2139729546745697</v>
      </c>
      <c r="T247" s="6" t="e">
        <v>#DIV/0!</v>
      </c>
      <c r="U247" s="6"/>
      <c r="X247" t="s">
        <v>7</v>
      </c>
      <c r="Y247">
        <v>4</v>
      </c>
      <c r="Z247" t="s">
        <v>2</v>
      </c>
      <c r="AA247" s="16">
        <v>43614</v>
      </c>
      <c r="AB247">
        <v>149.54895833333333</v>
      </c>
      <c r="AC247" s="4">
        <v>1491.2</v>
      </c>
      <c r="AE247">
        <v>2.340435826182</v>
      </c>
    </row>
    <row r="248" spans="1:36" x14ac:dyDescent="0.2">
      <c r="A248" t="s">
        <v>7</v>
      </c>
      <c r="B248">
        <v>5</v>
      </c>
      <c r="C248" s="2">
        <v>43614</v>
      </c>
      <c r="D248" s="13">
        <v>149.56354166666665</v>
      </c>
      <c r="E248" s="13"/>
      <c r="F248" s="4">
        <v>1166.2</v>
      </c>
      <c r="H248" s="4">
        <v>19.100000000000001</v>
      </c>
      <c r="J248" s="4">
        <v>20.56</v>
      </c>
      <c r="P248">
        <v>6.2063747328678396</v>
      </c>
      <c r="T248" s="6"/>
      <c r="U248" s="6"/>
      <c r="X248" t="s">
        <v>7</v>
      </c>
      <c r="Y248">
        <v>5</v>
      </c>
      <c r="Z248" t="s">
        <v>2</v>
      </c>
      <c r="AA248" s="16">
        <v>43614</v>
      </c>
      <c r="AB248">
        <v>149.55868055555555</v>
      </c>
      <c r="AC248" s="4">
        <v>1653.7</v>
      </c>
      <c r="AE248">
        <v>2.6260662558063301</v>
      </c>
    </row>
    <row r="249" spans="1:36" x14ac:dyDescent="0.2">
      <c r="A249" t="s">
        <v>7</v>
      </c>
      <c r="B249">
        <v>1</v>
      </c>
      <c r="C249" s="2">
        <v>43616</v>
      </c>
      <c r="D249" s="13">
        <v>151.4482638888889</v>
      </c>
      <c r="E249" s="13">
        <v>151.46770833333335</v>
      </c>
      <c r="F249" s="4">
        <v>773.7</v>
      </c>
      <c r="G249" s="4">
        <v>1514.2</v>
      </c>
      <c r="H249" s="4">
        <v>22.2</v>
      </c>
      <c r="I249" s="4">
        <v>19.439999999999998</v>
      </c>
      <c r="J249" s="4">
        <v>23.89</v>
      </c>
      <c r="K249" s="4">
        <v>23.89</v>
      </c>
      <c r="P249">
        <v>3.9091726735844698</v>
      </c>
      <c r="Q249">
        <v>4.7069611187525577</v>
      </c>
      <c r="R249">
        <v>0.60369949850369964</v>
      </c>
      <c r="T249" s="6"/>
      <c r="U249" s="6" t="e">
        <v>#DIV/0!</v>
      </c>
      <c r="X249" t="s">
        <v>7</v>
      </c>
      <c r="Y249">
        <v>1</v>
      </c>
      <c r="Z249" t="s">
        <v>2</v>
      </c>
      <c r="AA249" s="16">
        <v>43616</v>
      </c>
      <c r="AB249">
        <v>151.44340277777778</v>
      </c>
      <c r="AC249" s="4">
        <v>1256.2</v>
      </c>
      <c r="AD249" s="4">
        <v>1469.7</v>
      </c>
      <c r="AE249">
        <v>4.1679518729626297</v>
      </c>
      <c r="AF249">
        <v>1.9923505072233172</v>
      </c>
      <c r="AG249">
        <v>1.4970907520137138</v>
      </c>
      <c r="AJ249" t="e">
        <v>#DIV/0!</v>
      </c>
    </row>
    <row r="250" spans="1:36" x14ac:dyDescent="0.2">
      <c r="A250" t="s">
        <v>7</v>
      </c>
      <c r="B250">
        <v>2</v>
      </c>
      <c r="C250" s="2">
        <v>43616</v>
      </c>
      <c r="D250" s="13">
        <v>151.4579861111111</v>
      </c>
      <c r="E250" s="13"/>
      <c r="F250" s="4">
        <v>1636.2</v>
      </c>
      <c r="H250" s="4">
        <v>22.4</v>
      </c>
      <c r="J250" s="4">
        <v>23.89</v>
      </c>
      <c r="M250" t="e">
        <v>#DIV/0!</v>
      </c>
      <c r="O250" s="4" t="e">
        <v>#DIV/0!</v>
      </c>
      <c r="P250">
        <v>5.4369337506488602</v>
      </c>
      <c r="T250" s="6"/>
      <c r="U250" s="6"/>
      <c r="X250" t="s">
        <v>7</v>
      </c>
      <c r="Y250">
        <v>2</v>
      </c>
      <c r="Z250" t="s">
        <v>2</v>
      </c>
      <c r="AA250" s="16">
        <v>43616</v>
      </c>
      <c r="AB250">
        <v>151.453125</v>
      </c>
      <c r="AC250" s="4">
        <v>1648.7</v>
      </c>
      <c r="AE250">
        <v>2.6247360405195601</v>
      </c>
    </row>
    <row r="251" spans="1:36" x14ac:dyDescent="0.2">
      <c r="A251" t="s">
        <v>7</v>
      </c>
      <c r="B251">
        <v>3</v>
      </c>
      <c r="C251" s="2">
        <v>43616</v>
      </c>
      <c r="D251" s="13">
        <v>151.46770833333335</v>
      </c>
      <c r="E251" s="13"/>
      <c r="F251" s="4">
        <v>1688.7</v>
      </c>
      <c r="H251" s="4">
        <v>15.5</v>
      </c>
      <c r="J251" s="4">
        <v>23.89</v>
      </c>
      <c r="P251">
        <v>4.7026425451580103</v>
      </c>
      <c r="X251" t="s">
        <v>7</v>
      </c>
      <c r="Y251">
        <v>3</v>
      </c>
      <c r="Z251" t="s">
        <v>2</v>
      </c>
      <c r="AA251" s="16">
        <v>43616</v>
      </c>
      <c r="AB251">
        <v>151.46284722222222</v>
      </c>
      <c r="AC251" s="4">
        <v>1693.7</v>
      </c>
      <c r="AE251">
        <v>1.1143550270410001</v>
      </c>
    </row>
    <row r="252" spans="1:36" x14ac:dyDescent="0.2">
      <c r="A252" t="s">
        <v>7</v>
      </c>
      <c r="B252">
        <v>4</v>
      </c>
      <c r="C252" s="2">
        <v>43616</v>
      </c>
      <c r="D252" s="13">
        <v>151.47743055555554</v>
      </c>
      <c r="E252" s="13"/>
      <c r="F252" s="4">
        <v>1716.2</v>
      </c>
      <c r="H252" s="4">
        <v>17.3</v>
      </c>
      <c r="J252" s="4">
        <v>23.89</v>
      </c>
      <c r="P252">
        <v>4.3649637962291399</v>
      </c>
      <c r="T252" s="6" t="e">
        <v>#DIV/0!</v>
      </c>
      <c r="U252" s="6"/>
      <c r="X252" t="s">
        <v>7</v>
      </c>
      <c r="Y252">
        <v>4</v>
      </c>
      <c r="Z252" t="s">
        <v>2</v>
      </c>
      <c r="AA252" s="16">
        <v>43616</v>
      </c>
      <c r="AB252">
        <v>151.47256944444445</v>
      </c>
      <c r="AC252" s="4">
        <v>1026.2</v>
      </c>
      <c r="AE252">
        <v>1.8015190607560101</v>
      </c>
    </row>
    <row r="253" spans="1:36" x14ac:dyDescent="0.2">
      <c r="A253" t="s">
        <v>7</v>
      </c>
      <c r="B253">
        <v>5</v>
      </c>
      <c r="C253" s="2">
        <v>43616</v>
      </c>
      <c r="D253" s="13">
        <v>151.48715277777779</v>
      </c>
      <c r="E253" s="13"/>
      <c r="F253" s="4">
        <v>1756.2</v>
      </c>
      <c r="H253" s="4">
        <v>19.8</v>
      </c>
      <c r="J253" s="4">
        <v>23.89</v>
      </c>
      <c r="P253">
        <v>5.1210928281423103</v>
      </c>
      <c r="T253" s="6"/>
      <c r="U253" s="6"/>
      <c r="X253" t="s">
        <v>7</v>
      </c>
      <c r="Y253">
        <v>5</v>
      </c>
      <c r="Z253" t="s">
        <v>2</v>
      </c>
      <c r="AA253" s="16">
        <v>43616</v>
      </c>
      <c r="AB253">
        <v>151.48229166666667</v>
      </c>
      <c r="AC253" s="4">
        <v>1723.7</v>
      </c>
      <c r="AE253">
        <v>0.25319053483738502</v>
      </c>
    </row>
    <row r="254" spans="1:36" x14ac:dyDescent="0.2">
      <c r="A254" t="s">
        <v>7</v>
      </c>
      <c r="B254">
        <v>1</v>
      </c>
      <c r="C254" s="2">
        <v>43616</v>
      </c>
      <c r="D254" s="13">
        <v>151.53368055555555</v>
      </c>
      <c r="E254" s="13">
        <v>151.55312499999999</v>
      </c>
      <c r="F254" s="4">
        <v>1951.2</v>
      </c>
      <c r="G254" s="4">
        <v>1236.2</v>
      </c>
      <c r="H254" s="4">
        <v>20.7</v>
      </c>
      <c r="I254" s="4">
        <v>19.240000000000002</v>
      </c>
      <c r="J254" s="4">
        <v>23.89</v>
      </c>
      <c r="K254" s="4">
        <v>23.89</v>
      </c>
      <c r="P254">
        <v>4.1359259821188603</v>
      </c>
      <c r="Q254">
        <v>4.8064004189496039</v>
      </c>
      <c r="R254">
        <v>0.50963340616697028</v>
      </c>
      <c r="T254" s="6"/>
      <c r="U254" s="6" t="e">
        <v>#DIV/0!</v>
      </c>
      <c r="X254" t="s">
        <v>7</v>
      </c>
      <c r="Y254">
        <v>1</v>
      </c>
      <c r="Z254" t="s">
        <v>2</v>
      </c>
      <c r="AA254" s="16">
        <v>43616</v>
      </c>
      <c r="AB254">
        <v>151.52881944444445</v>
      </c>
      <c r="AC254" s="4">
        <v>1896.2</v>
      </c>
      <c r="AD254" s="4">
        <v>1961.7</v>
      </c>
      <c r="AE254">
        <v>2.9492225270061501</v>
      </c>
      <c r="AF254">
        <v>1.5592327030940987</v>
      </c>
      <c r="AG254">
        <v>1.2231044614410687</v>
      </c>
      <c r="AJ254" t="e">
        <v>#DIV/0!</v>
      </c>
    </row>
    <row r="255" spans="1:36" x14ac:dyDescent="0.2">
      <c r="A255" t="s">
        <v>7</v>
      </c>
      <c r="B255">
        <v>2</v>
      </c>
      <c r="C255" s="2">
        <v>43616</v>
      </c>
      <c r="D255" s="13">
        <v>151.54340277777777</v>
      </c>
      <c r="E255" s="13"/>
      <c r="F255" s="4">
        <v>1931.2</v>
      </c>
      <c r="H255" s="4">
        <v>21.8</v>
      </c>
      <c r="J255" s="4">
        <v>23.89</v>
      </c>
      <c r="M255" t="e">
        <v>#DIV/0!</v>
      </c>
      <c r="O255" s="4" t="e">
        <v>#DIV/0!</v>
      </c>
      <c r="P255">
        <v>4.57468465010637</v>
      </c>
      <c r="T255" s="6"/>
      <c r="U255" s="6"/>
      <c r="X255" t="s">
        <v>7</v>
      </c>
      <c r="Y255">
        <v>2</v>
      </c>
      <c r="Z255" t="s">
        <v>2</v>
      </c>
      <c r="AA255" s="16">
        <v>43616</v>
      </c>
      <c r="AB255">
        <v>151.53854166666667</v>
      </c>
      <c r="AC255" s="4">
        <v>1916.2</v>
      </c>
      <c r="AE255">
        <v>-7.0572755347392699E-2</v>
      </c>
    </row>
    <row r="256" spans="1:36" x14ac:dyDescent="0.2">
      <c r="A256" t="s">
        <v>7</v>
      </c>
      <c r="B256">
        <v>3</v>
      </c>
      <c r="C256" s="2">
        <v>43616</v>
      </c>
      <c r="D256" s="13">
        <v>151.55312499999999</v>
      </c>
      <c r="E256" s="13"/>
      <c r="F256" s="4">
        <v>706.2</v>
      </c>
      <c r="H256" s="4">
        <v>15.2</v>
      </c>
      <c r="J256" s="4">
        <v>23.89</v>
      </c>
      <c r="P256">
        <v>5.3795036889637204</v>
      </c>
      <c r="X256" t="s">
        <v>7</v>
      </c>
      <c r="Y256">
        <v>3</v>
      </c>
      <c r="Z256" t="s">
        <v>2</v>
      </c>
      <c r="AA256" s="16">
        <v>43616</v>
      </c>
      <c r="AB256">
        <v>151.5482638888889</v>
      </c>
      <c r="AC256" s="4">
        <v>2006.2</v>
      </c>
      <c r="AE256">
        <v>0.915489232484336</v>
      </c>
    </row>
    <row r="257" spans="1:36" x14ac:dyDescent="0.2">
      <c r="A257" t="s">
        <v>7</v>
      </c>
      <c r="B257">
        <v>4</v>
      </c>
      <c r="C257" s="2">
        <v>43616</v>
      </c>
      <c r="D257" s="13">
        <v>151.56284722222222</v>
      </c>
      <c r="E257" s="13"/>
      <c r="F257" s="4">
        <v>726.2</v>
      </c>
      <c r="H257" s="4">
        <v>20.3</v>
      </c>
      <c r="J257" s="4">
        <v>23.89</v>
      </c>
      <c r="P257">
        <v>5.2476027046756997</v>
      </c>
      <c r="T257" s="6"/>
      <c r="U257" s="6"/>
      <c r="X257" t="s">
        <v>7</v>
      </c>
      <c r="Y257">
        <v>4</v>
      </c>
      <c r="Z257" t="s">
        <v>2</v>
      </c>
      <c r="AA257" s="16">
        <v>43616</v>
      </c>
      <c r="AB257">
        <v>151.55798611111112</v>
      </c>
      <c r="AC257" s="4">
        <v>1966.2</v>
      </c>
      <c r="AE257">
        <v>2.5445453960302999</v>
      </c>
    </row>
    <row r="258" spans="1:36" x14ac:dyDescent="0.2">
      <c r="A258" t="s">
        <v>7</v>
      </c>
      <c r="B258">
        <v>5</v>
      </c>
      <c r="C258" s="2">
        <v>43616</v>
      </c>
      <c r="D258" s="13">
        <v>151.57256944444444</v>
      </c>
      <c r="E258" s="13"/>
      <c r="F258" s="4">
        <v>866.2</v>
      </c>
      <c r="H258" s="4">
        <v>18.2</v>
      </c>
      <c r="J258" s="4">
        <v>23.89</v>
      </c>
      <c r="P258">
        <v>4.6942850688833699</v>
      </c>
      <c r="T258" s="6"/>
      <c r="U258" s="6"/>
      <c r="X258" t="s">
        <v>7</v>
      </c>
      <c r="Y258">
        <v>5</v>
      </c>
      <c r="Z258" t="s">
        <v>2</v>
      </c>
      <c r="AA258" s="16">
        <v>43616</v>
      </c>
      <c r="AB258">
        <v>151.56770833333334</v>
      </c>
      <c r="AC258" s="4">
        <v>2023.7</v>
      </c>
      <c r="AE258">
        <v>1.4574791152971001</v>
      </c>
    </row>
    <row r="259" spans="1:36" x14ac:dyDescent="0.2">
      <c r="A259" t="s">
        <v>7</v>
      </c>
      <c r="B259">
        <v>1</v>
      </c>
      <c r="C259" s="2">
        <v>43626</v>
      </c>
      <c r="D259" s="13">
        <v>161.43298611111112</v>
      </c>
      <c r="E259" s="13">
        <v>161.45243055555557</v>
      </c>
      <c r="F259" s="4">
        <v>1266.2</v>
      </c>
      <c r="G259" s="4">
        <v>1690.7</v>
      </c>
      <c r="H259" s="4">
        <v>12.5</v>
      </c>
      <c r="I259" s="4">
        <v>11.86</v>
      </c>
      <c r="J259" s="4">
        <v>19.440000000000001</v>
      </c>
      <c r="K259" s="4">
        <v>19.440000000000001</v>
      </c>
      <c r="P259">
        <v>4.5823814384252</v>
      </c>
      <c r="Q259">
        <v>12.042442610166518</v>
      </c>
      <c r="R259">
        <v>15.490478077844301</v>
      </c>
      <c r="S259">
        <v>7.8089016296642804E-5</v>
      </c>
      <c r="T259" s="6">
        <v>1.9169455753433054E-2</v>
      </c>
      <c r="U259" s="6">
        <v>4.3398628074284511E-2</v>
      </c>
      <c r="X259" t="s">
        <v>7</v>
      </c>
      <c r="Y259">
        <v>1</v>
      </c>
      <c r="Z259" t="s">
        <v>2</v>
      </c>
      <c r="AA259" s="16">
        <v>43626</v>
      </c>
      <c r="AB259">
        <v>161.42812499999999</v>
      </c>
      <c r="AC259" s="4">
        <v>1433.7</v>
      </c>
      <c r="AD259" s="4">
        <v>1539.2</v>
      </c>
      <c r="AE259">
        <v>-0.48423152522561302</v>
      </c>
      <c r="AF259">
        <f>AVERAGE(AE259:AE261,AE263)</f>
        <v>-1.2272544944931365</v>
      </c>
      <c r="AG259">
        <f>STDEV(AE259:AE261,AE263)</f>
        <v>2.3478698107665967</v>
      </c>
      <c r="AH259">
        <v>2.6749197371246902E-9</v>
      </c>
      <c r="AI259">
        <f>AVERAGE(AH259:AH261,AH263)</f>
        <v>-6.6614707138016515E-3</v>
      </c>
      <c r="AJ259">
        <f>STDEV(AH259:AH261,AH263)</f>
        <v>1.3446069626444752E-2</v>
      </c>
    </row>
    <row r="260" spans="1:36" x14ac:dyDescent="0.2">
      <c r="A260" t="s">
        <v>7</v>
      </c>
      <c r="B260">
        <v>2</v>
      </c>
      <c r="C260" s="2">
        <v>43626</v>
      </c>
      <c r="D260" s="13">
        <v>161.44270833333334</v>
      </c>
      <c r="E260" s="13"/>
      <c r="F260" s="4">
        <v>1851.2</v>
      </c>
      <c r="H260" s="4">
        <v>15.1</v>
      </c>
      <c r="J260" s="4">
        <v>19.440000000000001</v>
      </c>
      <c r="M260" t="e">
        <v>#DIV/0!</v>
      </c>
      <c r="O260" s="4" t="e">
        <v>#DIV/0!</v>
      </c>
      <c r="P260">
        <v>5.4423544515701598</v>
      </c>
      <c r="S260">
        <v>7.5180661039130899E-5</v>
      </c>
      <c r="T260" s="6"/>
      <c r="U260" s="6"/>
      <c r="X260" t="s">
        <v>7</v>
      </c>
      <c r="Y260">
        <v>2</v>
      </c>
      <c r="Z260" t="s">
        <v>2</v>
      </c>
      <c r="AA260" s="16">
        <v>43626</v>
      </c>
      <c r="AB260">
        <v>161.43784722222222</v>
      </c>
      <c r="AC260" s="4">
        <v>1741.2</v>
      </c>
      <c r="AE260">
        <v>0.77216022538288598</v>
      </c>
      <c r="AH260">
        <v>1.84952654347325E-4</v>
      </c>
    </row>
    <row r="261" spans="1:36" x14ac:dyDescent="0.2">
      <c r="A261" t="s">
        <v>7</v>
      </c>
      <c r="B261">
        <v>3</v>
      </c>
      <c r="C261" s="2">
        <v>43626</v>
      </c>
      <c r="D261" s="13">
        <v>161.45243055555557</v>
      </c>
      <c r="E261" s="13"/>
      <c r="F261" s="4">
        <v>1898.7</v>
      </c>
      <c r="H261" s="4">
        <v>10.7</v>
      </c>
      <c r="J261" s="4">
        <v>19.440000000000001</v>
      </c>
      <c r="P261" s="29">
        <v>39.712895095847699</v>
      </c>
      <c r="S261">
        <v>-5.6887975493803201E-4</v>
      </c>
      <c r="X261" t="s">
        <v>7</v>
      </c>
      <c r="Y261">
        <v>3</v>
      </c>
      <c r="Z261" t="s">
        <v>2</v>
      </c>
      <c r="AA261" s="16">
        <v>43626</v>
      </c>
      <c r="AB261">
        <v>161.44756944444444</v>
      </c>
      <c r="AC261" s="4">
        <v>1336.2</v>
      </c>
      <c r="AE261">
        <v>-4.6266810886056202</v>
      </c>
      <c r="AH261">
        <v>-2.6830149562057801E-2</v>
      </c>
    </row>
    <row r="262" spans="1:36" x14ac:dyDescent="0.2">
      <c r="A262" t="s">
        <v>7</v>
      </c>
      <c r="B262">
        <v>4</v>
      </c>
      <c r="C262" s="2">
        <v>43626</v>
      </c>
      <c r="D262" s="13">
        <v>161.46215277777779</v>
      </c>
      <c r="E262" s="13"/>
      <c r="F262" s="4">
        <v>1613.7</v>
      </c>
      <c r="H262" s="4">
        <v>8.8000000000000007</v>
      </c>
      <c r="J262" s="4">
        <v>19.440000000000001</v>
      </c>
      <c r="P262">
        <v>6.3170713760870703</v>
      </c>
      <c r="S262">
        <v>-5.3834387468287403E-4</v>
      </c>
      <c r="T262" s="6"/>
      <c r="U262" s="6"/>
      <c r="X262" t="s">
        <v>7</v>
      </c>
      <c r="Y262">
        <v>4</v>
      </c>
      <c r="Z262" t="s">
        <v>2</v>
      </c>
      <c r="AA262" s="16">
        <v>43626</v>
      </c>
      <c r="AB262">
        <v>161.45729166666666</v>
      </c>
      <c r="AC262" s="4">
        <v>1396.2</v>
      </c>
      <c r="AE262" s="27">
        <v>-1005273.51184839</v>
      </c>
      <c r="AH262" s="27">
        <v>25.458695926592299</v>
      </c>
    </row>
    <row r="263" spans="1:36" x14ac:dyDescent="0.2">
      <c r="A263" t="s">
        <v>7</v>
      </c>
      <c r="B263">
        <v>5</v>
      </c>
      <c r="C263" s="2">
        <v>43626</v>
      </c>
      <c r="D263" s="13">
        <v>161.47187500000001</v>
      </c>
      <c r="E263" s="13"/>
      <c r="F263" s="4">
        <v>1823.7</v>
      </c>
      <c r="H263" s="4">
        <v>12.2</v>
      </c>
      <c r="J263" s="4">
        <v>19.440000000000001</v>
      </c>
      <c r="P263">
        <v>4.1575106889024598</v>
      </c>
      <c r="S263">
        <v>9.6801232719450403E-2</v>
      </c>
      <c r="T263" s="6"/>
      <c r="U263" s="6"/>
      <c r="X263" t="s">
        <v>7</v>
      </c>
      <c r="Y263">
        <v>5</v>
      </c>
      <c r="Z263" t="s">
        <v>2</v>
      </c>
      <c r="AA263" s="16">
        <v>43626</v>
      </c>
      <c r="AB263">
        <v>161.46701388888889</v>
      </c>
      <c r="AC263" s="4">
        <v>1788.7</v>
      </c>
      <c r="AE263">
        <v>-0.57026558952419804</v>
      </c>
      <c r="AH263">
        <v>-6.8862241586729901E-7</v>
      </c>
    </row>
    <row r="264" spans="1:36" x14ac:dyDescent="0.2">
      <c r="A264" t="s">
        <v>7</v>
      </c>
      <c r="B264">
        <v>1</v>
      </c>
      <c r="C264" s="2">
        <v>43626</v>
      </c>
      <c r="D264" s="13">
        <v>161.5204861111111</v>
      </c>
      <c r="E264" s="13">
        <v>161.53993055555557</v>
      </c>
      <c r="F264" s="4">
        <v>1946.2</v>
      </c>
      <c r="G264" s="4">
        <v>1584.2</v>
      </c>
      <c r="H264" s="4">
        <v>9.6999999999999993</v>
      </c>
      <c r="I264" s="4">
        <v>11.44</v>
      </c>
      <c r="J264" s="4">
        <v>25.56</v>
      </c>
      <c r="K264" s="4">
        <v>25.56</v>
      </c>
      <c r="P264">
        <v>6.03870189673321</v>
      </c>
      <c r="Q264">
        <v>7.3702615079621552</v>
      </c>
      <c r="R264">
        <v>2.6157351154503785</v>
      </c>
      <c r="S264">
        <v>-1.1207420000000001E-3</v>
      </c>
      <c r="T264" s="6">
        <v>-1.4105288799999999E-2</v>
      </c>
      <c r="U264" s="6">
        <v>3.1214538460345519E-2</v>
      </c>
      <c r="X264" t="s">
        <v>7</v>
      </c>
      <c r="Y264">
        <v>1</v>
      </c>
      <c r="Z264" t="s">
        <v>2</v>
      </c>
      <c r="AA264" s="16">
        <v>43626</v>
      </c>
      <c r="AB264">
        <v>161.515625</v>
      </c>
      <c r="AC264" s="4">
        <v>1556.2</v>
      </c>
      <c r="AD264" s="4">
        <v>1614.6999999999998</v>
      </c>
      <c r="AE264">
        <v>9.6545203085757105</v>
      </c>
      <c r="AF264">
        <v>2.0890754198444127E-2</v>
      </c>
      <c r="AG264">
        <v>5.9585938120914168</v>
      </c>
      <c r="AH264">
        <v>-4.9924319999999998E-3</v>
      </c>
      <c r="AI264">
        <v>1.0493326799999999E-2</v>
      </c>
      <c r="AJ264">
        <v>2.7849015762169749E-2</v>
      </c>
    </row>
    <row r="265" spans="1:36" x14ac:dyDescent="0.2">
      <c r="A265" t="s">
        <v>7</v>
      </c>
      <c r="B265">
        <v>2</v>
      </c>
      <c r="C265" s="2">
        <v>43626</v>
      </c>
      <c r="D265" s="13">
        <v>161.53020833333335</v>
      </c>
      <c r="E265" s="13"/>
      <c r="F265" s="4">
        <v>1711.2</v>
      </c>
      <c r="H265" s="4">
        <v>16.399999999999999</v>
      </c>
      <c r="J265" s="4">
        <v>25.56</v>
      </c>
      <c r="M265" t="e">
        <v>#DIV/0!</v>
      </c>
      <c r="O265" s="4" t="e">
        <v>#DIV/0!</v>
      </c>
      <c r="P265">
        <v>4.8352557659454902</v>
      </c>
      <c r="S265">
        <v>-6.9908337000000001E-2</v>
      </c>
      <c r="T265" s="6"/>
      <c r="U265" s="6"/>
      <c r="X265" t="s">
        <v>7</v>
      </c>
      <c r="Y265">
        <v>2</v>
      </c>
      <c r="Z265" t="s">
        <v>2</v>
      </c>
      <c r="AA265" s="16">
        <v>43626</v>
      </c>
      <c r="AB265">
        <v>161.52534722222222</v>
      </c>
      <c r="AC265" s="4">
        <v>2141.1999999999998</v>
      </c>
      <c r="AE265">
        <v>-0.85923911287903099</v>
      </c>
      <c r="AH265">
        <v>6.0124261999999998E-2</v>
      </c>
    </row>
    <row r="266" spans="1:36" x14ac:dyDescent="0.2">
      <c r="A266" t="s">
        <v>7</v>
      </c>
      <c r="B266">
        <v>3</v>
      </c>
      <c r="C266" s="2">
        <v>43626</v>
      </c>
      <c r="D266" s="13">
        <v>161.53993055555554</v>
      </c>
      <c r="E266" s="13"/>
      <c r="F266" s="4">
        <v>1441.2</v>
      </c>
      <c r="H266" s="4">
        <v>10</v>
      </c>
      <c r="J266" s="4">
        <v>25.56</v>
      </c>
      <c r="P266">
        <v>5.7842820734035696</v>
      </c>
      <c r="S266">
        <v>-1.0090629999999999E-3</v>
      </c>
      <c r="X266" t="s">
        <v>7</v>
      </c>
      <c r="Y266">
        <v>3</v>
      </c>
      <c r="Z266" t="s">
        <v>2</v>
      </c>
      <c r="AA266" s="16">
        <v>43626</v>
      </c>
      <c r="AB266">
        <v>161.53506944444445</v>
      </c>
      <c r="AC266" s="4">
        <v>1338.7</v>
      </c>
      <c r="AE266">
        <v>-2.7558131721896402</v>
      </c>
      <c r="AH266">
        <v>-3.501784E-3</v>
      </c>
    </row>
    <row r="267" spans="1:36" x14ac:dyDescent="0.2">
      <c r="A267" t="s">
        <v>7</v>
      </c>
      <c r="B267">
        <v>4</v>
      </c>
      <c r="C267" s="2">
        <v>43626</v>
      </c>
      <c r="D267" s="13">
        <v>161.54965277777779</v>
      </c>
      <c r="E267" s="13"/>
      <c r="F267" s="4">
        <v>1751.2</v>
      </c>
      <c r="H267" s="4">
        <v>9.1</v>
      </c>
      <c r="J267" s="4">
        <v>25.56</v>
      </c>
      <c r="P267">
        <v>11.042187794189299</v>
      </c>
      <c r="S267">
        <v>1.6483279999999999E-3</v>
      </c>
      <c r="T267" s="6"/>
      <c r="U267" s="6"/>
      <c r="X267" t="s">
        <v>7</v>
      </c>
      <c r="Y267">
        <v>4</v>
      </c>
      <c r="Z267" t="s">
        <v>2</v>
      </c>
      <c r="AA267" s="16">
        <v>43626</v>
      </c>
      <c r="AB267">
        <v>161.54479166666667</v>
      </c>
      <c r="AC267" s="4">
        <v>1438.7</v>
      </c>
      <c r="AE267">
        <v>0.41382289441777198</v>
      </c>
      <c r="AH267">
        <v>8.40528E-4</v>
      </c>
    </row>
    <row r="268" spans="1:36" x14ac:dyDescent="0.2">
      <c r="A268" t="s">
        <v>7</v>
      </c>
      <c r="B268">
        <v>5</v>
      </c>
      <c r="C268" s="2">
        <v>43626</v>
      </c>
      <c r="D268" s="13">
        <v>161.55937499999999</v>
      </c>
      <c r="E268" s="13"/>
      <c r="F268" s="4">
        <v>1071.2</v>
      </c>
      <c r="H268" s="4">
        <v>12</v>
      </c>
      <c r="J268" s="4">
        <v>25.56</v>
      </c>
      <c r="P268">
        <v>9.1508800095392093</v>
      </c>
      <c r="S268">
        <v>-1.3663E-4</v>
      </c>
      <c r="T268" s="6"/>
      <c r="U268" s="6"/>
      <c r="X268" t="s">
        <v>7</v>
      </c>
      <c r="Y268">
        <v>5</v>
      </c>
      <c r="Z268" t="s">
        <v>2</v>
      </c>
      <c r="AA268" s="16">
        <v>43626</v>
      </c>
      <c r="AB268">
        <v>161.55451388888889</v>
      </c>
      <c r="AC268" s="4">
        <v>1598.7</v>
      </c>
      <c r="AE268">
        <v>-6.3488371469325902</v>
      </c>
      <c r="AH268">
        <v>-3.9400000000000004E-6</v>
      </c>
    </row>
    <row r="269" spans="1:36" x14ac:dyDescent="0.2">
      <c r="A269" t="s">
        <v>7</v>
      </c>
      <c r="B269">
        <v>1</v>
      </c>
      <c r="C269" s="2">
        <v>43636</v>
      </c>
      <c r="D269" s="13">
        <v>171.39895833333333</v>
      </c>
      <c r="E269" s="13">
        <v>171.41840277777777</v>
      </c>
      <c r="F269" s="4">
        <v>246.2</v>
      </c>
      <c r="G269" s="4">
        <v>222.2</v>
      </c>
      <c r="H269" s="4">
        <v>20.399999999999999</v>
      </c>
      <c r="I269" s="4">
        <v>17.220000000000002</v>
      </c>
      <c r="J269" s="4">
        <v>23.33</v>
      </c>
      <c r="K269" s="4">
        <v>23.33</v>
      </c>
      <c r="P269">
        <v>5.8943448248151196</v>
      </c>
      <c r="Q269">
        <v>7.1100998048121795</v>
      </c>
      <c r="R269">
        <v>1.0008166006242782</v>
      </c>
      <c r="S269" s="6">
        <v>-6.9300000000000004E-5</v>
      </c>
      <c r="T269" s="6">
        <v>-1.485492E-4</v>
      </c>
      <c r="U269" s="6">
        <v>5.9679986584281334E-5</v>
      </c>
      <c r="X269" t="s">
        <v>7</v>
      </c>
      <c r="Y269">
        <v>1</v>
      </c>
      <c r="Z269" t="s">
        <v>2</v>
      </c>
      <c r="AA269" s="16">
        <v>43636</v>
      </c>
      <c r="AB269">
        <v>171.39409722222223</v>
      </c>
      <c r="AC269" s="4">
        <v>261.2</v>
      </c>
      <c r="AD269" s="4">
        <v>229.7</v>
      </c>
      <c r="AE269">
        <v>2.5318603083752</v>
      </c>
      <c r="AF269">
        <v>1.9342672814674722</v>
      </c>
      <c r="AG269">
        <v>0.52578635759374748</v>
      </c>
      <c r="AH269">
        <v>-2.1016399999999999E-4</v>
      </c>
      <c r="AI269">
        <v>-1.8322649999999999E-4</v>
      </c>
      <c r="AJ269">
        <v>4.9019662915337688E-5</v>
      </c>
    </row>
    <row r="270" spans="1:36" x14ac:dyDescent="0.2">
      <c r="A270" t="s">
        <v>7</v>
      </c>
      <c r="B270">
        <v>2</v>
      </c>
      <c r="C270" s="2">
        <v>43636</v>
      </c>
      <c r="D270" s="13">
        <v>171.40868055555555</v>
      </c>
      <c r="E270" s="13"/>
      <c r="F270" s="4">
        <v>193.7</v>
      </c>
      <c r="H270" s="4">
        <v>18.3</v>
      </c>
      <c r="J270" s="4">
        <v>23.33</v>
      </c>
      <c r="M270" t="e">
        <v>#DIV/0!</v>
      </c>
      <c r="O270" s="4" t="e">
        <v>#DIV/0!</v>
      </c>
      <c r="P270">
        <v>6.5530339271338303</v>
      </c>
      <c r="S270">
        <v>-1.8864000000000001E-4</v>
      </c>
      <c r="T270" s="6"/>
      <c r="U270" s="6"/>
      <c r="X270" t="s">
        <v>7</v>
      </c>
      <c r="Y270">
        <v>2</v>
      </c>
      <c r="Z270" t="s">
        <v>2</v>
      </c>
      <c r="AA270" s="16">
        <v>43636</v>
      </c>
      <c r="AB270">
        <v>171.40381944444445</v>
      </c>
      <c r="AC270" s="4">
        <v>291.2</v>
      </c>
      <c r="AE270">
        <v>1.7378990463416599</v>
      </c>
      <c r="AH270">
        <v>-1.8509900000000001E-4</v>
      </c>
    </row>
    <row r="271" spans="1:36" x14ac:dyDescent="0.2">
      <c r="A271" t="s">
        <v>7</v>
      </c>
      <c r="B271">
        <v>3</v>
      </c>
      <c r="C271" s="2">
        <v>43636</v>
      </c>
      <c r="D271" s="13">
        <v>171.41840277777777</v>
      </c>
      <c r="E271" s="13"/>
      <c r="F271" s="4">
        <v>186.2</v>
      </c>
      <c r="H271" s="4">
        <v>15</v>
      </c>
      <c r="J271" s="4">
        <v>23.33</v>
      </c>
      <c r="P271">
        <v>6.9561581617733301</v>
      </c>
      <c r="S271">
        <v>-1.82509E-4</v>
      </c>
      <c r="X271" t="s">
        <v>7</v>
      </c>
      <c r="Y271">
        <v>3</v>
      </c>
      <c r="Z271" t="s">
        <v>2</v>
      </c>
      <c r="AA271" s="16">
        <v>43636</v>
      </c>
      <c r="AB271">
        <v>171.41354166666667</v>
      </c>
      <c r="AC271" s="4">
        <v>241.2</v>
      </c>
      <c r="AE271">
        <v>2.29035233266857</v>
      </c>
    </row>
    <row r="272" spans="1:36" x14ac:dyDescent="0.2">
      <c r="A272" t="s">
        <v>7</v>
      </c>
      <c r="B272">
        <v>4</v>
      </c>
      <c r="C272" s="2">
        <v>43636</v>
      </c>
      <c r="D272" s="13">
        <v>171.42812499999999</v>
      </c>
      <c r="E272" s="13"/>
      <c r="F272" s="4">
        <v>216.2</v>
      </c>
      <c r="H272" s="4">
        <v>15.7</v>
      </c>
      <c r="J272" s="4">
        <v>23.33</v>
      </c>
      <c r="P272">
        <v>7.6622341631819699</v>
      </c>
      <c r="S272">
        <v>-1.00196E-4</v>
      </c>
      <c r="T272" s="6"/>
      <c r="U272" s="6"/>
      <c r="X272" t="s">
        <v>7</v>
      </c>
      <c r="Y272">
        <v>4</v>
      </c>
      <c r="Z272" t="s">
        <v>2</v>
      </c>
      <c r="AA272" s="16">
        <v>43636</v>
      </c>
      <c r="AB272">
        <v>171.4232638888889</v>
      </c>
      <c r="AC272" s="4">
        <v>186.2</v>
      </c>
      <c r="AE272">
        <v>1.94069131481722</v>
      </c>
      <c r="AH272">
        <v>-1.13755E-4</v>
      </c>
    </row>
    <row r="273" spans="1:36" x14ac:dyDescent="0.2">
      <c r="A273" t="s">
        <v>7</v>
      </c>
      <c r="B273">
        <v>5</v>
      </c>
      <c r="C273" s="2">
        <v>43636</v>
      </c>
      <c r="D273" s="13">
        <v>171.43784722222222</v>
      </c>
      <c r="E273" s="13"/>
      <c r="F273" s="4">
        <v>268.7</v>
      </c>
      <c r="H273" s="4">
        <v>16.7</v>
      </c>
      <c r="J273" s="4">
        <v>23.33</v>
      </c>
      <c r="P273">
        <v>8.4847279471566495</v>
      </c>
      <c r="S273">
        <v>-2.02101E-4</v>
      </c>
      <c r="T273" s="6"/>
      <c r="U273" s="6"/>
      <c r="X273" t="s">
        <v>7</v>
      </c>
      <c r="Y273">
        <v>5</v>
      </c>
      <c r="Z273" t="s">
        <v>2</v>
      </c>
      <c r="AA273" s="16">
        <v>43636</v>
      </c>
      <c r="AB273">
        <v>171.43298611111112</v>
      </c>
      <c r="AC273" s="4">
        <v>168.7</v>
      </c>
      <c r="AE273">
        <v>1.17053340513471</v>
      </c>
      <c r="AH273">
        <v>-2.23888E-4</v>
      </c>
    </row>
    <row r="274" spans="1:36" x14ac:dyDescent="0.2">
      <c r="A274" t="s">
        <v>7</v>
      </c>
      <c r="B274">
        <v>1</v>
      </c>
      <c r="C274" s="2">
        <v>43636</v>
      </c>
      <c r="D274" s="13">
        <v>171.50659722222221</v>
      </c>
      <c r="E274" s="13">
        <v>171.52604166666666</v>
      </c>
      <c r="F274" s="4">
        <v>408.7</v>
      </c>
      <c r="G274" s="4">
        <v>382.2</v>
      </c>
      <c r="H274" s="4">
        <v>19</v>
      </c>
      <c r="I274" s="4">
        <v>16.759999999999998</v>
      </c>
      <c r="J274" s="4">
        <v>23.33</v>
      </c>
      <c r="K274" s="4">
        <v>23.33</v>
      </c>
      <c r="P274">
        <v>5.62450868564299</v>
      </c>
      <c r="Q274">
        <v>1.3450509425910719</v>
      </c>
      <c r="R274">
        <v>11.418422088715307</v>
      </c>
      <c r="S274">
        <v>-3.10568E-4</v>
      </c>
      <c r="T274" s="6">
        <v>-3.10568E-4</v>
      </c>
      <c r="U274" s="6" t="e">
        <v>#DIV/0!</v>
      </c>
      <c r="X274" t="s">
        <v>7</v>
      </c>
      <c r="Y274">
        <v>1</v>
      </c>
      <c r="Z274" t="s">
        <v>2</v>
      </c>
      <c r="AA274" s="16">
        <v>43636</v>
      </c>
      <c r="AB274">
        <v>171.50173611111111</v>
      </c>
      <c r="AC274" s="4">
        <v>423.7</v>
      </c>
      <c r="AD274" s="4">
        <v>311.7</v>
      </c>
      <c r="AE274">
        <v>-2.5047714970011601</v>
      </c>
      <c r="AF274">
        <v>-1.5729542424385095</v>
      </c>
      <c r="AG274">
        <v>5.0328606689966939</v>
      </c>
      <c r="AH274">
        <v>-3.7267499999999999E-4</v>
      </c>
      <c r="AI274">
        <v>-3.7267499999999999E-4</v>
      </c>
      <c r="AJ274" t="e">
        <v>#DIV/0!</v>
      </c>
    </row>
    <row r="275" spans="1:36" x14ac:dyDescent="0.2">
      <c r="A275" t="s">
        <v>7</v>
      </c>
      <c r="B275">
        <v>2</v>
      </c>
      <c r="C275" s="2">
        <v>43636</v>
      </c>
      <c r="D275" s="13">
        <v>171.51631944444443</v>
      </c>
      <c r="E275" s="13"/>
      <c r="F275" s="4">
        <v>151.19999999999999</v>
      </c>
      <c r="H275" s="4">
        <v>18.100000000000001</v>
      </c>
      <c r="J275" s="4">
        <v>23.33</v>
      </c>
      <c r="M275" t="e">
        <v>#DIV/0!</v>
      </c>
      <c r="O275" s="4" t="e">
        <v>#DIV/0!</v>
      </c>
      <c r="P275">
        <v>6.0667647903320496</v>
      </c>
      <c r="T275" s="6"/>
      <c r="U275" s="6"/>
      <c r="X275" t="s">
        <v>7</v>
      </c>
      <c r="Y275">
        <v>2</v>
      </c>
      <c r="Z275" t="s">
        <v>2</v>
      </c>
      <c r="AA275" s="16">
        <v>43636</v>
      </c>
      <c r="AB275">
        <v>171.51145833333334</v>
      </c>
      <c r="AC275" s="4">
        <v>196.2</v>
      </c>
      <c r="AE275">
        <v>-0.85915497345296699</v>
      </c>
    </row>
    <row r="276" spans="1:36" x14ac:dyDescent="0.2">
      <c r="A276" t="s">
        <v>7</v>
      </c>
      <c r="B276">
        <v>3</v>
      </c>
      <c r="C276" s="2">
        <v>43636</v>
      </c>
      <c r="D276" s="13">
        <v>171.52604166666666</v>
      </c>
      <c r="E276" s="13"/>
      <c r="F276" s="4">
        <v>216.2</v>
      </c>
      <c r="H276" s="4">
        <v>14.9</v>
      </c>
      <c r="J276" s="4">
        <v>23.33</v>
      </c>
      <c r="P276">
        <v>-19.0210201027739</v>
      </c>
      <c r="X276" t="s">
        <v>7</v>
      </c>
      <c r="Y276">
        <v>3</v>
      </c>
      <c r="Z276" t="s">
        <v>2</v>
      </c>
      <c r="AA276" s="16">
        <v>43636</v>
      </c>
      <c r="AB276">
        <v>171.52118055555556</v>
      </c>
      <c r="AC276" s="4">
        <v>143.69999999999999</v>
      </c>
      <c r="AE276">
        <v>3.96397234284444</v>
      </c>
    </row>
    <row r="277" spans="1:36" x14ac:dyDescent="0.2">
      <c r="A277" t="s">
        <v>7</v>
      </c>
      <c r="B277">
        <v>4</v>
      </c>
      <c r="C277" s="2">
        <v>43636</v>
      </c>
      <c r="D277" s="13">
        <v>171.53576388888888</v>
      </c>
      <c r="E277" s="13"/>
      <c r="F277" s="4">
        <v>596.20000000000005</v>
      </c>
      <c r="H277" s="4">
        <v>16.2</v>
      </c>
      <c r="J277" s="4">
        <v>23.33</v>
      </c>
      <c r="P277">
        <v>6.1455165094153497</v>
      </c>
      <c r="T277" s="6"/>
      <c r="U277" s="6"/>
      <c r="X277" t="s">
        <v>7</v>
      </c>
      <c r="Y277">
        <v>4</v>
      </c>
      <c r="Z277" t="s">
        <v>2</v>
      </c>
      <c r="AA277" s="16">
        <v>43636</v>
      </c>
      <c r="AB277">
        <v>171.53090277777778</v>
      </c>
      <c r="AC277" s="4">
        <v>496.2</v>
      </c>
      <c r="AE277">
        <v>1.01821060715204</v>
      </c>
    </row>
    <row r="278" spans="1:36" x14ac:dyDescent="0.2">
      <c r="A278" t="s">
        <v>7</v>
      </c>
      <c r="B278">
        <v>5</v>
      </c>
      <c r="C278" s="2">
        <v>43636</v>
      </c>
      <c r="D278" s="13">
        <v>171.5454861111111</v>
      </c>
      <c r="E278" s="13"/>
      <c r="F278" s="4">
        <v>538.70000000000005</v>
      </c>
      <c r="H278" s="4">
        <v>15.6</v>
      </c>
      <c r="J278" s="4">
        <v>23.33</v>
      </c>
      <c r="P278">
        <v>7.9094848303388696</v>
      </c>
      <c r="T278" s="6"/>
      <c r="U278" s="6"/>
      <c r="X278" t="s">
        <v>7</v>
      </c>
      <c r="Y278">
        <v>5</v>
      </c>
      <c r="Z278" t="s">
        <v>2</v>
      </c>
      <c r="AA278" s="16">
        <v>43636</v>
      </c>
      <c r="AB278">
        <v>171.54062500000001</v>
      </c>
      <c r="AC278" s="4">
        <v>298.7</v>
      </c>
      <c r="AE278">
        <v>-9.4830276917349003</v>
      </c>
    </row>
    <row r="279" spans="1:36" x14ac:dyDescent="0.2">
      <c r="A279" t="s">
        <v>7</v>
      </c>
      <c r="B279">
        <v>1</v>
      </c>
      <c r="C279" s="2">
        <v>43642</v>
      </c>
      <c r="D279" s="13">
        <v>177.37465277777778</v>
      </c>
      <c r="E279" s="13">
        <v>177.39409722222223</v>
      </c>
      <c r="F279" s="4">
        <v>1126.2</v>
      </c>
      <c r="G279" s="4">
        <v>1281.7</v>
      </c>
      <c r="H279" s="4">
        <v>20.3</v>
      </c>
      <c r="I279" s="4">
        <v>19.560000000000002</v>
      </c>
      <c r="J279" s="4">
        <v>22.78</v>
      </c>
      <c r="K279" s="4">
        <v>22.78</v>
      </c>
      <c r="P279">
        <v>5.84102105459041</v>
      </c>
      <c r="Q279">
        <v>7.4786743958677473</v>
      </c>
      <c r="R279">
        <v>1.612245122016603</v>
      </c>
      <c r="S279">
        <v>1.380661E-3</v>
      </c>
      <c r="T279" s="6">
        <v>1.2776954000000001E-3</v>
      </c>
      <c r="U279" s="6">
        <v>6.8771052364806806E-4</v>
      </c>
      <c r="X279" t="s">
        <v>7</v>
      </c>
      <c r="Y279">
        <v>1</v>
      </c>
      <c r="Z279" t="s">
        <v>2</v>
      </c>
      <c r="AA279" s="16">
        <v>43642</v>
      </c>
      <c r="AB279">
        <v>177.36979166666666</v>
      </c>
      <c r="AC279" s="4">
        <v>1086.2</v>
      </c>
      <c r="AD279" s="4">
        <v>1244.7</v>
      </c>
      <c r="AE279">
        <v>-9.2992874510043393</v>
      </c>
      <c r="AF279">
        <v>-12.279898927111947</v>
      </c>
      <c r="AG279">
        <v>2.5452029960113056</v>
      </c>
      <c r="AH279">
        <v>9.897599999999999E-4</v>
      </c>
      <c r="AI279">
        <v>7.5220980000000005E-4</v>
      </c>
      <c r="AJ279">
        <v>1.1078668133702714E-3</v>
      </c>
    </row>
    <row r="280" spans="1:36" x14ac:dyDescent="0.2">
      <c r="A280" t="s">
        <v>7</v>
      </c>
      <c r="B280">
        <v>2</v>
      </c>
      <c r="C280" s="2">
        <v>43642</v>
      </c>
      <c r="D280" s="13">
        <v>177.38437500000001</v>
      </c>
      <c r="E280" s="13"/>
      <c r="F280" s="4">
        <v>1208.7</v>
      </c>
      <c r="H280" s="4">
        <v>21.9</v>
      </c>
      <c r="J280" s="4">
        <v>22.78</v>
      </c>
      <c r="M280" t="e">
        <v>#DIV/0!</v>
      </c>
      <c r="O280" s="4" t="e">
        <v>#DIV/0!</v>
      </c>
      <c r="P280">
        <v>6.2390651353250899</v>
      </c>
      <c r="S280">
        <v>6.5463200000000004E-4</v>
      </c>
      <c r="T280" s="6"/>
      <c r="U280" s="6"/>
      <c r="X280" t="s">
        <v>7</v>
      </c>
      <c r="Y280">
        <v>2</v>
      </c>
      <c r="Z280" t="s">
        <v>2</v>
      </c>
      <c r="AA280" s="16">
        <v>43642</v>
      </c>
      <c r="AB280">
        <v>177.37951388888888</v>
      </c>
      <c r="AC280" s="4">
        <v>1168.7</v>
      </c>
      <c r="AE280">
        <v>-11.137909330634701</v>
      </c>
      <c r="AH280">
        <v>-2.5330600000000002E-4</v>
      </c>
    </row>
    <row r="281" spans="1:36" x14ac:dyDescent="0.2">
      <c r="A281" t="s">
        <v>7</v>
      </c>
      <c r="B281">
        <v>3</v>
      </c>
      <c r="C281" s="2">
        <v>43642</v>
      </c>
      <c r="D281" s="13">
        <v>177.39409722222223</v>
      </c>
      <c r="E281" s="13"/>
      <c r="F281" s="4">
        <v>1283.7</v>
      </c>
      <c r="H281" s="4">
        <v>17.3</v>
      </c>
      <c r="J281" s="4">
        <v>22.78</v>
      </c>
      <c r="P281">
        <v>7.6242065779379899</v>
      </c>
      <c r="S281">
        <v>5.5852099999999997E-4</v>
      </c>
      <c r="X281" t="s">
        <v>7</v>
      </c>
      <c r="Y281">
        <v>3</v>
      </c>
      <c r="Z281" t="s">
        <v>2</v>
      </c>
      <c r="AA281" s="16">
        <v>43642</v>
      </c>
      <c r="AB281">
        <v>177.3892361111111</v>
      </c>
      <c r="AC281" s="4">
        <v>1246.2</v>
      </c>
      <c r="AE281">
        <v>-11.4501998697845</v>
      </c>
      <c r="AH281">
        <v>3.70947E-4</v>
      </c>
    </row>
    <row r="282" spans="1:36" x14ac:dyDescent="0.2">
      <c r="A282" t="s">
        <v>7</v>
      </c>
      <c r="B282">
        <v>4</v>
      </c>
      <c r="C282" s="2">
        <v>43642</v>
      </c>
      <c r="D282" s="13">
        <v>177.40381944444445</v>
      </c>
      <c r="E282" s="13"/>
      <c r="F282" s="4">
        <v>1358.7</v>
      </c>
      <c r="H282" s="4">
        <v>19.2</v>
      </c>
      <c r="J282" s="4">
        <v>22.78</v>
      </c>
      <c r="P282">
        <v>7.7430763540328504</v>
      </c>
      <c r="S282">
        <v>2.2197160000000001E-3</v>
      </c>
      <c r="T282" s="6"/>
      <c r="U282" s="6"/>
      <c r="X282" t="s">
        <v>7</v>
      </c>
      <c r="Y282">
        <v>4</v>
      </c>
      <c r="Z282" t="s">
        <v>2</v>
      </c>
      <c r="AA282" s="16">
        <v>43642</v>
      </c>
      <c r="AB282">
        <v>177.39895833333333</v>
      </c>
      <c r="AC282" s="4">
        <v>1326.2</v>
      </c>
      <c r="AE282">
        <v>-13.578549663075</v>
      </c>
      <c r="AH282">
        <v>2.5589480000000001E-3</v>
      </c>
    </row>
    <row r="283" spans="1:36" x14ac:dyDescent="0.2">
      <c r="A283" t="s">
        <v>7</v>
      </c>
      <c r="B283">
        <v>5</v>
      </c>
      <c r="C283" s="2">
        <v>43642</v>
      </c>
      <c r="D283" s="13">
        <v>177.41354166666667</v>
      </c>
      <c r="E283" s="13"/>
      <c r="F283" s="4">
        <v>1431.2</v>
      </c>
      <c r="H283" s="4">
        <v>19.100000000000001</v>
      </c>
      <c r="J283" s="4">
        <v>22.78</v>
      </c>
      <c r="P283">
        <v>9.9460028574524006</v>
      </c>
      <c r="S283">
        <v>1.5749469999999999E-3</v>
      </c>
      <c r="T283" s="6"/>
      <c r="U283" s="6"/>
      <c r="X283" t="s">
        <v>7</v>
      </c>
      <c r="Y283">
        <v>5</v>
      </c>
      <c r="Z283" t="s">
        <v>2</v>
      </c>
      <c r="AA283" s="16">
        <v>43642</v>
      </c>
      <c r="AB283">
        <v>177.40868055555555</v>
      </c>
      <c r="AC283" s="4">
        <v>1396.2</v>
      </c>
      <c r="AE283">
        <v>-15.933548321061201</v>
      </c>
      <c r="AH283">
        <v>9.4699999999999998E-5</v>
      </c>
    </row>
    <row r="284" spans="1:36" x14ac:dyDescent="0.2">
      <c r="A284" t="s">
        <v>7</v>
      </c>
      <c r="B284">
        <v>1</v>
      </c>
      <c r="C284" s="2">
        <v>43642</v>
      </c>
      <c r="D284" s="13">
        <v>177.51979166666666</v>
      </c>
      <c r="E284" s="13">
        <v>177.53923611111108</v>
      </c>
      <c r="F284" s="4">
        <v>1913.7</v>
      </c>
      <c r="G284" s="4">
        <v>1942.2</v>
      </c>
      <c r="H284" s="4">
        <v>23.3</v>
      </c>
      <c r="I284" s="4">
        <v>21.060000000000002</v>
      </c>
      <c r="J284" s="4">
        <v>26.67</v>
      </c>
      <c r="K284" s="4">
        <v>26.670000000000005</v>
      </c>
      <c r="P284">
        <v>7.3448608467846999</v>
      </c>
      <c r="Q284">
        <v>6.9144646605522011</v>
      </c>
      <c r="R284">
        <v>0.59343641440941464</v>
      </c>
      <c r="S284">
        <v>2.45771807681753E-3</v>
      </c>
      <c r="T284" s="6">
        <v>5.6835695530396803E-3</v>
      </c>
      <c r="U284" s="6">
        <v>3.466852084434108E-3</v>
      </c>
      <c r="X284" t="s">
        <v>7</v>
      </c>
      <c r="Y284">
        <v>1</v>
      </c>
      <c r="Z284" t="s">
        <v>2</v>
      </c>
      <c r="AA284" s="16">
        <v>43642</v>
      </c>
      <c r="AB284">
        <v>177.51493055555557</v>
      </c>
      <c r="AC284" s="4">
        <v>1908.7</v>
      </c>
      <c r="AD284" s="4">
        <v>1935.2</v>
      </c>
      <c r="AE284">
        <v>-7.1241130289655397</v>
      </c>
      <c r="AF284">
        <v>-7.823469930871136</v>
      </c>
      <c r="AG284">
        <v>2.6616562718171224</v>
      </c>
      <c r="AH284">
        <v>7.6840063694693398E-3</v>
      </c>
      <c r="AI284">
        <v>5.7352855573216139E-3</v>
      </c>
      <c r="AJ284">
        <v>9.7360526281959816E-3</v>
      </c>
    </row>
    <row r="285" spans="1:36" x14ac:dyDescent="0.2">
      <c r="A285" t="s">
        <v>7</v>
      </c>
      <c r="B285">
        <v>2</v>
      </c>
      <c r="C285" s="2">
        <v>43642</v>
      </c>
      <c r="D285" s="13">
        <v>177.52951388888889</v>
      </c>
      <c r="E285" s="13"/>
      <c r="F285" s="4">
        <v>1943.7</v>
      </c>
      <c r="H285" s="4">
        <v>24</v>
      </c>
      <c r="J285" s="4">
        <v>26.67</v>
      </c>
      <c r="M285" t="e">
        <v>#DIV/0!</v>
      </c>
      <c r="O285" s="4" t="e">
        <v>#DIV/0!</v>
      </c>
      <c r="P285">
        <v>7.4880859939774602</v>
      </c>
      <c r="S285">
        <v>1.73946831213184E-3</v>
      </c>
      <c r="T285" s="6"/>
      <c r="U285" s="6"/>
      <c r="X285" t="s">
        <v>7</v>
      </c>
      <c r="Y285">
        <v>2</v>
      </c>
      <c r="Z285" t="s">
        <v>2</v>
      </c>
      <c r="AA285" s="16">
        <v>43642</v>
      </c>
      <c r="AB285">
        <v>177.52465277777779</v>
      </c>
      <c r="AC285" s="4">
        <v>1928.7</v>
      </c>
      <c r="AE285">
        <v>-7.0809617912503597</v>
      </c>
      <c r="AH285">
        <v>-1.4013725756149499E-3</v>
      </c>
    </row>
    <row r="286" spans="1:36" x14ac:dyDescent="0.2">
      <c r="A286" t="s">
        <v>7</v>
      </c>
      <c r="B286">
        <v>3</v>
      </c>
      <c r="C286" s="2">
        <v>43642</v>
      </c>
      <c r="D286" s="13">
        <v>177.53923611111111</v>
      </c>
      <c r="E286" s="13"/>
      <c r="F286" s="4">
        <v>1943.7</v>
      </c>
      <c r="H286" s="4">
        <v>19.5</v>
      </c>
      <c r="J286" s="4">
        <v>26.67</v>
      </c>
      <c r="P286">
        <v>5.9712314242392397</v>
      </c>
      <c r="S286">
        <v>6.2521038378496197E-3</v>
      </c>
      <c r="X286" t="s">
        <v>7</v>
      </c>
      <c r="Y286">
        <v>3</v>
      </c>
      <c r="Z286" t="s">
        <v>2</v>
      </c>
      <c r="AA286" s="16">
        <v>43642</v>
      </c>
      <c r="AB286">
        <v>177.53437500000001</v>
      </c>
      <c r="AC286" s="4">
        <v>1946.2</v>
      </c>
      <c r="AE286">
        <v>-5.7843818196303296</v>
      </c>
      <c r="AH286">
        <v>2.29742779760917E-3</v>
      </c>
    </row>
    <row r="287" spans="1:36" x14ac:dyDescent="0.2">
      <c r="A287" t="s">
        <v>7</v>
      </c>
      <c r="B287">
        <v>4</v>
      </c>
      <c r="C287" s="2">
        <v>43642</v>
      </c>
      <c r="D287" s="13">
        <v>177.54895833333333</v>
      </c>
      <c r="E287" s="13"/>
      <c r="F287" s="4">
        <v>1941.2</v>
      </c>
      <c r="H287" s="4">
        <v>19.100000000000001</v>
      </c>
      <c r="J287" s="4">
        <v>26.67</v>
      </c>
      <c r="P287">
        <v>6.8463332961263799</v>
      </c>
      <c r="S287">
        <v>8.9559303661289093E-3</v>
      </c>
      <c r="T287" s="6"/>
      <c r="U287" s="6"/>
      <c r="X287" t="s">
        <v>7</v>
      </c>
      <c r="Y287">
        <v>4</v>
      </c>
      <c r="Z287" t="s">
        <v>2</v>
      </c>
      <c r="AA287" s="16">
        <v>43642</v>
      </c>
      <c r="AB287">
        <v>177.54409722222221</v>
      </c>
      <c r="AC287" s="4">
        <v>1933.7</v>
      </c>
      <c r="AE287">
        <v>-6.64154678508425</v>
      </c>
      <c r="AH287">
        <v>-1.6866463567590899E-3</v>
      </c>
    </row>
    <row r="288" spans="1:36" x14ac:dyDescent="0.2">
      <c r="A288" t="s">
        <v>7</v>
      </c>
      <c r="B288">
        <v>5</v>
      </c>
      <c r="C288" s="2">
        <v>43642</v>
      </c>
      <c r="D288" s="13">
        <v>177.55868055555555</v>
      </c>
      <c r="E288" s="13"/>
      <c r="F288" s="4">
        <v>1968.7</v>
      </c>
      <c r="H288" s="4">
        <v>19.399999999999999</v>
      </c>
      <c r="J288" s="4">
        <v>26.67</v>
      </c>
      <c r="P288">
        <v>6.9218117416332303</v>
      </c>
      <c r="S288">
        <v>9.0126271722705004E-3</v>
      </c>
      <c r="T288" s="6"/>
      <c r="U288" s="6"/>
      <c r="X288" t="s">
        <v>7</v>
      </c>
      <c r="Y288">
        <v>5</v>
      </c>
      <c r="Z288" t="s">
        <v>2</v>
      </c>
      <c r="AA288" s="16">
        <v>43642</v>
      </c>
      <c r="AB288">
        <v>177.55381944444446</v>
      </c>
      <c r="AC288" s="4">
        <v>1958.7</v>
      </c>
      <c r="AE288">
        <v>-12.4863462294252</v>
      </c>
      <c r="AH288">
        <v>2.17830125519036E-2</v>
      </c>
    </row>
    <row r="289" spans="1:36" x14ac:dyDescent="0.2">
      <c r="A289" t="s">
        <v>7</v>
      </c>
      <c r="B289">
        <v>1</v>
      </c>
      <c r="C289" s="2">
        <v>43649</v>
      </c>
      <c r="D289" s="13">
        <v>184.41840277777777</v>
      </c>
      <c r="E289" s="13">
        <v>184.43784722222222</v>
      </c>
      <c r="F289" s="4">
        <v>1401.2</v>
      </c>
      <c r="G289" s="4">
        <v>1221.2</v>
      </c>
      <c r="H289" s="4">
        <v>5.6</v>
      </c>
      <c r="I289" s="4">
        <v>7.24</v>
      </c>
      <c r="J289" s="4">
        <v>25.56</v>
      </c>
      <c r="K289" s="4">
        <v>25.56</v>
      </c>
      <c r="P289">
        <v>8.0885190131819495</v>
      </c>
      <c r="Q289">
        <v>10.877135773010927</v>
      </c>
      <c r="R289">
        <v>7.15360501366977</v>
      </c>
      <c r="S289">
        <v>-2.6481434470791501E-3</v>
      </c>
      <c r="T289" s="6">
        <v>6.3102327969174804E-4</v>
      </c>
      <c r="U289" s="6">
        <v>4.1135352240540182E-3</v>
      </c>
      <c r="X289" t="s">
        <v>7</v>
      </c>
      <c r="Y289">
        <v>1</v>
      </c>
      <c r="Z289" t="s">
        <v>2</v>
      </c>
      <c r="AA289" s="16">
        <v>43649</v>
      </c>
      <c r="AB289">
        <v>184.41354166666667</v>
      </c>
      <c r="AC289" s="4">
        <v>1238.7</v>
      </c>
      <c r="AD289" s="4">
        <v>1357.2</v>
      </c>
      <c r="AE289">
        <v>-13.869189944914901</v>
      </c>
      <c r="AF289">
        <v>-16.24472241022924</v>
      </c>
      <c r="AG289">
        <v>2.5927622144556666</v>
      </c>
      <c r="AH289">
        <v>-7.7493105876078798E-4</v>
      </c>
      <c r="AI289">
        <v>1.5520271390621154E-3</v>
      </c>
      <c r="AJ289">
        <v>3.5037305843172864E-3</v>
      </c>
    </row>
    <row r="290" spans="1:36" x14ac:dyDescent="0.2">
      <c r="A290" t="s">
        <v>7</v>
      </c>
      <c r="B290">
        <v>2</v>
      </c>
      <c r="C290" s="2">
        <v>43649</v>
      </c>
      <c r="D290" s="13">
        <v>184.42812499999999</v>
      </c>
      <c r="E290" s="13"/>
      <c r="F290" s="4">
        <v>1453.7</v>
      </c>
      <c r="H290" s="4">
        <v>7.5</v>
      </c>
      <c r="J290" s="4">
        <v>25.56</v>
      </c>
      <c r="M290" t="e">
        <v>#DIV/0!</v>
      </c>
      <c r="O290" s="4" t="e">
        <v>#DIV/0!</v>
      </c>
      <c r="P290">
        <v>22.5051547741399</v>
      </c>
      <c r="S290">
        <v>-1.4970166390059999E-3</v>
      </c>
      <c r="T290" s="6"/>
      <c r="U290" s="6"/>
      <c r="X290" t="s">
        <v>7</v>
      </c>
      <c r="Y290">
        <v>2</v>
      </c>
      <c r="Z290" t="s">
        <v>2</v>
      </c>
      <c r="AA290" s="16">
        <v>43649</v>
      </c>
      <c r="AB290">
        <v>184.4232638888889</v>
      </c>
      <c r="AC290" s="4">
        <v>1491.2</v>
      </c>
      <c r="AE290">
        <v>-18.144713227983399</v>
      </c>
      <c r="AH290">
        <v>3.84639009651935E-4</v>
      </c>
    </row>
    <row r="291" spans="1:36" x14ac:dyDescent="0.2">
      <c r="A291" t="s">
        <v>7</v>
      </c>
      <c r="B291">
        <v>3</v>
      </c>
      <c r="C291" s="2">
        <v>43649</v>
      </c>
      <c r="D291" s="13">
        <v>184.43784722222222</v>
      </c>
      <c r="E291" s="13"/>
      <c r="F291" s="4">
        <v>1588.7</v>
      </c>
      <c r="H291" s="4">
        <v>9</v>
      </c>
      <c r="J291" s="4">
        <v>25.56</v>
      </c>
      <c r="P291">
        <v>3.8416911426104798</v>
      </c>
      <c r="S291">
        <v>-2.8948951073733899E-3</v>
      </c>
      <c r="X291" t="s">
        <v>7</v>
      </c>
      <c r="Y291">
        <v>3</v>
      </c>
      <c r="Z291" t="s">
        <v>2</v>
      </c>
      <c r="AA291" s="16">
        <v>43649</v>
      </c>
      <c r="AB291">
        <v>184.43298611111112</v>
      </c>
      <c r="AC291" s="4">
        <v>1508.7</v>
      </c>
      <c r="AE291">
        <v>-14.8262537767755</v>
      </c>
      <c r="AH291">
        <v>-2.03096788782944E-3</v>
      </c>
    </row>
    <row r="292" spans="1:36" x14ac:dyDescent="0.2">
      <c r="A292" t="s">
        <v>7</v>
      </c>
      <c r="B292">
        <v>4</v>
      </c>
      <c r="C292" s="2">
        <v>43649</v>
      </c>
      <c r="D292" s="13">
        <v>184.44756944444444</v>
      </c>
      <c r="E292" s="13"/>
      <c r="F292" s="4">
        <v>1661.2</v>
      </c>
      <c r="H292" s="4">
        <v>7.6</v>
      </c>
      <c r="J292" s="4">
        <v>25.56</v>
      </c>
      <c r="P292">
        <v>7.6746747611316097</v>
      </c>
      <c r="S292">
        <v>4.9095193915755196E-3</v>
      </c>
      <c r="T292" s="6"/>
      <c r="U292" s="6"/>
      <c r="X292" t="s">
        <v>7</v>
      </c>
      <c r="Y292">
        <v>4</v>
      </c>
      <c r="Z292" t="s">
        <v>2</v>
      </c>
      <c r="AA292" s="16">
        <v>43649</v>
      </c>
      <c r="AB292">
        <v>184.44270833333334</v>
      </c>
      <c r="AC292" s="4">
        <v>1578.7</v>
      </c>
      <c r="AE292">
        <v>-14.5620076735308</v>
      </c>
      <c r="AH292">
        <v>6.5814608500582997E-3</v>
      </c>
    </row>
    <row r="293" spans="1:36" x14ac:dyDescent="0.2">
      <c r="A293" t="s">
        <v>7</v>
      </c>
      <c r="B293">
        <v>5</v>
      </c>
      <c r="C293" s="2">
        <v>43649</v>
      </c>
      <c r="D293" s="13">
        <v>184.45729166666666</v>
      </c>
      <c r="E293" s="13"/>
      <c r="F293" s="4">
        <v>1.2</v>
      </c>
      <c r="H293" s="4">
        <v>6.5</v>
      </c>
      <c r="J293" s="4">
        <v>25.56</v>
      </c>
      <c r="P293">
        <v>12.275639173990699</v>
      </c>
      <c r="S293">
        <v>5.2856522003417597E-3</v>
      </c>
      <c r="T293" s="6"/>
      <c r="U293" s="6"/>
      <c r="X293" t="s">
        <v>7</v>
      </c>
      <c r="Y293">
        <v>5</v>
      </c>
      <c r="Z293" t="s">
        <v>2</v>
      </c>
      <c r="AA293" s="16">
        <v>43649</v>
      </c>
      <c r="AB293">
        <v>184.45243055555557</v>
      </c>
      <c r="AC293" s="4">
        <v>968.7</v>
      </c>
      <c r="AE293">
        <v>-19.8214474279416</v>
      </c>
      <c r="AH293">
        <v>3.5999347821905701E-3</v>
      </c>
    </row>
    <row r="294" spans="1:36" x14ac:dyDescent="0.2">
      <c r="A294" t="s">
        <v>7</v>
      </c>
      <c r="B294">
        <v>1</v>
      </c>
      <c r="C294" s="2">
        <v>43654</v>
      </c>
      <c r="D294" s="13">
        <v>189.41215277777778</v>
      </c>
      <c r="E294" s="13">
        <v>189.43159722222222</v>
      </c>
      <c r="F294" s="4">
        <v>1021.2</v>
      </c>
      <c r="G294" s="4">
        <v>1316.2</v>
      </c>
      <c r="H294" s="4">
        <v>19.2</v>
      </c>
      <c r="I294" s="4">
        <v>17.52</v>
      </c>
      <c r="J294" s="21">
        <v>19</v>
      </c>
      <c r="K294" s="4">
        <v>20</v>
      </c>
      <c r="P294">
        <v>5.2847570773458497</v>
      </c>
      <c r="Q294">
        <v>6.888574928761086</v>
      </c>
      <c r="R294">
        <v>4.9751271309296428</v>
      </c>
      <c r="S294">
        <v>-1.97096452566426E-4</v>
      </c>
      <c r="T294" s="6">
        <v>2.4956822097202949E-3</v>
      </c>
      <c r="U294" s="6">
        <v>6.1155993423127426E-3</v>
      </c>
      <c r="X294" t="s">
        <v>7</v>
      </c>
      <c r="Y294">
        <v>1</v>
      </c>
      <c r="Z294" t="s">
        <v>2</v>
      </c>
      <c r="AA294" s="16">
        <v>43654</v>
      </c>
      <c r="AB294">
        <v>189.40729166666665</v>
      </c>
      <c r="AC294" s="4">
        <v>1398.7</v>
      </c>
      <c r="AD294" s="4">
        <v>1551.2</v>
      </c>
      <c r="AE294">
        <v>-12.443843190719999</v>
      </c>
      <c r="AF294">
        <v>-8.6770041595199583</v>
      </c>
      <c r="AG294">
        <v>14.786490460067508</v>
      </c>
      <c r="AH294">
        <v>-3.7684612829719602E-4</v>
      </c>
      <c r="AI294">
        <v>5.6842577751876249E-3</v>
      </c>
      <c r="AJ294">
        <v>1.3081949245264905E-2</v>
      </c>
    </row>
    <row r="295" spans="1:36" x14ac:dyDescent="0.2">
      <c r="A295" t="s">
        <v>7</v>
      </c>
      <c r="B295">
        <v>2</v>
      </c>
      <c r="C295" s="2">
        <v>43654</v>
      </c>
      <c r="D295" s="13">
        <v>189.421875</v>
      </c>
      <c r="E295" s="13"/>
      <c r="F295" s="4">
        <v>1163.7</v>
      </c>
      <c r="H295" s="4">
        <v>19.100000000000001</v>
      </c>
      <c r="J295" s="21">
        <v>19</v>
      </c>
      <c r="M295" t="e">
        <v>#DIV/0!</v>
      </c>
      <c r="O295" s="4" t="e">
        <v>#DIV/0!</v>
      </c>
      <c r="P295">
        <v>5.7064961080218302</v>
      </c>
      <c r="S295">
        <v>-4.1526236623779899E-4</v>
      </c>
      <c r="T295" s="6"/>
      <c r="U295" s="6"/>
      <c r="X295" t="s">
        <v>7</v>
      </c>
      <c r="Y295">
        <v>2</v>
      </c>
      <c r="Z295" t="s">
        <v>2</v>
      </c>
      <c r="AA295" s="16">
        <v>43654</v>
      </c>
      <c r="AB295">
        <v>189.4170138888889</v>
      </c>
      <c r="AC295" s="4">
        <v>1413.7</v>
      </c>
      <c r="AE295">
        <v>-15.8535268800628</v>
      </c>
      <c r="AH295">
        <v>-3.13420663666501E-4</v>
      </c>
    </row>
    <row r="296" spans="1:36" x14ac:dyDescent="0.2">
      <c r="A296" t="s">
        <v>7</v>
      </c>
      <c r="B296">
        <v>3</v>
      </c>
      <c r="C296" s="2">
        <v>43654</v>
      </c>
      <c r="D296" s="13">
        <v>189.43159722222222</v>
      </c>
      <c r="E296" s="13"/>
      <c r="F296" s="4">
        <v>1051.2</v>
      </c>
      <c r="H296" s="4">
        <v>16.100000000000001</v>
      </c>
      <c r="J296" s="21">
        <v>20</v>
      </c>
      <c r="P296">
        <v>0.90830136043916598</v>
      </c>
      <c r="S296">
        <v>1.3434025931525701E-2</v>
      </c>
      <c r="X296" t="s">
        <v>7</v>
      </c>
      <c r="Y296">
        <v>3</v>
      </c>
      <c r="Z296" t="s">
        <v>2</v>
      </c>
      <c r="AA296" s="16">
        <v>43654</v>
      </c>
      <c r="AB296">
        <v>189.4267361111111</v>
      </c>
      <c r="AC296" s="4">
        <v>1601.2</v>
      </c>
      <c r="AE296">
        <v>16.893209972014201</v>
      </c>
      <c r="AH296">
        <v>2.9083653511381501E-2</v>
      </c>
    </row>
    <row r="297" spans="1:36" x14ac:dyDescent="0.2">
      <c r="A297" t="s">
        <v>7</v>
      </c>
      <c r="B297">
        <v>4</v>
      </c>
      <c r="C297" s="2">
        <v>43654</v>
      </c>
      <c r="D297" s="13">
        <v>189.44131944444445</v>
      </c>
      <c r="E297" s="13"/>
      <c r="F297" s="4">
        <v>1661.2</v>
      </c>
      <c r="H297" s="4">
        <v>15.9</v>
      </c>
      <c r="J297" s="21">
        <v>21</v>
      </c>
      <c r="P297">
        <v>8.0427689435101897</v>
      </c>
      <c r="S297">
        <v>-1.4801885751011601E-4</v>
      </c>
      <c r="T297" s="6"/>
      <c r="U297" s="6"/>
      <c r="X297" t="s">
        <v>7</v>
      </c>
      <c r="Y297">
        <v>4</v>
      </c>
      <c r="Z297" t="s">
        <v>2</v>
      </c>
      <c r="AA297" s="16">
        <v>43654</v>
      </c>
      <c r="AB297">
        <v>189.43645833333335</v>
      </c>
      <c r="AC297" s="4">
        <v>1668.7</v>
      </c>
      <c r="AE297">
        <v>-11.088319076983201</v>
      </c>
      <c r="AH297">
        <v>5.8561304466307801E-5</v>
      </c>
    </row>
    <row r="298" spans="1:36" x14ac:dyDescent="0.2">
      <c r="A298" t="s">
        <v>7</v>
      </c>
      <c r="B298">
        <v>5</v>
      </c>
      <c r="C298" s="2">
        <v>43654</v>
      </c>
      <c r="D298" s="13">
        <v>189.45104166666667</v>
      </c>
      <c r="E298" s="13"/>
      <c r="F298" s="4">
        <v>1683.7</v>
      </c>
      <c r="H298" s="4">
        <v>17.3</v>
      </c>
      <c r="J298" s="21">
        <v>21</v>
      </c>
      <c r="P298">
        <v>14.5005511544884</v>
      </c>
      <c r="S298">
        <v>-1.95237206609885E-4</v>
      </c>
      <c r="T298" s="6"/>
      <c r="U298" s="6"/>
      <c r="X298" t="s">
        <v>7</v>
      </c>
      <c r="Y298">
        <v>5</v>
      </c>
      <c r="Z298" t="s">
        <v>2</v>
      </c>
      <c r="AA298" s="16">
        <v>43654</v>
      </c>
      <c r="AB298">
        <v>189.44618055555554</v>
      </c>
      <c r="AC298" s="4">
        <v>1673.7</v>
      </c>
      <c r="AE298">
        <v>-20.892541621848</v>
      </c>
      <c r="AH298">
        <v>-3.06591479459864E-5</v>
      </c>
    </row>
    <row r="299" spans="1:36" x14ac:dyDescent="0.2">
      <c r="A299" t="s">
        <v>7</v>
      </c>
      <c r="B299">
        <v>1</v>
      </c>
      <c r="C299" s="2">
        <v>43654</v>
      </c>
      <c r="D299" s="13">
        <v>189.53159722222222</v>
      </c>
      <c r="E299" s="13">
        <v>189.55104166666666</v>
      </c>
      <c r="F299" s="4">
        <v>763.7</v>
      </c>
      <c r="G299" s="4">
        <v>1606.7</v>
      </c>
      <c r="H299" s="4">
        <v>16.399999999999999</v>
      </c>
      <c r="I299" s="4">
        <v>16.28</v>
      </c>
      <c r="J299" s="4">
        <v>25.56</v>
      </c>
      <c r="K299" s="4">
        <v>25.56</v>
      </c>
      <c r="P299">
        <v>9.3937830479999995</v>
      </c>
      <c r="Q299">
        <v>11.891941475399999</v>
      </c>
      <c r="R299">
        <v>3.1891739464118318</v>
      </c>
      <c r="S299">
        <v>-7.8340590788765699E-5</v>
      </c>
      <c r="T299" s="6">
        <v>-2.1394621104294026E-5</v>
      </c>
      <c r="U299" s="6">
        <v>1.628427026083428E-4</v>
      </c>
      <c r="X299" t="s">
        <v>7</v>
      </c>
      <c r="Y299">
        <v>1</v>
      </c>
      <c r="Z299" t="s">
        <v>2</v>
      </c>
      <c r="AA299" s="16">
        <v>43654</v>
      </c>
      <c r="AB299">
        <v>189.52673611111112</v>
      </c>
      <c r="AC299" s="4">
        <v>1861.2</v>
      </c>
      <c r="AD299" s="4">
        <v>1832.7</v>
      </c>
      <c r="AE299">
        <v>-9.9871251920000006</v>
      </c>
      <c r="AF299">
        <v>-13.016073022</v>
      </c>
      <c r="AG299">
        <v>3.7778109529561883</v>
      </c>
      <c r="AH299">
        <v>-8.7959654548821695E-5</v>
      </c>
      <c r="AI299">
        <v>-2.0286158388664338E-5</v>
      </c>
      <c r="AJ299">
        <v>1.3629415748254355E-4</v>
      </c>
    </row>
    <row r="300" spans="1:36" x14ac:dyDescent="0.2">
      <c r="A300" t="s">
        <v>7</v>
      </c>
      <c r="B300">
        <v>2</v>
      </c>
      <c r="C300" s="2">
        <v>43654</v>
      </c>
      <c r="D300" s="13">
        <v>189.54131944444444</v>
      </c>
      <c r="E300" s="13"/>
      <c r="F300" s="4">
        <v>1843.7</v>
      </c>
      <c r="H300" s="4">
        <v>18.5</v>
      </c>
      <c r="J300" s="4">
        <v>25.56</v>
      </c>
      <c r="M300">
        <v>44.5</v>
      </c>
      <c r="P300">
        <v>11.55479487</v>
      </c>
      <c r="S300">
        <v>2.4271504457088801E-4</v>
      </c>
      <c r="T300" s="6"/>
      <c r="U300" s="6"/>
      <c r="X300" t="s">
        <v>7</v>
      </c>
      <c r="Y300">
        <v>2</v>
      </c>
      <c r="Z300" t="s">
        <v>2</v>
      </c>
      <c r="AA300" s="16">
        <v>43654</v>
      </c>
      <c r="AB300">
        <v>189.53645833333334</v>
      </c>
      <c r="AC300" s="4">
        <v>1858.7</v>
      </c>
      <c r="AE300">
        <v>-15.51997111</v>
      </c>
      <c r="AH300">
        <v>1.4238122021649201E-4</v>
      </c>
    </row>
    <row r="301" spans="1:36" x14ac:dyDescent="0.2">
      <c r="A301" t="s">
        <v>7</v>
      </c>
      <c r="B301">
        <v>3</v>
      </c>
      <c r="C301" s="2">
        <v>43654</v>
      </c>
      <c r="D301" s="13">
        <v>189.55104166666666</v>
      </c>
      <c r="E301" s="13"/>
      <c r="F301" s="4">
        <v>1836.2</v>
      </c>
      <c r="H301" s="4">
        <v>14.9</v>
      </c>
      <c r="J301" s="4">
        <v>25.56</v>
      </c>
      <c r="P301">
        <v>9.037223139</v>
      </c>
      <c r="S301">
        <v>1.9817915460467601E-5</v>
      </c>
      <c r="X301" t="s">
        <v>7</v>
      </c>
      <c r="Y301">
        <v>3</v>
      </c>
      <c r="Z301" t="s">
        <v>2</v>
      </c>
      <c r="AA301" s="16">
        <v>43654</v>
      </c>
      <c r="AB301">
        <v>189.54618055555557</v>
      </c>
      <c r="AC301" s="4">
        <v>1833.7</v>
      </c>
      <c r="AE301">
        <v>-9.8033927080000005</v>
      </c>
      <c r="AH301">
        <v>1.1177939737821399E-4</v>
      </c>
    </row>
    <row r="302" spans="1:36" x14ac:dyDescent="0.2">
      <c r="A302" t="s">
        <v>7</v>
      </c>
      <c r="B302">
        <v>4</v>
      </c>
      <c r="C302" s="2">
        <v>43654</v>
      </c>
      <c r="D302" s="13">
        <v>189.56076388888889</v>
      </c>
      <c r="E302" s="13"/>
      <c r="F302" s="4">
        <v>1778.7</v>
      </c>
      <c r="H302" s="4">
        <v>15.4</v>
      </c>
      <c r="J302" s="4">
        <v>25.56</v>
      </c>
      <c r="P302">
        <v>12.5018627</v>
      </c>
      <c r="S302">
        <v>-1.29298165151407E-4</v>
      </c>
      <c r="T302" s="6"/>
      <c r="U302" s="6"/>
      <c r="X302" t="s">
        <v>7</v>
      </c>
      <c r="Y302">
        <v>4</v>
      </c>
      <c r="Z302" t="s">
        <v>2</v>
      </c>
      <c r="AA302" s="16">
        <v>43654</v>
      </c>
      <c r="AB302">
        <v>189.55590277777779</v>
      </c>
      <c r="AC302" s="4">
        <v>1818.7</v>
      </c>
      <c r="AE302">
        <v>-11.39661725</v>
      </c>
      <c r="AH302">
        <v>-1.29087978905785E-4</v>
      </c>
    </row>
    <row r="303" spans="1:36" x14ac:dyDescent="0.2">
      <c r="A303" t="s">
        <v>7</v>
      </c>
      <c r="B303">
        <v>5</v>
      </c>
      <c r="C303" s="2">
        <v>43654</v>
      </c>
      <c r="D303" s="13">
        <v>189.57048611111111</v>
      </c>
      <c r="E303" s="13"/>
      <c r="F303" s="4">
        <v>1811.2</v>
      </c>
      <c r="H303" s="4">
        <v>16.2</v>
      </c>
      <c r="J303" s="4">
        <v>25.56</v>
      </c>
      <c r="P303">
        <v>16.972043620000001</v>
      </c>
      <c r="S303">
        <v>-1.6186730961265301E-4</v>
      </c>
      <c r="T303" s="6"/>
      <c r="U303" s="6"/>
      <c r="X303" t="s">
        <v>7</v>
      </c>
      <c r="Y303">
        <v>5</v>
      </c>
      <c r="Z303" t="s">
        <v>2</v>
      </c>
      <c r="AA303" s="16">
        <v>43654</v>
      </c>
      <c r="AB303">
        <v>189.56562500000001</v>
      </c>
      <c r="AC303" s="4">
        <v>1791.2</v>
      </c>
      <c r="AE303">
        <v>-18.373258849999999</v>
      </c>
      <c r="AH303">
        <v>-1.38543776083421E-4</v>
      </c>
    </row>
    <row r="304" spans="1:36" x14ac:dyDescent="0.2">
      <c r="A304" t="s">
        <v>7</v>
      </c>
      <c r="B304">
        <v>1</v>
      </c>
      <c r="C304" s="2">
        <v>43662</v>
      </c>
      <c r="D304" s="13">
        <v>197.44895833333334</v>
      </c>
      <c r="E304" s="13">
        <v>197.46840277777778</v>
      </c>
      <c r="F304" s="4">
        <v>1873.7</v>
      </c>
      <c r="G304" s="4">
        <v>1516.2</v>
      </c>
      <c r="H304" s="4">
        <v>5.4</v>
      </c>
      <c r="I304" s="4">
        <v>3.8600000000000003</v>
      </c>
      <c r="J304" s="21">
        <v>23.89</v>
      </c>
      <c r="K304" s="4">
        <v>25.887999999999998</v>
      </c>
      <c r="L304">
        <v>44.5</v>
      </c>
      <c r="M304">
        <v>40.019999999999996</v>
      </c>
      <c r="N304">
        <v>0.77</v>
      </c>
      <c r="O304" s="4">
        <v>0.79</v>
      </c>
      <c r="P304">
        <v>7.9691870607817501</v>
      </c>
      <c r="Q304">
        <v>10.695847529454349</v>
      </c>
      <c r="R304">
        <v>4.711260386106729</v>
      </c>
      <c r="S304">
        <v>-3.1332529701459297E-4</v>
      </c>
      <c r="T304" s="6">
        <v>-1.3305155656996966E-4</v>
      </c>
      <c r="U304" s="6">
        <v>2.001536866608528E-4</v>
      </c>
      <c r="X304" t="s">
        <v>7</v>
      </c>
      <c r="Y304">
        <v>1</v>
      </c>
      <c r="Z304" t="s">
        <v>4</v>
      </c>
      <c r="AA304" s="16">
        <v>43662</v>
      </c>
      <c r="AB304">
        <v>197.44409722222221</v>
      </c>
      <c r="AC304" s="4">
        <v>1666.2</v>
      </c>
      <c r="AD304" s="4">
        <v>1417.2</v>
      </c>
      <c r="AE304">
        <v>-14.088877784234599</v>
      </c>
      <c r="AF304">
        <v>-13.25956342698756</v>
      </c>
      <c r="AG304">
        <v>1.7891128559043672</v>
      </c>
      <c r="AH304">
        <v>-2.88281056274241E-5</v>
      </c>
      <c r="AI304">
        <v>2.5785725289889973E-5</v>
      </c>
      <c r="AJ304">
        <v>3.4711795771277375E-4</v>
      </c>
    </row>
    <row r="305" spans="1:36" x14ac:dyDescent="0.2">
      <c r="A305" t="s">
        <v>7</v>
      </c>
      <c r="B305">
        <v>2</v>
      </c>
      <c r="C305" s="2">
        <v>43662</v>
      </c>
      <c r="D305" s="13">
        <v>197.45868055555556</v>
      </c>
      <c r="E305" s="13"/>
      <c r="F305" s="4">
        <v>1143.7</v>
      </c>
      <c r="H305" s="4">
        <v>3.7</v>
      </c>
      <c r="J305" s="21">
        <v>23.89</v>
      </c>
      <c r="L305">
        <v>38.9</v>
      </c>
      <c r="N305">
        <v>0.79</v>
      </c>
      <c r="P305">
        <v>10.8242658546305</v>
      </c>
      <c r="S305">
        <v>-3.4559423072404502E-4</v>
      </c>
      <c r="T305" s="6"/>
      <c r="U305" s="6"/>
      <c r="X305" t="s">
        <v>7</v>
      </c>
      <c r="Y305">
        <v>2</v>
      </c>
      <c r="Z305" t="s">
        <v>4</v>
      </c>
      <c r="AA305" s="16">
        <v>43662</v>
      </c>
      <c r="AB305">
        <v>197.45381944444443</v>
      </c>
      <c r="AC305" s="4">
        <v>1868.7</v>
      </c>
      <c r="AE305">
        <v>-15.0000509245213</v>
      </c>
      <c r="AH305">
        <v>-2.33508598461827E-4</v>
      </c>
    </row>
    <row r="306" spans="1:36" x14ac:dyDescent="0.2">
      <c r="A306" t="s">
        <v>7</v>
      </c>
      <c r="B306">
        <v>3</v>
      </c>
      <c r="C306" s="2">
        <v>43662</v>
      </c>
      <c r="D306" s="13">
        <v>197.46840277777778</v>
      </c>
      <c r="E306" s="13"/>
      <c r="F306" s="4">
        <v>1151.2</v>
      </c>
      <c r="H306" s="4">
        <v>5.8</v>
      </c>
      <c r="J306" s="21">
        <v>27.22</v>
      </c>
      <c r="L306">
        <v>44.3</v>
      </c>
      <c r="N306">
        <v>0.79</v>
      </c>
      <c r="P306">
        <v>7.0775304605761402</v>
      </c>
      <c r="S306">
        <v>-1.3383064918203201E-4</v>
      </c>
      <c r="X306" t="s">
        <v>7</v>
      </c>
      <c r="Y306">
        <v>3</v>
      </c>
      <c r="Z306" t="s">
        <v>4</v>
      </c>
      <c r="AA306" s="16">
        <v>43662</v>
      </c>
      <c r="AB306">
        <v>197.46354166666666</v>
      </c>
      <c r="AC306" s="4">
        <v>1223.7</v>
      </c>
      <c r="AE306">
        <v>-13.017891847524499</v>
      </c>
      <c r="AH306">
        <v>-3.5444655925496402E-4</v>
      </c>
    </row>
    <row r="307" spans="1:36" x14ac:dyDescent="0.2">
      <c r="A307" t="s">
        <v>7</v>
      </c>
      <c r="B307">
        <v>4</v>
      </c>
      <c r="C307" s="2">
        <v>43662</v>
      </c>
      <c r="D307" s="13">
        <v>197.47812500000001</v>
      </c>
      <c r="E307" s="13"/>
      <c r="F307" s="4">
        <v>1373.7</v>
      </c>
      <c r="H307" s="4">
        <v>2</v>
      </c>
      <c r="J307" s="21">
        <v>27.22</v>
      </c>
      <c r="L307">
        <v>28.4</v>
      </c>
      <c r="N307">
        <v>0.81</v>
      </c>
      <c r="P307">
        <v>8.8585378636885608</v>
      </c>
      <c r="S307">
        <v>1.1431132667885301E-4</v>
      </c>
      <c r="T307" s="6"/>
      <c r="U307" s="6"/>
      <c r="X307" t="s">
        <v>7</v>
      </c>
      <c r="Y307">
        <v>4</v>
      </c>
      <c r="Z307" t="s">
        <v>4</v>
      </c>
      <c r="AA307" s="16">
        <v>43662</v>
      </c>
      <c r="AB307">
        <v>197.47326388888888</v>
      </c>
      <c r="AC307" s="4">
        <v>1266.2</v>
      </c>
      <c r="AE307">
        <v>-13.8728755383527</v>
      </c>
      <c r="AH307">
        <v>2.5828015224585102E-4</v>
      </c>
    </row>
    <row r="308" spans="1:36" x14ac:dyDescent="0.2">
      <c r="A308" t="s">
        <v>7</v>
      </c>
      <c r="B308">
        <v>5</v>
      </c>
      <c r="C308" s="2">
        <v>43662</v>
      </c>
      <c r="D308" s="13">
        <v>197.48784722222223</v>
      </c>
      <c r="E308" s="13"/>
      <c r="F308" s="4">
        <v>2038.7</v>
      </c>
      <c r="H308" s="4">
        <v>2.4</v>
      </c>
      <c r="J308" s="21">
        <v>27.22</v>
      </c>
      <c r="L308">
        <v>44</v>
      </c>
      <c r="N308">
        <v>0.79</v>
      </c>
      <c r="P308">
        <v>18.7497164075948</v>
      </c>
      <c r="S308">
        <v>1.3181067391968701E-5</v>
      </c>
      <c r="T308" s="6"/>
      <c r="U308" s="6"/>
      <c r="X308" t="s">
        <v>7</v>
      </c>
      <c r="Y308">
        <v>5</v>
      </c>
      <c r="Z308" t="s">
        <v>4</v>
      </c>
      <c r="AA308" s="16">
        <v>43662</v>
      </c>
      <c r="AB308">
        <v>197.4829861111111</v>
      </c>
      <c r="AC308" s="4">
        <v>1061.2</v>
      </c>
      <c r="AE308">
        <v>-10.3181210403047</v>
      </c>
      <c r="AH308">
        <v>4.8743173754781398E-4</v>
      </c>
    </row>
    <row r="309" spans="1:36" x14ac:dyDescent="0.2">
      <c r="A309" t="s">
        <v>7</v>
      </c>
      <c r="B309">
        <v>1</v>
      </c>
      <c r="C309" s="2">
        <v>43662</v>
      </c>
      <c r="D309" s="13">
        <v>197.53854166666667</v>
      </c>
      <c r="E309" s="13">
        <v>197.55798611111112</v>
      </c>
      <c r="F309" s="4">
        <v>1906.2</v>
      </c>
      <c r="G309" s="4">
        <v>1839.7</v>
      </c>
      <c r="H309" s="4">
        <v>3.2</v>
      </c>
      <c r="I309" s="4">
        <v>3.66</v>
      </c>
      <c r="J309" s="4">
        <v>31.11</v>
      </c>
      <c r="K309" s="4">
        <v>31.110000000000003</v>
      </c>
      <c r="L309">
        <v>45.9</v>
      </c>
      <c r="M309">
        <v>42.61999999999999</v>
      </c>
      <c r="N309">
        <v>0.76</v>
      </c>
      <c r="O309" s="4">
        <v>0.77200000000000002</v>
      </c>
      <c r="P309">
        <v>9.6378398954577804</v>
      </c>
      <c r="Q309">
        <v>13.145832680607645</v>
      </c>
      <c r="R309">
        <v>4.4896124782539895</v>
      </c>
      <c r="S309">
        <v>-2.7162973667826701E-4</v>
      </c>
      <c r="T309" s="6">
        <v>-1.6329217539404401E-4</v>
      </c>
      <c r="U309" s="6">
        <v>7.3769964361924901E-5</v>
      </c>
      <c r="X309" t="s">
        <v>7</v>
      </c>
      <c r="Y309">
        <v>1</v>
      </c>
      <c r="Z309" t="s">
        <v>2</v>
      </c>
      <c r="AA309" s="16">
        <v>43662</v>
      </c>
      <c r="AB309">
        <v>197.53368055555555</v>
      </c>
      <c r="AC309" s="4">
        <v>1883.7</v>
      </c>
      <c r="AD309" s="4">
        <v>1849.7</v>
      </c>
      <c r="AE309">
        <v>-3.59879238248269</v>
      </c>
      <c r="AF309">
        <v>-9.1874380559689666</v>
      </c>
      <c r="AG309">
        <v>3.2262834898581323</v>
      </c>
      <c r="AH309">
        <v>-1.27772968251468E-4</v>
      </c>
      <c r="AI309">
        <v>1.3472922465118659E-4</v>
      </c>
      <c r="AJ309">
        <v>1.4745033448881087E-4</v>
      </c>
    </row>
    <row r="310" spans="1:36" x14ac:dyDescent="0.2">
      <c r="A310" t="s">
        <v>7</v>
      </c>
      <c r="B310">
        <v>2</v>
      </c>
      <c r="C310" s="2">
        <v>43662</v>
      </c>
      <c r="D310" s="13">
        <v>197.5482638888889</v>
      </c>
      <c r="E310" s="13"/>
      <c r="F310" s="4">
        <v>1896.2</v>
      </c>
      <c r="H310" s="4">
        <v>2.6</v>
      </c>
      <c r="J310" s="4">
        <v>31.11</v>
      </c>
      <c r="L310">
        <v>43.6</v>
      </c>
      <c r="N310">
        <v>0.78</v>
      </c>
      <c r="P310">
        <v>14.6349828708943</v>
      </c>
      <c r="S310">
        <v>-1.56506591594341E-4</v>
      </c>
      <c r="T310" s="6"/>
      <c r="U310" s="6"/>
      <c r="X310" t="s">
        <v>7</v>
      </c>
      <c r="Y310">
        <v>2</v>
      </c>
      <c r="Z310" t="s">
        <v>2</v>
      </c>
      <c r="AA310" s="16">
        <v>43662</v>
      </c>
      <c r="AB310">
        <v>197.54340277777777</v>
      </c>
      <c r="AC310" s="4">
        <v>1911.2</v>
      </c>
      <c r="AE310">
        <v>-10.4425190806333</v>
      </c>
      <c r="AH310">
        <v>2.0642239110940899E-4</v>
      </c>
    </row>
    <row r="311" spans="1:36" x14ac:dyDescent="0.2">
      <c r="A311" t="s">
        <v>7</v>
      </c>
      <c r="B311">
        <v>3</v>
      </c>
      <c r="C311" s="2">
        <v>43662</v>
      </c>
      <c r="D311" s="13">
        <v>197.55798611111112</v>
      </c>
      <c r="E311" s="13"/>
      <c r="F311" s="4">
        <v>1866.2</v>
      </c>
      <c r="H311" s="4">
        <v>6.1</v>
      </c>
      <c r="J311" s="4">
        <v>31.11</v>
      </c>
      <c r="L311">
        <v>43.6</v>
      </c>
      <c r="N311">
        <v>0.79</v>
      </c>
      <c r="P311">
        <v>9.0900854262205506</v>
      </c>
      <c r="S311">
        <v>-6.3416612370120003E-5</v>
      </c>
      <c r="X311" t="s">
        <v>7</v>
      </c>
      <c r="Y311">
        <v>3</v>
      </c>
      <c r="Z311" t="s">
        <v>2</v>
      </c>
      <c r="AA311" s="16">
        <v>43662</v>
      </c>
      <c r="AB311">
        <v>197.55312499999999</v>
      </c>
      <c r="AC311" s="4">
        <v>1846.2</v>
      </c>
      <c r="AE311">
        <v>-11.7209855081577</v>
      </c>
      <c r="AH311">
        <v>1.9536361524639901E-4</v>
      </c>
    </row>
    <row r="312" spans="1:36" x14ac:dyDescent="0.2">
      <c r="A312" t="s">
        <v>7</v>
      </c>
      <c r="B312">
        <v>4</v>
      </c>
      <c r="C312" s="2">
        <v>43662</v>
      </c>
      <c r="D312" s="13">
        <v>197.56770833333334</v>
      </c>
      <c r="E312" s="13"/>
      <c r="F312" s="4">
        <v>1783.7</v>
      </c>
      <c r="H312" s="4">
        <v>2.1</v>
      </c>
      <c r="J312" s="4">
        <v>31.11</v>
      </c>
      <c r="L312">
        <v>37.799999999999997</v>
      </c>
      <c r="N312">
        <v>0.77</v>
      </c>
      <c r="P312">
        <v>12.2332230215811</v>
      </c>
      <c r="S312">
        <v>-1.6450652306623399E-4</v>
      </c>
      <c r="T312" s="6"/>
      <c r="U312" s="6"/>
      <c r="X312" t="s">
        <v>7</v>
      </c>
      <c r="Y312">
        <v>4</v>
      </c>
      <c r="Z312" t="s">
        <v>2</v>
      </c>
      <c r="AA312" s="16">
        <v>43662</v>
      </c>
      <c r="AB312">
        <v>197.56284722222222</v>
      </c>
      <c r="AC312" s="4">
        <v>1868.7</v>
      </c>
      <c r="AE312">
        <v>-9.4595381661697395</v>
      </c>
      <c r="AH312">
        <v>2.1943599638889601E-4</v>
      </c>
    </row>
    <row r="313" spans="1:36" x14ac:dyDescent="0.2">
      <c r="A313" t="s">
        <v>7</v>
      </c>
      <c r="B313">
        <v>5</v>
      </c>
      <c r="C313" s="2">
        <v>43662</v>
      </c>
      <c r="D313" s="13">
        <v>197.57743055555557</v>
      </c>
      <c r="E313" s="13"/>
      <c r="F313" s="4">
        <v>1746.2</v>
      </c>
      <c r="H313" s="4">
        <v>4.3</v>
      </c>
      <c r="J313" s="4">
        <v>31.11</v>
      </c>
      <c r="L313">
        <v>42.2</v>
      </c>
      <c r="N313">
        <v>0.76</v>
      </c>
      <c r="P313">
        <v>20.133032188884499</v>
      </c>
      <c r="S313">
        <v>-1.6040141326125799E-4</v>
      </c>
      <c r="T313" s="6"/>
      <c r="U313" s="6"/>
      <c r="X313" t="s">
        <v>7</v>
      </c>
      <c r="Y313">
        <v>5</v>
      </c>
      <c r="Z313" t="s">
        <v>2</v>
      </c>
      <c r="AA313" s="16">
        <v>43662</v>
      </c>
      <c r="AB313">
        <v>197.57256944444444</v>
      </c>
      <c r="AC313" s="4">
        <v>1738.7</v>
      </c>
      <c r="AE313">
        <v>-10.7153551424014</v>
      </c>
      <c r="AH313">
        <v>1.80197088762697E-4</v>
      </c>
    </row>
    <row r="314" spans="1:36" x14ac:dyDescent="0.2">
      <c r="A314" t="s">
        <v>7</v>
      </c>
      <c r="B314">
        <v>1</v>
      </c>
      <c r="C314" s="2">
        <v>43665</v>
      </c>
      <c r="D314" s="13">
        <v>200.46423611111112</v>
      </c>
      <c r="E314" s="13">
        <v>200.48368055555557</v>
      </c>
      <c r="F314" s="4">
        <v>1838.7</v>
      </c>
      <c r="G314" s="4">
        <v>1580.2</v>
      </c>
      <c r="H314" s="4">
        <v>5.9</v>
      </c>
      <c r="I314" s="4">
        <v>5.78</v>
      </c>
      <c r="J314" s="4">
        <v>31.11</v>
      </c>
      <c r="K314" s="4">
        <v>31.110000000000003</v>
      </c>
      <c r="L314">
        <v>40</v>
      </c>
      <c r="M314">
        <v>44.64</v>
      </c>
      <c r="N314">
        <v>0.85</v>
      </c>
      <c r="O314" s="4">
        <v>0.84799999999999986</v>
      </c>
      <c r="P314">
        <v>9.9921213613012103</v>
      </c>
      <c r="Q314">
        <v>12.307962157899246</v>
      </c>
      <c r="R314">
        <v>4.1641863661218581</v>
      </c>
      <c r="S314">
        <v>-1.36610221893209E-3</v>
      </c>
      <c r="T314" s="6">
        <v>-3.8942950630039496E-3</v>
      </c>
      <c r="U314" s="6">
        <v>1.2610127128860671E-2</v>
      </c>
      <c r="X314" t="s">
        <v>7</v>
      </c>
      <c r="Y314">
        <v>1</v>
      </c>
      <c r="Z314" t="s">
        <v>2</v>
      </c>
      <c r="AA314" s="16">
        <v>43665</v>
      </c>
      <c r="AB314">
        <v>200.45937499999999</v>
      </c>
      <c r="AC314" s="4">
        <v>1603.7</v>
      </c>
      <c r="AD314" s="4">
        <v>1798.2</v>
      </c>
      <c r="AE314">
        <v>-17.576370671350201</v>
      </c>
      <c r="AF314">
        <v>-16.223929714051241</v>
      </c>
      <c r="AG314">
        <v>1.9773638064824703</v>
      </c>
      <c r="AH314">
        <v>-5.6833864767054604E-4</v>
      </c>
      <c r="AI314">
        <v>-1.1465844773696785E-3</v>
      </c>
      <c r="AJ314">
        <v>2.004936977252232E-3</v>
      </c>
    </row>
    <row r="315" spans="1:36" x14ac:dyDescent="0.2">
      <c r="A315" t="s">
        <v>7</v>
      </c>
      <c r="B315">
        <v>2</v>
      </c>
      <c r="C315" s="2">
        <v>43665</v>
      </c>
      <c r="D315" s="13">
        <v>200.47395833333334</v>
      </c>
      <c r="E315" s="13"/>
      <c r="F315" s="4">
        <v>1711.2</v>
      </c>
      <c r="H315" s="4">
        <v>6.3</v>
      </c>
      <c r="J315" s="4">
        <v>31.11</v>
      </c>
      <c r="L315">
        <v>49.8</v>
      </c>
      <c r="N315">
        <v>0.85</v>
      </c>
      <c r="P315">
        <v>12.478568217074599</v>
      </c>
      <c r="S315">
        <v>-1.59125611165651E-4</v>
      </c>
      <c r="T315" s="6"/>
      <c r="U315" s="6"/>
      <c r="X315" t="s">
        <v>7</v>
      </c>
      <c r="Y315">
        <v>2</v>
      </c>
      <c r="Z315" t="s">
        <v>2</v>
      </c>
      <c r="AA315" s="16">
        <v>43665</v>
      </c>
      <c r="AB315">
        <v>200.46909722222222</v>
      </c>
      <c r="AC315" s="4">
        <v>1828.7</v>
      </c>
      <c r="AE315">
        <v>-15.264912277655</v>
      </c>
      <c r="AH315">
        <v>-2.81750183840887E-4</v>
      </c>
    </row>
    <row r="316" spans="1:36" x14ac:dyDescent="0.2">
      <c r="A316" t="s">
        <v>7</v>
      </c>
      <c r="B316">
        <v>3</v>
      </c>
      <c r="C316" s="2">
        <v>43665</v>
      </c>
      <c r="D316" s="13">
        <v>200.48368055555557</v>
      </c>
      <c r="E316" s="13"/>
      <c r="F316" s="4">
        <v>1578.7</v>
      </c>
      <c r="H316" s="4">
        <v>7.3</v>
      </c>
      <c r="J316" s="4">
        <v>31.11</v>
      </c>
      <c r="L316">
        <v>45.3</v>
      </c>
      <c r="N316">
        <v>0.85</v>
      </c>
      <c r="P316">
        <v>9.9483853438353194</v>
      </c>
      <c r="S316">
        <v>-2.32917621553064E-2</v>
      </c>
      <c r="X316" t="s">
        <v>7</v>
      </c>
      <c r="Y316">
        <v>3</v>
      </c>
      <c r="Z316" t="s">
        <v>2</v>
      </c>
      <c r="AA316" s="16">
        <v>43665</v>
      </c>
      <c r="AB316">
        <v>200.47881944444444</v>
      </c>
      <c r="AC316" s="4">
        <v>1711.2</v>
      </c>
      <c r="AE316">
        <v>-13.2987190780826</v>
      </c>
      <c r="AH316">
        <v>-1.6869356147838701E-4</v>
      </c>
    </row>
    <row r="317" spans="1:36" x14ac:dyDescent="0.2">
      <c r="A317" t="s">
        <v>7</v>
      </c>
      <c r="B317">
        <v>4</v>
      </c>
      <c r="C317" s="2">
        <v>43665</v>
      </c>
      <c r="D317" s="13">
        <v>200.49340277777779</v>
      </c>
      <c r="E317" s="13"/>
      <c r="F317" s="4">
        <v>856.2</v>
      </c>
      <c r="H317" s="4">
        <v>5.6</v>
      </c>
      <c r="J317" s="4">
        <v>31.11</v>
      </c>
      <c r="L317">
        <v>45.8</v>
      </c>
      <c r="N317">
        <v>0.86</v>
      </c>
      <c r="P317">
        <v>9.6483774488240996</v>
      </c>
      <c r="S317">
        <v>1.1425011071661601E-2</v>
      </c>
      <c r="T317" s="6"/>
      <c r="U317" s="6"/>
      <c r="X317" t="s">
        <v>7</v>
      </c>
      <c r="Y317">
        <v>4</v>
      </c>
      <c r="Z317" t="s">
        <v>2</v>
      </c>
      <c r="AA317" s="16">
        <v>43665</v>
      </c>
      <c r="AB317">
        <v>200.48854166666666</v>
      </c>
      <c r="AC317" s="4">
        <v>1978.7</v>
      </c>
      <c r="AE317">
        <v>-16.738414846137498</v>
      </c>
      <c r="AH317">
        <v>-1.6933009204221399E-7</v>
      </c>
    </row>
    <row r="318" spans="1:36" x14ac:dyDescent="0.2">
      <c r="A318" t="s">
        <v>7</v>
      </c>
      <c r="B318">
        <v>5</v>
      </c>
      <c r="C318" s="2">
        <v>43665</v>
      </c>
      <c r="D318" s="13">
        <v>200.50312500000001</v>
      </c>
      <c r="E318" s="13"/>
      <c r="F318" s="4">
        <v>1916.2</v>
      </c>
      <c r="H318" s="4">
        <v>3.8</v>
      </c>
      <c r="J318" s="4">
        <v>31.11</v>
      </c>
      <c r="L318">
        <v>42.3</v>
      </c>
      <c r="N318">
        <v>0.83</v>
      </c>
      <c r="P318">
        <v>19.472358418460999</v>
      </c>
      <c r="S318">
        <v>-6.0794964012772096E-3</v>
      </c>
      <c r="T318" s="6"/>
      <c r="U318" s="6"/>
      <c r="X318" t="s">
        <v>7</v>
      </c>
      <c r="Y318">
        <v>5</v>
      </c>
      <c r="Z318" t="s">
        <v>2</v>
      </c>
      <c r="AA318" s="16">
        <v>43665</v>
      </c>
      <c r="AB318">
        <v>200.49826388888889</v>
      </c>
      <c r="AC318" s="4">
        <v>1868.7</v>
      </c>
      <c r="AE318">
        <v>-18.241231697030901</v>
      </c>
      <c r="AH318">
        <v>-4.7139706637665301E-3</v>
      </c>
    </row>
    <row r="319" spans="1:36" x14ac:dyDescent="0.2">
      <c r="A319" t="s">
        <v>7</v>
      </c>
      <c r="B319">
        <v>1</v>
      </c>
      <c r="C319" s="2">
        <v>43665</v>
      </c>
      <c r="D319" s="13">
        <v>200.56354166666665</v>
      </c>
      <c r="E319" s="13">
        <v>200.5829861111111</v>
      </c>
      <c r="F319" s="4">
        <v>1781.2</v>
      </c>
      <c r="G319" s="4">
        <v>1684.7</v>
      </c>
      <c r="H319" s="4">
        <v>5.9</v>
      </c>
      <c r="I319" s="4">
        <v>5.78</v>
      </c>
      <c r="J319" s="4">
        <v>31.11</v>
      </c>
      <c r="K319" s="4">
        <v>31.110000000000003</v>
      </c>
      <c r="L319">
        <v>40</v>
      </c>
      <c r="M319">
        <v>44.64</v>
      </c>
      <c r="N319">
        <v>0.85</v>
      </c>
      <c r="O319" s="4">
        <v>0.84799999999999986</v>
      </c>
      <c r="P319">
        <v>11.1521759586788</v>
      </c>
      <c r="Q319">
        <v>12.789020248062714</v>
      </c>
      <c r="R319">
        <v>5.5678865797625701</v>
      </c>
      <c r="S319">
        <v>4.34455342814495E-7</v>
      </c>
      <c r="T319" s="6">
        <v>2.4545169773947296E-4</v>
      </c>
      <c r="U319" s="6">
        <v>1.9446533681229568E-3</v>
      </c>
      <c r="X319" t="s">
        <v>7</v>
      </c>
      <c r="Y319">
        <v>1</v>
      </c>
      <c r="Z319" t="s">
        <v>2</v>
      </c>
      <c r="AA319" s="16">
        <v>43665</v>
      </c>
      <c r="AB319">
        <v>200.55868055555555</v>
      </c>
      <c r="AC319" s="4">
        <v>1733.7</v>
      </c>
      <c r="AD319" s="4">
        <v>1798.7</v>
      </c>
      <c r="AE319">
        <v>-13.0419758535502</v>
      </c>
      <c r="AF319">
        <v>-13.801289965007701</v>
      </c>
      <c r="AG319">
        <v>2.4635552447316966</v>
      </c>
      <c r="AH319">
        <v>-5.0289596963903202E-7</v>
      </c>
      <c r="AI319">
        <v>2.6563232455125839E-2</v>
      </c>
      <c r="AJ319">
        <v>5.772426128745068E-2</v>
      </c>
    </row>
    <row r="320" spans="1:36" x14ac:dyDescent="0.2">
      <c r="A320" t="s">
        <v>7</v>
      </c>
      <c r="B320">
        <v>2</v>
      </c>
      <c r="C320" s="2">
        <v>43665</v>
      </c>
      <c r="D320" s="13">
        <v>200.5732638888889</v>
      </c>
      <c r="E320" s="13"/>
      <c r="F320" s="4">
        <v>1736.2</v>
      </c>
      <c r="H320" s="4">
        <v>6.3</v>
      </c>
      <c r="J320" s="4">
        <v>31.11</v>
      </c>
      <c r="L320">
        <v>49.8</v>
      </c>
      <c r="N320">
        <v>0.85</v>
      </c>
      <c r="P320">
        <v>13.329129931555499</v>
      </c>
      <c r="S320">
        <v>-1.5397317127181199E-3</v>
      </c>
      <c r="T320" s="6"/>
      <c r="U320" s="6"/>
      <c r="X320" t="s">
        <v>7</v>
      </c>
      <c r="Y320">
        <v>2</v>
      </c>
      <c r="Z320" t="s">
        <v>2</v>
      </c>
      <c r="AA320" s="16">
        <v>43665</v>
      </c>
      <c r="AB320">
        <v>200.56840277777778</v>
      </c>
      <c r="AC320" s="4">
        <v>1836.2</v>
      </c>
      <c r="AE320">
        <v>-14.032867083601801</v>
      </c>
      <c r="AH320">
        <v>0.12981399331325999</v>
      </c>
    </row>
    <row r="321" spans="1:36" x14ac:dyDescent="0.2">
      <c r="A321" t="s">
        <v>7</v>
      </c>
      <c r="B321">
        <v>3</v>
      </c>
      <c r="C321" s="2">
        <v>43665</v>
      </c>
      <c r="D321" s="13">
        <v>200.5829861111111</v>
      </c>
      <c r="E321" s="13"/>
      <c r="F321" s="4">
        <v>1843.7</v>
      </c>
      <c r="H321" s="4">
        <v>7.3</v>
      </c>
      <c r="J321" s="4">
        <v>31.11</v>
      </c>
      <c r="L321">
        <v>45.3</v>
      </c>
      <c r="N321">
        <v>0.85</v>
      </c>
      <c r="P321">
        <v>6.2838610137357698</v>
      </c>
      <c r="S321">
        <v>1.8204312142255201E-3</v>
      </c>
      <c r="X321" t="s">
        <v>7</v>
      </c>
      <c r="Y321">
        <v>3</v>
      </c>
      <c r="Z321" t="s">
        <v>2</v>
      </c>
      <c r="AA321" s="16">
        <v>43665</v>
      </c>
      <c r="AB321">
        <v>200.578125</v>
      </c>
      <c r="AC321" s="4">
        <v>1836.2</v>
      </c>
      <c r="AE321">
        <v>-10.3512666950495</v>
      </c>
      <c r="AH321">
        <v>8.4863770389460305E-4</v>
      </c>
    </row>
    <row r="322" spans="1:36" x14ac:dyDescent="0.2">
      <c r="A322" t="s">
        <v>7</v>
      </c>
      <c r="B322">
        <v>4</v>
      </c>
      <c r="C322" s="2">
        <v>43665</v>
      </c>
      <c r="D322" s="13">
        <v>200.59270833333335</v>
      </c>
      <c r="E322" s="13"/>
      <c r="F322" s="4">
        <v>1656.2</v>
      </c>
      <c r="H322" s="4">
        <v>5.6</v>
      </c>
      <c r="J322" s="4">
        <v>31.11</v>
      </c>
      <c r="L322">
        <v>45.8</v>
      </c>
      <c r="N322">
        <v>0.86</v>
      </c>
      <c r="P322">
        <v>11.598826290597399</v>
      </c>
      <c r="S322">
        <v>-1.6828157468260301E-3</v>
      </c>
      <c r="T322" s="6"/>
      <c r="U322" s="6"/>
      <c r="X322" t="s">
        <v>7</v>
      </c>
      <c r="Y322">
        <v>4</v>
      </c>
      <c r="Z322" t="s">
        <v>2</v>
      </c>
      <c r="AA322" s="16">
        <v>43665</v>
      </c>
      <c r="AB322">
        <v>200.58784722222222</v>
      </c>
      <c r="AC322" s="4">
        <v>1911.2</v>
      </c>
      <c r="AE322">
        <v>-14.405922471141301</v>
      </c>
      <c r="AH322">
        <v>1.6187245941077399E-4</v>
      </c>
    </row>
    <row r="323" spans="1:36" x14ac:dyDescent="0.2">
      <c r="A323" t="s">
        <v>7</v>
      </c>
      <c r="B323">
        <v>5</v>
      </c>
      <c r="C323" s="2">
        <v>43665</v>
      </c>
      <c r="D323" s="13">
        <v>200.60243055555554</v>
      </c>
      <c r="E323" s="13"/>
      <c r="F323" s="4">
        <v>1406.2</v>
      </c>
      <c r="H323" s="4">
        <v>3.8</v>
      </c>
      <c r="J323" s="4">
        <v>31.11</v>
      </c>
      <c r="L323">
        <v>42.3</v>
      </c>
      <c r="N323">
        <v>0.83</v>
      </c>
      <c r="P323">
        <v>21.581108045746099</v>
      </c>
      <c r="S323">
        <v>2.6289402786731802E-3</v>
      </c>
      <c r="T323" s="6"/>
      <c r="U323" s="6"/>
      <c r="X323" t="s">
        <v>7</v>
      </c>
      <c r="Y323">
        <v>5</v>
      </c>
      <c r="Z323" t="s">
        <v>2</v>
      </c>
      <c r="AA323" s="16">
        <v>43665</v>
      </c>
      <c r="AB323">
        <v>200.59756944444445</v>
      </c>
      <c r="AC323" s="4">
        <v>1676.2</v>
      </c>
      <c r="AE323">
        <v>-17.174417721695701</v>
      </c>
      <c r="AH323">
        <v>1.9921616950334901E-3</v>
      </c>
    </row>
    <row r="324" spans="1:36" x14ac:dyDescent="0.2">
      <c r="A324" t="s">
        <v>7</v>
      </c>
      <c r="B324">
        <v>1</v>
      </c>
      <c r="C324" s="2">
        <v>43675</v>
      </c>
      <c r="D324" s="13">
        <v>210.47187500000001</v>
      </c>
      <c r="E324" s="13">
        <v>210.49131944444443</v>
      </c>
      <c r="F324" s="4">
        <v>1638.7</v>
      </c>
      <c r="G324" s="4">
        <v>1654.7</v>
      </c>
      <c r="H324" s="4">
        <v>10.9</v>
      </c>
      <c r="I324" s="4">
        <v>10.419999999999998</v>
      </c>
      <c r="J324" s="4">
        <v>27.78</v>
      </c>
      <c r="K324" s="4">
        <v>27.78</v>
      </c>
      <c r="L324">
        <v>39.6</v>
      </c>
      <c r="M324">
        <v>37.319999999999993</v>
      </c>
      <c r="N324">
        <v>0.86</v>
      </c>
      <c r="O324" s="4">
        <v>0.84799999999999986</v>
      </c>
      <c r="P324">
        <v>10.7673162245728</v>
      </c>
      <c r="Q324">
        <v>17.707960266994917</v>
      </c>
      <c r="R324">
        <v>11.293792037993255</v>
      </c>
      <c r="S324">
        <v>-2.4384957607294399E-4</v>
      </c>
      <c r="T324" s="6">
        <v>1.0045766083336044E-2</v>
      </c>
      <c r="U324" s="6">
        <v>2.5361114352293643E-2</v>
      </c>
      <c r="X324" t="s">
        <v>7</v>
      </c>
      <c r="Y324">
        <v>1</v>
      </c>
      <c r="Z324" t="s">
        <v>2</v>
      </c>
      <c r="AA324" s="16">
        <v>43675</v>
      </c>
      <c r="AB324">
        <v>210.46701388888889</v>
      </c>
      <c r="AC324" s="4">
        <v>1623.7</v>
      </c>
      <c r="AD324" s="4">
        <v>1651.7</v>
      </c>
      <c r="AE324">
        <v>-14.7705205732256</v>
      </c>
      <c r="AF324">
        <v>-12.459271027561645</v>
      </c>
      <c r="AG324">
        <v>3.0471794558664831</v>
      </c>
      <c r="AH324">
        <v>-1.12468649890583E-3</v>
      </c>
      <c r="AI324">
        <v>-2.4719166079907297E-4</v>
      </c>
      <c r="AJ324">
        <v>5.0588012180831355E-4</v>
      </c>
    </row>
    <row r="325" spans="1:36" x14ac:dyDescent="0.2">
      <c r="A325" t="s">
        <v>7</v>
      </c>
      <c r="B325">
        <v>2</v>
      </c>
      <c r="C325" s="2">
        <v>43675</v>
      </c>
      <c r="D325" s="13">
        <v>210.48159722222221</v>
      </c>
      <c r="E325" s="13"/>
      <c r="F325" s="4">
        <v>1658.7</v>
      </c>
      <c r="H325" s="4">
        <v>12.2</v>
      </c>
      <c r="J325" s="4">
        <v>27.78</v>
      </c>
      <c r="L325">
        <v>37.5</v>
      </c>
      <c r="N325">
        <v>0.87</v>
      </c>
      <c r="P325">
        <v>26.53057146295</v>
      </c>
      <c r="S325">
        <v>5.5369175046497902E-2</v>
      </c>
      <c r="T325" s="6"/>
      <c r="U325" s="6"/>
      <c r="X325" t="s">
        <v>7</v>
      </c>
      <c r="Y325">
        <v>2</v>
      </c>
      <c r="Z325" t="s">
        <v>2</v>
      </c>
      <c r="AA325" s="16">
        <v>43675</v>
      </c>
      <c r="AB325">
        <v>210.47673611111111</v>
      </c>
      <c r="AC325" s="4">
        <v>1658.7</v>
      </c>
      <c r="AE325">
        <v>-8.2822210635212308</v>
      </c>
      <c r="AH325">
        <v>-1.8393549594395201E-4</v>
      </c>
    </row>
    <row r="326" spans="1:36" x14ac:dyDescent="0.2">
      <c r="A326" t="s">
        <v>7</v>
      </c>
      <c r="B326">
        <v>3</v>
      </c>
      <c r="C326" s="2">
        <v>43675</v>
      </c>
      <c r="D326" s="13">
        <v>210.49131944444446</v>
      </c>
      <c r="E326" s="13"/>
      <c r="F326" s="4">
        <v>1658.7</v>
      </c>
      <c r="H326" s="4">
        <v>11.7</v>
      </c>
      <c r="J326" s="4">
        <v>27.78</v>
      </c>
      <c r="L326">
        <v>39.6</v>
      </c>
      <c r="N326">
        <v>0.82</v>
      </c>
      <c r="P326">
        <v>8.0948656485420898</v>
      </c>
      <c r="S326">
        <v>-9.8248848665451104E-5</v>
      </c>
      <c r="X326" t="s">
        <v>7</v>
      </c>
      <c r="Y326">
        <v>3</v>
      </c>
      <c r="Z326" t="s">
        <v>2</v>
      </c>
      <c r="AA326" s="16">
        <v>43675</v>
      </c>
      <c r="AB326">
        <v>210.48645833333333</v>
      </c>
      <c r="AC326" s="4">
        <v>1658.7</v>
      </c>
      <c r="AE326">
        <v>-11.618875737586601</v>
      </c>
      <c r="AH326">
        <v>8.2463616174805203E-5</v>
      </c>
    </row>
    <row r="327" spans="1:36" x14ac:dyDescent="0.2">
      <c r="A327" t="s">
        <v>7</v>
      </c>
      <c r="B327">
        <v>4</v>
      </c>
      <c r="C327" s="2">
        <v>43675</v>
      </c>
      <c r="D327" s="13">
        <v>210.50104166666665</v>
      </c>
      <c r="E327" s="13"/>
      <c r="F327" s="4">
        <v>1658.7</v>
      </c>
      <c r="H327" s="4">
        <v>6.1</v>
      </c>
      <c r="J327" s="4">
        <v>27.78</v>
      </c>
      <c r="L327">
        <v>38.200000000000003</v>
      </c>
      <c r="N327">
        <v>0.8</v>
      </c>
      <c r="P327">
        <v>10.1303777479117</v>
      </c>
      <c r="S327">
        <v>-2.45070634575951E-3</v>
      </c>
      <c r="T327" s="6"/>
      <c r="U327" s="6"/>
      <c r="X327" t="s">
        <v>7</v>
      </c>
      <c r="Y327">
        <v>4</v>
      </c>
      <c r="Z327" t="s">
        <v>2</v>
      </c>
      <c r="AA327" s="16">
        <v>43675</v>
      </c>
      <c r="AB327">
        <v>210.49618055555555</v>
      </c>
      <c r="AC327" s="4">
        <v>1658.7</v>
      </c>
      <c r="AE327">
        <v>-16.046600050532899</v>
      </c>
      <c r="AH327">
        <v>-1.13475101748816E-4</v>
      </c>
    </row>
    <row r="328" spans="1:36" x14ac:dyDescent="0.2">
      <c r="A328" t="s">
        <v>7</v>
      </c>
      <c r="B328">
        <v>5</v>
      </c>
      <c r="C328" s="2">
        <v>43675</v>
      </c>
      <c r="D328" s="13">
        <v>210.5107638888889</v>
      </c>
      <c r="E328" s="13"/>
      <c r="F328" s="4">
        <v>1658.7</v>
      </c>
      <c r="H328" s="4">
        <v>11.2</v>
      </c>
      <c r="J328" s="4">
        <v>27.78</v>
      </c>
      <c r="L328">
        <v>31.7</v>
      </c>
      <c r="N328">
        <v>0.89</v>
      </c>
      <c r="P328">
        <v>33.016670250997997</v>
      </c>
      <c r="S328">
        <v>-2.3475398593197799E-3</v>
      </c>
      <c r="T328" s="6"/>
      <c r="U328" s="6"/>
      <c r="X328" t="s">
        <v>7</v>
      </c>
      <c r="Y328">
        <v>5</v>
      </c>
      <c r="Z328" t="s">
        <v>2</v>
      </c>
      <c r="AA328" s="16">
        <v>43675</v>
      </c>
      <c r="AB328">
        <v>210.50590277777778</v>
      </c>
      <c r="AC328" s="4">
        <v>1658.7</v>
      </c>
      <c r="AE328">
        <v>-11.578137712941899</v>
      </c>
      <c r="AH328">
        <v>1.0367517642842801E-4</v>
      </c>
    </row>
    <row r="329" spans="1:36" x14ac:dyDescent="0.2">
      <c r="A329" t="s">
        <v>7</v>
      </c>
      <c r="B329">
        <v>1</v>
      </c>
      <c r="C329" s="2">
        <v>43675</v>
      </c>
      <c r="D329" s="13">
        <v>210.5767361111111</v>
      </c>
      <c r="E329" s="13">
        <v>210.59618055555552</v>
      </c>
      <c r="F329" s="4">
        <v>1658.7</v>
      </c>
      <c r="G329" s="4">
        <v>1658.7</v>
      </c>
      <c r="H329" s="4">
        <v>9.1</v>
      </c>
      <c r="I329" s="4">
        <v>8.5</v>
      </c>
      <c r="J329" s="21">
        <v>31.11</v>
      </c>
      <c r="K329" s="4">
        <v>31.446000000000005</v>
      </c>
      <c r="L329">
        <v>41.1</v>
      </c>
      <c r="M329">
        <v>40.5</v>
      </c>
      <c r="N329">
        <v>0.87</v>
      </c>
      <c r="O329" s="4">
        <v>0.83799999999999986</v>
      </c>
      <c r="P329">
        <v>14.0465242009117</v>
      </c>
      <c r="Q329">
        <v>14.338771951588956</v>
      </c>
      <c r="R329">
        <v>4.5219851621607026</v>
      </c>
      <c r="S329">
        <v>-2.6492854119728999E-4</v>
      </c>
      <c r="T329" s="6">
        <v>-4.6862938103778003E-4</v>
      </c>
      <c r="U329" s="6">
        <v>1.8979635028304291E-3</v>
      </c>
      <c r="X329" t="s">
        <v>7</v>
      </c>
      <c r="Y329">
        <v>1</v>
      </c>
      <c r="Z329" t="s">
        <v>2</v>
      </c>
      <c r="AA329" s="16">
        <v>43675</v>
      </c>
      <c r="AB329">
        <v>210.57187500000001</v>
      </c>
      <c r="AC329" s="4">
        <v>1658.7</v>
      </c>
      <c r="AD329" s="4">
        <v>1658.7</v>
      </c>
      <c r="AE329">
        <v>-9.5010750451831107</v>
      </c>
      <c r="AF329">
        <v>-10.576306102207827</v>
      </c>
      <c r="AG329">
        <v>2.3500472526019753</v>
      </c>
      <c r="AH329">
        <v>-1.8761451460886299E-4</v>
      </c>
      <c r="AI329">
        <v>1.7904515302109715E-2</v>
      </c>
      <c r="AJ329">
        <v>3.5690738269239124E-2</v>
      </c>
    </row>
    <row r="330" spans="1:36" x14ac:dyDescent="0.2">
      <c r="A330" t="s">
        <v>7</v>
      </c>
      <c r="B330">
        <v>2</v>
      </c>
      <c r="C330" s="2">
        <v>43675</v>
      </c>
      <c r="D330" s="13">
        <v>210.58645833333333</v>
      </c>
      <c r="E330" s="13"/>
      <c r="F330" s="4">
        <v>1658.7</v>
      </c>
      <c r="H330" s="4">
        <v>12.1</v>
      </c>
      <c r="J330" s="21">
        <v>31.11</v>
      </c>
      <c r="L330">
        <v>37.299999999999997</v>
      </c>
      <c r="N330">
        <v>0.88</v>
      </c>
      <c r="P330">
        <v>16.715688596432098</v>
      </c>
      <c r="S330">
        <v>3.8583020458697602E-6</v>
      </c>
      <c r="T330" s="6"/>
      <c r="U330" s="6"/>
      <c r="X330" t="s">
        <v>7</v>
      </c>
      <c r="Y330">
        <v>2</v>
      </c>
      <c r="Z330" t="s">
        <v>2</v>
      </c>
      <c r="AA330" s="16">
        <v>43675</v>
      </c>
      <c r="AB330">
        <v>210.58159722222223</v>
      </c>
      <c r="AC330" s="4">
        <v>1658.7</v>
      </c>
      <c r="AE330">
        <v>-14.1550144717711</v>
      </c>
      <c r="AH330">
        <v>-7.1638583293949199E-7</v>
      </c>
    </row>
    <row r="331" spans="1:36" x14ac:dyDescent="0.2">
      <c r="A331" t="s">
        <v>7</v>
      </c>
      <c r="B331">
        <v>3</v>
      </c>
      <c r="C331" s="2">
        <v>43675</v>
      </c>
      <c r="D331" s="13">
        <v>210.59618055555555</v>
      </c>
      <c r="E331" s="13"/>
      <c r="F331" s="4">
        <v>1658.7</v>
      </c>
      <c r="H331" s="4">
        <v>7.9</v>
      </c>
      <c r="J331" s="21">
        <v>31.67</v>
      </c>
      <c r="L331">
        <v>40.700000000000003</v>
      </c>
      <c r="N331">
        <v>0.83</v>
      </c>
      <c r="P331">
        <v>8.9708158077000792</v>
      </c>
      <c r="S331">
        <v>1.4641178614524201E-3</v>
      </c>
      <c r="X331" t="s">
        <v>7</v>
      </c>
      <c r="Y331">
        <v>3</v>
      </c>
      <c r="Z331" t="s">
        <v>2</v>
      </c>
      <c r="AA331" s="16">
        <v>43675</v>
      </c>
      <c r="AB331">
        <v>210.59131944444445</v>
      </c>
      <c r="AC331" s="4">
        <v>1658.7</v>
      </c>
      <c r="AE331">
        <v>-7.97739354893117</v>
      </c>
      <c r="AH331">
        <v>7.1439507721926698E-2</v>
      </c>
    </row>
    <row r="332" spans="1:36" x14ac:dyDescent="0.2">
      <c r="A332" t="s">
        <v>7</v>
      </c>
      <c r="B332">
        <v>4</v>
      </c>
      <c r="C332" s="2">
        <v>43675</v>
      </c>
      <c r="D332" s="13">
        <v>210.60590277777777</v>
      </c>
      <c r="E332" s="13"/>
      <c r="F332" s="4">
        <v>1658.7</v>
      </c>
      <c r="H332" s="4">
        <v>4.2</v>
      </c>
      <c r="J332" s="21">
        <v>31.67</v>
      </c>
      <c r="L332">
        <v>40.200000000000003</v>
      </c>
      <c r="N332">
        <v>0.84</v>
      </c>
      <c r="P332">
        <v>11.4058490943624</v>
      </c>
      <c r="S332">
        <v>-3.07756514645212E-3</v>
      </c>
      <c r="T332" s="6"/>
      <c r="U332" s="6"/>
      <c r="X332" t="s">
        <v>7</v>
      </c>
      <c r="Y332">
        <v>4</v>
      </c>
      <c r="Z332" t="s">
        <v>2</v>
      </c>
      <c r="AA332" s="16">
        <v>43675</v>
      </c>
      <c r="AB332">
        <v>210.60104166666667</v>
      </c>
      <c r="AC332" s="4">
        <v>1658.7</v>
      </c>
      <c r="AE332">
        <v>-9.7967654390555499</v>
      </c>
      <c r="AH332">
        <v>3.66884386953972E-4</v>
      </c>
    </row>
    <row r="333" spans="1:36" x14ac:dyDescent="0.2">
      <c r="A333" t="s">
        <v>7</v>
      </c>
      <c r="B333">
        <v>5</v>
      </c>
      <c r="C333" s="2">
        <v>43675</v>
      </c>
      <c r="D333" s="13">
        <v>210.61562499999999</v>
      </c>
      <c r="E333" s="13"/>
      <c r="F333" s="4">
        <v>1658.7</v>
      </c>
      <c r="H333" s="4">
        <v>9.1999999999999993</v>
      </c>
      <c r="J333" s="21">
        <v>31.67</v>
      </c>
      <c r="L333">
        <v>43.2</v>
      </c>
      <c r="N333">
        <v>0.77</v>
      </c>
      <c r="P333">
        <v>20.554982058538499</v>
      </c>
      <c r="T333" s="6"/>
      <c r="U333" s="6"/>
      <c r="X333" t="s">
        <v>7</v>
      </c>
      <c r="Y333">
        <v>5</v>
      </c>
      <c r="Z333" t="s">
        <v>2</v>
      </c>
      <c r="AA333" s="16">
        <v>43675</v>
      </c>
      <c r="AB333">
        <v>210.6107638888889</v>
      </c>
      <c r="AC333" s="4">
        <v>1658.7</v>
      </c>
      <c r="AE333">
        <v>-11.4512820060982</v>
      </c>
    </row>
    <row r="334" spans="1:36" x14ac:dyDescent="0.2">
      <c r="A334" t="s">
        <v>7</v>
      </c>
      <c r="B334">
        <v>1</v>
      </c>
      <c r="C334" s="2">
        <v>43683</v>
      </c>
      <c r="D334" s="13">
        <v>218.46585648148147</v>
      </c>
      <c r="E334" s="13">
        <v>218.49348148148147</v>
      </c>
      <c r="F334" s="4">
        <v>1436.2</v>
      </c>
      <c r="G334" s="4">
        <v>1156.7</v>
      </c>
      <c r="H334" s="4">
        <v>14.1</v>
      </c>
      <c r="I334" s="4">
        <v>13.720000000000002</v>
      </c>
      <c r="J334" s="21">
        <v>24.4</v>
      </c>
      <c r="K334" s="4">
        <v>25.104000000000003</v>
      </c>
      <c r="L334">
        <v>39.9</v>
      </c>
      <c r="M334">
        <v>39.04</v>
      </c>
      <c r="N334">
        <v>0.88</v>
      </c>
      <c r="O334" s="4">
        <v>0.83600000000000008</v>
      </c>
      <c r="P334">
        <v>8.5035705114722493</v>
      </c>
      <c r="Q334">
        <v>12.987212789860468</v>
      </c>
      <c r="R334">
        <v>7.4647205180457554</v>
      </c>
      <c r="S334">
        <v>-3.4711356026846901E-4</v>
      </c>
      <c r="T334" s="6">
        <v>-1.3274132797035164E-4</v>
      </c>
      <c r="U334" s="6">
        <v>1.472544009386118E-4</v>
      </c>
      <c r="X334" t="s">
        <v>7</v>
      </c>
      <c r="Y334">
        <v>1</v>
      </c>
      <c r="Z334" t="s">
        <v>2</v>
      </c>
      <c r="AA334" s="16">
        <v>43683</v>
      </c>
      <c r="AB334">
        <v>218.45868055555556</v>
      </c>
      <c r="AC334" s="4">
        <v>1698.7</v>
      </c>
      <c r="AD334" s="4">
        <v>1265.2</v>
      </c>
      <c r="AE334">
        <v>-7.9624294431703797</v>
      </c>
      <c r="AF334">
        <v>-7.2187484204680512</v>
      </c>
      <c r="AG334">
        <v>5.1282407432068462</v>
      </c>
      <c r="AH334">
        <v>-1.58972264038359E-4</v>
      </c>
      <c r="AI334">
        <v>-1.2648819851765664E-4</v>
      </c>
      <c r="AJ334">
        <v>7.9197946594919142E-5</v>
      </c>
    </row>
    <row r="335" spans="1:36" x14ac:dyDescent="0.2">
      <c r="A335" t="s">
        <v>7</v>
      </c>
      <c r="B335">
        <v>2</v>
      </c>
      <c r="C335" s="2">
        <v>43683</v>
      </c>
      <c r="D335" s="13">
        <v>218.47881944444444</v>
      </c>
      <c r="E335" s="13"/>
      <c r="F335" s="4">
        <v>1628.7</v>
      </c>
      <c r="H335" s="4">
        <v>14.8</v>
      </c>
      <c r="J335" s="21">
        <v>25</v>
      </c>
      <c r="L335">
        <v>35.200000000000003</v>
      </c>
      <c r="N335">
        <v>0.86</v>
      </c>
      <c r="P335">
        <v>14.596303699394101</v>
      </c>
      <c r="S335">
        <v>-3.2228521499989001E-6</v>
      </c>
      <c r="T335" s="6"/>
      <c r="U335" s="6"/>
      <c r="X335" t="s">
        <v>7</v>
      </c>
      <c r="Y335">
        <v>2</v>
      </c>
      <c r="Z335" t="s">
        <v>2</v>
      </c>
      <c r="AA335" s="16">
        <v>43683</v>
      </c>
      <c r="AB335">
        <v>218.47256944444445</v>
      </c>
      <c r="AC335" s="4">
        <v>1706.2</v>
      </c>
      <c r="AE335">
        <v>-12.584792717305</v>
      </c>
      <c r="AH335">
        <v>-1.8973066891029899E-4</v>
      </c>
    </row>
    <row r="336" spans="1:36" x14ac:dyDescent="0.2">
      <c r="A336" t="s">
        <v>7</v>
      </c>
      <c r="B336">
        <v>3</v>
      </c>
      <c r="C336" s="2">
        <v>43683</v>
      </c>
      <c r="D336" s="13">
        <v>218.49224537037037</v>
      </c>
      <c r="E336" s="13"/>
      <c r="F336" s="4">
        <v>1216.2</v>
      </c>
      <c r="H336" s="4">
        <v>15.3</v>
      </c>
      <c r="J336" s="21">
        <v>25</v>
      </c>
      <c r="L336">
        <v>40.299999999999997</v>
      </c>
      <c r="N336">
        <v>0.86</v>
      </c>
      <c r="P336">
        <v>8.3383328061286797</v>
      </c>
      <c r="S336">
        <v>-1.7082600242142401E-6</v>
      </c>
      <c r="X336" t="s">
        <v>7</v>
      </c>
      <c r="Y336">
        <v>3</v>
      </c>
      <c r="Z336" t="s">
        <v>2</v>
      </c>
      <c r="AA336" s="16">
        <v>43683</v>
      </c>
      <c r="AB336">
        <v>218.48538773148147</v>
      </c>
      <c r="AC336" s="4">
        <v>886.2</v>
      </c>
      <c r="AE336">
        <v>-11.3648456624981</v>
      </c>
      <c r="AH336">
        <v>-4.7561163676746799E-5</v>
      </c>
    </row>
    <row r="337" spans="1:36" x14ac:dyDescent="0.2">
      <c r="A337" t="s">
        <v>7</v>
      </c>
      <c r="B337">
        <v>4</v>
      </c>
      <c r="C337" s="2">
        <v>43683</v>
      </c>
      <c r="D337" s="13">
        <v>218.50722222222223</v>
      </c>
      <c r="E337" s="13"/>
      <c r="F337" s="4">
        <v>888.7</v>
      </c>
      <c r="H337" s="4">
        <v>9.6999999999999993</v>
      </c>
      <c r="J337" s="21">
        <v>25.56</v>
      </c>
      <c r="L337">
        <v>42.5</v>
      </c>
      <c r="N337">
        <v>0.8</v>
      </c>
      <c r="P337">
        <v>8.0805118502786097</v>
      </c>
      <c r="S337">
        <v>-1.02123370070022E-4</v>
      </c>
      <c r="T337" s="6"/>
      <c r="U337" s="6"/>
      <c r="X337" t="s">
        <v>7</v>
      </c>
      <c r="Y337">
        <v>4</v>
      </c>
      <c r="Z337" t="s">
        <v>2</v>
      </c>
      <c r="AA337" s="16">
        <v>43683</v>
      </c>
      <c r="AB337">
        <v>218.50011574074074</v>
      </c>
      <c r="AC337" s="4">
        <v>1538.7</v>
      </c>
      <c r="AE337">
        <v>-0.34916422629858201</v>
      </c>
      <c r="AH337">
        <v>-3.5433000615976499E-5</v>
      </c>
    </row>
    <row r="338" spans="1:36" x14ac:dyDescent="0.2">
      <c r="A338" t="s">
        <v>7</v>
      </c>
      <c r="B338">
        <v>5</v>
      </c>
      <c r="C338" s="2">
        <v>43683</v>
      </c>
      <c r="D338" s="13">
        <v>218.52326388888889</v>
      </c>
      <c r="E338" s="13"/>
      <c r="F338" s="4">
        <v>613.70000000000005</v>
      </c>
      <c r="H338" s="4">
        <v>14.7</v>
      </c>
      <c r="J338" s="21">
        <v>25.56</v>
      </c>
      <c r="L338">
        <v>37.299999999999997</v>
      </c>
      <c r="N338">
        <v>0.78</v>
      </c>
      <c r="P338">
        <v>25.417345082028699</v>
      </c>
      <c r="S338">
        <v>-2.0953859733905401E-4</v>
      </c>
      <c r="T338" s="6"/>
      <c r="U338" s="6"/>
      <c r="X338" t="s">
        <v>7</v>
      </c>
      <c r="Y338">
        <v>5</v>
      </c>
      <c r="Z338" t="s">
        <v>2</v>
      </c>
      <c r="AA338" s="16">
        <v>43683</v>
      </c>
      <c r="AB338">
        <v>218.51354166666667</v>
      </c>
      <c r="AC338" s="4">
        <v>496.2</v>
      </c>
      <c r="AE338">
        <v>-3.8325100530682001</v>
      </c>
      <c r="AH338">
        <v>-2.0074389534690201E-4</v>
      </c>
    </row>
    <row r="339" spans="1:36" x14ac:dyDescent="0.2">
      <c r="A339" t="s">
        <v>7</v>
      </c>
      <c r="B339">
        <v>1</v>
      </c>
      <c r="C339" s="2">
        <v>43683</v>
      </c>
      <c r="D339" s="13">
        <v>218.66215277777778</v>
      </c>
      <c r="E339" s="13">
        <v>218.68943287037035</v>
      </c>
      <c r="F339" s="4">
        <v>1433.7</v>
      </c>
      <c r="G339" s="4">
        <v>826.2</v>
      </c>
      <c r="H339" s="4">
        <v>16.600000000000001</v>
      </c>
      <c r="I339" s="4">
        <v>14.059999999999999</v>
      </c>
      <c r="J339" s="21">
        <v>25</v>
      </c>
      <c r="K339" s="4">
        <v>25.448</v>
      </c>
      <c r="L339">
        <v>44.6</v>
      </c>
      <c r="M339">
        <v>42.14</v>
      </c>
      <c r="N339">
        <v>0.86</v>
      </c>
      <c r="O339" s="4">
        <v>0.84600000000000009</v>
      </c>
      <c r="P339">
        <v>11.8910133184076</v>
      </c>
      <c r="Q339">
        <v>17.02408716561072</v>
      </c>
      <c r="R339">
        <v>9.9285404595576772</v>
      </c>
      <c r="S339">
        <v>-8.1314859550625095E-5</v>
      </c>
      <c r="T339" s="6">
        <v>-2.0318198722127679E-4</v>
      </c>
      <c r="U339" s="6">
        <v>7.3263024298804389E-5</v>
      </c>
      <c r="X339" t="s">
        <v>7</v>
      </c>
      <c r="Y339">
        <v>1</v>
      </c>
      <c r="Z339" t="s">
        <v>2</v>
      </c>
      <c r="AA339" s="16">
        <v>43683</v>
      </c>
      <c r="AB339">
        <v>218.65520833333335</v>
      </c>
      <c r="AC339" s="4">
        <v>1468.7</v>
      </c>
      <c r="AD339" s="4">
        <v>950.7</v>
      </c>
      <c r="AE339">
        <v>-8.5461060472703192</v>
      </c>
      <c r="AF339">
        <v>-4.4605251803745558</v>
      </c>
      <c r="AG339">
        <v>4.6215503789368482</v>
      </c>
      <c r="AH339">
        <v>-2.6545781881895999E-4</v>
      </c>
      <c r="AI339">
        <v>-2.267832659805662E-4</v>
      </c>
      <c r="AJ339">
        <v>6.7423695175312072E-5</v>
      </c>
    </row>
    <row r="340" spans="1:36" x14ac:dyDescent="0.2">
      <c r="A340" t="s">
        <v>7</v>
      </c>
      <c r="B340">
        <v>2</v>
      </c>
      <c r="C340" s="2">
        <v>43683</v>
      </c>
      <c r="D340" s="13">
        <v>218.67633101851851</v>
      </c>
      <c r="E340" s="13"/>
      <c r="F340" s="4">
        <v>816.2</v>
      </c>
      <c r="H340" s="4">
        <v>9.8000000000000007</v>
      </c>
      <c r="J340" s="21">
        <v>25.56</v>
      </c>
      <c r="L340">
        <v>40.6</v>
      </c>
      <c r="N340">
        <v>0.87</v>
      </c>
      <c r="P340">
        <v>18.071015070866601</v>
      </c>
      <c r="S340">
        <v>-2.04064746828581E-4</v>
      </c>
      <c r="T340" s="6"/>
      <c r="U340" s="6"/>
      <c r="X340" t="s">
        <v>7</v>
      </c>
      <c r="Y340">
        <v>2</v>
      </c>
      <c r="Z340" t="s">
        <v>2</v>
      </c>
      <c r="AA340" s="16">
        <v>43683</v>
      </c>
      <c r="AB340">
        <v>218.66840277777777</v>
      </c>
      <c r="AC340" s="4">
        <v>1546.2</v>
      </c>
      <c r="AE340">
        <v>-9.7533818391066607</v>
      </c>
      <c r="AH340">
        <v>-1.12396403584549E-4</v>
      </c>
    </row>
    <row r="341" spans="1:36" x14ac:dyDescent="0.2">
      <c r="A341" t="s">
        <v>7</v>
      </c>
      <c r="B341">
        <v>3</v>
      </c>
      <c r="C341" s="2">
        <v>43683</v>
      </c>
      <c r="D341" s="13">
        <v>218.68993055555555</v>
      </c>
      <c r="E341" s="13"/>
      <c r="F341" s="4">
        <v>446.2</v>
      </c>
      <c r="H341" s="4">
        <v>16.3</v>
      </c>
      <c r="J341" s="21">
        <v>25.56</v>
      </c>
      <c r="L341">
        <v>41.1</v>
      </c>
      <c r="N341">
        <v>0.87</v>
      </c>
      <c r="P341">
        <v>10.2698586278237</v>
      </c>
      <c r="S341">
        <v>-2.4854840697900098E-4</v>
      </c>
      <c r="X341" t="s">
        <v>7</v>
      </c>
      <c r="Y341">
        <v>3</v>
      </c>
      <c r="Z341" t="s">
        <v>2</v>
      </c>
      <c r="AA341" s="16">
        <v>43683</v>
      </c>
      <c r="AB341">
        <v>218.68298611111112</v>
      </c>
      <c r="AC341" s="4">
        <v>471.2</v>
      </c>
      <c r="AE341">
        <v>-3.2274734271201999</v>
      </c>
      <c r="AH341">
        <v>-2.5594077186125099E-4</v>
      </c>
    </row>
    <row r="342" spans="1:36" x14ac:dyDescent="0.2">
      <c r="A342" t="s">
        <v>7</v>
      </c>
      <c r="B342">
        <v>4</v>
      </c>
      <c r="C342" s="2">
        <v>43683</v>
      </c>
      <c r="D342" s="13">
        <v>218.703125</v>
      </c>
      <c r="E342" s="13"/>
      <c r="F342" s="4">
        <v>791.2</v>
      </c>
      <c r="H342" s="4">
        <v>14.5</v>
      </c>
      <c r="J342" s="21">
        <v>25.56</v>
      </c>
      <c r="L342">
        <v>42</v>
      </c>
      <c r="N342">
        <v>0.76</v>
      </c>
      <c r="P342">
        <v>10.9882128026067</v>
      </c>
      <c r="S342">
        <v>-2.1183313436486499E-4</v>
      </c>
      <c r="T342" s="6"/>
      <c r="U342" s="6"/>
      <c r="X342" t="s">
        <v>7</v>
      </c>
      <c r="Y342">
        <v>4</v>
      </c>
      <c r="Z342" t="s">
        <v>2</v>
      </c>
      <c r="AA342" s="16">
        <v>43683</v>
      </c>
      <c r="AB342">
        <v>218.69687500000001</v>
      </c>
      <c r="AC342" s="4">
        <v>396.2</v>
      </c>
      <c r="AE342">
        <v>-2.1248610322603398</v>
      </c>
      <c r="AH342">
        <v>-2.2116509431341699E-4</v>
      </c>
    </row>
    <row r="343" spans="1:36" x14ac:dyDescent="0.2">
      <c r="A343" t="s">
        <v>7</v>
      </c>
      <c r="B343">
        <v>5</v>
      </c>
      <c r="C343" s="2">
        <v>43683</v>
      </c>
      <c r="D343" s="13">
        <v>218.71562499999999</v>
      </c>
      <c r="E343" s="13"/>
      <c r="F343" s="4">
        <v>643.70000000000005</v>
      </c>
      <c r="H343" s="4">
        <v>13.1</v>
      </c>
      <c r="J343" s="21">
        <v>25.56</v>
      </c>
      <c r="L343">
        <v>42.4</v>
      </c>
      <c r="N343">
        <v>0.87</v>
      </c>
      <c r="P343">
        <v>33.900336008349001</v>
      </c>
      <c r="S343">
        <v>-2.7014878838331198E-4</v>
      </c>
      <c r="T343" s="6"/>
      <c r="U343" s="6"/>
      <c r="X343" t="s">
        <v>7</v>
      </c>
      <c r="Y343">
        <v>5</v>
      </c>
      <c r="Z343" t="s">
        <v>2</v>
      </c>
      <c r="AA343" s="16">
        <v>43683</v>
      </c>
      <c r="AB343">
        <v>218.70937499999999</v>
      </c>
      <c r="AC343" s="4">
        <v>871.2</v>
      </c>
      <c r="AE343">
        <v>1.3491964438847399</v>
      </c>
      <c r="AH343">
        <v>-2.7895624132465402E-4</v>
      </c>
    </row>
    <row r="344" spans="1:36" x14ac:dyDescent="0.2">
      <c r="A344" t="s">
        <v>7</v>
      </c>
      <c r="B344">
        <v>1</v>
      </c>
      <c r="C344" s="2">
        <v>43690</v>
      </c>
      <c r="D344" s="13">
        <v>225.46238425925927</v>
      </c>
      <c r="E344" s="13">
        <v>225.48861574074076</v>
      </c>
      <c r="F344" s="4">
        <v>438.7</v>
      </c>
      <c r="G344" s="4">
        <v>557.20000000000005</v>
      </c>
      <c r="H344" s="4">
        <v>10.199999999999999</v>
      </c>
      <c r="I344" s="4">
        <v>7.5200000000000005</v>
      </c>
      <c r="J344" s="4">
        <v>23.33</v>
      </c>
      <c r="K344" s="4">
        <v>23.33</v>
      </c>
      <c r="L344">
        <v>41.8</v>
      </c>
      <c r="M344">
        <v>42</v>
      </c>
      <c r="O344" s="4" t="e">
        <v>#DIV/0!</v>
      </c>
      <c r="P344">
        <v>10.6654997231779</v>
      </c>
      <c r="Q344">
        <v>20.463591320773681</v>
      </c>
      <c r="R344">
        <v>9.6488831681494833</v>
      </c>
      <c r="S344">
        <v>-4.23200645574374E-4</v>
      </c>
      <c r="T344" s="6">
        <v>-4.2605512133083237E-4</v>
      </c>
      <c r="U344" s="6">
        <v>1.1365484147366084E-4</v>
      </c>
      <c r="X344" t="s">
        <v>7</v>
      </c>
      <c r="Y344">
        <v>1</v>
      </c>
      <c r="Z344" t="s">
        <v>2</v>
      </c>
      <c r="AA344" s="16">
        <v>43690</v>
      </c>
      <c r="AB344">
        <v>225.45520833333333</v>
      </c>
      <c r="AC344" s="4">
        <v>426.2</v>
      </c>
      <c r="AD344" s="4">
        <v>523.70000000000005</v>
      </c>
      <c r="AE344">
        <v>-1.30914248753994</v>
      </c>
      <c r="AF344">
        <v>-0.60373364916017425</v>
      </c>
      <c r="AG344">
        <v>5.7161446614245275</v>
      </c>
      <c r="AH344">
        <v>-4.9520707726229802E-4</v>
      </c>
      <c r="AI344">
        <v>-3.4081265664763824E-4</v>
      </c>
      <c r="AJ344">
        <v>1.4713217326220722E-4</v>
      </c>
    </row>
    <row r="345" spans="1:36" x14ac:dyDescent="0.2">
      <c r="A345" t="s">
        <v>7</v>
      </c>
      <c r="B345">
        <v>2</v>
      </c>
      <c r="C345" s="2">
        <v>43690</v>
      </c>
      <c r="D345" s="13">
        <v>225.47528935185184</v>
      </c>
      <c r="E345" s="13"/>
      <c r="F345" s="4">
        <v>411.2</v>
      </c>
      <c r="H345" s="4">
        <v>5.6</v>
      </c>
      <c r="J345" s="4">
        <v>23.33</v>
      </c>
      <c r="L345">
        <v>40.799999999999997</v>
      </c>
      <c r="P345">
        <v>18.055439317087799</v>
      </c>
      <c r="S345">
        <v>-5.3398931391173603E-4</v>
      </c>
      <c r="T345" s="6"/>
      <c r="U345" s="6"/>
      <c r="X345" t="s">
        <v>7</v>
      </c>
      <c r="Y345">
        <v>2</v>
      </c>
      <c r="Z345" t="s">
        <v>2</v>
      </c>
      <c r="AA345" s="16">
        <v>43690</v>
      </c>
      <c r="AB345">
        <v>225.46886574074074</v>
      </c>
      <c r="AC345" s="4">
        <v>431.2</v>
      </c>
      <c r="AE345">
        <v>1.84797835272086</v>
      </c>
      <c r="AH345">
        <v>-4.4950835284231899E-4</v>
      </c>
    </row>
    <row r="346" spans="1:36" x14ac:dyDescent="0.2">
      <c r="A346" t="s">
        <v>7</v>
      </c>
      <c r="B346">
        <v>3</v>
      </c>
      <c r="C346" s="2">
        <v>43690</v>
      </c>
      <c r="D346" s="13">
        <v>225.48758101851851</v>
      </c>
      <c r="E346" s="13"/>
      <c r="F346" s="4">
        <v>616.20000000000005</v>
      </c>
      <c r="H346" s="4">
        <v>4.4000000000000004</v>
      </c>
      <c r="J346" s="4">
        <v>23.33</v>
      </c>
      <c r="L346">
        <v>44.4</v>
      </c>
      <c r="P346">
        <v>31.6852614279546</v>
      </c>
      <c r="S346">
        <v>-5.4430671763743802E-4</v>
      </c>
      <c r="X346" t="s">
        <v>7</v>
      </c>
      <c r="Y346">
        <v>3</v>
      </c>
      <c r="Z346" t="s">
        <v>2</v>
      </c>
      <c r="AA346" s="16">
        <v>43690</v>
      </c>
      <c r="AB346">
        <v>225.48148148148147</v>
      </c>
      <c r="AC346" s="4">
        <v>441.2</v>
      </c>
      <c r="AE346">
        <v>7.85556713856597</v>
      </c>
      <c r="AH346">
        <v>-3.6740595543224998E-4</v>
      </c>
    </row>
    <row r="347" spans="1:36" x14ac:dyDescent="0.2">
      <c r="A347" t="s">
        <v>7</v>
      </c>
      <c r="B347">
        <v>4</v>
      </c>
      <c r="C347" s="2">
        <v>43690</v>
      </c>
      <c r="D347" s="13">
        <v>225.49994212962963</v>
      </c>
      <c r="E347" s="13"/>
      <c r="F347" s="4">
        <v>706.2</v>
      </c>
      <c r="H347" s="4">
        <v>9.5</v>
      </c>
      <c r="J347" s="4">
        <v>23.33</v>
      </c>
      <c r="L347">
        <v>41.1</v>
      </c>
      <c r="P347">
        <v>12.4649588577026</v>
      </c>
      <c r="S347">
        <v>-2.9104555485077099E-4</v>
      </c>
      <c r="T347" s="6"/>
      <c r="U347" s="6"/>
      <c r="X347" t="s">
        <v>7</v>
      </c>
      <c r="Y347">
        <v>4</v>
      </c>
      <c r="Z347" t="s">
        <v>2</v>
      </c>
      <c r="AA347" s="16">
        <v>43690</v>
      </c>
      <c r="AB347">
        <v>225.49415509259259</v>
      </c>
      <c r="AC347" s="4">
        <v>713.7</v>
      </c>
      <c r="AE347">
        <v>-5.1812737995770304</v>
      </c>
      <c r="AH347">
        <v>-2.60289180993348E-4</v>
      </c>
    </row>
    <row r="348" spans="1:36" x14ac:dyDescent="0.2">
      <c r="A348" t="s">
        <v>7</v>
      </c>
      <c r="B348">
        <v>5</v>
      </c>
      <c r="C348" s="2">
        <v>43690</v>
      </c>
      <c r="D348" s="13">
        <v>225.51788194444444</v>
      </c>
      <c r="E348" s="13"/>
      <c r="F348" s="4">
        <v>613.70000000000005</v>
      </c>
      <c r="H348" s="4">
        <v>7.9</v>
      </c>
      <c r="J348" s="4">
        <v>23.33</v>
      </c>
      <c r="L348">
        <v>41.9</v>
      </c>
      <c r="P348">
        <v>29.4467972779455</v>
      </c>
      <c r="S348">
        <v>-3.3773337467984298E-4</v>
      </c>
      <c r="T348" s="6"/>
      <c r="U348" s="6"/>
      <c r="X348" t="s">
        <v>7</v>
      </c>
      <c r="Y348">
        <v>5</v>
      </c>
      <c r="Z348" t="s">
        <v>2</v>
      </c>
      <c r="AA348" s="16">
        <v>43690</v>
      </c>
      <c r="AB348">
        <v>225.51145833333334</v>
      </c>
      <c r="AC348" s="4">
        <v>606.20000000000005</v>
      </c>
      <c r="AE348">
        <v>-6.2317974499707303</v>
      </c>
      <c r="AH348">
        <v>-1.3165271670797599E-4</v>
      </c>
    </row>
    <row r="349" spans="1:36" x14ac:dyDescent="0.2">
      <c r="A349" t="s">
        <v>7</v>
      </c>
      <c r="B349">
        <v>1</v>
      </c>
      <c r="C349" s="2">
        <v>43690</v>
      </c>
      <c r="D349" s="13">
        <v>225.56718749999999</v>
      </c>
      <c r="E349" s="13">
        <v>225.59120370370368</v>
      </c>
      <c r="F349" s="4">
        <v>866.2</v>
      </c>
      <c r="G349" s="4">
        <v>1536.6999999999998</v>
      </c>
      <c r="H349" s="4">
        <v>9.9</v>
      </c>
      <c r="I349" s="4">
        <v>7.5399999999999991</v>
      </c>
      <c r="J349" s="21">
        <v>23.33</v>
      </c>
      <c r="K349" s="4">
        <v>24.667999999999999</v>
      </c>
      <c r="L349">
        <v>42.9</v>
      </c>
      <c r="M349">
        <v>42.679999999999993</v>
      </c>
      <c r="O349" s="4" t="e">
        <v>#DIV/0!</v>
      </c>
      <c r="P349">
        <v>11.233474206311501</v>
      </c>
      <c r="Q349">
        <v>23.565753008548601</v>
      </c>
      <c r="R349">
        <v>12.675454173478093</v>
      </c>
      <c r="S349">
        <v>-3.50327191210552E-4</v>
      </c>
      <c r="T349" s="6">
        <v>-3.9057183192443281E-4</v>
      </c>
      <c r="U349" s="6">
        <v>4.830281260185468E-5</v>
      </c>
      <c r="X349" t="s">
        <v>7</v>
      </c>
      <c r="Y349">
        <v>1</v>
      </c>
      <c r="Z349" t="s">
        <v>2</v>
      </c>
      <c r="AA349" s="16">
        <v>43690</v>
      </c>
      <c r="AB349">
        <v>225.56145833333335</v>
      </c>
      <c r="AC349" s="4">
        <v>776.2</v>
      </c>
      <c r="AD349" s="4">
        <v>1151.2</v>
      </c>
      <c r="AE349">
        <v>-7.6960739499435196</v>
      </c>
      <c r="AF349">
        <v>-7.5014744971093323</v>
      </c>
      <c r="AG349">
        <v>4.0771515433157308</v>
      </c>
      <c r="AH349">
        <v>-2.5929359924297801E-4</v>
      </c>
      <c r="AI349">
        <v>-2.6918600149301657E-4</v>
      </c>
      <c r="AJ349">
        <v>2.9486756050507805E-5</v>
      </c>
    </row>
    <row r="350" spans="1:36" x14ac:dyDescent="0.2">
      <c r="A350" t="s">
        <v>7</v>
      </c>
      <c r="B350">
        <v>2</v>
      </c>
      <c r="C350" s="2">
        <v>43690</v>
      </c>
      <c r="D350" s="13">
        <v>225.5788773148148</v>
      </c>
      <c r="E350" s="13"/>
      <c r="F350" s="4">
        <v>2166.1999999999998</v>
      </c>
      <c r="H350" s="4">
        <v>4.9000000000000004</v>
      </c>
      <c r="J350" s="21">
        <v>23.33</v>
      </c>
      <c r="L350">
        <v>41.9</v>
      </c>
      <c r="P350">
        <v>17.131664661794598</v>
      </c>
      <c r="S350">
        <v>-4.19614775775932E-4</v>
      </c>
      <c r="T350" s="6"/>
      <c r="U350" s="6"/>
      <c r="X350" t="s">
        <v>7</v>
      </c>
      <c r="Y350">
        <v>2</v>
      </c>
      <c r="Z350" t="s">
        <v>2</v>
      </c>
      <c r="AA350" s="16">
        <v>43690</v>
      </c>
      <c r="AB350">
        <v>225.57285879629629</v>
      </c>
      <c r="AC350" s="4">
        <v>1123.7</v>
      </c>
      <c r="AE350">
        <v>-4.6458850714353197</v>
      </c>
      <c r="AH350">
        <v>-3.1941137962604303E-4</v>
      </c>
    </row>
    <row r="351" spans="1:36" x14ac:dyDescent="0.2">
      <c r="A351" t="s">
        <v>7</v>
      </c>
      <c r="B351">
        <v>3</v>
      </c>
      <c r="C351" s="2">
        <v>43690</v>
      </c>
      <c r="D351" s="13">
        <v>225.59074074074073</v>
      </c>
      <c r="E351" s="13"/>
      <c r="F351" s="4">
        <v>2091.1999999999998</v>
      </c>
      <c r="H351" s="4">
        <v>6.5</v>
      </c>
      <c r="J351" s="21">
        <v>25.56</v>
      </c>
      <c r="L351">
        <v>45.3</v>
      </c>
      <c r="P351">
        <v>34.377660718209398</v>
      </c>
      <c r="S351">
        <v>-3.2687417302036301E-4</v>
      </c>
      <c r="X351" t="s">
        <v>7</v>
      </c>
      <c r="Y351">
        <v>3</v>
      </c>
      <c r="Z351" t="s">
        <v>2</v>
      </c>
      <c r="AA351" s="16">
        <v>43690</v>
      </c>
      <c r="AB351">
        <v>225.58460648148147</v>
      </c>
      <c r="AC351" s="4">
        <v>973.7</v>
      </c>
      <c r="AE351">
        <v>-6.9659448156295696</v>
      </c>
      <c r="AH351">
        <v>-2.7018981170511501E-4</v>
      </c>
    </row>
    <row r="352" spans="1:36" x14ac:dyDescent="0.2">
      <c r="A352" t="s">
        <v>7</v>
      </c>
      <c r="B352">
        <v>4</v>
      </c>
      <c r="C352" s="2">
        <v>43690</v>
      </c>
      <c r="D352" s="13">
        <v>225.60376157407407</v>
      </c>
      <c r="E352" s="13"/>
      <c r="F352" s="4">
        <v>1831.2</v>
      </c>
      <c r="H352" s="4">
        <v>10.1</v>
      </c>
      <c r="J352" s="21">
        <v>25.56</v>
      </c>
      <c r="L352">
        <v>44.3</v>
      </c>
      <c r="P352">
        <v>15.2822343844618</v>
      </c>
      <c r="S352">
        <v>-4.2612748891615202E-4</v>
      </c>
      <c r="T352" s="6"/>
      <c r="U352" s="6"/>
      <c r="X352" t="s">
        <v>7</v>
      </c>
      <c r="Y352">
        <v>4</v>
      </c>
      <c r="Z352" t="s">
        <v>2</v>
      </c>
      <c r="AA352" s="16">
        <v>43690</v>
      </c>
      <c r="AB352">
        <v>225.59780092592592</v>
      </c>
      <c r="AC352" s="4">
        <v>1986.2</v>
      </c>
      <c r="AE352">
        <v>-14.2429209786504</v>
      </c>
      <c r="AH352">
        <v>-2.49531097806347E-4</v>
      </c>
    </row>
    <row r="353" spans="1:36" x14ac:dyDescent="0.2">
      <c r="A353" t="s">
        <v>7</v>
      </c>
      <c r="B353">
        <v>5</v>
      </c>
      <c r="C353" s="2">
        <v>43690</v>
      </c>
      <c r="D353" s="13">
        <v>225.61545138888889</v>
      </c>
      <c r="E353" s="13"/>
      <c r="F353" s="4">
        <v>728.7</v>
      </c>
      <c r="H353" s="4">
        <v>6.3</v>
      </c>
      <c r="J353" s="21">
        <v>25.56</v>
      </c>
      <c r="L353">
        <v>39</v>
      </c>
      <c r="P353">
        <v>39.8037310719657</v>
      </c>
      <c r="S353">
        <v>-4.2991553069916501E-4</v>
      </c>
      <c r="T353" s="6"/>
      <c r="U353" s="6"/>
      <c r="X353" t="s">
        <v>7</v>
      </c>
      <c r="Y353">
        <v>5</v>
      </c>
      <c r="Z353" t="s">
        <v>2</v>
      </c>
      <c r="AA353" s="16">
        <v>43690</v>
      </c>
      <c r="AB353">
        <v>225.609375</v>
      </c>
      <c r="AC353" s="4">
        <v>896.2</v>
      </c>
      <c r="AE353">
        <v>-3.9565476698878501</v>
      </c>
      <c r="AH353">
        <v>-2.4750411908459999E-4</v>
      </c>
    </row>
    <row r="354" spans="1:36" x14ac:dyDescent="0.2">
      <c r="A354" t="s">
        <v>7</v>
      </c>
      <c r="B354">
        <v>1</v>
      </c>
      <c r="C354" s="2">
        <v>43698</v>
      </c>
      <c r="D354" s="13">
        <v>233.45208333333335</v>
      </c>
      <c r="E354" s="13">
        <v>233.48335648148151</v>
      </c>
      <c r="F354" s="4">
        <v>591.20000000000005</v>
      </c>
      <c r="G354" s="4">
        <v>746.2</v>
      </c>
      <c r="H354" s="4">
        <v>23.4</v>
      </c>
      <c r="I354" s="4">
        <v>20.740000000000002</v>
      </c>
      <c r="J354" s="4">
        <v>26.67</v>
      </c>
      <c r="K354" s="4">
        <v>26.336000000000002</v>
      </c>
      <c r="L354">
        <v>42.1</v>
      </c>
      <c r="M354">
        <v>42.7</v>
      </c>
      <c r="N354">
        <v>0.86</v>
      </c>
      <c r="O354" s="4">
        <v>0.86399999999999988</v>
      </c>
      <c r="P354">
        <v>11.1686575027271</v>
      </c>
      <c r="Q354">
        <v>31.197703988579718</v>
      </c>
      <c r="R354">
        <v>29.99683592207489</v>
      </c>
      <c r="S354">
        <v>6.7603305481832006E-5</v>
      </c>
      <c r="T354" s="6">
        <v>-1.7052787844992851E-4</v>
      </c>
      <c r="U354" s="6">
        <v>2.7497020629089244E-4</v>
      </c>
      <c r="X354" t="s">
        <v>7</v>
      </c>
      <c r="Y354">
        <v>1</v>
      </c>
      <c r="Z354" t="s">
        <v>2</v>
      </c>
      <c r="AA354" s="16">
        <v>43698</v>
      </c>
      <c r="AB354">
        <v>233.44843750000001</v>
      </c>
      <c r="AC354" s="4">
        <v>568.70000000000005</v>
      </c>
      <c r="AD354" s="4">
        <v>643.70000000000005</v>
      </c>
      <c r="AE354">
        <v>5.6838233003049803</v>
      </c>
      <c r="AF354">
        <v>-1.5908071575528104</v>
      </c>
      <c r="AG354">
        <v>13.001178629870987</v>
      </c>
      <c r="AH354">
        <v>-4.5355628814071697E-5</v>
      </c>
      <c r="AI354">
        <v>1.1006816018593565E-4</v>
      </c>
      <c r="AJ354">
        <v>1.7946793283525164E-4</v>
      </c>
    </row>
    <row r="355" spans="1:36" x14ac:dyDescent="0.2">
      <c r="A355" t="s">
        <v>7</v>
      </c>
      <c r="B355">
        <v>2</v>
      </c>
      <c r="C355" s="2">
        <v>43698</v>
      </c>
      <c r="D355" s="13">
        <v>233.46296296296296</v>
      </c>
      <c r="E355" s="13"/>
      <c r="F355" s="4">
        <v>448.7</v>
      </c>
      <c r="H355" s="4">
        <v>19.8</v>
      </c>
      <c r="J355" s="4">
        <v>26.67</v>
      </c>
      <c r="L355">
        <v>42.9</v>
      </c>
      <c r="N355">
        <v>0.88</v>
      </c>
      <c r="P355">
        <v>14.995928135929599</v>
      </c>
      <c r="S355">
        <v>-4.0865906238168903E-4</v>
      </c>
      <c r="T355" s="6"/>
      <c r="U355" s="6"/>
      <c r="X355" t="s">
        <v>7</v>
      </c>
      <c r="Y355">
        <v>2</v>
      </c>
      <c r="Z355" t="s">
        <v>2</v>
      </c>
      <c r="AA355" s="16">
        <v>43698</v>
      </c>
      <c r="AB355">
        <v>233.45746527777777</v>
      </c>
      <c r="AC355" s="4">
        <v>463.7</v>
      </c>
      <c r="AE355">
        <v>3.19648598150523</v>
      </c>
      <c r="AH355">
        <v>2.6549194918594298E-4</v>
      </c>
    </row>
    <row r="356" spans="1:36" x14ac:dyDescent="0.2">
      <c r="A356" t="s">
        <v>7</v>
      </c>
      <c r="B356">
        <v>3</v>
      </c>
      <c r="C356" s="2">
        <v>43698</v>
      </c>
      <c r="D356" s="13">
        <v>233.47407407407408</v>
      </c>
      <c r="E356" s="13"/>
      <c r="F356" s="4">
        <v>353.7</v>
      </c>
      <c r="H356" s="4">
        <v>19.600000000000001</v>
      </c>
      <c r="J356" s="4">
        <v>26.67</v>
      </c>
      <c r="L356">
        <v>42.2</v>
      </c>
      <c r="N356">
        <v>0.83</v>
      </c>
      <c r="P356">
        <v>24.0636710829945</v>
      </c>
      <c r="X356" t="s">
        <v>7</v>
      </c>
      <c r="Y356">
        <v>3</v>
      </c>
      <c r="Z356" t="s">
        <v>2</v>
      </c>
      <c r="AA356" s="16">
        <v>43698</v>
      </c>
      <c r="AB356">
        <v>233.46875</v>
      </c>
      <c r="AC356" s="4">
        <v>283.7</v>
      </c>
      <c r="AE356">
        <v>10.7216819380271</v>
      </c>
    </row>
    <row r="357" spans="1:36" x14ac:dyDescent="0.2">
      <c r="A357" t="s">
        <v>7</v>
      </c>
      <c r="B357">
        <v>4</v>
      </c>
      <c r="C357" s="2">
        <v>43698</v>
      </c>
      <c r="D357" s="13">
        <v>233.50520833333334</v>
      </c>
      <c r="E357" s="13"/>
      <c r="F357" s="4">
        <v>1286.2</v>
      </c>
      <c r="H357" s="4">
        <v>21.5</v>
      </c>
      <c r="J357" s="4">
        <v>26.67</v>
      </c>
      <c r="L357">
        <v>46.4</v>
      </c>
      <c r="N357">
        <v>0.88</v>
      </c>
      <c r="P357">
        <v>21.6997639350875</v>
      </c>
      <c r="S357">
        <v>6.7603305481832006E-5</v>
      </c>
      <c r="T357" s="6"/>
      <c r="U357" s="6"/>
      <c r="X357" t="s">
        <v>7</v>
      </c>
      <c r="Y357">
        <v>4</v>
      </c>
      <c r="Z357" t="s">
        <v>2</v>
      </c>
      <c r="AA357" s="16">
        <v>43698</v>
      </c>
      <c r="AB357">
        <v>233.49843749999999</v>
      </c>
      <c r="AC357" s="4">
        <v>918.7</v>
      </c>
      <c r="AE357">
        <v>-5.0708103252602603</v>
      </c>
      <c r="AH357">
        <v>-4.5355628814071697E-5</v>
      </c>
    </row>
    <row r="358" spans="1:36" x14ac:dyDescent="0.2">
      <c r="A358" t="s">
        <v>7</v>
      </c>
      <c r="B358">
        <v>5</v>
      </c>
      <c r="C358" s="2">
        <v>43698</v>
      </c>
      <c r="D358" s="13">
        <v>233.52245370370372</v>
      </c>
      <c r="E358" s="13"/>
      <c r="F358" s="4">
        <v>1051.2</v>
      </c>
      <c r="H358" s="4">
        <v>19.399999999999999</v>
      </c>
      <c r="J358" s="4">
        <v>25</v>
      </c>
      <c r="L358">
        <v>39.9</v>
      </c>
      <c r="N358">
        <v>0.87</v>
      </c>
      <c r="P358">
        <v>84.060499286159896</v>
      </c>
      <c r="S358">
        <v>-4.0865906238168903E-4</v>
      </c>
      <c r="T358" s="6"/>
      <c r="U358" s="6"/>
      <c r="X358" t="s">
        <v>7</v>
      </c>
      <c r="Y358">
        <v>5</v>
      </c>
      <c r="Z358" t="s">
        <v>2</v>
      </c>
      <c r="AA358" s="16">
        <v>43698</v>
      </c>
      <c r="AB358">
        <v>233.51053240740742</v>
      </c>
      <c r="AC358" s="4">
        <v>983.7</v>
      </c>
      <c r="AE358">
        <v>-22.4852166823411</v>
      </c>
      <c r="AH358">
        <v>2.6549194918594298E-4</v>
      </c>
    </row>
    <row r="359" spans="1:36" x14ac:dyDescent="0.2">
      <c r="A359" t="s">
        <v>7</v>
      </c>
      <c r="B359">
        <v>1</v>
      </c>
      <c r="C359" s="2">
        <v>43698</v>
      </c>
      <c r="D359" s="13">
        <v>233.59386574074074</v>
      </c>
      <c r="E359" s="13">
        <v>233.61806712962965</v>
      </c>
      <c r="F359" s="4">
        <v>1221.2</v>
      </c>
      <c r="G359" s="4">
        <v>1489.7</v>
      </c>
      <c r="H359" s="4">
        <v>22.5</v>
      </c>
      <c r="I359" s="4">
        <v>21.3</v>
      </c>
      <c r="J359" s="21">
        <v>26.67</v>
      </c>
      <c r="K359" s="4">
        <v>27</v>
      </c>
      <c r="L359">
        <v>38.700000000000003</v>
      </c>
      <c r="M359">
        <v>37.519999999999996</v>
      </c>
      <c r="N359">
        <v>0.85</v>
      </c>
      <c r="O359" s="4">
        <v>0.86199999999999988</v>
      </c>
      <c r="P359">
        <v>10.92465365</v>
      </c>
      <c r="Q359">
        <v>22.609260459999998</v>
      </c>
      <c r="R359">
        <v>13.42745259657371</v>
      </c>
      <c r="S359" s="6">
        <v>-5.2500000000000002E-5</v>
      </c>
      <c r="T359" s="6">
        <v>-8.9612000000000009E-5</v>
      </c>
      <c r="U359" s="6">
        <v>5.9553090033179639E-5</v>
      </c>
      <c r="X359" t="s">
        <v>7</v>
      </c>
      <c r="Y359">
        <v>1</v>
      </c>
      <c r="Z359" t="s">
        <v>2</v>
      </c>
      <c r="AA359" s="16">
        <v>43698</v>
      </c>
      <c r="AB359">
        <v>233.58836805555555</v>
      </c>
      <c r="AC359" s="4">
        <v>1453.7</v>
      </c>
      <c r="AD359" s="4">
        <v>1437.2</v>
      </c>
      <c r="AE359">
        <v>-7.6568975049999999</v>
      </c>
      <c r="AF359">
        <v>-5.4227133782000001</v>
      </c>
      <c r="AG359">
        <v>7.4807540688864629</v>
      </c>
      <c r="AH359">
        <v>8.3499999999999997E-5</v>
      </c>
      <c r="AI359">
        <v>-4.4602599999999999E-5</v>
      </c>
      <c r="AJ359">
        <v>1.0321476606474482E-4</v>
      </c>
    </row>
    <row r="360" spans="1:36" x14ac:dyDescent="0.2">
      <c r="A360" t="s">
        <v>7</v>
      </c>
      <c r="B360">
        <v>2</v>
      </c>
      <c r="C360" s="2">
        <v>43698</v>
      </c>
      <c r="D360" s="13">
        <v>233.60486111111112</v>
      </c>
      <c r="E360" s="13"/>
      <c r="F360" s="4">
        <v>1953.7</v>
      </c>
      <c r="H360" s="4">
        <v>20.2</v>
      </c>
      <c r="J360" s="21">
        <v>26.67</v>
      </c>
      <c r="L360">
        <v>32.5</v>
      </c>
      <c r="N360">
        <v>0.87</v>
      </c>
      <c r="P360">
        <v>15.45910439</v>
      </c>
      <c r="S360">
        <v>-1.83425E-4</v>
      </c>
      <c r="T360" s="6"/>
      <c r="U360" s="6"/>
      <c r="X360" t="s">
        <v>7</v>
      </c>
      <c r="Y360">
        <v>2</v>
      </c>
      <c r="Z360" t="s">
        <v>2</v>
      </c>
      <c r="AA360" s="16">
        <v>43698</v>
      </c>
      <c r="AB360">
        <v>233.59965277777778</v>
      </c>
      <c r="AC360" s="4">
        <v>1833.7</v>
      </c>
      <c r="AE360">
        <v>-4.6938536879999999</v>
      </c>
      <c r="AH360">
        <v>-1.7809999999999999E-4</v>
      </c>
    </row>
    <row r="361" spans="1:36" x14ac:dyDescent="0.2">
      <c r="A361" t="s">
        <v>7</v>
      </c>
      <c r="B361">
        <v>3</v>
      </c>
      <c r="C361" s="2">
        <v>43698</v>
      </c>
      <c r="D361" s="13">
        <v>233.61637731481483</v>
      </c>
      <c r="E361" s="13"/>
      <c r="F361" s="4">
        <v>1711.2</v>
      </c>
      <c r="H361" s="4">
        <v>20.5</v>
      </c>
      <c r="J361" s="21">
        <v>27.22</v>
      </c>
      <c r="L361">
        <v>40.5</v>
      </c>
      <c r="N361">
        <v>0.84</v>
      </c>
      <c r="P361">
        <v>32.28603743</v>
      </c>
      <c r="S361">
        <v>-1.14935E-4</v>
      </c>
      <c r="X361" t="s">
        <v>7</v>
      </c>
      <c r="Y361">
        <v>3</v>
      </c>
      <c r="Z361" t="s">
        <v>2</v>
      </c>
      <c r="AA361" s="16">
        <v>43698</v>
      </c>
      <c r="AB361">
        <v>233.6101273148148</v>
      </c>
      <c r="AC361" s="4">
        <v>1488.7</v>
      </c>
      <c r="AE361">
        <v>1.87298092</v>
      </c>
      <c r="AH361">
        <v>1.7399999999999999E-5</v>
      </c>
    </row>
    <row r="362" spans="1:36" x14ac:dyDescent="0.2">
      <c r="A362" t="s">
        <v>7</v>
      </c>
      <c r="B362">
        <v>4</v>
      </c>
      <c r="C362" s="2">
        <v>43698</v>
      </c>
      <c r="D362" s="13">
        <v>233.62841435185186</v>
      </c>
      <c r="E362" s="13"/>
      <c r="F362" s="4">
        <v>1806.2</v>
      </c>
      <c r="H362" s="4">
        <v>22.4</v>
      </c>
      <c r="J362" s="21">
        <v>27.22</v>
      </c>
      <c r="L362">
        <v>39.5</v>
      </c>
      <c r="N362">
        <v>0.88</v>
      </c>
      <c r="P362">
        <v>13.08228306</v>
      </c>
      <c r="S362" s="6">
        <v>-4.74E-5</v>
      </c>
      <c r="T362" s="6"/>
      <c r="U362" s="6"/>
      <c r="X362" t="s">
        <v>7</v>
      </c>
      <c r="Y362">
        <v>4</v>
      </c>
      <c r="Z362" t="s">
        <v>2</v>
      </c>
      <c r="AA362" s="16">
        <v>43698</v>
      </c>
      <c r="AB362">
        <v>233.62262731481482</v>
      </c>
      <c r="AC362" s="4">
        <v>1611.2</v>
      </c>
      <c r="AE362">
        <v>-16.929883090000001</v>
      </c>
      <c r="AH362">
        <v>-3.4600000000000001E-5</v>
      </c>
    </row>
    <row r="363" spans="1:36" x14ac:dyDescent="0.2">
      <c r="A363" t="s">
        <v>7</v>
      </c>
      <c r="B363">
        <v>5</v>
      </c>
      <c r="C363" s="2">
        <v>43698</v>
      </c>
      <c r="D363" s="13">
        <v>233.64681712962965</v>
      </c>
      <c r="E363" s="13"/>
      <c r="F363" s="4">
        <v>756.2</v>
      </c>
      <c r="H363" s="4">
        <v>20.9</v>
      </c>
      <c r="J363" s="21">
        <v>27.22</v>
      </c>
      <c r="L363">
        <v>36.4</v>
      </c>
      <c r="N363">
        <v>0.87</v>
      </c>
      <c r="P363">
        <v>41.294223770000002</v>
      </c>
      <c r="S363" s="6">
        <v>-4.9799999999999998E-5</v>
      </c>
      <c r="T363" s="6"/>
      <c r="U363" s="6"/>
      <c r="X363" t="s">
        <v>7</v>
      </c>
      <c r="Y363">
        <v>5</v>
      </c>
      <c r="Z363" t="s">
        <v>2</v>
      </c>
      <c r="AA363" s="16">
        <v>43698</v>
      </c>
      <c r="AB363">
        <v>233.64074074074074</v>
      </c>
      <c r="AC363" s="4">
        <v>798.7</v>
      </c>
      <c r="AE363">
        <v>0.29408647199999999</v>
      </c>
      <c r="AH363">
        <v>-1.1121299999999999E-4</v>
      </c>
    </row>
    <row r="364" spans="1:36" x14ac:dyDescent="0.2">
      <c r="A364" t="s">
        <v>7</v>
      </c>
      <c r="B364">
        <v>1</v>
      </c>
      <c r="C364" s="2">
        <v>43705</v>
      </c>
      <c r="D364" s="13">
        <v>240.43478009259258</v>
      </c>
      <c r="E364" s="13">
        <v>240.46052083333333</v>
      </c>
      <c r="F364" s="4">
        <v>1588.7</v>
      </c>
      <c r="G364" s="4">
        <v>1497.7</v>
      </c>
      <c r="H364" s="4">
        <v>14.5</v>
      </c>
      <c r="I364" s="4">
        <v>11.440000000000001</v>
      </c>
      <c r="J364" s="18">
        <v>22.78</v>
      </c>
      <c r="K364" s="4">
        <v>23.112000000000002</v>
      </c>
      <c r="L364">
        <v>38.1</v>
      </c>
      <c r="M364">
        <v>40.44</v>
      </c>
      <c r="N364">
        <v>0.83</v>
      </c>
      <c r="O364" s="4">
        <v>0.83399999999999996</v>
      </c>
      <c r="P364">
        <v>10.6256742986397</v>
      </c>
      <c r="Q364">
        <v>23.481069363080518</v>
      </c>
      <c r="R364">
        <v>21.073000487067908</v>
      </c>
      <c r="S364">
        <v>-2.8439640059195101E-5</v>
      </c>
      <c r="T364" s="6">
        <v>-1.9490146325986535E-4</v>
      </c>
      <c r="U364" s="6">
        <v>1.9061315168177973E-4</v>
      </c>
      <c r="X364" t="s">
        <v>7</v>
      </c>
      <c r="Y364">
        <v>1</v>
      </c>
      <c r="Z364" t="s">
        <v>4</v>
      </c>
      <c r="AA364" s="16">
        <v>43705</v>
      </c>
      <c r="AB364">
        <v>240.42853009259261</v>
      </c>
      <c r="AC364" s="4">
        <v>1253.7</v>
      </c>
      <c r="AD364" s="4">
        <v>1448.7</v>
      </c>
      <c r="AE364">
        <v>-6.05290135352337</v>
      </c>
      <c r="AF364">
        <v>-5.4421234417073663</v>
      </c>
      <c r="AG364">
        <v>2.3796724032368268</v>
      </c>
      <c r="AH364">
        <v>-3.7911093532520701E-5</v>
      </c>
      <c r="AI364">
        <v>-2.265533014446786E-4</v>
      </c>
      <c r="AJ364">
        <v>1.6730320028614888E-4</v>
      </c>
    </row>
    <row r="365" spans="1:36" x14ac:dyDescent="0.2">
      <c r="A365" t="s">
        <v>7</v>
      </c>
      <c r="B365">
        <v>2</v>
      </c>
      <c r="C365" s="2">
        <v>43705</v>
      </c>
      <c r="D365" s="13">
        <v>240.44785879629629</v>
      </c>
      <c r="E365" s="13"/>
      <c r="F365" s="4">
        <v>1528.7</v>
      </c>
      <c r="H365" s="4">
        <v>14.1</v>
      </c>
      <c r="J365" s="18">
        <v>22.78</v>
      </c>
      <c r="L365">
        <v>44.8</v>
      </c>
      <c r="N365">
        <v>0.85</v>
      </c>
      <c r="P365">
        <v>8.39786463905644</v>
      </c>
      <c r="S365">
        <v>-1.88805234689721E-4</v>
      </c>
      <c r="T365" s="6"/>
      <c r="U365" s="6"/>
      <c r="X365" t="s">
        <v>7</v>
      </c>
      <c r="Y365">
        <v>2</v>
      </c>
      <c r="Z365" t="s">
        <v>4</v>
      </c>
      <c r="AA365" s="16">
        <v>43705</v>
      </c>
      <c r="AB365">
        <v>240.44120370370371</v>
      </c>
      <c r="AC365" s="4">
        <v>1436.2</v>
      </c>
      <c r="AE365">
        <v>-8.4312823455043802</v>
      </c>
      <c r="AH365">
        <v>-9.0087148625416099E-5</v>
      </c>
    </row>
    <row r="366" spans="1:36" x14ac:dyDescent="0.2">
      <c r="A366" t="s">
        <v>7</v>
      </c>
      <c r="B366">
        <v>3</v>
      </c>
      <c r="C366" s="2">
        <v>43705</v>
      </c>
      <c r="D366" s="13">
        <v>240.45989583333335</v>
      </c>
      <c r="E366" s="13"/>
      <c r="F366" s="4">
        <v>858.7</v>
      </c>
      <c r="H366" s="4">
        <v>9.6</v>
      </c>
      <c r="J366" s="18">
        <v>22.78</v>
      </c>
      <c r="L366">
        <v>36.5</v>
      </c>
      <c r="N366">
        <v>0.83</v>
      </c>
      <c r="P366">
        <v>35.557696434983399</v>
      </c>
      <c r="S366">
        <v>-4.8726216350293501E-4</v>
      </c>
      <c r="X366" t="s">
        <v>7</v>
      </c>
      <c r="Y366">
        <v>3</v>
      </c>
      <c r="Z366" t="s">
        <v>4</v>
      </c>
      <c r="AA366" s="16">
        <v>43705</v>
      </c>
      <c r="AB366">
        <v>240.45381944444443</v>
      </c>
      <c r="AC366" s="4">
        <v>1166.2</v>
      </c>
      <c r="AE366">
        <v>-5.3534125042087304</v>
      </c>
      <c r="AH366">
        <v>-4.5713701022328498E-4</v>
      </c>
    </row>
    <row r="367" spans="1:36" x14ac:dyDescent="0.2">
      <c r="A367" t="s">
        <v>7</v>
      </c>
      <c r="B367">
        <v>4</v>
      </c>
      <c r="C367" s="2">
        <v>43705</v>
      </c>
      <c r="D367" s="13">
        <v>240.47280092592592</v>
      </c>
      <c r="E367" s="13"/>
      <c r="F367" s="4">
        <v>1696.2</v>
      </c>
      <c r="H367" s="4">
        <v>12.5</v>
      </c>
      <c r="J367" s="18">
        <v>22.78</v>
      </c>
      <c r="L367">
        <v>46.8</v>
      </c>
      <c r="N367">
        <v>0.83</v>
      </c>
      <c r="P367">
        <v>7.8337273196502597</v>
      </c>
      <c r="S367">
        <v>-2.3340666848125601E-5</v>
      </c>
      <c r="T367" s="6"/>
      <c r="U367" s="6"/>
      <c r="X367" t="s">
        <v>7</v>
      </c>
      <c r="Y367">
        <v>4</v>
      </c>
      <c r="Z367" t="s">
        <v>4</v>
      </c>
      <c r="AA367" s="16">
        <v>43705</v>
      </c>
      <c r="AB367">
        <v>240.46637731481482</v>
      </c>
      <c r="AC367" s="4">
        <v>1678.7</v>
      </c>
      <c r="AE367">
        <v>-5.5800546879274204</v>
      </c>
      <c r="AH367">
        <v>-2.81439542595962E-4</v>
      </c>
    </row>
    <row r="368" spans="1:36" x14ac:dyDescent="0.2">
      <c r="A368" t="s">
        <v>7</v>
      </c>
      <c r="B368">
        <v>5</v>
      </c>
      <c r="C368" s="2">
        <v>43705</v>
      </c>
      <c r="D368" s="13">
        <v>240.48726851851853</v>
      </c>
      <c r="E368" s="13"/>
      <c r="F368" s="4">
        <v>1816.2</v>
      </c>
      <c r="H368" s="4">
        <v>6.5</v>
      </c>
      <c r="J368" s="18">
        <v>24.44</v>
      </c>
      <c r="L368">
        <v>36</v>
      </c>
      <c r="N368">
        <v>0.83</v>
      </c>
      <c r="P368">
        <v>54.990384123072801</v>
      </c>
      <c r="S368">
        <v>-2.4665961119935001E-4</v>
      </c>
      <c r="T368" s="6"/>
      <c r="U368" s="6"/>
      <c r="X368" t="s">
        <v>7</v>
      </c>
      <c r="Y368">
        <v>5</v>
      </c>
      <c r="Z368" t="s">
        <v>4</v>
      </c>
      <c r="AA368" s="16">
        <v>43705</v>
      </c>
      <c r="AB368">
        <v>240.47962962962964</v>
      </c>
      <c r="AC368" s="4">
        <v>1708.7</v>
      </c>
      <c r="AE368">
        <v>-1.79296631737293</v>
      </c>
      <c r="AH368">
        <v>-2.6619171224620899E-4</v>
      </c>
    </row>
    <row r="369" spans="1:36" x14ac:dyDescent="0.2">
      <c r="A369" t="s">
        <v>7</v>
      </c>
      <c r="B369">
        <v>1</v>
      </c>
      <c r="C369" s="2">
        <v>43705</v>
      </c>
      <c r="D369" s="13">
        <v>240.53917824074074</v>
      </c>
      <c r="E369" s="13">
        <v>240.5655324074074</v>
      </c>
      <c r="F369" s="4">
        <v>1738.7</v>
      </c>
      <c r="G369" s="4">
        <v>1437.7</v>
      </c>
      <c r="H369" s="4">
        <v>11</v>
      </c>
      <c r="I369" s="4">
        <v>11</v>
      </c>
      <c r="J369" s="18">
        <v>26.67</v>
      </c>
      <c r="K369" s="4">
        <v>27.887999999999998</v>
      </c>
      <c r="L369">
        <v>44.2</v>
      </c>
      <c r="M369">
        <v>44.3</v>
      </c>
      <c r="N369">
        <v>0.81</v>
      </c>
      <c r="O369" s="4">
        <v>0.82800000000000007</v>
      </c>
      <c r="P369">
        <v>9.1935241823580505</v>
      </c>
      <c r="Q369">
        <v>24.914901276714552</v>
      </c>
      <c r="R369">
        <v>19.801305563157847</v>
      </c>
      <c r="S369" s="6">
        <v>8.1600000000000005E-5</v>
      </c>
      <c r="T369" s="6">
        <v>-1.07953E-4</v>
      </c>
      <c r="U369" s="6">
        <v>1.1055836086881897E-4</v>
      </c>
      <c r="X369" t="s">
        <v>7</v>
      </c>
      <c r="Y369">
        <v>1</v>
      </c>
      <c r="Z369" t="s">
        <v>4</v>
      </c>
      <c r="AA369" s="16">
        <v>43705</v>
      </c>
      <c r="AB369">
        <v>240.53344907407407</v>
      </c>
      <c r="AC369" s="4">
        <v>1208.7</v>
      </c>
      <c r="AD369" s="4">
        <v>1570.2</v>
      </c>
      <c r="AE369">
        <v>-2.2364380119909799</v>
      </c>
      <c r="AF369">
        <v>-4.1622704352983728</v>
      </c>
      <c r="AG369">
        <v>4.6067726290889546</v>
      </c>
      <c r="AH369">
        <v>-1.11731E-4</v>
      </c>
      <c r="AI369">
        <v>-1.9090539999999998E-4</v>
      </c>
      <c r="AJ369">
        <v>7.9156281357198687E-5</v>
      </c>
    </row>
    <row r="370" spans="1:36" x14ac:dyDescent="0.2">
      <c r="A370" t="s">
        <v>7</v>
      </c>
      <c r="B370">
        <v>2</v>
      </c>
      <c r="C370" s="2">
        <v>43705</v>
      </c>
      <c r="D370" s="13">
        <v>240.55208333333334</v>
      </c>
      <c r="E370" s="13"/>
      <c r="F370" s="4">
        <v>1736.2</v>
      </c>
      <c r="H370" s="4">
        <v>11.4</v>
      </c>
      <c r="J370" s="18">
        <v>26.67</v>
      </c>
      <c r="L370">
        <v>50.4</v>
      </c>
      <c r="N370">
        <v>0.83</v>
      </c>
      <c r="P370">
        <v>10.420969817600801</v>
      </c>
      <c r="S370">
        <v>-1.16171E-4</v>
      </c>
      <c r="T370" s="6"/>
      <c r="U370" s="6"/>
      <c r="X370" t="s">
        <v>7</v>
      </c>
      <c r="Y370">
        <v>2</v>
      </c>
      <c r="Z370" t="s">
        <v>4</v>
      </c>
      <c r="AA370" s="16">
        <v>43705</v>
      </c>
      <c r="AB370">
        <v>240.54554398148147</v>
      </c>
      <c r="AC370" s="4">
        <v>1746.2</v>
      </c>
      <c r="AE370">
        <v>-3.4111691758428502</v>
      </c>
      <c r="AH370">
        <v>-2.5106800000000002E-4</v>
      </c>
    </row>
    <row r="371" spans="1:36" x14ac:dyDescent="0.2">
      <c r="A371" t="s">
        <v>7</v>
      </c>
      <c r="B371">
        <v>3</v>
      </c>
      <c r="C371" s="2">
        <v>43705</v>
      </c>
      <c r="D371" s="13">
        <v>240.56458333333333</v>
      </c>
      <c r="E371" s="13"/>
      <c r="F371" s="4">
        <v>1646.2</v>
      </c>
      <c r="H371" s="4">
        <v>8.6999999999999993</v>
      </c>
      <c r="J371" s="18">
        <v>28.33</v>
      </c>
      <c r="L371">
        <v>43.1</v>
      </c>
      <c r="N371">
        <v>0.83</v>
      </c>
      <c r="P371">
        <v>36.116425166779898</v>
      </c>
      <c r="S371">
        <v>-1.5939599999999999E-4</v>
      </c>
      <c r="X371" t="s">
        <v>7</v>
      </c>
      <c r="Y371">
        <v>3</v>
      </c>
      <c r="Z371" t="s">
        <v>4</v>
      </c>
      <c r="AA371" s="16">
        <v>43705</v>
      </c>
      <c r="AB371">
        <v>240.55775462962964</v>
      </c>
      <c r="AC371" s="4">
        <v>1746.2</v>
      </c>
      <c r="AE371">
        <v>-3.1637729554208698</v>
      </c>
      <c r="AH371">
        <v>-1.18195E-4</v>
      </c>
    </row>
    <row r="372" spans="1:36" x14ac:dyDescent="0.2">
      <c r="A372" t="s">
        <v>7</v>
      </c>
      <c r="B372">
        <v>4</v>
      </c>
      <c r="C372" s="2">
        <v>43705</v>
      </c>
      <c r="D372" s="13">
        <v>240.57818287037037</v>
      </c>
      <c r="E372" s="13"/>
      <c r="F372" s="4">
        <v>1218.7</v>
      </c>
      <c r="H372" s="4">
        <v>11.1</v>
      </c>
      <c r="J372" s="18">
        <v>28.33</v>
      </c>
      <c r="L372">
        <v>42.3</v>
      </c>
      <c r="N372">
        <v>0.85</v>
      </c>
      <c r="P372">
        <v>14.360700417056901</v>
      </c>
      <c r="S372">
        <v>-2.0300200000000001E-4</v>
      </c>
      <c r="T372" s="6"/>
      <c r="U372" s="6"/>
      <c r="X372" t="s">
        <v>7</v>
      </c>
      <c r="Y372">
        <v>4</v>
      </c>
      <c r="Z372" t="s">
        <v>4</v>
      </c>
      <c r="AA372" s="16">
        <v>43705</v>
      </c>
      <c r="AB372">
        <v>240.57158564814816</v>
      </c>
      <c r="AC372" s="4">
        <v>1763.7</v>
      </c>
      <c r="AE372">
        <v>-12.0359216635129</v>
      </c>
      <c r="AH372">
        <v>-1.83468E-4</v>
      </c>
    </row>
    <row r="373" spans="1:36" x14ac:dyDescent="0.2">
      <c r="A373" t="s">
        <v>7</v>
      </c>
      <c r="B373">
        <v>5</v>
      </c>
      <c r="C373" s="2">
        <v>43705</v>
      </c>
      <c r="D373" s="13">
        <v>240.59363425925926</v>
      </c>
      <c r="E373" s="13"/>
      <c r="F373" s="4">
        <v>848.7</v>
      </c>
      <c r="H373" s="4">
        <v>12.8</v>
      </c>
      <c r="J373" s="18">
        <v>29.44</v>
      </c>
      <c r="L373">
        <v>41.5</v>
      </c>
      <c r="N373">
        <v>0.82</v>
      </c>
      <c r="P373">
        <v>54.482886799777098</v>
      </c>
      <c r="S373">
        <v>-1.4279599999999999E-4</v>
      </c>
      <c r="T373" s="6"/>
      <c r="U373" s="6"/>
      <c r="X373" t="s">
        <v>7</v>
      </c>
      <c r="Y373">
        <v>5</v>
      </c>
      <c r="Z373" t="s">
        <v>4</v>
      </c>
      <c r="AA373" s="16">
        <v>43705</v>
      </c>
      <c r="AB373">
        <v>240.58715277777779</v>
      </c>
      <c r="AC373" s="4">
        <v>1386.2</v>
      </c>
      <c r="AE373">
        <v>3.5949630275737499E-2</v>
      </c>
      <c r="AH373">
        <v>-2.90065E-4</v>
      </c>
    </row>
    <row r="374" spans="1:36" x14ac:dyDescent="0.2">
      <c r="A374" t="s">
        <v>7</v>
      </c>
      <c r="B374">
        <v>1</v>
      </c>
      <c r="C374" s="2">
        <v>43712</v>
      </c>
      <c r="D374" s="13">
        <v>247.42546296296297</v>
      </c>
      <c r="E374" s="13">
        <v>247.45473342592604</v>
      </c>
      <c r="F374" s="4">
        <v>596.20000000000005</v>
      </c>
      <c r="G374" s="4">
        <v>647.20000000000005</v>
      </c>
      <c r="H374" s="4">
        <v>9.8000000000000007</v>
      </c>
      <c r="I374" s="4">
        <v>13.26</v>
      </c>
      <c r="J374" s="21">
        <v>22.22</v>
      </c>
      <c r="K374" s="4">
        <v>22.663999999999998</v>
      </c>
      <c r="L374">
        <v>37.5</v>
      </c>
      <c r="M374">
        <v>41.42</v>
      </c>
      <c r="N374">
        <v>0.81</v>
      </c>
      <c r="O374" s="4">
        <v>0.81799999999999995</v>
      </c>
      <c r="P374">
        <v>16.408251809999999</v>
      </c>
      <c r="Q374">
        <v>18.412677278</v>
      </c>
      <c r="R374">
        <v>7.9816933945837372</v>
      </c>
      <c r="S374">
        <v>-3.20346E-4</v>
      </c>
      <c r="T374" s="6">
        <v>-2.6936080000000001E-4</v>
      </c>
      <c r="U374" s="6">
        <v>1.7036068323912065E-4</v>
      </c>
      <c r="X374" t="s">
        <v>7</v>
      </c>
      <c r="Y374">
        <v>1</v>
      </c>
      <c r="Z374" t="s">
        <v>4</v>
      </c>
      <c r="AA374" s="16">
        <v>43712</v>
      </c>
      <c r="AB374">
        <v>247.42002314814815</v>
      </c>
      <c r="AC374" s="4">
        <v>528.70000000000005</v>
      </c>
      <c r="AD374" s="4">
        <v>616.20000000000005</v>
      </c>
      <c r="AE374">
        <v>0.389626633</v>
      </c>
      <c r="AF374">
        <v>-7.7190562306000006</v>
      </c>
      <c r="AG374">
        <v>8.246244643246504</v>
      </c>
      <c r="AH374">
        <v>3.4599999999999999E-6</v>
      </c>
      <c r="AI374">
        <v>-1.6007500000000003E-4</v>
      </c>
      <c r="AJ374">
        <v>2.0444158156549268E-4</v>
      </c>
    </row>
    <row r="375" spans="1:36" x14ac:dyDescent="0.2">
      <c r="A375" t="s">
        <v>7</v>
      </c>
      <c r="B375">
        <v>2</v>
      </c>
      <c r="C375" s="2">
        <v>43712</v>
      </c>
      <c r="D375" s="13">
        <v>247.43998842592592</v>
      </c>
      <c r="E375" s="13"/>
      <c r="F375" s="4">
        <v>253.7</v>
      </c>
      <c r="H375" s="4">
        <v>16.2</v>
      </c>
      <c r="J375" s="21">
        <v>22.22</v>
      </c>
      <c r="L375">
        <v>42</v>
      </c>
      <c r="N375">
        <v>0.84</v>
      </c>
      <c r="P375">
        <v>13.10401055</v>
      </c>
      <c r="S375">
        <v>-3.8511300000000002E-4</v>
      </c>
      <c r="T375" s="6"/>
      <c r="U375" s="6"/>
      <c r="X375" t="s">
        <v>7</v>
      </c>
      <c r="Y375">
        <v>2</v>
      </c>
      <c r="Z375" t="s">
        <v>4</v>
      </c>
      <c r="AA375" s="16">
        <v>43712</v>
      </c>
      <c r="AB375">
        <v>247.43304398148149</v>
      </c>
      <c r="AC375" s="4">
        <v>383.7</v>
      </c>
      <c r="AE375">
        <v>-3.3051736379999999</v>
      </c>
      <c r="AH375">
        <v>3.6100000000000003E-5</v>
      </c>
    </row>
    <row r="376" spans="1:36" x14ac:dyDescent="0.2">
      <c r="A376" t="s">
        <v>7</v>
      </c>
      <c r="B376">
        <v>3</v>
      </c>
      <c r="C376" s="2">
        <v>43712</v>
      </c>
      <c r="D376" s="13">
        <v>247.45353009259259</v>
      </c>
      <c r="E376" s="13"/>
      <c r="F376" s="4">
        <v>623.70000000000005</v>
      </c>
      <c r="H376" s="4">
        <v>12.3</v>
      </c>
      <c r="J376" s="21">
        <v>22.22</v>
      </c>
      <c r="L376">
        <v>37.299999999999997</v>
      </c>
      <c r="N376">
        <v>0.84</v>
      </c>
      <c r="P376">
        <v>18.269560500000001</v>
      </c>
      <c r="S376">
        <v>-2.0136199999999999E-4</v>
      </c>
      <c r="X376" t="s">
        <v>7</v>
      </c>
      <c r="Y376">
        <v>3</v>
      </c>
      <c r="Z376" t="s">
        <v>4</v>
      </c>
      <c r="AA376" s="16">
        <v>43712</v>
      </c>
      <c r="AB376">
        <v>247.44693287037038</v>
      </c>
      <c r="AC376" s="4">
        <v>503.7</v>
      </c>
      <c r="AE376">
        <v>-2.5395480680000002</v>
      </c>
      <c r="AH376">
        <v>-2.7910000000000001E-4</v>
      </c>
    </row>
    <row r="377" spans="1:36" x14ac:dyDescent="0.2">
      <c r="A377" t="s">
        <v>7</v>
      </c>
      <c r="B377">
        <v>4</v>
      </c>
      <c r="C377" s="2">
        <v>43712</v>
      </c>
      <c r="D377" s="13">
        <v>247.46846064814815</v>
      </c>
      <c r="E377" s="13"/>
      <c r="F377" s="4">
        <v>803.7</v>
      </c>
      <c r="H377" s="4">
        <v>13.2</v>
      </c>
      <c r="J377" s="21">
        <v>22.22</v>
      </c>
      <c r="L377">
        <v>37.5</v>
      </c>
      <c r="N377">
        <v>0.81</v>
      </c>
      <c r="P377">
        <v>12.271332810000001</v>
      </c>
      <c r="S377" s="6">
        <v>-7.1600000000000001E-6</v>
      </c>
      <c r="T377" s="6"/>
      <c r="U377" s="6"/>
      <c r="X377" t="s">
        <v>7</v>
      </c>
      <c r="Y377">
        <v>4</v>
      </c>
      <c r="Z377" t="s">
        <v>4</v>
      </c>
      <c r="AA377" s="16">
        <v>43712</v>
      </c>
      <c r="AB377">
        <v>247.46087962962963</v>
      </c>
      <c r="AC377" s="4">
        <v>858.7</v>
      </c>
      <c r="AE377">
        <v>-15.293359799999999</v>
      </c>
      <c r="AH377">
        <v>-1.08916E-4</v>
      </c>
    </row>
    <row r="378" spans="1:36" x14ac:dyDescent="0.2">
      <c r="A378" t="s">
        <v>7</v>
      </c>
      <c r="B378">
        <v>5</v>
      </c>
      <c r="C378" s="2">
        <v>43712</v>
      </c>
      <c r="D378" s="13">
        <v>247.48622500000056</v>
      </c>
      <c r="E378" s="13"/>
      <c r="F378" s="4">
        <v>958.7</v>
      </c>
      <c r="H378" s="4">
        <v>14.8</v>
      </c>
      <c r="J378" s="21">
        <v>24.44</v>
      </c>
      <c r="L378">
        <v>52.8</v>
      </c>
      <c r="N378">
        <v>0.79</v>
      </c>
      <c r="P378">
        <v>32.010230720000003</v>
      </c>
      <c r="S378">
        <v>-4.3282299999999999E-4</v>
      </c>
      <c r="T378" s="6"/>
      <c r="U378" s="6"/>
      <c r="X378" t="s">
        <v>7</v>
      </c>
      <c r="Y378">
        <v>5</v>
      </c>
      <c r="Z378" t="s">
        <v>4</v>
      </c>
      <c r="AA378" s="16">
        <v>43712</v>
      </c>
      <c r="AB378">
        <v>247.4788750000007</v>
      </c>
      <c r="AC378" s="4">
        <v>806.2</v>
      </c>
      <c r="AE378">
        <v>-17.846826279999998</v>
      </c>
      <c r="AH378">
        <v>-4.5191900000000001E-4</v>
      </c>
    </row>
    <row r="379" spans="1:36" x14ac:dyDescent="0.2">
      <c r="A379" t="s">
        <v>7</v>
      </c>
      <c r="B379">
        <v>1</v>
      </c>
      <c r="C379" s="2">
        <v>43712</v>
      </c>
      <c r="D379" s="13">
        <v>247.51684000000023</v>
      </c>
      <c r="E379" s="13">
        <v>247.55177099999929</v>
      </c>
      <c r="F379" s="4">
        <v>878.7</v>
      </c>
      <c r="G379" s="4">
        <v>1480.2</v>
      </c>
      <c r="H379" s="4">
        <v>5.4</v>
      </c>
      <c r="I379" s="4">
        <v>11.46</v>
      </c>
      <c r="J379" s="21">
        <v>24.44</v>
      </c>
      <c r="K379" s="4">
        <v>24.997999999999998</v>
      </c>
      <c r="L379">
        <v>36.299999999999997</v>
      </c>
      <c r="M379">
        <v>38.980000000000004</v>
      </c>
      <c r="N379">
        <v>0.79</v>
      </c>
      <c r="O379" s="4">
        <v>0.81200000000000006</v>
      </c>
      <c r="P379">
        <v>22.798785880000001</v>
      </c>
      <c r="Q379">
        <v>21.534794213999998</v>
      </c>
      <c r="R379">
        <v>8.461268871381737</v>
      </c>
      <c r="S379">
        <v>-5.1271599999999997E-4</v>
      </c>
      <c r="T379" s="6">
        <v>-1.504252E-4</v>
      </c>
      <c r="U379" s="6">
        <v>2.172965052530758E-4</v>
      </c>
      <c r="X379" t="s">
        <v>7</v>
      </c>
      <c r="Y379">
        <v>1</v>
      </c>
      <c r="Z379" t="s">
        <v>4</v>
      </c>
      <c r="AA379" s="16">
        <v>43712</v>
      </c>
      <c r="AB379">
        <v>247.50879500000156</v>
      </c>
      <c r="AC379" s="4">
        <v>841.2</v>
      </c>
      <c r="AD379" s="4">
        <v>1037.7</v>
      </c>
      <c r="AE379">
        <v>-11.537454159999999</v>
      </c>
      <c r="AF379">
        <v>-17.182202202999999</v>
      </c>
      <c r="AG379">
        <v>10.439813748500788</v>
      </c>
      <c r="AH379">
        <v>-5.57593E-4</v>
      </c>
      <c r="AI379">
        <v>-1.1749840000000002E-4</v>
      </c>
      <c r="AJ379">
        <v>3.2647502163917532E-4</v>
      </c>
    </row>
    <row r="380" spans="1:36" x14ac:dyDescent="0.2">
      <c r="A380" t="s">
        <v>7</v>
      </c>
      <c r="B380">
        <v>2</v>
      </c>
      <c r="C380" s="2">
        <v>43712</v>
      </c>
      <c r="D380" s="13">
        <v>247.53263999999763</v>
      </c>
      <c r="E380" s="13"/>
      <c r="F380" s="4">
        <v>1983.7</v>
      </c>
      <c r="H380" s="4">
        <v>15.2</v>
      </c>
      <c r="J380" s="21">
        <v>24.44</v>
      </c>
      <c r="L380">
        <v>38.9</v>
      </c>
      <c r="N380">
        <v>0.82</v>
      </c>
      <c r="P380">
        <v>10.064395709999999</v>
      </c>
      <c r="S380">
        <v>-1.8160999999999999E-4</v>
      </c>
      <c r="T380" s="6"/>
      <c r="U380" s="6"/>
      <c r="X380" t="s">
        <v>7</v>
      </c>
      <c r="Y380">
        <v>2</v>
      </c>
      <c r="Z380" t="s">
        <v>4</v>
      </c>
      <c r="AA380" s="16">
        <v>43712</v>
      </c>
      <c r="AB380">
        <v>247.52465500000108</v>
      </c>
      <c r="AC380" s="4">
        <v>833.7</v>
      </c>
      <c r="AE380">
        <v>-9.1079991450000009</v>
      </c>
      <c r="AH380">
        <v>-2.6299999999999999E-5</v>
      </c>
    </row>
    <row r="381" spans="1:36" x14ac:dyDescent="0.2">
      <c r="A381" t="s">
        <v>7</v>
      </c>
      <c r="B381">
        <v>3</v>
      </c>
      <c r="C381" s="2">
        <v>43712</v>
      </c>
      <c r="D381" s="13">
        <v>247.55515000000014</v>
      </c>
      <c r="E381" s="13"/>
      <c r="F381" s="4">
        <v>1068.7</v>
      </c>
      <c r="H381" s="4">
        <v>13.3</v>
      </c>
      <c r="J381" s="21">
        <v>25</v>
      </c>
      <c r="L381">
        <v>32.700000000000003</v>
      </c>
      <c r="N381">
        <v>0.83</v>
      </c>
      <c r="P381">
        <v>21.57541595</v>
      </c>
      <c r="S381" s="6">
        <v>3.7799999999999997E-5</v>
      </c>
      <c r="X381" t="s">
        <v>7</v>
      </c>
      <c r="Y381">
        <v>3</v>
      </c>
      <c r="Z381" t="s">
        <v>4</v>
      </c>
      <c r="AA381" s="16">
        <v>43712</v>
      </c>
      <c r="AB381">
        <v>247.54623500000162</v>
      </c>
      <c r="AC381" s="4">
        <v>1673.7</v>
      </c>
      <c r="AE381">
        <v>-14.640606679999999</v>
      </c>
      <c r="AH381">
        <v>3.1259099999999998E-4</v>
      </c>
    </row>
    <row r="382" spans="1:36" x14ac:dyDescent="0.2">
      <c r="A382" t="s">
        <v>7</v>
      </c>
      <c r="B382">
        <v>4</v>
      </c>
      <c r="C382" s="2">
        <v>43712</v>
      </c>
      <c r="D382" s="13">
        <v>247.56984999999986</v>
      </c>
      <c r="E382" s="13"/>
      <c r="F382" s="4">
        <v>1873.7</v>
      </c>
      <c r="H382" s="4">
        <v>13</v>
      </c>
      <c r="J382" s="21">
        <v>25</v>
      </c>
      <c r="L382">
        <v>40.6</v>
      </c>
      <c r="N382">
        <v>0.8</v>
      </c>
      <c r="P382">
        <v>19.492684189999999</v>
      </c>
      <c r="S382" s="6">
        <v>-5.6499999999999998E-5</v>
      </c>
      <c r="T382" s="6"/>
      <c r="U382" s="6"/>
      <c r="X382" t="s">
        <v>7</v>
      </c>
      <c r="Y382">
        <v>4</v>
      </c>
      <c r="Z382" t="s">
        <v>4</v>
      </c>
      <c r="AA382" s="16">
        <v>43712</v>
      </c>
      <c r="AB382">
        <v>247.56221000000005</v>
      </c>
      <c r="AC382" s="4">
        <v>686.2</v>
      </c>
      <c r="AE382">
        <v>-15.306464500000001</v>
      </c>
      <c r="AH382">
        <v>-2.9239000000000001E-4</v>
      </c>
    </row>
    <row r="383" spans="1:36" x14ac:dyDescent="0.2">
      <c r="A383" t="s">
        <v>7</v>
      </c>
      <c r="B383">
        <v>5</v>
      </c>
      <c r="C383" s="2">
        <v>43712</v>
      </c>
      <c r="D383" s="13">
        <v>247.58437499999854</v>
      </c>
      <c r="E383" s="13"/>
      <c r="F383" s="4">
        <v>1596.2</v>
      </c>
      <c r="H383" s="4">
        <v>10.4</v>
      </c>
      <c r="J383" s="21">
        <v>26.11</v>
      </c>
      <c r="L383">
        <v>46.4</v>
      </c>
      <c r="N383">
        <v>0.82</v>
      </c>
      <c r="P383">
        <v>33.742689339999998</v>
      </c>
      <c r="S383" s="6">
        <v>-3.9100000000000002E-5</v>
      </c>
      <c r="T383" s="6"/>
      <c r="U383" s="6"/>
      <c r="X383" t="s">
        <v>7</v>
      </c>
      <c r="Y383">
        <v>5</v>
      </c>
      <c r="Z383" t="s">
        <v>4</v>
      </c>
      <c r="AA383" s="16">
        <v>43712</v>
      </c>
      <c r="AB383">
        <v>247.57639000000199</v>
      </c>
      <c r="AC383" s="4">
        <v>1153.7</v>
      </c>
      <c r="AE383">
        <v>-35.318486530000001</v>
      </c>
      <c r="AH383">
        <v>-2.3799999999999999E-5</v>
      </c>
    </row>
    <row r="384" spans="1:36" x14ac:dyDescent="0.2">
      <c r="A384" t="s">
        <v>7</v>
      </c>
      <c r="B384">
        <v>1</v>
      </c>
      <c r="C384" s="2">
        <v>43721</v>
      </c>
      <c r="D384" s="13">
        <v>256.42418999999791</v>
      </c>
      <c r="E384" s="13">
        <v>256.45457299999981</v>
      </c>
      <c r="F384" s="4">
        <v>1181.2</v>
      </c>
      <c r="G384" s="4">
        <v>1422.2</v>
      </c>
      <c r="H384" s="4">
        <v>15.6</v>
      </c>
      <c r="I384" s="4">
        <v>16.160000000000004</v>
      </c>
      <c r="J384" s="21">
        <v>15</v>
      </c>
      <c r="K384" s="4">
        <v>15.666</v>
      </c>
      <c r="L384">
        <v>19.3</v>
      </c>
      <c r="M384">
        <v>20.34</v>
      </c>
      <c r="N384">
        <v>0.63</v>
      </c>
      <c r="O384" s="4">
        <v>0.65600000000000003</v>
      </c>
      <c r="P384">
        <v>8.9474155836730596</v>
      </c>
      <c r="Q384">
        <v>12.601413887436143</v>
      </c>
      <c r="R384">
        <v>8.229200252602844</v>
      </c>
      <c r="S384" s="6">
        <v>9.5400000000000001E-5</v>
      </c>
      <c r="T384" s="6">
        <v>-1.45432E-4</v>
      </c>
      <c r="U384" s="6">
        <v>3.1847970951616369E-4</v>
      </c>
      <c r="X384" t="s">
        <v>7</v>
      </c>
      <c r="Y384">
        <v>1</v>
      </c>
      <c r="Z384" t="s">
        <v>4</v>
      </c>
      <c r="AA384" s="16">
        <v>43721</v>
      </c>
      <c r="AB384">
        <v>256.41793999999936</v>
      </c>
      <c r="AC384" s="4">
        <v>1108.7</v>
      </c>
      <c r="AD384" s="4">
        <v>1349.7</v>
      </c>
      <c r="AE384">
        <v>-5.00526980273606</v>
      </c>
      <c r="AF384">
        <v>-5.4528283100207871</v>
      </c>
      <c r="AG384">
        <v>3.7296205136634515</v>
      </c>
      <c r="AH384">
        <v>-2.5114700000000001E-4</v>
      </c>
      <c r="AI384">
        <v>-1.1223600000000001E-4</v>
      </c>
      <c r="AJ384">
        <v>2.0401348853568479E-4</v>
      </c>
    </row>
    <row r="385" spans="1:36" x14ac:dyDescent="0.2">
      <c r="A385" t="s">
        <v>7</v>
      </c>
      <c r="B385">
        <v>2</v>
      </c>
      <c r="C385" s="2">
        <v>43721</v>
      </c>
      <c r="D385" s="13">
        <v>256.43935499999861</v>
      </c>
      <c r="E385" s="13"/>
      <c r="F385" s="4">
        <v>1303.7</v>
      </c>
      <c r="H385" s="4">
        <v>20.399999999999999</v>
      </c>
      <c r="J385" s="21">
        <v>15</v>
      </c>
      <c r="L385">
        <v>22</v>
      </c>
      <c r="N385">
        <v>0.66</v>
      </c>
      <c r="P385">
        <v>6.89313369045869</v>
      </c>
      <c r="S385">
        <v>1.5897900000000001E-4</v>
      </c>
      <c r="T385" s="6"/>
      <c r="U385" s="6"/>
      <c r="X385" t="s">
        <v>7</v>
      </c>
      <c r="Y385">
        <v>2</v>
      </c>
      <c r="Z385" t="s">
        <v>4</v>
      </c>
      <c r="AA385" s="16">
        <v>43721</v>
      </c>
      <c r="AB385">
        <v>256.43200499999875</v>
      </c>
      <c r="AC385" s="4">
        <v>1266.2</v>
      </c>
      <c r="AE385">
        <v>0.12378980158278099</v>
      </c>
      <c r="AH385">
        <v>1.4083499999999999E-4</v>
      </c>
    </row>
    <row r="386" spans="1:36" x14ac:dyDescent="0.2">
      <c r="A386" t="s">
        <v>7</v>
      </c>
      <c r="B386">
        <v>3</v>
      </c>
      <c r="C386" s="2">
        <v>43721</v>
      </c>
      <c r="D386" s="13">
        <v>256.45399499999985</v>
      </c>
      <c r="E386" s="13"/>
      <c r="F386" s="4">
        <v>1401.2</v>
      </c>
      <c r="H386" s="4">
        <v>14.7</v>
      </c>
      <c r="J386" s="21">
        <v>15</v>
      </c>
      <c r="L386">
        <v>23.2</v>
      </c>
      <c r="N386">
        <v>0.61</v>
      </c>
      <c r="P386">
        <v>13.6838992994051</v>
      </c>
      <c r="S386">
        <v>-5.8655700000000003E-4</v>
      </c>
      <c r="X386" t="s">
        <v>7</v>
      </c>
      <c r="Y386">
        <v>3</v>
      </c>
      <c r="Z386" t="s">
        <v>4</v>
      </c>
      <c r="AA386" s="16">
        <v>43721</v>
      </c>
      <c r="AB386">
        <v>256.44687500000146</v>
      </c>
      <c r="AC386" s="4">
        <v>1356.2</v>
      </c>
      <c r="AE386">
        <v>-9.5868648373473597</v>
      </c>
      <c r="AH386">
        <v>-7.7000000000000001E-5</v>
      </c>
    </row>
    <row r="387" spans="1:36" x14ac:dyDescent="0.2">
      <c r="A387" t="s">
        <v>7</v>
      </c>
      <c r="B387">
        <v>4</v>
      </c>
      <c r="C387" s="2">
        <v>43721</v>
      </c>
      <c r="D387" s="13">
        <v>256.47037000000273</v>
      </c>
      <c r="E387" s="13"/>
      <c r="F387" s="4">
        <v>1506.2</v>
      </c>
      <c r="H387" s="4">
        <v>14.9</v>
      </c>
      <c r="J387" s="21">
        <v>15</v>
      </c>
      <c r="L387">
        <v>18</v>
      </c>
      <c r="N387">
        <v>0.68</v>
      </c>
      <c r="P387">
        <v>7.0075157114909699</v>
      </c>
      <c r="S387">
        <v>-3.6338199999999998E-4</v>
      </c>
      <c r="T387" s="6"/>
      <c r="U387" s="6"/>
      <c r="X387" t="s">
        <v>7</v>
      </c>
      <c r="Y387">
        <v>4</v>
      </c>
      <c r="Z387" t="s">
        <v>4</v>
      </c>
      <c r="AA387" s="16">
        <v>43721</v>
      </c>
      <c r="AB387">
        <v>256.46203500000047</v>
      </c>
      <c r="AC387" s="4">
        <v>1443.7</v>
      </c>
      <c r="AE387">
        <v>-4.7449123105619799</v>
      </c>
      <c r="AH387">
        <v>-3.7500800000000003E-4</v>
      </c>
    </row>
    <row r="388" spans="1:36" x14ac:dyDescent="0.2">
      <c r="A388" t="s">
        <v>7</v>
      </c>
      <c r="B388">
        <v>5</v>
      </c>
      <c r="C388" s="2">
        <v>43721</v>
      </c>
      <c r="D388" s="13">
        <v>256.4849549999999</v>
      </c>
      <c r="E388" s="13"/>
      <c r="F388" s="4">
        <v>1718.7</v>
      </c>
      <c r="H388" s="4">
        <v>15.2</v>
      </c>
      <c r="J388" s="21">
        <v>18.329999999999998</v>
      </c>
      <c r="L388">
        <v>19.2</v>
      </c>
      <c r="N388">
        <v>0.7</v>
      </c>
      <c r="P388">
        <v>26.475105152152899</v>
      </c>
      <c r="S388" s="6">
        <v>-3.1600000000000002E-5</v>
      </c>
      <c r="T388" s="6"/>
      <c r="U388" s="6"/>
      <c r="X388" t="s">
        <v>7</v>
      </c>
      <c r="Y388">
        <v>5</v>
      </c>
      <c r="Z388" t="s">
        <v>4</v>
      </c>
      <c r="AA388" s="16">
        <v>43721</v>
      </c>
      <c r="AB388">
        <v>256.47789499999999</v>
      </c>
      <c r="AC388" s="4">
        <v>1573.7</v>
      </c>
      <c r="AE388">
        <v>-8.0508844010413192</v>
      </c>
      <c r="AH388">
        <v>1.1400000000000001E-6</v>
      </c>
    </row>
    <row r="389" spans="1:36" x14ac:dyDescent="0.2">
      <c r="A389" t="s">
        <v>7</v>
      </c>
      <c r="B389">
        <v>1</v>
      </c>
      <c r="C389" s="2">
        <v>43721</v>
      </c>
      <c r="D389" s="13">
        <v>256.52656500000012</v>
      </c>
      <c r="E389" s="13">
        <v>256.55283599999967</v>
      </c>
      <c r="F389" s="4">
        <v>2103.6999999999998</v>
      </c>
      <c r="G389" s="4">
        <v>1498.1999999999998</v>
      </c>
      <c r="H389" s="4">
        <v>14.6</v>
      </c>
      <c r="I389" s="4">
        <v>17</v>
      </c>
      <c r="J389" s="21">
        <v>18.89</v>
      </c>
      <c r="K389" s="4">
        <v>19.224</v>
      </c>
      <c r="L389">
        <v>17.100000000000001</v>
      </c>
      <c r="M389">
        <v>19.36</v>
      </c>
      <c r="N389">
        <v>0.62</v>
      </c>
      <c r="O389" s="4">
        <v>0.65400000000000014</v>
      </c>
      <c r="P389">
        <v>14.132103259999999</v>
      </c>
      <c r="Q389">
        <v>13.398265252750001</v>
      </c>
      <c r="R389">
        <v>3.5722911248210032</v>
      </c>
      <c r="S389">
        <v>-4.5431099999999999E-4</v>
      </c>
      <c r="T389" s="6">
        <v>-1.4417875E-4</v>
      </c>
      <c r="U389" s="6">
        <v>2.4606791859887653E-4</v>
      </c>
      <c r="X389" t="s">
        <v>7</v>
      </c>
      <c r="Y389">
        <v>1</v>
      </c>
      <c r="Z389" t="s">
        <v>4</v>
      </c>
      <c r="AA389" s="16">
        <v>43721</v>
      </c>
      <c r="AB389">
        <v>256.52031500000157</v>
      </c>
      <c r="AC389" s="4">
        <v>923.7</v>
      </c>
      <c r="AD389" s="4">
        <v>1155.7</v>
      </c>
      <c r="AE389">
        <v>1.408862289</v>
      </c>
      <c r="AF389">
        <v>-1.6402171379999999</v>
      </c>
      <c r="AG389">
        <v>3.743939984623915</v>
      </c>
      <c r="AH389">
        <v>-1.206394E-3</v>
      </c>
      <c r="AI389">
        <v>-1.8986879999999999E-4</v>
      </c>
      <c r="AJ389">
        <v>5.9699015881101419E-4</v>
      </c>
    </row>
    <row r="390" spans="1:36" x14ac:dyDescent="0.2">
      <c r="A390" t="s">
        <v>7</v>
      </c>
      <c r="B390">
        <v>2</v>
      </c>
      <c r="C390" s="2">
        <v>43721</v>
      </c>
      <c r="D390" s="13">
        <v>256.53970000000118</v>
      </c>
      <c r="E390" s="13"/>
      <c r="F390" s="4">
        <v>958.7</v>
      </c>
      <c r="H390" s="4">
        <v>18.399999999999999</v>
      </c>
      <c r="J390" s="21">
        <v>18.89</v>
      </c>
      <c r="L390">
        <v>18.899999999999999</v>
      </c>
      <c r="N390">
        <v>0.67</v>
      </c>
      <c r="P390">
        <v>8.1523505309999997</v>
      </c>
      <c r="S390">
        <v>-1.6064599999999999E-4</v>
      </c>
      <c r="T390" s="6"/>
      <c r="U390" s="6"/>
      <c r="X390" t="s">
        <v>7</v>
      </c>
      <c r="Y390">
        <v>2</v>
      </c>
      <c r="Z390" t="s">
        <v>4</v>
      </c>
      <c r="AA390" s="16">
        <v>43721</v>
      </c>
      <c r="AB390">
        <v>256.53287000000273</v>
      </c>
      <c r="AC390" s="4">
        <v>756.2</v>
      </c>
      <c r="AE390">
        <v>2.1355846490000001</v>
      </c>
      <c r="AH390">
        <v>3.7743999999999999E-4</v>
      </c>
    </row>
    <row r="391" spans="1:36" x14ac:dyDescent="0.2">
      <c r="A391" t="s">
        <v>7</v>
      </c>
      <c r="B391">
        <v>3</v>
      </c>
      <c r="C391" s="2">
        <v>43721</v>
      </c>
      <c r="D391" s="13">
        <v>256.55283499999859</v>
      </c>
      <c r="E391" s="13"/>
      <c r="F391" s="4">
        <v>1871.2</v>
      </c>
      <c r="H391" s="4">
        <v>12.9</v>
      </c>
      <c r="J391" s="21">
        <v>18.89</v>
      </c>
      <c r="L391">
        <v>19.3</v>
      </c>
      <c r="N391">
        <v>0.62</v>
      </c>
      <c r="P391">
        <v>15.502260830000001</v>
      </c>
      <c r="S391">
        <v>1.4533800000000001E-4</v>
      </c>
      <c r="X391" t="s">
        <v>7</v>
      </c>
      <c r="Y391">
        <v>3</v>
      </c>
      <c r="Z391" t="s">
        <v>4</v>
      </c>
      <c r="AA391" s="16">
        <v>43721</v>
      </c>
      <c r="AB391">
        <v>256.54670500000066</v>
      </c>
      <c r="AC391" s="4">
        <v>1696.2</v>
      </c>
      <c r="AE391">
        <v>-5.0823788079999996</v>
      </c>
      <c r="AH391">
        <v>-7.4499999999999995E-5</v>
      </c>
    </row>
    <row r="392" spans="1:36" x14ac:dyDescent="0.2">
      <c r="A392" t="s">
        <v>7</v>
      </c>
      <c r="B392">
        <v>4</v>
      </c>
      <c r="C392" s="2">
        <v>43721</v>
      </c>
      <c r="D392" s="13">
        <v>256.5674199999994</v>
      </c>
      <c r="E392" s="13"/>
      <c r="F392" s="4">
        <v>1381.2</v>
      </c>
      <c r="H392" s="4">
        <v>19.600000000000001</v>
      </c>
      <c r="J392" s="21">
        <v>18.89</v>
      </c>
      <c r="L392">
        <v>13</v>
      </c>
      <c r="N392">
        <v>0.66</v>
      </c>
      <c r="P392">
        <v>15.80634639</v>
      </c>
      <c r="S392">
        <v>-1.0709600000000001E-4</v>
      </c>
      <c r="T392" s="6"/>
      <c r="U392" s="6"/>
      <c r="X392" t="s">
        <v>7</v>
      </c>
      <c r="Y392">
        <v>4</v>
      </c>
      <c r="Z392" t="s">
        <v>4</v>
      </c>
      <c r="AA392" s="16">
        <v>43721</v>
      </c>
      <c r="AB392">
        <v>256.56070499999987</v>
      </c>
      <c r="AC392" s="4">
        <v>1801.2</v>
      </c>
      <c r="AE392">
        <v>-0.59799782499999998</v>
      </c>
      <c r="AH392">
        <v>3.41E-6</v>
      </c>
    </row>
    <row r="393" spans="1:36" x14ac:dyDescent="0.2">
      <c r="A393" t="s">
        <v>7</v>
      </c>
      <c r="B393">
        <v>5</v>
      </c>
      <c r="C393" s="2">
        <v>43721</v>
      </c>
      <c r="D393" s="13">
        <v>256.57765999999901</v>
      </c>
      <c r="E393" s="13"/>
      <c r="F393" s="4">
        <v>1176.2</v>
      </c>
      <c r="H393" s="4">
        <v>19.5</v>
      </c>
      <c r="J393" s="21">
        <v>20.56</v>
      </c>
      <c r="L393">
        <v>28.5</v>
      </c>
      <c r="N393">
        <v>0.7</v>
      </c>
      <c r="T393" s="6"/>
      <c r="U393" s="6"/>
      <c r="X393" t="s">
        <v>7</v>
      </c>
      <c r="Y393">
        <v>5</v>
      </c>
      <c r="Z393" t="s">
        <v>4</v>
      </c>
      <c r="AA393" s="16">
        <v>43721</v>
      </c>
      <c r="AB393">
        <v>256.57407500000045</v>
      </c>
      <c r="AC393" s="4">
        <v>601.20000000000005</v>
      </c>
      <c r="AE393">
        <v>-6.0651559949999996</v>
      </c>
      <c r="AH393">
        <v>-4.9299999999999999E-5</v>
      </c>
    </row>
    <row r="394" spans="1:36" x14ac:dyDescent="0.2">
      <c r="A394" t="s">
        <v>7</v>
      </c>
      <c r="B394">
        <v>1</v>
      </c>
      <c r="C394" s="2">
        <v>43727</v>
      </c>
      <c r="D394" s="13">
        <v>262.45260499999858</v>
      </c>
      <c r="E394" s="13">
        <v>262.48348499999992</v>
      </c>
      <c r="F394" s="4">
        <v>1403.7</v>
      </c>
      <c r="G394" s="4">
        <v>1538.7</v>
      </c>
      <c r="H394" s="4">
        <v>11.7</v>
      </c>
      <c r="I394" s="4">
        <v>12.4</v>
      </c>
      <c r="J394" s="18">
        <v>12.78</v>
      </c>
      <c r="K394" s="4">
        <v>13.668000000000001</v>
      </c>
      <c r="L394">
        <v>15.2</v>
      </c>
      <c r="M394">
        <v>17.64</v>
      </c>
      <c r="N394">
        <v>0.43</v>
      </c>
      <c r="O394" s="4">
        <v>0.49000000000000005</v>
      </c>
      <c r="P394">
        <v>5.9892209451699898</v>
      </c>
      <c r="Q394">
        <v>9.9476339024330738</v>
      </c>
      <c r="R394">
        <v>5.6866634421635043</v>
      </c>
      <c r="S394">
        <v>-1.3668796250930799E-4</v>
      </c>
      <c r="T394" s="6">
        <v>-1.6814210122629371E-4</v>
      </c>
      <c r="U394" s="6">
        <v>1.9717293507136305E-4</v>
      </c>
      <c r="X394" t="s">
        <v>7</v>
      </c>
      <c r="Y394">
        <v>1</v>
      </c>
      <c r="Z394" t="s">
        <v>4</v>
      </c>
      <c r="AA394" s="16">
        <v>43727</v>
      </c>
      <c r="AB394">
        <v>262.44455999999991</v>
      </c>
      <c r="AC394" s="4">
        <v>1358.7</v>
      </c>
      <c r="AD394" s="4">
        <v>1507.7</v>
      </c>
      <c r="AE394">
        <v>5.6176137478626096</v>
      </c>
      <c r="AF394">
        <v>3.847744446068166</v>
      </c>
      <c r="AG394">
        <v>1.1720242055162688</v>
      </c>
      <c r="AH394">
        <v>5.6235466564831901E-5</v>
      </c>
      <c r="AI394">
        <v>-2.1983042398297244E-4</v>
      </c>
      <c r="AJ394">
        <v>2.7759925373013332E-4</v>
      </c>
    </row>
    <row r="395" spans="1:36" x14ac:dyDescent="0.2">
      <c r="A395" t="s">
        <v>7</v>
      </c>
      <c r="B395">
        <v>2</v>
      </c>
      <c r="C395" s="2">
        <v>43727</v>
      </c>
      <c r="D395" s="13">
        <v>262.46701499999836</v>
      </c>
      <c r="E395" s="13"/>
      <c r="F395" s="4">
        <v>1481.2</v>
      </c>
      <c r="H395" s="4">
        <v>16.5</v>
      </c>
      <c r="J395" s="18">
        <v>12.78</v>
      </c>
      <c r="L395">
        <v>18</v>
      </c>
      <c r="N395">
        <v>0.5</v>
      </c>
      <c r="P395">
        <v>5.4068543153191397</v>
      </c>
      <c r="S395">
        <v>-4.44841087714841E-4</v>
      </c>
      <c r="T395" s="6"/>
      <c r="U395" s="6"/>
      <c r="X395" t="s">
        <v>7</v>
      </c>
      <c r="Y395">
        <v>2</v>
      </c>
      <c r="Z395" t="s">
        <v>4</v>
      </c>
      <c r="AA395" s="16">
        <v>43727</v>
      </c>
      <c r="AB395">
        <v>262.4594900000011</v>
      </c>
      <c r="AC395" s="4">
        <v>1441.2</v>
      </c>
      <c r="AE395">
        <v>3.84219659838215</v>
      </c>
      <c r="AH395">
        <v>-5.1641553721046404E-4</v>
      </c>
    </row>
    <row r="396" spans="1:36" x14ac:dyDescent="0.2">
      <c r="A396" t="s">
        <v>7</v>
      </c>
      <c r="B396">
        <v>3</v>
      </c>
      <c r="C396" s="2">
        <v>43727</v>
      </c>
      <c r="D396" s="13">
        <v>262.48229500000161</v>
      </c>
      <c r="E396" s="13"/>
      <c r="F396" s="4">
        <v>1553.7</v>
      </c>
      <c r="H396" s="4">
        <v>11.8</v>
      </c>
      <c r="J396" s="18">
        <v>12.78</v>
      </c>
      <c r="L396">
        <v>13.1</v>
      </c>
      <c r="N396">
        <v>0.48</v>
      </c>
      <c r="P396">
        <v>9.4932990749153099</v>
      </c>
      <c r="S396" s="6">
        <v>3.9516709948954001E-5</v>
      </c>
      <c r="X396" t="s">
        <v>7</v>
      </c>
      <c r="Y396">
        <v>3</v>
      </c>
      <c r="Z396" t="s">
        <v>4</v>
      </c>
      <c r="AA396" s="16">
        <v>43727</v>
      </c>
      <c r="AB396">
        <v>262.47557500000039</v>
      </c>
      <c r="AC396" s="4">
        <v>1518.7</v>
      </c>
      <c r="AE396">
        <v>3.85479511896557</v>
      </c>
      <c r="AH396">
        <v>-4.6940607200041698E-4</v>
      </c>
    </row>
    <row r="397" spans="1:36" x14ac:dyDescent="0.2">
      <c r="A397" t="s">
        <v>7</v>
      </c>
      <c r="B397">
        <v>4</v>
      </c>
      <c r="C397" s="2">
        <v>43727</v>
      </c>
      <c r="D397" s="13">
        <v>262.49872500000129</v>
      </c>
      <c r="E397" s="13"/>
      <c r="F397" s="4">
        <v>1611.2</v>
      </c>
      <c r="H397" s="4">
        <v>13.6</v>
      </c>
      <c r="J397" s="18">
        <v>12.78</v>
      </c>
      <c r="L397">
        <v>15.1</v>
      </c>
      <c r="N397">
        <v>0.55000000000000004</v>
      </c>
      <c r="P397">
        <v>9.2874916283863307</v>
      </c>
      <c r="S397" s="6">
        <v>-1.8719001399837401E-5</v>
      </c>
      <c r="T397" s="6"/>
      <c r="U397" s="6"/>
      <c r="X397" t="s">
        <v>7</v>
      </c>
      <c r="Y397">
        <v>4</v>
      </c>
      <c r="Z397" t="s">
        <v>4</v>
      </c>
      <c r="AA397" s="16">
        <v>43727</v>
      </c>
      <c r="AB397">
        <v>262.49062499999854</v>
      </c>
      <c r="AC397" s="4">
        <v>1586.2</v>
      </c>
      <c r="AE397">
        <v>3.5918065509075601</v>
      </c>
      <c r="AH397">
        <v>6.5727233115170806E-5</v>
      </c>
    </row>
    <row r="398" spans="1:36" x14ac:dyDescent="0.2">
      <c r="A398" t="s">
        <v>7</v>
      </c>
      <c r="B398">
        <v>5</v>
      </c>
      <c r="C398" s="2">
        <v>43727</v>
      </c>
      <c r="D398" s="13">
        <v>262.5167849999998</v>
      </c>
      <c r="E398" s="13"/>
      <c r="F398" s="4">
        <v>1643.7</v>
      </c>
      <c r="H398" s="4">
        <v>8.4</v>
      </c>
      <c r="J398" s="18">
        <v>17.22</v>
      </c>
      <c r="L398">
        <v>26.8</v>
      </c>
      <c r="N398">
        <v>0.49</v>
      </c>
      <c r="P398">
        <v>19.5613035483746</v>
      </c>
      <c r="S398">
        <v>-2.7997916445643602E-4</v>
      </c>
      <c r="T398" s="6"/>
      <c r="U398" s="6"/>
      <c r="X398" t="s">
        <v>7</v>
      </c>
      <c r="Y398">
        <v>5</v>
      </c>
      <c r="Z398" t="s">
        <v>4</v>
      </c>
      <c r="AA398" s="16">
        <v>43727</v>
      </c>
      <c r="AB398">
        <v>262.50787000000128</v>
      </c>
      <c r="AC398" s="4">
        <v>1633.7</v>
      </c>
      <c r="AE398">
        <v>2.3323102142229399</v>
      </c>
      <c r="AH398">
        <v>-2.35293210383984E-4</v>
      </c>
    </row>
    <row r="399" spans="1:36" x14ac:dyDescent="0.2">
      <c r="A399" t="s">
        <v>7</v>
      </c>
      <c r="B399">
        <v>1</v>
      </c>
      <c r="C399" s="2">
        <v>43727</v>
      </c>
      <c r="D399" s="13">
        <v>262.56117000000086</v>
      </c>
      <c r="E399" s="13">
        <v>262.59262900000033</v>
      </c>
      <c r="F399" s="4">
        <v>1638.7</v>
      </c>
      <c r="G399" s="4">
        <v>1543.7</v>
      </c>
      <c r="H399" s="4">
        <v>11.3</v>
      </c>
      <c r="I399" s="4">
        <v>11.66</v>
      </c>
      <c r="J399" s="18">
        <v>17.78</v>
      </c>
      <c r="K399" s="4">
        <v>18.446000000000002</v>
      </c>
      <c r="L399">
        <v>21.9</v>
      </c>
      <c r="M399">
        <v>23.359999999999996</v>
      </c>
      <c r="N399">
        <v>0.46</v>
      </c>
      <c r="O399" s="4">
        <v>0.50600000000000001</v>
      </c>
      <c r="P399">
        <v>8.2679835506738701</v>
      </c>
      <c r="Q399">
        <v>10.424736501459341</v>
      </c>
      <c r="R399">
        <v>5.3165389102461997</v>
      </c>
      <c r="S399">
        <v>-3.7979144849257401E-4</v>
      </c>
      <c r="T399" s="6">
        <v>-2.221038233631032E-4</v>
      </c>
      <c r="U399" s="6">
        <v>3.3528670197954845E-4</v>
      </c>
      <c r="X399" t="s">
        <v>7</v>
      </c>
      <c r="Y399">
        <v>1</v>
      </c>
      <c r="Z399" t="s">
        <v>4</v>
      </c>
      <c r="AA399" s="16">
        <v>43727</v>
      </c>
      <c r="AB399">
        <v>262.5549749999991</v>
      </c>
      <c r="AC399" s="4">
        <v>1656.2</v>
      </c>
      <c r="AD399" s="4">
        <v>1572.7</v>
      </c>
      <c r="AE399">
        <v>7.0045951724593802</v>
      </c>
      <c r="AF399">
        <v>4.7823822256665336</v>
      </c>
      <c r="AG399">
        <v>1.356645993395506</v>
      </c>
      <c r="AH399">
        <v>-4.1308383276125201E-6</v>
      </c>
      <c r="AI399">
        <v>1.0437506023562042E-5</v>
      </c>
      <c r="AJ399">
        <v>9.9256037522928368E-5</v>
      </c>
    </row>
    <row r="400" spans="1:36" x14ac:dyDescent="0.2">
      <c r="A400" t="s">
        <v>7</v>
      </c>
      <c r="B400">
        <v>2</v>
      </c>
      <c r="C400" s="2">
        <v>43727</v>
      </c>
      <c r="D400" s="13">
        <v>262.57627499999944</v>
      </c>
      <c r="E400" s="13"/>
      <c r="F400" s="4">
        <v>1613.7</v>
      </c>
      <c r="H400" s="4">
        <v>15.9</v>
      </c>
      <c r="J400" s="18">
        <v>17.78</v>
      </c>
      <c r="L400">
        <v>27.8</v>
      </c>
      <c r="N400">
        <v>0.5</v>
      </c>
      <c r="P400">
        <v>5.0746177709405398</v>
      </c>
      <c r="S400">
        <v>-7.4131175039941104E-4</v>
      </c>
      <c r="T400" s="6"/>
      <c r="U400" s="6"/>
      <c r="X400" t="s">
        <v>7</v>
      </c>
      <c r="Y400">
        <v>2</v>
      </c>
      <c r="Z400" t="s">
        <v>4</v>
      </c>
      <c r="AA400" s="16">
        <v>43727</v>
      </c>
      <c r="AB400">
        <v>262.56805499999973</v>
      </c>
      <c r="AC400" s="4">
        <v>1636.2</v>
      </c>
      <c r="AE400">
        <v>4.35312274232282</v>
      </c>
      <c r="AH400">
        <v>-7.3763190464276897E-5</v>
      </c>
    </row>
    <row r="401" spans="1:36" x14ac:dyDescent="0.2">
      <c r="A401" t="s">
        <v>7</v>
      </c>
      <c r="B401">
        <v>3</v>
      </c>
      <c r="C401" s="2">
        <v>43727</v>
      </c>
      <c r="D401" s="13">
        <v>262.59288500000184</v>
      </c>
      <c r="E401" s="13"/>
      <c r="F401" s="4">
        <v>1561.2</v>
      </c>
      <c r="H401" s="4">
        <v>9.6</v>
      </c>
      <c r="J401" s="18">
        <v>17.78</v>
      </c>
      <c r="L401">
        <v>20.399999999999999</v>
      </c>
      <c r="N401">
        <v>0.52</v>
      </c>
      <c r="P401">
        <v>9.2493572466662997</v>
      </c>
      <c r="S401" s="6">
        <v>-5.6469371199985601E-6</v>
      </c>
      <c r="X401" t="s">
        <v>7</v>
      </c>
      <c r="Y401">
        <v>3</v>
      </c>
      <c r="Z401" t="s">
        <v>4</v>
      </c>
      <c r="AA401" s="16">
        <v>43727</v>
      </c>
      <c r="AB401">
        <v>262.58576499999981</v>
      </c>
      <c r="AC401" s="4">
        <v>1588.7</v>
      </c>
      <c r="AE401">
        <v>4.3879321080911504</v>
      </c>
      <c r="AH401">
        <v>-5.4892905981794999E-5</v>
      </c>
    </row>
    <row r="402" spans="1:36" x14ac:dyDescent="0.2">
      <c r="A402" t="s">
        <v>7</v>
      </c>
      <c r="B402">
        <v>4</v>
      </c>
      <c r="C402" s="2">
        <v>43727</v>
      </c>
      <c r="D402" s="13">
        <v>262.60867999999755</v>
      </c>
      <c r="E402" s="13"/>
      <c r="F402" s="4">
        <v>1491.2</v>
      </c>
      <c r="H402" s="4">
        <v>12.9</v>
      </c>
      <c r="J402" s="18">
        <v>17.78</v>
      </c>
      <c r="L402">
        <v>16.8</v>
      </c>
      <c r="N402">
        <v>0.53</v>
      </c>
      <c r="P402">
        <v>10.253948120374901</v>
      </c>
      <c r="S402" s="6">
        <v>-2.6315329344431201E-5</v>
      </c>
      <c r="T402" s="6"/>
      <c r="U402" s="6"/>
      <c r="X402" t="s">
        <v>7</v>
      </c>
      <c r="Y402">
        <v>4</v>
      </c>
      <c r="Z402" t="s">
        <v>4</v>
      </c>
      <c r="AA402" s="16">
        <v>43727</v>
      </c>
      <c r="AB402">
        <v>262.59976499999902</v>
      </c>
      <c r="AC402" s="4">
        <v>1531.2</v>
      </c>
      <c r="AE402">
        <v>4.8267576841553499</v>
      </c>
      <c r="AH402">
        <v>1.77259492201341E-4</v>
      </c>
    </row>
    <row r="403" spans="1:36" x14ac:dyDescent="0.2">
      <c r="A403" t="s">
        <v>7</v>
      </c>
      <c r="B403">
        <v>5</v>
      </c>
      <c r="C403" s="2">
        <v>43727</v>
      </c>
      <c r="D403" s="13">
        <v>262.62413500000184</v>
      </c>
      <c r="E403" s="13"/>
      <c r="F403" s="4">
        <v>1413.7</v>
      </c>
      <c r="H403" s="4">
        <v>8.6</v>
      </c>
      <c r="J403" s="18">
        <v>21.11</v>
      </c>
      <c r="L403">
        <v>29.9</v>
      </c>
      <c r="N403">
        <v>0.52</v>
      </c>
      <c r="P403">
        <v>19.2777758186411</v>
      </c>
      <c r="S403" s="6">
        <v>4.2546348540898802E-5</v>
      </c>
      <c r="T403" s="6"/>
      <c r="U403" s="6"/>
      <c r="X403" t="s">
        <v>7</v>
      </c>
      <c r="Y403">
        <v>5</v>
      </c>
      <c r="Z403" t="s">
        <v>4</v>
      </c>
      <c r="AA403" s="16">
        <v>43727</v>
      </c>
      <c r="AB403">
        <v>262.61701499999981</v>
      </c>
      <c r="AC403" s="4">
        <v>1451.2</v>
      </c>
      <c r="AE403">
        <v>3.33950342130397</v>
      </c>
      <c r="AH403">
        <v>7.7149726901536396E-6</v>
      </c>
    </row>
    <row r="404" spans="1:36" x14ac:dyDescent="0.2">
      <c r="A404" t="s">
        <v>7</v>
      </c>
      <c r="B404">
        <v>1</v>
      </c>
      <c r="C404" s="2">
        <v>43734</v>
      </c>
      <c r="D404" s="13">
        <v>269.4230349999998</v>
      </c>
      <c r="E404" s="13">
        <v>269.45428299999986</v>
      </c>
      <c r="F404" s="4">
        <v>1488.7</v>
      </c>
      <c r="G404" s="4">
        <v>1568.7</v>
      </c>
      <c r="H404" s="4">
        <v>9.8000000000000007</v>
      </c>
      <c r="I404" s="4">
        <v>8.58</v>
      </c>
      <c r="J404" s="18">
        <v>21.67</v>
      </c>
      <c r="K404" s="4">
        <v>21.89</v>
      </c>
      <c r="L404">
        <v>9.8000000000000007</v>
      </c>
      <c r="M404">
        <v>15.120000000000001</v>
      </c>
      <c r="N404">
        <v>0.3</v>
      </c>
      <c r="O404" s="4">
        <v>0.34599999999999997</v>
      </c>
      <c r="P404">
        <v>3.6176542241798599</v>
      </c>
      <c r="Q404">
        <v>6.270658200601388</v>
      </c>
      <c r="R404">
        <v>2.8060683063305958</v>
      </c>
      <c r="S404">
        <v>-4.7901543937419597E-6</v>
      </c>
      <c r="T404" s="6">
        <v>-3.1462971725170917E-4</v>
      </c>
      <c r="U404" s="6">
        <v>2.2436807746717345E-4</v>
      </c>
      <c r="X404" t="s">
        <v>7</v>
      </c>
      <c r="Y404">
        <v>1</v>
      </c>
      <c r="Z404" t="s">
        <v>4</v>
      </c>
      <c r="AA404" s="16">
        <v>43734</v>
      </c>
      <c r="AB404">
        <v>269.41423500000019</v>
      </c>
      <c r="AC404" s="4">
        <v>1361.2</v>
      </c>
      <c r="AD404" s="4">
        <v>1388.7</v>
      </c>
      <c r="AE404">
        <v>3.6213897221948401</v>
      </c>
      <c r="AF404">
        <v>3.6825345237659461</v>
      </c>
      <c r="AG404">
        <v>1.4164686494199372</v>
      </c>
      <c r="AH404">
        <v>9.8746516479803796E-5</v>
      </c>
      <c r="AI404">
        <v>-5.0711689287382884E-5</v>
      </c>
      <c r="AJ404">
        <v>1.0041195269747635E-4</v>
      </c>
    </row>
    <row r="405" spans="1:36" x14ac:dyDescent="0.2">
      <c r="A405" t="s">
        <v>7</v>
      </c>
      <c r="B405">
        <v>2</v>
      </c>
      <c r="C405" s="2">
        <v>43734</v>
      </c>
      <c r="D405" s="13">
        <v>269.44039500000144</v>
      </c>
      <c r="E405" s="13"/>
      <c r="F405" s="4">
        <v>1408.7</v>
      </c>
      <c r="H405" s="4">
        <v>11.4</v>
      </c>
      <c r="J405" s="18">
        <v>21.67</v>
      </c>
      <c r="L405">
        <v>23.6</v>
      </c>
      <c r="N405">
        <v>0.38</v>
      </c>
      <c r="P405">
        <v>5.4203918895958401</v>
      </c>
      <c r="S405">
        <v>-1.7594663134808301E-4</v>
      </c>
      <c r="T405" s="6"/>
      <c r="U405" s="6"/>
      <c r="X405" t="s">
        <v>7</v>
      </c>
      <c r="Y405">
        <v>2</v>
      </c>
      <c r="Z405" t="s">
        <v>4</v>
      </c>
      <c r="AA405" s="16">
        <v>43734</v>
      </c>
      <c r="AB405">
        <v>269.43368000000191</v>
      </c>
      <c r="AC405" s="4">
        <v>1283.7</v>
      </c>
      <c r="AE405">
        <v>5.9580539418201699</v>
      </c>
      <c r="AH405">
        <v>-1.494039387828E-4</v>
      </c>
    </row>
    <row r="406" spans="1:36" x14ac:dyDescent="0.2">
      <c r="A406" t="s">
        <v>7</v>
      </c>
      <c r="B406">
        <v>3</v>
      </c>
      <c r="C406" s="2">
        <v>43734</v>
      </c>
      <c r="D406" s="13">
        <v>269.453125</v>
      </c>
      <c r="E406" s="13"/>
      <c r="F406" s="4">
        <v>1423.7</v>
      </c>
      <c r="H406" s="4">
        <v>7.3</v>
      </c>
      <c r="J406" s="18">
        <v>21.67</v>
      </c>
      <c r="L406">
        <v>9.8000000000000007</v>
      </c>
      <c r="N406">
        <v>0.35</v>
      </c>
      <c r="P406">
        <v>5.6906656538834302</v>
      </c>
      <c r="S406">
        <v>-5.6764622911858402E-4</v>
      </c>
      <c r="X406" t="s">
        <v>7</v>
      </c>
      <c r="Y406">
        <v>3</v>
      </c>
      <c r="Z406" t="s">
        <v>4</v>
      </c>
      <c r="AA406" s="16">
        <v>43734</v>
      </c>
      <c r="AB406">
        <v>269.446179999999</v>
      </c>
      <c r="AC406" s="4">
        <v>1458.7</v>
      </c>
      <c r="AE406">
        <v>3.6285703528023801</v>
      </c>
      <c r="AH406">
        <v>-7.9485884646805208E-6</v>
      </c>
    </row>
    <row r="407" spans="1:36" x14ac:dyDescent="0.2">
      <c r="A407" t="s">
        <v>7</v>
      </c>
      <c r="B407">
        <v>4</v>
      </c>
      <c r="C407" s="2">
        <v>43734</v>
      </c>
      <c r="D407" s="13">
        <v>269.46701499999836</v>
      </c>
      <c r="E407" s="13"/>
      <c r="F407" s="4">
        <v>1338.7</v>
      </c>
      <c r="H407" s="4">
        <v>9.1</v>
      </c>
      <c r="J407" s="18">
        <v>22.22</v>
      </c>
      <c r="L407">
        <v>12.7</v>
      </c>
      <c r="N407">
        <v>0.32</v>
      </c>
      <c r="P407">
        <v>5.5680424148850101</v>
      </c>
      <c r="S407">
        <v>-4.5112490527495598E-4</v>
      </c>
      <c r="T407" s="6"/>
      <c r="U407" s="6"/>
      <c r="X407" t="s">
        <v>7</v>
      </c>
      <c r="Y407">
        <v>4</v>
      </c>
      <c r="Z407" t="s">
        <v>4</v>
      </c>
      <c r="AA407" s="16">
        <v>43734</v>
      </c>
      <c r="AB407">
        <v>269.460070000001</v>
      </c>
      <c r="AC407" s="4">
        <v>1338.7</v>
      </c>
      <c r="AE407">
        <v>2.0987383697165001</v>
      </c>
      <c r="AH407">
        <v>-6.5462154174990704E-5</v>
      </c>
    </row>
    <row r="408" spans="1:36" x14ac:dyDescent="0.2">
      <c r="A408" t="s">
        <v>7</v>
      </c>
      <c r="B408">
        <v>5</v>
      </c>
      <c r="C408" s="2">
        <v>43734</v>
      </c>
      <c r="D408" s="13">
        <v>269.48784499999965</v>
      </c>
      <c r="E408" s="13"/>
      <c r="F408" s="4">
        <v>2183.6999999999998</v>
      </c>
      <c r="H408" s="4">
        <v>5.3</v>
      </c>
      <c r="J408" s="18">
        <v>22.22</v>
      </c>
      <c r="L408">
        <v>19.7</v>
      </c>
      <c r="N408">
        <v>0.38</v>
      </c>
      <c r="P408">
        <v>11.056536820462799</v>
      </c>
      <c r="S408">
        <v>-3.7364066612318098E-4</v>
      </c>
      <c r="T408" s="6"/>
      <c r="U408" s="6"/>
      <c r="X408" t="s">
        <v>7</v>
      </c>
      <c r="Y408">
        <v>5</v>
      </c>
      <c r="Z408" t="s">
        <v>4</v>
      </c>
      <c r="AA408" s="16">
        <v>43734</v>
      </c>
      <c r="AB408">
        <v>269.47604499999943</v>
      </c>
      <c r="AC408" s="4">
        <v>1501.2</v>
      </c>
      <c r="AE408">
        <v>3.1059202322958401</v>
      </c>
      <c r="AH408">
        <v>-1.29490281494247E-4</v>
      </c>
    </row>
    <row r="409" spans="1:36" s="18" customFormat="1" x14ac:dyDescent="0.2">
      <c r="A409" s="18" t="s">
        <v>7</v>
      </c>
      <c r="B409" s="18">
        <v>1</v>
      </c>
      <c r="C409" s="19">
        <v>43734</v>
      </c>
      <c r="D409" s="20">
        <v>269.54583500000081</v>
      </c>
      <c r="E409" s="20">
        <v>269.55972166666714</v>
      </c>
      <c r="F409" s="21">
        <v>83.7</v>
      </c>
      <c r="G409" s="4">
        <v>87.866666666666674</v>
      </c>
      <c r="H409" s="21">
        <v>10.8</v>
      </c>
      <c r="I409" s="4">
        <v>10.866666666666667</v>
      </c>
      <c r="J409" s="21">
        <v>21.11</v>
      </c>
      <c r="K409" s="4">
        <v>20.74</v>
      </c>
      <c r="L409" s="18">
        <v>15.8</v>
      </c>
      <c r="M409">
        <v>15.700000000000001</v>
      </c>
      <c r="N409" s="18">
        <v>0.32</v>
      </c>
      <c r="O409" s="4">
        <v>0.34333333333333332</v>
      </c>
      <c r="P409" s="18">
        <v>5.7105456973782696</v>
      </c>
      <c r="Q409">
        <v>5.6178109009539146</v>
      </c>
      <c r="R409">
        <v>0.72205729714868783</v>
      </c>
      <c r="S409" s="18">
        <v>-3.91152678737804E-4</v>
      </c>
      <c r="T409" s="6">
        <v>-2.6509763646089831E-4</v>
      </c>
      <c r="U409" s="6">
        <v>1.0986090660835628E-4</v>
      </c>
      <c r="X409" s="18" t="s">
        <v>7</v>
      </c>
      <c r="Y409" s="18">
        <v>1</v>
      </c>
      <c r="Z409" s="18" t="s">
        <v>4</v>
      </c>
      <c r="AA409" s="22">
        <v>43734</v>
      </c>
      <c r="AB409" s="18">
        <v>269.5376150000011</v>
      </c>
      <c r="AC409" s="21">
        <v>168.7</v>
      </c>
      <c r="AD409" s="4">
        <v>130.36666666666665</v>
      </c>
      <c r="AE409" s="18">
        <v>5.0796562046149898</v>
      </c>
      <c r="AF409">
        <v>6.0427121036552025</v>
      </c>
      <c r="AG409">
        <v>0.8583422410913073</v>
      </c>
      <c r="AH409" s="18">
        <v>-3.3495657528618601E-4</v>
      </c>
      <c r="AI409">
        <v>-3.6665438364634397E-4</v>
      </c>
      <c r="AJ409">
        <v>3.3248798865831861E-5</v>
      </c>
    </row>
    <row r="410" spans="1:36" s="18" customFormat="1" x14ac:dyDescent="0.2">
      <c r="A410" s="18" t="s">
        <v>7</v>
      </c>
      <c r="B410" s="18">
        <v>2</v>
      </c>
      <c r="C410" s="19">
        <v>43734</v>
      </c>
      <c r="D410" s="20">
        <v>269.55937500000073</v>
      </c>
      <c r="E410" s="20"/>
      <c r="F410" s="21">
        <v>86.2</v>
      </c>
      <c r="G410" s="4"/>
      <c r="H410" s="21">
        <v>15.5</v>
      </c>
      <c r="I410"/>
      <c r="J410" s="21">
        <v>21.11</v>
      </c>
      <c r="K410"/>
      <c r="L410" s="18">
        <v>16.399999999999999</v>
      </c>
      <c r="M410"/>
      <c r="N410" s="18">
        <v>0.32</v>
      </c>
      <c r="O410" s="4"/>
      <c r="P410" s="18">
        <v>7.1028495917201697</v>
      </c>
      <c r="Q410"/>
      <c r="R410"/>
      <c r="S410" s="18">
        <v>-2.1439949236411399E-4</v>
      </c>
      <c r="T410" s="6"/>
      <c r="U410" s="6"/>
      <c r="X410" s="18" t="s">
        <v>7</v>
      </c>
      <c r="Y410" s="18">
        <v>2</v>
      </c>
      <c r="Z410" s="18" t="s">
        <v>4</v>
      </c>
      <c r="AA410" s="22">
        <v>43734</v>
      </c>
      <c r="AB410" s="18">
        <v>269.55242999999973</v>
      </c>
      <c r="AC410" s="21">
        <v>86.2</v>
      </c>
      <c r="AD410" s="4"/>
      <c r="AE410" s="18">
        <v>6.3214004506946102</v>
      </c>
      <c r="AF410"/>
      <c r="AG410"/>
      <c r="AH410" s="18">
        <v>-4.01262801010207E-4</v>
      </c>
      <c r="AI410"/>
      <c r="AJ410"/>
    </row>
    <row r="411" spans="1:36" s="18" customFormat="1" x14ac:dyDescent="0.2">
      <c r="A411" s="18" t="s">
        <v>7</v>
      </c>
      <c r="B411" s="18">
        <v>3</v>
      </c>
      <c r="C411" s="19">
        <v>43734</v>
      </c>
      <c r="D411" s="20">
        <v>269.57395499999984</v>
      </c>
      <c r="E411" s="20"/>
      <c r="F411" s="21">
        <v>93.7</v>
      </c>
      <c r="G411" s="4"/>
      <c r="H411" s="21">
        <v>6.3</v>
      </c>
      <c r="I411"/>
      <c r="J411" s="21">
        <v>20</v>
      </c>
      <c r="K411"/>
      <c r="L411" s="18">
        <v>14.9</v>
      </c>
      <c r="M411"/>
      <c r="N411" s="18">
        <v>0.39</v>
      </c>
      <c r="O411" s="4"/>
      <c r="P411" s="18">
        <v>6.7386880366500899</v>
      </c>
      <c r="Q411"/>
      <c r="R411"/>
      <c r="S411" s="18">
        <v>-1.8974073828077699E-4</v>
      </c>
      <c r="T411"/>
      <c r="U411"/>
      <c r="X411" s="18" t="s">
        <v>7</v>
      </c>
      <c r="Y411" s="18">
        <v>3</v>
      </c>
      <c r="Z411" s="18" t="s">
        <v>4</v>
      </c>
      <c r="AA411" s="22">
        <v>43734</v>
      </c>
      <c r="AB411" s="18">
        <v>269.56631999999809</v>
      </c>
      <c r="AC411" s="21">
        <v>136.19999999999999</v>
      </c>
      <c r="AD411" s="4"/>
      <c r="AE411" s="18">
        <v>6.7270796556560102</v>
      </c>
      <c r="AF411"/>
      <c r="AG411"/>
      <c r="AH411" s="18">
        <v>-3.6374377464263902E-4</v>
      </c>
      <c r="AI411"/>
      <c r="AJ411"/>
    </row>
    <row r="412" spans="1:36" x14ac:dyDescent="0.2">
      <c r="A412" t="s">
        <v>7</v>
      </c>
      <c r="B412">
        <v>1</v>
      </c>
      <c r="C412" s="2">
        <v>43741</v>
      </c>
      <c r="D412" s="13">
        <v>276.42534499999965</v>
      </c>
      <c r="E412" s="13">
        <v>276.45291600000053</v>
      </c>
      <c r="F412" s="4">
        <v>206.2</v>
      </c>
      <c r="G412" s="4">
        <v>234.7</v>
      </c>
      <c r="H412" s="4">
        <v>16.899999999999999</v>
      </c>
      <c r="I412" s="4">
        <v>19.16</v>
      </c>
      <c r="J412" s="4">
        <v>8.89</v>
      </c>
      <c r="K412" s="4">
        <v>9.11</v>
      </c>
      <c r="L412">
        <v>13.1</v>
      </c>
      <c r="M412">
        <v>16.82</v>
      </c>
      <c r="N412">
        <v>0.25</v>
      </c>
      <c r="O412" s="4">
        <v>0.30200000000000005</v>
      </c>
      <c r="P412">
        <v>4.9523837430186397</v>
      </c>
      <c r="Q412">
        <v>4.441588707119922</v>
      </c>
      <c r="R412">
        <v>0.92926128714399014</v>
      </c>
      <c r="S412">
        <v>-1.20483429667645E-4</v>
      </c>
      <c r="T412" s="6">
        <v>-1.3005972515332118E-4</v>
      </c>
      <c r="U412" s="6">
        <v>1.0436380671888877E-4</v>
      </c>
      <c r="X412" t="s">
        <v>7</v>
      </c>
      <c r="Y412">
        <v>1</v>
      </c>
      <c r="Z412" t="s">
        <v>4</v>
      </c>
      <c r="AA412" s="16">
        <v>43741</v>
      </c>
      <c r="AB412">
        <v>276.41909500000111</v>
      </c>
      <c r="AC412" s="4">
        <v>116.2</v>
      </c>
      <c r="AD412" s="4">
        <v>231.7</v>
      </c>
      <c r="AE412">
        <v>5.3518524460621002</v>
      </c>
      <c r="AF412">
        <v>3.9315664637591836</v>
      </c>
      <c r="AG412">
        <v>0.96577206601707044</v>
      </c>
      <c r="AH412">
        <v>-5.6469817005605602E-5</v>
      </c>
      <c r="AI412">
        <v>-1.2514561446063034E-4</v>
      </c>
      <c r="AJ412">
        <v>8.7769429594865438E-5</v>
      </c>
    </row>
    <row r="413" spans="1:36" x14ac:dyDescent="0.2">
      <c r="A413" t="s">
        <v>7</v>
      </c>
      <c r="B413">
        <v>2</v>
      </c>
      <c r="C413" s="2">
        <v>43741</v>
      </c>
      <c r="D413" s="13">
        <v>276.43923500000164</v>
      </c>
      <c r="E413" s="13"/>
      <c r="F413" s="4">
        <v>273.7</v>
      </c>
      <c r="H413" s="4">
        <v>20.9</v>
      </c>
      <c r="J413" s="4">
        <v>8.89</v>
      </c>
      <c r="L413">
        <v>9.8000000000000007</v>
      </c>
      <c r="N413">
        <v>0.34</v>
      </c>
      <c r="P413">
        <v>3.5845874360023999</v>
      </c>
      <c r="S413">
        <v>-2.9206335970142099E-5</v>
      </c>
      <c r="T413" s="6"/>
      <c r="U413" s="6"/>
      <c r="X413" t="s">
        <v>7</v>
      </c>
      <c r="Y413">
        <v>2</v>
      </c>
      <c r="Z413" t="s">
        <v>4</v>
      </c>
      <c r="AA413" s="16">
        <v>43741</v>
      </c>
      <c r="AB413">
        <v>276.4322949999987</v>
      </c>
      <c r="AC413" s="4">
        <v>281.2</v>
      </c>
      <c r="AE413">
        <v>3.3409023616062501</v>
      </c>
      <c r="AH413">
        <v>-4.1739624292375101E-5</v>
      </c>
    </row>
    <row r="414" spans="1:36" x14ac:dyDescent="0.2">
      <c r="A414" t="s">
        <v>7</v>
      </c>
      <c r="B414">
        <v>3</v>
      </c>
      <c r="C414" s="2">
        <v>43741</v>
      </c>
      <c r="D414" s="13">
        <v>276.453125</v>
      </c>
      <c r="E414" s="13"/>
      <c r="F414" s="4">
        <v>278.7</v>
      </c>
      <c r="H414" s="4">
        <v>18.100000000000001</v>
      </c>
      <c r="J414" s="4">
        <v>8.89</v>
      </c>
      <c r="L414">
        <v>24</v>
      </c>
      <c r="N414">
        <v>0.28999999999999998</v>
      </c>
      <c r="P414">
        <v>4.6133717505975804</v>
      </c>
      <c r="S414">
        <v>-1.05475528507041E-4</v>
      </c>
      <c r="T414" s="6"/>
      <c r="U414" s="6"/>
      <c r="X414" t="s">
        <v>7</v>
      </c>
      <c r="Y414">
        <v>3</v>
      </c>
      <c r="Z414" t="s">
        <v>4</v>
      </c>
      <c r="AA414" s="16">
        <v>43741</v>
      </c>
      <c r="AB414">
        <v>276.446179999999</v>
      </c>
      <c r="AC414" s="4">
        <v>241.2</v>
      </c>
      <c r="AE414">
        <v>3.7691814254204701</v>
      </c>
      <c r="AH414">
        <v>-1.29274849967286E-4</v>
      </c>
    </row>
    <row r="415" spans="1:36" x14ac:dyDescent="0.2">
      <c r="A415" t="s">
        <v>7</v>
      </c>
      <c r="B415">
        <v>4</v>
      </c>
      <c r="C415" s="2">
        <v>43741</v>
      </c>
      <c r="D415" s="13">
        <v>276.46631999999954</v>
      </c>
      <c r="E415" s="13"/>
      <c r="F415" s="4">
        <v>258.7</v>
      </c>
      <c r="H415" s="4">
        <v>21.4</v>
      </c>
      <c r="J415" s="4">
        <v>9.44</v>
      </c>
      <c r="L415">
        <v>12.8</v>
      </c>
      <c r="N415">
        <v>0.28999999999999998</v>
      </c>
      <c r="P415">
        <v>3.43015971735587</v>
      </c>
      <c r="S415">
        <v>-8.8972586166011794E-5</v>
      </c>
      <c r="T415" s="6"/>
      <c r="U415" s="6"/>
      <c r="X415" t="s">
        <v>7</v>
      </c>
      <c r="Y415">
        <v>4</v>
      </c>
      <c r="Z415" t="s">
        <v>4</v>
      </c>
      <c r="AA415" s="16">
        <v>43741</v>
      </c>
      <c r="AB415">
        <v>276.460070000001</v>
      </c>
      <c r="AC415" s="4">
        <v>228.7</v>
      </c>
      <c r="AE415">
        <v>2.8510226855768601</v>
      </c>
      <c r="AH415">
        <v>-1.3517293701374101E-4</v>
      </c>
    </row>
    <row r="416" spans="1:36" x14ac:dyDescent="0.2">
      <c r="A416" t="s">
        <v>7</v>
      </c>
      <c r="B416">
        <v>5</v>
      </c>
      <c r="C416" s="2">
        <v>43741</v>
      </c>
      <c r="D416" s="13">
        <v>276.48055500000191</v>
      </c>
      <c r="E416" s="13"/>
      <c r="F416" s="4">
        <v>156.19999999999999</v>
      </c>
      <c r="H416" s="4">
        <v>18.5</v>
      </c>
      <c r="J416" s="4">
        <v>9.44</v>
      </c>
      <c r="L416">
        <v>24.4</v>
      </c>
      <c r="N416">
        <v>0.34</v>
      </c>
      <c r="P416">
        <v>5.6274408886251202</v>
      </c>
      <c r="S416">
        <v>-3.06160745455766E-4</v>
      </c>
      <c r="X416" t="s">
        <v>7</v>
      </c>
      <c r="Y416">
        <v>5</v>
      </c>
      <c r="Z416" t="s">
        <v>4</v>
      </c>
      <c r="AA416" s="16">
        <v>43741</v>
      </c>
      <c r="AB416">
        <v>276.47326500000054</v>
      </c>
      <c r="AC416" s="4">
        <v>291.2</v>
      </c>
      <c r="AE416">
        <v>4.3448734001302398</v>
      </c>
      <c r="AH416">
        <v>-2.6307084402414399E-4</v>
      </c>
    </row>
    <row r="417" spans="1:36" x14ac:dyDescent="0.2">
      <c r="A417" t="s">
        <v>7</v>
      </c>
      <c r="B417">
        <v>1</v>
      </c>
      <c r="C417" s="2">
        <v>43741</v>
      </c>
      <c r="D417" s="13">
        <v>276.51215500000035</v>
      </c>
      <c r="E417" s="13">
        <v>276.5388200000001</v>
      </c>
      <c r="F417" s="4">
        <v>116.2</v>
      </c>
      <c r="G417" s="4">
        <v>244.7</v>
      </c>
      <c r="H417" s="4">
        <v>19.3</v>
      </c>
      <c r="I417">
        <v>21.324000000000002</v>
      </c>
      <c r="J417">
        <v>9.44</v>
      </c>
      <c r="K417" s="4">
        <v>9.33</v>
      </c>
      <c r="L417">
        <v>24.8</v>
      </c>
      <c r="M417">
        <v>15.819999999999999</v>
      </c>
      <c r="N417">
        <v>0.24</v>
      </c>
      <c r="O417" s="4">
        <v>0.308</v>
      </c>
      <c r="P417">
        <v>5.1247330188174001</v>
      </c>
      <c r="Q417">
        <v>4.9142060352527235</v>
      </c>
      <c r="R417">
        <v>0.96389040315239949</v>
      </c>
      <c r="S417" s="6">
        <v>-4.1100000000000003E-5</v>
      </c>
      <c r="T417" s="6">
        <v>-1.2158500000000001E-4</v>
      </c>
      <c r="U417" s="6">
        <v>1.1244534135747912E-4</v>
      </c>
      <c r="X417" t="s">
        <v>7</v>
      </c>
      <c r="Y417">
        <v>1</v>
      </c>
      <c r="Z417" t="s">
        <v>4</v>
      </c>
      <c r="AA417" s="16">
        <v>43741</v>
      </c>
      <c r="AB417">
        <v>276.5052050000013</v>
      </c>
      <c r="AC417" s="4">
        <v>116.2</v>
      </c>
      <c r="AD417" s="4">
        <v>249.7</v>
      </c>
      <c r="AE417">
        <v>5.3396049268839301</v>
      </c>
      <c r="AF417">
        <v>4.5100916002031699</v>
      </c>
      <c r="AG417">
        <v>0.79768056490100858</v>
      </c>
      <c r="AH417">
        <v>-8.5799999999999998E-5</v>
      </c>
      <c r="AI417">
        <v>-1.1507640000000001E-4</v>
      </c>
      <c r="AJ417">
        <v>7.1594467455942437E-5</v>
      </c>
    </row>
    <row r="418" spans="1:36" x14ac:dyDescent="0.2">
      <c r="A418" t="s">
        <v>7</v>
      </c>
      <c r="B418">
        <v>2</v>
      </c>
      <c r="C418" s="2">
        <v>43741</v>
      </c>
      <c r="D418" s="13">
        <v>276.52465500000108</v>
      </c>
      <c r="E418" s="13"/>
      <c r="F418" s="4">
        <v>216.2</v>
      </c>
      <c r="H418" s="4">
        <v>27.3</v>
      </c>
      <c r="J418">
        <v>9.44</v>
      </c>
      <c r="L418">
        <v>12.3</v>
      </c>
      <c r="N418">
        <v>0.34</v>
      </c>
      <c r="P418">
        <v>4.4717378581566098</v>
      </c>
      <c r="S418" s="6">
        <v>-2.69E-5</v>
      </c>
      <c r="T418" s="6"/>
      <c r="U418" s="6"/>
      <c r="X418" t="s">
        <v>7</v>
      </c>
      <c r="Y418">
        <v>2</v>
      </c>
      <c r="Z418" t="s">
        <v>4</v>
      </c>
      <c r="AA418" s="16">
        <v>43741</v>
      </c>
      <c r="AB418">
        <v>276.51770499999839</v>
      </c>
      <c r="AC418" s="4">
        <v>193.7</v>
      </c>
      <c r="AE418">
        <v>4.0906906848503999</v>
      </c>
      <c r="AH418">
        <v>-4.0299999999999997E-5</v>
      </c>
    </row>
    <row r="419" spans="1:36" x14ac:dyDescent="0.2">
      <c r="A419" t="s">
        <v>7</v>
      </c>
      <c r="B419">
        <v>3</v>
      </c>
      <c r="C419" s="2">
        <v>43741</v>
      </c>
      <c r="D419" s="13">
        <v>276.53923500000019</v>
      </c>
      <c r="E419" s="13"/>
      <c r="F419" s="4">
        <v>348.7</v>
      </c>
      <c r="H419" s="4">
        <v>20.399999999999999</v>
      </c>
      <c r="J419">
        <v>9.44</v>
      </c>
      <c r="L419">
        <v>17.399999999999999</v>
      </c>
      <c r="N419">
        <v>0.36</v>
      </c>
      <c r="P419">
        <v>5.02035339773379</v>
      </c>
      <c r="S419">
        <v>-1.38956E-4</v>
      </c>
      <c r="T419" s="6"/>
      <c r="U419" s="6"/>
      <c r="X419" t="s">
        <v>7</v>
      </c>
      <c r="Y419">
        <v>3</v>
      </c>
      <c r="Z419" t="s">
        <v>4</v>
      </c>
      <c r="AA419" s="16">
        <v>43741</v>
      </c>
      <c r="AB419">
        <v>276.53229500000089</v>
      </c>
      <c r="AC419" s="4">
        <v>263.7</v>
      </c>
      <c r="AE419">
        <v>4.3383513100665603</v>
      </c>
      <c r="AH419">
        <v>-1.08837E-4</v>
      </c>
    </row>
    <row r="420" spans="1:36" x14ac:dyDescent="0.2">
      <c r="A420" t="s">
        <v>7</v>
      </c>
      <c r="B420">
        <v>4</v>
      </c>
      <c r="C420" s="2">
        <v>43741</v>
      </c>
      <c r="D420" s="13">
        <v>276.55173500000092</v>
      </c>
      <c r="E420" s="13"/>
      <c r="F420" s="4">
        <v>233.7</v>
      </c>
      <c r="H420" s="4">
        <v>17.399999999999999</v>
      </c>
      <c r="J420">
        <v>9.44</v>
      </c>
      <c r="L420">
        <v>9.6</v>
      </c>
      <c r="N420">
        <v>0.24</v>
      </c>
      <c r="P420">
        <v>3.6623672678213102</v>
      </c>
      <c r="S420" s="6">
        <v>-9.4699999999999998E-5</v>
      </c>
      <c r="T420" s="6"/>
      <c r="U420" s="6"/>
      <c r="X420" t="s">
        <v>7</v>
      </c>
      <c r="Y420">
        <v>4</v>
      </c>
      <c r="Z420" t="s">
        <v>4</v>
      </c>
      <c r="AA420" s="16">
        <v>43741</v>
      </c>
      <c r="AB420">
        <v>276.54479500000161</v>
      </c>
      <c r="AC420" s="4">
        <v>248.7</v>
      </c>
      <c r="AE420">
        <v>3.4899942547945502</v>
      </c>
      <c r="AH420">
        <v>-1.07241E-4</v>
      </c>
    </row>
    <row r="421" spans="1:36" x14ac:dyDescent="0.2">
      <c r="A421" t="s">
        <v>7</v>
      </c>
      <c r="B421">
        <v>5</v>
      </c>
      <c r="C421" s="2">
        <v>43741</v>
      </c>
      <c r="D421" s="13">
        <v>276.56631999999809</v>
      </c>
      <c r="E421" s="13"/>
      <c r="F421" s="4">
        <v>308.7</v>
      </c>
      <c r="H421" s="4">
        <v>22.22</v>
      </c>
      <c r="J421">
        <v>8.89</v>
      </c>
      <c r="L421">
        <v>15</v>
      </c>
      <c r="N421">
        <v>0.36</v>
      </c>
      <c r="P421">
        <v>6.2918386337345096</v>
      </c>
      <c r="S421">
        <v>-3.0626900000000002E-4</v>
      </c>
      <c r="X421" t="s">
        <v>7</v>
      </c>
      <c r="Y421">
        <v>5</v>
      </c>
      <c r="Z421" t="s">
        <v>4</v>
      </c>
      <c r="AA421" s="16">
        <v>43741</v>
      </c>
      <c r="AB421">
        <v>276.55937500000073</v>
      </c>
      <c r="AC421" s="4">
        <v>426.2</v>
      </c>
      <c r="AE421">
        <v>5.29181682442041</v>
      </c>
      <c r="AH421">
        <v>-2.3320400000000001E-4</v>
      </c>
    </row>
    <row r="422" spans="1:36" x14ac:dyDescent="0.2">
      <c r="A422" t="s">
        <v>7</v>
      </c>
      <c r="B422">
        <v>1</v>
      </c>
      <c r="C422" s="2">
        <v>43746</v>
      </c>
      <c r="D422" s="13">
        <v>281.43194500000027</v>
      </c>
      <c r="E422" s="13">
        <v>281.45888899999989</v>
      </c>
      <c r="F422" s="4">
        <v>1103.7</v>
      </c>
      <c r="G422" s="4">
        <v>1143.7</v>
      </c>
      <c r="H422" s="4">
        <v>24.2</v>
      </c>
      <c r="I422">
        <v>23.7</v>
      </c>
      <c r="J422">
        <v>14.44</v>
      </c>
      <c r="K422" s="4">
        <v>15.666</v>
      </c>
      <c r="M422" t="e">
        <v>#DIV/0!</v>
      </c>
      <c r="N422">
        <v>0.27</v>
      </c>
      <c r="O422" s="4">
        <v>0.28000000000000003</v>
      </c>
      <c r="P422">
        <v>5.5161455248688096</v>
      </c>
      <c r="Q422">
        <v>6.3923277568016541</v>
      </c>
      <c r="R422">
        <v>2.395402795169133</v>
      </c>
      <c r="S422" s="6">
        <v>-8.8502343186962803E-5</v>
      </c>
      <c r="T422" s="6">
        <v>-1.1761616179512699E-5</v>
      </c>
      <c r="U422" s="6">
        <v>6.6736091299068843E-5</v>
      </c>
      <c r="X422" t="s">
        <v>7</v>
      </c>
      <c r="Y422">
        <v>1</v>
      </c>
      <c r="Z422" t="s">
        <v>4</v>
      </c>
      <c r="AA422" s="16">
        <v>43746</v>
      </c>
      <c r="AB422">
        <v>281.42650499999945</v>
      </c>
      <c r="AC422" s="4">
        <v>628.70000000000005</v>
      </c>
      <c r="AD422" s="4">
        <v>1099.2</v>
      </c>
      <c r="AE422">
        <v>6.1546347674413102</v>
      </c>
      <c r="AF422">
        <v>6.8449157126827229</v>
      </c>
      <c r="AG422">
        <v>2.096655056173105</v>
      </c>
      <c r="AH422">
        <v>-1.33450302768823E-4</v>
      </c>
      <c r="AI422">
        <v>-7.2428934080213219E-6</v>
      </c>
      <c r="AJ422">
        <v>7.8457235385625241E-5</v>
      </c>
    </row>
    <row r="423" spans="1:36" x14ac:dyDescent="0.2">
      <c r="A423" t="s">
        <v>7</v>
      </c>
      <c r="B423">
        <v>2</v>
      </c>
      <c r="C423" s="2">
        <v>43746</v>
      </c>
      <c r="D423" s="13">
        <v>281.44687500000146</v>
      </c>
      <c r="E423" s="13"/>
      <c r="F423" s="4">
        <v>1131.2</v>
      </c>
      <c r="H423" s="4">
        <v>26.1</v>
      </c>
      <c r="J423">
        <v>14.44</v>
      </c>
      <c r="N423">
        <v>0.3</v>
      </c>
      <c r="P423">
        <v>4.11397856910098</v>
      </c>
      <c r="S423" s="6">
        <v>2.2456826413262499E-5</v>
      </c>
      <c r="T423" s="6"/>
      <c r="U423" s="6"/>
      <c r="X423" t="s">
        <v>7</v>
      </c>
      <c r="Y423">
        <v>2</v>
      </c>
      <c r="Z423" t="s">
        <v>4</v>
      </c>
      <c r="AA423" s="16">
        <v>43746</v>
      </c>
      <c r="AB423">
        <v>281.43715499999962</v>
      </c>
      <c r="AC423" s="4">
        <v>861.2</v>
      </c>
      <c r="AE423">
        <v>4.7530975464591201</v>
      </c>
      <c r="AH423">
        <v>2.9454208833159098E-5</v>
      </c>
    </row>
    <row r="424" spans="1:36" x14ac:dyDescent="0.2">
      <c r="A424" t="s">
        <v>7</v>
      </c>
      <c r="B424">
        <v>3</v>
      </c>
      <c r="C424" s="2">
        <v>43746</v>
      </c>
      <c r="D424" s="13">
        <v>281.45937499999854</v>
      </c>
      <c r="E424" s="13"/>
      <c r="F424" s="4">
        <v>1338.7</v>
      </c>
      <c r="H424" s="4">
        <v>18.100000000000001</v>
      </c>
      <c r="J424">
        <v>16.11</v>
      </c>
      <c r="N424">
        <v>0.24</v>
      </c>
      <c r="P424">
        <v>9.7161153339506008</v>
      </c>
      <c r="S424" s="6">
        <v>-8.8744326900458904E-6</v>
      </c>
      <c r="T424" s="6"/>
      <c r="U424" s="6"/>
      <c r="X424" t="s">
        <v>7</v>
      </c>
      <c r="Y424">
        <v>3</v>
      </c>
      <c r="Z424" t="s">
        <v>4</v>
      </c>
      <c r="AA424" s="16">
        <v>43746</v>
      </c>
      <c r="AB424">
        <v>281.45382000000245</v>
      </c>
      <c r="AC424" s="4">
        <v>1518.7</v>
      </c>
      <c r="AE424">
        <v>10.170701126748799</v>
      </c>
      <c r="AH424">
        <v>5.4360329386851902E-5</v>
      </c>
    </row>
    <row r="425" spans="1:36" x14ac:dyDescent="0.2">
      <c r="A425" t="s">
        <v>7</v>
      </c>
      <c r="B425">
        <v>4</v>
      </c>
      <c r="C425" s="2">
        <v>43746</v>
      </c>
      <c r="D425" s="13">
        <v>281.47187499999927</v>
      </c>
      <c r="E425" s="13"/>
      <c r="F425" s="4">
        <v>851.2</v>
      </c>
      <c r="H425" s="4">
        <v>24.7</v>
      </c>
      <c r="J425">
        <v>16.670000000000002</v>
      </c>
      <c r="N425">
        <v>0.28000000000000003</v>
      </c>
      <c r="P425">
        <v>4.5855846705129197</v>
      </c>
      <c r="S425" s="6">
        <v>7.8628507182292102E-5</v>
      </c>
      <c r="T425" s="6"/>
      <c r="U425" s="6"/>
      <c r="X425" t="s">
        <v>7</v>
      </c>
      <c r="Y425">
        <v>4</v>
      </c>
      <c r="Z425" t="s">
        <v>4</v>
      </c>
      <c r="AA425" s="16">
        <v>43746</v>
      </c>
      <c r="AB425">
        <v>281.46562500000073</v>
      </c>
      <c r="AC425" s="4">
        <v>1213.7</v>
      </c>
      <c r="AE425">
        <v>5.70042926192765</v>
      </c>
      <c r="AH425">
        <v>4.6477493678786398E-5</v>
      </c>
    </row>
    <row r="426" spans="1:36" x14ac:dyDescent="0.2">
      <c r="A426" t="s">
        <v>7</v>
      </c>
      <c r="B426">
        <v>5</v>
      </c>
      <c r="C426" s="2">
        <v>43746</v>
      </c>
      <c r="D426" s="13">
        <v>281.484375</v>
      </c>
      <c r="E426" s="13"/>
      <c r="F426" s="4">
        <v>1293.7</v>
      </c>
      <c r="H426" s="4">
        <v>25.4</v>
      </c>
      <c r="J426">
        <v>16.670000000000002</v>
      </c>
      <c r="N426">
        <v>0.31</v>
      </c>
      <c r="P426">
        <v>8.0298146855749604</v>
      </c>
      <c r="S426" s="6">
        <v>-6.2516638616109398E-5</v>
      </c>
      <c r="X426" t="s">
        <v>7</v>
      </c>
      <c r="Y426">
        <v>5</v>
      </c>
      <c r="Z426" t="s">
        <v>4</v>
      </c>
      <c r="AA426" s="16">
        <v>43746</v>
      </c>
      <c r="AB426">
        <v>281.47812500000146</v>
      </c>
      <c r="AC426" s="4">
        <v>1273.7</v>
      </c>
      <c r="AE426">
        <v>7.4457158608367404</v>
      </c>
      <c r="AH426">
        <v>-3.3056196170081003E-5</v>
      </c>
    </row>
    <row r="427" spans="1:36" x14ac:dyDescent="0.2">
      <c r="A427" t="s">
        <v>7</v>
      </c>
      <c r="B427">
        <v>1</v>
      </c>
      <c r="C427" s="2">
        <v>43746</v>
      </c>
      <c r="D427" s="13">
        <v>281.54340500000035</v>
      </c>
      <c r="E427" s="13">
        <v>281.56627399999854</v>
      </c>
      <c r="F427" s="4">
        <v>1251.2</v>
      </c>
      <c r="G427" s="4">
        <v>1051.7</v>
      </c>
      <c r="H427" s="4">
        <v>21.1</v>
      </c>
      <c r="I427">
        <v>22.9</v>
      </c>
      <c r="J427">
        <v>17.78</v>
      </c>
      <c r="K427" s="4">
        <v>17.89</v>
      </c>
      <c r="M427" t="e">
        <v>#DIV/0!</v>
      </c>
      <c r="N427">
        <v>0.26</v>
      </c>
      <c r="O427" s="4">
        <v>0.28200000000000003</v>
      </c>
      <c r="P427">
        <v>5.955077942</v>
      </c>
      <c r="Q427">
        <v>5.5326784250000003</v>
      </c>
      <c r="R427">
        <v>1.0008801128446578</v>
      </c>
      <c r="S427">
        <v>1.5799141945049299E-4</v>
      </c>
      <c r="T427" s="6">
        <v>-3.3124142646461622E-5</v>
      </c>
      <c r="U427" s="6">
        <v>1.1669047606468267E-4</v>
      </c>
      <c r="X427" t="s">
        <v>7</v>
      </c>
      <c r="Y427">
        <v>1</v>
      </c>
      <c r="Z427" t="s">
        <v>4</v>
      </c>
      <c r="AA427" s="16">
        <v>43746</v>
      </c>
      <c r="AB427">
        <v>281.5364550000013</v>
      </c>
      <c r="AC427" s="4">
        <v>1236.2</v>
      </c>
      <c r="AD427" s="4">
        <v>1011.7</v>
      </c>
      <c r="AE427">
        <v>7.621157964</v>
      </c>
      <c r="AF427">
        <v>6.0958141701999997</v>
      </c>
      <c r="AG427">
        <v>1.3273100215838951</v>
      </c>
      <c r="AH427">
        <v>3.5528352241369003E-5</v>
      </c>
      <c r="AI427">
        <v>-8.0175008930871719E-5</v>
      </c>
      <c r="AJ427">
        <v>8.1188473129415782E-5</v>
      </c>
    </row>
    <row r="428" spans="1:36" x14ac:dyDescent="0.2">
      <c r="A428" t="s">
        <v>7</v>
      </c>
      <c r="B428">
        <v>2</v>
      </c>
      <c r="C428" s="2">
        <v>43746</v>
      </c>
      <c r="D428" s="13">
        <v>281.55451499999981</v>
      </c>
      <c r="E428" s="13"/>
      <c r="F428" s="4">
        <v>1163.7</v>
      </c>
      <c r="H428" s="4">
        <v>22.5</v>
      </c>
      <c r="J428">
        <v>17.78</v>
      </c>
      <c r="N428">
        <v>0.27</v>
      </c>
      <c r="P428">
        <v>5.435713861</v>
      </c>
      <c r="S428" s="6">
        <v>-8.6461678835824207E-5</v>
      </c>
      <c r="T428" s="6"/>
      <c r="U428" s="6"/>
      <c r="X428" t="s">
        <v>7</v>
      </c>
      <c r="Y428">
        <v>2</v>
      </c>
      <c r="Z428" t="s">
        <v>4</v>
      </c>
      <c r="AA428" s="16">
        <v>43746</v>
      </c>
      <c r="AB428">
        <v>281.54895499999839</v>
      </c>
      <c r="AC428" s="4">
        <v>1053.7</v>
      </c>
      <c r="AE428">
        <v>5.9530348630000001</v>
      </c>
      <c r="AH428">
        <v>-4.02993618862216E-5</v>
      </c>
    </row>
    <row r="429" spans="1:36" x14ac:dyDescent="0.2">
      <c r="A429" t="s">
        <v>7</v>
      </c>
      <c r="B429">
        <v>3</v>
      </c>
      <c r="C429" s="2">
        <v>43746</v>
      </c>
      <c r="D429" s="13">
        <v>281.56631999999809</v>
      </c>
      <c r="E429" s="13"/>
      <c r="F429" s="4">
        <v>1031.2</v>
      </c>
      <c r="H429" s="4">
        <v>24.9</v>
      </c>
      <c r="J429">
        <v>17.78</v>
      </c>
      <c r="N429">
        <v>0.28999999999999998</v>
      </c>
      <c r="P429">
        <v>6.0724737549999999</v>
      </c>
      <c r="S429" s="6">
        <v>-1.08638228694333E-5</v>
      </c>
      <c r="T429" s="6"/>
      <c r="U429" s="6"/>
      <c r="X429" t="s">
        <v>7</v>
      </c>
      <c r="Y429">
        <v>3</v>
      </c>
      <c r="Z429" t="s">
        <v>4</v>
      </c>
      <c r="AA429" s="16">
        <v>43746</v>
      </c>
      <c r="AB429">
        <v>281.56076499999836</v>
      </c>
      <c r="AC429" s="4">
        <v>1138.7</v>
      </c>
      <c r="AE429">
        <v>7.26755292</v>
      </c>
      <c r="AH429">
        <v>-1.0387580456688199E-4</v>
      </c>
    </row>
    <row r="430" spans="1:36" x14ac:dyDescent="0.2">
      <c r="A430" t="s">
        <v>7</v>
      </c>
      <c r="B430">
        <v>4</v>
      </c>
      <c r="C430" s="2">
        <v>43746</v>
      </c>
      <c r="D430" s="13">
        <v>281.57742999999755</v>
      </c>
      <c r="E430" s="13"/>
      <c r="F430" s="4">
        <v>663.7</v>
      </c>
      <c r="H430" s="4">
        <v>23.6</v>
      </c>
      <c r="J430">
        <v>17.78</v>
      </c>
      <c r="N430">
        <v>0.28999999999999998</v>
      </c>
      <c r="P430">
        <v>3.8443702869999998</v>
      </c>
      <c r="S430">
        <v>-1.4310128682456201E-4</v>
      </c>
      <c r="T430" s="6"/>
      <c r="U430" s="6"/>
      <c r="X430" t="s">
        <v>7</v>
      </c>
      <c r="Y430">
        <v>4</v>
      </c>
      <c r="Z430" t="s">
        <v>4</v>
      </c>
      <c r="AA430" s="16">
        <v>43746</v>
      </c>
      <c r="AB430">
        <v>281.57187500000146</v>
      </c>
      <c r="AC430" s="4">
        <v>738.7</v>
      </c>
      <c r="AE430">
        <v>4.6387407019999998</v>
      </c>
      <c r="AH430">
        <v>-1.1346998502907E-4</v>
      </c>
    </row>
    <row r="431" spans="1:36" x14ac:dyDescent="0.2">
      <c r="A431" t="s">
        <v>7</v>
      </c>
      <c r="B431">
        <v>5</v>
      </c>
      <c r="C431" s="2">
        <v>43746</v>
      </c>
      <c r="D431" s="13">
        <v>281.58969999999681</v>
      </c>
      <c r="E431" s="13"/>
      <c r="F431" s="4">
        <v>1148.7</v>
      </c>
      <c r="H431" s="4">
        <v>22.4</v>
      </c>
      <c r="J431">
        <v>18.329999999999998</v>
      </c>
      <c r="N431">
        <v>0.3</v>
      </c>
      <c r="P431">
        <v>6.3557562799999996</v>
      </c>
      <c r="S431" s="6">
        <v>-8.3185344152981596E-5</v>
      </c>
      <c r="X431" t="s">
        <v>7</v>
      </c>
      <c r="Y431">
        <v>5</v>
      </c>
      <c r="Z431" t="s">
        <v>4</v>
      </c>
      <c r="AA431" s="16">
        <v>43746</v>
      </c>
      <c r="AB431">
        <v>281.58298500000092</v>
      </c>
      <c r="AC431" s="4">
        <v>891.2</v>
      </c>
      <c r="AE431">
        <v>4.9985844019999996</v>
      </c>
      <c r="AH431">
        <v>-1.7875824541355401E-4</v>
      </c>
    </row>
    <row r="432" spans="1:36" x14ac:dyDescent="0.2">
      <c r="A432" t="s">
        <v>7</v>
      </c>
      <c r="B432">
        <v>1</v>
      </c>
      <c r="C432" s="2">
        <v>43753</v>
      </c>
      <c r="D432" s="13">
        <v>288.40451499999836</v>
      </c>
      <c r="E432" s="13">
        <v>288.43118199999952</v>
      </c>
      <c r="F432" s="4">
        <v>821.2</v>
      </c>
      <c r="G432" s="4">
        <v>1004.7</v>
      </c>
      <c r="H432" s="4">
        <v>16.100000000000001</v>
      </c>
      <c r="I432">
        <v>17.48</v>
      </c>
      <c r="J432">
        <v>7.78</v>
      </c>
      <c r="K432" s="4">
        <v>8.5579999999999998</v>
      </c>
      <c r="M432" t="e">
        <v>#DIV/0!</v>
      </c>
      <c r="N432">
        <v>0.21</v>
      </c>
      <c r="O432" s="4">
        <v>0.22599999999999998</v>
      </c>
      <c r="P432">
        <v>2.6846627464247699</v>
      </c>
      <c r="Q432">
        <v>2.5604521067141022</v>
      </c>
      <c r="R432">
        <v>0.69154146020842155</v>
      </c>
      <c r="S432">
        <v>-1.5316802318981099E-4</v>
      </c>
      <c r="T432" s="6">
        <v>-1.8433033518375225E-4</v>
      </c>
      <c r="U432" s="6">
        <v>9.5843887054636271E-5</v>
      </c>
      <c r="X432" t="s">
        <v>7</v>
      </c>
      <c r="Y432">
        <v>1</v>
      </c>
      <c r="Z432" t="s">
        <v>4</v>
      </c>
      <c r="AA432" s="16">
        <v>43753</v>
      </c>
      <c r="AB432">
        <v>288.3987249999991</v>
      </c>
      <c r="AC432" s="4">
        <v>773.7</v>
      </c>
      <c r="AD432" s="4">
        <v>957.2</v>
      </c>
      <c r="AE432">
        <v>2.9492746206593199</v>
      </c>
      <c r="AF432">
        <v>2.616546297045788</v>
      </c>
      <c r="AG432">
        <v>0.43900845203418049</v>
      </c>
      <c r="AH432">
        <v>-1.2456937971431001E-4</v>
      </c>
      <c r="AI432">
        <v>-1.5919330073181534E-4</v>
      </c>
      <c r="AJ432">
        <v>7.8545618969630692E-5</v>
      </c>
    </row>
    <row r="433" spans="1:36" x14ac:dyDescent="0.2">
      <c r="A433" t="s">
        <v>7</v>
      </c>
      <c r="B433">
        <v>2</v>
      </c>
      <c r="C433" s="2">
        <v>43753</v>
      </c>
      <c r="D433" s="13">
        <v>288.41701499999908</v>
      </c>
      <c r="E433" s="13"/>
      <c r="F433" s="4">
        <v>913.7</v>
      </c>
      <c r="H433" s="4">
        <v>22.3</v>
      </c>
      <c r="J433">
        <v>7.78</v>
      </c>
      <c r="N433">
        <v>0.24</v>
      </c>
      <c r="P433">
        <v>2.1164548811794099</v>
      </c>
      <c r="S433" s="6">
        <v>-7.7690806019420204E-5</v>
      </c>
      <c r="T433" s="6"/>
      <c r="U433" s="6"/>
      <c r="X433" t="s">
        <v>7</v>
      </c>
      <c r="Y433">
        <v>2</v>
      </c>
      <c r="Z433" t="s">
        <v>4</v>
      </c>
      <c r="AA433" s="16">
        <v>43753</v>
      </c>
      <c r="AB433">
        <v>288.41076500000054</v>
      </c>
      <c r="AC433" s="4">
        <v>868.7</v>
      </c>
      <c r="AE433">
        <v>2.39418772711843</v>
      </c>
      <c r="AH433">
        <v>-2.0995632521333599E-4</v>
      </c>
    </row>
    <row r="434" spans="1:36" x14ac:dyDescent="0.2">
      <c r="A434" t="s">
        <v>7</v>
      </c>
      <c r="B434">
        <v>3</v>
      </c>
      <c r="C434" s="2">
        <v>43753</v>
      </c>
      <c r="D434" s="13">
        <v>288.43090500000108</v>
      </c>
      <c r="E434" s="13"/>
      <c r="F434" s="4">
        <v>1011.2</v>
      </c>
      <c r="H434" s="4">
        <v>16.600000000000001</v>
      </c>
      <c r="J434">
        <v>7.78</v>
      </c>
      <c r="N434">
        <v>0.26</v>
      </c>
      <c r="P434">
        <v>2.3637026448426899</v>
      </c>
      <c r="S434">
        <v>-1.890129878145E-4</v>
      </c>
      <c r="T434" s="6"/>
      <c r="U434" s="6"/>
      <c r="X434" t="s">
        <v>7</v>
      </c>
      <c r="Y434">
        <v>3</v>
      </c>
      <c r="Z434" t="s">
        <v>4</v>
      </c>
      <c r="AA434" s="16">
        <v>43753</v>
      </c>
      <c r="AB434">
        <v>288.42465499999889</v>
      </c>
      <c r="AC434" s="4">
        <v>963.7</v>
      </c>
      <c r="AE434">
        <v>2.6216618652642301</v>
      </c>
      <c r="AH434">
        <v>-1.9486802373475199E-4</v>
      </c>
    </row>
    <row r="435" spans="1:36" x14ac:dyDescent="0.2">
      <c r="A435" t="s">
        <v>7</v>
      </c>
      <c r="B435">
        <v>4</v>
      </c>
      <c r="C435" s="2">
        <v>43753</v>
      </c>
      <c r="D435" s="13">
        <v>288.44479499999943</v>
      </c>
      <c r="E435" s="13"/>
      <c r="F435" s="4">
        <v>1091.2</v>
      </c>
      <c r="H435" s="4">
        <v>16.7</v>
      </c>
      <c r="J435">
        <v>7.78</v>
      </c>
      <c r="N435">
        <v>0.21</v>
      </c>
      <c r="P435">
        <v>1.9445801387933801</v>
      </c>
      <c r="S435">
        <v>-1.62802366588177E-4</v>
      </c>
      <c r="T435" s="6"/>
      <c r="U435" s="6"/>
      <c r="X435" t="s">
        <v>7</v>
      </c>
      <c r="Y435">
        <v>4</v>
      </c>
      <c r="Z435" t="s">
        <v>4</v>
      </c>
      <c r="AA435" s="16">
        <v>43753</v>
      </c>
      <c r="AB435">
        <v>288.43923500000164</v>
      </c>
      <c r="AC435" s="4">
        <v>1063.7</v>
      </c>
      <c r="AE435">
        <v>2.0092276113029701</v>
      </c>
      <c r="AH435">
        <v>-3.7664908979541698E-5</v>
      </c>
    </row>
    <row r="436" spans="1:36" x14ac:dyDescent="0.2">
      <c r="A436" t="s">
        <v>7</v>
      </c>
      <c r="B436">
        <v>5</v>
      </c>
      <c r="C436" s="2">
        <v>43753</v>
      </c>
      <c r="D436" s="13">
        <v>288.45867999999973</v>
      </c>
      <c r="E436" s="13"/>
      <c r="F436" s="4">
        <v>1186.2</v>
      </c>
      <c r="H436" s="4">
        <v>15.7</v>
      </c>
      <c r="J436">
        <v>11.67</v>
      </c>
      <c r="N436">
        <v>0.21</v>
      </c>
      <c r="P436">
        <v>3.6928601223302602</v>
      </c>
      <c r="S436">
        <v>-3.3897749230685302E-4</v>
      </c>
      <c r="X436" t="s">
        <v>7</v>
      </c>
      <c r="Y436">
        <v>5</v>
      </c>
      <c r="Z436" t="s">
        <v>4</v>
      </c>
      <c r="AA436" s="16">
        <v>43753</v>
      </c>
      <c r="AB436">
        <v>288.45104500000161</v>
      </c>
      <c r="AC436" s="4">
        <v>1116.2</v>
      </c>
      <c r="AE436">
        <v>3.10837966088399</v>
      </c>
      <c r="AH436">
        <v>-2.28907866017137E-4</v>
      </c>
    </row>
    <row r="437" spans="1:36" x14ac:dyDescent="0.2">
      <c r="A437" t="s">
        <v>7</v>
      </c>
      <c r="B437">
        <v>1</v>
      </c>
      <c r="C437" s="2">
        <v>43753</v>
      </c>
      <c r="D437" s="13">
        <v>288.5059050000018</v>
      </c>
      <c r="E437" s="13">
        <v>288.52992999999987</v>
      </c>
      <c r="F437" s="4">
        <v>1313.7</v>
      </c>
      <c r="G437" s="4">
        <v>1370.2</v>
      </c>
      <c r="H437" s="4">
        <v>17</v>
      </c>
      <c r="I437">
        <v>16.419999999999998</v>
      </c>
      <c r="J437">
        <v>12.78</v>
      </c>
      <c r="K437" s="4">
        <v>13.112</v>
      </c>
      <c r="M437" t="e">
        <v>#DIV/0!</v>
      </c>
      <c r="N437">
        <v>0.2</v>
      </c>
      <c r="O437" s="4">
        <v>0.21000000000000002</v>
      </c>
      <c r="P437">
        <v>2.85569829626878</v>
      </c>
      <c r="Q437">
        <v>2.9883785497204478</v>
      </c>
      <c r="R437">
        <v>0.84818283080432089</v>
      </c>
      <c r="S437" s="6">
        <v>-9.3724050586742503E-5</v>
      </c>
      <c r="T437" s="6">
        <v>-1.335062238467361E-4</v>
      </c>
      <c r="U437" s="6">
        <v>4.9026830430592334E-5</v>
      </c>
      <c r="X437" t="s">
        <v>7</v>
      </c>
      <c r="Y437">
        <v>1</v>
      </c>
      <c r="Z437" t="s">
        <v>4</v>
      </c>
      <c r="AA437" s="16">
        <v>43753</v>
      </c>
      <c r="AB437">
        <v>288.49942499999815</v>
      </c>
      <c r="AC437" s="4">
        <v>1301.2</v>
      </c>
      <c r="AD437" s="4">
        <v>1353.7</v>
      </c>
      <c r="AE437">
        <v>3.4026681639028298</v>
      </c>
      <c r="AF437">
        <v>2.8947040179125962</v>
      </c>
      <c r="AG437">
        <v>0.7387130729087783</v>
      </c>
      <c r="AH437">
        <v>-1.0296061460880699E-4</v>
      </c>
      <c r="AI437">
        <v>-1.300347340430586E-4</v>
      </c>
      <c r="AJ437">
        <v>6.5148329029628921E-5</v>
      </c>
    </row>
    <row r="438" spans="1:36" x14ac:dyDescent="0.2">
      <c r="A438" t="s">
        <v>7</v>
      </c>
      <c r="B438">
        <v>2</v>
      </c>
      <c r="C438" s="2">
        <v>43753</v>
      </c>
      <c r="D438" s="13">
        <v>288.51770499999839</v>
      </c>
      <c r="E438" s="13"/>
      <c r="F438" s="4">
        <v>1381.2</v>
      </c>
      <c r="H438" s="4">
        <v>17.600000000000001</v>
      </c>
      <c r="J438">
        <v>12.78</v>
      </c>
      <c r="N438">
        <v>0.22</v>
      </c>
      <c r="P438">
        <v>2.6689421580517698</v>
      </c>
      <c r="S438">
        <v>-1.01914269272874E-4</v>
      </c>
      <c r="T438" s="6"/>
      <c r="U438" s="6"/>
      <c r="X438" t="s">
        <v>7</v>
      </c>
      <c r="Y438">
        <v>2</v>
      </c>
      <c r="Z438" t="s">
        <v>4</v>
      </c>
      <c r="AA438" s="16">
        <v>43753</v>
      </c>
      <c r="AB438">
        <v>288.51215500000035</v>
      </c>
      <c r="AC438" s="4">
        <v>1381.2</v>
      </c>
      <c r="AE438">
        <v>2.6262768286896301</v>
      </c>
      <c r="AH438">
        <v>-3.5639790067684E-5</v>
      </c>
    </row>
    <row r="439" spans="1:36" x14ac:dyDescent="0.2">
      <c r="A439" t="s">
        <v>7</v>
      </c>
      <c r="B439">
        <v>3</v>
      </c>
      <c r="C439" s="2">
        <v>43753</v>
      </c>
      <c r="D439" s="13">
        <v>288.52951499999836</v>
      </c>
      <c r="E439" s="13"/>
      <c r="F439" s="4">
        <v>1453.7</v>
      </c>
      <c r="H439" s="4">
        <v>15.2</v>
      </c>
      <c r="J439">
        <v>12.78</v>
      </c>
      <c r="N439">
        <v>0.21</v>
      </c>
      <c r="P439">
        <v>2.7253033555160702</v>
      </c>
      <c r="S439">
        <v>-2.1378985027687499E-4</v>
      </c>
      <c r="T439" s="6"/>
      <c r="U439" s="6"/>
      <c r="X439" t="s">
        <v>7</v>
      </c>
      <c r="Y439">
        <v>3</v>
      </c>
      <c r="Z439" t="s">
        <v>4</v>
      </c>
      <c r="AA439" s="16">
        <v>43753</v>
      </c>
      <c r="AB439">
        <v>288.52326499999981</v>
      </c>
      <c r="AC439" s="4">
        <v>1353.7</v>
      </c>
      <c r="AE439">
        <v>2.4926676884503598</v>
      </c>
      <c r="AH439">
        <v>-1.4080723720916901E-4</v>
      </c>
    </row>
    <row r="440" spans="1:36" x14ac:dyDescent="0.2">
      <c r="A440" t="s">
        <v>7</v>
      </c>
      <c r="B440">
        <v>4</v>
      </c>
      <c r="C440" s="2">
        <v>43753</v>
      </c>
      <c r="D440" s="13">
        <v>288.54132000000027</v>
      </c>
      <c r="E440" s="13"/>
      <c r="F440" s="4">
        <v>1383.7</v>
      </c>
      <c r="H440" s="4">
        <v>18.7</v>
      </c>
      <c r="J440">
        <v>12.78</v>
      </c>
      <c r="N440">
        <v>0.21</v>
      </c>
      <c r="P440">
        <v>2.2430115147504699</v>
      </c>
      <c r="S440">
        <v>-1.12488001938625E-4</v>
      </c>
      <c r="T440" s="6"/>
      <c r="U440" s="6"/>
      <c r="X440" t="s">
        <v>7</v>
      </c>
      <c r="Y440">
        <v>4</v>
      </c>
      <c r="Z440" t="s">
        <v>4</v>
      </c>
      <c r="AA440" s="16">
        <v>43753</v>
      </c>
      <c r="AB440">
        <v>288.53576500000054</v>
      </c>
      <c r="AC440" s="4">
        <v>1398.7</v>
      </c>
      <c r="AE440">
        <v>2.06001946711502</v>
      </c>
      <c r="AH440">
        <v>-1.6202820030535801E-4</v>
      </c>
    </row>
    <row r="441" spans="1:36" x14ac:dyDescent="0.2">
      <c r="A441" t="s">
        <v>7</v>
      </c>
      <c r="B441">
        <v>5</v>
      </c>
      <c r="C441" s="2">
        <v>43753</v>
      </c>
      <c r="D441" s="13">
        <v>288.55520500000057</v>
      </c>
      <c r="E441" s="13"/>
      <c r="F441" s="4">
        <v>1318.7</v>
      </c>
      <c r="H441" s="4">
        <v>13.6</v>
      </c>
      <c r="J441">
        <v>14.44</v>
      </c>
      <c r="N441">
        <v>0.21</v>
      </c>
      <c r="P441">
        <v>4.44893742401515</v>
      </c>
      <c r="S441">
        <v>-1.45614947158564E-4</v>
      </c>
      <c r="X441" t="s">
        <v>7</v>
      </c>
      <c r="Y441">
        <v>5</v>
      </c>
      <c r="Z441" t="s">
        <v>4</v>
      </c>
      <c r="AA441" s="16">
        <v>43753</v>
      </c>
      <c r="AB441">
        <v>288.54895499999839</v>
      </c>
      <c r="AC441" s="4">
        <v>1333.7</v>
      </c>
      <c r="AE441">
        <v>3.8918879414051402</v>
      </c>
      <c r="AH441">
        <v>-2.08737828024275E-4</v>
      </c>
    </row>
    <row r="442" spans="1:36" x14ac:dyDescent="0.2">
      <c r="A442" t="s">
        <v>7</v>
      </c>
      <c r="B442">
        <v>1</v>
      </c>
      <c r="C442" s="2">
        <v>43762</v>
      </c>
      <c r="D442" s="13">
        <v>297.44861500000115</v>
      </c>
      <c r="E442" s="13">
        <v>297.47257100000058</v>
      </c>
      <c r="F442" s="4">
        <v>956.2</v>
      </c>
      <c r="G442" s="4">
        <v>1076.2</v>
      </c>
      <c r="H442" s="4">
        <v>21.1</v>
      </c>
      <c r="I442">
        <v>21.740000000000002</v>
      </c>
      <c r="J442">
        <v>12.78</v>
      </c>
      <c r="K442" s="4">
        <v>13.224</v>
      </c>
      <c r="M442" t="e">
        <v>#DIV/0!</v>
      </c>
      <c r="N442">
        <v>0.17</v>
      </c>
      <c r="O442" s="4">
        <v>0.192</v>
      </c>
      <c r="P442">
        <v>2.3736379351647798</v>
      </c>
      <c r="Q442">
        <v>2.1818185358201942</v>
      </c>
      <c r="R442">
        <v>0.65619130494188216</v>
      </c>
      <c r="S442" s="6">
        <v>9.87E-5</v>
      </c>
      <c r="T442" s="6">
        <v>-6.385479999999999E-5</v>
      </c>
      <c r="U442" s="6">
        <v>1.4355547665867715E-4</v>
      </c>
      <c r="X442" t="s">
        <v>7</v>
      </c>
      <c r="Y442">
        <v>1</v>
      </c>
      <c r="Z442" t="s">
        <v>4</v>
      </c>
      <c r="AA442" s="16">
        <v>43762</v>
      </c>
      <c r="AB442">
        <v>297.4427050000013</v>
      </c>
      <c r="AC442" s="4">
        <v>918.7</v>
      </c>
      <c r="AD442" s="4">
        <v>1048.7</v>
      </c>
      <c r="AE442">
        <v>2.3123210232628</v>
      </c>
      <c r="AF442">
        <v>2.3321889282463162</v>
      </c>
      <c r="AG442">
        <v>0.76442602891400435</v>
      </c>
      <c r="AH442">
        <v>5.6204300000000003E-4</v>
      </c>
      <c r="AI442">
        <v>-1.3041999999999988E-5</v>
      </c>
      <c r="AJ442">
        <v>3.8953676150332714E-4</v>
      </c>
    </row>
    <row r="443" spans="1:36" x14ac:dyDescent="0.2">
      <c r="A443" t="s">
        <v>7</v>
      </c>
      <c r="B443">
        <v>2</v>
      </c>
      <c r="C443" s="2">
        <v>43762</v>
      </c>
      <c r="D443" s="13">
        <v>297.46111500000188</v>
      </c>
      <c r="E443" s="13"/>
      <c r="F443" s="4">
        <v>1028.7</v>
      </c>
      <c r="H443" s="4">
        <v>21.4</v>
      </c>
      <c r="J443">
        <v>12.78</v>
      </c>
      <c r="N443">
        <v>0.2</v>
      </c>
      <c r="P443">
        <v>2.2790286680048899</v>
      </c>
      <c r="S443">
        <v>-2.6592299999999999E-4</v>
      </c>
      <c r="T443" s="6"/>
      <c r="U443" s="6"/>
      <c r="X443" t="s">
        <v>7</v>
      </c>
      <c r="Y443">
        <v>2</v>
      </c>
      <c r="Z443" t="s">
        <v>4</v>
      </c>
      <c r="AA443" s="16">
        <v>43762</v>
      </c>
      <c r="AB443">
        <v>297.45520499999839</v>
      </c>
      <c r="AC443" s="4">
        <v>996.2</v>
      </c>
      <c r="AE443">
        <v>1.9401552639450701</v>
      </c>
      <c r="AH443">
        <v>-4.8476299999999998E-4</v>
      </c>
    </row>
    <row r="444" spans="1:36" x14ac:dyDescent="0.2">
      <c r="A444" t="s">
        <v>7</v>
      </c>
      <c r="B444">
        <v>3</v>
      </c>
      <c r="C444" s="2">
        <v>43762</v>
      </c>
      <c r="D444" s="13">
        <v>297.47326500000054</v>
      </c>
      <c r="E444" s="13"/>
      <c r="F444" s="4">
        <v>1091.2</v>
      </c>
      <c r="H444" s="4">
        <v>20.6</v>
      </c>
      <c r="J444">
        <v>12.78</v>
      </c>
      <c r="N444">
        <v>0.2</v>
      </c>
      <c r="P444">
        <v>1.9744280832015899</v>
      </c>
      <c r="S444" s="6">
        <v>-3.9700000000000003E-5</v>
      </c>
      <c r="T444" s="6"/>
      <c r="U444" s="6"/>
      <c r="X444" t="s">
        <v>7</v>
      </c>
      <c r="Y444">
        <v>3</v>
      </c>
      <c r="Z444" t="s">
        <v>4</v>
      </c>
      <c r="AA444" s="16">
        <v>43762</v>
      </c>
      <c r="AB444">
        <v>297.46701499999836</v>
      </c>
      <c r="AC444" s="4">
        <v>1061.2</v>
      </c>
      <c r="AE444">
        <v>2.2806892465333402</v>
      </c>
      <c r="AH444">
        <v>-1.5546599999999999E-4</v>
      </c>
    </row>
    <row r="445" spans="1:36" x14ac:dyDescent="0.2">
      <c r="A445" t="s">
        <v>7</v>
      </c>
      <c r="B445">
        <v>4</v>
      </c>
      <c r="C445" s="2">
        <v>43762</v>
      </c>
      <c r="D445" s="13">
        <v>297.48367999999755</v>
      </c>
      <c r="E445" s="13"/>
      <c r="F445" s="4">
        <v>1128.7</v>
      </c>
      <c r="H445" s="4">
        <v>21.9</v>
      </c>
      <c r="J445">
        <v>12.78</v>
      </c>
      <c r="N445">
        <v>0.2</v>
      </c>
      <c r="P445">
        <v>1.2382918584953799</v>
      </c>
      <c r="S445" s="6">
        <v>2.8900000000000001E-5</v>
      </c>
      <c r="T445" s="6"/>
      <c r="U445" s="6"/>
      <c r="X445" t="s">
        <v>7</v>
      </c>
      <c r="Y445">
        <v>4</v>
      </c>
      <c r="Z445" t="s">
        <v>4</v>
      </c>
      <c r="AA445" s="16">
        <v>43762</v>
      </c>
      <c r="AB445">
        <v>297.47882000000027</v>
      </c>
      <c r="AC445" s="4">
        <v>1111.2</v>
      </c>
      <c r="AE445">
        <v>1.54573413579531</v>
      </c>
      <c r="AH445">
        <v>1.3428600000000001E-4</v>
      </c>
    </row>
    <row r="446" spans="1:36" x14ac:dyDescent="0.2">
      <c r="A446" t="s">
        <v>7</v>
      </c>
      <c r="B446">
        <v>5</v>
      </c>
      <c r="C446" s="2">
        <v>43762</v>
      </c>
      <c r="D446" s="13">
        <v>297.49618000000191</v>
      </c>
      <c r="E446" s="13"/>
      <c r="F446" s="4">
        <v>1176.2</v>
      </c>
      <c r="H446" s="4">
        <v>23.7</v>
      </c>
      <c r="J446">
        <v>15</v>
      </c>
      <c r="N446">
        <v>0.19</v>
      </c>
      <c r="P446">
        <v>3.0437061342343301</v>
      </c>
      <c r="S446">
        <v>-1.4125100000000001E-4</v>
      </c>
      <c r="X446" t="s">
        <v>7</v>
      </c>
      <c r="Y446">
        <v>5</v>
      </c>
      <c r="Z446" t="s">
        <v>4</v>
      </c>
      <c r="AA446" s="16">
        <v>43762</v>
      </c>
      <c r="AB446">
        <v>297.48992999999973</v>
      </c>
      <c r="AC446" s="4">
        <v>1156.2</v>
      </c>
      <c r="AE446">
        <v>3.5820449716950602</v>
      </c>
      <c r="AH446">
        <v>-1.2131E-4</v>
      </c>
    </row>
    <row r="447" spans="1:36" x14ac:dyDescent="0.2">
      <c r="A447" t="s">
        <v>7</v>
      </c>
      <c r="B447">
        <v>1</v>
      </c>
      <c r="C447" s="2">
        <v>43762</v>
      </c>
      <c r="D447" s="13">
        <v>297.52014000000054</v>
      </c>
      <c r="E447" s="13">
        <v>297.54319499999986</v>
      </c>
      <c r="F447" s="4">
        <v>1236.2</v>
      </c>
      <c r="G447" s="4">
        <v>1235.2</v>
      </c>
      <c r="H447" s="4">
        <v>22.3</v>
      </c>
      <c r="I447">
        <v>21.380000000000003</v>
      </c>
      <c r="J447">
        <v>15.56</v>
      </c>
      <c r="K447" s="4">
        <v>15.782</v>
      </c>
      <c r="M447" t="e">
        <v>#DIV/0!</v>
      </c>
      <c r="N447">
        <v>0.2</v>
      </c>
      <c r="O447" s="4">
        <v>0.188</v>
      </c>
      <c r="P447">
        <v>2.86818535450749</v>
      </c>
      <c r="Q447">
        <v>2.3683671986511863</v>
      </c>
      <c r="R447">
        <v>0.85799465288747012</v>
      </c>
      <c r="S447" s="6">
        <v>-8.4283078927766696E-6</v>
      </c>
      <c r="T447" s="6">
        <v>2.7010489523103352E-5</v>
      </c>
      <c r="U447" s="6">
        <v>5.3164550951773815E-5</v>
      </c>
      <c r="X447" t="s">
        <v>7</v>
      </c>
      <c r="Y447">
        <v>1</v>
      </c>
      <c r="Z447" t="s">
        <v>4</v>
      </c>
      <c r="AA447" s="16">
        <v>43762</v>
      </c>
      <c r="AB447">
        <v>297.51458500000081</v>
      </c>
      <c r="AC447" s="4">
        <v>1226.2</v>
      </c>
      <c r="AD447" s="4">
        <v>1237.2</v>
      </c>
      <c r="AE447">
        <v>2.8297321823959098</v>
      </c>
      <c r="AF447">
        <v>2.6134338791886238</v>
      </c>
      <c r="AG447">
        <v>0.80864633308890688</v>
      </c>
      <c r="AH447">
        <v>-2.7823270534699798E-6</v>
      </c>
      <c r="AI447">
        <v>1.2866803841941741E-4</v>
      </c>
      <c r="AJ447">
        <v>9.348208347928674E-5</v>
      </c>
    </row>
    <row r="448" spans="1:36" x14ac:dyDescent="0.2">
      <c r="A448" t="s">
        <v>7</v>
      </c>
      <c r="B448">
        <v>2</v>
      </c>
      <c r="C448" s="2">
        <v>43762</v>
      </c>
      <c r="D448" s="13">
        <v>297.53125</v>
      </c>
      <c r="E448" s="13"/>
      <c r="F448" s="4">
        <v>1246.2</v>
      </c>
      <c r="H448" s="4">
        <v>20.9</v>
      </c>
      <c r="J448">
        <v>15.56</v>
      </c>
      <c r="N448">
        <v>0.19</v>
      </c>
      <c r="P448">
        <v>1.85569617810795</v>
      </c>
      <c r="S448" s="6">
        <v>9.2805327069889798E-5</v>
      </c>
      <c r="T448" s="6"/>
      <c r="U448" s="6"/>
      <c r="X448" t="s">
        <v>7</v>
      </c>
      <c r="Y448">
        <v>2</v>
      </c>
      <c r="Z448" t="s">
        <v>4</v>
      </c>
      <c r="AA448" s="16">
        <v>43762</v>
      </c>
      <c r="AB448">
        <v>297.5253449999982</v>
      </c>
      <c r="AC448" s="4">
        <v>1241.2</v>
      </c>
      <c r="AE448">
        <v>2.3549537736297901</v>
      </c>
      <c r="AH448">
        <v>2.3388825145203199E-4</v>
      </c>
    </row>
    <row r="449" spans="1:36" x14ac:dyDescent="0.2">
      <c r="A449" t="s">
        <v>7</v>
      </c>
      <c r="B449">
        <v>3</v>
      </c>
      <c r="C449" s="2">
        <v>43762</v>
      </c>
      <c r="D449" s="13">
        <v>297.54305499999828</v>
      </c>
      <c r="E449" s="13"/>
      <c r="F449" s="4">
        <v>1248.7</v>
      </c>
      <c r="H449" s="4">
        <v>20.2</v>
      </c>
      <c r="J449">
        <v>15.56</v>
      </c>
      <c r="N449">
        <v>0.18</v>
      </c>
      <c r="P449">
        <v>1.96130120030404</v>
      </c>
      <c r="S449" s="6">
        <v>7.5769347921579594E-5</v>
      </c>
      <c r="T449" s="6"/>
      <c r="U449" s="6"/>
      <c r="X449" t="s">
        <v>7</v>
      </c>
      <c r="Y449">
        <v>3</v>
      </c>
      <c r="Z449" t="s">
        <v>4</v>
      </c>
      <c r="AA449" s="16">
        <v>43762</v>
      </c>
      <c r="AB449">
        <v>297.53749999999854</v>
      </c>
      <c r="AC449" s="4">
        <v>1248.7</v>
      </c>
      <c r="AE449">
        <v>2.5736415181821002</v>
      </c>
      <c r="AH449">
        <v>2.02601565682139E-4</v>
      </c>
    </row>
    <row r="450" spans="1:36" x14ac:dyDescent="0.2">
      <c r="A450" t="s">
        <v>7</v>
      </c>
      <c r="B450">
        <v>4</v>
      </c>
      <c r="C450" s="2">
        <v>43762</v>
      </c>
      <c r="D450" s="13">
        <v>297.55451499999981</v>
      </c>
      <c r="E450" s="13"/>
      <c r="F450" s="4">
        <v>1233.7</v>
      </c>
      <c r="H450" s="4">
        <v>22.8</v>
      </c>
      <c r="J450">
        <v>15.56</v>
      </c>
      <c r="N450">
        <v>0.2</v>
      </c>
      <c r="P450">
        <v>1.5347508349982599</v>
      </c>
      <c r="S450" s="6">
        <v>-2.2029024006965499E-6</v>
      </c>
      <c r="T450" s="6"/>
      <c r="U450" s="6"/>
      <c r="X450" t="s">
        <v>7</v>
      </c>
      <c r="Y450">
        <v>4</v>
      </c>
      <c r="Z450" t="s">
        <v>4</v>
      </c>
      <c r="AA450" s="16">
        <v>43762</v>
      </c>
      <c r="AB450">
        <v>297.54895499999839</v>
      </c>
      <c r="AC450" s="4">
        <v>1243.7</v>
      </c>
      <c r="AE450">
        <v>1.5370366640814399</v>
      </c>
      <c r="AH450">
        <v>1.04062867532674E-4</v>
      </c>
    </row>
    <row r="451" spans="1:36" x14ac:dyDescent="0.2">
      <c r="A451" t="s">
        <v>7</v>
      </c>
      <c r="B451">
        <v>5</v>
      </c>
      <c r="C451" s="2">
        <v>43762</v>
      </c>
      <c r="D451" s="13">
        <v>297.56701500000054</v>
      </c>
      <c r="E451" s="13"/>
      <c r="F451" s="4">
        <v>1211.2</v>
      </c>
      <c r="H451" s="4">
        <v>20.7</v>
      </c>
      <c r="J451">
        <v>16.670000000000002</v>
      </c>
      <c r="N451">
        <v>0.17</v>
      </c>
      <c r="P451">
        <v>3.62190242533819</v>
      </c>
      <c r="S451" s="6">
        <v>-2.2891017082479401E-5</v>
      </c>
      <c r="X451" t="s">
        <v>7</v>
      </c>
      <c r="Y451">
        <v>5</v>
      </c>
      <c r="Z451" t="s">
        <v>4</v>
      </c>
      <c r="AA451" s="16">
        <v>43762</v>
      </c>
      <c r="AB451">
        <v>297.56076499999836</v>
      </c>
      <c r="AC451" s="4">
        <v>1226.2</v>
      </c>
      <c r="AE451">
        <v>3.7718052576538801</v>
      </c>
      <c r="AH451">
        <v>1.0556983448371199E-4</v>
      </c>
    </row>
    <row r="452" spans="1:36" x14ac:dyDescent="0.2">
      <c r="A452" t="s">
        <v>7</v>
      </c>
      <c r="B452">
        <v>1</v>
      </c>
      <c r="C452" s="2">
        <v>43767</v>
      </c>
      <c r="D452" s="13">
        <v>302.43854500000089</v>
      </c>
      <c r="E452" s="13">
        <v>302.46319599999987</v>
      </c>
      <c r="F452" s="4">
        <v>583.70000000000005</v>
      </c>
      <c r="G452" s="4">
        <v>419.2</v>
      </c>
      <c r="H452" s="4">
        <v>22.6</v>
      </c>
      <c r="I452">
        <v>23.060000000000002</v>
      </c>
      <c r="J452">
        <v>14.44</v>
      </c>
      <c r="K452" s="4">
        <v>14.440000000000001</v>
      </c>
      <c r="M452" t="e">
        <v>#DIV/0!</v>
      </c>
      <c r="N452">
        <v>0.18</v>
      </c>
      <c r="O452" s="4">
        <v>0.182</v>
      </c>
      <c r="P452">
        <v>2.71899683882762</v>
      </c>
      <c r="Q452">
        <v>2.4577363578008802</v>
      </c>
      <c r="R452">
        <v>0.58946251552971951</v>
      </c>
      <c r="S452">
        <v>-1.3537122739318999E-4</v>
      </c>
      <c r="T452" s="6">
        <v>-1.3762310808594121E-4</v>
      </c>
      <c r="U452" s="6">
        <v>3.0501127194258545E-5</v>
      </c>
      <c r="X452" t="s">
        <v>7</v>
      </c>
      <c r="Y452">
        <v>1</v>
      </c>
      <c r="Z452" t="s">
        <v>4</v>
      </c>
      <c r="AA452" s="16">
        <v>43767</v>
      </c>
      <c r="AB452">
        <v>302.43298499999946</v>
      </c>
      <c r="AC452" s="4">
        <v>693.7</v>
      </c>
      <c r="AD452" s="4">
        <v>488.7</v>
      </c>
      <c r="AE452">
        <v>2.6694735009446702</v>
      </c>
      <c r="AF452">
        <v>2.5830622485388179</v>
      </c>
      <c r="AG452">
        <v>0.50541365560962936</v>
      </c>
      <c r="AH452">
        <v>-9.3227360770519003E-5</v>
      </c>
      <c r="AI452">
        <v>-1.392807444586132E-4</v>
      </c>
      <c r="AJ452">
        <v>3.9214572504506097E-5</v>
      </c>
    </row>
    <row r="453" spans="1:36" x14ac:dyDescent="0.2">
      <c r="A453" t="s">
        <v>7</v>
      </c>
      <c r="B453">
        <v>2</v>
      </c>
      <c r="C453" s="2">
        <v>43767</v>
      </c>
      <c r="D453" s="13">
        <v>302.45104500000161</v>
      </c>
      <c r="E453" s="13"/>
      <c r="F453" s="4">
        <v>391.2</v>
      </c>
      <c r="H453" s="4">
        <v>22.1</v>
      </c>
      <c r="J453">
        <v>14.44</v>
      </c>
      <c r="N453">
        <v>0.19</v>
      </c>
      <c r="P453">
        <v>2.2954148090012501</v>
      </c>
      <c r="S453">
        <v>-1.06214625114467E-4</v>
      </c>
      <c r="T453" s="6"/>
      <c r="U453" s="6"/>
      <c r="X453" t="s">
        <v>7</v>
      </c>
      <c r="Y453">
        <v>2</v>
      </c>
      <c r="Z453" t="s">
        <v>4</v>
      </c>
      <c r="AA453" s="16">
        <v>43767</v>
      </c>
      <c r="AB453">
        <v>302.44409499999892</v>
      </c>
      <c r="AC453" s="4">
        <v>468.7</v>
      </c>
      <c r="AE453">
        <v>2.6540558459736698</v>
      </c>
      <c r="AH453">
        <v>-1.11668382388117E-4</v>
      </c>
    </row>
    <row r="454" spans="1:36" x14ac:dyDescent="0.2">
      <c r="A454" t="s">
        <v>7</v>
      </c>
      <c r="B454">
        <v>3</v>
      </c>
      <c r="C454" s="2">
        <v>43767</v>
      </c>
      <c r="D454" s="13">
        <v>302.4635449999987</v>
      </c>
      <c r="E454" s="13"/>
      <c r="F454" s="4">
        <v>441.2</v>
      </c>
      <c r="H454" s="4">
        <v>22.1</v>
      </c>
      <c r="J454">
        <v>14.44</v>
      </c>
      <c r="N454">
        <v>0.17</v>
      </c>
      <c r="P454">
        <v>2.58434242959328</v>
      </c>
      <c r="S454">
        <v>-1.60384585200361E-4</v>
      </c>
      <c r="T454" s="6"/>
      <c r="U454" s="6"/>
      <c r="X454" t="s">
        <v>7</v>
      </c>
      <c r="Y454">
        <v>3</v>
      </c>
      <c r="Z454" t="s">
        <v>4</v>
      </c>
      <c r="AA454" s="16">
        <v>43767</v>
      </c>
      <c r="AB454">
        <v>302.45798500000092</v>
      </c>
      <c r="AC454" s="4">
        <v>356.2</v>
      </c>
      <c r="AE454">
        <v>2.6835397480356198</v>
      </c>
      <c r="AH454">
        <v>-1.8738195088947E-4</v>
      </c>
    </row>
    <row r="455" spans="1:36" x14ac:dyDescent="0.2">
      <c r="A455" t="s">
        <v>7</v>
      </c>
      <c r="B455">
        <v>4</v>
      </c>
      <c r="C455" s="2">
        <v>43767</v>
      </c>
      <c r="D455" s="13">
        <v>302.47499999999854</v>
      </c>
      <c r="E455" s="13"/>
      <c r="F455" s="4">
        <v>328.7</v>
      </c>
      <c r="H455" s="4">
        <v>25.1</v>
      </c>
      <c r="J455">
        <v>14.44</v>
      </c>
      <c r="N455">
        <v>0.19</v>
      </c>
      <c r="P455">
        <v>1.5531954133555601</v>
      </c>
      <c r="S455">
        <v>-1.10268332372926E-4</v>
      </c>
      <c r="T455" s="6"/>
      <c r="U455" s="6"/>
      <c r="X455" t="s">
        <v>7</v>
      </c>
      <c r="Y455">
        <v>4</v>
      </c>
      <c r="Z455" t="s">
        <v>4</v>
      </c>
      <c r="AA455" s="16">
        <v>43767</v>
      </c>
      <c r="AB455">
        <v>302.46944499999881</v>
      </c>
      <c r="AC455" s="4">
        <v>488.7</v>
      </c>
      <c r="AE455">
        <v>1.7591687457451</v>
      </c>
      <c r="AH455">
        <v>-1.34353197593417E-4</v>
      </c>
    </row>
    <row r="456" spans="1:36" x14ac:dyDescent="0.2">
      <c r="A456" t="s">
        <v>7</v>
      </c>
      <c r="B456">
        <v>5</v>
      </c>
      <c r="C456" s="2">
        <v>43767</v>
      </c>
      <c r="D456" s="13">
        <v>302.48784499999965</v>
      </c>
      <c r="E456" s="13"/>
      <c r="F456" s="4">
        <v>351.2</v>
      </c>
      <c r="H456" s="4">
        <v>23.4</v>
      </c>
      <c r="J456">
        <v>14.44</v>
      </c>
      <c r="N456">
        <v>0.18</v>
      </c>
      <c r="P456">
        <v>3.1367322982266899</v>
      </c>
      <c r="S456">
        <v>-1.7587677034876199E-4</v>
      </c>
      <c r="X456" t="s">
        <v>7</v>
      </c>
      <c r="Y456">
        <v>5</v>
      </c>
      <c r="Z456" t="s">
        <v>4</v>
      </c>
      <c r="AA456" s="16">
        <v>43767</v>
      </c>
      <c r="AB456">
        <v>302.48090500000035</v>
      </c>
      <c r="AC456" s="4">
        <v>436.2</v>
      </c>
      <c r="AE456">
        <v>3.1490734019950302</v>
      </c>
      <c r="AH456">
        <v>-1.6977283065154299E-4</v>
      </c>
    </row>
    <row r="457" spans="1:36" x14ac:dyDescent="0.2">
      <c r="A457" t="s">
        <v>7</v>
      </c>
      <c r="B457">
        <v>1</v>
      </c>
      <c r="C457" s="2">
        <v>43767</v>
      </c>
      <c r="D457" s="13">
        <v>302.54132000000027</v>
      </c>
      <c r="E457" s="13">
        <v>302.56680499999931</v>
      </c>
      <c r="F457" s="4">
        <v>711.2</v>
      </c>
      <c r="G457" s="4">
        <v>561.70000000000005</v>
      </c>
      <c r="H457" s="4">
        <v>21.8</v>
      </c>
      <c r="I457">
        <v>22.400000000000002</v>
      </c>
      <c r="J457">
        <v>15</v>
      </c>
      <c r="K457" s="4">
        <v>15.448000000000002</v>
      </c>
      <c r="M457" t="e">
        <v>#DIV/0!</v>
      </c>
      <c r="N457">
        <v>0.18</v>
      </c>
      <c r="O457" s="4">
        <v>0.184</v>
      </c>
      <c r="P457">
        <v>2.2802505100000001</v>
      </c>
      <c r="Q457">
        <v>2.5839000270000003</v>
      </c>
      <c r="R457">
        <v>0.7242221719541444</v>
      </c>
      <c r="S457">
        <v>-1.12025640541344E-4</v>
      </c>
      <c r="T457" s="6">
        <v>-9.831762965504688E-5</v>
      </c>
      <c r="U457" s="6">
        <v>4.2281921300117749E-5</v>
      </c>
      <c r="X457" t="s">
        <v>7</v>
      </c>
      <c r="Y457">
        <v>1</v>
      </c>
      <c r="Z457" t="s">
        <v>4</v>
      </c>
      <c r="AA457" s="16">
        <v>43767</v>
      </c>
      <c r="AB457">
        <v>302.53506999999809</v>
      </c>
      <c r="AC457" s="4">
        <v>646.20000000000005</v>
      </c>
      <c r="AD457" s="4">
        <v>580.20000000000005</v>
      </c>
      <c r="AE457">
        <v>2.542718378</v>
      </c>
      <c r="AF457">
        <v>2.6130685755999998</v>
      </c>
      <c r="AG457">
        <v>0.62177599426362418</v>
      </c>
      <c r="AH457">
        <v>-1.0363646847249601E-4</v>
      </c>
      <c r="AI457">
        <v>-6.2064674031288107E-5</v>
      </c>
      <c r="AJ457">
        <v>8.5018840531466929E-5</v>
      </c>
    </row>
    <row r="458" spans="1:36" x14ac:dyDescent="0.2">
      <c r="A458" t="s">
        <v>7</v>
      </c>
      <c r="B458">
        <v>2</v>
      </c>
      <c r="C458" s="2">
        <v>43767</v>
      </c>
      <c r="D458" s="13">
        <v>302.55312499999854</v>
      </c>
      <c r="E458" s="13"/>
      <c r="F458" s="4">
        <v>616.20000000000005</v>
      </c>
      <c r="H458" s="4">
        <v>21.4</v>
      </c>
      <c r="J458">
        <v>15.56</v>
      </c>
      <c r="N458">
        <v>0.18</v>
      </c>
      <c r="P458">
        <v>2.42708827</v>
      </c>
      <c r="S458" s="6">
        <v>-6.6486709778196097E-5</v>
      </c>
      <c r="T458" s="6"/>
      <c r="U458" s="6"/>
      <c r="X458" t="s">
        <v>7</v>
      </c>
      <c r="Y458">
        <v>2</v>
      </c>
      <c r="Z458" t="s">
        <v>4</v>
      </c>
      <c r="AA458" s="16">
        <v>43767</v>
      </c>
      <c r="AB458">
        <v>302.54757000000245</v>
      </c>
      <c r="AC458" s="4">
        <v>733.7</v>
      </c>
      <c r="AE458">
        <v>2.3990151210000001</v>
      </c>
      <c r="AH458">
        <v>5.50261698377441E-5</v>
      </c>
    </row>
    <row r="459" spans="1:36" x14ac:dyDescent="0.2">
      <c r="A459" t="s">
        <v>7</v>
      </c>
      <c r="B459">
        <v>3</v>
      </c>
      <c r="C459" s="2">
        <v>43767</v>
      </c>
      <c r="D459" s="13">
        <v>302.56631999999809</v>
      </c>
      <c r="E459" s="13"/>
      <c r="F459" s="4">
        <v>418.7</v>
      </c>
      <c r="H459" s="4">
        <v>23.1</v>
      </c>
      <c r="J459">
        <v>15.56</v>
      </c>
      <c r="N459">
        <v>0.18</v>
      </c>
      <c r="P459">
        <v>2.5212448049999998</v>
      </c>
      <c r="S459" s="6">
        <v>-8.5633318908037197E-5</v>
      </c>
      <c r="T459" s="6"/>
      <c r="U459" s="6"/>
      <c r="X459" t="s">
        <v>7</v>
      </c>
      <c r="Y459">
        <v>3</v>
      </c>
      <c r="Z459" t="s">
        <v>4</v>
      </c>
      <c r="AA459" s="16">
        <v>43767</v>
      </c>
      <c r="AB459">
        <v>302.55920500000138</v>
      </c>
      <c r="AC459" s="4">
        <v>491.2</v>
      </c>
      <c r="AE459">
        <v>2.7471800599999998</v>
      </c>
      <c r="AH459">
        <v>-1.3126803270395099E-4</v>
      </c>
    </row>
    <row r="460" spans="1:36" x14ac:dyDescent="0.2">
      <c r="A460" t="s">
        <v>7</v>
      </c>
      <c r="B460">
        <v>4</v>
      </c>
      <c r="C460" s="2">
        <v>43767</v>
      </c>
      <c r="D460" s="13">
        <v>302.58020499999839</v>
      </c>
      <c r="E460" s="13"/>
      <c r="F460" s="4">
        <v>511.2</v>
      </c>
      <c r="H460" s="4">
        <v>23.9</v>
      </c>
      <c r="J460">
        <v>15.56</v>
      </c>
      <c r="N460">
        <v>0.19</v>
      </c>
      <c r="P460">
        <v>1.8861754829999999</v>
      </c>
      <c r="S460" s="6">
        <v>-6.2172755940186099E-5</v>
      </c>
      <c r="T460" s="6"/>
      <c r="U460" s="6"/>
      <c r="X460" t="s">
        <v>7</v>
      </c>
      <c r="Y460">
        <v>4</v>
      </c>
      <c r="Z460" t="s">
        <v>4</v>
      </c>
      <c r="AA460" s="16">
        <v>43767</v>
      </c>
      <c r="AB460">
        <v>302.57395499999984</v>
      </c>
      <c r="AC460" s="4">
        <v>538.70000000000005</v>
      </c>
      <c r="AE460">
        <v>1.8319513359999999</v>
      </c>
      <c r="AH460">
        <v>6.0028949428136296E-7</v>
      </c>
    </row>
    <row r="461" spans="1:36" x14ac:dyDescent="0.2">
      <c r="A461" t="s">
        <v>7</v>
      </c>
      <c r="B461">
        <v>5</v>
      </c>
      <c r="C461" s="2">
        <v>43767</v>
      </c>
      <c r="D461" s="13">
        <v>302.59305500000119</v>
      </c>
      <c r="E461" s="13"/>
      <c r="F461" s="4">
        <v>551.20000000000005</v>
      </c>
      <c r="H461" s="4">
        <v>21.8</v>
      </c>
      <c r="J461">
        <v>15.56</v>
      </c>
      <c r="N461">
        <v>0.19</v>
      </c>
      <c r="P461">
        <v>3.8047410670000001</v>
      </c>
      <c r="S461">
        <v>-1.6526972310747099E-4</v>
      </c>
      <c r="X461" t="s">
        <v>7</v>
      </c>
      <c r="Y461">
        <v>5</v>
      </c>
      <c r="Z461" t="s">
        <v>4</v>
      </c>
      <c r="AA461" s="16">
        <v>43767</v>
      </c>
      <c r="AB461">
        <v>302.586804999999</v>
      </c>
      <c r="AC461" s="4">
        <v>491.2</v>
      </c>
      <c r="AE461">
        <v>3.5444779830000002</v>
      </c>
      <c r="AH461">
        <v>-1.31045328312019E-4</v>
      </c>
    </row>
    <row r="462" spans="1:36" x14ac:dyDescent="0.2">
      <c r="A462" t="s">
        <v>7</v>
      </c>
      <c r="B462">
        <v>1</v>
      </c>
      <c r="C462" s="2">
        <v>43774</v>
      </c>
      <c r="D462" s="13">
        <v>309.43298499999946</v>
      </c>
      <c r="E462" s="13">
        <v>309.45687699999979</v>
      </c>
      <c r="F462" s="4">
        <v>438.7</v>
      </c>
      <c r="G462" s="4">
        <v>306.2</v>
      </c>
      <c r="H462" s="4">
        <v>20.3</v>
      </c>
      <c r="I462">
        <v>19.84</v>
      </c>
      <c r="J462">
        <v>12.78</v>
      </c>
      <c r="K462" s="4">
        <v>12.78</v>
      </c>
      <c r="M462" t="e">
        <v>#DIV/0!</v>
      </c>
      <c r="N462">
        <v>0.17</v>
      </c>
      <c r="O462" s="4">
        <v>0.18</v>
      </c>
      <c r="P462">
        <v>1.4913119541467601</v>
      </c>
      <c r="Q462">
        <v>1.438951850669312</v>
      </c>
      <c r="R462">
        <v>0.31561191477626077</v>
      </c>
      <c r="S462">
        <v>-1.1886212271210099E-4</v>
      </c>
      <c r="T462" s="6">
        <v>-1.764449047863068E-4</v>
      </c>
      <c r="U462" s="6">
        <v>4.4127767184163758E-5</v>
      </c>
      <c r="X462" t="s">
        <v>7</v>
      </c>
      <c r="Y462">
        <v>1</v>
      </c>
      <c r="Z462" t="s">
        <v>4</v>
      </c>
      <c r="AA462" s="16">
        <v>43774</v>
      </c>
      <c r="AB462">
        <v>309.42673500000092</v>
      </c>
      <c r="AC462" s="4">
        <v>313.7</v>
      </c>
      <c r="AD462" s="4">
        <v>350.70000000000005</v>
      </c>
      <c r="AE462">
        <v>1.7455075840976499</v>
      </c>
      <c r="AF462">
        <v>1.6061899628765661</v>
      </c>
      <c r="AG462">
        <v>0.29309566685832328</v>
      </c>
      <c r="AH462">
        <v>-2.6321257483929999E-4</v>
      </c>
      <c r="AI462">
        <v>-1.9018593869854679E-4</v>
      </c>
      <c r="AJ462">
        <v>5.6679141333898771E-5</v>
      </c>
    </row>
    <row r="463" spans="1:36" x14ac:dyDescent="0.2">
      <c r="A463" t="s">
        <v>7</v>
      </c>
      <c r="B463">
        <v>2</v>
      </c>
      <c r="C463" s="2">
        <v>43774</v>
      </c>
      <c r="D463" s="13">
        <v>309.44479499999943</v>
      </c>
      <c r="E463" s="13"/>
      <c r="F463" s="4">
        <v>346.2</v>
      </c>
      <c r="H463" s="4">
        <v>20.399999999999999</v>
      </c>
      <c r="J463">
        <v>12.78</v>
      </c>
      <c r="N463">
        <v>0.18</v>
      </c>
      <c r="P463">
        <v>1.3881778089980801</v>
      </c>
      <c r="S463">
        <v>-2.1934979183630001E-4</v>
      </c>
      <c r="T463" s="6"/>
      <c r="U463" s="6"/>
      <c r="X463" t="s">
        <v>7</v>
      </c>
      <c r="Y463">
        <v>2</v>
      </c>
      <c r="Z463" t="s">
        <v>4</v>
      </c>
      <c r="AA463" s="16">
        <v>43774</v>
      </c>
      <c r="AB463">
        <v>309.43854500000089</v>
      </c>
      <c r="AC463" s="4">
        <v>606.20000000000005</v>
      </c>
      <c r="AE463">
        <v>1.4635994730385</v>
      </c>
      <c r="AH463">
        <v>-1.4145613138599199E-4</v>
      </c>
    </row>
    <row r="464" spans="1:36" x14ac:dyDescent="0.2">
      <c r="A464" t="s">
        <v>7</v>
      </c>
      <c r="B464">
        <v>3</v>
      </c>
      <c r="C464" s="2">
        <v>43774</v>
      </c>
      <c r="D464" s="13">
        <v>309.45590499999889</v>
      </c>
      <c r="E464" s="13"/>
      <c r="F464" s="4">
        <v>243.7</v>
      </c>
      <c r="H464" s="4">
        <v>22.4</v>
      </c>
      <c r="J464">
        <v>12.78</v>
      </c>
      <c r="N464">
        <v>0.19</v>
      </c>
      <c r="P464">
        <v>1.1742892764562201</v>
      </c>
      <c r="S464">
        <v>-1.63466743764249E-4</v>
      </c>
      <c r="T464" s="6"/>
      <c r="U464" s="6"/>
      <c r="X464" t="s">
        <v>7</v>
      </c>
      <c r="Y464">
        <v>3</v>
      </c>
      <c r="Z464" t="s">
        <v>4</v>
      </c>
      <c r="AA464" s="16">
        <v>43774</v>
      </c>
      <c r="AB464">
        <v>309.45034500000111</v>
      </c>
      <c r="AC464" s="4">
        <v>293.7</v>
      </c>
      <c r="AE464">
        <v>1.69144876432663</v>
      </c>
      <c r="AH464">
        <v>-1.9990385003053801E-4</v>
      </c>
    </row>
    <row r="465" spans="1:36" x14ac:dyDescent="0.2">
      <c r="A465" t="s">
        <v>7</v>
      </c>
      <c r="B465">
        <v>4</v>
      </c>
      <c r="C465" s="2">
        <v>43774</v>
      </c>
      <c r="D465" s="13">
        <v>309.46840499999962</v>
      </c>
      <c r="E465" s="13"/>
      <c r="F465" s="4">
        <v>213.7</v>
      </c>
      <c r="H465" s="4">
        <v>20.9</v>
      </c>
      <c r="J465">
        <v>12.78</v>
      </c>
      <c r="N465">
        <v>0.18</v>
      </c>
      <c r="P465">
        <v>1.1907052760988199</v>
      </c>
      <c r="S465">
        <v>-1.58011718937912E-4</v>
      </c>
      <c r="T465" s="6"/>
      <c r="U465" s="6"/>
      <c r="X465" t="s">
        <v>7</v>
      </c>
      <c r="Y465">
        <v>4</v>
      </c>
      <c r="Z465" t="s">
        <v>4</v>
      </c>
      <c r="AA465" s="16">
        <v>43774</v>
      </c>
      <c r="AB465">
        <v>309.46215500000108</v>
      </c>
      <c r="AC465" s="4">
        <v>283.7</v>
      </c>
      <c r="AE465">
        <v>1.1822812599502901</v>
      </c>
      <c r="AH465">
        <v>-1.2590448762315101E-4</v>
      </c>
    </row>
    <row r="466" spans="1:36" x14ac:dyDescent="0.2">
      <c r="A466" t="s">
        <v>7</v>
      </c>
      <c r="B466">
        <v>5</v>
      </c>
      <c r="C466" s="2">
        <v>43774</v>
      </c>
      <c r="D466" s="13">
        <v>309.48229500000161</v>
      </c>
      <c r="E466" s="13"/>
      <c r="F466" s="4">
        <v>288.7</v>
      </c>
      <c r="H466" s="4">
        <v>15.2</v>
      </c>
      <c r="J466">
        <v>12.78</v>
      </c>
      <c r="N466">
        <v>0.18</v>
      </c>
      <c r="P466">
        <v>1.9502749376466799</v>
      </c>
      <c r="S466">
        <v>-2.2253414668097201E-4</v>
      </c>
      <c r="X466" t="s">
        <v>7</v>
      </c>
      <c r="Y466">
        <v>5</v>
      </c>
      <c r="Z466" t="s">
        <v>4</v>
      </c>
      <c r="AA466" s="16">
        <v>43774</v>
      </c>
      <c r="AB466">
        <v>309.47551999999996</v>
      </c>
      <c r="AC466" s="4">
        <v>256.2</v>
      </c>
      <c r="AE466">
        <v>1.9481127329697601</v>
      </c>
      <c r="AH466">
        <v>-2.20452649613753E-4</v>
      </c>
    </row>
    <row r="467" spans="1:36" x14ac:dyDescent="0.2">
      <c r="A467" t="s">
        <v>5</v>
      </c>
      <c r="B467">
        <v>1</v>
      </c>
      <c r="C467" s="2">
        <v>43572</v>
      </c>
      <c r="D467" s="13">
        <v>107.40173499999946</v>
      </c>
      <c r="E467" s="13">
        <v>107.42117999999974</v>
      </c>
      <c r="F467" s="4">
        <v>1188.7</v>
      </c>
      <c r="G467" s="4">
        <v>1326.2</v>
      </c>
      <c r="H467">
        <v>18.7</v>
      </c>
      <c r="I467">
        <v>18.28</v>
      </c>
      <c r="J467">
        <v>10</v>
      </c>
      <c r="K467" s="4">
        <v>10</v>
      </c>
      <c r="M467" t="e">
        <v>#DIV/0!</v>
      </c>
      <c r="O467" s="4" t="e">
        <v>#DIV/0!</v>
      </c>
      <c r="P467">
        <v>0.66200187478622696</v>
      </c>
      <c r="Q467">
        <v>0.67193975867875666</v>
      </c>
      <c r="R467">
        <v>0.11853974954829517</v>
      </c>
      <c r="S467" s="6">
        <v>6.88761313439549E-5</v>
      </c>
      <c r="T467" s="6">
        <v>4.1477891319809121E-5</v>
      </c>
      <c r="U467" s="6">
        <v>4.2024838665211303E-5</v>
      </c>
      <c r="X467" t="s">
        <v>5</v>
      </c>
      <c r="Y467">
        <v>1</v>
      </c>
      <c r="Z467" t="s">
        <v>4</v>
      </c>
      <c r="AA467" s="16">
        <v>43572</v>
      </c>
      <c r="AB467">
        <v>107.39687499999854</v>
      </c>
      <c r="AC467" s="4">
        <v>1153.7</v>
      </c>
      <c r="AD467" s="4">
        <v>1293.7</v>
      </c>
      <c r="AE467">
        <v>0.911315833724056</v>
      </c>
      <c r="AF467">
        <v>0.73288627620328051</v>
      </c>
      <c r="AG467">
        <v>0.13303160108351517</v>
      </c>
      <c r="AH467">
        <v>2.5384906934557502E-4</v>
      </c>
      <c r="AI467">
        <v>1.4486325997868963E-4</v>
      </c>
      <c r="AJ467">
        <v>7.2422378116052404E-5</v>
      </c>
    </row>
    <row r="468" spans="1:36" x14ac:dyDescent="0.2">
      <c r="A468" t="s">
        <v>5</v>
      </c>
      <c r="B468">
        <v>2</v>
      </c>
      <c r="C468" s="2">
        <v>43572</v>
      </c>
      <c r="D468" s="13">
        <v>107.4114550000013</v>
      </c>
      <c r="E468" s="13"/>
      <c r="F468" s="4">
        <v>1266.2</v>
      </c>
      <c r="H468">
        <v>15.7</v>
      </c>
      <c r="J468">
        <v>10</v>
      </c>
      <c r="P468">
        <v>0.81458634203361902</v>
      </c>
      <c r="S468" s="6">
        <v>8.4562434934297299E-5</v>
      </c>
      <c r="T468" s="6"/>
      <c r="U468" s="6"/>
      <c r="X468" t="s">
        <v>5</v>
      </c>
      <c r="Y468">
        <v>2</v>
      </c>
      <c r="Z468" t="s">
        <v>4</v>
      </c>
      <c r="AA468" s="16">
        <v>43572</v>
      </c>
      <c r="AB468">
        <v>107.40659500000038</v>
      </c>
      <c r="AC468" s="4">
        <v>1228.7</v>
      </c>
      <c r="AE468">
        <v>0.78547813237230901</v>
      </c>
      <c r="AH468">
        <v>1.35074243053334E-4</v>
      </c>
    </row>
    <row r="469" spans="1:36" x14ac:dyDescent="0.2">
      <c r="A469" t="s">
        <v>5</v>
      </c>
      <c r="B469">
        <v>3</v>
      </c>
      <c r="C469" s="2">
        <v>43572</v>
      </c>
      <c r="D469" s="13">
        <v>107.42117999999755</v>
      </c>
      <c r="E469" s="13"/>
      <c r="F469" s="4">
        <v>1328.7</v>
      </c>
      <c r="H469">
        <v>17.5</v>
      </c>
      <c r="J469">
        <v>10</v>
      </c>
      <c r="P469">
        <v>0.57536162788712697</v>
      </c>
      <c r="S469" s="6">
        <v>5.4506644463828701E-5</v>
      </c>
      <c r="T469" s="6"/>
      <c r="U469" s="6"/>
      <c r="X469" t="s">
        <v>5</v>
      </c>
      <c r="Y469">
        <v>3</v>
      </c>
      <c r="Z469" t="s">
        <v>4</v>
      </c>
      <c r="AA469" s="16">
        <v>43572</v>
      </c>
      <c r="AB469">
        <v>107.41632000000027</v>
      </c>
      <c r="AC469" s="4">
        <v>1298.7</v>
      </c>
      <c r="AE469">
        <v>0.67871053454308805</v>
      </c>
      <c r="AH469">
        <v>1.5695819940636201E-4</v>
      </c>
    </row>
    <row r="470" spans="1:36" x14ac:dyDescent="0.2">
      <c r="A470" t="s">
        <v>5</v>
      </c>
      <c r="B470">
        <v>4</v>
      </c>
      <c r="C470" s="2">
        <v>43572</v>
      </c>
      <c r="D470" s="13">
        <v>107.43090500000108</v>
      </c>
      <c r="E470" s="13"/>
      <c r="F470" s="4">
        <v>1396.2</v>
      </c>
      <c r="H470">
        <v>22</v>
      </c>
      <c r="J470">
        <v>10</v>
      </c>
      <c r="P470">
        <v>0.76740824744501202</v>
      </c>
      <c r="S470" s="6">
        <v>1.9729246760641099E-5</v>
      </c>
      <c r="T470" s="6"/>
      <c r="U470" s="6"/>
      <c r="X470" t="s">
        <v>5</v>
      </c>
      <c r="Y470">
        <v>4</v>
      </c>
      <c r="Z470" t="s">
        <v>4</v>
      </c>
      <c r="AA470" s="16">
        <v>43572</v>
      </c>
      <c r="AB470">
        <v>107.42604500000016</v>
      </c>
      <c r="AC470" s="4">
        <v>1366.2</v>
      </c>
      <c r="AE470">
        <v>0.73831015129967104</v>
      </c>
      <c r="AH470">
        <v>5.2699867010925197E-5</v>
      </c>
    </row>
    <row r="471" spans="1:36" x14ac:dyDescent="0.2">
      <c r="A471" t="s">
        <v>5</v>
      </c>
      <c r="B471">
        <v>5</v>
      </c>
      <c r="C471" s="2">
        <v>43572</v>
      </c>
      <c r="D471" s="13">
        <v>107.44062499999927</v>
      </c>
      <c r="E471" s="13"/>
      <c r="F471" s="4">
        <v>1451.2</v>
      </c>
      <c r="H471">
        <v>17.5</v>
      </c>
      <c r="J471">
        <v>10</v>
      </c>
      <c r="P471">
        <v>0.540340701241798</v>
      </c>
      <c r="S471" s="6">
        <v>-2.0285000903676398E-5</v>
      </c>
      <c r="X471" t="s">
        <v>5</v>
      </c>
      <c r="Y471">
        <v>5</v>
      </c>
      <c r="Z471" t="s">
        <v>4</v>
      </c>
      <c r="AA471" s="16">
        <v>43572</v>
      </c>
      <c r="AB471">
        <v>107.43576499999836</v>
      </c>
      <c r="AC471" s="4">
        <v>1421.2</v>
      </c>
      <c r="AE471">
        <v>0.55061672907727799</v>
      </c>
      <c r="AH471">
        <v>1.25734921077252E-4</v>
      </c>
    </row>
    <row r="472" spans="1:36" x14ac:dyDescent="0.2">
      <c r="A472" t="s">
        <v>5</v>
      </c>
      <c r="B472">
        <v>1</v>
      </c>
      <c r="C472" s="2">
        <v>43572</v>
      </c>
      <c r="D472" s="13">
        <v>107.65115499999956</v>
      </c>
      <c r="E472" s="13">
        <v>107.67060200000051</v>
      </c>
      <c r="F472" s="4">
        <v>1383.7</v>
      </c>
      <c r="G472" s="4">
        <v>1295.7</v>
      </c>
      <c r="H472">
        <v>17.600000000000001</v>
      </c>
      <c r="I472">
        <v>17.5</v>
      </c>
      <c r="J472">
        <v>11.11</v>
      </c>
      <c r="K472" s="4">
        <v>11.11</v>
      </c>
      <c r="M472" t="e">
        <v>#DIV/0!</v>
      </c>
      <c r="O472" s="4" t="e">
        <v>#DIV/0!</v>
      </c>
      <c r="P472">
        <v>0.80473814388368803</v>
      </c>
      <c r="Q472">
        <v>1.0076131232537731</v>
      </c>
      <c r="R472">
        <v>0.13191324336474472</v>
      </c>
      <c r="S472" s="6">
        <v>9.9462334192036895E-5</v>
      </c>
      <c r="T472" s="6">
        <v>1.9055628118247421E-4</v>
      </c>
      <c r="U472" s="6">
        <v>5.5954867725553771E-5</v>
      </c>
      <c r="X472" t="s">
        <v>5</v>
      </c>
      <c r="Y472">
        <v>1</v>
      </c>
      <c r="Z472" t="s">
        <v>4</v>
      </c>
      <c r="AA472" s="16">
        <v>43572</v>
      </c>
      <c r="AB472">
        <v>107.64629499999864</v>
      </c>
      <c r="AC472" s="4">
        <v>1438.7</v>
      </c>
      <c r="AD472" s="4">
        <v>1292.2</v>
      </c>
      <c r="AE472">
        <v>1.0711056637885601</v>
      </c>
      <c r="AF472">
        <v>1.113899547047998</v>
      </c>
      <c r="AG472">
        <v>7.5157353789128856E-2</v>
      </c>
      <c r="AH472">
        <v>4.32148140889698E-4</v>
      </c>
      <c r="AI472">
        <v>3.14303331787736E-4</v>
      </c>
      <c r="AJ472">
        <v>7.9603671099284803E-5</v>
      </c>
    </row>
    <row r="473" spans="1:36" x14ac:dyDescent="0.2">
      <c r="A473" t="s">
        <v>5</v>
      </c>
      <c r="B473">
        <v>2</v>
      </c>
      <c r="C473" s="2">
        <v>43572</v>
      </c>
      <c r="D473" s="13">
        <v>107.66088000000309</v>
      </c>
      <c r="E473" s="13"/>
      <c r="F473" s="4">
        <v>1451.2</v>
      </c>
      <c r="H473">
        <v>13.2</v>
      </c>
      <c r="J473">
        <v>11.11</v>
      </c>
      <c r="P473">
        <v>1.0783789079338</v>
      </c>
      <c r="S473">
        <v>1.79165711689262E-4</v>
      </c>
      <c r="T473" s="6"/>
      <c r="U473" s="6"/>
      <c r="X473" t="s">
        <v>5</v>
      </c>
      <c r="Y473">
        <v>2</v>
      </c>
      <c r="Z473" t="s">
        <v>4</v>
      </c>
      <c r="AA473" s="16">
        <v>43572</v>
      </c>
      <c r="AB473">
        <v>107.65601500000048</v>
      </c>
      <c r="AC473" s="4">
        <v>1388.7</v>
      </c>
      <c r="AE473">
        <v>1.15777078901055</v>
      </c>
      <c r="AH473">
        <v>2.1428382463999399E-4</v>
      </c>
    </row>
    <row r="474" spans="1:36" x14ac:dyDescent="0.2">
      <c r="A474" t="s">
        <v>5</v>
      </c>
      <c r="B474">
        <v>3</v>
      </c>
      <c r="C474" s="2">
        <v>43572</v>
      </c>
      <c r="D474" s="13">
        <v>107.67060499999934</v>
      </c>
      <c r="E474" s="13"/>
      <c r="F474" s="4">
        <v>1291.2</v>
      </c>
      <c r="H474">
        <v>16.399999999999999</v>
      </c>
      <c r="J474">
        <v>11.11</v>
      </c>
      <c r="P474">
        <v>0.95040165672656696</v>
      </c>
      <c r="S474">
        <v>2.34514400869137E-4</v>
      </c>
      <c r="T474" s="6"/>
      <c r="U474" s="6"/>
      <c r="X474" t="s">
        <v>5</v>
      </c>
      <c r="Y474">
        <v>3</v>
      </c>
      <c r="Z474" t="s">
        <v>4</v>
      </c>
      <c r="AA474" s="16">
        <v>43572</v>
      </c>
      <c r="AB474">
        <v>107.66573999999673</v>
      </c>
      <c r="AC474" s="4">
        <v>1298.7</v>
      </c>
      <c r="AE474">
        <v>1.19205603357853</v>
      </c>
      <c r="AH474">
        <v>3.2696569826931501E-4</v>
      </c>
    </row>
    <row r="475" spans="1:36" x14ac:dyDescent="0.2">
      <c r="A475" t="s">
        <v>5</v>
      </c>
      <c r="B475">
        <v>4</v>
      </c>
      <c r="C475" s="2">
        <v>43572</v>
      </c>
      <c r="D475" s="13">
        <v>107.68032500000118</v>
      </c>
      <c r="E475" s="13"/>
      <c r="F475" s="4">
        <v>1183.7</v>
      </c>
      <c r="H475">
        <v>19.899999999999999</v>
      </c>
      <c r="J475">
        <v>11.11</v>
      </c>
      <c r="P475">
        <v>1.1357701199664201</v>
      </c>
      <c r="S475">
        <v>2.3483531771366001E-4</v>
      </c>
      <c r="T475" s="6"/>
      <c r="U475" s="6"/>
      <c r="X475" t="s">
        <v>5</v>
      </c>
      <c r="Y475">
        <v>4</v>
      </c>
      <c r="Z475" t="s">
        <v>4</v>
      </c>
      <c r="AA475" s="16">
        <v>43572</v>
      </c>
      <c r="AB475">
        <v>107.67546500000026</v>
      </c>
      <c r="AC475" s="4">
        <v>1188.7</v>
      </c>
      <c r="AE475">
        <v>1.1435324312775701</v>
      </c>
      <c r="AH475">
        <v>3.19438315976922E-4</v>
      </c>
    </row>
    <row r="476" spans="1:36" x14ac:dyDescent="0.2">
      <c r="A476" t="s">
        <v>5</v>
      </c>
      <c r="B476">
        <v>5</v>
      </c>
      <c r="C476" s="2">
        <v>43572</v>
      </c>
      <c r="D476" s="13">
        <v>107.69004499999937</v>
      </c>
      <c r="E476" s="13"/>
      <c r="F476" s="4">
        <v>1168.7</v>
      </c>
      <c r="H476">
        <v>20.399999999999999</v>
      </c>
      <c r="J476">
        <v>11.11</v>
      </c>
      <c r="P476">
        <v>1.06877678775839</v>
      </c>
      <c r="S476">
        <v>2.0480364144827499E-4</v>
      </c>
      <c r="X476" t="s">
        <v>5</v>
      </c>
      <c r="Y476">
        <v>5</v>
      </c>
      <c r="Z476" t="s">
        <v>4</v>
      </c>
      <c r="AA476" s="16">
        <v>43572</v>
      </c>
      <c r="AB476">
        <v>107.68518499999846</v>
      </c>
      <c r="AC476" s="4">
        <v>1146.2</v>
      </c>
      <c r="AE476">
        <v>1.00503281758478</v>
      </c>
      <c r="AH476">
        <v>2.78680679162751E-4</v>
      </c>
    </row>
    <row r="477" spans="1:36" x14ac:dyDescent="0.2">
      <c r="A477" t="s">
        <v>5</v>
      </c>
      <c r="B477">
        <v>1</v>
      </c>
      <c r="C477" s="2">
        <v>43578</v>
      </c>
      <c r="D477" s="13">
        <v>113.36284499999965</v>
      </c>
      <c r="E477" s="13">
        <v>113.38229199999986</v>
      </c>
      <c r="F477" s="4">
        <v>838.7</v>
      </c>
      <c r="G477" s="4">
        <v>772.2</v>
      </c>
      <c r="H477">
        <v>17.8</v>
      </c>
      <c r="I477">
        <v>18.360000000000003</v>
      </c>
      <c r="J477">
        <v>14.44</v>
      </c>
      <c r="K477" s="4">
        <v>14.440000000000001</v>
      </c>
      <c r="M477" t="e">
        <v>#DIV/0!</v>
      </c>
      <c r="O477" s="4" t="e">
        <v>#DIV/0!</v>
      </c>
      <c r="P477">
        <v>0.71065298808210597</v>
      </c>
      <c r="Q477">
        <v>0.91337381805092765</v>
      </c>
      <c r="R477">
        <v>0.20390062936200146</v>
      </c>
      <c r="S477" s="6">
        <v>3.6571223240249799E-5</v>
      </c>
      <c r="T477" s="6">
        <v>-1.0008066538599039E-5</v>
      </c>
      <c r="U477" s="6">
        <v>4.7870226388137445E-5</v>
      </c>
      <c r="X477" t="s">
        <v>5</v>
      </c>
      <c r="Y477">
        <v>1</v>
      </c>
      <c r="Z477" t="s">
        <v>4</v>
      </c>
      <c r="AA477" s="16">
        <v>43578</v>
      </c>
      <c r="AB477">
        <v>113.35798499999873</v>
      </c>
      <c r="AC477" s="4">
        <v>803.7</v>
      </c>
      <c r="AD477" s="4">
        <v>962.2</v>
      </c>
      <c r="AE477">
        <v>0.80684409448010597</v>
      </c>
      <c r="AF477">
        <v>0.82582506877159667</v>
      </c>
      <c r="AG477">
        <v>0.17291037200338685</v>
      </c>
      <c r="AH477">
        <v>-8.2418582431553097E-5</v>
      </c>
      <c r="AI477">
        <v>2.7158147632123777E-5</v>
      </c>
      <c r="AJ477">
        <v>1.0370007202683565E-4</v>
      </c>
    </row>
    <row r="478" spans="1:36" x14ac:dyDescent="0.2">
      <c r="A478" t="s">
        <v>5</v>
      </c>
      <c r="B478">
        <v>2</v>
      </c>
      <c r="C478" s="2">
        <v>43578</v>
      </c>
      <c r="D478" s="13">
        <v>113.37256999999954</v>
      </c>
      <c r="E478" s="13"/>
      <c r="F478" s="4">
        <v>926.2</v>
      </c>
      <c r="H478">
        <v>16.100000000000001</v>
      </c>
      <c r="J478">
        <v>14.44</v>
      </c>
      <c r="P478">
        <v>0.96062014448567001</v>
      </c>
      <c r="S478" s="6">
        <v>4.5746558812763301E-5</v>
      </c>
      <c r="T478" s="6"/>
      <c r="U478" s="6"/>
      <c r="X478" t="s">
        <v>5</v>
      </c>
      <c r="Y478">
        <v>2</v>
      </c>
      <c r="Z478" t="s">
        <v>4</v>
      </c>
      <c r="AA478" s="16">
        <v>43578</v>
      </c>
      <c r="AB478">
        <v>113.36770500000057</v>
      </c>
      <c r="AC478" s="4">
        <v>886.2</v>
      </c>
      <c r="AE478">
        <v>0.86190363539596404</v>
      </c>
      <c r="AH478">
        <v>1.3908506401593001E-4</v>
      </c>
    </row>
    <row r="479" spans="1:36" x14ac:dyDescent="0.2">
      <c r="A479" t="s">
        <v>5</v>
      </c>
      <c r="B479">
        <v>3</v>
      </c>
      <c r="C479" s="2">
        <v>43578</v>
      </c>
      <c r="D479" s="13">
        <v>113.38229499999943</v>
      </c>
      <c r="E479" s="13"/>
      <c r="F479" s="4">
        <v>1006.2</v>
      </c>
      <c r="H479">
        <v>17.2</v>
      </c>
      <c r="J479">
        <v>14.44</v>
      </c>
      <c r="P479">
        <v>0.83268024154377196</v>
      </c>
      <c r="S479" s="6">
        <v>-5.7767964144636603E-5</v>
      </c>
      <c r="T479" s="6"/>
      <c r="U479" s="6"/>
      <c r="X479" t="s">
        <v>5</v>
      </c>
      <c r="Y479">
        <v>3</v>
      </c>
      <c r="Z479" t="s">
        <v>4</v>
      </c>
      <c r="AA479" s="16">
        <v>43578</v>
      </c>
      <c r="AB479">
        <v>113.37743000000046</v>
      </c>
      <c r="AC479" s="4">
        <v>963.7</v>
      </c>
      <c r="AE479">
        <v>0.58909640907968397</v>
      </c>
      <c r="AH479">
        <v>4.9749370935023197E-5</v>
      </c>
    </row>
    <row r="480" spans="1:36" x14ac:dyDescent="0.2">
      <c r="A480" t="s">
        <v>5</v>
      </c>
      <c r="B480">
        <v>4</v>
      </c>
      <c r="C480" s="2">
        <v>43578</v>
      </c>
      <c r="D480" s="13">
        <v>113.39201500000127</v>
      </c>
      <c r="E480" s="13"/>
      <c r="F480" s="4">
        <v>1088.7</v>
      </c>
      <c r="H480">
        <v>19.600000000000001</v>
      </c>
      <c r="J480">
        <v>14.44</v>
      </c>
      <c r="P480">
        <v>1.2419035542111401</v>
      </c>
      <c r="S480" s="6">
        <v>-4.4971542578339503E-5</v>
      </c>
      <c r="T480" s="6"/>
      <c r="U480" s="6"/>
      <c r="X480" t="s">
        <v>5</v>
      </c>
      <c r="Y480">
        <v>4</v>
      </c>
      <c r="Z480" t="s">
        <v>4</v>
      </c>
      <c r="AA480" s="16">
        <v>43578</v>
      </c>
      <c r="AB480">
        <v>113.38715500000035</v>
      </c>
      <c r="AC480" s="4">
        <v>1046.2</v>
      </c>
      <c r="AE480">
        <v>1.07306455494214</v>
      </c>
      <c r="AH480">
        <v>-7.9277244811327196E-5</v>
      </c>
    </row>
    <row r="481" spans="1:36" x14ac:dyDescent="0.2">
      <c r="A481" t="s">
        <v>5</v>
      </c>
      <c r="B481">
        <v>5</v>
      </c>
      <c r="C481" s="2">
        <v>43578</v>
      </c>
      <c r="D481" s="13">
        <v>113.40173499999946</v>
      </c>
      <c r="E481" s="13"/>
      <c r="F481" s="4">
        <v>1.2</v>
      </c>
      <c r="H481">
        <v>21.1</v>
      </c>
      <c r="J481">
        <v>14.44</v>
      </c>
      <c r="P481">
        <v>0.82101216193195004</v>
      </c>
      <c r="S481" s="6">
        <v>-2.9618608023032201E-5</v>
      </c>
      <c r="X481" t="s">
        <v>5</v>
      </c>
      <c r="Y481">
        <v>5</v>
      </c>
      <c r="Z481" t="s">
        <v>4</v>
      </c>
      <c r="AA481" s="16">
        <v>43578</v>
      </c>
      <c r="AB481">
        <v>113.39687499999854</v>
      </c>
      <c r="AC481" s="4">
        <v>1111.2</v>
      </c>
      <c r="AE481">
        <v>0.79821664996008901</v>
      </c>
      <c r="AH481">
        <v>1.08652130452546E-4</v>
      </c>
    </row>
    <row r="482" spans="1:36" x14ac:dyDescent="0.2">
      <c r="A482" t="s">
        <v>5</v>
      </c>
      <c r="B482">
        <v>1</v>
      </c>
      <c r="C482" s="2">
        <v>43578</v>
      </c>
      <c r="D482" s="13">
        <v>113.4942149999988</v>
      </c>
      <c r="E482" s="13">
        <v>113.51365799999913</v>
      </c>
      <c r="F482" s="4">
        <v>1723.7</v>
      </c>
      <c r="G482" s="4">
        <v>1399.7</v>
      </c>
      <c r="H482">
        <v>15.9</v>
      </c>
      <c r="I482">
        <v>16.78</v>
      </c>
      <c r="J482">
        <v>20.56</v>
      </c>
      <c r="K482" s="4">
        <v>20.56</v>
      </c>
      <c r="M482" t="e">
        <v>#DIV/0!</v>
      </c>
      <c r="O482" s="4" t="e">
        <v>#DIV/0!</v>
      </c>
      <c r="P482">
        <v>0.77692420213961999</v>
      </c>
      <c r="Q482">
        <v>1.1850562034763021</v>
      </c>
      <c r="R482">
        <v>0.3007534781329867</v>
      </c>
      <c r="S482" s="6">
        <v>-1.7347220092554501E-5</v>
      </c>
      <c r="T482" s="6">
        <v>6.9176151063464461E-5</v>
      </c>
      <c r="U482" s="6">
        <v>1.5518487545199499E-4</v>
      </c>
      <c r="X482" t="s">
        <v>5</v>
      </c>
      <c r="Y482">
        <v>1</v>
      </c>
      <c r="Z482" t="s">
        <v>4</v>
      </c>
      <c r="AA482" s="16">
        <v>43578</v>
      </c>
      <c r="AB482">
        <v>113.48935500000152</v>
      </c>
      <c r="AC482" s="4">
        <v>1711.2</v>
      </c>
      <c r="AD482" s="4">
        <v>1740.7</v>
      </c>
      <c r="AE482">
        <v>1.37136122299344</v>
      </c>
      <c r="AF482">
        <v>1.3874938542575979</v>
      </c>
      <c r="AG482">
        <v>0.21734029841979011</v>
      </c>
      <c r="AH482">
        <v>1.4340960687297201E-4</v>
      </c>
      <c r="AI482">
        <v>2.2824872920621404E-4</v>
      </c>
      <c r="AJ482">
        <v>9.7321429845563859E-5</v>
      </c>
    </row>
    <row r="483" spans="1:36" x14ac:dyDescent="0.2">
      <c r="A483" t="s">
        <v>5</v>
      </c>
      <c r="B483">
        <v>2</v>
      </c>
      <c r="C483" s="2">
        <v>43578</v>
      </c>
      <c r="D483" s="13">
        <v>113.50393500000064</v>
      </c>
      <c r="E483" s="13"/>
      <c r="F483" s="4">
        <v>1738.7</v>
      </c>
      <c r="H483">
        <v>15.8</v>
      </c>
      <c r="J483">
        <v>20.56</v>
      </c>
      <c r="P483">
        <v>1.3895444322241499</v>
      </c>
      <c r="S483">
        <v>2.1054504703142999E-4</v>
      </c>
      <c r="T483" s="6"/>
      <c r="U483" s="6"/>
      <c r="X483" t="s">
        <v>5</v>
      </c>
      <c r="Y483">
        <v>2</v>
      </c>
      <c r="Z483" t="s">
        <v>4</v>
      </c>
      <c r="AA483" s="16">
        <v>43578</v>
      </c>
      <c r="AB483">
        <v>113.49907499999972</v>
      </c>
      <c r="AC483" s="4">
        <v>1726.2</v>
      </c>
      <c r="AE483">
        <v>1.5434389776537101</v>
      </c>
      <c r="AH483">
        <v>2.97215949779515E-4</v>
      </c>
    </row>
    <row r="484" spans="1:36" x14ac:dyDescent="0.2">
      <c r="A484" t="s">
        <v>5</v>
      </c>
      <c r="B484">
        <v>3</v>
      </c>
      <c r="C484" s="2">
        <v>43578</v>
      </c>
      <c r="D484" s="13">
        <v>113.51365499999883</v>
      </c>
      <c r="E484" s="13"/>
      <c r="F484" s="4">
        <v>1763.7</v>
      </c>
      <c r="H484">
        <v>13.3</v>
      </c>
      <c r="J484">
        <v>20.56</v>
      </c>
      <c r="P484">
        <v>1.1617472723084901</v>
      </c>
      <c r="S484">
        <v>2.6253603216269401E-4</v>
      </c>
      <c r="T484" s="6"/>
      <c r="U484" s="6"/>
      <c r="X484" t="s">
        <v>5</v>
      </c>
      <c r="Y484">
        <v>3</v>
      </c>
      <c r="Z484" t="s">
        <v>4</v>
      </c>
      <c r="AA484" s="16">
        <v>43578</v>
      </c>
      <c r="AB484">
        <v>113.50879500000156</v>
      </c>
      <c r="AC484" s="4">
        <v>1741.2</v>
      </c>
      <c r="AE484">
        <v>1.44704754722546</v>
      </c>
      <c r="AH484">
        <v>3.6464704131878602E-4</v>
      </c>
    </row>
    <row r="485" spans="1:36" x14ac:dyDescent="0.2">
      <c r="A485" t="s">
        <v>5</v>
      </c>
      <c r="B485">
        <v>4</v>
      </c>
      <c r="C485" s="2">
        <v>43578</v>
      </c>
      <c r="D485" s="13">
        <v>113.52337999999872</v>
      </c>
      <c r="E485" s="13"/>
      <c r="F485" s="4">
        <v>1766.2</v>
      </c>
      <c r="H485">
        <v>20.399999999999999</v>
      </c>
      <c r="J485">
        <v>20.56</v>
      </c>
      <c r="P485">
        <v>1.5506499695503</v>
      </c>
      <c r="S485" s="6">
        <v>-7.3187417045876595E-5</v>
      </c>
      <c r="T485" s="6"/>
      <c r="U485" s="6"/>
      <c r="X485" t="s">
        <v>5</v>
      </c>
      <c r="Y485">
        <v>4</v>
      </c>
      <c r="Z485" t="s">
        <v>4</v>
      </c>
      <c r="AA485" s="16">
        <v>43578</v>
      </c>
      <c r="AB485">
        <v>113.51851499999975</v>
      </c>
      <c r="AC485" s="4">
        <v>1758.7</v>
      </c>
      <c r="AE485">
        <v>1.55328015517852</v>
      </c>
      <c r="AH485">
        <v>1.73637129706822E-4</v>
      </c>
    </row>
    <row r="486" spans="1:36" x14ac:dyDescent="0.2">
      <c r="A486" t="s">
        <v>5</v>
      </c>
      <c r="B486">
        <v>5</v>
      </c>
      <c r="C486" s="2">
        <v>43578</v>
      </c>
      <c r="D486" s="13">
        <v>113.53310499999861</v>
      </c>
      <c r="E486" s="13"/>
      <c r="F486" s="4">
        <v>6.2</v>
      </c>
      <c r="H486">
        <v>18.5</v>
      </c>
      <c r="J486">
        <v>20.56</v>
      </c>
      <c r="P486">
        <v>1.04641514115895</v>
      </c>
      <c r="S486" s="6">
        <v>-3.6665686738370599E-5</v>
      </c>
      <c r="X486" t="s">
        <v>5</v>
      </c>
      <c r="Y486">
        <v>5</v>
      </c>
      <c r="Z486" t="s">
        <v>4</v>
      </c>
      <c r="AA486" s="16">
        <v>43578</v>
      </c>
      <c r="AB486">
        <v>113.52823999999964</v>
      </c>
      <c r="AC486" s="4">
        <v>1766.2</v>
      </c>
      <c r="AE486">
        <v>1.0223413682368601</v>
      </c>
      <c r="AH486">
        <v>1.6233391835297501E-4</v>
      </c>
    </row>
    <row r="487" spans="1:36" x14ac:dyDescent="0.2">
      <c r="A487" t="s">
        <v>5</v>
      </c>
      <c r="B487">
        <v>1</v>
      </c>
      <c r="C487" s="2">
        <v>43587</v>
      </c>
      <c r="D487" s="13">
        <v>122.38437500000146</v>
      </c>
      <c r="E487" s="13">
        <v>122.40382000000027</v>
      </c>
      <c r="F487" s="4">
        <v>678.7</v>
      </c>
      <c r="G487" s="4">
        <v>442.7</v>
      </c>
      <c r="H487">
        <v>16.399999999999999</v>
      </c>
      <c r="I487">
        <v>18.399999999999999</v>
      </c>
      <c r="J487">
        <v>12.22</v>
      </c>
      <c r="K487" s="4">
        <v>12.22</v>
      </c>
      <c r="M487" t="e">
        <v>#DIV/0!</v>
      </c>
      <c r="O487" s="4" t="e">
        <v>#DIV/0!</v>
      </c>
      <c r="P487">
        <v>0.76194662758613896</v>
      </c>
      <c r="Q487">
        <v>0.83686593787670804</v>
      </c>
      <c r="R487">
        <v>0.22278162349368094</v>
      </c>
      <c r="S487">
        <v>-1.4672271492505501E-4</v>
      </c>
      <c r="T487" s="6">
        <v>-9.0392414350864964E-5</v>
      </c>
      <c r="U487" s="6">
        <v>6.2490604271259772E-5</v>
      </c>
      <c r="X487" t="s">
        <v>5</v>
      </c>
      <c r="Y487">
        <v>1</v>
      </c>
      <c r="Z487" t="s">
        <v>4</v>
      </c>
      <c r="AA487" s="16">
        <v>43587</v>
      </c>
      <c r="AB487">
        <v>122.37951500000054</v>
      </c>
      <c r="AC487" s="4">
        <v>408.7</v>
      </c>
      <c r="AD487" s="4">
        <v>531.70000000000005</v>
      </c>
      <c r="AE487">
        <v>0.57814412279324601</v>
      </c>
      <c r="AF487">
        <v>0.68819746368986578</v>
      </c>
      <c r="AG487">
        <v>0.18419977982733152</v>
      </c>
      <c r="AH487">
        <v>1.5579594747900299E-4</v>
      </c>
      <c r="AI487">
        <v>-2.2454898666135545E-5</v>
      </c>
      <c r="AJ487">
        <v>1.245495734598921E-4</v>
      </c>
    </row>
    <row r="488" spans="1:36" x14ac:dyDescent="0.2">
      <c r="A488" t="s">
        <v>5</v>
      </c>
      <c r="B488">
        <v>2</v>
      </c>
      <c r="C488" s="2">
        <v>43587</v>
      </c>
      <c r="D488" s="13">
        <v>122.39409499999965</v>
      </c>
      <c r="E488" s="13"/>
      <c r="F488" s="4">
        <v>533.70000000000005</v>
      </c>
      <c r="H488">
        <v>18.3</v>
      </c>
      <c r="J488">
        <v>12.22</v>
      </c>
      <c r="P488">
        <v>0.83349577344508996</v>
      </c>
      <c r="S488" s="6">
        <v>-6.4124954918127398E-5</v>
      </c>
      <c r="T488" s="6"/>
      <c r="U488" s="6"/>
      <c r="X488" t="s">
        <v>5</v>
      </c>
      <c r="Y488">
        <v>2</v>
      </c>
      <c r="Z488" t="s">
        <v>4</v>
      </c>
      <c r="AA488" s="16">
        <v>43587</v>
      </c>
      <c r="AB488">
        <v>122.38923499999873</v>
      </c>
      <c r="AC488" s="4">
        <v>1038.7</v>
      </c>
      <c r="AE488">
        <v>0.585562899407296</v>
      </c>
      <c r="AH488">
        <v>-7.0837739150119406E-5</v>
      </c>
    </row>
    <row r="489" spans="1:36" x14ac:dyDescent="0.2">
      <c r="A489" t="s">
        <v>5</v>
      </c>
      <c r="B489">
        <v>3</v>
      </c>
      <c r="C489" s="2">
        <v>43587</v>
      </c>
      <c r="D489" s="13">
        <v>122.40381999999954</v>
      </c>
      <c r="E489" s="13"/>
      <c r="F489" s="4">
        <v>266.2</v>
      </c>
      <c r="H489">
        <v>19</v>
      </c>
      <c r="J489">
        <v>12.22</v>
      </c>
      <c r="P489">
        <v>0.97202758273175904</v>
      </c>
      <c r="S489">
        <v>-1.6772854319025299E-4</v>
      </c>
      <c r="T489" s="6"/>
      <c r="U489" s="6"/>
      <c r="X489" t="s">
        <v>5</v>
      </c>
      <c r="Y489">
        <v>3</v>
      </c>
      <c r="Z489" t="s">
        <v>4</v>
      </c>
      <c r="AA489" s="16">
        <v>43587</v>
      </c>
      <c r="AB489">
        <v>122.39895500000057</v>
      </c>
      <c r="AC489" s="4">
        <v>356.2</v>
      </c>
      <c r="AE489">
        <v>0.69221166775893594</v>
      </c>
      <c r="AH489">
        <v>-5.1545968986629103E-5</v>
      </c>
    </row>
    <row r="490" spans="1:36" x14ac:dyDescent="0.2">
      <c r="A490" t="s">
        <v>5</v>
      </c>
      <c r="B490">
        <v>4</v>
      </c>
      <c r="C490" s="2">
        <v>43587</v>
      </c>
      <c r="D490" s="13">
        <v>122.41354499999943</v>
      </c>
      <c r="E490" s="13"/>
      <c r="F490" s="4">
        <v>298.7</v>
      </c>
      <c r="H490">
        <v>21.5</v>
      </c>
      <c r="J490">
        <v>12.22</v>
      </c>
      <c r="P490">
        <v>1.1025526621055399</v>
      </c>
      <c r="S490" s="6">
        <v>-3.4562894080868198E-5</v>
      </c>
      <c r="T490" s="6"/>
      <c r="U490" s="6"/>
      <c r="X490" t="s">
        <v>5</v>
      </c>
      <c r="Y490">
        <v>4</v>
      </c>
      <c r="Z490" t="s">
        <v>4</v>
      </c>
      <c r="AA490" s="16">
        <v>43587</v>
      </c>
      <c r="AB490">
        <v>122.40868000000046</v>
      </c>
      <c r="AC490" s="4">
        <v>331.2</v>
      </c>
      <c r="AE490">
        <v>1.0061744009842399</v>
      </c>
      <c r="AH490">
        <v>-1.7775246000972201E-4</v>
      </c>
    </row>
    <row r="491" spans="1:36" x14ac:dyDescent="0.2">
      <c r="A491" t="s">
        <v>5</v>
      </c>
      <c r="B491">
        <v>5</v>
      </c>
      <c r="C491" s="2">
        <v>43587</v>
      </c>
      <c r="D491" s="13">
        <v>122.42326500000127</v>
      </c>
      <c r="E491" s="13"/>
      <c r="F491" s="4">
        <v>436.2</v>
      </c>
      <c r="H491">
        <v>16.8</v>
      </c>
      <c r="J491">
        <v>12.22</v>
      </c>
      <c r="P491">
        <v>0.514307043515013</v>
      </c>
      <c r="S491" s="6">
        <v>-3.8822964640021197E-5</v>
      </c>
      <c r="X491" t="s">
        <v>5</v>
      </c>
      <c r="Y491">
        <v>5</v>
      </c>
      <c r="Z491" t="s">
        <v>4</v>
      </c>
      <c r="AA491" s="16">
        <v>43587</v>
      </c>
      <c r="AB491">
        <v>122.41840500000035</v>
      </c>
      <c r="AC491" s="4">
        <v>523.70000000000005</v>
      </c>
      <c r="AE491">
        <v>0.57889422750561104</v>
      </c>
      <c r="AH491">
        <v>3.2065727336789801E-5</v>
      </c>
    </row>
    <row r="492" spans="1:36" x14ac:dyDescent="0.2">
      <c r="A492" t="s">
        <v>5</v>
      </c>
      <c r="B492">
        <v>1</v>
      </c>
      <c r="C492" s="2">
        <v>43587</v>
      </c>
      <c r="D492" s="13">
        <v>122.50486499999897</v>
      </c>
      <c r="E492" s="13">
        <v>122.52208500000052</v>
      </c>
      <c r="F492" s="4">
        <v>428.7</v>
      </c>
      <c r="G492" s="4">
        <v>360.2</v>
      </c>
      <c r="H492">
        <v>14.9</v>
      </c>
      <c r="I492">
        <v>18.459999999999997</v>
      </c>
      <c r="J492">
        <v>12.78</v>
      </c>
      <c r="K492" s="4">
        <v>12.78</v>
      </c>
      <c r="M492" t="e">
        <v>#DIV/0!</v>
      </c>
      <c r="O492" s="4" t="e">
        <v>#DIV/0!</v>
      </c>
      <c r="P492">
        <v>1.02799753978513</v>
      </c>
      <c r="Q492">
        <v>0.92133365534543366</v>
      </c>
      <c r="R492">
        <v>0.26360080201502128</v>
      </c>
      <c r="S492" s="6">
        <v>-8.8679648770845703E-5</v>
      </c>
      <c r="T492" s="6">
        <v>-8.6487122251913861E-5</v>
      </c>
      <c r="U492" s="6">
        <v>4.2556238427806223E-5</v>
      </c>
      <c r="X492" t="s">
        <v>5</v>
      </c>
      <c r="Y492">
        <v>1</v>
      </c>
      <c r="Z492" t="s">
        <v>4</v>
      </c>
      <c r="AA492" s="16">
        <v>43587</v>
      </c>
      <c r="AB492">
        <v>122.5</v>
      </c>
      <c r="AC492" s="4">
        <v>1088.7</v>
      </c>
      <c r="AD492" s="4">
        <v>492.2</v>
      </c>
      <c r="AE492">
        <v>0.72912518007152305</v>
      </c>
      <c r="AF492">
        <v>0.8134878288316838</v>
      </c>
      <c r="AG492">
        <v>0.34635773290967325</v>
      </c>
      <c r="AH492">
        <v>-2.1790109643981601E-4</v>
      </c>
      <c r="AI492">
        <v>-1.3434686433095181E-4</v>
      </c>
      <c r="AJ492">
        <v>5.9765339562441507E-5</v>
      </c>
    </row>
    <row r="493" spans="1:36" x14ac:dyDescent="0.2">
      <c r="A493" t="s">
        <v>5</v>
      </c>
      <c r="B493">
        <v>2</v>
      </c>
      <c r="C493" s="2">
        <v>43587</v>
      </c>
      <c r="D493" s="13">
        <v>122.51389000000199</v>
      </c>
      <c r="E493" s="13"/>
      <c r="F493" s="4">
        <v>501.2</v>
      </c>
      <c r="H493">
        <v>18.899999999999999</v>
      </c>
      <c r="J493">
        <v>12.78</v>
      </c>
      <c r="P493">
        <v>0.978018862635472</v>
      </c>
      <c r="S493">
        <v>-1.4887960581282399E-4</v>
      </c>
      <c r="T493" s="6"/>
      <c r="U493" s="6"/>
      <c r="X493" t="s">
        <v>5</v>
      </c>
      <c r="Y493">
        <v>2</v>
      </c>
      <c r="Z493" t="s">
        <v>4</v>
      </c>
      <c r="AA493" s="16">
        <v>43587</v>
      </c>
      <c r="AB493">
        <v>122.50972499999989</v>
      </c>
      <c r="AC493" s="4">
        <v>366.2</v>
      </c>
      <c r="AE493">
        <v>0.90807321281575304</v>
      </c>
      <c r="AH493">
        <v>-1.25364054629671E-4</v>
      </c>
    </row>
    <row r="494" spans="1:36" x14ac:dyDescent="0.2">
      <c r="A494" t="s">
        <v>5</v>
      </c>
      <c r="B494">
        <v>3</v>
      </c>
      <c r="C494" s="2">
        <v>43587</v>
      </c>
      <c r="D494" s="13">
        <v>122.52222500000062</v>
      </c>
      <c r="E494" s="13"/>
      <c r="F494" s="4">
        <v>428.7</v>
      </c>
      <c r="H494">
        <v>17.899999999999999</v>
      </c>
      <c r="J494">
        <v>12.78</v>
      </c>
      <c r="P494">
        <v>0.64417314734291298</v>
      </c>
      <c r="S494" s="6">
        <v>-5.5940857381477701E-5</v>
      </c>
      <c r="T494" s="6"/>
      <c r="U494" s="6"/>
      <c r="X494" t="s">
        <v>5</v>
      </c>
      <c r="Y494">
        <v>3</v>
      </c>
      <c r="Z494" t="s">
        <v>4</v>
      </c>
      <c r="AA494" s="16">
        <v>43587</v>
      </c>
      <c r="AB494">
        <v>122.51805500000046</v>
      </c>
      <c r="AC494" s="4">
        <v>453.7</v>
      </c>
      <c r="AE494">
        <v>0.48219702813999699</v>
      </c>
      <c r="AH494">
        <v>-1.4117837738486099E-4</v>
      </c>
    </row>
    <row r="495" spans="1:36" x14ac:dyDescent="0.2">
      <c r="A495" t="s">
        <v>5</v>
      </c>
      <c r="B495">
        <v>4</v>
      </c>
      <c r="C495" s="2">
        <v>43587</v>
      </c>
      <c r="D495" s="13">
        <v>122.53055500000119</v>
      </c>
      <c r="E495" s="13"/>
      <c r="F495" s="4">
        <v>346.2</v>
      </c>
      <c r="H495">
        <v>21.5</v>
      </c>
      <c r="J495">
        <v>12.78</v>
      </c>
      <c r="P495">
        <v>1.27828658300681</v>
      </c>
      <c r="S495" s="6">
        <v>-9.9750683403802704E-5</v>
      </c>
      <c r="T495" s="6"/>
      <c r="U495" s="6"/>
      <c r="X495" t="s">
        <v>5</v>
      </c>
      <c r="Y495">
        <v>4</v>
      </c>
      <c r="Z495" t="s">
        <v>4</v>
      </c>
      <c r="AA495" s="16">
        <v>43587</v>
      </c>
      <c r="AB495">
        <v>122.52638999999908</v>
      </c>
      <c r="AC495" s="4">
        <v>431.2</v>
      </c>
      <c r="AE495">
        <v>1.36292758231388</v>
      </c>
      <c r="AH495">
        <v>-1.3760955334831499E-4</v>
      </c>
    </row>
    <row r="496" spans="1:36" x14ac:dyDescent="0.2">
      <c r="A496" t="s">
        <v>5</v>
      </c>
      <c r="B496">
        <v>5</v>
      </c>
      <c r="C496" s="2">
        <v>43587</v>
      </c>
      <c r="D496" s="13">
        <v>122.53888999999981</v>
      </c>
      <c r="E496" s="13"/>
      <c r="F496" s="4">
        <v>96.2</v>
      </c>
      <c r="H496">
        <v>19.100000000000001</v>
      </c>
      <c r="J496">
        <v>12.78</v>
      </c>
      <c r="P496">
        <v>0.67819214395684302</v>
      </c>
      <c r="S496" s="6">
        <v>-3.9184815890619303E-5</v>
      </c>
      <c r="X496" t="s">
        <v>5</v>
      </c>
      <c r="Y496">
        <v>5</v>
      </c>
      <c r="Z496" t="s">
        <v>4</v>
      </c>
      <c r="AA496" s="16">
        <v>43587</v>
      </c>
      <c r="AB496">
        <v>122.53472500000134</v>
      </c>
      <c r="AC496" s="4">
        <v>121.2</v>
      </c>
      <c r="AE496">
        <v>0.58511614081726604</v>
      </c>
      <c r="AH496">
        <v>-4.9681239852096098E-5</v>
      </c>
    </row>
    <row r="497" spans="1:36" x14ac:dyDescent="0.2">
      <c r="A497" t="s">
        <v>5</v>
      </c>
      <c r="B497">
        <v>1</v>
      </c>
      <c r="C497" s="2">
        <v>43607</v>
      </c>
      <c r="D497" s="13">
        <v>142.41458499999862</v>
      </c>
      <c r="E497" s="13">
        <v>142.43402799999893</v>
      </c>
      <c r="F497" s="4">
        <v>1381.2</v>
      </c>
      <c r="G497" s="4">
        <v>1512.7</v>
      </c>
      <c r="H497">
        <v>14.9</v>
      </c>
      <c r="I497">
        <v>15.3</v>
      </c>
      <c r="J497">
        <v>18.3</v>
      </c>
      <c r="K497" s="4">
        <v>18.3</v>
      </c>
      <c r="M497" t="e">
        <v>#DIV/0!</v>
      </c>
      <c r="O497" s="4" t="e">
        <v>#DIV/0!</v>
      </c>
      <c r="P497">
        <v>-3.1020531742369798E-4</v>
      </c>
      <c r="Q497">
        <v>-9.5490680902257424E-4</v>
      </c>
      <c r="R497">
        <v>2.1160250938682896E-3</v>
      </c>
      <c r="S497">
        <v>-1.259942E-3</v>
      </c>
      <c r="T497" s="6">
        <v>-3.6932800000000004E-4</v>
      </c>
      <c r="U497" s="6">
        <v>5.354613631238952E-4</v>
      </c>
      <c r="X497" t="s">
        <v>5</v>
      </c>
      <c r="Y497">
        <v>1</v>
      </c>
      <c r="Z497" t="s">
        <v>4</v>
      </c>
      <c r="AA497" s="16">
        <v>43607</v>
      </c>
      <c r="AB497">
        <v>142.40972500000134</v>
      </c>
      <c r="AC497" s="4">
        <v>1341.2</v>
      </c>
      <c r="AD497" s="4">
        <v>1480.7</v>
      </c>
      <c r="AE497">
        <v>-1.21545745518115E-4</v>
      </c>
      <c r="AF497">
        <v>-3.3833432269590302E-4</v>
      </c>
      <c r="AG497">
        <v>6.870951435539647E-4</v>
      </c>
      <c r="AH497">
        <v>-8.3670299999999995E-4</v>
      </c>
      <c r="AI497">
        <v>-2.076038E-4</v>
      </c>
      <c r="AJ497">
        <v>3.6158273810872111E-4</v>
      </c>
    </row>
    <row r="498" spans="1:36" x14ac:dyDescent="0.2">
      <c r="A498" t="s">
        <v>5</v>
      </c>
      <c r="B498">
        <v>2</v>
      </c>
      <c r="C498" s="2">
        <v>43607</v>
      </c>
      <c r="D498" s="13">
        <v>142.42430500000046</v>
      </c>
      <c r="E498" s="13"/>
      <c r="F498" s="4">
        <v>1436.2</v>
      </c>
      <c r="H498">
        <v>12.2</v>
      </c>
      <c r="J498">
        <v>18.3</v>
      </c>
      <c r="P498">
        <v>6.4384329144877598E-4</v>
      </c>
      <c r="S498" s="6">
        <v>-1.73E-6</v>
      </c>
      <c r="T498" s="6"/>
      <c r="U498" s="6"/>
      <c r="X498" t="s">
        <v>5</v>
      </c>
      <c r="Y498">
        <v>2</v>
      </c>
      <c r="Z498" t="s">
        <v>4</v>
      </c>
      <c r="AA498" s="16">
        <v>43607</v>
      </c>
      <c r="AB498">
        <v>142.41944499999954</v>
      </c>
      <c r="AC498" s="4">
        <v>1423.7</v>
      </c>
      <c r="AE498">
        <v>-3.5269943018955698E-4</v>
      </c>
      <c r="AH498">
        <v>6.7299999999999996E-5</v>
      </c>
    </row>
    <row r="499" spans="1:36" x14ac:dyDescent="0.2">
      <c r="A499" t="s">
        <v>5</v>
      </c>
      <c r="B499">
        <v>3</v>
      </c>
      <c r="C499" s="2">
        <v>43607</v>
      </c>
      <c r="D499" s="13">
        <v>142.43402499999866</v>
      </c>
      <c r="E499" s="13"/>
      <c r="F499" s="4">
        <v>1541.2</v>
      </c>
      <c r="H499">
        <v>15.8</v>
      </c>
      <c r="J499">
        <v>18.3</v>
      </c>
      <c r="P499">
        <v>-4.6699805733004997E-3</v>
      </c>
      <c r="S499" s="6">
        <v>5.8799999999999999E-5</v>
      </c>
      <c r="T499" s="6"/>
      <c r="U499" s="6"/>
      <c r="X499" t="s">
        <v>5</v>
      </c>
      <c r="Y499">
        <v>3</v>
      </c>
      <c r="Z499" t="s">
        <v>4</v>
      </c>
      <c r="AA499" s="16">
        <v>43607</v>
      </c>
      <c r="AB499">
        <v>142.42916500000138</v>
      </c>
      <c r="AC499" s="4">
        <v>1478.7</v>
      </c>
      <c r="AE499">
        <v>-1.42316908133751E-3</v>
      </c>
      <c r="AH499">
        <v>-7.9099999999999998E-5</v>
      </c>
    </row>
    <row r="500" spans="1:36" x14ac:dyDescent="0.2">
      <c r="A500" t="s">
        <v>5</v>
      </c>
      <c r="B500">
        <v>4</v>
      </c>
      <c r="C500" s="2">
        <v>43607</v>
      </c>
      <c r="D500" s="13">
        <v>142.44374999999854</v>
      </c>
      <c r="E500" s="13"/>
      <c r="F500" s="4">
        <v>1573.7</v>
      </c>
      <c r="H500">
        <v>16.5</v>
      </c>
      <c r="J500">
        <v>18.3</v>
      </c>
      <c r="P500" s="6">
        <v>-5.4782133095120603E-5</v>
      </c>
      <c r="S500">
        <v>-4.45897E-4</v>
      </c>
      <c r="T500" s="6"/>
      <c r="U500" s="6"/>
      <c r="X500" t="s">
        <v>5</v>
      </c>
      <c r="Y500">
        <v>4</v>
      </c>
      <c r="Z500" t="s">
        <v>4</v>
      </c>
      <c r="AA500" s="16">
        <v>43607</v>
      </c>
      <c r="AB500">
        <v>142.43888999999763</v>
      </c>
      <c r="AC500" s="4">
        <v>1551.2</v>
      </c>
      <c r="AE500">
        <v>4.7368394742879999E-4</v>
      </c>
      <c r="AH500">
        <v>-2.5299999999999998E-5</v>
      </c>
    </row>
    <row r="501" spans="1:36" x14ac:dyDescent="0.2">
      <c r="A501" t="s">
        <v>5</v>
      </c>
      <c r="B501">
        <v>5</v>
      </c>
      <c r="C501" s="2">
        <v>43607</v>
      </c>
      <c r="D501" s="13">
        <v>142.45347499999843</v>
      </c>
      <c r="E501" s="13"/>
      <c r="F501" s="4">
        <v>1631.2</v>
      </c>
      <c r="H501">
        <v>17.100000000000001</v>
      </c>
      <c r="J501">
        <v>18.3</v>
      </c>
      <c r="P501">
        <v>-3.8340931274232902E-4</v>
      </c>
      <c r="S501">
        <v>-1.9787099999999999E-4</v>
      </c>
      <c r="X501" t="s">
        <v>5</v>
      </c>
      <c r="Y501">
        <v>5</v>
      </c>
      <c r="Z501" t="s">
        <v>4</v>
      </c>
      <c r="AA501" s="16">
        <v>43607</v>
      </c>
      <c r="AB501">
        <v>142.44861500000115</v>
      </c>
      <c r="AC501" s="4">
        <v>1608.7</v>
      </c>
      <c r="AE501">
        <v>-2.6794130386313301E-4</v>
      </c>
      <c r="AH501">
        <v>-1.6421599999999999E-4</v>
      </c>
    </row>
    <row r="502" spans="1:36" x14ac:dyDescent="0.2">
      <c r="A502" t="s">
        <v>5</v>
      </c>
      <c r="B502">
        <v>1</v>
      </c>
      <c r="C502" s="2">
        <v>43607</v>
      </c>
      <c r="D502" s="13">
        <v>142.51632000000245</v>
      </c>
      <c r="E502" s="13">
        <v>142.5357640000002</v>
      </c>
      <c r="F502" s="4">
        <v>1811.2</v>
      </c>
      <c r="G502" s="4">
        <v>1830.7</v>
      </c>
      <c r="H502">
        <v>14.4</v>
      </c>
      <c r="I502">
        <v>14.76</v>
      </c>
      <c r="J502">
        <v>21.67</v>
      </c>
      <c r="K502" s="4">
        <v>21.67</v>
      </c>
      <c r="M502" t="e">
        <v>#DIV/0!</v>
      </c>
      <c r="O502" s="4" t="e">
        <v>#DIV/0!</v>
      </c>
      <c r="P502">
        <v>-7.65808180714254E-3</v>
      </c>
      <c r="Q502">
        <v>-0.60301398875238521</v>
      </c>
      <c r="R502">
        <v>1.590278395815242</v>
      </c>
      <c r="S502">
        <v>-3.1020531742369798E-4</v>
      </c>
      <c r="T502" s="6">
        <v>-9.5490680902257424E-4</v>
      </c>
      <c r="U502" s="6">
        <v>2.1160250938682896E-3</v>
      </c>
      <c r="X502" t="s">
        <v>5</v>
      </c>
      <c r="Y502">
        <v>1</v>
      </c>
      <c r="Z502" t="s">
        <v>4</v>
      </c>
      <c r="AA502" s="16">
        <v>43607</v>
      </c>
      <c r="AB502">
        <v>142.51145499999984</v>
      </c>
      <c r="AC502" s="4">
        <v>1818.7</v>
      </c>
      <c r="AD502" s="4">
        <v>1835.2</v>
      </c>
      <c r="AE502">
        <v>1.397622809824</v>
      </c>
      <c r="AF502">
        <v>1.2052892480429775</v>
      </c>
      <c r="AG502">
        <v>0.56175236940860562</v>
      </c>
      <c r="AH502">
        <v>-1.21545745518115E-4</v>
      </c>
      <c r="AI502">
        <v>-3.3833432269590302E-4</v>
      </c>
      <c r="AJ502">
        <v>6.870951435539647E-4</v>
      </c>
    </row>
    <row r="503" spans="1:36" x14ac:dyDescent="0.2">
      <c r="A503" t="s">
        <v>5</v>
      </c>
      <c r="B503">
        <v>2</v>
      </c>
      <c r="C503" s="2">
        <v>43607</v>
      </c>
      <c r="D503" s="13">
        <v>142.5260449999987</v>
      </c>
      <c r="E503" s="13"/>
      <c r="F503" s="4">
        <v>1873.7</v>
      </c>
      <c r="H503">
        <v>10.8</v>
      </c>
      <c r="J503">
        <v>21.67</v>
      </c>
      <c r="P503">
        <v>-2.1938621326257399</v>
      </c>
      <c r="S503">
        <v>6.4384329144877598E-4</v>
      </c>
      <c r="T503" s="6"/>
      <c r="U503" s="6"/>
      <c r="X503" t="s">
        <v>5</v>
      </c>
      <c r="Y503">
        <v>2</v>
      </c>
      <c r="Z503" t="s">
        <v>4</v>
      </c>
      <c r="AA503" s="16">
        <v>43607</v>
      </c>
      <c r="AB503">
        <v>142.52117999999973</v>
      </c>
      <c r="AC503" s="4">
        <v>1841.2</v>
      </c>
      <c r="AE503">
        <v>0.56414660351692802</v>
      </c>
      <c r="AH503">
        <v>-3.5269943018955698E-4</v>
      </c>
    </row>
    <row r="504" spans="1:36" x14ac:dyDescent="0.2">
      <c r="A504" t="s">
        <v>5</v>
      </c>
      <c r="B504">
        <v>3</v>
      </c>
      <c r="C504" s="2">
        <v>43607</v>
      </c>
      <c r="D504" s="13">
        <v>142.53576500000054</v>
      </c>
      <c r="E504" s="13"/>
      <c r="F504" s="4">
        <v>1793.7</v>
      </c>
      <c r="H504">
        <v>13.9</v>
      </c>
      <c r="J504">
        <v>21.67</v>
      </c>
      <c r="P504">
        <v>-2.33210465266033</v>
      </c>
      <c r="S504">
        <v>-4.6699805733004997E-3</v>
      </c>
      <c r="T504" s="6"/>
      <c r="U504" s="6"/>
      <c r="X504" t="s">
        <v>5</v>
      </c>
      <c r="Y504">
        <v>3</v>
      </c>
      <c r="Z504" t="s">
        <v>4</v>
      </c>
      <c r="AA504" s="16">
        <v>43607</v>
      </c>
      <c r="AB504">
        <v>142.53090499999962</v>
      </c>
      <c r="AC504" s="4">
        <v>1921.2</v>
      </c>
      <c r="AE504">
        <v>2.0447639492286802</v>
      </c>
      <c r="AH504">
        <v>-1.42316908133751E-3</v>
      </c>
    </row>
    <row r="505" spans="1:36" x14ac:dyDescent="0.2">
      <c r="A505" t="s">
        <v>5</v>
      </c>
      <c r="B505">
        <v>4</v>
      </c>
      <c r="C505" s="2">
        <v>43607</v>
      </c>
      <c r="D505" s="13">
        <v>142.54548499999873</v>
      </c>
      <c r="E505" s="13"/>
      <c r="F505" s="4">
        <v>1838.7</v>
      </c>
      <c r="H505">
        <v>18.5</v>
      </c>
      <c r="J505">
        <v>21.67</v>
      </c>
      <c r="P505">
        <v>0.24485326112236699</v>
      </c>
      <c r="S505" s="6">
        <v>-5.4782133095120603E-5</v>
      </c>
      <c r="T505" s="6"/>
      <c r="U505" s="6"/>
      <c r="X505" t="s">
        <v>5</v>
      </c>
      <c r="Y505">
        <v>4</v>
      </c>
      <c r="Z505" t="s">
        <v>4</v>
      </c>
      <c r="AA505" s="16">
        <v>43607</v>
      </c>
      <c r="AB505">
        <v>142.54062500000146</v>
      </c>
      <c r="AC505" s="4">
        <v>1771.2</v>
      </c>
      <c r="AE505">
        <v>1.13875710240955</v>
      </c>
      <c r="AH505">
        <v>4.7368394742879999E-4</v>
      </c>
    </row>
    <row r="506" spans="1:36" x14ac:dyDescent="0.2">
      <c r="A506" t="s">
        <v>5</v>
      </c>
      <c r="B506">
        <v>5</v>
      </c>
      <c r="C506" s="2">
        <v>43607</v>
      </c>
      <c r="D506" s="13">
        <v>142.55520500000057</v>
      </c>
      <c r="E506" s="13"/>
      <c r="F506" s="4">
        <v>1836.2</v>
      </c>
      <c r="H506">
        <v>16.2</v>
      </c>
      <c r="J506">
        <v>21.67</v>
      </c>
      <c r="P506">
        <v>1.2737016622089199</v>
      </c>
      <c r="S506">
        <v>-3.8340931274232902E-4</v>
      </c>
      <c r="X506" t="s">
        <v>5</v>
      </c>
      <c r="Y506">
        <v>5</v>
      </c>
      <c r="Z506" t="s">
        <v>4</v>
      </c>
      <c r="AA506" s="16">
        <v>43607</v>
      </c>
      <c r="AB506">
        <v>142.55034499999965</v>
      </c>
      <c r="AC506" s="4">
        <v>1823.7</v>
      </c>
      <c r="AE506">
        <v>0.88115577523572997</v>
      </c>
      <c r="AH506">
        <v>-2.6794130386313301E-4</v>
      </c>
    </row>
    <row r="507" spans="1:36" x14ac:dyDescent="0.2">
      <c r="A507" t="s">
        <v>5</v>
      </c>
      <c r="B507">
        <v>1</v>
      </c>
      <c r="C507" s="2">
        <v>43615</v>
      </c>
      <c r="D507" s="13">
        <v>150.46076499999981</v>
      </c>
      <c r="E507" s="13">
        <v>150.48020800000012</v>
      </c>
      <c r="F507" s="4">
        <v>428.7</v>
      </c>
      <c r="G507" s="4">
        <v>580.70000000000005</v>
      </c>
      <c r="H507">
        <v>26.4</v>
      </c>
      <c r="I507">
        <v>23.479999999999997</v>
      </c>
      <c r="J507">
        <v>20</v>
      </c>
      <c r="K507" s="4">
        <v>20</v>
      </c>
      <c r="M507" t="e">
        <v>#DIV/0!</v>
      </c>
      <c r="O507" s="4" t="e">
        <v>#DIV/0!</v>
      </c>
      <c r="P507">
        <v>1.7814338015237099</v>
      </c>
      <c r="Q507">
        <v>1.5864105172071259</v>
      </c>
      <c r="R507">
        <v>0.16432791760487531</v>
      </c>
      <c r="S507">
        <v>3.7440727028493597E-4</v>
      </c>
      <c r="T507" s="6">
        <v>3.8096341528817283E-4</v>
      </c>
      <c r="U507" s="6">
        <v>7.7920690914414019E-5</v>
      </c>
      <c r="X507" t="s">
        <v>5</v>
      </c>
      <c r="Y507">
        <v>1</v>
      </c>
      <c r="Z507" t="s">
        <v>4</v>
      </c>
      <c r="AA507" s="16">
        <v>43615</v>
      </c>
      <c r="AB507">
        <v>150.45590499999889</v>
      </c>
      <c r="AC507" s="4">
        <v>581.20000000000005</v>
      </c>
      <c r="AD507" s="4">
        <v>680.2</v>
      </c>
      <c r="AE507">
        <v>1.92421591380126</v>
      </c>
      <c r="AF507">
        <v>1.39368579730978</v>
      </c>
      <c r="AG507">
        <v>0.52394323294662237</v>
      </c>
      <c r="AH507">
        <v>6.1407653713160804E-4</v>
      </c>
      <c r="AI507">
        <v>4.9545040703721939E-4</v>
      </c>
      <c r="AJ507">
        <v>1.8464274114184996E-4</v>
      </c>
    </row>
    <row r="508" spans="1:36" x14ac:dyDescent="0.2">
      <c r="A508" t="s">
        <v>5</v>
      </c>
      <c r="B508">
        <v>2</v>
      </c>
      <c r="C508" s="2">
        <v>43615</v>
      </c>
      <c r="D508" s="13">
        <v>150.47048500000164</v>
      </c>
      <c r="E508" s="13"/>
      <c r="F508" s="4">
        <v>588.70000000000005</v>
      </c>
      <c r="H508">
        <v>26.1</v>
      </c>
      <c r="J508">
        <v>20</v>
      </c>
      <c r="P508">
        <v>1.3493817169423401</v>
      </c>
      <c r="S508">
        <v>4.3503668531710799E-4</v>
      </c>
      <c r="T508" s="6"/>
      <c r="U508" s="6"/>
      <c r="X508" t="s">
        <v>5</v>
      </c>
      <c r="Y508">
        <v>2</v>
      </c>
      <c r="Z508" t="s">
        <v>4</v>
      </c>
      <c r="AA508" s="16">
        <v>43615</v>
      </c>
      <c r="AB508">
        <v>150.46562500000073</v>
      </c>
      <c r="AC508" s="4">
        <v>376.2</v>
      </c>
      <c r="AE508">
        <v>0.57118011446241101</v>
      </c>
      <c r="AH508">
        <v>2.41577981047689E-4</v>
      </c>
    </row>
    <row r="509" spans="1:36" x14ac:dyDescent="0.2">
      <c r="A509" t="s">
        <v>5</v>
      </c>
      <c r="B509">
        <v>3</v>
      </c>
      <c r="C509" s="2">
        <v>43615</v>
      </c>
      <c r="D509" s="13">
        <v>150.48020499999984</v>
      </c>
      <c r="E509" s="13"/>
      <c r="F509" s="4">
        <v>823.7</v>
      </c>
      <c r="H509">
        <v>18.600000000000001</v>
      </c>
      <c r="J509">
        <v>20</v>
      </c>
      <c r="P509">
        <v>1.6942422361832501</v>
      </c>
      <c r="S509">
        <v>3.3000847067357202E-4</v>
      </c>
      <c r="T509" s="6"/>
      <c r="U509" s="6"/>
      <c r="X509" t="s">
        <v>5</v>
      </c>
      <c r="Y509">
        <v>3</v>
      </c>
      <c r="Z509" t="s">
        <v>4</v>
      </c>
      <c r="AA509" s="16">
        <v>43615</v>
      </c>
      <c r="AB509">
        <v>150.47534499999892</v>
      </c>
      <c r="AC509" s="4">
        <v>928.7</v>
      </c>
      <c r="AE509">
        <v>1.36763037742751</v>
      </c>
      <c r="AH509">
        <v>3.95925761786134E-4</v>
      </c>
    </row>
    <row r="510" spans="1:36" x14ac:dyDescent="0.2">
      <c r="A510" t="s">
        <v>5</v>
      </c>
      <c r="B510">
        <v>4</v>
      </c>
      <c r="C510" s="2">
        <v>43615</v>
      </c>
      <c r="D510" s="13">
        <v>150.48992999999973</v>
      </c>
      <c r="E510" s="13"/>
      <c r="F510" s="4">
        <v>378.7</v>
      </c>
      <c r="H510">
        <v>26</v>
      </c>
      <c r="J510">
        <v>20</v>
      </c>
      <c r="P510">
        <v>1.5521372103878099</v>
      </c>
      <c r="S510">
        <v>4.7942249005806999E-4</v>
      </c>
      <c r="T510" s="6"/>
      <c r="U510" s="6"/>
      <c r="X510" t="s">
        <v>5</v>
      </c>
      <c r="Y510">
        <v>4</v>
      </c>
      <c r="Z510" t="s">
        <v>4</v>
      </c>
      <c r="AA510" s="16">
        <v>43615</v>
      </c>
      <c r="AB510">
        <v>150.48507000000245</v>
      </c>
      <c r="AC510" s="4">
        <v>728.7</v>
      </c>
      <c r="AE510">
        <v>1.34194372404926</v>
      </c>
      <c r="AH510">
        <v>7.1379266933537596E-4</v>
      </c>
    </row>
    <row r="511" spans="1:36" x14ac:dyDescent="0.2">
      <c r="A511" t="s">
        <v>5</v>
      </c>
      <c r="B511">
        <v>5</v>
      </c>
      <c r="C511" s="2">
        <v>43615</v>
      </c>
      <c r="D511" s="13">
        <v>150.49965499999962</v>
      </c>
      <c r="E511" s="13"/>
      <c r="F511" s="4">
        <v>683.7</v>
      </c>
      <c r="H511">
        <v>20.3</v>
      </c>
      <c r="J511">
        <v>20</v>
      </c>
      <c r="P511">
        <v>1.5548576209985201</v>
      </c>
      <c r="S511">
        <v>2.8594216010717803E-4</v>
      </c>
      <c r="X511" t="s">
        <v>5</v>
      </c>
      <c r="Y511">
        <v>5</v>
      </c>
      <c r="Z511" t="s">
        <v>4</v>
      </c>
      <c r="AA511" s="16">
        <v>43615</v>
      </c>
      <c r="AB511">
        <v>150.4947949999987</v>
      </c>
      <c r="AC511" s="4">
        <v>786.2</v>
      </c>
      <c r="AE511">
        <v>1.7634588568084599</v>
      </c>
      <c r="AH511">
        <v>5.1187908588529001E-4</v>
      </c>
    </row>
    <row r="512" spans="1:36" x14ac:dyDescent="0.2">
      <c r="A512" t="s">
        <v>5</v>
      </c>
      <c r="B512">
        <v>1</v>
      </c>
      <c r="C512" s="2">
        <v>43615</v>
      </c>
      <c r="D512" s="13">
        <v>150.52743000000191</v>
      </c>
      <c r="E512" s="13">
        <v>150.546875</v>
      </c>
      <c r="F512" s="4">
        <v>223.7</v>
      </c>
      <c r="G512" s="4">
        <v>423.7</v>
      </c>
      <c r="H512">
        <v>20.7</v>
      </c>
      <c r="I512">
        <v>20.04</v>
      </c>
      <c r="J512">
        <v>20.56</v>
      </c>
      <c r="K512" s="4">
        <v>20.56</v>
      </c>
      <c r="M512" t="e">
        <v>#DIV/0!</v>
      </c>
      <c r="O512" s="4" t="e">
        <v>#DIV/0!</v>
      </c>
      <c r="P512">
        <v>1.8419263306258</v>
      </c>
      <c r="Q512">
        <v>1.2138918963394485</v>
      </c>
      <c r="R512">
        <v>0.60954994826864872</v>
      </c>
      <c r="S512">
        <v>4.1522989338019602E-4</v>
      </c>
      <c r="T512" s="6">
        <v>1.3979371134418419E-4</v>
      </c>
      <c r="U512" s="6">
        <v>2.145968392803983E-4</v>
      </c>
      <c r="X512" t="s">
        <v>5</v>
      </c>
      <c r="Y512">
        <v>1</v>
      </c>
      <c r="Z512" t="s">
        <v>4</v>
      </c>
      <c r="AA512" s="16">
        <v>43615</v>
      </c>
      <c r="AB512">
        <v>150.522570000001</v>
      </c>
      <c r="AC512" s="4">
        <v>203.7</v>
      </c>
      <c r="AD512" s="4">
        <v>444.7</v>
      </c>
      <c r="AE512">
        <v>2.0804033202996499</v>
      </c>
      <c r="AF512">
        <v>1.429745869116168</v>
      </c>
      <c r="AG512">
        <v>0.44145495465459111</v>
      </c>
      <c r="AH512">
        <v>6.7638146905755602E-4</v>
      </c>
      <c r="AI512">
        <v>4.4948395970583702E-4</v>
      </c>
      <c r="AJ512">
        <v>2.1250687123479592E-4</v>
      </c>
    </row>
    <row r="513" spans="1:36" x14ac:dyDescent="0.2">
      <c r="A513" t="s">
        <v>5</v>
      </c>
      <c r="B513">
        <v>2</v>
      </c>
      <c r="C513" s="2">
        <v>43615</v>
      </c>
      <c r="D513" s="13">
        <v>150.5371550000018</v>
      </c>
      <c r="E513" s="13"/>
      <c r="F513" s="4">
        <v>246.2</v>
      </c>
      <c r="H513">
        <v>20.399999999999999</v>
      </c>
      <c r="J513">
        <v>20.56</v>
      </c>
      <c r="P513">
        <v>0.21141282534307301</v>
      </c>
      <c r="S513">
        <v>-1.2447218604347499E-4</v>
      </c>
      <c r="T513" s="6"/>
      <c r="U513" s="6"/>
      <c r="X513" t="s">
        <v>5</v>
      </c>
      <c r="Y513">
        <v>2</v>
      </c>
      <c r="Z513" t="s">
        <v>4</v>
      </c>
      <c r="AA513" s="16">
        <v>43615</v>
      </c>
      <c r="AB513">
        <v>150.53229500000089</v>
      </c>
      <c r="AC513" s="4">
        <v>261.2</v>
      </c>
      <c r="AE513">
        <v>1.6644459653083299</v>
      </c>
      <c r="AH513">
        <v>5.6412518262783295E-4</v>
      </c>
    </row>
    <row r="514" spans="1:36" x14ac:dyDescent="0.2">
      <c r="A514" t="s">
        <v>5</v>
      </c>
      <c r="B514">
        <v>3</v>
      </c>
      <c r="C514" s="2">
        <v>43615</v>
      </c>
      <c r="D514" s="13">
        <v>150.546875</v>
      </c>
      <c r="E514" s="13"/>
      <c r="F514" s="4">
        <v>653.70000000000005</v>
      </c>
      <c r="H514">
        <v>15.6</v>
      </c>
      <c r="J514">
        <v>20.56</v>
      </c>
      <c r="P514">
        <v>1.42198534526105</v>
      </c>
      <c r="S514" s="6">
        <v>9.9278945273163395E-5</v>
      </c>
      <c r="T514" s="6"/>
      <c r="U514" s="6"/>
      <c r="X514" t="s">
        <v>5</v>
      </c>
      <c r="Y514">
        <v>3</v>
      </c>
      <c r="Z514" t="s">
        <v>4</v>
      </c>
      <c r="AA514" s="16">
        <v>43615</v>
      </c>
      <c r="AB514">
        <v>150.54201499999908</v>
      </c>
      <c r="AC514" s="4">
        <v>291.2</v>
      </c>
      <c r="AE514">
        <v>1.06611061416366</v>
      </c>
      <c r="AH514">
        <v>2.9165886207668503E-4</v>
      </c>
    </row>
    <row r="515" spans="1:36" x14ac:dyDescent="0.2">
      <c r="A515" t="s">
        <v>5</v>
      </c>
      <c r="B515">
        <v>4</v>
      </c>
      <c r="C515" s="2">
        <v>43615</v>
      </c>
      <c r="D515" s="13">
        <v>150.5565949999982</v>
      </c>
      <c r="E515" s="13"/>
      <c r="F515" s="4">
        <v>546.20000000000005</v>
      </c>
      <c r="H515">
        <v>22.7</v>
      </c>
      <c r="J515">
        <v>20.56</v>
      </c>
      <c r="P515">
        <v>1.17526072322395</v>
      </c>
      <c r="S515" s="6">
        <v>1.9496208677425601E-5</v>
      </c>
      <c r="T515" s="6"/>
      <c r="U515" s="6"/>
      <c r="X515" t="s">
        <v>5</v>
      </c>
      <c r="Y515">
        <v>4</v>
      </c>
      <c r="Z515" t="s">
        <v>4</v>
      </c>
      <c r="AA515" s="16">
        <v>43615</v>
      </c>
      <c r="AB515">
        <v>150.55173500000092</v>
      </c>
      <c r="AC515" s="4">
        <v>843.7</v>
      </c>
      <c r="AE515">
        <v>1.0408945276294299</v>
      </c>
      <c r="AH515">
        <v>1.6497787515663999E-4</v>
      </c>
    </row>
    <row r="516" spans="1:36" x14ac:dyDescent="0.2">
      <c r="A516" t="s">
        <v>5</v>
      </c>
      <c r="B516">
        <v>5</v>
      </c>
      <c r="C516" s="2">
        <v>43615</v>
      </c>
      <c r="D516" s="13">
        <v>150.56631999999809</v>
      </c>
      <c r="E516" s="13"/>
      <c r="F516" s="4">
        <v>448.7</v>
      </c>
      <c r="H516">
        <v>20.8</v>
      </c>
      <c r="J516">
        <v>20.56</v>
      </c>
      <c r="P516">
        <v>1.4188742572433699</v>
      </c>
      <c r="S516">
        <v>2.8943569543361098E-4</v>
      </c>
      <c r="X516" t="s">
        <v>5</v>
      </c>
      <c r="Y516">
        <v>5</v>
      </c>
      <c r="Z516" t="s">
        <v>4</v>
      </c>
      <c r="AA516" s="16">
        <v>43615</v>
      </c>
      <c r="AB516">
        <v>150.56145499999911</v>
      </c>
      <c r="AC516" s="4">
        <v>623.70000000000005</v>
      </c>
      <c r="AE516">
        <v>1.2968749181797701</v>
      </c>
      <c r="AH516">
        <v>5.5027640961047102E-4</v>
      </c>
    </row>
    <row r="517" spans="1:36" x14ac:dyDescent="0.2">
      <c r="A517" t="s">
        <v>5</v>
      </c>
      <c r="B517">
        <v>1</v>
      </c>
      <c r="C517" s="2">
        <v>43619</v>
      </c>
      <c r="D517" s="13">
        <v>154.41006999999809</v>
      </c>
      <c r="E517" s="13">
        <v>154.42951400000021</v>
      </c>
      <c r="F517" s="4">
        <v>1458.7</v>
      </c>
      <c r="G517" s="4">
        <v>1614.7</v>
      </c>
      <c r="H517">
        <v>15.6</v>
      </c>
      <c r="I517">
        <v>13.3</v>
      </c>
      <c r="J517">
        <v>18.329999999999998</v>
      </c>
      <c r="K517" s="4">
        <v>19.666</v>
      </c>
      <c r="M517" t="e">
        <v>#DIV/0!</v>
      </c>
      <c r="O517" s="4" t="e">
        <v>#DIV/0!</v>
      </c>
      <c r="P517">
        <v>1.5706694645969801</v>
      </c>
      <c r="Q517">
        <v>1.5159770543329221</v>
      </c>
      <c r="R517">
        <v>0.10430387337859574</v>
      </c>
      <c r="S517" s="6">
        <v>-3.8933427251222898E-7</v>
      </c>
      <c r="T517" s="6">
        <v>-3.5937675291858262E-7</v>
      </c>
      <c r="U517" s="6">
        <v>3.8222991631011724E-8</v>
      </c>
      <c r="X517" t="s">
        <v>5</v>
      </c>
      <c r="Y517">
        <v>1</v>
      </c>
      <c r="Z517" t="s">
        <v>4</v>
      </c>
      <c r="AA517" s="16">
        <v>43619</v>
      </c>
      <c r="AB517">
        <v>154.40520499999911</v>
      </c>
      <c r="AC517" s="4">
        <v>1468.7</v>
      </c>
      <c r="AD517" s="4">
        <v>1597.7</v>
      </c>
      <c r="AE517">
        <v>1.5642544298529799</v>
      </c>
      <c r="AF517">
        <v>1.0090806210457219</v>
      </c>
      <c r="AG517">
        <v>0.7778406681436203</v>
      </c>
      <c r="AH517">
        <v>-4.0326768689024101E-7</v>
      </c>
      <c r="AI517">
        <v>-2.6415202451781933E-7</v>
      </c>
      <c r="AJ517">
        <v>1.9240878516253678E-7</v>
      </c>
    </row>
    <row r="518" spans="1:36" x14ac:dyDescent="0.2">
      <c r="A518" t="s">
        <v>5</v>
      </c>
      <c r="B518">
        <v>2</v>
      </c>
      <c r="C518" s="2">
        <v>43619</v>
      </c>
      <c r="D518" s="13">
        <v>154.41979500000161</v>
      </c>
      <c r="E518" s="13"/>
      <c r="F518" s="4">
        <v>1543.7</v>
      </c>
      <c r="H518">
        <v>11.7</v>
      </c>
      <c r="J518">
        <v>18.329999999999998</v>
      </c>
      <c r="P518">
        <v>1.5510372133957699</v>
      </c>
      <c r="S518" s="6">
        <v>-3.8662651499078902E-7</v>
      </c>
      <c r="T518" s="6"/>
      <c r="U518" s="6"/>
      <c r="X518" t="s">
        <v>5</v>
      </c>
      <c r="Y518">
        <v>2</v>
      </c>
      <c r="Z518" t="s">
        <v>4</v>
      </c>
      <c r="AA518" s="16">
        <v>43619</v>
      </c>
      <c r="AB518">
        <v>154.414929999999</v>
      </c>
      <c r="AC518" s="4">
        <v>1516.2</v>
      </c>
      <c r="AE518">
        <v>0.64953702069447405</v>
      </c>
      <c r="AH518">
        <v>-2.0607795572794101E-7</v>
      </c>
    </row>
    <row r="519" spans="1:36" x14ac:dyDescent="0.2">
      <c r="A519" t="s">
        <v>5</v>
      </c>
      <c r="B519">
        <v>3</v>
      </c>
      <c r="C519" s="2">
        <v>43619</v>
      </c>
      <c r="D519" s="13">
        <v>154.42951499999981</v>
      </c>
      <c r="E519" s="13"/>
      <c r="F519" s="4">
        <v>1678.7</v>
      </c>
      <c r="H519">
        <v>9.5</v>
      </c>
      <c r="J519">
        <v>18.329999999999998</v>
      </c>
      <c r="P519">
        <v>1.62114341996427</v>
      </c>
      <c r="S519" s="6">
        <v>-3.8091571452799001E-7</v>
      </c>
      <c r="T519" s="6"/>
      <c r="U519" s="6"/>
      <c r="X519" t="s">
        <v>5</v>
      </c>
      <c r="Y519">
        <v>3</v>
      </c>
      <c r="Z519" t="s">
        <v>4</v>
      </c>
      <c r="AA519" s="16">
        <v>43619</v>
      </c>
      <c r="AB519">
        <v>154.42465499999889</v>
      </c>
      <c r="AC519" s="4">
        <v>1593.7</v>
      </c>
      <c r="AE519">
        <v>1.46935880723686</v>
      </c>
      <c r="AH519">
        <v>-3.8408542993696702E-7</v>
      </c>
    </row>
    <row r="520" spans="1:36" x14ac:dyDescent="0.2">
      <c r="A520" t="s">
        <v>5</v>
      </c>
      <c r="B520">
        <v>4</v>
      </c>
      <c r="C520" s="2">
        <v>43619</v>
      </c>
      <c r="D520" s="13">
        <v>154.43923500000164</v>
      </c>
      <c r="E520" s="13"/>
      <c r="F520" s="4">
        <v>1711.2</v>
      </c>
      <c r="H520">
        <v>13.9</v>
      </c>
      <c r="J520">
        <v>21.67</v>
      </c>
      <c r="P520">
        <v>1.3505467936762401</v>
      </c>
      <c r="S520" s="6">
        <v>-3.0212104811314301E-7</v>
      </c>
      <c r="T520" s="6"/>
      <c r="U520" s="6"/>
      <c r="X520" t="s">
        <v>5</v>
      </c>
      <c r="Y520">
        <v>4</v>
      </c>
      <c r="Z520" t="s">
        <v>4</v>
      </c>
      <c r="AA520" s="16">
        <v>43619</v>
      </c>
      <c r="AB520">
        <v>154.43437500000073</v>
      </c>
      <c r="AC520" s="4">
        <v>1703.7</v>
      </c>
      <c r="AE520">
        <v>1.5630819049584901</v>
      </c>
      <c r="AH520">
        <v>-3.7671299438540798E-7</v>
      </c>
    </row>
    <row r="521" spans="1:36" x14ac:dyDescent="0.2">
      <c r="A521" t="s">
        <v>5</v>
      </c>
      <c r="B521">
        <v>5</v>
      </c>
      <c r="C521" s="2">
        <v>43619</v>
      </c>
      <c r="D521" s="13">
        <v>154.44895499999984</v>
      </c>
      <c r="E521" s="13"/>
      <c r="F521" s="4">
        <v>1681.2</v>
      </c>
      <c r="H521">
        <v>15.8</v>
      </c>
      <c r="J521">
        <v>21.67</v>
      </c>
      <c r="P521">
        <v>1.48648838003135</v>
      </c>
      <c r="S521" s="6">
        <v>-3.3788621444876202E-7</v>
      </c>
      <c r="X521" t="s">
        <v>5</v>
      </c>
      <c r="Y521">
        <v>5</v>
      </c>
      <c r="Z521" t="s">
        <v>4</v>
      </c>
      <c r="AA521" s="16">
        <v>43619</v>
      </c>
      <c r="AB521">
        <v>154.44409499999892</v>
      </c>
      <c r="AC521" s="4">
        <v>1706.2</v>
      </c>
      <c r="AE521">
        <v>-0.200829057514194</v>
      </c>
      <c r="AH521">
        <v>4.9383944351460403E-8</v>
      </c>
    </row>
    <row r="522" spans="1:36" x14ac:dyDescent="0.2">
      <c r="A522" t="s">
        <v>5</v>
      </c>
      <c r="B522">
        <v>1</v>
      </c>
      <c r="C522" s="2">
        <v>43619</v>
      </c>
      <c r="D522" s="13">
        <v>154.51076499999908</v>
      </c>
      <c r="E522" s="13">
        <v>154.53020799999939</v>
      </c>
      <c r="F522" s="4">
        <v>1873.7</v>
      </c>
      <c r="G522" s="4">
        <v>1915.2</v>
      </c>
      <c r="H522">
        <v>8.1</v>
      </c>
      <c r="I522">
        <v>10.16</v>
      </c>
      <c r="J522">
        <v>23.89</v>
      </c>
      <c r="K522" s="4">
        <v>23.89</v>
      </c>
      <c r="M522" t="e">
        <v>#DIV/0!</v>
      </c>
      <c r="O522" s="4" t="e">
        <v>#DIV/0!</v>
      </c>
      <c r="P522">
        <v>1.95819047180419</v>
      </c>
      <c r="Q522">
        <v>2.0264111651942782</v>
      </c>
      <c r="R522">
        <v>0.74582170770184053</v>
      </c>
      <c r="S522" s="6">
        <v>-3.6499136264077799E-7</v>
      </c>
      <c r="T522" s="6">
        <v>-3.8846452646717539E-7</v>
      </c>
      <c r="U522" s="6">
        <v>1.3591798484114973E-7</v>
      </c>
      <c r="X522" t="s">
        <v>5</v>
      </c>
      <c r="Y522">
        <v>1</v>
      </c>
      <c r="Z522" t="s">
        <v>4</v>
      </c>
      <c r="AA522" s="16">
        <v>43619</v>
      </c>
      <c r="AB522">
        <v>154.5059050000018</v>
      </c>
      <c r="AC522" s="4">
        <v>1861.2</v>
      </c>
      <c r="AD522" s="4">
        <v>1916.2</v>
      </c>
      <c r="AE522">
        <v>2.7578583246626498</v>
      </c>
      <c r="AF522">
        <v>2.1191124467983884</v>
      </c>
      <c r="AG522">
        <v>0.95823035212296481</v>
      </c>
      <c r="AH522">
        <v>-6.4840219128327303E-7</v>
      </c>
      <c r="AI522">
        <v>-4.5746581736151107E-7</v>
      </c>
      <c r="AJ522">
        <v>2.0585387646382792E-7</v>
      </c>
    </row>
    <row r="523" spans="1:36" x14ac:dyDescent="0.2">
      <c r="A523" t="s">
        <v>5</v>
      </c>
      <c r="B523">
        <v>2</v>
      </c>
      <c r="C523" s="2">
        <v>43619</v>
      </c>
      <c r="D523" s="13">
        <v>154.52048500000092</v>
      </c>
      <c r="E523" s="13"/>
      <c r="F523" s="4">
        <v>1883.7</v>
      </c>
      <c r="H523">
        <v>11.3</v>
      </c>
      <c r="J523">
        <v>23.89</v>
      </c>
      <c r="P523">
        <v>1.29450489248411</v>
      </c>
      <c r="S523" s="6">
        <v>-2.9900805639235103E-7</v>
      </c>
      <c r="T523" s="6"/>
      <c r="U523" s="6"/>
      <c r="X523" t="s">
        <v>5</v>
      </c>
      <c r="Y523">
        <v>2</v>
      </c>
      <c r="Z523" t="s">
        <v>4</v>
      </c>
      <c r="AA523" s="16">
        <v>43619</v>
      </c>
      <c r="AB523">
        <v>154.515625</v>
      </c>
      <c r="AC523" s="4">
        <v>1866.2</v>
      </c>
      <c r="AE523">
        <v>0.75510845517843195</v>
      </c>
      <c r="AH523">
        <v>-1.7361616845597299E-7</v>
      </c>
    </row>
    <row r="524" spans="1:36" x14ac:dyDescent="0.2">
      <c r="A524" t="s">
        <v>5</v>
      </c>
      <c r="B524">
        <v>3</v>
      </c>
      <c r="C524" s="2">
        <v>43619</v>
      </c>
      <c r="D524" s="13">
        <v>154.53020499999911</v>
      </c>
      <c r="E524" s="13"/>
      <c r="F524" s="4">
        <v>1926.2</v>
      </c>
      <c r="H524">
        <v>8.1</v>
      </c>
      <c r="J524">
        <v>23.89</v>
      </c>
      <c r="P524">
        <v>1.3941380191738699</v>
      </c>
      <c r="S524" s="6">
        <v>-2.3888592288669597E-7</v>
      </c>
      <c r="T524" s="6"/>
      <c r="U524" s="6"/>
      <c r="X524" t="s">
        <v>5</v>
      </c>
      <c r="Y524">
        <v>3</v>
      </c>
      <c r="Z524" t="s">
        <v>4</v>
      </c>
      <c r="AA524" s="16">
        <v>43619</v>
      </c>
      <c r="AB524">
        <v>154.5253449999982</v>
      </c>
      <c r="AC524" s="4">
        <v>1911.2</v>
      </c>
      <c r="AE524">
        <v>1.49755540710627</v>
      </c>
      <c r="AH524">
        <v>-3.1991378025691702E-7</v>
      </c>
    </row>
    <row r="525" spans="1:36" x14ac:dyDescent="0.2">
      <c r="A525" t="s">
        <v>5</v>
      </c>
      <c r="B525">
        <v>4</v>
      </c>
      <c r="C525" s="2">
        <v>43619</v>
      </c>
      <c r="D525" s="13">
        <v>154.539929999999</v>
      </c>
      <c r="E525" s="13"/>
      <c r="F525" s="4">
        <v>1996.2</v>
      </c>
      <c r="H525">
        <v>12.4</v>
      </c>
      <c r="J525">
        <v>23.89</v>
      </c>
      <c r="P525">
        <v>3.1024756762219301</v>
      </c>
      <c r="S525" s="6">
        <v>-5.84957816466122E-7</v>
      </c>
      <c r="T525" s="6"/>
      <c r="U525" s="6"/>
      <c r="X525" t="s">
        <v>5</v>
      </c>
      <c r="Y525">
        <v>4</v>
      </c>
      <c r="Z525" t="s">
        <v>4</v>
      </c>
      <c r="AA525" s="16">
        <v>43619</v>
      </c>
      <c r="AB525">
        <v>154.53506999999809</v>
      </c>
      <c r="AC525" s="4">
        <v>1973.7</v>
      </c>
      <c r="AE525">
        <v>3.0281359853180598</v>
      </c>
      <c r="AH525">
        <v>-6.3185191287007996E-7</v>
      </c>
    </row>
    <row r="526" spans="1:36" x14ac:dyDescent="0.2">
      <c r="A526" t="s">
        <v>5</v>
      </c>
      <c r="B526">
        <v>5</v>
      </c>
      <c r="C526" s="2">
        <v>43619</v>
      </c>
      <c r="D526" s="13">
        <v>154.54965499999889</v>
      </c>
      <c r="E526" s="13"/>
      <c r="F526" s="4">
        <v>1896.2</v>
      </c>
      <c r="H526">
        <v>10.9</v>
      </c>
      <c r="J526">
        <v>23.89</v>
      </c>
      <c r="P526">
        <v>2.3827467662872901</v>
      </c>
      <c r="S526" s="6">
        <v>-4.5447947394993E-7</v>
      </c>
      <c r="X526" t="s">
        <v>5</v>
      </c>
      <c r="Y526">
        <v>5</v>
      </c>
      <c r="Z526" t="s">
        <v>4</v>
      </c>
      <c r="AA526" s="16">
        <v>43619</v>
      </c>
      <c r="AB526">
        <v>154.54479500000161</v>
      </c>
      <c r="AC526" s="4">
        <v>1968.7</v>
      </c>
      <c r="AE526">
        <v>2.55690406172653</v>
      </c>
      <c r="AH526">
        <v>-5.1354503394131197E-7</v>
      </c>
    </row>
    <row r="527" spans="1:36" x14ac:dyDescent="0.2">
      <c r="A527" t="s">
        <v>5</v>
      </c>
      <c r="B527">
        <v>1</v>
      </c>
      <c r="C527" s="2">
        <v>43628</v>
      </c>
      <c r="D527" s="13">
        <v>163.43784500000038</v>
      </c>
      <c r="E527" s="13">
        <v>163.45729199999988</v>
      </c>
      <c r="F527" s="4">
        <v>1596.2</v>
      </c>
      <c r="G527" s="4">
        <v>1771.7</v>
      </c>
      <c r="H527">
        <v>17.5</v>
      </c>
      <c r="I527">
        <v>15.919999999999998</v>
      </c>
      <c r="J527">
        <v>20.56</v>
      </c>
      <c r="K527" s="4">
        <v>20.56</v>
      </c>
      <c r="M527" t="e">
        <v>#DIV/0!</v>
      </c>
      <c r="O527" s="4" t="e">
        <v>#DIV/0!</v>
      </c>
      <c r="P527">
        <v>2.6757370913115901</v>
      </c>
      <c r="Q527">
        <v>2.8285226044283318</v>
      </c>
      <c r="R527">
        <v>0.36678843269443001</v>
      </c>
      <c r="S527">
        <v>-1.20051212430965E-4</v>
      </c>
      <c r="T527" s="6">
        <v>-3.0713293162756577E-6</v>
      </c>
      <c r="U527" s="6">
        <v>1.2727356063543352E-4</v>
      </c>
      <c r="X527" t="s">
        <v>5</v>
      </c>
      <c r="Y527">
        <v>1</v>
      </c>
      <c r="Z527" t="s">
        <v>4</v>
      </c>
      <c r="AA527" s="16">
        <v>43628</v>
      </c>
      <c r="AB527">
        <v>163.43298499999946</v>
      </c>
      <c r="AC527" s="4">
        <v>1688.7</v>
      </c>
      <c r="AD527" s="4">
        <v>1764.7</v>
      </c>
      <c r="AE527">
        <v>2.6500147717507101</v>
      </c>
      <c r="AF527">
        <v>1.845944140075888</v>
      </c>
      <c r="AG527">
        <v>1.7146303280839943</v>
      </c>
      <c r="AH527">
        <v>5.9420590588279199E-5</v>
      </c>
      <c r="AI527">
        <v>1.2344939125114956E-4</v>
      </c>
      <c r="AJ527">
        <v>1.1542657192431118E-4</v>
      </c>
    </row>
    <row r="528" spans="1:36" x14ac:dyDescent="0.2">
      <c r="A528" t="s">
        <v>5</v>
      </c>
      <c r="B528">
        <v>2</v>
      </c>
      <c r="C528" s="2">
        <v>43628</v>
      </c>
      <c r="D528" s="13">
        <v>163.44757000000027</v>
      </c>
      <c r="E528" s="13"/>
      <c r="F528" s="4">
        <v>1781.2</v>
      </c>
      <c r="H528">
        <v>15.6</v>
      </c>
      <c r="J528">
        <v>20.56</v>
      </c>
      <c r="P528">
        <v>2.9512285652323298</v>
      </c>
      <c r="S528" s="6">
        <v>6.6734671230753205E-5</v>
      </c>
      <c r="T528" s="6"/>
      <c r="U528" s="6"/>
      <c r="X528" t="s">
        <v>5</v>
      </c>
      <c r="Y528">
        <v>2</v>
      </c>
      <c r="Z528" t="s">
        <v>4</v>
      </c>
      <c r="AA528" s="16">
        <v>43628</v>
      </c>
      <c r="AB528">
        <v>163.4427050000013</v>
      </c>
      <c r="AC528" s="4">
        <v>1741.2</v>
      </c>
      <c r="AE528">
        <v>-1.21915095724513</v>
      </c>
      <c r="AH528">
        <v>1.07361665842544E-5</v>
      </c>
    </row>
    <row r="529" spans="1:36" x14ac:dyDescent="0.2">
      <c r="A529" t="s">
        <v>5</v>
      </c>
      <c r="B529">
        <v>3</v>
      </c>
      <c r="C529" s="2">
        <v>43628</v>
      </c>
      <c r="D529" s="13">
        <v>163.45729500000016</v>
      </c>
      <c r="E529" s="13"/>
      <c r="F529" s="4">
        <v>1816.2</v>
      </c>
      <c r="H529">
        <v>15.9</v>
      </c>
      <c r="J529">
        <v>20.56</v>
      </c>
      <c r="P529">
        <v>2.6857262979572898</v>
      </c>
      <c r="S529">
        <v>1.5656499231745701E-4</v>
      </c>
      <c r="T529" s="6"/>
      <c r="U529" s="6"/>
      <c r="X529" t="s">
        <v>5</v>
      </c>
      <c r="Y529">
        <v>3</v>
      </c>
      <c r="Z529" t="s">
        <v>4</v>
      </c>
      <c r="AA529" s="16">
        <v>43628</v>
      </c>
      <c r="AB529">
        <v>163.45242999999755</v>
      </c>
      <c r="AC529" s="4">
        <v>1798.7</v>
      </c>
      <c r="AE529">
        <v>2.5328920818305201</v>
      </c>
      <c r="AH529">
        <v>2.3536841909975199E-4</v>
      </c>
    </row>
    <row r="530" spans="1:36" x14ac:dyDescent="0.2">
      <c r="A530" t="s">
        <v>5</v>
      </c>
      <c r="B530">
        <v>4</v>
      </c>
      <c r="C530" s="2">
        <v>43628</v>
      </c>
      <c r="D530" s="13">
        <v>163.46701499999836</v>
      </c>
      <c r="E530" s="13"/>
      <c r="F530" s="4">
        <v>1876.2</v>
      </c>
      <c r="H530">
        <v>15.8</v>
      </c>
      <c r="J530">
        <v>20.56</v>
      </c>
      <c r="P530">
        <v>3.3968324230095002</v>
      </c>
      <c r="S530" s="6">
        <v>2.5636873377042501E-5</v>
      </c>
      <c r="T530" s="6"/>
      <c r="U530" s="6"/>
      <c r="X530" t="s">
        <v>5</v>
      </c>
      <c r="Y530">
        <v>4</v>
      </c>
      <c r="Z530" t="s">
        <v>4</v>
      </c>
      <c r="AA530" s="16">
        <v>43628</v>
      </c>
      <c r="AB530">
        <v>163.46215500000108</v>
      </c>
      <c r="AC530" s="4">
        <v>1671.2</v>
      </c>
      <c r="AE530">
        <v>2.6951723746226199</v>
      </c>
      <c r="AH530">
        <v>2.6041311713171001E-4</v>
      </c>
    </row>
    <row r="531" spans="1:36" x14ac:dyDescent="0.2">
      <c r="A531" t="s">
        <v>5</v>
      </c>
      <c r="B531">
        <v>5</v>
      </c>
      <c r="C531" s="2">
        <v>43628</v>
      </c>
      <c r="D531" s="13">
        <v>163.47673500000019</v>
      </c>
      <c r="E531" s="13"/>
      <c r="F531" s="4">
        <v>1788.7</v>
      </c>
      <c r="H531">
        <v>14.8</v>
      </c>
      <c r="J531">
        <v>20.56</v>
      </c>
      <c r="P531">
        <v>2.4330886446309501</v>
      </c>
      <c r="S531">
        <v>-1.4424197107566601E-4</v>
      </c>
      <c r="X531" t="s">
        <v>5</v>
      </c>
      <c r="Y531">
        <v>5</v>
      </c>
      <c r="Z531" t="s">
        <v>4</v>
      </c>
      <c r="AA531" s="16">
        <v>43628</v>
      </c>
      <c r="AB531">
        <v>163.47187499999927</v>
      </c>
      <c r="AC531" s="4">
        <v>1923.7</v>
      </c>
      <c r="AE531">
        <v>2.5707924294207198</v>
      </c>
      <c r="AH531">
        <v>5.1308662851752298E-5</v>
      </c>
    </row>
    <row r="532" spans="1:36" x14ac:dyDescent="0.2">
      <c r="A532" t="s">
        <v>5</v>
      </c>
      <c r="B532">
        <v>1</v>
      </c>
      <c r="C532" s="2">
        <v>43628</v>
      </c>
      <c r="D532" s="13">
        <v>163.52117999999973</v>
      </c>
      <c r="E532" s="13">
        <v>163.54062500000001</v>
      </c>
      <c r="F532" s="4">
        <v>1791.2</v>
      </c>
      <c r="G532" s="4">
        <v>1875.7</v>
      </c>
      <c r="H532">
        <v>14.4</v>
      </c>
      <c r="I532">
        <v>15.440000000000001</v>
      </c>
      <c r="J532">
        <v>23.33</v>
      </c>
      <c r="K532" s="4">
        <v>23.33</v>
      </c>
      <c r="M532" t="e">
        <v>#DIV/0!</v>
      </c>
      <c r="O532" s="4" t="e">
        <v>#DIV/0!</v>
      </c>
      <c r="P532">
        <v>2.8350451823087899</v>
      </c>
      <c r="Q532">
        <v>3.146295586346072</v>
      </c>
      <c r="R532">
        <v>0.37543764694250165</v>
      </c>
      <c r="S532" s="6">
        <v>-5.2835552838582799E-5</v>
      </c>
      <c r="T532" s="6">
        <v>2.7315452853356782E-5</v>
      </c>
      <c r="U532" s="6">
        <v>2.8026293290111289E-4</v>
      </c>
      <c r="X532" t="s">
        <v>5</v>
      </c>
      <c r="Y532">
        <v>1</v>
      </c>
      <c r="Z532" t="s">
        <v>4</v>
      </c>
      <c r="AA532" s="16">
        <v>43628</v>
      </c>
      <c r="AB532">
        <v>163.51632000000245</v>
      </c>
      <c r="AC532" s="4">
        <v>1886.2</v>
      </c>
      <c r="AD532" s="4">
        <v>1946.2</v>
      </c>
      <c r="AE532">
        <v>3.1371016852491298</v>
      </c>
      <c r="AF532">
        <v>2.2501757583948105</v>
      </c>
      <c r="AG532">
        <v>1.780035228537332</v>
      </c>
      <c r="AH532">
        <v>-3.3928608777458997E-5</v>
      </c>
      <c r="AI532">
        <v>1.5090394319471225E-4</v>
      </c>
      <c r="AJ532">
        <v>2.3985275439054277E-4</v>
      </c>
    </row>
    <row r="533" spans="1:36" x14ac:dyDescent="0.2">
      <c r="A533" t="s">
        <v>5</v>
      </c>
      <c r="B533">
        <v>2</v>
      </c>
      <c r="C533" s="2">
        <v>43628</v>
      </c>
      <c r="D533" s="13">
        <v>163.53090499999962</v>
      </c>
      <c r="E533" s="13"/>
      <c r="F533" s="4">
        <v>1846.2</v>
      </c>
      <c r="H533">
        <v>14.6</v>
      </c>
      <c r="J533">
        <v>23.33</v>
      </c>
      <c r="P533">
        <v>3.7817155345314899</v>
      </c>
      <c r="S533" s="6">
        <v>4.93910720007457E-5</v>
      </c>
      <c r="T533" s="6"/>
      <c r="U533" s="6"/>
      <c r="X533" t="s">
        <v>5</v>
      </c>
      <c r="Y533">
        <v>2</v>
      </c>
      <c r="Z533" t="s">
        <v>4</v>
      </c>
      <c r="AA533" s="16">
        <v>43628</v>
      </c>
      <c r="AB533">
        <v>163.5260449999987</v>
      </c>
      <c r="AC533" s="4">
        <v>1981.2</v>
      </c>
      <c r="AE533">
        <v>-0.931481752609156</v>
      </c>
      <c r="AH533">
        <v>-7.4512583247780606E-5</v>
      </c>
    </row>
    <row r="534" spans="1:36" x14ac:dyDescent="0.2">
      <c r="A534" t="s">
        <v>5</v>
      </c>
      <c r="B534">
        <v>3</v>
      </c>
      <c r="C534" s="2">
        <v>43628</v>
      </c>
      <c r="D534" s="13">
        <v>163.54062500000146</v>
      </c>
      <c r="E534" s="13"/>
      <c r="F534" s="4">
        <v>1896.2</v>
      </c>
      <c r="H534">
        <v>14.7</v>
      </c>
      <c r="J534">
        <v>23.33</v>
      </c>
      <c r="P534">
        <v>3.0513663723580602</v>
      </c>
      <c r="S534">
        <v>-4.0373803606397798E-4</v>
      </c>
      <c r="T534" s="6"/>
      <c r="U534" s="6"/>
      <c r="X534" t="s">
        <v>5</v>
      </c>
      <c r="Y534">
        <v>3</v>
      </c>
      <c r="Z534" t="s">
        <v>4</v>
      </c>
      <c r="AA534" s="16">
        <v>43628</v>
      </c>
      <c r="AB534">
        <v>163.53576500000054</v>
      </c>
      <c r="AC534" s="4">
        <v>1948.7</v>
      </c>
      <c r="AE534">
        <v>3.0337382688639098</v>
      </c>
      <c r="AH534">
        <v>6.3392316855608705E-5</v>
      </c>
    </row>
    <row r="535" spans="1:36" x14ac:dyDescent="0.2">
      <c r="A535" t="s">
        <v>5</v>
      </c>
      <c r="B535">
        <v>4</v>
      </c>
      <c r="C535" s="2">
        <v>43628</v>
      </c>
      <c r="D535" s="13">
        <v>163.55034499999965</v>
      </c>
      <c r="E535" s="13"/>
      <c r="F535" s="4">
        <v>1978.7</v>
      </c>
      <c r="H535">
        <v>15.6</v>
      </c>
      <c r="J535">
        <v>23.33</v>
      </c>
      <c r="P535">
        <v>3.1497670429993501</v>
      </c>
      <c r="S535">
        <v>2.4149000043927101E-4</v>
      </c>
      <c r="T535" s="6"/>
      <c r="U535" s="6"/>
      <c r="X535" t="s">
        <v>5</v>
      </c>
      <c r="Y535">
        <v>4</v>
      </c>
      <c r="Z535" t="s">
        <v>4</v>
      </c>
      <c r="AA535" s="16">
        <v>43628</v>
      </c>
      <c r="AB535">
        <v>163.54548499999873</v>
      </c>
      <c r="AC535" s="4">
        <v>1963.7</v>
      </c>
      <c r="AE535">
        <v>2.9396794740970802</v>
      </c>
      <c r="AH535">
        <v>4.8224806989092102E-4</v>
      </c>
    </row>
    <row r="536" spans="1:36" x14ac:dyDescent="0.2">
      <c r="A536" t="s">
        <v>5</v>
      </c>
      <c r="B536">
        <v>5</v>
      </c>
      <c r="C536" s="2">
        <v>43628</v>
      </c>
      <c r="D536" s="13">
        <v>163.56006999999954</v>
      </c>
      <c r="E536" s="13"/>
      <c r="F536" s="4">
        <v>1866.2</v>
      </c>
      <c r="H536">
        <v>17.899999999999999</v>
      </c>
      <c r="J536">
        <v>23.33</v>
      </c>
      <c r="P536">
        <v>2.9135837995326699</v>
      </c>
      <c r="S536">
        <v>3.02269780729328E-4</v>
      </c>
      <c r="X536" t="s">
        <v>5</v>
      </c>
      <c r="Y536">
        <v>5</v>
      </c>
      <c r="Z536" t="s">
        <v>4</v>
      </c>
      <c r="AA536" s="16">
        <v>43628</v>
      </c>
      <c r="AB536">
        <v>163.55520500000057</v>
      </c>
      <c r="AC536" s="4">
        <v>1951.2</v>
      </c>
      <c r="AE536">
        <v>3.0718411163730899</v>
      </c>
      <c r="AH536">
        <v>3.1732052125227101E-4</v>
      </c>
    </row>
    <row r="537" spans="1:36" x14ac:dyDescent="0.2">
      <c r="A537" t="s">
        <v>5</v>
      </c>
      <c r="B537">
        <v>1</v>
      </c>
      <c r="C537" s="2">
        <v>43640</v>
      </c>
      <c r="D537" s="13">
        <v>175.421875</v>
      </c>
      <c r="E537" s="13">
        <v>175.44131999999954</v>
      </c>
      <c r="F537" s="4">
        <v>1711.2</v>
      </c>
      <c r="G537" s="4">
        <v>1281.2</v>
      </c>
      <c r="H537">
        <v>14.9</v>
      </c>
      <c r="I537">
        <v>13.540000000000001</v>
      </c>
      <c r="J537">
        <v>21.67</v>
      </c>
      <c r="K537" s="4">
        <v>21.67</v>
      </c>
      <c r="M537" t="e">
        <v>#DIV/0!</v>
      </c>
      <c r="O537" s="4" t="e">
        <v>#DIV/0!</v>
      </c>
      <c r="P537">
        <v>1.66992595428059</v>
      </c>
      <c r="Q537">
        <v>2.3462210847193838</v>
      </c>
      <c r="R537">
        <v>0.95876231057326333</v>
      </c>
      <c r="S537">
        <v>1.01009735672131E-2</v>
      </c>
      <c r="T537" s="6">
        <v>9.7842185041158315E-3</v>
      </c>
      <c r="U537" s="6">
        <v>5.0105781557333202E-3</v>
      </c>
      <c r="X537" t="s">
        <v>5</v>
      </c>
      <c r="Y537">
        <v>1</v>
      </c>
      <c r="Z537" t="s">
        <v>4</v>
      </c>
      <c r="AA537" s="16">
        <v>43640</v>
      </c>
      <c r="AB537">
        <v>175.41701499999908</v>
      </c>
      <c r="AC537" s="4">
        <v>1578.7</v>
      </c>
      <c r="AD537" s="4">
        <v>1674.7</v>
      </c>
      <c r="AE537">
        <v>1.7329797544193699</v>
      </c>
      <c r="AF537">
        <v>-0.39274260629807262</v>
      </c>
      <c r="AG537">
        <v>4.1423870309035085</v>
      </c>
      <c r="AH537">
        <v>1.20882546971765E-2</v>
      </c>
      <c r="AI537">
        <v>1.8938238788173977E-2</v>
      </c>
      <c r="AJ537">
        <v>4.8268214395885663E-3</v>
      </c>
    </row>
    <row r="538" spans="1:36" x14ac:dyDescent="0.2">
      <c r="A538" t="s">
        <v>5</v>
      </c>
      <c r="B538">
        <v>2</v>
      </c>
      <c r="C538" s="2">
        <v>43640</v>
      </c>
      <c r="D538" s="13">
        <v>175.4315949999982</v>
      </c>
      <c r="E538" s="13"/>
      <c r="F538" s="4">
        <v>1438.7</v>
      </c>
      <c r="H538">
        <v>13.2</v>
      </c>
      <c r="J538">
        <v>21.67</v>
      </c>
      <c r="P538">
        <v>3.9770616108335699</v>
      </c>
      <c r="S538">
        <v>1.28979518726945E-3</v>
      </c>
      <c r="T538" s="6"/>
      <c r="U538" s="6"/>
      <c r="X538" t="s">
        <v>5</v>
      </c>
      <c r="Y538">
        <v>2</v>
      </c>
      <c r="Z538" t="s">
        <v>4</v>
      </c>
      <c r="AA538" s="16">
        <v>43640</v>
      </c>
      <c r="AB538">
        <v>175.42673500000092</v>
      </c>
      <c r="AC538" s="4">
        <v>1718.7</v>
      </c>
      <c r="AE538">
        <v>-7.7099690143758197</v>
      </c>
      <c r="AH538">
        <v>2.49865913950446E-2</v>
      </c>
    </row>
    <row r="539" spans="1:36" x14ac:dyDescent="0.2">
      <c r="A539" t="s">
        <v>5</v>
      </c>
      <c r="B539">
        <v>3</v>
      </c>
      <c r="C539" s="2">
        <v>43640</v>
      </c>
      <c r="D539" s="13">
        <v>175.44131999999809</v>
      </c>
      <c r="E539" s="13"/>
      <c r="F539" s="4">
        <v>1341.2</v>
      </c>
      <c r="H539">
        <v>10</v>
      </c>
      <c r="J539">
        <v>21.67</v>
      </c>
      <c r="P539">
        <v>1.67747054824004</v>
      </c>
      <c r="S539">
        <v>1.13618881767041E-2</v>
      </c>
      <c r="T539" s="6"/>
      <c r="U539" s="6"/>
      <c r="X539" t="s">
        <v>5</v>
      </c>
      <c r="Y539">
        <v>3</v>
      </c>
      <c r="Z539" t="s">
        <v>4</v>
      </c>
      <c r="AA539" s="16">
        <v>43640</v>
      </c>
      <c r="AB539">
        <v>175.43645499999911</v>
      </c>
      <c r="AC539" s="4">
        <v>1603.7</v>
      </c>
      <c r="AE539">
        <v>1.7912197556929199</v>
      </c>
      <c r="AH539">
        <v>1.6727051840775001E-2</v>
      </c>
    </row>
    <row r="540" spans="1:36" x14ac:dyDescent="0.2">
      <c r="A540" t="s">
        <v>5</v>
      </c>
      <c r="B540">
        <v>4</v>
      </c>
      <c r="C540" s="2">
        <v>43640</v>
      </c>
      <c r="D540" s="13">
        <v>175.45104500000161</v>
      </c>
      <c r="E540" s="13"/>
      <c r="F540" s="4">
        <v>1881.2</v>
      </c>
      <c r="H540">
        <v>15.2</v>
      </c>
      <c r="J540">
        <v>21.67</v>
      </c>
      <c r="P540">
        <v>2.3928205110565601</v>
      </c>
      <c r="S540">
        <v>1.44804592372124E-2</v>
      </c>
      <c r="T540" s="6"/>
      <c r="U540" s="6"/>
      <c r="X540" t="s">
        <v>5</v>
      </c>
      <c r="Y540">
        <v>4</v>
      </c>
      <c r="Z540" t="s">
        <v>4</v>
      </c>
      <c r="AA540" s="16">
        <v>43640</v>
      </c>
      <c r="AB540">
        <v>175.446179999999</v>
      </c>
      <c r="AC540" s="4">
        <v>1718.7</v>
      </c>
      <c r="AE540">
        <v>0.30958007834530699</v>
      </c>
      <c r="AH540">
        <v>2.00840343826529E-2</v>
      </c>
    </row>
    <row r="541" spans="1:36" x14ac:dyDescent="0.2">
      <c r="A541" t="s">
        <v>5</v>
      </c>
      <c r="B541">
        <v>5</v>
      </c>
      <c r="C541" s="2">
        <v>43640</v>
      </c>
      <c r="D541" s="13">
        <v>175.46076499999981</v>
      </c>
      <c r="E541" s="13"/>
      <c r="F541" s="4">
        <v>33.700000000000003</v>
      </c>
      <c r="H541">
        <v>14.4</v>
      </c>
      <c r="J541">
        <v>21.67</v>
      </c>
      <c r="P541">
        <v>2.0138267991861598</v>
      </c>
      <c r="S541">
        <v>1.16879763521801E-2</v>
      </c>
      <c r="X541" t="s">
        <v>5</v>
      </c>
      <c r="Y541">
        <v>5</v>
      </c>
      <c r="Z541" t="s">
        <v>4</v>
      </c>
      <c r="AA541" s="16">
        <v>43640</v>
      </c>
      <c r="AB541">
        <v>175.45590499999889</v>
      </c>
      <c r="AC541" s="4">
        <v>1753.7</v>
      </c>
      <c r="AE541">
        <v>1.91247639442786</v>
      </c>
      <c r="AH541">
        <v>2.0805261625220901E-2</v>
      </c>
    </row>
    <row r="542" spans="1:36" x14ac:dyDescent="0.2">
      <c r="A542" t="s">
        <v>5</v>
      </c>
      <c r="B542">
        <v>1</v>
      </c>
      <c r="C542" s="2">
        <v>43640</v>
      </c>
      <c r="D542" s="13">
        <v>175.55520500000057</v>
      </c>
      <c r="E542" s="13">
        <v>175.57465200000007</v>
      </c>
      <c r="F542" s="4">
        <v>1403.7</v>
      </c>
      <c r="G542" s="4">
        <v>1514.2</v>
      </c>
      <c r="H542">
        <v>14.9</v>
      </c>
      <c r="I542">
        <v>12.08</v>
      </c>
      <c r="J542">
        <v>27.78</v>
      </c>
      <c r="K542" s="4">
        <v>27.78</v>
      </c>
      <c r="M542" t="e">
        <v>#DIV/0!</v>
      </c>
      <c r="O542" s="4" t="e">
        <v>#DIV/0!</v>
      </c>
      <c r="P542">
        <v>2.89410183263367</v>
      </c>
      <c r="Q542">
        <v>3.358356912499918</v>
      </c>
      <c r="R542">
        <v>0.99919107916341798</v>
      </c>
      <c r="S542" s="6">
        <v>-1.7099999999999999E-5</v>
      </c>
      <c r="T542" s="6">
        <v>-3.4439199999999995E-6</v>
      </c>
      <c r="U542" s="6">
        <v>7.6345738343407218E-6</v>
      </c>
      <c r="X542" t="s">
        <v>5</v>
      </c>
      <c r="Y542">
        <v>1</v>
      </c>
      <c r="Z542" t="s">
        <v>4</v>
      </c>
      <c r="AA542" s="16">
        <v>43640</v>
      </c>
      <c r="AB542">
        <v>175.55034499999965</v>
      </c>
      <c r="AC542" s="4">
        <v>1598.7</v>
      </c>
      <c r="AD542" s="4">
        <v>1481.1999999999998</v>
      </c>
      <c r="AE542">
        <v>3.1767891381263</v>
      </c>
      <c r="AF542">
        <v>0.52951140205690805</v>
      </c>
      <c r="AG542">
        <v>3.793541558854717</v>
      </c>
      <c r="AH542">
        <v>7.0227240000000002E-3</v>
      </c>
      <c r="AI542">
        <v>1.4045584400000002E-3</v>
      </c>
      <c r="AJ542">
        <v>3.1406500266337768E-3</v>
      </c>
    </row>
    <row r="543" spans="1:36" x14ac:dyDescent="0.2">
      <c r="A543" t="s">
        <v>5</v>
      </c>
      <c r="B543">
        <v>2</v>
      </c>
      <c r="C543" s="2">
        <v>43640</v>
      </c>
      <c r="D543" s="13">
        <v>175.56493000000046</v>
      </c>
      <c r="E543" s="13"/>
      <c r="F543" s="4">
        <v>1966.2</v>
      </c>
      <c r="H543">
        <v>9.9</v>
      </c>
      <c r="J543">
        <v>27.78</v>
      </c>
      <c r="P543">
        <v>5.1126486664920403</v>
      </c>
      <c r="S543" s="6">
        <v>-1.3400000000000001E-7</v>
      </c>
      <c r="T543" s="6"/>
      <c r="U543" s="6"/>
      <c r="X543" t="s">
        <v>5</v>
      </c>
      <c r="Y543">
        <v>2</v>
      </c>
      <c r="Z543" t="s">
        <v>4</v>
      </c>
      <c r="AA543" s="16">
        <v>43640</v>
      </c>
      <c r="AB543">
        <v>175.56006999999954</v>
      </c>
      <c r="AC543" s="4">
        <v>2153.6999999999998</v>
      </c>
      <c r="AE543">
        <v>-6.0030436258829498</v>
      </c>
      <c r="AH543">
        <v>1.7499999999999999E-7</v>
      </c>
    </row>
    <row r="544" spans="1:36" x14ac:dyDescent="0.2">
      <c r="A544" t="s">
        <v>5</v>
      </c>
      <c r="B544">
        <v>3</v>
      </c>
      <c r="C544" s="2">
        <v>43640</v>
      </c>
      <c r="D544" s="13">
        <v>175.57465500000035</v>
      </c>
      <c r="E544" s="13"/>
      <c r="F544" s="4">
        <v>1778.7</v>
      </c>
      <c r="H544">
        <v>8.5</v>
      </c>
      <c r="J544">
        <v>27.78</v>
      </c>
      <c r="P544">
        <v>2.7140714936706098</v>
      </c>
      <c r="S544" s="6">
        <v>1.04E-7</v>
      </c>
      <c r="T544" s="6"/>
      <c r="U544" s="6"/>
      <c r="X544" t="s">
        <v>5</v>
      </c>
      <c r="Y544">
        <v>3</v>
      </c>
      <c r="Z544" t="s">
        <v>4</v>
      </c>
      <c r="AA544" s="16">
        <v>43640</v>
      </c>
      <c r="AB544">
        <v>175.56979499999943</v>
      </c>
      <c r="AC544" s="4">
        <v>1006.2</v>
      </c>
      <c r="AE544">
        <v>2.8677634070829199</v>
      </c>
      <c r="AH544">
        <v>-2.33E-8</v>
      </c>
    </row>
    <row r="545" spans="1:36" x14ac:dyDescent="0.2">
      <c r="A545" t="s">
        <v>5</v>
      </c>
      <c r="B545">
        <v>4</v>
      </c>
      <c r="C545" s="2">
        <v>43640</v>
      </c>
      <c r="D545" s="13">
        <v>175.58437499999854</v>
      </c>
      <c r="E545" s="13"/>
      <c r="F545" s="4">
        <v>2418.6999999999998</v>
      </c>
      <c r="H545">
        <v>13.7</v>
      </c>
      <c r="J545">
        <v>27.78</v>
      </c>
      <c r="P545">
        <v>3.2315142803371502</v>
      </c>
      <c r="S545" s="6">
        <v>1.44E-8</v>
      </c>
      <c r="T545" s="6"/>
      <c r="U545" s="6"/>
      <c r="X545" t="s">
        <v>5</v>
      </c>
      <c r="Y545">
        <v>4</v>
      </c>
      <c r="Z545" t="s">
        <v>4</v>
      </c>
      <c r="AA545" s="16">
        <v>43640</v>
      </c>
      <c r="AB545">
        <v>175.57951500000127</v>
      </c>
      <c r="AC545" s="4">
        <v>1258.7</v>
      </c>
      <c r="AE545">
        <v>0.52282869429961998</v>
      </c>
      <c r="AH545">
        <v>-1.7E-8</v>
      </c>
    </row>
    <row r="546" spans="1:36" x14ac:dyDescent="0.2">
      <c r="A546" t="s">
        <v>5</v>
      </c>
      <c r="B546">
        <v>5</v>
      </c>
      <c r="C546" s="2">
        <v>43640</v>
      </c>
      <c r="D546" s="13">
        <v>175.59409500000038</v>
      </c>
      <c r="E546" s="13"/>
      <c r="F546" s="4">
        <v>3.7</v>
      </c>
      <c r="H546">
        <v>13.4</v>
      </c>
      <c r="J546">
        <v>27.78</v>
      </c>
      <c r="P546">
        <v>2.8394482893661199</v>
      </c>
      <c r="S546" s="6">
        <v>-1.04E-7</v>
      </c>
      <c r="X546" t="s">
        <v>5</v>
      </c>
      <c r="Y546">
        <v>5</v>
      </c>
      <c r="Z546" t="s">
        <v>4</v>
      </c>
      <c r="AA546" s="16">
        <v>43640</v>
      </c>
      <c r="AB546">
        <v>175.58923499999946</v>
      </c>
      <c r="AC546" s="4">
        <v>1388.7</v>
      </c>
      <c r="AE546">
        <v>2.0832193966586501</v>
      </c>
      <c r="AH546">
        <v>-6.6500000000000007E-8</v>
      </c>
    </row>
    <row r="547" spans="1:36" x14ac:dyDescent="0.2">
      <c r="A547" t="s">
        <v>5</v>
      </c>
      <c r="B547">
        <v>1</v>
      </c>
      <c r="C547" s="2">
        <v>43655</v>
      </c>
      <c r="D547" s="13">
        <v>190.48715499999889</v>
      </c>
      <c r="E547" s="13">
        <v>190.50659799999994</v>
      </c>
      <c r="F547" s="4">
        <v>1821.2</v>
      </c>
      <c r="G547" s="4">
        <v>1862.2</v>
      </c>
      <c r="H547">
        <v>14.5</v>
      </c>
      <c r="I547">
        <v>8.3000000000000007</v>
      </c>
      <c r="J547">
        <v>23.89</v>
      </c>
      <c r="K547" s="4">
        <v>23.89</v>
      </c>
      <c r="M547" t="e">
        <v>#DIV/0!</v>
      </c>
      <c r="O547" s="4" t="e">
        <v>#DIV/0!</v>
      </c>
      <c r="P547">
        <v>4.7651745490486999</v>
      </c>
      <c r="Q547">
        <v>9.617221272328548</v>
      </c>
      <c r="R547">
        <v>6.8737340086897802</v>
      </c>
      <c r="S547">
        <v>-4.51388022245987E-4</v>
      </c>
      <c r="T547" s="6">
        <v>-1.1201796503398157E-4</v>
      </c>
      <c r="U547" s="6">
        <v>2.6383345145651496E-4</v>
      </c>
      <c r="X547" t="s">
        <v>5</v>
      </c>
      <c r="Y547">
        <v>1</v>
      </c>
      <c r="Z547" t="s">
        <v>4</v>
      </c>
      <c r="AA547" s="16">
        <v>43655</v>
      </c>
      <c r="AB547">
        <v>190.48229500000161</v>
      </c>
      <c r="AC547" s="4">
        <v>1803.7</v>
      </c>
      <c r="AD547" s="4">
        <v>1852.2</v>
      </c>
      <c r="AE547">
        <v>3.46870502130849</v>
      </c>
      <c r="AF547">
        <v>-1.0950814971108158</v>
      </c>
      <c r="AG547">
        <v>8.4603735022814686</v>
      </c>
      <c r="AH547">
        <v>-6.6670342875345395E-5</v>
      </c>
      <c r="AI547">
        <v>-2.1468227934284388E-5</v>
      </c>
      <c r="AJ547">
        <v>1.8697021986089182E-4</v>
      </c>
    </row>
    <row r="548" spans="1:36" x14ac:dyDescent="0.2">
      <c r="A548" t="s">
        <v>5</v>
      </c>
      <c r="B548">
        <v>2</v>
      </c>
      <c r="C548" s="2">
        <v>43655</v>
      </c>
      <c r="D548" s="13">
        <v>190.49687500000073</v>
      </c>
      <c r="E548" s="13"/>
      <c r="F548" s="4">
        <v>1853.7</v>
      </c>
      <c r="H548">
        <v>6.5</v>
      </c>
      <c r="J548">
        <v>23.89</v>
      </c>
      <c r="P548">
        <v>19.865299980404</v>
      </c>
      <c r="S548">
        <v>-2.6405640930450498E-4</v>
      </c>
      <c r="T548" s="6"/>
      <c r="U548" s="6"/>
      <c r="X548" t="s">
        <v>5</v>
      </c>
      <c r="Y548">
        <v>2</v>
      </c>
      <c r="Z548" t="s">
        <v>4</v>
      </c>
      <c r="AA548" s="16">
        <v>43655</v>
      </c>
      <c r="AB548">
        <v>190.49201499999981</v>
      </c>
      <c r="AC548" s="4">
        <v>1833.7</v>
      </c>
      <c r="AE548">
        <v>-15.0860426628753</v>
      </c>
      <c r="AH548">
        <v>1.74198367470682E-5</v>
      </c>
    </row>
    <row r="549" spans="1:36" x14ac:dyDescent="0.2">
      <c r="A549" t="s">
        <v>5</v>
      </c>
      <c r="B549">
        <v>3</v>
      </c>
      <c r="C549" s="2">
        <v>43655</v>
      </c>
      <c r="D549" s="13">
        <v>190.50659499999892</v>
      </c>
      <c r="E549" s="13"/>
      <c r="F549" s="4">
        <v>1873.7</v>
      </c>
      <c r="H549">
        <v>6</v>
      </c>
      <c r="J549">
        <v>23.89</v>
      </c>
      <c r="P549">
        <v>4.2385029750273899</v>
      </c>
      <c r="S549" s="6">
        <v>3.3156094327304098E-5</v>
      </c>
      <c r="T549" s="6"/>
      <c r="U549" s="6"/>
      <c r="X549" t="s">
        <v>5</v>
      </c>
      <c r="Y549">
        <v>3</v>
      </c>
      <c r="Z549" t="s">
        <v>4</v>
      </c>
      <c r="AA549" s="16">
        <v>43655</v>
      </c>
      <c r="AB549">
        <v>190.50173500000164</v>
      </c>
      <c r="AC549" s="4">
        <v>1866.2</v>
      </c>
      <c r="AE549">
        <v>4.1636985273705296</v>
      </c>
      <c r="AH549">
        <v>-2.5778286399397599E-4</v>
      </c>
    </row>
    <row r="550" spans="1:36" x14ac:dyDescent="0.2">
      <c r="A550" t="s">
        <v>5</v>
      </c>
      <c r="B550">
        <v>4</v>
      </c>
      <c r="C550" s="2">
        <v>43655</v>
      </c>
      <c r="D550" s="13">
        <v>190.51632000000245</v>
      </c>
      <c r="E550" s="13"/>
      <c r="F550" s="4">
        <v>1866.2</v>
      </c>
      <c r="H550">
        <v>5.3</v>
      </c>
      <c r="J550">
        <v>23.89</v>
      </c>
      <c r="P550">
        <v>13.576979847452201</v>
      </c>
      <c r="S550">
        <v>-1.1084547956391201E-4</v>
      </c>
      <c r="T550" s="6"/>
      <c r="U550" s="6"/>
      <c r="X550" t="s">
        <v>5</v>
      </c>
      <c r="Y550">
        <v>4</v>
      </c>
      <c r="Z550" t="s">
        <v>4</v>
      </c>
      <c r="AA550" s="16">
        <v>43655</v>
      </c>
      <c r="AB550">
        <v>190.51145499999984</v>
      </c>
      <c r="AC550" s="4">
        <v>1878.7</v>
      </c>
      <c r="AE550">
        <v>-3.0970812717814402</v>
      </c>
      <c r="AH550">
        <v>2.5952860136737102E-4</v>
      </c>
    </row>
    <row r="551" spans="1:36" x14ac:dyDescent="0.2">
      <c r="A551" t="s">
        <v>5</v>
      </c>
      <c r="B551">
        <v>5</v>
      </c>
      <c r="C551" s="2">
        <v>43655</v>
      </c>
      <c r="D551" s="13">
        <v>190.5260449999987</v>
      </c>
      <c r="E551" s="13"/>
      <c r="F551" s="4">
        <v>1896.2</v>
      </c>
      <c r="H551">
        <v>9.1999999999999993</v>
      </c>
      <c r="J551">
        <v>23.89</v>
      </c>
      <c r="P551">
        <v>5.6401490097104503</v>
      </c>
      <c r="S551">
        <v>2.33043991617192E-4</v>
      </c>
      <c r="X551" t="s">
        <v>5</v>
      </c>
      <c r="Y551">
        <v>5</v>
      </c>
      <c r="Z551" t="s">
        <v>4</v>
      </c>
      <c r="AA551" s="16">
        <v>43655</v>
      </c>
      <c r="AB551">
        <v>190.52117999999973</v>
      </c>
      <c r="AC551" s="4">
        <v>1878.7</v>
      </c>
      <c r="AE551">
        <v>5.0753129004236399</v>
      </c>
      <c r="AH551">
        <v>-5.98363709165398E-5</v>
      </c>
    </row>
    <row r="552" spans="1:36" x14ac:dyDescent="0.2">
      <c r="A552" t="s">
        <v>5</v>
      </c>
      <c r="B552">
        <v>1</v>
      </c>
      <c r="C552" s="2">
        <v>43655</v>
      </c>
      <c r="D552" s="13">
        <v>190.57882000000245</v>
      </c>
      <c r="E552" s="13">
        <v>190.5982640000002</v>
      </c>
      <c r="F552" s="4">
        <v>1868.7</v>
      </c>
      <c r="G552" s="4">
        <v>1819.2</v>
      </c>
      <c r="H552">
        <v>13.3</v>
      </c>
      <c r="I552">
        <v>7.68</v>
      </c>
      <c r="J552">
        <v>28.33</v>
      </c>
      <c r="K552" s="4">
        <v>28.329999999999995</v>
      </c>
      <c r="M552" t="e">
        <v>#DIV/0!</v>
      </c>
      <c r="O552" s="4" t="e">
        <v>#DIV/0!</v>
      </c>
      <c r="P552">
        <v>3.1074498403465598</v>
      </c>
      <c r="Q552">
        <v>6.8005312325197638</v>
      </c>
      <c r="R552">
        <v>5.8449524498856906</v>
      </c>
      <c r="S552">
        <v>3.7039294755690402E-4</v>
      </c>
      <c r="T552" s="6">
        <v>1.5864134902919514E-4</v>
      </c>
      <c r="U552" s="6">
        <v>1.7225701912643832E-4</v>
      </c>
      <c r="X552" t="s">
        <v>5</v>
      </c>
      <c r="Y552">
        <v>1</v>
      </c>
      <c r="Z552" t="s">
        <v>4</v>
      </c>
      <c r="AA552" s="16">
        <v>43655</v>
      </c>
      <c r="AB552">
        <v>190.57395499999984</v>
      </c>
      <c r="AC552" s="4">
        <v>1816.2</v>
      </c>
      <c r="AD552" s="4">
        <v>1814.7</v>
      </c>
      <c r="AE552">
        <v>2.3909972139673599</v>
      </c>
      <c r="AF552">
        <v>-1.0332014950805639</v>
      </c>
      <c r="AG552">
        <v>7.0779844093086171</v>
      </c>
      <c r="AH552">
        <v>4.96985967036359E-4</v>
      </c>
      <c r="AI552">
        <v>2.7333120437856103E-4</v>
      </c>
      <c r="AJ552">
        <v>2.8417751158424034E-4</v>
      </c>
    </row>
    <row r="553" spans="1:36" x14ac:dyDescent="0.2">
      <c r="A553" t="s">
        <v>5</v>
      </c>
      <c r="B553">
        <v>2</v>
      </c>
      <c r="C553" s="2">
        <v>43655</v>
      </c>
      <c r="D553" s="13">
        <v>190.5885449999987</v>
      </c>
      <c r="E553" s="13"/>
      <c r="F553" s="4">
        <v>1846.2</v>
      </c>
      <c r="H553">
        <v>5.6</v>
      </c>
      <c r="J553">
        <v>28.33</v>
      </c>
      <c r="P553">
        <v>16.694259196573999</v>
      </c>
      <c r="S553" s="6">
        <v>-6.8644656574763703E-5</v>
      </c>
      <c r="T553" s="6"/>
      <c r="U553" s="6"/>
      <c r="X553" t="s">
        <v>5</v>
      </c>
      <c r="Y553">
        <v>2</v>
      </c>
      <c r="Z553" t="s">
        <v>4</v>
      </c>
      <c r="AA553" s="16">
        <v>43655</v>
      </c>
      <c r="AB553">
        <v>190.58367999999973</v>
      </c>
      <c r="AC553" s="4">
        <v>1856.2</v>
      </c>
      <c r="AE553">
        <v>-12.9543534208336</v>
      </c>
      <c r="AH553">
        <v>2.6231417555296901E-4</v>
      </c>
    </row>
    <row r="554" spans="1:36" x14ac:dyDescent="0.2">
      <c r="A554" t="s">
        <v>5</v>
      </c>
      <c r="B554">
        <v>3</v>
      </c>
      <c r="C554" s="2">
        <v>43655</v>
      </c>
      <c r="D554" s="13">
        <v>190.59826500000054</v>
      </c>
      <c r="E554" s="13"/>
      <c r="F554" s="4">
        <v>1828.7</v>
      </c>
      <c r="H554">
        <v>4.3</v>
      </c>
      <c r="J554">
        <v>28.33</v>
      </c>
      <c r="P554">
        <v>3.6436265275208202</v>
      </c>
      <c r="S554">
        <v>1.08665021292746E-4</v>
      </c>
      <c r="T554" s="6"/>
      <c r="U554" s="6"/>
      <c r="X554" t="s">
        <v>5</v>
      </c>
      <c r="Y554">
        <v>3</v>
      </c>
      <c r="Z554" t="s">
        <v>4</v>
      </c>
      <c r="AA554" s="16">
        <v>43655</v>
      </c>
      <c r="AB554">
        <v>190.59340499999962</v>
      </c>
      <c r="AC554" s="4">
        <v>1811.2</v>
      </c>
      <c r="AE554">
        <v>4.3770475109014502</v>
      </c>
      <c r="AH554">
        <v>-1.72039514696353E-4</v>
      </c>
    </row>
    <row r="555" spans="1:36" x14ac:dyDescent="0.2">
      <c r="A555" t="s">
        <v>5</v>
      </c>
      <c r="B555">
        <v>4</v>
      </c>
      <c r="C555" s="2">
        <v>43655</v>
      </c>
      <c r="D555" s="13">
        <v>190.60798499999873</v>
      </c>
      <c r="E555" s="13"/>
      <c r="F555" s="4">
        <v>1793.7</v>
      </c>
      <c r="H555">
        <v>5.3</v>
      </c>
      <c r="J555">
        <v>28.33</v>
      </c>
      <c r="P555">
        <v>7.5733219056368997</v>
      </c>
      <c r="S555">
        <v>2.8506846566921399E-4</v>
      </c>
      <c r="T555" s="6"/>
      <c r="U555" s="6"/>
      <c r="X555" t="s">
        <v>5</v>
      </c>
      <c r="Y555">
        <v>4</v>
      </c>
      <c r="Z555" t="s">
        <v>4</v>
      </c>
      <c r="AA555" s="16">
        <v>43655</v>
      </c>
      <c r="AB555">
        <v>190.60312500000146</v>
      </c>
      <c r="AC555" s="4">
        <v>1811.2</v>
      </c>
      <c r="AE555">
        <v>-1.99162749826056</v>
      </c>
      <c r="AH555">
        <v>5.4372238001839605E-4</v>
      </c>
    </row>
    <row r="556" spans="1:36" x14ac:dyDescent="0.2">
      <c r="A556" t="s">
        <v>5</v>
      </c>
      <c r="B556">
        <v>5</v>
      </c>
      <c r="C556" s="2">
        <v>43655</v>
      </c>
      <c r="D556" s="13">
        <v>190.61770500000057</v>
      </c>
      <c r="E556" s="13"/>
      <c r="F556" s="4">
        <v>1758.7</v>
      </c>
      <c r="H556">
        <v>9.9</v>
      </c>
      <c r="J556">
        <v>28.33</v>
      </c>
      <c r="P556">
        <v>2.9839986925205402</v>
      </c>
      <c r="S556" s="6">
        <v>9.7724967201875395E-5</v>
      </c>
      <c r="X556" t="s">
        <v>5</v>
      </c>
      <c r="Y556">
        <v>5</v>
      </c>
      <c r="Z556" t="s">
        <v>4</v>
      </c>
      <c r="AA556" s="16">
        <v>43655</v>
      </c>
      <c r="AB556">
        <v>190.61284499999965</v>
      </c>
      <c r="AC556" s="4">
        <v>1778.7</v>
      </c>
      <c r="AE556">
        <v>3.0119287188225301</v>
      </c>
      <c r="AH556">
        <v>2.35673013981434E-4</v>
      </c>
    </row>
    <row r="557" spans="1:36" x14ac:dyDescent="0.2">
      <c r="A557" t="s">
        <v>5</v>
      </c>
      <c r="B557">
        <v>1</v>
      </c>
      <c r="C557" s="2">
        <v>43672</v>
      </c>
      <c r="D557" s="13">
        <v>207.44826499999908</v>
      </c>
      <c r="E557" s="13">
        <v>207.46796199999955</v>
      </c>
      <c r="F557" s="4">
        <v>1611.2</v>
      </c>
      <c r="G557" s="4">
        <v>1696.7</v>
      </c>
      <c r="H557">
        <v>10.9</v>
      </c>
      <c r="I557">
        <v>12.36</v>
      </c>
      <c r="J557">
        <v>26.11</v>
      </c>
      <c r="K557" s="4">
        <v>26.110000000000003</v>
      </c>
      <c r="M557" t="e">
        <v>#DIV/0!</v>
      </c>
      <c r="O557" s="4" t="e">
        <v>#DIV/0!</v>
      </c>
      <c r="P557">
        <v>4.5682034430920302</v>
      </c>
      <c r="Q557">
        <v>14.525559096930627</v>
      </c>
      <c r="R557">
        <v>7.2131949524232084</v>
      </c>
      <c r="S557">
        <v>3.7558890555254901E-4</v>
      </c>
      <c r="T557" s="6">
        <v>4.1055403886220401E-6</v>
      </c>
      <c r="U557" s="6">
        <v>2.4639286803347865E-4</v>
      </c>
      <c r="X557" t="s">
        <v>5</v>
      </c>
      <c r="Y557">
        <v>1</v>
      </c>
      <c r="Z557" t="s">
        <v>4</v>
      </c>
      <c r="AA557" s="16">
        <v>43672</v>
      </c>
      <c r="AB557">
        <v>207.4434050000018</v>
      </c>
      <c r="AC557" s="4">
        <v>1578.7</v>
      </c>
      <c r="AD557" s="4">
        <v>1671.7</v>
      </c>
      <c r="AE557">
        <v>-8.6928212560388199E-2</v>
      </c>
      <c r="AF557">
        <v>-13.391855166816438</v>
      </c>
      <c r="AG557">
        <v>8.8432641045012588</v>
      </c>
      <c r="AH557">
        <v>-1.9874773943638499E-4</v>
      </c>
      <c r="AI557">
        <v>1.1694309707320731E-5</v>
      </c>
      <c r="AJ557">
        <v>3.434635348375195E-4</v>
      </c>
    </row>
    <row r="558" spans="1:36" x14ac:dyDescent="0.2">
      <c r="A558" t="s">
        <v>5</v>
      </c>
      <c r="B558">
        <v>2</v>
      </c>
      <c r="C558" s="2">
        <v>43672</v>
      </c>
      <c r="D558" s="13">
        <v>207.45798500000092</v>
      </c>
      <c r="E558" s="13"/>
      <c r="F558" s="4">
        <v>1656.2</v>
      </c>
      <c r="H558">
        <v>7.8</v>
      </c>
      <c r="J558">
        <v>26.11</v>
      </c>
      <c r="P558">
        <v>23.5011559660262</v>
      </c>
      <c r="S558" s="6">
        <v>2.6954071223693701E-5</v>
      </c>
      <c r="T558" s="6"/>
      <c r="U558" s="6"/>
      <c r="X558" t="s">
        <v>5</v>
      </c>
      <c r="Y558">
        <v>2</v>
      </c>
      <c r="Z558" t="s">
        <v>4</v>
      </c>
      <c r="AA558" s="16">
        <v>43672</v>
      </c>
      <c r="AB558">
        <v>207.453125</v>
      </c>
      <c r="AC558" s="4">
        <v>1626.2</v>
      </c>
      <c r="AE558">
        <v>-21.818206808723701</v>
      </c>
      <c r="AH558">
        <v>5.8412688117890396E-4</v>
      </c>
    </row>
    <row r="559" spans="1:36" x14ac:dyDescent="0.2">
      <c r="A559" t="s">
        <v>5</v>
      </c>
      <c r="B559">
        <v>3</v>
      </c>
      <c r="C559" s="2">
        <v>43672</v>
      </c>
      <c r="D559" s="13">
        <v>207.46770499999911</v>
      </c>
      <c r="E559" s="13"/>
      <c r="F559" s="4">
        <v>1698.7</v>
      </c>
      <c r="H559">
        <v>14.9</v>
      </c>
      <c r="J559">
        <v>26.11</v>
      </c>
      <c r="P559">
        <v>17.0909439436169</v>
      </c>
      <c r="S559">
        <v>-2.6686374240546501E-4</v>
      </c>
      <c r="T559" s="6"/>
      <c r="U559" s="6"/>
      <c r="X559" t="s">
        <v>5</v>
      </c>
      <c r="Y559">
        <v>3</v>
      </c>
      <c r="Z559" t="s">
        <v>4</v>
      </c>
      <c r="AA559" s="16">
        <v>43672</v>
      </c>
      <c r="AB559">
        <v>207.4628449999982</v>
      </c>
      <c r="AC559" s="4">
        <v>1676.2</v>
      </c>
      <c r="AE559">
        <v>-20.1204463210025</v>
      </c>
      <c r="AH559">
        <v>-2.7447021651585301E-4</v>
      </c>
    </row>
    <row r="560" spans="1:36" x14ac:dyDescent="0.2">
      <c r="A560" t="s">
        <v>5</v>
      </c>
      <c r="B560">
        <v>4</v>
      </c>
      <c r="C560" s="2">
        <v>43672</v>
      </c>
      <c r="D560" s="13">
        <v>207.47806499999933</v>
      </c>
      <c r="E560" s="13"/>
      <c r="F560" s="4">
        <v>1738.7</v>
      </c>
      <c r="H560">
        <v>12.9</v>
      </c>
      <c r="J560">
        <v>26.11</v>
      </c>
      <c r="P560">
        <v>10.526307855372201</v>
      </c>
      <c r="S560">
        <v>-1.6546996515405001E-4</v>
      </c>
      <c r="T560" s="6"/>
      <c r="U560" s="6"/>
      <c r="X560" t="s">
        <v>5</v>
      </c>
      <c r="Y560">
        <v>4</v>
      </c>
      <c r="Z560" t="s">
        <v>4</v>
      </c>
      <c r="AA560" s="16">
        <v>43672</v>
      </c>
      <c r="AB560">
        <v>207.47320499999842</v>
      </c>
      <c r="AC560" s="4">
        <v>1718.7</v>
      </c>
      <c r="AE560">
        <v>-9.48326059482131</v>
      </c>
      <c r="AH560">
        <v>-1.13221467644879E-4</v>
      </c>
    </row>
    <row r="561" spans="1:36" x14ac:dyDescent="0.2">
      <c r="A561" t="s">
        <v>5</v>
      </c>
      <c r="B561">
        <v>5</v>
      </c>
      <c r="C561" s="2">
        <v>43672</v>
      </c>
      <c r="D561" s="13">
        <v>207.48778999999922</v>
      </c>
      <c r="E561" s="13"/>
      <c r="F561" s="4">
        <v>1778.7</v>
      </c>
      <c r="H561">
        <v>15.3</v>
      </c>
      <c r="J561">
        <v>26.11</v>
      </c>
      <c r="P561">
        <v>16.941184276545801</v>
      </c>
      <c r="S561" s="6">
        <v>5.0318432726382499E-5</v>
      </c>
      <c r="X561" t="s">
        <v>5</v>
      </c>
      <c r="Y561">
        <v>5</v>
      </c>
      <c r="Z561" t="s">
        <v>4</v>
      </c>
      <c r="AA561" s="16">
        <v>43672</v>
      </c>
      <c r="AB561">
        <v>207.48292500000025</v>
      </c>
      <c r="AC561" s="4">
        <v>1758.7</v>
      </c>
      <c r="AE561">
        <v>-15.4504338969743</v>
      </c>
      <c r="AH561">
        <v>6.0784090954816703E-5</v>
      </c>
    </row>
    <row r="562" spans="1:36" x14ac:dyDescent="0.2">
      <c r="A562" t="s">
        <v>5</v>
      </c>
      <c r="B562">
        <v>1</v>
      </c>
      <c r="C562" s="2">
        <v>43676</v>
      </c>
      <c r="D562" s="13">
        <v>211.39895500000057</v>
      </c>
      <c r="E562" s="13">
        <v>211.41840200000007</v>
      </c>
      <c r="F562" s="4">
        <v>1271.2</v>
      </c>
      <c r="G562" s="4">
        <v>1411.2</v>
      </c>
      <c r="H562">
        <v>2.9</v>
      </c>
      <c r="I562">
        <v>4</v>
      </c>
      <c r="J562">
        <v>28.33</v>
      </c>
      <c r="K562" s="4">
        <v>28.329999999999995</v>
      </c>
      <c r="L562">
        <v>32</v>
      </c>
      <c r="M562">
        <v>36.940000000000005</v>
      </c>
      <c r="N562">
        <v>0.83</v>
      </c>
      <c r="O562" s="4">
        <v>0.82200000000000006</v>
      </c>
      <c r="P562">
        <v>8.9969798646176393</v>
      </c>
      <c r="Q562">
        <v>11.846710263130523</v>
      </c>
      <c r="R562">
        <v>11.59118334331375</v>
      </c>
      <c r="S562">
        <v>3.1303339999999998E-3</v>
      </c>
      <c r="T562" s="6">
        <v>1.0737926000000001E-3</v>
      </c>
      <c r="U562" s="6">
        <v>1.365385631422786E-3</v>
      </c>
      <c r="X562" t="s">
        <v>5</v>
      </c>
      <c r="Y562">
        <v>1</v>
      </c>
      <c r="Z562" t="s">
        <v>4</v>
      </c>
      <c r="AA562" s="16">
        <v>43676</v>
      </c>
      <c r="AB562">
        <v>211.39409499999965</v>
      </c>
      <c r="AC562" s="4">
        <v>1231.2</v>
      </c>
      <c r="AD562" s="4">
        <v>1379.2</v>
      </c>
      <c r="AE562">
        <v>-9.06709166639207</v>
      </c>
      <c r="AF562">
        <v>-12.244474507782794</v>
      </c>
      <c r="AG562">
        <v>2.1012368094175526</v>
      </c>
      <c r="AH562">
        <v>-7.1397400000000003E-4</v>
      </c>
      <c r="AI562">
        <v>-1.9023660000000003E-4</v>
      </c>
      <c r="AJ562">
        <v>3.1159556056657803E-4</v>
      </c>
    </row>
    <row r="563" spans="1:36" x14ac:dyDescent="0.2">
      <c r="A563" t="s">
        <v>5</v>
      </c>
      <c r="B563">
        <v>2</v>
      </c>
      <c r="C563" s="2">
        <v>43676</v>
      </c>
      <c r="D563" s="13">
        <v>211.40868000000046</v>
      </c>
      <c r="E563" s="13"/>
      <c r="F563" s="4">
        <v>1333.7</v>
      </c>
      <c r="H563">
        <v>3.1</v>
      </c>
      <c r="J563">
        <v>28.33</v>
      </c>
      <c r="L563">
        <v>42.1</v>
      </c>
      <c r="N563">
        <v>0.84</v>
      </c>
      <c r="P563">
        <v>0.62963455086900799</v>
      </c>
      <c r="S563">
        <v>7.5722400000000003E-4</v>
      </c>
      <c r="T563" s="6"/>
      <c r="U563" s="6"/>
      <c r="X563" t="s">
        <v>5</v>
      </c>
      <c r="Y563">
        <v>2</v>
      </c>
      <c r="Z563" t="s">
        <v>4</v>
      </c>
      <c r="AA563" s="16">
        <v>43676</v>
      </c>
      <c r="AB563">
        <v>211.40381999999954</v>
      </c>
      <c r="AC563" s="4">
        <v>1306.2</v>
      </c>
      <c r="AE563">
        <v>-14.547253613423599</v>
      </c>
      <c r="AH563">
        <v>3.4400000000000003E-5</v>
      </c>
    </row>
    <row r="564" spans="1:36" x14ac:dyDescent="0.2">
      <c r="A564" t="s">
        <v>5</v>
      </c>
      <c r="B564">
        <v>3</v>
      </c>
      <c r="C564" s="2">
        <v>43676</v>
      </c>
      <c r="D564" s="13">
        <v>211.41840500000035</v>
      </c>
      <c r="E564" s="13"/>
      <c r="F564" s="4">
        <v>1416.2</v>
      </c>
      <c r="H564">
        <v>4.2</v>
      </c>
      <c r="J564">
        <v>28.33</v>
      </c>
      <c r="L564">
        <v>36.9</v>
      </c>
      <c r="N564">
        <v>0.83</v>
      </c>
      <c r="P564">
        <v>31.533559706363199</v>
      </c>
      <c r="S564">
        <v>-1.4768499999999999E-4</v>
      </c>
      <c r="T564" s="6"/>
      <c r="U564" s="6"/>
      <c r="X564" t="s">
        <v>5</v>
      </c>
      <c r="Y564">
        <v>3</v>
      </c>
      <c r="Z564" t="s">
        <v>4</v>
      </c>
      <c r="AA564" s="16">
        <v>43676</v>
      </c>
      <c r="AB564">
        <v>211.41354499999943</v>
      </c>
      <c r="AC564" s="4">
        <v>1383.7</v>
      </c>
      <c r="AE564">
        <v>-13.670085845968201</v>
      </c>
      <c r="AH564">
        <v>-2.3670900000000001E-4</v>
      </c>
    </row>
    <row r="565" spans="1:36" x14ac:dyDescent="0.2">
      <c r="A565" t="s">
        <v>5</v>
      </c>
      <c r="B565">
        <v>4</v>
      </c>
      <c r="C565" s="2">
        <v>43676</v>
      </c>
      <c r="D565" s="13">
        <v>211.42812499999854</v>
      </c>
      <c r="E565" s="13"/>
      <c r="F565" s="4">
        <v>1488.7</v>
      </c>
      <c r="H565">
        <v>4.0999999999999996</v>
      </c>
      <c r="J565">
        <v>28.33</v>
      </c>
      <c r="L565">
        <v>34.299999999999997</v>
      </c>
      <c r="N565">
        <v>0.85</v>
      </c>
      <c r="P565">
        <v>8.7980573074863209</v>
      </c>
      <c r="S565" s="6">
        <v>-5.1799999999999999E-5</v>
      </c>
      <c r="T565" s="6"/>
      <c r="U565" s="6"/>
      <c r="X565" t="s">
        <v>5</v>
      </c>
      <c r="Y565">
        <v>4</v>
      </c>
      <c r="Z565" t="s">
        <v>4</v>
      </c>
      <c r="AA565" s="16">
        <v>43676</v>
      </c>
      <c r="AB565">
        <v>211.42326500000127</v>
      </c>
      <c r="AC565" s="4">
        <v>1451.2</v>
      </c>
      <c r="AE565">
        <v>-11.771412094589801</v>
      </c>
      <c r="AH565">
        <v>-4.6900000000000002E-5</v>
      </c>
    </row>
    <row r="566" spans="1:36" x14ac:dyDescent="0.2">
      <c r="A566" t="s">
        <v>5</v>
      </c>
      <c r="B566">
        <v>5</v>
      </c>
      <c r="C566" s="2">
        <v>43676</v>
      </c>
      <c r="D566" s="13">
        <v>211.43784500000038</v>
      </c>
      <c r="E566" s="13"/>
      <c r="F566" s="4">
        <v>1546.2</v>
      </c>
      <c r="H566">
        <v>5.7</v>
      </c>
      <c r="J566">
        <v>28.33</v>
      </c>
      <c r="L566">
        <v>39.4</v>
      </c>
      <c r="N566">
        <v>0.76</v>
      </c>
      <c r="P566">
        <v>9.2753198863164492</v>
      </c>
      <c r="S566">
        <v>1.68089E-3</v>
      </c>
      <c r="X566" t="s">
        <v>5</v>
      </c>
      <c r="Y566">
        <v>5</v>
      </c>
      <c r="Z566" t="s">
        <v>4</v>
      </c>
      <c r="AA566" s="16">
        <v>43676</v>
      </c>
      <c r="AB566">
        <v>211.43298499999946</v>
      </c>
      <c r="AC566" s="4">
        <v>1523.7</v>
      </c>
      <c r="AE566">
        <v>-12.166529318540301</v>
      </c>
      <c r="AH566">
        <v>1.2E-5</v>
      </c>
    </row>
    <row r="567" spans="1:36" x14ac:dyDescent="0.2">
      <c r="A567" t="s">
        <v>5</v>
      </c>
      <c r="B567">
        <v>1</v>
      </c>
      <c r="C567" s="2">
        <v>43676</v>
      </c>
      <c r="D567" s="13">
        <v>211.5989550000013</v>
      </c>
      <c r="E567" s="13">
        <v>211.61840200000006</v>
      </c>
      <c r="F567" s="4">
        <v>1981.2</v>
      </c>
      <c r="G567" s="4">
        <v>1664.2</v>
      </c>
      <c r="H567">
        <v>2.7</v>
      </c>
      <c r="I567">
        <v>2.2600000000000002</v>
      </c>
      <c r="J567">
        <v>32.78</v>
      </c>
      <c r="K567" s="4">
        <v>32.78</v>
      </c>
      <c r="L567">
        <v>42.1</v>
      </c>
      <c r="M567">
        <v>37.6</v>
      </c>
      <c r="N567">
        <v>0.79</v>
      </c>
      <c r="O567" s="4">
        <v>0.77799999999999991</v>
      </c>
      <c r="P567">
        <v>18.974667096833901</v>
      </c>
      <c r="Q567">
        <v>14.466362833495543</v>
      </c>
      <c r="R567">
        <v>6.7528582823186847</v>
      </c>
      <c r="S567" s="6">
        <v>5.7000000000000003E-5</v>
      </c>
      <c r="T567" s="6">
        <v>8.0186712000000007E-3</v>
      </c>
      <c r="U567" s="6">
        <v>1.6005943107388242E-2</v>
      </c>
      <c r="X567" t="s">
        <v>5</v>
      </c>
      <c r="Y567">
        <v>1</v>
      </c>
      <c r="Z567" t="s">
        <v>4</v>
      </c>
      <c r="AA567" s="16">
        <v>43676</v>
      </c>
      <c r="AB567">
        <v>211.59409500000038</v>
      </c>
      <c r="AC567" s="4">
        <v>1943.7</v>
      </c>
      <c r="AD567" s="4">
        <v>1685.2</v>
      </c>
      <c r="AE567">
        <v>-10.1591803600607</v>
      </c>
      <c r="AF567">
        <v>-7.8375982734717979</v>
      </c>
      <c r="AG567">
        <v>5.3592669176992533</v>
      </c>
      <c r="AH567">
        <v>-1.10314E-4</v>
      </c>
      <c r="AI567">
        <v>7.7012779999999996E-4</v>
      </c>
      <c r="AJ567">
        <v>1.4624648943238603E-3</v>
      </c>
    </row>
    <row r="568" spans="1:36" x14ac:dyDescent="0.2">
      <c r="A568" t="s">
        <v>5</v>
      </c>
      <c r="B568">
        <v>2</v>
      </c>
      <c r="C568" s="2">
        <v>43676</v>
      </c>
      <c r="D568" s="13">
        <v>211.60867999999755</v>
      </c>
      <c r="E568" s="13"/>
      <c r="F568" s="4">
        <v>1948.7</v>
      </c>
      <c r="H568">
        <v>1.9</v>
      </c>
      <c r="J568">
        <v>32.78</v>
      </c>
      <c r="L568">
        <v>36.9</v>
      </c>
      <c r="N568">
        <v>0.79</v>
      </c>
      <c r="P568">
        <v>22.879279729536801</v>
      </c>
      <c r="S568" s="6">
        <v>-3.82E-5</v>
      </c>
      <c r="T568" s="6"/>
      <c r="U568" s="6"/>
      <c r="X568" t="s">
        <v>5</v>
      </c>
      <c r="Y568">
        <v>2</v>
      </c>
      <c r="Z568" t="s">
        <v>4</v>
      </c>
      <c r="AA568" s="16">
        <v>43676</v>
      </c>
      <c r="AB568">
        <v>211.60382000000027</v>
      </c>
      <c r="AC568" s="4">
        <v>1951.2</v>
      </c>
      <c r="AE568">
        <v>-6.2010424550988104</v>
      </c>
      <c r="AH568">
        <v>-2.3713200000000001E-4</v>
      </c>
    </row>
    <row r="569" spans="1:36" x14ac:dyDescent="0.2">
      <c r="A569" t="s">
        <v>5</v>
      </c>
      <c r="B569">
        <v>3</v>
      </c>
      <c r="C569" s="2">
        <v>43676</v>
      </c>
      <c r="D569" s="13">
        <v>211.61840500000108</v>
      </c>
      <c r="E569" s="13"/>
      <c r="F569" s="4">
        <v>821.2</v>
      </c>
      <c r="H569">
        <v>3.9</v>
      </c>
      <c r="J569">
        <v>32.78</v>
      </c>
      <c r="L569">
        <v>32.5</v>
      </c>
      <c r="N569">
        <v>0.79</v>
      </c>
      <c r="P569">
        <v>13.6488800746887</v>
      </c>
      <c r="S569">
        <v>3.400106E-3</v>
      </c>
      <c r="T569" s="6"/>
      <c r="U569" s="6"/>
      <c r="X569" t="s">
        <v>5</v>
      </c>
      <c r="Y569">
        <v>3</v>
      </c>
      <c r="Z569" t="s">
        <v>4</v>
      </c>
      <c r="AA569" s="16">
        <v>43676</v>
      </c>
      <c r="AB569">
        <v>211.61354500000016</v>
      </c>
      <c r="AC569" s="4">
        <v>853.7</v>
      </c>
      <c r="AE569">
        <v>-15.0709546552528</v>
      </c>
      <c r="AH569">
        <v>3.3042829999999999E-3</v>
      </c>
    </row>
    <row r="570" spans="1:36" x14ac:dyDescent="0.2">
      <c r="A570" t="s">
        <v>5</v>
      </c>
      <c r="B570">
        <v>4</v>
      </c>
      <c r="C570" s="2">
        <v>43676</v>
      </c>
      <c r="D570" s="13">
        <v>211.62812499999927</v>
      </c>
      <c r="E570" s="13"/>
      <c r="F570" s="4">
        <v>1841.2</v>
      </c>
      <c r="H570">
        <v>2</v>
      </c>
      <c r="J570">
        <v>32.78</v>
      </c>
      <c r="L570">
        <v>37</v>
      </c>
      <c r="N570">
        <v>0.82</v>
      </c>
      <c r="P570">
        <v>5.4662838206201201</v>
      </c>
      <c r="S570">
        <v>1.41302E-4</v>
      </c>
      <c r="T570" s="6"/>
      <c r="U570" s="6"/>
      <c r="X570" t="s">
        <v>5</v>
      </c>
      <c r="Y570">
        <v>4</v>
      </c>
      <c r="Z570" t="s">
        <v>4</v>
      </c>
      <c r="AA570" s="16">
        <v>43676</v>
      </c>
      <c r="AB570">
        <v>211.62326499999836</v>
      </c>
      <c r="AC570" s="4">
        <v>1961.2</v>
      </c>
      <c r="AE570">
        <v>-0.47641688327447601</v>
      </c>
      <c r="AH570">
        <v>1.8750700000000001E-4</v>
      </c>
    </row>
    <row r="571" spans="1:36" x14ac:dyDescent="0.2">
      <c r="A571" t="s">
        <v>5</v>
      </c>
      <c r="B571">
        <v>5</v>
      </c>
      <c r="C571" s="2">
        <v>43676</v>
      </c>
      <c r="D571" s="13">
        <v>211.63784500000111</v>
      </c>
      <c r="E571" s="13"/>
      <c r="F571" s="4">
        <v>1728.7</v>
      </c>
      <c r="H571">
        <v>0.8</v>
      </c>
      <c r="J571">
        <v>32.78</v>
      </c>
      <c r="L571">
        <v>39.5</v>
      </c>
      <c r="N571">
        <v>0.7</v>
      </c>
      <c r="P571">
        <v>11.3627034457982</v>
      </c>
      <c r="S571">
        <v>3.6533148000000001E-2</v>
      </c>
      <c r="X571" t="s">
        <v>5</v>
      </c>
      <c r="Y571">
        <v>5</v>
      </c>
      <c r="Z571" t="s">
        <v>4</v>
      </c>
      <c r="AA571" s="16">
        <v>43676</v>
      </c>
      <c r="AB571">
        <v>211.63298500000019</v>
      </c>
      <c r="AC571" s="4">
        <v>1716.2</v>
      </c>
      <c r="AE571">
        <v>-7.2803970136722098</v>
      </c>
      <c r="AH571">
        <v>7.0629500000000001E-4</v>
      </c>
    </row>
    <row r="572" spans="1:36" x14ac:dyDescent="0.2">
      <c r="A572" t="s">
        <v>5</v>
      </c>
      <c r="B572">
        <v>1</v>
      </c>
      <c r="C572" s="2">
        <v>43684</v>
      </c>
      <c r="D572" s="13">
        <v>219.44264999999723</v>
      </c>
      <c r="E572" s="13">
        <v>219.46842699999905</v>
      </c>
      <c r="F572" s="4">
        <v>1533.7</v>
      </c>
      <c r="G572" s="4">
        <v>1542.7</v>
      </c>
      <c r="H572">
        <v>3.2</v>
      </c>
      <c r="I572">
        <v>4.8600000000000003</v>
      </c>
      <c r="J572">
        <v>25.56</v>
      </c>
      <c r="K572" s="4">
        <v>25.782</v>
      </c>
      <c r="L572">
        <v>36.1</v>
      </c>
      <c r="M572">
        <v>39.700000000000003</v>
      </c>
      <c r="N572">
        <v>0.84</v>
      </c>
      <c r="O572" s="4">
        <v>0.83200000000000007</v>
      </c>
      <c r="P572">
        <v>29.74967406</v>
      </c>
      <c r="Q572">
        <v>31.283106289999999</v>
      </c>
      <c r="R572">
        <v>12.342846861157199</v>
      </c>
      <c r="S572">
        <v>-5.1838068877268996E-4</v>
      </c>
      <c r="T572" s="6">
        <v>-3.1417011683405102E-4</v>
      </c>
      <c r="U572" s="6">
        <v>1.3988608916711215E-4</v>
      </c>
      <c r="X572" t="s">
        <v>5</v>
      </c>
      <c r="Y572">
        <v>1</v>
      </c>
      <c r="Z572" t="s">
        <v>4</v>
      </c>
      <c r="AA572" s="16">
        <v>43684</v>
      </c>
      <c r="AB572">
        <v>219.43645499999911</v>
      </c>
      <c r="AC572" s="4">
        <v>1506.2</v>
      </c>
      <c r="AD572" s="4">
        <v>1353.7</v>
      </c>
      <c r="AE572">
        <v>-11.55094534</v>
      </c>
      <c r="AF572">
        <v>-8.0188032802000002</v>
      </c>
      <c r="AG572">
        <v>2.9795402715792059</v>
      </c>
      <c r="AH572">
        <v>-1.4078533969754E-4</v>
      </c>
      <c r="AI572">
        <v>-2.398638791460159E-4</v>
      </c>
      <c r="AJ572">
        <v>1.7360192310279812E-4</v>
      </c>
    </row>
    <row r="573" spans="1:36" x14ac:dyDescent="0.2">
      <c r="A573" t="s">
        <v>5</v>
      </c>
      <c r="B573">
        <v>2</v>
      </c>
      <c r="C573" s="2">
        <v>43684</v>
      </c>
      <c r="D573" s="13">
        <v>219.4548649999997</v>
      </c>
      <c r="E573" s="13"/>
      <c r="F573" s="4">
        <v>1688.7</v>
      </c>
      <c r="H573">
        <v>4.7</v>
      </c>
      <c r="J573">
        <v>25.56</v>
      </c>
      <c r="L573">
        <v>40.299999999999997</v>
      </c>
      <c r="N573">
        <v>0.83</v>
      </c>
      <c r="P573">
        <v>35.662731389999998</v>
      </c>
      <c r="S573">
        <v>-3.68135266780737E-4</v>
      </c>
      <c r="T573" s="6"/>
      <c r="U573" s="6"/>
      <c r="X573" t="s">
        <v>5</v>
      </c>
      <c r="Y573">
        <v>2</v>
      </c>
      <c r="Z573" t="s">
        <v>4</v>
      </c>
      <c r="AA573" s="16">
        <v>43684</v>
      </c>
      <c r="AB573">
        <v>219.44855499999903</v>
      </c>
      <c r="AC573" s="4">
        <v>1551.2</v>
      </c>
      <c r="AE573">
        <v>-10.86525003</v>
      </c>
      <c r="AH573">
        <v>-5.3260419271857905E-4</v>
      </c>
    </row>
    <row r="574" spans="1:36" x14ac:dyDescent="0.2">
      <c r="A574" t="s">
        <v>5</v>
      </c>
      <c r="B574">
        <v>3</v>
      </c>
      <c r="C574" s="2">
        <v>43684</v>
      </c>
      <c r="D574" s="13">
        <v>219.46822999999858</v>
      </c>
      <c r="E574" s="13"/>
      <c r="F574" s="4">
        <v>1826.2</v>
      </c>
      <c r="H574">
        <v>7.7</v>
      </c>
      <c r="J574">
        <v>25.56</v>
      </c>
      <c r="L574">
        <v>35.9</v>
      </c>
      <c r="N574">
        <v>0.83</v>
      </c>
      <c r="P574">
        <v>49.679934799999998</v>
      </c>
      <c r="S574">
        <v>-1.4445588037288601E-4</v>
      </c>
      <c r="T574" s="6"/>
      <c r="U574" s="6"/>
      <c r="X574" t="s">
        <v>5</v>
      </c>
      <c r="Y574">
        <v>3</v>
      </c>
      <c r="Z574" t="s">
        <v>4</v>
      </c>
      <c r="AA574" s="16">
        <v>43684</v>
      </c>
      <c r="AB574">
        <v>219.46129500000097</v>
      </c>
      <c r="AC574" s="4">
        <v>1661.2</v>
      </c>
      <c r="AE574">
        <v>-5.0602860859999996</v>
      </c>
      <c r="AH574">
        <v>-2.1667038971766699E-4</v>
      </c>
    </row>
    <row r="575" spans="1:36" x14ac:dyDescent="0.2">
      <c r="A575" t="s">
        <v>5</v>
      </c>
      <c r="B575">
        <v>4</v>
      </c>
      <c r="C575" s="2">
        <v>43684</v>
      </c>
      <c r="D575" s="13">
        <v>219.48159500000111</v>
      </c>
      <c r="E575" s="13"/>
      <c r="F575" s="4">
        <v>746.2</v>
      </c>
      <c r="H575">
        <v>5.2</v>
      </c>
      <c r="J575">
        <v>25.56</v>
      </c>
      <c r="L575">
        <v>44.9</v>
      </c>
      <c r="N575">
        <v>0.82</v>
      </c>
      <c r="P575">
        <v>17.213794400000001</v>
      </c>
      <c r="S575">
        <v>-2.9164924987336598E-4</v>
      </c>
      <c r="T575" s="6"/>
      <c r="U575" s="6"/>
      <c r="X575" t="s">
        <v>5</v>
      </c>
      <c r="Y575">
        <v>4</v>
      </c>
      <c r="Z575" t="s">
        <v>4</v>
      </c>
      <c r="AA575" s="16">
        <v>43684</v>
      </c>
      <c r="AB575">
        <v>219.47476499999902</v>
      </c>
      <c r="AC575" s="4">
        <v>931.2</v>
      </c>
      <c r="AE575">
        <v>-6.7156368459999998</v>
      </c>
      <c r="AH575">
        <v>-8.4027305343072401E-5</v>
      </c>
    </row>
    <row r="576" spans="1:36" x14ac:dyDescent="0.2">
      <c r="A576" t="s">
        <v>5</v>
      </c>
      <c r="B576">
        <v>5</v>
      </c>
      <c r="C576" s="2">
        <v>43684</v>
      </c>
      <c r="D576" s="13">
        <v>219.4947949999987</v>
      </c>
      <c r="E576" s="13"/>
      <c r="F576" s="4">
        <v>1918.7</v>
      </c>
      <c r="H576">
        <v>3.5</v>
      </c>
      <c r="J576">
        <v>26.67</v>
      </c>
      <c r="L576">
        <v>41.3</v>
      </c>
      <c r="N576">
        <v>0.84</v>
      </c>
      <c r="P576">
        <v>24.109396799999999</v>
      </c>
      <c r="S576">
        <v>-2.4822949837057602E-4</v>
      </c>
      <c r="X576" t="s">
        <v>5</v>
      </c>
      <c r="Y576">
        <v>5</v>
      </c>
      <c r="Z576" t="s">
        <v>4</v>
      </c>
      <c r="AA576" s="16">
        <v>43684</v>
      </c>
      <c r="AB576">
        <v>219.48835500000132</v>
      </c>
      <c r="AC576" s="4">
        <v>1118.7</v>
      </c>
      <c r="AE576">
        <v>-5.9018980990000003</v>
      </c>
      <c r="AH576">
        <v>-2.2523216825322099E-4</v>
      </c>
    </row>
    <row r="577" spans="1:36" x14ac:dyDescent="0.2">
      <c r="A577" t="s">
        <v>5</v>
      </c>
      <c r="B577">
        <v>1</v>
      </c>
      <c r="C577" s="2">
        <v>43684</v>
      </c>
      <c r="D577" s="13">
        <v>219.56392499999856</v>
      </c>
      <c r="E577" s="13">
        <v>219.5890370000001</v>
      </c>
      <c r="F577" s="4">
        <v>2156.1999999999998</v>
      </c>
      <c r="G577" s="4">
        <v>1697.7</v>
      </c>
      <c r="H577">
        <v>2.2999999999999998</v>
      </c>
      <c r="I577">
        <v>3.4199999999999995</v>
      </c>
      <c r="J577">
        <v>27.78</v>
      </c>
      <c r="K577" s="4">
        <v>28.224</v>
      </c>
      <c r="L577">
        <v>43.7</v>
      </c>
      <c r="M577">
        <v>42.760000000000005</v>
      </c>
      <c r="N577">
        <v>0.75</v>
      </c>
      <c r="O577" s="4">
        <v>0.77600000000000002</v>
      </c>
      <c r="P577">
        <v>29.838820601966599</v>
      </c>
      <c r="Q577">
        <v>28.23394911029078</v>
      </c>
      <c r="R577">
        <v>8.870551405387781</v>
      </c>
      <c r="S577">
        <v>-2.8870499999999999E-4</v>
      </c>
      <c r="T577" s="6">
        <v>1.35245468E-3</v>
      </c>
      <c r="U577" s="6">
        <v>3.1876817045957727E-3</v>
      </c>
      <c r="X577" t="s">
        <v>5</v>
      </c>
      <c r="Y577">
        <v>1</v>
      </c>
      <c r="Z577" t="s">
        <v>4</v>
      </c>
      <c r="AA577" s="16">
        <v>43684</v>
      </c>
      <c r="AB577">
        <v>219.55834500000128</v>
      </c>
      <c r="AC577" s="4">
        <v>1656.2</v>
      </c>
      <c r="AD577" s="4">
        <v>1347.2</v>
      </c>
      <c r="AE577">
        <v>-6.0011252749491399</v>
      </c>
      <c r="AF577">
        <v>-5.6948073219345963</v>
      </c>
      <c r="AG577">
        <v>1.4637662412583308</v>
      </c>
      <c r="AH577">
        <v>-2.9499999999999999E-5</v>
      </c>
      <c r="AI577">
        <v>-6.1433807999999998E-4</v>
      </c>
      <c r="AJ577">
        <v>1.2474240473736014E-3</v>
      </c>
    </row>
    <row r="578" spans="1:36" x14ac:dyDescent="0.2">
      <c r="A578" t="s">
        <v>5</v>
      </c>
      <c r="B578">
        <v>2</v>
      </c>
      <c r="C578" s="2">
        <v>43684</v>
      </c>
      <c r="D578" s="13">
        <v>219.57636500000081</v>
      </c>
      <c r="E578" s="13"/>
      <c r="F578" s="4">
        <v>1198.7</v>
      </c>
      <c r="H578">
        <v>2.2999999999999998</v>
      </c>
      <c r="J578">
        <v>27.78</v>
      </c>
      <c r="L578">
        <v>40.299999999999997</v>
      </c>
      <c r="N578">
        <v>0.75</v>
      </c>
      <c r="P578">
        <v>30.526116590412499</v>
      </c>
      <c r="S578">
        <v>7.0503600000000003E-3</v>
      </c>
      <c r="T578" s="6"/>
      <c r="U578" s="6"/>
      <c r="X578" t="s">
        <v>5</v>
      </c>
      <c r="Y578">
        <v>2</v>
      </c>
      <c r="Z578" t="s">
        <v>4</v>
      </c>
      <c r="AA578" s="16">
        <v>43684</v>
      </c>
      <c r="AB578">
        <v>219.56979499999943</v>
      </c>
      <c r="AC578" s="4">
        <v>656.2</v>
      </c>
      <c r="AE578">
        <v>-4.0152110405527699</v>
      </c>
      <c r="AH578">
        <v>-2.0147599999999999E-4</v>
      </c>
    </row>
    <row r="579" spans="1:36" x14ac:dyDescent="0.2">
      <c r="A579" t="s">
        <v>5</v>
      </c>
      <c r="B579">
        <v>3</v>
      </c>
      <c r="C579" s="2">
        <v>43684</v>
      </c>
      <c r="D579" s="13">
        <v>219.58909499999936</v>
      </c>
      <c r="E579" s="13"/>
      <c r="F579" s="4">
        <v>1773.7</v>
      </c>
      <c r="H579">
        <v>7.7</v>
      </c>
      <c r="J579">
        <v>27.78</v>
      </c>
      <c r="L579">
        <v>37.700000000000003</v>
      </c>
      <c r="N579">
        <v>0.81</v>
      </c>
      <c r="P579">
        <v>40.198948508238502</v>
      </c>
      <c r="S579" s="6">
        <v>2.05E-7</v>
      </c>
      <c r="T579" s="6"/>
      <c r="U579" s="6"/>
      <c r="X579" t="s">
        <v>5</v>
      </c>
      <c r="Y579">
        <v>3</v>
      </c>
      <c r="Z579" t="s">
        <v>4</v>
      </c>
      <c r="AA579" s="16">
        <v>43684</v>
      </c>
      <c r="AB579">
        <v>219.58268500000122</v>
      </c>
      <c r="AC579" s="4">
        <v>1683.7</v>
      </c>
      <c r="AE579">
        <v>-7.7665341065816298</v>
      </c>
      <c r="AH579">
        <v>-2.84075E-3</v>
      </c>
    </row>
    <row r="580" spans="1:36" x14ac:dyDescent="0.2">
      <c r="A580" t="s">
        <v>5</v>
      </c>
      <c r="B580">
        <v>4</v>
      </c>
      <c r="C580" s="2">
        <v>43684</v>
      </c>
      <c r="D580" s="13">
        <v>219.60156500000085</v>
      </c>
      <c r="E580" s="13"/>
      <c r="F580" s="4">
        <v>1698.7</v>
      </c>
      <c r="H580">
        <v>3.9</v>
      </c>
      <c r="J580">
        <v>28.89</v>
      </c>
      <c r="L580">
        <v>49.6</v>
      </c>
      <c r="N580">
        <v>0.81</v>
      </c>
      <c r="P580">
        <v>15.946684783885001</v>
      </c>
      <c r="S580" s="6">
        <v>3.9700000000000002E-7</v>
      </c>
      <c r="T580" s="6"/>
      <c r="U580" s="6"/>
      <c r="X580" t="s">
        <v>5</v>
      </c>
      <c r="Y580">
        <v>4</v>
      </c>
      <c r="Z580" t="s">
        <v>4</v>
      </c>
      <c r="AA580" s="16">
        <v>43684</v>
      </c>
      <c r="AB580">
        <v>219.59522000000288</v>
      </c>
      <c r="AC580" s="4">
        <v>1921.2</v>
      </c>
      <c r="AE580">
        <v>-4.5973835595273496</v>
      </c>
      <c r="AH580">
        <v>-4.07E-8</v>
      </c>
    </row>
    <row r="581" spans="1:36" x14ac:dyDescent="0.2">
      <c r="A581" t="s">
        <v>5</v>
      </c>
      <c r="B581">
        <v>5</v>
      </c>
      <c r="C581" s="2">
        <v>43684</v>
      </c>
      <c r="D581" s="13">
        <v>219.61423500000092</v>
      </c>
      <c r="E581" s="13"/>
      <c r="F581" s="4">
        <v>1661.2</v>
      </c>
      <c r="H581">
        <v>0.9</v>
      </c>
      <c r="J581">
        <v>28.89</v>
      </c>
      <c r="L581">
        <v>42.5</v>
      </c>
      <c r="N581">
        <v>0.76</v>
      </c>
      <c r="P581">
        <v>24.659175066951299</v>
      </c>
      <c r="S581" s="6">
        <v>1.6400000000000001E-8</v>
      </c>
      <c r="X581" t="s">
        <v>5</v>
      </c>
      <c r="Y581">
        <v>5</v>
      </c>
      <c r="Z581" t="s">
        <v>4</v>
      </c>
      <c r="AA581" s="16">
        <v>43684</v>
      </c>
      <c r="AB581">
        <v>219.60786999999982</v>
      </c>
      <c r="AC581" s="4">
        <v>818.7</v>
      </c>
      <c r="AE581">
        <v>-6.0937826280620904</v>
      </c>
      <c r="AH581">
        <v>7.6300000000000002E-8</v>
      </c>
    </row>
    <row r="582" spans="1:36" x14ac:dyDescent="0.2">
      <c r="A582" t="s">
        <v>5</v>
      </c>
      <c r="B582">
        <v>1</v>
      </c>
      <c r="C582" s="2">
        <v>43689</v>
      </c>
      <c r="D582" s="13">
        <v>224.44843499999843</v>
      </c>
      <c r="E582" s="13">
        <v>224.47804799999867</v>
      </c>
      <c r="F582" s="4">
        <v>1523.7</v>
      </c>
      <c r="G582" s="4">
        <v>1650.2</v>
      </c>
      <c r="H582">
        <v>2.2999999999999998</v>
      </c>
      <c r="I582">
        <v>2</v>
      </c>
      <c r="J582">
        <v>22.22</v>
      </c>
      <c r="K582" s="4">
        <v>24.553999999999998</v>
      </c>
      <c r="L582">
        <v>34.700000000000003</v>
      </c>
      <c r="M582">
        <v>38.96</v>
      </c>
      <c r="N582">
        <v>0.67</v>
      </c>
      <c r="O582" s="4">
        <v>0.72200000000000009</v>
      </c>
      <c r="P582">
        <v>24.628849142218701</v>
      </c>
      <c r="Q582">
        <v>27.958890848209318</v>
      </c>
      <c r="R582">
        <v>15.336574990901495</v>
      </c>
      <c r="S582">
        <v>-2.2737899999999999E-4</v>
      </c>
      <c r="T582" s="6">
        <v>-2.3745659999999997E-4</v>
      </c>
      <c r="U582" s="6">
        <v>7.3524173329592781E-5</v>
      </c>
      <c r="X582" t="s">
        <v>5</v>
      </c>
      <c r="Y582">
        <v>1</v>
      </c>
      <c r="Z582" t="s">
        <v>4</v>
      </c>
      <c r="AA582" s="16">
        <v>43689</v>
      </c>
      <c r="AB582">
        <v>224.44236499999897</v>
      </c>
      <c r="AC582" s="4">
        <v>1493.7</v>
      </c>
      <c r="AD582" s="4">
        <v>1623.2</v>
      </c>
      <c r="AE582">
        <v>3.8178373613970198</v>
      </c>
      <c r="AF582">
        <v>4.237572613337834</v>
      </c>
      <c r="AG582">
        <v>3.3058915462686396</v>
      </c>
      <c r="AH582">
        <v>-3.43641E-4</v>
      </c>
      <c r="AI582">
        <v>-1.989828E-4</v>
      </c>
      <c r="AJ582">
        <v>1.2037234943166972E-4</v>
      </c>
    </row>
    <row r="583" spans="1:36" x14ac:dyDescent="0.2">
      <c r="A583" t="s">
        <v>5</v>
      </c>
      <c r="B583">
        <v>2</v>
      </c>
      <c r="C583" s="2">
        <v>43689</v>
      </c>
      <c r="D583" s="13">
        <v>224.46253499999875</v>
      </c>
      <c r="E583" s="13"/>
      <c r="F583" s="4">
        <v>1596.2</v>
      </c>
      <c r="H583">
        <v>2.2999999999999998</v>
      </c>
      <c r="J583">
        <v>22.22</v>
      </c>
      <c r="L583">
        <v>42</v>
      </c>
      <c r="N583">
        <v>0.76</v>
      </c>
      <c r="P583">
        <v>31.032681325649399</v>
      </c>
      <c r="S583">
        <v>-3.5870800000000001E-4</v>
      </c>
      <c r="T583" s="6"/>
      <c r="U583" s="6"/>
      <c r="X583" t="s">
        <v>5</v>
      </c>
      <c r="Y583">
        <v>2</v>
      </c>
      <c r="Z583" t="s">
        <v>4</v>
      </c>
      <c r="AA583" s="16">
        <v>43689</v>
      </c>
      <c r="AB583">
        <v>224.45520499999839</v>
      </c>
      <c r="AC583" s="4">
        <v>1558.7</v>
      </c>
      <c r="AE583">
        <v>3.9425131469966002</v>
      </c>
      <c r="AH583">
        <v>-1.3715900000000001E-4</v>
      </c>
    </row>
    <row r="584" spans="1:36" x14ac:dyDescent="0.2">
      <c r="A584" t="s">
        <v>5</v>
      </c>
      <c r="B584">
        <v>3</v>
      </c>
      <c r="C584" s="2">
        <v>43689</v>
      </c>
      <c r="D584" s="13">
        <v>224.4783099999986</v>
      </c>
      <c r="E584" s="13"/>
      <c r="F584" s="4">
        <v>1663.7</v>
      </c>
      <c r="H584">
        <v>2.7</v>
      </c>
      <c r="J584">
        <v>26.11</v>
      </c>
      <c r="L584">
        <v>39.200000000000003</v>
      </c>
      <c r="N584">
        <v>0.77</v>
      </c>
      <c r="P584">
        <v>51.876571489484</v>
      </c>
      <c r="S584">
        <v>-2.3324000000000001E-4</v>
      </c>
      <c r="T584" s="6"/>
      <c r="U584" s="6"/>
      <c r="X584" t="s">
        <v>5</v>
      </c>
      <c r="Y584">
        <v>3</v>
      </c>
      <c r="Z584" t="s">
        <v>4</v>
      </c>
      <c r="AA584" s="16">
        <v>43689</v>
      </c>
      <c r="AB584">
        <v>224.47083500000008</v>
      </c>
      <c r="AC584" s="4">
        <v>1618.7</v>
      </c>
      <c r="AE584">
        <v>9.7513825330575905</v>
      </c>
      <c r="AH584">
        <v>-3.1439199999999998E-4</v>
      </c>
    </row>
    <row r="585" spans="1:36" x14ac:dyDescent="0.2">
      <c r="A585" t="s">
        <v>5</v>
      </c>
      <c r="B585">
        <v>4</v>
      </c>
      <c r="C585" s="2">
        <v>43689</v>
      </c>
      <c r="D585" s="13">
        <v>224.49279999999999</v>
      </c>
      <c r="E585" s="13"/>
      <c r="F585" s="4">
        <v>1711.2</v>
      </c>
      <c r="H585">
        <v>2.2999999999999998</v>
      </c>
      <c r="J585">
        <v>26.11</v>
      </c>
      <c r="L585">
        <v>37.1</v>
      </c>
      <c r="N585">
        <v>0.67</v>
      </c>
      <c r="P585">
        <v>10.2836190175361</v>
      </c>
      <c r="S585">
        <v>-1.6071799999999999E-4</v>
      </c>
      <c r="T585" s="6"/>
      <c r="U585" s="6"/>
      <c r="X585" t="s">
        <v>5</v>
      </c>
      <c r="Y585">
        <v>4</v>
      </c>
      <c r="Z585" t="s">
        <v>4</v>
      </c>
      <c r="AA585" s="16">
        <v>43689</v>
      </c>
      <c r="AB585">
        <v>224.48595000000205</v>
      </c>
      <c r="AC585" s="4">
        <v>1683.7</v>
      </c>
      <c r="AE585">
        <v>0.961975802050968</v>
      </c>
      <c r="AH585">
        <v>-1.10822E-4</v>
      </c>
    </row>
    <row r="586" spans="1:36" x14ac:dyDescent="0.2">
      <c r="A586" t="s">
        <v>5</v>
      </c>
      <c r="B586">
        <v>5</v>
      </c>
      <c r="C586" s="2">
        <v>43689</v>
      </c>
      <c r="D586" s="13">
        <v>224.50815999999759</v>
      </c>
      <c r="E586" s="13"/>
      <c r="F586" s="4">
        <v>1756.2</v>
      </c>
      <c r="H586">
        <v>0.4</v>
      </c>
      <c r="J586">
        <v>26.11</v>
      </c>
      <c r="L586">
        <v>41.8</v>
      </c>
      <c r="N586">
        <v>0.74</v>
      </c>
      <c r="P586">
        <v>21.9727332661584</v>
      </c>
      <c r="S586">
        <v>-2.07238E-4</v>
      </c>
      <c r="X586" t="s">
        <v>5</v>
      </c>
      <c r="Y586">
        <v>5</v>
      </c>
      <c r="Z586" t="s">
        <v>4</v>
      </c>
      <c r="AA586" s="16">
        <v>43689</v>
      </c>
      <c r="AB586">
        <v>224.50019500000053</v>
      </c>
      <c r="AC586" s="4">
        <v>1761.2</v>
      </c>
      <c r="AE586">
        <v>2.71415422318699</v>
      </c>
      <c r="AH586">
        <v>-8.8900000000000006E-5</v>
      </c>
    </row>
    <row r="587" spans="1:36" x14ac:dyDescent="0.2">
      <c r="A587" t="s">
        <v>5</v>
      </c>
      <c r="B587">
        <v>1</v>
      </c>
      <c r="C587" s="2">
        <v>43689</v>
      </c>
      <c r="D587" s="13">
        <v>224.57719999999972</v>
      </c>
      <c r="E587" s="13">
        <v>224.60683500000087</v>
      </c>
      <c r="F587" s="4">
        <v>1626.2</v>
      </c>
      <c r="G587" s="4">
        <v>1302.7</v>
      </c>
      <c r="H587">
        <v>1.3</v>
      </c>
      <c r="I587">
        <v>2.4</v>
      </c>
      <c r="J587">
        <v>28.33</v>
      </c>
      <c r="K587" s="4">
        <v>28.995999999999999</v>
      </c>
      <c r="L587">
        <v>41.1</v>
      </c>
      <c r="M587">
        <v>39.14</v>
      </c>
      <c r="N587">
        <v>0.66</v>
      </c>
      <c r="O587" s="4">
        <v>0.71599999999999997</v>
      </c>
      <c r="P587">
        <v>23.25149923</v>
      </c>
      <c r="Q587">
        <v>28.105277282000003</v>
      </c>
      <c r="R587">
        <v>16.506494815727635</v>
      </c>
      <c r="S587">
        <v>-2.5638400000000002E-4</v>
      </c>
      <c r="T587" s="6">
        <v>-2.6775380000000002E-4</v>
      </c>
      <c r="U587" s="6">
        <v>1.034745372867161E-4</v>
      </c>
      <c r="X587" t="s">
        <v>5</v>
      </c>
      <c r="Y587">
        <v>1</v>
      </c>
      <c r="Z587" t="s">
        <v>4</v>
      </c>
      <c r="AA587" s="16">
        <v>43689</v>
      </c>
      <c r="AB587">
        <v>224.57031500000085</v>
      </c>
      <c r="AC587" s="4">
        <v>1783.7</v>
      </c>
      <c r="AD587" s="4">
        <v>1616.2</v>
      </c>
      <c r="AE587">
        <v>7.3649887720000002</v>
      </c>
      <c r="AF587">
        <v>5.2434470161999993</v>
      </c>
      <c r="AG587">
        <v>4.6448630084134432</v>
      </c>
      <c r="AH587">
        <v>-1.9052199999999999E-4</v>
      </c>
      <c r="AI587">
        <v>-1.8762060000000001E-4</v>
      </c>
      <c r="AJ587">
        <v>1.1327587912172654E-4</v>
      </c>
    </row>
    <row r="588" spans="1:36" x14ac:dyDescent="0.2">
      <c r="A588" t="s">
        <v>5</v>
      </c>
      <c r="B588">
        <v>2</v>
      </c>
      <c r="C588" s="2">
        <v>43689</v>
      </c>
      <c r="D588" s="13">
        <v>224.59270499999911</v>
      </c>
      <c r="E588" s="13"/>
      <c r="F588" s="4">
        <v>1718.7</v>
      </c>
      <c r="H588">
        <v>1.4</v>
      </c>
      <c r="J588">
        <v>28.33</v>
      </c>
      <c r="L588">
        <v>39.299999999999997</v>
      </c>
      <c r="N588">
        <v>0.75</v>
      </c>
      <c r="P588">
        <v>37.2419692</v>
      </c>
      <c r="S588">
        <v>-4.42781E-4</v>
      </c>
      <c r="T588" s="6"/>
      <c r="U588" s="6"/>
      <c r="X588" t="s">
        <v>5</v>
      </c>
      <c r="Y588">
        <v>2</v>
      </c>
      <c r="Z588" t="s">
        <v>4</v>
      </c>
      <c r="AA588" s="16">
        <v>43689</v>
      </c>
      <c r="AB588">
        <v>224.58467500000188</v>
      </c>
      <c r="AC588" s="4">
        <v>1788.7</v>
      </c>
      <c r="AE588">
        <v>6.2397755239999997</v>
      </c>
      <c r="AH588">
        <v>-2.18889E-4</v>
      </c>
    </row>
    <row r="589" spans="1:36" x14ac:dyDescent="0.2">
      <c r="A589" t="s">
        <v>5</v>
      </c>
      <c r="B589">
        <v>3</v>
      </c>
      <c r="C589" s="2">
        <v>43689</v>
      </c>
      <c r="D589" s="13">
        <v>224.60829500000182</v>
      </c>
      <c r="E589" s="13"/>
      <c r="F589" s="4">
        <v>1276.2</v>
      </c>
      <c r="H589">
        <v>4.3</v>
      </c>
      <c r="J589">
        <v>29.44</v>
      </c>
      <c r="L589">
        <v>37.6</v>
      </c>
      <c r="N589">
        <v>0.72</v>
      </c>
      <c r="P589">
        <v>51.773815880000001</v>
      </c>
      <c r="S589">
        <v>-2.5520300000000002E-4</v>
      </c>
      <c r="T589" s="6"/>
      <c r="U589" s="6"/>
      <c r="X589" t="s">
        <v>5</v>
      </c>
      <c r="Y589">
        <v>3</v>
      </c>
      <c r="Z589" t="s">
        <v>4</v>
      </c>
      <c r="AA589" s="16">
        <v>43689</v>
      </c>
      <c r="AB589">
        <v>224.60051999999996</v>
      </c>
      <c r="AC589" s="4">
        <v>1723.7</v>
      </c>
      <c r="AE589">
        <v>11.2515553</v>
      </c>
      <c r="AH589">
        <v>-3.4172800000000002E-4</v>
      </c>
    </row>
    <row r="590" spans="1:36" x14ac:dyDescent="0.2">
      <c r="A590" t="s">
        <v>5</v>
      </c>
      <c r="B590">
        <v>4</v>
      </c>
      <c r="C590" s="2">
        <v>43689</v>
      </c>
      <c r="D590" s="13">
        <v>224.62118000000191</v>
      </c>
      <c r="E590" s="13"/>
      <c r="F590" s="4">
        <v>633.70000000000005</v>
      </c>
      <c r="H590">
        <v>1.9</v>
      </c>
      <c r="J590">
        <v>29.44</v>
      </c>
      <c r="L590">
        <v>39.200000000000003</v>
      </c>
      <c r="N590">
        <v>0.71</v>
      </c>
      <c r="P590">
        <v>10.13095023</v>
      </c>
      <c r="S590">
        <v>-2.07853E-4</v>
      </c>
      <c r="T590" s="6"/>
      <c r="U590" s="6"/>
      <c r="X590" t="s">
        <v>5</v>
      </c>
      <c r="Y590">
        <v>4</v>
      </c>
      <c r="Z590" t="s">
        <v>4</v>
      </c>
      <c r="AA590" s="16">
        <v>43689</v>
      </c>
      <c r="AB590">
        <v>224.61497500000041</v>
      </c>
      <c r="AC590" s="4">
        <v>1231.2</v>
      </c>
      <c r="AE590">
        <v>1.9186605080000001</v>
      </c>
      <c r="AH590">
        <v>-1.6006399999999999E-4</v>
      </c>
    </row>
    <row r="591" spans="1:36" x14ac:dyDescent="0.2">
      <c r="A591" t="s">
        <v>5</v>
      </c>
      <c r="B591">
        <v>5</v>
      </c>
      <c r="C591" s="2">
        <v>43689</v>
      </c>
      <c r="D591" s="13">
        <v>224.63479500000176</v>
      </c>
      <c r="E591" s="13"/>
      <c r="F591" s="4">
        <v>1258.7</v>
      </c>
      <c r="H591">
        <v>3.1</v>
      </c>
      <c r="J591">
        <v>29.44</v>
      </c>
      <c r="L591">
        <v>38.5</v>
      </c>
      <c r="N591">
        <v>0.74</v>
      </c>
      <c r="P591">
        <v>18.12815187</v>
      </c>
      <c r="S591">
        <v>-1.76548E-4</v>
      </c>
      <c r="X591" t="s">
        <v>5</v>
      </c>
      <c r="Y591">
        <v>5</v>
      </c>
      <c r="Z591" t="s">
        <v>4</v>
      </c>
      <c r="AA591" s="16">
        <v>43689</v>
      </c>
      <c r="AB591">
        <v>224.62781499999983</v>
      </c>
      <c r="AC591" s="4">
        <v>1553.7</v>
      </c>
      <c r="AE591">
        <v>-0.55774502299999995</v>
      </c>
      <c r="AH591">
        <v>-2.69E-5</v>
      </c>
    </row>
    <row r="592" spans="1:36" x14ac:dyDescent="0.2">
      <c r="A592" t="s">
        <v>5</v>
      </c>
      <c r="B592">
        <v>1</v>
      </c>
      <c r="C592" s="2">
        <v>43693</v>
      </c>
      <c r="D592" s="13">
        <v>228.53315999999904</v>
      </c>
      <c r="E592" s="13">
        <v>228.55357699999951</v>
      </c>
      <c r="F592" s="4">
        <v>1841.2</v>
      </c>
      <c r="G592" s="4">
        <v>1593.7</v>
      </c>
      <c r="H592">
        <v>2</v>
      </c>
      <c r="I592">
        <v>2.9200000000000004</v>
      </c>
      <c r="J592">
        <v>25</v>
      </c>
      <c r="K592" s="4">
        <v>25.222000000000001</v>
      </c>
      <c r="L592">
        <v>44.4</v>
      </c>
      <c r="M592">
        <v>42.84</v>
      </c>
      <c r="N592">
        <v>0.73</v>
      </c>
      <c r="O592" s="4">
        <v>0.72199999999999998</v>
      </c>
      <c r="P592">
        <v>22.199886513472201</v>
      </c>
      <c r="Q592">
        <v>23.537530751497819</v>
      </c>
      <c r="R592">
        <v>11.299649688253036</v>
      </c>
      <c r="S592">
        <v>-4.35224883955791E-4</v>
      </c>
      <c r="T592" s="6">
        <v>-1.5010562135803058E-4</v>
      </c>
      <c r="U592" s="6">
        <v>1.8447386614948812E-4</v>
      </c>
      <c r="X592" t="s">
        <v>5</v>
      </c>
      <c r="Y592">
        <v>1</v>
      </c>
      <c r="Z592" t="s">
        <v>4</v>
      </c>
      <c r="AA592" s="16">
        <v>43693</v>
      </c>
      <c r="AB592">
        <v>228.52823999999964</v>
      </c>
      <c r="AC592" s="4">
        <v>1916.2</v>
      </c>
      <c r="AD592" s="4">
        <v>1824.2</v>
      </c>
      <c r="AE592">
        <v>-0.95211265776332499</v>
      </c>
      <c r="AF592">
        <v>0.17074605404362311</v>
      </c>
      <c r="AG592">
        <v>2.6655919010225375</v>
      </c>
      <c r="AH592">
        <v>-7.8287875451922196E-5</v>
      </c>
      <c r="AI592">
        <v>-1.081744144392752E-4</v>
      </c>
      <c r="AJ592">
        <v>1.9819074691683258E-4</v>
      </c>
    </row>
    <row r="593" spans="1:36" x14ac:dyDescent="0.2">
      <c r="A593" t="s">
        <v>5</v>
      </c>
      <c r="B593">
        <v>2</v>
      </c>
      <c r="C593" s="2">
        <v>43693</v>
      </c>
      <c r="D593" s="13">
        <v>228.5436950000003</v>
      </c>
      <c r="E593" s="13"/>
      <c r="F593" s="4">
        <v>1011.2</v>
      </c>
      <c r="H593">
        <v>2.9</v>
      </c>
      <c r="J593">
        <v>25</v>
      </c>
      <c r="L593">
        <v>41.4</v>
      </c>
      <c r="N593">
        <v>0.71</v>
      </c>
      <c r="P593">
        <v>27.371432810179101</v>
      </c>
      <c r="S593">
        <v>-2.2668220904701399E-4</v>
      </c>
      <c r="T593" s="6"/>
      <c r="U593" s="6"/>
      <c r="X593" t="s">
        <v>5</v>
      </c>
      <c r="Y593">
        <v>2</v>
      </c>
      <c r="Z593" t="s">
        <v>4</v>
      </c>
      <c r="AA593" s="16">
        <v>43693</v>
      </c>
      <c r="AB593">
        <v>228.53859999999986</v>
      </c>
      <c r="AC593" s="4">
        <v>1806.2</v>
      </c>
      <c r="AE593">
        <v>2.5696687816874202</v>
      </c>
      <c r="AH593">
        <v>-3.21976805227636E-4</v>
      </c>
    </row>
    <row r="594" spans="1:36" x14ac:dyDescent="0.2">
      <c r="A594" t="s">
        <v>5</v>
      </c>
      <c r="B594">
        <v>3</v>
      </c>
      <c r="C594" s="2">
        <v>43693</v>
      </c>
      <c r="D594" s="13">
        <v>228.55364499999996</v>
      </c>
      <c r="E594" s="13"/>
      <c r="F594" s="4">
        <v>1303.7</v>
      </c>
      <c r="H594">
        <v>2.2000000000000002</v>
      </c>
      <c r="J594">
        <v>25</v>
      </c>
      <c r="L594">
        <v>42.5</v>
      </c>
      <c r="N594">
        <v>0.71</v>
      </c>
      <c r="P594">
        <v>40.2021090529989</v>
      </c>
      <c r="S594" s="6">
        <v>-4.24624719624299E-5</v>
      </c>
      <c r="T594" s="6"/>
      <c r="U594" s="6"/>
      <c r="X594" t="s">
        <v>5</v>
      </c>
      <c r="Y594">
        <v>3</v>
      </c>
      <c r="Z594" t="s">
        <v>4</v>
      </c>
      <c r="AA594" s="16">
        <v>43693</v>
      </c>
      <c r="AB594">
        <v>228.54878499999904</v>
      </c>
      <c r="AC594" s="4">
        <v>1456.2</v>
      </c>
      <c r="AE594">
        <v>3.2857712378822699</v>
      </c>
      <c r="AH594">
        <v>-2.72380814163273E-4</v>
      </c>
    </row>
    <row r="595" spans="1:36" x14ac:dyDescent="0.2">
      <c r="A595" t="s">
        <v>5</v>
      </c>
      <c r="B595">
        <v>4</v>
      </c>
      <c r="C595" s="2">
        <v>43693</v>
      </c>
      <c r="D595" s="13">
        <v>228.56388999999763</v>
      </c>
      <c r="E595" s="13"/>
      <c r="F595" s="4">
        <v>1908.7</v>
      </c>
      <c r="H595">
        <v>4.3</v>
      </c>
      <c r="J595">
        <v>25</v>
      </c>
      <c r="L595">
        <v>41.9</v>
      </c>
      <c r="N595">
        <v>0.78</v>
      </c>
      <c r="P595">
        <v>9.8973562452043993</v>
      </c>
      <c r="S595" s="6">
        <v>2.7453027943480002E-5</v>
      </c>
      <c r="T595" s="6"/>
      <c r="U595" s="6"/>
      <c r="X595" t="s">
        <v>5</v>
      </c>
      <c r="Y595">
        <v>4</v>
      </c>
      <c r="Z595" t="s">
        <v>4</v>
      </c>
      <c r="AA595" s="16">
        <v>43693</v>
      </c>
      <c r="AB595">
        <v>228.55902499999866</v>
      </c>
      <c r="AC595" s="4">
        <v>2038.7</v>
      </c>
      <c r="AE595">
        <v>-1.00949939884317</v>
      </c>
      <c r="AH595">
        <v>-4.1247149851961901E-5</v>
      </c>
    </row>
    <row r="596" spans="1:36" x14ac:dyDescent="0.2">
      <c r="A596" t="s">
        <v>5</v>
      </c>
      <c r="B596">
        <v>5</v>
      </c>
      <c r="C596" s="2">
        <v>43693</v>
      </c>
      <c r="D596" s="13">
        <v>228.57349500000055</v>
      </c>
      <c r="E596" s="13"/>
      <c r="F596" s="4">
        <v>1903.7</v>
      </c>
      <c r="H596">
        <v>3.2</v>
      </c>
      <c r="J596">
        <v>26.11</v>
      </c>
      <c r="L596">
        <v>44</v>
      </c>
      <c r="N596">
        <v>0.68</v>
      </c>
      <c r="P596">
        <v>18.016869135634501</v>
      </c>
      <c r="S596" s="6">
        <v>-7.3611569768397905E-5</v>
      </c>
      <c r="X596" t="s">
        <v>5</v>
      </c>
      <c r="Y596">
        <v>5</v>
      </c>
      <c r="Z596" t="s">
        <v>4</v>
      </c>
      <c r="AA596" s="16">
        <v>43693</v>
      </c>
      <c r="AB596">
        <v>228.5684050000018</v>
      </c>
      <c r="AC596" s="4">
        <v>1903.7</v>
      </c>
      <c r="AE596">
        <v>-3.0400976927450798</v>
      </c>
      <c r="AH596">
        <v>1.7302057249841699E-4</v>
      </c>
    </row>
    <row r="597" spans="1:36" x14ac:dyDescent="0.2">
      <c r="A597" t="s">
        <v>5</v>
      </c>
      <c r="B597">
        <v>1</v>
      </c>
      <c r="C597" s="2">
        <v>43693</v>
      </c>
      <c r="D597" s="13">
        <v>228.62494499999957</v>
      </c>
      <c r="E597" s="13">
        <v>228.64512799999866</v>
      </c>
      <c r="F597" s="4">
        <v>1576.2</v>
      </c>
      <c r="G597" s="4">
        <v>1453.2</v>
      </c>
      <c r="H597">
        <v>3.9</v>
      </c>
      <c r="I597">
        <v>3.9</v>
      </c>
      <c r="J597">
        <v>26.67</v>
      </c>
      <c r="K597" s="4">
        <v>27.113999999999997</v>
      </c>
      <c r="L597">
        <v>42.3</v>
      </c>
      <c r="M597">
        <v>42.4</v>
      </c>
      <c r="N597">
        <v>0.74</v>
      </c>
      <c r="O597" s="4">
        <v>0.73799999999999999</v>
      </c>
      <c r="P597">
        <v>15.601741367958301</v>
      </c>
      <c r="Q597">
        <v>17.268798684002942</v>
      </c>
      <c r="R597">
        <v>7.0728501666480739</v>
      </c>
      <c r="S597" s="6">
        <v>-3.7615512864046402E-5</v>
      </c>
      <c r="T597" s="6">
        <v>-3.1792433994549963E-5</v>
      </c>
      <c r="U597" s="6">
        <v>9.8035768184710604E-5</v>
      </c>
      <c r="X597" t="s">
        <v>5</v>
      </c>
      <c r="Y597">
        <v>1</v>
      </c>
      <c r="Z597" t="s">
        <v>4</v>
      </c>
      <c r="AA597" s="16">
        <v>43693</v>
      </c>
      <c r="AB597">
        <v>228.61688499999946</v>
      </c>
      <c r="AC597" s="4">
        <v>1588.7</v>
      </c>
      <c r="AD597" s="4">
        <v>1486.7</v>
      </c>
      <c r="AE597">
        <v>-1.2291192935136599</v>
      </c>
      <c r="AF597">
        <v>-0.42502651112679113</v>
      </c>
      <c r="AG597">
        <v>2.4478949745082548</v>
      </c>
      <c r="AH597">
        <v>-1.9753956327653199E-4</v>
      </c>
      <c r="AI597">
        <v>-6.0078252628387674E-5</v>
      </c>
      <c r="AJ597">
        <v>1.0693774564067671E-4</v>
      </c>
    </row>
    <row r="598" spans="1:36" x14ac:dyDescent="0.2">
      <c r="A598" t="s">
        <v>5</v>
      </c>
      <c r="B598">
        <v>2</v>
      </c>
      <c r="C598" s="2">
        <v>43693</v>
      </c>
      <c r="D598" s="13">
        <v>228.63518499999918</v>
      </c>
      <c r="E598" s="13"/>
      <c r="F598" s="4">
        <v>1503.7</v>
      </c>
      <c r="H598">
        <v>3.1</v>
      </c>
      <c r="J598">
        <v>26.67</v>
      </c>
      <c r="L598">
        <v>42.1</v>
      </c>
      <c r="N598">
        <v>0.73</v>
      </c>
      <c r="P598">
        <v>21.281817162693098</v>
      </c>
      <c r="S598" s="6">
        <v>-4.5496489935444502E-5</v>
      </c>
      <c r="T598" s="6"/>
      <c r="U598" s="6"/>
      <c r="X598" t="s">
        <v>5</v>
      </c>
      <c r="Y598">
        <v>2</v>
      </c>
      <c r="Z598" t="s">
        <v>4</v>
      </c>
      <c r="AA598" s="16">
        <v>43693</v>
      </c>
      <c r="AB598">
        <v>228.63003499999832</v>
      </c>
      <c r="AC598" s="4">
        <v>1581.2</v>
      </c>
      <c r="AE598">
        <v>3.3093660837491901</v>
      </c>
      <c r="AH598">
        <v>-8.5359467017712202E-5</v>
      </c>
    </row>
    <row r="599" spans="1:36" x14ac:dyDescent="0.2">
      <c r="A599" t="s">
        <v>5</v>
      </c>
      <c r="B599">
        <v>3</v>
      </c>
      <c r="C599" s="2">
        <v>43693</v>
      </c>
      <c r="D599" s="13">
        <v>228.64536999999837</v>
      </c>
      <c r="E599" s="13"/>
      <c r="F599" s="4">
        <v>1533.7</v>
      </c>
      <c r="H599">
        <v>4.7</v>
      </c>
      <c r="J599">
        <v>26.67</v>
      </c>
      <c r="L599">
        <v>44.1</v>
      </c>
      <c r="N599">
        <v>0.74</v>
      </c>
      <c r="P599">
        <v>26.355275843693502</v>
      </c>
      <c r="S599">
        <v>1.3305772215711E-4</v>
      </c>
      <c r="T599" s="6"/>
      <c r="U599" s="6"/>
      <c r="X599" t="s">
        <v>5</v>
      </c>
      <c r="Y599">
        <v>3</v>
      </c>
      <c r="Z599" t="s">
        <v>4</v>
      </c>
      <c r="AA599" s="16">
        <v>43693</v>
      </c>
      <c r="AB599">
        <v>228.64027500000157</v>
      </c>
      <c r="AC599" s="4">
        <v>1453.7</v>
      </c>
      <c r="AE599">
        <v>0.60623462697721398</v>
      </c>
      <c r="AH599">
        <v>6.6997112230268206E-5</v>
      </c>
    </row>
    <row r="600" spans="1:36" x14ac:dyDescent="0.2">
      <c r="A600" t="s">
        <v>5</v>
      </c>
      <c r="B600">
        <v>4</v>
      </c>
      <c r="C600" s="2">
        <v>43693</v>
      </c>
      <c r="D600" s="13">
        <v>228.65572999999858</v>
      </c>
      <c r="E600" s="13"/>
      <c r="F600" s="4">
        <v>1336.2</v>
      </c>
      <c r="H600">
        <v>3.9</v>
      </c>
      <c r="J600">
        <v>27.78</v>
      </c>
      <c r="L600">
        <v>39.799999999999997</v>
      </c>
      <c r="N600">
        <v>0.79</v>
      </c>
      <c r="P600">
        <v>7.4719514863961098</v>
      </c>
      <c r="S600" s="6">
        <v>-8.8843471763801895E-5</v>
      </c>
      <c r="T600" s="6"/>
      <c r="U600" s="6"/>
      <c r="X600" t="s">
        <v>5</v>
      </c>
      <c r="Y600">
        <v>4</v>
      </c>
      <c r="Z600" t="s">
        <v>4</v>
      </c>
      <c r="AA600" s="16">
        <v>43693</v>
      </c>
      <c r="AB600">
        <v>228.65011500000037</v>
      </c>
      <c r="AC600" s="4">
        <v>1488.7</v>
      </c>
      <c r="AE600">
        <v>-2.8885200750920599</v>
      </c>
      <c r="AH600">
        <v>2.63984353931506E-5</v>
      </c>
    </row>
    <row r="601" spans="1:36" x14ac:dyDescent="0.2">
      <c r="A601" t="s">
        <v>5</v>
      </c>
      <c r="B601">
        <v>5</v>
      </c>
      <c r="C601" s="2">
        <v>43693</v>
      </c>
      <c r="D601" s="13">
        <v>228.66440999999759</v>
      </c>
      <c r="E601" s="13"/>
      <c r="F601" s="4">
        <v>1316.2</v>
      </c>
      <c r="H601">
        <v>3.9</v>
      </c>
      <c r="J601">
        <v>27.78</v>
      </c>
      <c r="L601">
        <v>43.7</v>
      </c>
      <c r="N601">
        <v>0.69</v>
      </c>
      <c r="P601">
        <v>15.6332075592737</v>
      </c>
      <c r="S601">
        <v>-1.20064417566567E-4</v>
      </c>
      <c r="X601" t="s">
        <v>5</v>
      </c>
      <c r="Y601">
        <v>5</v>
      </c>
      <c r="Z601" t="s">
        <v>4</v>
      </c>
      <c r="AA601" s="16">
        <v>43693</v>
      </c>
      <c r="AB601">
        <v>228.65989500000069</v>
      </c>
      <c r="AC601" s="4">
        <v>1321.2</v>
      </c>
      <c r="AE601">
        <v>-1.9230938977546399</v>
      </c>
      <c r="AH601">
        <v>-1.10887780471113E-4</v>
      </c>
    </row>
    <row r="602" spans="1:36" x14ac:dyDescent="0.2">
      <c r="A602" t="s">
        <v>5</v>
      </c>
      <c r="B602">
        <v>1</v>
      </c>
      <c r="C602" s="2">
        <v>43696</v>
      </c>
      <c r="D602" s="13">
        <v>231.51047499999913</v>
      </c>
      <c r="E602" s="13">
        <v>231.53334499999983</v>
      </c>
      <c r="F602" s="4">
        <v>2021.2</v>
      </c>
      <c r="G602" s="4">
        <v>1449.2</v>
      </c>
      <c r="H602">
        <v>14.7</v>
      </c>
      <c r="I602">
        <v>15.86</v>
      </c>
      <c r="J602">
        <v>28.33</v>
      </c>
      <c r="K602" s="4">
        <v>28.552</v>
      </c>
      <c r="L602">
        <v>42.3</v>
      </c>
      <c r="M602">
        <v>41.739999999999995</v>
      </c>
      <c r="N602">
        <v>0.83</v>
      </c>
      <c r="O602" s="4">
        <v>0.81799999999999995</v>
      </c>
      <c r="P602">
        <v>37.229219802055503</v>
      </c>
      <c r="Q602">
        <v>33.111584290203744</v>
      </c>
      <c r="R602">
        <v>13.591936651704337</v>
      </c>
      <c r="S602">
        <v>-1.2523843731701201E-4</v>
      </c>
      <c r="T602" s="6">
        <v>-7.5929115939197693E-5</v>
      </c>
      <c r="U602" s="6">
        <v>1.0450208204395477E-4</v>
      </c>
      <c r="X602" t="s">
        <v>5</v>
      </c>
      <c r="Y602">
        <v>1</v>
      </c>
      <c r="Z602" t="s">
        <v>4</v>
      </c>
      <c r="AA602" s="16">
        <v>43696</v>
      </c>
      <c r="AB602">
        <v>231.50422500000059</v>
      </c>
      <c r="AC602" s="4">
        <v>783.7</v>
      </c>
      <c r="AD602" s="4">
        <v>1489.7</v>
      </c>
      <c r="AE602">
        <v>-10.7719596073501</v>
      </c>
      <c r="AF602">
        <v>-7.4402917681034895</v>
      </c>
      <c r="AG602">
        <v>2.7493941857774935</v>
      </c>
      <c r="AH602">
        <v>-9.1387026380695396E-5</v>
      </c>
      <c r="AI602">
        <v>-1.4432818701027282E-5</v>
      </c>
      <c r="AJ602">
        <v>1.3065997561609788E-4</v>
      </c>
    </row>
    <row r="603" spans="1:36" x14ac:dyDescent="0.2">
      <c r="A603" t="s">
        <v>5</v>
      </c>
      <c r="B603">
        <v>2</v>
      </c>
      <c r="C603" s="2">
        <v>43696</v>
      </c>
      <c r="D603" s="13">
        <v>231.52187499999854</v>
      </c>
      <c r="E603" s="13"/>
      <c r="F603" s="4">
        <v>1018.7</v>
      </c>
      <c r="H603">
        <v>18.7</v>
      </c>
      <c r="J603">
        <v>28.33</v>
      </c>
      <c r="L603">
        <v>35.799999999999997</v>
      </c>
      <c r="N603">
        <v>0.83</v>
      </c>
      <c r="P603">
        <v>38.043379995329801</v>
      </c>
      <c r="S603">
        <v>-1.44827177957467E-4</v>
      </c>
      <c r="T603" s="6"/>
      <c r="U603" s="6"/>
      <c r="X603" t="s">
        <v>5</v>
      </c>
      <c r="Y603">
        <v>2</v>
      </c>
      <c r="Z603" t="s">
        <v>4</v>
      </c>
      <c r="AA603" s="16">
        <v>43696</v>
      </c>
      <c r="AB603">
        <v>231.51614500000142</v>
      </c>
      <c r="AC603" s="4">
        <v>1873.7</v>
      </c>
      <c r="AE603">
        <v>-9.6689057344957092</v>
      </c>
      <c r="AH603">
        <v>-1.08913387676708E-4</v>
      </c>
    </row>
    <row r="604" spans="1:36" x14ac:dyDescent="0.2">
      <c r="A604" t="s">
        <v>5</v>
      </c>
      <c r="B604">
        <v>3</v>
      </c>
      <c r="C604" s="2">
        <v>43696</v>
      </c>
      <c r="D604" s="13">
        <v>231.53356500000154</v>
      </c>
      <c r="E604" s="13"/>
      <c r="F604" s="4">
        <v>1908.7</v>
      </c>
      <c r="H604">
        <v>12.9</v>
      </c>
      <c r="J604">
        <v>28.33</v>
      </c>
      <c r="L604">
        <v>46</v>
      </c>
      <c r="N604">
        <v>0.81</v>
      </c>
      <c r="P604">
        <v>49.172763377248103</v>
      </c>
      <c r="S604" s="6">
        <v>5.4071806650331903E-5</v>
      </c>
      <c r="T604" s="6"/>
      <c r="U604" s="6"/>
      <c r="X604" t="s">
        <v>5</v>
      </c>
      <c r="Y604">
        <v>3</v>
      </c>
      <c r="Z604" t="s">
        <v>4</v>
      </c>
      <c r="AA604" s="16">
        <v>43696</v>
      </c>
      <c r="AB604">
        <v>231.52719999999681</v>
      </c>
      <c r="AC604" s="4">
        <v>953.7</v>
      </c>
      <c r="AE604">
        <v>-4.1043253153247603</v>
      </c>
      <c r="AH604">
        <v>1.4183579678924999E-4</v>
      </c>
    </row>
    <row r="605" spans="1:36" x14ac:dyDescent="0.2">
      <c r="A605" t="s">
        <v>5</v>
      </c>
      <c r="B605">
        <v>4</v>
      </c>
      <c r="C605" s="2">
        <v>43696</v>
      </c>
      <c r="D605" s="13">
        <v>231.54479500000161</v>
      </c>
      <c r="E605" s="13"/>
      <c r="F605" s="4">
        <v>1113.7</v>
      </c>
      <c r="H605">
        <v>16.3</v>
      </c>
      <c r="J605">
        <v>28.33</v>
      </c>
      <c r="L605">
        <v>43.4</v>
      </c>
      <c r="N605">
        <v>0.84</v>
      </c>
      <c r="P605">
        <v>12.667914665633401</v>
      </c>
      <c r="S605" s="6">
        <v>1.70037780878857E-5</v>
      </c>
      <c r="T605" s="6"/>
      <c r="U605" s="6"/>
      <c r="X605" t="s">
        <v>5</v>
      </c>
      <c r="Y605">
        <v>4</v>
      </c>
      <c r="Z605" t="s">
        <v>4</v>
      </c>
      <c r="AA605" s="16">
        <v>43696</v>
      </c>
      <c r="AB605">
        <v>231.53912000000128</v>
      </c>
      <c r="AC605" s="4">
        <v>1718.7</v>
      </c>
      <c r="AE605">
        <v>-6.8608071547852996</v>
      </c>
      <c r="AH605">
        <v>1.13368194214694E-4</v>
      </c>
    </row>
    <row r="606" spans="1:36" x14ac:dyDescent="0.2">
      <c r="A606" t="s">
        <v>5</v>
      </c>
      <c r="B606">
        <v>5</v>
      </c>
      <c r="C606" s="2">
        <v>43696</v>
      </c>
      <c r="D606" s="13">
        <v>231.5560149999983</v>
      </c>
      <c r="E606" s="13"/>
      <c r="F606" s="4">
        <v>1183.7</v>
      </c>
      <c r="H606">
        <v>16.7</v>
      </c>
      <c r="J606">
        <v>29.44</v>
      </c>
      <c r="L606">
        <v>41.2</v>
      </c>
      <c r="N606">
        <v>0.78</v>
      </c>
      <c r="P606">
        <v>28.4446436107519</v>
      </c>
      <c r="S606">
        <v>-1.8065554915972699E-4</v>
      </c>
      <c r="X606" t="s">
        <v>5</v>
      </c>
      <c r="Y606">
        <v>5</v>
      </c>
      <c r="Z606" t="s">
        <v>4</v>
      </c>
      <c r="AA606" s="16">
        <v>43696</v>
      </c>
      <c r="AB606">
        <v>231.5506349999996</v>
      </c>
      <c r="AC606" s="4">
        <v>2118.6999999999998</v>
      </c>
      <c r="AE606">
        <v>-5.7954610285615802</v>
      </c>
      <c r="AH606">
        <v>-1.27067670451677E-4</v>
      </c>
    </row>
    <row r="607" spans="1:36" x14ac:dyDescent="0.2">
      <c r="A607" t="s">
        <v>5</v>
      </c>
      <c r="B607">
        <v>1</v>
      </c>
      <c r="C607" s="2">
        <v>43696</v>
      </c>
      <c r="D607" s="13">
        <v>231.62511499999891</v>
      </c>
      <c r="E607" s="13">
        <v>231.64409699999959</v>
      </c>
      <c r="F607" s="4">
        <v>956.2</v>
      </c>
      <c r="G607" s="4">
        <v>1099.7</v>
      </c>
      <c r="H607">
        <v>14.7</v>
      </c>
      <c r="I607">
        <v>17.5</v>
      </c>
      <c r="J607">
        <v>30.56</v>
      </c>
      <c r="K607" s="4">
        <v>30.559999999999995</v>
      </c>
      <c r="L607">
        <v>42.7</v>
      </c>
      <c r="M607">
        <v>41.459999999999994</v>
      </c>
      <c r="N607">
        <v>0.87</v>
      </c>
      <c r="O607" s="4">
        <v>0.85600000000000009</v>
      </c>
      <c r="P607">
        <v>27.3535437298268</v>
      </c>
      <c r="Q607">
        <v>27.064509878413666</v>
      </c>
      <c r="R607">
        <v>11.448317081623031</v>
      </c>
      <c r="S607">
        <v>2.0286848184678999E-4</v>
      </c>
      <c r="T607" s="6">
        <v>-1.0855351359530779E-5</v>
      </c>
      <c r="U607" s="6">
        <v>1.3650476855330297E-4</v>
      </c>
      <c r="X607" t="s">
        <v>5</v>
      </c>
      <c r="Y607">
        <v>1</v>
      </c>
      <c r="Z607" t="s">
        <v>4</v>
      </c>
      <c r="AA607" s="16">
        <v>43696</v>
      </c>
      <c r="AB607">
        <v>231.62019499999951</v>
      </c>
      <c r="AC607" s="4">
        <v>1996.2</v>
      </c>
      <c r="AD607" s="4">
        <v>1490.2</v>
      </c>
      <c r="AE607">
        <v>-3.90524198376737</v>
      </c>
      <c r="AF607">
        <v>-5.569463532114634</v>
      </c>
      <c r="AG607">
        <v>2.7076528319184834</v>
      </c>
      <c r="AH607">
        <v>-2.7936066974572501E-4</v>
      </c>
      <c r="AI607">
        <v>-1.3590595540323596E-4</v>
      </c>
      <c r="AJ607">
        <v>1.0625478554959804E-4</v>
      </c>
    </row>
    <row r="608" spans="1:36" x14ac:dyDescent="0.2">
      <c r="A608" t="s">
        <v>5</v>
      </c>
      <c r="B608">
        <v>2</v>
      </c>
      <c r="C608" s="2">
        <v>43696</v>
      </c>
      <c r="D608" s="13">
        <v>231.63420499999847</v>
      </c>
      <c r="E608" s="13"/>
      <c r="F608" s="4">
        <v>883.7</v>
      </c>
      <c r="H608">
        <v>20.7</v>
      </c>
      <c r="J608">
        <v>30.56</v>
      </c>
      <c r="L608">
        <v>43.9</v>
      </c>
      <c r="N608">
        <v>0.86</v>
      </c>
      <c r="P608">
        <v>34.436464491574199</v>
      </c>
      <c r="S608" s="6">
        <v>-7.5262520302016205E-5</v>
      </c>
      <c r="T608" s="6"/>
      <c r="U608" s="6"/>
      <c r="X608" t="s">
        <v>5</v>
      </c>
      <c r="Y608">
        <v>2</v>
      </c>
      <c r="Z608" t="s">
        <v>4</v>
      </c>
      <c r="AA608" s="16">
        <v>43696</v>
      </c>
      <c r="AB608">
        <v>231.62968499999988</v>
      </c>
      <c r="AC608" s="4">
        <v>1493.7</v>
      </c>
      <c r="AE608">
        <v>-9.7409399700470498</v>
      </c>
      <c r="AH608">
        <v>-1.89530072934902E-4</v>
      </c>
    </row>
    <row r="609" spans="1:36" x14ac:dyDescent="0.2">
      <c r="A609" t="s">
        <v>5</v>
      </c>
      <c r="B609">
        <v>3</v>
      </c>
      <c r="C609" s="2">
        <v>43696</v>
      </c>
      <c r="D609" s="13">
        <v>231.6438049999997</v>
      </c>
      <c r="E609" s="13"/>
      <c r="F609" s="4">
        <v>1763.7</v>
      </c>
      <c r="H609">
        <v>14.3</v>
      </c>
      <c r="J609">
        <v>30.56</v>
      </c>
      <c r="L609">
        <v>35</v>
      </c>
      <c r="N609">
        <v>0.86</v>
      </c>
      <c r="P609">
        <v>38.8880903771799</v>
      </c>
      <c r="S609" s="6">
        <v>2.6241735898450001E-5</v>
      </c>
      <c r="T609" s="6"/>
      <c r="U609" s="6"/>
      <c r="X609" t="s">
        <v>5</v>
      </c>
      <c r="Y609">
        <v>3</v>
      </c>
      <c r="Z609" t="s">
        <v>4</v>
      </c>
      <c r="AA609" s="16">
        <v>43696</v>
      </c>
      <c r="AB609">
        <v>231.63906500000303</v>
      </c>
      <c r="AC609" s="4">
        <v>938.7</v>
      </c>
      <c r="AE609">
        <v>-5.0155227479078501</v>
      </c>
      <c r="AH609">
        <v>-4.82821563476002E-5</v>
      </c>
    </row>
    <row r="610" spans="1:36" x14ac:dyDescent="0.2">
      <c r="A610" t="s">
        <v>5</v>
      </c>
      <c r="B610">
        <v>4</v>
      </c>
      <c r="C610" s="2">
        <v>43696</v>
      </c>
      <c r="D610" s="13">
        <v>231.65329500000007</v>
      </c>
      <c r="E610" s="13"/>
      <c r="F610" s="4">
        <v>1011.2</v>
      </c>
      <c r="H610">
        <v>19.7</v>
      </c>
      <c r="J610">
        <v>30.56</v>
      </c>
      <c r="L610">
        <v>39.1</v>
      </c>
      <c r="N610">
        <v>0.87</v>
      </c>
      <c r="P610">
        <v>8.9494919432834497</v>
      </c>
      <c r="S610" s="6">
        <v>-4.9487462813438698E-5</v>
      </c>
      <c r="T610" s="6"/>
      <c r="U610" s="6"/>
      <c r="X610" t="s">
        <v>5</v>
      </c>
      <c r="Y610">
        <v>4</v>
      </c>
      <c r="Z610" t="s">
        <v>4</v>
      </c>
      <c r="AA610" s="16">
        <v>43696</v>
      </c>
      <c r="AB610">
        <v>231.64861500000188</v>
      </c>
      <c r="AC610" s="4">
        <v>1446.2</v>
      </c>
      <c r="AE610">
        <v>-2.7299970408309702</v>
      </c>
      <c r="AH610">
        <v>-1.7785282837198601E-5</v>
      </c>
    </row>
    <row r="611" spans="1:36" x14ac:dyDescent="0.2">
      <c r="A611" t="s">
        <v>5</v>
      </c>
      <c r="B611">
        <v>5</v>
      </c>
      <c r="C611" s="2">
        <v>43696</v>
      </c>
      <c r="D611" s="13">
        <v>231.66406500000085</v>
      </c>
      <c r="E611" s="13"/>
      <c r="F611" s="4">
        <v>883.7</v>
      </c>
      <c r="H611">
        <v>18.100000000000001</v>
      </c>
      <c r="J611">
        <v>30.56</v>
      </c>
      <c r="L611">
        <v>46.6</v>
      </c>
      <c r="N611">
        <v>0.82</v>
      </c>
      <c r="P611">
        <v>25.694958850203999</v>
      </c>
      <c r="S611">
        <v>-1.5863699142743901E-4</v>
      </c>
      <c r="X611" t="s">
        <v>5</v>
      </c>
      <c r="Y611">
        <v>5</v>
      </c>
      <c r="Z611" t="s">
        <v>4</v>
      </c>
      <c r="AA611" s="16">
        <v>43696</v>
      </c>
      <c r="AB611">
        <v>231.65850499999942</v>
      </c>
      <c r="AC611" s="4">
        <v>1576.2</v>
      </c>
      <c r="AE611">
        <v>-6.4556159180199302</v>
      </c>
      <c r="AH611">
        <v>-1.4457159515075401E-4</v>
      </c>
    </row>
    <row r="612" spans="1:36" x14ac:dyDescent="0.2">
      <c r="A612" t="s">
        <v>5</v>
      </c>
      <c r="B612">
        <v>1</v>
      </c>
      <c r="C612" s="2">
        <v>43707</v>
      </c>
      <c r="D612" s="13">
        <v>242.38507000000027</v>
      </c>
      <c r="E612" s="13">
        <v>242.4125659999998</v>
      </c>
      <c r="F612" s="4">
        <v>963.7</v>
      </c>
      <c r="G612" s="4">
        <v>1168.7</v>
      </c>
      <c r="H612">
        <v>11.4</v>
      </c>
      <c r="I612">
        <v>4.72</v>
      </c>
      <c r="J612">
        <v>21.67</v>
      </c>
      <c r="K612" s="4">
        <v>22.558</v>
      </c>
      <c r="L612">
        <v>38.799999999999997</v>
      </c>
      <c r="M612">
        <v>39.96</v>
      </c>
      <c r="N612">
        <v>0.81</v>
      </c>
      <c r="O612" s="4">
        <v>0.81600000000000006</v>
      </c>
      <c r="P612">
        <v>20.511058168664501</v>
      </c>
      <c r="Q612">
        <v>22.123689619229459</v>
      </c>
      <c r="R612">
        <v>7.3071867539733857</v>
      </c>
      <c r="S612">
        <v>-2.85054980490449E-4</v>
      </c>
      <c r="T612" s="6">
        <v>-1.5665231326468667E-4</v>
      </c>
      <c r="U612" s="6">
        <v>9.8112554842013587E-5</v>
      </c>
      <c r="X612" t="s">
        <v>5</v>
      </c>
      <c r="Y612">
        <v>1</v>
      </c>
      <c r="Z612" t="s">
        <v>4</v>
      </c>
      <c r="AA612" s="16">
        <v>43707</v>
      </c>
      <c r="AB612">
        <v>242.37708500000008</v>
      </c>
      <c r="AC612" s="4">
        <v>896.2</v>
      </c>
      <c r="AD612" s="4">
        <v>1113.7</v>
      </c>
      <c r="AE612">
        <v>-15.1722307049092</v>
      </c>
      <c r="AF612">
        <v>-9.9861707472883303</v>
      </c>
      <c r="AG612">
        <v>3.3830602543422894</v>
      </c>
      <c r="AH612">
        <v>-3.4591038828031198E-4</v>
      </c>
      <c r="AI612">
        <v>-1.5210715746658668E-4</v>
      </c>
      <c r="AJ612">
        <v>1.7733476371078213E-4</v>
      </c>
    </row>
    <row r="613" spans="1:36" x14ac:dyDescent="0.2">
      <c r="A613" t="s">
        <v>5</v>
      </c>
      <c r="B613">
        <v>2</v>
      </c>
      <c r="C613" s="2">
        <v>43707</v>
      </c>
      <c r="D613" s="13">
        <v>242.39843499999915</v>
      </c>
      <c r="E613" s="13"/>
      <c r="F613" s="4">
        <v>1073.7</v>
      </c>
      <c r="H613">
        <v>4.0999999999999996</v>
      </c>
      <c r="J613">
        <v>22.78</v>
      </c>
      <c r="L613">
        <v>38.200000000000003</v>
      </c>
      <c r="N613">
        <v>0.84</v>
      </c>
      <c r="P613">
        <v>20.8115256442881</v>
      </c>
      <c r="S613">
        <v>-1.90492813431865E-4</v>
      </c>
      <c r="T613" s="6"/>
      <c r="U613" s="6"/>
      <c r="X613" t="s">
        <v>5</v>
      </c>
      <c r="Y613">
        <v>2</v>
      </c>
      <c r="Z613" t="s">
        <v>4</v>
      </c>
      <c r="AA613" s="16">
        <v>43707</v>
      </c>
      <c r="AB613">
        <v>242.39155000000028</v>
      </c>
      <c r="AC613" s="4">
        <v>1016.2</v>
      </c>
      <c r="AE613">
        <v>-10.286312380394801</v>
      </c>
      <c r="AH613">
        <v>-3.3795610274166E-4</v>
      </c>
    </row>
    <row r="614" spans="1:36" x14ac:dyDescent="0.2">
      <c r="A614" t="s">
        <v>5</v>
      </c>
      <c r="B614">
        <v>3</v>
      </c>
      <c r="C614" s="2">
        <v>43707</v>
      </c>
      <c r="D614" s="13">
        <v>242.41196499999933</v>
      </c>
      <c r="E614" s="13"/>
      <c r="F614" s="4">
        <v>1173.7</v>
      </c>
      <c r="H614">
        <v>3.9</v>
      </c>
      <c r="J614">
        <v>22.78</v>
      </c>
      <c r="L614">
        <v>43.2</v>
      </c>
      <c r="N614">
        <v>0.81</v>
      </c>
      <c r="P614">
        <v>34.826501996779697</v>
      </c>
      <c r="S614">
        <v>-1.6618227714894099E-4</v>
      </c>
      <c r="T614" s="6"/>
      <c r="U614" s="6"/>
      <c r="X614" t="s">
        <v>5</v>
      </c>
      <c r="Y614">
        <v>3</v>
      </c>
      <c r="Z614" t="s">
        <v>4</v>
      </c>
      <c r="AA614" s="16">
        <v>43707</v>
      </c>
      <c r="AB614">
        <v>242.40451499999836</v>
      </c>
      <c r="AC614" s="4">
        <v>1118.7</v>
      </c>
      <c r="AE614">
        <v>-10.4937825744594</v>
      </c>
      <c r="AH614">
        <v>-7.0368768745373905E-5</v>
      </c>
    </row>
    <row r="615" spans="1:36" x14ac:dyDescent="0.2">
      <c r="A615" t="s">
        <v>5</v>
      </c>
      <c r="B615">
        <v>4</v>
      </c>
      <c r="C615" s="2">
        <v>43707</v>
      </c>
      <c r="D615" s="13">
        <v>242.42673500000092</v>
      </c>
      <c r="E615" s="13"/>
      <c r="F615" s="4">
        <v>1273.7</v>
      </c>
      <c r="H615">
        <v>2.7</v>
      </c>
      <c r="J615">
        <v>22.78</v>
      </c>
      <c r="L615">
        <v>41.6</v>
      </c>
      <c r="N615">
        <v>0.82</v>
      </c>
      <c r="P615">
        <v>17.448349672498001</v>
      </c>
      <c r="S615" s="6">
        <v>-1.5865634956658302E-5</v>
      </c>
      <c r="T615" s="6"/>
      <c r="U615" s="6"/>
      <c r="X615" t="s">
        <v>5</v>
      </c>
      <c r="Y615">
        <v>4</v>
      </c>
      <c r="Z615" t="s">
        <v>4</v>
      </c>
      <c r="AA615" s="16">
        <v>43707</v>
      </c>
      <c r="AB615">
        <v>242.41909500000111</v>
      </c>
      <c r="AC615" s="4">
        <v>1221.2</v>
      </c>
      <c r="AE615">
        <v>-7.5252278630075002</v>
      </c>
      <c r="AH615">
        <v>3.3136609912461203E-5</v>
      </c>
    </row>
    <row r="616" spans="1:36" x14ac:dyDescent="0.2">
      <c r="A616" t="s">
        <v>5</v>
      </c>
      <c r="B616">
        <v>5</v>
      </c>
      <c r="C616" s="2">
        <v>43707</v>
      </c>
      <c r="D616" s="13">
        <v>242.44062499999927</v>
      </c>
      <c r="E616" s="13"/>
      <c r="F616" s="4">
        <v>1358.7</v>
      </c>
      <c r="H616">
        <v>1.5</v>
      </c>
      <c r="J616">
        <v>22.78</v>
      </c>
      <c r="L616">
        <v>38</v>
      </c>
      <c r="N616">
        <v>0.8</v>
      </c>
      <c r="P616">
        <v>17.021012613917001</v>
      </c>
      <c r="S616">
        <v>-1.2566586029552E-4</v>
      </c>
      <c r="X616" t="s">
        <v>5</v>
      </c>
      <c r="Y616">
        <v>5</v>
      </c>
      <c r="Z616" t="s">
        <v>4</v>
      </c>
      <c r="AA616" s="16">
        <v>43707</v>
      </c>
      <c r="AB616">
        <v>242.43339500000002</v>
      </c>
      <c r="AC616" s="4">
        <v>1316.2</v>
      </c>
      <c r="AE616">
        <v>-6.45330021367075</v>
      </c>
      <c r="AH616">
        <v>-3.9437137478048702E-5</v>
      </c>
    </row>
    <row r="617" spans="1:36" x14ac:dyDescent="0.2">
      <c r="A617" t="s">
        <v>5</v>
      </c>
      <c r="B617">
        <v>1</v>
      </c>
      <c r="C617" s="2">
        <v>43707</v>
      </c>
      <c r="D617" s="13">
        <v>242.51111500000115</v>
      </c>
      <c r="E617" s="13">
        <v>242.53821800000006</v>
      </c>
      <c r="F617" s="4">
        <v>1746.2</v>
      </c>
      <c r="G617" s="4">
        <v>1073.7</v>
      </c>
      <c r="H617">
        <v>6.3</v>
      </c>
      <c r="I617">
        <v>5.0600000000000005</v>
      </c>
      <c r="J617">
        <v>23.89</v>
      </c>
      <c r="K617" s="4">
        <v>25.892000000000003</v>
      </c>
      <c r="L617">
        <v>40.4</v>
      </c>
      <c r="M617">
        <v>41.08</v>
      </c>
      <c r="N617">
        <v>0.75</v>
      </c>
      <c r="O617" s="4">
        <v>0.73799999999999999</v>
      </c>
      <c r="P617">
        <v>29.305449875209799</v>
      </c>
      <c r="Q617">
        <v>26.239161893260654</v>
      </c>
      <c r="R617">
        <v>10.514040723547369</v>
      </c>
      <c r="S617">
        <v>-2.3227937047449299E-4</v>
      </c>
      <c r="T617" s="6">
        <v>-5.9737908770197075E-5</v>
      </c>
      <c r="U617" s="6">
        <v>1.9225420454566704E-4</v>
      </c>
      <c r="X617" t="s">
        <v>5</v>
      </c>
      <c r="Y617">
        <v>1</v>
      </c>
      <c r="Z617" t="s">
        <v>4</v>
      </c>
      <c r="AA617" s="16">
        <v>43707</v>
      </c>
      <c r="AB617">
        <v>242.50420500000109</v>
      </c>
      <c r="AC617" s="4">
        <v>1626.2</v>
      </c>
      <c r="AD617" s="4">
        <v>1513.2</v>
      </c>
      <c r="AE617">
        <v>-3.0239491678034902</v>
      </c>
      <c r="AF617">
        <v>-2.1455504289341283</v>
      </c>
      <c r="AG617">
        <v>3.6141510359957558</v>
      </c>
      <c r="AH617">
        <v>1.1492274144144099E-4</v>
      </c>
      <c r="AI617">
        <v>-7.3778614042784065E-5</v>
      </c>
      <c r="AJ617">
        <v>1.2015370075013012E-4</v>
      </c>
    </row>
    <row r="618" spans="1:36" x14ac:dyDescent="0.2">
      <c r="A618" t="s">
        <v>5</v>
      </c>
      <c r="B618">
        <v>2</v>
      </c>
      <c r="C618" s="2">
        <v>43707</v>
      </c>
      <c r="D618" s="13">
        <v>242.52482500000042</v>
      </c>
      <c r="E618" s="13"/>
      <c r="F618" s="4">
        <v>1886.2</v>
      </c>
      <c r="H618">
        <v>5.3</v>
      </c>
      <c r="J618">
        <v>25.56</v>
      </c>
      <c r="L618">
        <v>40.700000000000003</v>
      </c>
      <c r="N618">
        <v>0.76</v>
      </c>
      <c r="P618">
        <v>33.495009642104598</v>
      </c>
      <c r="S618">
        <v>-2.48979719511352E-4</v>
      </c>
      <c r="T618" s="6"/>
      <c r="U618" s="6"/>
      <c r="X618" t="s">
        <v>5</v>
      </c>
      <c r="Y618">
        <v>2</v>
      </c>
      <c r="Z618" t="s">
        <v>4</v>
      </c>
      <c r="AA618" s="16">
        <v>43707</v>
      </c>
      <c r="AB618">
        <v>242.51770499999839</v>
      </c>
      <c r="AC618" s="4">
        <v>1826.2</v>
      </c>
      <c r="AE618">
        <v>-6.7292700850670197</v>
      </c>
      <c r="AH618">
        <v>-1.25988127438191E-4</v>
      </c>
    </row>
    <row r="619" spans="1:36" x14ac:dyDescent="0.2">
      <c r="A619" t="s">
        <v>5</v>
      </c>
      <c r="B619">
        <v>3</v>
      </c>
      <c r="C619" s="2">
        <v>43707</v>
      </c>
      <c r="D619" s="13">
        <v>242.53882999999769</v>
      </c>
      <c r="E619" s="13"/>
      <c r="F619" s="4">
        <v>646.20000000000005</v>
      </c>
      <c r="H619">
        <v>4.5999999999999996</v>
      </c>
      <c r="J619">
        <v>26.67</v>
      </c>
      <c r="L619">
        <v>42.8</v>
      </c>
      <c r="N619">
        <v>0.79</v>
      </c>
      <c r="P619">
        <v>37.8249157306524</v>
      </c>
      <c r="S619">
        <v>1.15943899716672E-4</v>
      </c>
      <c r="T619" s="6"/>
      <c r="U619" s="6"/>
      <c r="X619" t="s">
        <v>5</v>
      </c>
      <c r="Y619">
        <v>3</v>
      </c>
      <c r="Z619" t="s">
        <v>4</v>
      </c>
      <c r="AA619" s="16">
        <v>43707</v>
      </c>
      <c r="AB619">
        <v>242.53194499999881</v>
      </c>
      <c r="AC619" s="4">
        <v>2123.6999999999998</v>
      </c>
      <c r="AE619">
        <v>3.3724221164708799</v>
      </c>
      <c r="AH619">
        <v>-2.12434569302047E-4</v>
      </c>
    </row>
    <row r="620" spans="1:36" x14ac:dyDescent="0.2">
      <c r="A620" t="s">
        <v>5</v>
      </c>
      <c r="B620">
        <v>4</v>
      </c>
      <c r="C620" s="2">
        <v>43707</v>
      </c>
      <c r="D620" s="13">
        <v>242.55173500000092</v>
      </c>
      <c r="E620" s="13"/>
      <c r="F620" s="4">
        <v>411.2</v>
      </c>
      <c r="H620">
        <v>4.9000000000000004</v>
      </c>
      <c r="J620">
        <v>26.67</v>
      </c>
      <c r="L620">
        <v>44.5</v>
      </c>
      <c r="N620">
        <v>0.7</v>
      </c>
      <c r="P620">
        <v>17.0061552481598</v>
      </c>
      <c r="S620">
        <v>1.6385538800181199E-4</v>
      </c>
      <c r="T620" s="6"/>
      <c r="U620" s="6"/>
      <c r="X620" t="s">
        <v>5</v>
      </c>
      <c r="Y620">
        <v>4</v>
      </c>
      <c r="Z620" t="s">
        <v>4</v>
      </c>
      <c r="AA620" s="16">
        <v>43707</v>
      </c>
      <c r="AB620">
        <v>242.54583500000081</v>
      </c>
      <c r="AC620" s="4">
        <v>1428.7</v>
      </c>
      <c r="AE620">
        <v>-2.08209983019808</v>
      </c>
      <c r="AH620">
        <v>-6.3058177316887998E-5</v>
      </c>
    </row>
    <row r="621" spans="1:36" x14ac:dyDescent="0.2">
      <c r="A621" t="s">
        <v>5</v>
      </c>
      <c r="B621">
        <v>5</v>
      </c>
      <c r="C621" s="2">
        <v>43707</v>
      </c>
      <c r="D621" s="13">
        <v>242.56458500000008</v>
      </c>
      <c r="E621" s="13"/>
      <c r="F621" s="4">
        <v>678.7</v>
      </c>
      <c r="H621">
        <v>4.2</v>
      </c>
      <c r="J621">
        <v>26.67</v>
      </c>
      <c r="L621">
        <v>37</v>
      </c>
      <c r="N621">
        <v>0.69</v>
      </c>
      <c r="P621">
        <v>13.5642789701767</v>
      </c>
      <c r="S621" s="6">
        <v>-9.7229741583624397E-5</v>
      </c>
      <c r="X621" t="s">
        <v>5</v>
      </c>
      <c r="Y621">
        <v>5</v>
      </c>
      <c r="Z621" t="s">
        <v>4</v>
      </c>
      <c r="AA621" s="16">
        <v>43707</v>
      </c>
      <c r="AB621">
        <v>242.55798499999946</v>
      </c>
      <c r="AC621" s="4">
        <v>561.20000000000005</v>
      </c>
      <c r="AE621">
        <v>-2.26485517807293</v>
      </c>
      <c r="AH621">
        <v>-8.2334937598235299E-5</v>
      </c>
    </row>
    <row r="622" spans="1:36" x14ac:dyDescent="0.2">
      <c r="A622" t="s">
        <v>5</v>
      </c>
      <c r="B622">
        <v>1</v>
      </c>
      <c r="C622" s="2">
        <v>43713</v>
      </c>
      <c r="D622" s="13">
        <v>248.43095999999787</v>
      </c>
      <c r="E622" s="13">
        <v>248.46035800000027</v>
      </c>
      <c r="F622" s="10" t="s">
        <v>11</v>
      </c>
      <c r="G622" s="4" t="e">
        <v>#DIV/0!</v>
      </c>
      <c r="H622">
        <v>7.1</v>
      </c>
      <c r="I622">
        <v>5.6199999999999992</v>
      </c>
      <c r="J622">
        <v>17.78</v>
      </c>
      <c r="K622" s="4">
        <v>18.002000000000002</v>
      </c>
      <c r="L622">
        <v>43.4</v>
      </c>
      <c r="M622">
        <v>44.04</v>
      </c>
      <c r="N622">
        <v>0.8</v>
      </c>
      <c r="O622" s="4">
        <v>0.78</v>
      </c>
      <c r="P622">
        <v>16.592558599691898</v>
      </c>
      <c r="Q622">
        <v>18.059551801942639</v>
      </c>
      <c r="R622">
        <v>4.0972381156988948</v>
      </c>
      <c r="S622" s="6">
        <v>-7.9434871846912101E-5</v>
      </c>
      <c r="T622" s="6">
        <v>-9.477584853785699E-5</v>
      </c>
      <c r="U622" s="6">
        <v>1.1936063322265244E-4</v>
      </c>
      <c r="X622" t="s">
        <v>5</v>
      </c>
      <c r="Y622">
        <v>1</v>
      </c>
      <c r="Z622" t="s">
        <v>4</v>
      </c>
      <c r="AA622" s="16">
        <v>43713</v>
      </c>
      <c r="AB622">
        <v>248.42384500000117</v>
      </c>
      <c r="AC622" s="4" t="s">
        <v>11</v>
      </c>
      <c r="AD622" s="4" t="e">
        <v>#DIV/0!</v>
      </c>
      <c r="AE622">
        <v>-25.120791500074599</v>
      </c>
      <c r="AF622">
        <v>-21.907187797536704</v>
      </c>
      <c r="AG622">
        <v>7.1731888785025477</v>
      </c>
      <c r="AH622">
        <v>4.6147469010327202E-4</v>
      </c>
      <c r="AI622">
        <v>-4.394596354098835E-5</v>
      </c>
      <c r="AJ622">
        <v>2.8744970004206431E-4</v>
      </c>
    </row>
    <row r="623" spans="1:36" x14ac:dyDescent="0.2">
      <c r="A623" t="s">
        <v>5</v>
      </c>
      <c r="B623">
        <v>2</v>
      </c>
      <c r="C623" s="2">
        <v>43713</v>
      </c>
      <c r="D623" s="13">
        <v>248.44600500000161</v>
      </c>
      <c r="E623" s="13"/>
      <c r="F623" s="10" t="s">
        <v>11</v>
      </c>
      <c r="H623">
        <v>4.4000000000000004</v>
      </c>
      <c r="J623">
        <v>17.78</v>
      </c>
      <c r="L623">
        <v>41.8</v>
      </c>
      <c r="N623">
        <v>0.78</v>
      </c>
      <c r="P623">
        <v>17.567979878285801</v>
      </c>
      <c r="S623">
        <v>-2.7843738488933203E-4</v>
      </c>
      <c r="T623" s="6"/>
      <c r="U623" s="6"/>
      <c r="X623" t="s">
        <v>5</v>
      </c>
      <c r="Y623">
        <v>2</v>
      </c>
      <c r="Z623" t="s">
        <v>4</v>
      </c>
      <c r="AA623" s="16">
        <v>43713</v>
      </c>
      <c r="AB623">
        <v>248.43825500000094</v>
      </c>
      <c r="AC623" s="4" t="s">
        <v>11</v>
      </c>
      <c r="AE623">
        <v>-23.620773467147</v>
      </c>
      <c r="AH623">
        <v>-1.89027387532447E-4</v>
      </c>
    </row>
    <row r="624" spans="1:36" x14ac:dyDescent="0.2">
      <c r="A624" t="s">
        <v>5</v>
      </c>
      <c r="B624">
        <v>3</v>
      </c>
      <c r="C624" s="2">
        <v>43713</v>
      </c>
      <c r="D624" s="13">
        <v>248.46035499999925</v>
      </c>
      <c r="E624" s="13"/>
      <c r="F624" s="10" t="s">
        <v>11</v>
      </c>
      <c r="H624">
        <v>6.4</v>
      </c>
      <c r="J624">
        <v>17.78</v>
      </c>
      <c r="L624">
        <v>45.3</v>
      </c>
      <c r="N624">
        <v>0.78</v>
      </c>
      <c r="P624">
        <v>25.018710112477201</v>
      </c>
      <c r="S624">
        <v>-1.23626343786743E-4</v>
      </c>
      <c r="T624" s="6"/>
      <c r="U624" s="6"/>
      <c r="X624" t="s">
        <v>5</v>
      </c>
      <c r="Y624">
        <v>3</v>
      </c>
      <c r="Z624" t="s">
        <v>4</v>
      </c>
      <c r="AA624" s="16">
        <v>43713</v>
      </c>
      <c r="AB624">
        <v>248.45272000000114</v>
      </c>
      <c r="AC624" s="4" t="s">
        <v>11</v>
      </c>
      <c r="AE624">
        <v>-24.972260513036499</v>
      </c>
      <c r="AH624">
        <v>-8.1354085509613801E-5</v>
      </c>
    </row>
    <row r="625" spans="1:36" x14ac:dyDescent="0.2">
      <c r="A625" t="s">
        <v>5</v>
      </c>
      <c r="B625">
        <v>4</v>
      </c>
      <c r="C625" s="2">
        <v>43713</v>
      </c>
      <c r="D625" s="13">
        <v>248.47540500000105</v>
      </c>
      <c r="E625" s="13"/>
      <c r="F625" s="10" t="s">
        <v>11</v>
      </c>
      <c r="H625">
        <v>6.4</v>
      </c>
      <c r="J625">
        <v>17.78</v>
      </c>
      <c r="L625">
        <v>49.5</v>
      </c>
      <c r="N625">
        <v>0.83</v>
      </c>
      <c r="P625">
        <v>16.941803256753399</v>
      </c>
      <c r="S625" s="6">
        <v>-3.3273835137792998E-5</v>
      </c>
      <c r="T625" s="6"/>
      <c r="U625" s="6"/>
      <c r="X625" t="s">
        <v>5</v>
      </c>
      <c r="Y625">
        <v>4</v>
      </c>
      <c r="Z625" t="s">
        <v>4</v>
      </c>
      <c r="AA625" s="16">
        <v>43713</v>
      </c>
      <c r="AB625">
        <v>248.46857499999896</v>
      </c>
      <c r="AC625" s="4" t="s">
        <v>11</v>
      </c>
      <c r="AE625">
        <v>-26.606519155232899</v>
      </c>
      <c r="AH625">
        <v>-2.20725657176518E-4</v>
      </c>
    </row>
    <row r="626" spans="1:36" x14ac:dyDescent="0.2">
      <c r="A626" t="s">
        <v>5</v>
      </c>
      <c r="B626">
        <v>5</v>
      </c>
      <c r="C626" s="2">
        <v>43713</v>
      </c>
      <c r="D626" s="13">
        <v>248.48906500000157</v>
      </c>
      <c r="E626" s="13"/>
      <c r="F626" s="10" t="s">
        <v>11</v>
      </c>
      <c r="H626">
        <v>3.8</v>
      </c>
      <c r="J626">
        <v>18.89</v>
      </c>
      <c r="L626">
        <v>40.200000000000003</v>
      </c>
      <c r="N626">
        <v>0.71</v>
      </c>
      <c r="P626">
        <v>14.176707162504901</v>
      </c>
      <c r="S626" s="6">
        <v>4.0893192971495103E-5</v>
      </c>
      <c r="X626" t="s">
        <v>5</v>
      </c>
      <c r="Y626">
        <v>5</v>
      </c>
      <c r="Z626" t="s">
        <v>4</v>
      </c>
      <c r="AA626" s="16">
        <v>43713</v>
      </c>
      <c r="AB626">
        <v>248.48281499999939</v>
      </c>
      <c r="AC626" s="4" t="s">
        <v>11</v>
      </c>
      <c r="AE626">
        <v>-9.2155943521925305</v>
      </c>
      <c r="AH626">
        <v>-1.9009737758963501E-4</v>
      </c>
    </row>
    <row r="627" spans="1:36" x14ac:dyDescent="0.2">
      <c r="A627" t="s">
        <v>5</v>
      </c>
      <c r="B627">
        <v>1</v>
      </c>
      <c r="C627" s="2">
        <v>43713</v>
      </c>
      <c r="D627" s="13">
        <v>248.5253449999982</v>
      </c>
      <c r="E627" s="13">
        <v>248.55384300000006</v>
      </c>
      <c r="F627" s="10" t="s">
        <v>11</v>
      </c>
      <c r="G627" s="4" t="e">
        <v>#DIV/0!</v>
      </c>
      <c r="H627">
        <v>4.3</v>
      </c>
      <c r="I627">
        <v>4.4799999999999995</v>
      </c>
      <c r="J627">
        <v>19.440000000000001</v>
      </c>
      <c r="K627" s="4">
        <v>19.886000000000003</v>
      </c>
      <c r="L627">
        <v>46.4</v>
      </c>
      <c r="M627">
        <v>43.78</v>
      </c>
      <c r="N627">
        <v>0.77</v>
      </c>
      <c r="O627" s="4">
        <v>0.73199999999999998</v>
      </c>
      <c r="P627">
        <v>21.616868187713902</v>
      </c>
      <c r="Q627">
        <v>22.195550005830743</v>
      </c>
      <c r="R627">
        <v>3.0995605516329494</v>
      </c>
      <c r="S627">
        <v>-2.0861793656207499E-4</v>
      </c>
      <c r="T627" s="6">
        <v>-1.8029514432964778E-4</v>
      </c>
      <c r="U627" s="6">
        <v>1.4888081123654528E-4</v>
      </c>
      <c r="X627" t="s">
        <v>5</v>
      </c>
      <c r="Y627">
        <v>1</v>
      </c>
      <c r="Z627" t="s">
        <v>4</v>
      </c>
      <c r="AA627" s="16">
        <v>43713</v>
      </c>
      <c r="AB627">
        <v>248.51782499999899</v>
      </c>
      <c r="AC627" s="4" t="s">
        <v>11</v>
      </c>
      <c r="AD627" s="4" t="e">
        <v>#DIV/0!</v>
      </c>
      <c r="AE627">
        <v>-26.422364917126199</v>
      </c>
      <c r="AF627">
        <v>-18.855897136058935</v>
      </c>
      <c r="AG627">
        <v>8.2274152955986875</v>
      </c>
      <c r="AH627">
        <v>-1.4409502760429001E-4</v>
      </c>
      <c r="AI627">
        <v>-9.6588648964368861E-5</v>
      </c>
      <c r="AJ627">
        <v>2.512021744898134E-4</v>
      </c>
    </row>
    <row r="628" spans="1:36" x14ac:dyDescent="0.2">
      <c r="A628" t="s">
        <v>5</v>
      </c>
      <c r="B628">
        <v>2</v>
      </c>
      <c r="C628" s="2">
        <v>43713</v>
      </c>
      <c r="D628" s="13">
        <v>248.538195000001</v>
      </c>
      <c r="E628" s="13"/>
      <c r="F628" s="10" t="s">
        <v>11</v>
      </c>
      <c r="H628">
        <v>3.8</v>
      </c>
      <c r="J628">
        <v>19.440000000000001</v>
      </c>
      <c r="L628">
        <v>41.2</v>
      </c>
      <c r="N628">
        <v>0.72</v>
      </c>
      <c r="P628">
        <v>24.880646541010499</v>
      </c>
      <c r="S628">
        <v>-4.2871011766949102E-4</v>
      </c>
      <c r="T628" s="6"/>
      <c r="U628" s="6"/>
      <c r="X628" t="s">
        <v>5</v>
      </c>
      <c r="Y628">
        <v>2</v>
      </c>
      <c r="Z628" t="s">
        <v>4</v>
      </c>
      <c r="AA628" s="16">
        <v>43713</v>
      </c>
      <c r="AB628">
        <v>248.53159500000038</v>
      </c>
      <c r="AC628" s="4" t="s">
        <v>11</v>
      </c>
      <c r="AE628">
        <v>-18.575390189854701</v>
      </c>
      <c r="AH628">
        <v>-2.4105406755835199E-4</v>
      </c>
    </row>
    <row r="629" spans="1:36" x14ac:dyDescent="0.2">
      <c r="A629" t="s">
        <v>5</v>
      </c>
      <c r="B629">
        <v>3</v>
      </c>
      <c r="C629" s="2">
        <v>43713</v>
      </c>
      <c r="D629" s="13">
        <v>248.55231500000082</v>
      </c>
      <c r="E629" s="13"/>
      <c r="F629" s="10" t="s">
        <v>11</v>
      </c>
      <c r="H629">
        <v>4.7</v>
      </c>
      <c r="J629">
        <v>19.440000000000001</v>
      </c>
      <c r="L629">
        <v>48.7</v>
      </c>
      <c r="N629">
        <v>0.73</v>
      </c>
      <c r="P629">
        <v>25.511229883242699</v>
      </c>
      <c r="S629" s="6">
        <v>-8.05953415756271E-5</v>
      </c>
      <c r="T629" s="6"/>
      <c r="U629" s="6"/>
      <c r="X629" t="s">
        <v>5</v>
      </c>
      <c r="Y629">
        <v>3</v>
      </c>
      <c r="Z629" t="s">
        <v>4</v>
      </c>
      <c r="AA629" s="16">
        <v>43713</v>
      </c>
      <c r="AB629">
        <v>248.54467500000101</v>
      </c>
      <c r="AC629" s="4" t="s">
        <v>11</v>
      </c>
      <c r="AE629">
        <v>-19.2925864094695</v>
      </c>
      <c r="AH629">
        <v>-3.6730606061432001E-4</v>
      </c>
    </row>
    <row r="630" spans="1:36" x14ac:dyDescent="0.2">
      <c r="A630" t="s">
        <v>5</v>
      </c>
      <c r="B630">
        <v>4</v>
      </c>
      <c r="C630" s="2">
        <v>43713</v>
      </c>
      <c r="D630" s="13">
        <v>248.569445000001</v>
      </c>
      <c r="E630" s="13"/>
      <c r="F630" s="10" t="s">
        <v>11</v>
      </c>
      <c r="H630">
        <v>6.1</v>
      </c>
      <c r="J630">
        <v>19.440000000000001</v>
      </c>
      <c r="L630">
        <v>47.1</v>
      </c>
      <c r="N630">
        <v>0.8</v>
      </c>
      <c r="P630">
        <v>21.095589059151902</v>
      </c>
      <c r="S630" s="6">
        <v>-7.5366813909632802E-5</v>
      </c>
      <c r="T630" s="6"/>
      <c r="U630" s="6"/>
      <c r="X630" t="s">
        <v>5</v>
      </c>
      <c r="Y630">
        <v>4</v>
      </c>
      <c r="Z630" t="s">
        <v>4</v>
      </c>
      <c r="AA630" s="16">
        <v>43713</v>
      </c>
      <c r="AB630">
        <v>248.56157499999972</v>
      </c>
      <c r="AC630" s="4" t="s">
        <v>11</v>
      </c>
      <c r="AE630">
        <v>-24.571131252294499</v>
      </c>
      <c r="AH630">
        <v>-2.1696030309447301E-5</v>
      </c>
    </row>
    <row r="631" spans="1:36" x14ac:dyDescent="0.2">
      <c r="A631" t="s">
        <v>5</v>
      </c>
      <c r="B631">
        <v>5</v>
      </c>
      <c r="C631" s="2">
        <v>43713</v>
      </c>
      <c r="D631" s="13">
        <v>248.58391499999925</v>
      </c>
      <c r="E631" s="13"/>
      <c r="F631" s="10" t="s">
        <v>11</v>
      </c>
      <c r="H631">
        <v>3.5</v>
      </c>
      <c r="J631">
        <v>21.67</v>
      </c>
      <c r="L631">
        <v>35.5</v>
      </c>
      <c r="N631">
        <v>0.64</v>
      </c>
      <c r="P631">
        <v>17.873416358034699</v>
      </c>
      <c r="S631">
        <v>-1.08185511931413E-4</v>
      </c>
      <c r="X631" t="s">
        <v>5</v>
      </c>
      <c r="Y631">
        <v>5</v>
      </c>
      <c r="Z631" t="s">
        <v>4</v>
      </c>
      <c r="AA631" s="16">
        <v>43713</v>
      </c>
      <c r="AB631">
        <v>248.57702499999868</v>
      </c>
      <c r="AC631" s="4" t="s">
        <v>11</v>
      </c>
      <c r="AE631">
        <v>-5.4180129115497602</v>
      </c>
      <c r="AH631">
        <v>2.9120794126456502E-4</v>
      </c>
    </row>
    <row r="632" spans="1:36" x14ac:dyDescent="0.2">
      <c r="A632" t="s">
        <v>5</v>
      </c>
      <c r="B632">
        <v>1</v>
      </c>
      <c r="C632" s="2">
        <v>43724</v>
      </c>
      <c r="D632" s="13">
        <v>259.39884499999971</v>
      </c>
      <c r="E632" s="13">
        <v>259.42423699999927</v>
      </c>
      <c r="F632" s="4">
        <v>198.7</v>
      </c>
      <c r="G632" s="4">
        <v>423.7</v>
      </c>
      <c r="H632">
        <v>9.8000000000000007</v>
      </c>
      <c r="I632">
        <v>8.66</v>
      </c>
      <c r="J632">
        <v>15.56</v>
      </c>
      <c r="K632" s="4">
        <v>16.004000000000001</v>
      </c>
      <c r="L632">
        <v>31.1</v>
      </c>
      <c r="M632">
        <v>16.82</v>
      </c>
      <c r="N632">
        <v>0.69</v>
      </c>
      <c r="O632" s="4">
        <v>0.65400000000000003</v>
      </c>
      <c r="P632">
        <v>10.072969030952899</v>
      </c>
      <c r="Q632">
        <v>10.825652909290692</v>
      </c>
      <c r="R632">
        <v>1.5848500860875137</v>
      </c>
      <c r="S632" s="6">
        <v>-8.3135869854091097E-5</v>
      </c>
      <c r="T632" s="6">
        <v>-4.8997629446107113E-5</v>
      </c>
      <c r="U632" s="6">
        <v>5.9681076560041069E-5</v>
      </c>
      <c r="X632" t="s">
        <v>5</v>
      </c>
      <c r="Y632">
        <v>1</v>
      </c>
      <c r="Z632" t="s">
        <v>4</v>
      </c>
      <c r="AA632" s="16">
        <v>43724</v>
      </c>
      <c r="AB632">
        <v>259.39311499999894</v>
      </c>
      <c r="AC632" s="4">
        <v>243.7</v>
      </c>
      <c r="AD632" s="4">
        <v>345.2</v>
      </c>
      <c r="AE632">
        <v>-1.311761884784</v>
      </c>
      <c r="AF632">
        <v>-4.7444096696002163</v>
      </c>
      <c r="AG632">
        <v>4.7280570243620481</v>
      </c>
      <c r="AH632">
        <v>3.4284171343644499E-4</v>
      </c>
      <c r="AI632">
        <v>6.1612685614027471E-5</v>
      </c>
      <c r="AJ632">
        <v>1.7905224922488459E-4</v>
      </c>
    </row>
    <row r="633" spans="1:36" x14ac:dyDescent="0.2">
      <c r="A633" t="s">
        <v>5</v>
      </c>
      <c r="B633">
        <v>2</v>
      </c>
      <c r="C633" s="2">
        <v>43724</v>
      </c>
      <c r="D633" s="13">
        <v>259.41163500000039</v>
      </c>
      <c r="E633" s="13"/>
      <c r="F633" s="4">
        <v>296.2</v>
      </c>
      <c r="H633">
        <v>5.9</v>
      </c>
      <c r="J633">
        <v>15.56</v>
      </c>
      <c r="L633">
        <v>14.3</v>
      </c>
      <c r="N633">
        <v>0.62</v>
      </c>
      <c r="P633">
        <v>9.3187465826857991</v>
      </c>
      <c r="S633" s="6">
        <v>-7.2802107519415895E-5</v>
      </c>
      <c r="T633" s="6"/>
      <c r="U633" s="6"/>
      <c r="X633" t="s">
        <v>5</v>
      </c>
      <c r="Y633">
        <v>2</v>
      </c>
      <c r="Z633" t="s">
        <v>4</v>
      </c>
      <c r="AA633" s="16">
        <v>43724</v>
      </c>
      <c r="AB633">
        <v>259.40572999999858</v>
      </c>
      <c r="AC633" s="4">
        <v>308.7</v>
      </c>
      <c r="AE633">
        <v>1.14305140668269</v>
      </c>
      <c r="AH633">
        <v>-8.7172859986850095E-5</v>
      </c>
    </row>
    <row r="634" spans="1:36" x14ac:dyDescent="0.2">
      <c r="A634" t="s">
        <v>5</v>
      </c>
      <c r="B634">
        <v>3</v>
      </c>
      <c r="C634" s="2">
        <v>43724</v>
      </c>
      <c r="D634" s="13">
        <v>259.42378499999904</v>
      </c>
      <c r="E634" s="13"/>
      <c r="F634" s="4">
        <v>448.7</v>
      </c>
      <c r="H634">
        <v>7.5</v>
      </c>
      <c r="J634">
        <v>15.56</v>
      </c>
      <c r="L634">
        <v>14.2</v>
      </c>
      <c r="N634">
        <v>0.56000000000000005</v>
      </c>
      <c r="P634">
        <v>12.9499860203338</v>
      </c>
      <c r="S634">
        <v>-1.1208069727233699E-4</v>
      </c>
      <c r="T634" s="6"/>
      <c r="U634" s="6"/>
      <c r="X634" t="s">
        <v>5</v>
      </c>
      <c r="Y634">
        <v>3</v>
      </c>
      <c r="Z634" t="s">
        <v>4</v>
      </c>
      <c r="AA634" s="16">
        <v>43724</v>
      </c>
      <c r="AB634">
        <v>259.41782500000045</v>
      </c>
      <c r="AC634" s="4">
        <v>391.2</v>
      </c>
      <c r="AE634">
        <v>-8.2533550930239894</v>
      </c>
      <c r="AH634">
        <v>-5.8954934871993497E-5</v>
      </c>
    </row>
    <row r="635" spans="1:36" x14ac:dyDescent="0.2">
      <c r="A635" t="s">
        <v>5</v>
      </c>
      <c r="B635">
        <v>4</v>
      </c>
      <c r="C635" s="2">
        <v>43724</v>
      </c>
      <c r="D635" s="13">
        <v>259.43639999999868</v>
      </c>
      <c r="E635" s="13"/>
      <c r="F635" s="4">
        <v>486.2</v>
      </c>
      <c r="H635">
        <v>10.9</v>
      </c>
      <c r="J635">
        <v>15.56</v>
      </c>
      <c r="L635">
        <v>7.5</v>
      </c>
      <c r="N635">
        <v>0.72</v>
      </c>
      <c r="P635">
        <v>9.7340228405261602</v>
      </c>
      <c r="S635" s="6">
        <v>3.61339257440058E-5</v>
      </c>
      <c r="T635" s="6"/>
      <c r="U635" s="6"/>
      <c r="X635" t="s">
        <v>5</v>
      </c>
      <c r="Y635">
        <v>4</v>
      </c>
      <c r="Z635" t="s">
        <v>4</v>
      </c>
      <c r="AA635" s="16">
        <v>43724</v>
      </c>
      <c r="AB635">
        <v>259.43038499999966</v>
      </c>
      <c r="AC635" s="4">
        <v>446.2</v>
      </c>
      <c r="AE635">
        <v>-10.2744261779567</v>
      </c>
      <c r="AH635">
        <v>1.34430256092606E-4</v>
      </c>
    </row>
    <row r="636" spans="1:36" x14ac:dyDescent="0.2">
      <c r="A636" t="s">
        <v>5</v>
      </c>
      <c r="B636">
        <v>5</v>
      </c>
      <c r="C636" s="2">
        <v>43724</v>
      </c>
      <c r="D636" s="13">
        <v>259.45051999999851</v>
      </c>
      <c r="E636" s="13"/>
      <c r="F636" s="4">
        <v>688.7</v>
      </c>
      <c r="H636">
        <v>9.1999999999999993</v>
      </c>
      <c r="J636">
        <v>17.78</v>
      </c>
      <c r="L636">
        <v>17</v>
      </c>
      <c r="N636">
        <v>0.68</v>
      </c>
      <c r="P636">
        <v>12.0525400719548</v>
      </c>
      <c r="S636" s="6">
        <v>-1.31033983286974E-5</v>
      </c>
      <c r="X636" t="s">
        <v>5</v>
      </c>
      <c r="Y636">
        <v>5</v>
      </c>
      <c r="Z636" t="s">
        <v>4</v>
      </c>
      <c r="AA636" s="16">
        <v>43724</v>
      </c>
      <c r="AB636">
        <v>259.4428250000019</v>
      </c>
      <c r="AC636" s="4">
        <v>336.2</v>
      </c>
      <c r="AE636">
        <v>-5.0255565989190796</v>
      </c>
      <c r="AH636">
        <v>-2.3080746600069998E-5</v>
      </c>
    </row>
    <row r="637" spans="1:36" x14ac:dyDescent="0.2">
      <c r="A637" t="s">
        <v>5</v>
      </c>
      <c r="B637">
        <v>1</v>
      </c>
      <c r="C637" s="2">
        <v>43724</v>
      </c>
      <c r="D637" s="13">
        <v>259.47905000000173</v>
      </c>
      <c r="E637" s="13">
        <v>259.50651700000088</v>
      </c>
      <c r="F637" s="4">
        <v>811.2</v>
      </c>
      <c r="G637" s="4">
        <v>1062.7</v>
      </c>
      <c r="H637">
        <v>10.4</v>
      </c>
      <c r="I637">
        <v>8.8000000000000007</v>
      </c>
      <c r="J637">
        <v>18.89</v>
      </c>
      <c r="K637" s="4">
        <v>19.224</v>
      </c>
      <c r="L637">
        <v>24.3</v>
      </c>
      <c r="M637">
        <v>17.16</v>
      </c>
      <c r="N637">
        <v>0.62</v>
      </c>
      <c r="O637" s="4">
        <v>0.59800000000000009</v>
      </c>
      <c r="P637">
        <v>18.8444665423979</v>
      </c>
      <c r="Q637">
        <v>21.34420328174912</v>
      </c>
      <c r="R637">
        <v>4.2550622513424328</v>
      </c>
      <c r="S637">
        <v>-1.7215303489595801E-4</v>
      </c>
      <c r="T637" s="6">
        <v>-6.6046781945033799E-5</v>
      </c>
      <c r="U637" s="6">
        <v>1.5910776992179032E-4</v>
      </c>
      <c r="X637" t="s">
        <v>5</v>
      </c>
      <c r="Y637">
        <v>1</v>
      </c>
      <c r="Z637" t="s">
        <v>4</v>
      </c>
      <c r="AA637" s="16">
        <v>43724</v>
      </c>
      <c r="AB637">
        <v>259.46915499999886</v>
      </c>
      <c r="AC637" s="4">
        <v>1576.2</v>
      </c>
      <c r="AD637" s="4">
        <v>1355.2</v>
      </c>
      <c r="AE637">
        <v>-13.217589213114</v>
      </c>
      <c r="AF637">
        <v>-7.7843608406458262</v>
      </c>
      <c r="AG637">
        <v>7.480936447419082</v>
      </c>
      <c r="AH637">
        <v>-4.70426140640226E-5</v>
      </c>
      <c r="AI637">
        <v>-1.650468506730339E-4</v>
      </c>
      <c r="AJ637">
        <v>1.441260093836853E-4</v>
      </c>
    </row>
    <row r="638" spans="1:36" x14ac:dyDescent="0.2">
      <c r="A638" t="s">
        <v>5</v>
      </c>
      <c r="B638">
        <v>2</v>
      </c>
      <c r="C638" s="2">
        <v>43724</v>
      </c>
      <c r="D638" s="13">
        <v>259.49294000000009</v>
      </c>
      <c r="E638" s="13"/>
      <c r="F638" s="4">
        <v>1193.7</v>
      </c>
      <c r="H638">
        <v>6.5</v>
      </c>
      <c r="J638">
        <v>18.89</v>
      </c>
      <c r="L638">
        <v>15</v>
      </c>
      <c r="N638">
        <v>0.54</v>
      </c>
      <c r="P638">
        <v>16.753944296102599</v>
      </c>
      <c r="S638">
        <v>-1.7349843801957001E-4</v>
      </c>
      <c r="T638" s="6"/>
      <c r="U638" s="6"/>
      <c r="X638" t="s">
        <v>5</v>
      </c>
      <c r="Y638">
        <v>2</v>
      </c>
      <c r="Z638" t="s">
        <v>4</v>
      </c>
      <c r="AA638" s="16">
        <v>43724</v>
      </c>
      <c r="AB638">
        <v>259.4861149999997</v>
      </c>
      <c r="AC638" s="4">
        <v>1236.2</v>
      </c>
      <c r="AE638">
        <v>-4.8698897137873702</v>
      </c>
      <c r="AH638">
        <v>-1.8637049996789501E-4</v>
      </c>
    </row>
    <row r="639" spans="1:36" x14ac:dyDescent="0.2">
      <c r="A639" t="s">
        <v>5</v>
      </c>
      <c r="B639">
        <v>3</v>
      </c>
      <c r="C639" s="2">
        <v>43724</v>
      </c>
      <c r="D639" s="13">
        <v>259.50567500000034</v>
      </c>
      <c r="E639" s="13"/>
      <c r="F639" s="4">
        <v>838.7</v>
      </c>
      <c r="H639">
        <v>6.5</v>
      </c>
      <c r="J639">
        <v>18.89</v>
      </c>
      <c r="L639">
        <v>16.600000000000001</v>
      </c>
      <c r="N639">
        <v>0.48</v>
      </c>
      <c r="P639">
        <v>28.0460344626593</v>
      </c>
      <c r="S639">
        <v>-2.0019252581350599E-4</v>
      </c>
      <c r="T639" s="6"/>
      <c r="U639" s="6"/>
      <c r="X639" t="s">
        <v>5</v>
      </c>
      <c r="Y639">
        <v>3</v>
      </c>
      <c r="Z639" t="s">
        <v>4</v>
      </c>
      <c r="AA639" s="16">
        <v>43724</v>
      </c>
      <c r="AB639">
        <v>259.49924499999906</v>
      </c>
      <c r="AC639" s="4">
        <v>1141.2</v>
      </c>
      <c r="AE639">
        <v>-15.4520377920791</v>
      </c>
      <c r="AH639">
        <v>-4.0339725992323203E-4</v>
      </c>
    </row>
    <row r="640" spans="1:36" x14ac:dyDescent="0.2">
      <c r="A640" t="s">
        <v>5</v>
      </c>
      <c r="B640">
        <v>4</v>
      </c>
      <c r="C640" s="2">
        <v>43724</v>
      </c>
      <c r="D640" s="13">
        <v>259.52031500000157</v>
      </c>
      <c r="E640" s="13"/>
      <c r="F640" s="4">
        <v>953.7</v>
      </c>
      <c r="H640">
        <v>10.9</v>
      </c>
      <c r="J640">
        <v>18.89</v>
      </c>
      <c r="L640">
        <v>14.6</v>
      </c>
      <c r="N640">
        <v>0.66</v>
      </c>
      <c r="P640">
        <v>21.776172812555199</v>
      </c>
      <c r="S640">
        <v>1.10328808910275E-4</v>
      </c>
      <c r="T640" s="6"/>
      <c r="U640" s="6"/>
      <c r="X640" t="s">
        <v>5</v>
      </c>
      <c r="Y640">
        <v>4</v>
      </c>
      <c r="Z640" t="s">
        <v>4</v>
      </c>
      <c r="AA640" s="16">
        <v>43724</v>
      </c>
      <c r="AB640">
        <v>259.51354500000161</v>
      </c>
      <c r="AC640" s="4">
        <v>1876.2</v>
      </c>
      <c r="AE640">
        <v>-8.8217447472348294</v>
      </c>
      <c r="AH640">
        <v>-6.3687837481470907E-5</v>
      </c>
    </row>
    <row r="641" spans="1:36" x14ac:dyDescent="0.2">
      <c r="A641" t="s">
        <v>5</v>
      </c>
      <c r="B641">
        <v>5</v>
      </c>
      <c r="C641" s="2">
        <v>43724</v>
      </c>
      <c r="D641" s="13">
        <v>259.53460500000074</v>
      </c>
      <c r="E641" s="13"/>
      <c r="F641" s="4">
        <v>1516.2</v>
      </c>
      <c r="H641">
        <v>9.6999999999999993</v>
      </c>
      <c r="J641">
        <v>20.56</v>
      </c>
      <c r="L641">
        <v>15.3</v>
      </c>
      <c r="N641">
        <v>0.69</v>
      </c>
      <c r="P641">
        <v>21.3003982950306</v>
      </c>
      <c r="S641">
        <v>1.0528128009359E-4</v>
      </c>
      <c r="X641" t="s">
        <v>5</v>
      </c>
      <c r="Y641">
        <v>5</v>
      </c>
      <c r="Z641" t="s">
        <v>4</v>
      </c>
      <c r="AA641" s="16">
        <v>43724</v>
      </c>
      <c r="AB641">
        <v>259.52777499999866</v>
      </c>
      <c r="AC641" s="4">
        <v>946.2</v>
      </c>
      <c r="AE641">
        <v>3.4394572629861702</v>
      </c>
      <c r="AH641">
        <v>-1.24736041928549E-4</v>
      </c>
    </row>
    <row r="642" spans="1:36" x14ac:dyDescent="0.2">
      <c r="A642" t="s">
        <v>5</v>
      </c>
      <c r="B642">
        <v>1</v>
      </c>
      <c r="C642" s="2">
        <v>43735</v>
      </c>
      <c r="D642" s="13">
        <v>270.40451499999836</v>
      </c>
      <c r="E642" s="13">
        <v>270.43576299999916</v>
      </c>
      <c r="F642" s="4">
        <v>898.7</v>
      </c>
      <c r="G642" s="4">
        <v>1108.2</v>
      </c>
      <c r="H642">
        <v>11.1</v>
      </c>
      <c r="I642">
        <v>9.7200000000000006</v>
      </c>
      <c r="J642">
        <v>16.11</v>
      </c>
      <c r="K642" s="4">
        <v>16.553999999999998</v>
      </c>
      <c r="L642">
        <v>13.6</v>
      </c>
      <c r="M642">
        <v>8.42</v>
      </c>
      <c r="N642">
        <v>0.25</v>
      </c>
      <c r="O642" s="4">
        <v>0.246</v>
      </c>
      <c r="P642">
        <v>6.84452652440942</v>
      </c>
      <c r="Q642">
        <v>7.8446075913906936</v>
      </c>
      <c r="R642">
        <v>1.3841557529024311</v>
      </c>
      <c r="S642">
        <v>-2.83016441402752E-4</v>
      </c>
      <c r="T642" s="6">
        <v>-2.2649145880311851E-4</v>
      </c>
      <c r="U642" s="6">
        <v>1.6447383180318226E-4</v>
      </c>
      <c r="X642" t="s">
        <v>5</v>
      </c>
      <c r="Y642">
        <v>1</v>
      </c>
      <c r="Z642" t="s">
        <v>4</v>
      </c>
      <c r="AA642" s="16">
        <v>43735</v>
      </c>
      <c r="AB642">
        <v>270.397570000001</v>
      </c>
      <c r="AC642" s="4">
        <v>843.7</v>
      </c>
      <c r="AD642" s="4">
        <v>1059.7</v>
      </c>
      <c r="AE642">
        <v>6.2133387226072703</v>
      </c>
      <c r="AF642">
        <v>7.6701009655844272</v>
      </c>
      <c r="AG642">
        <v>1.843109563250857</v>
      </c>
      <c r="AH642">
        <v>-2.8138456877137101E-4</v>
      </c>
      <c r="AI642">
        <v>-2.003691190263069E-4</v>
      </c>
      <c r="AJ642">
        <v>1.5930350654302718E-4</v>
      </c>
    </row>
    <row r="643" spans="1:36" x14ac:dyDescent="0.2">
      <c r="A643" t="s">
        <v>5</v>
      </c>
      <c r="B643">
        <v>2</v>
      </c>
      <c r="C643" s="2">
        <v>43735</v>
      </c>
      <c r="D643" s="13">
        <v>270.41770499999984</v>
      </c>
      <c r="E643" s="13"/>
      <c r="F643" s="4">
        <v>998.7</v>
      </c>
      <c r="H643">
        <v>9.1</v>
      </c>
      <c r="J643">
        <v>16.11</v>
      </c>
      <c r="L643">
        <v>8.9</v>
      </c>
      <c r="N643">
        <v>0.21</v>
      </c>
      <c r="P643">
        <v>6.6157234513654597</v>
      </c>
      <c r="S643">
        <v>-3.4186630619705298E-4</v>
      </c>
      <c r="T643" s="6"/>
      <c r="U643" s="6"/>
      <c r="X643" t="s">
        <v>5</v>
      </c>
      <c r="Y643">
        <v>2</v>
      </c>
      <c r="Z643" t="s">
        <v>4</v>
      </c>
      <c r="AA643" s="16">
        <v>43735</v>
      </c>
      <c r="AB643">
        <v>270.4114550000013</v>
      </c>
      <c r="AC643" s="4">
        <v>951.2</v>
      </c>
      <c r="AE643">
        <v>7.7101290042062196</v>
      </c>
      <c r="AH643">
        <v>-3.0994321030781199E-4</v>
      </c>
    </row>
    <row r="644" spans="1:36" x14ac:dyDescent="0.2">
      <c r="A644" t="s">
        <v>5</v>
      </c>
      <c r="B644">
        <v>3</v>
      </c>
      <c r="C644" s="2">
        <v>43735</v>
      </c>
      <c r="D644" s="13">
        <v>270.43576499999836</v>
      </c>
      <c r="E644" s="13"/>
      <c r="F644" s="4">
        <v>1123.7</v>
      </c>
      <c r="H644">
        <v>6.2</v>
      </c>
      <c r="J644">
        <v>16.11</v>
      </c>
      <c r="L644">
        <v>8.6999999999999993</v>
      </c>
      <c r="N644">
        <v>0.25</v>
      </c>
      <c r="P644">
        <v>9.8033797144448904</v>
      </c>
      <c r="S644">
        <v>-3.9050687229041703E-4</v>
      </c>
      <c r="T644" s="6"/>
      <c r="U644" s="6"/>
      <c r="X644" t="s">
        <v>5</v>
      </c>
      <c r="Y644">
        <v>3</v>
      </c>
      <c r="Z644" t="s">
        <v>4</v>
      </c>
      <c r="AA644" s="16">
        <v>43735</v>
      </c>
      <c r="AB644">
        <v>270.42534499999965</v>
      </c>
      <c r="AC644" s="4">
        <v>1053.7</v>
      </c>
      <c r="AE644">
        <v>9.1649978739307407</v>
      </c>
      <c r="AH644">
        <v>-3.53858026757399E-4</v>
      </c>
    </row>
    <row r="645" spans="1:36" x14ac:dyDescent="0.2">
      <c r="A645" t="s">
        <v>5</v>
      </c>
      <c r="B645">
        <v>4</v>
      </c>
      <c r="C645" s="2">
        <v>43735</v>
      </c>
      <c r="D645" s="13">
        <v>270.453125</v>
      </c>
      <c r="E645" s="13"/>
      <c r="F645" s="4">
        <v>1226.2</v>
      </c>
      <c r="H645">
        <v>11.8</v>
      </c>
      <c r="J645">
        <v>16.11</v>
      </c>
      <c r="L645">
        <v>7.8</v>
      </c>
      <c r="N645">
        <v>0.25</v>
      </c>
      <c r="P645">
        <v>7.1797229330660199</v>
      </c>
      <c r="S645">
        <v>-1.23262327931116E-4</v>
      </c>
      <c r="T645" s="6"/>
      <c r="U645" s="6"/>
      <c r="X645" t="s">
        <v>5</v>
      </c>
      <c r="Y645">
        <v>4</v>
      </c>
      <c r="Z645" t="s">
        <v>4</v>
      </c>
      <c r="AA645" s="16">
        <v>43735</v>
      </c>
      <c r="AB645">
        <v>270.446179999999</v>
      </c>
      <c r="AC645" s="4">
        <v>1183.7</v>
      </c>
      <c r="AE645">
        <v>5.4831507277609202</v>
      </c>
      <c r="AH645">
        <v>-3.7989345041561097E-5</v>
      </c>
    </row>
    <row r="646" spans="1:36" x14ac:dyDescent="0.2">
      <c r="A646" t="s">
        <v>5</v>
      </c>
      <c r="B646">
        <v>5</v>
      </c>
      <c r="C646" s="2">
        <v>43735</v>
      </c>
      <c r="D646" s="13">
        <v>270.46770499999911</v>
      </c>
      <c r="E646" s="13"/>
      <c r="F646" s="4">
        <v>1293.7</v>
      </c>
      <c r="H646">
        <v>10.4</v>
      </c>
      <c r="J646">
        <v>18.329999999999998</v>
      </c>
      <c r="L646">
        <v>3.1</v>
      </c>
      <c r="N646">
        <v>0.27</v>
      </c>
      <c r="P646">
        <v>8.7796853336676808</v>
      </c>
      <c r="S646" s="6">
        <v>6.1946538057454104E-6</v>
      </c>
      <c r="X646" t="s">
        <v>5</v>
      </c>
      <c r="Y646">
        <v>5</v>
      </c>
      <c r="Z646" t="s">
        <v>4</v>
      </c>
      <c r="AA646" s="16">
        <v>43735</v>
      </c>
      <c r="AB646">
        <v>270.46076499999981</v>
      </c>
      <c r="AC646" s="4">
        <v>1266.2</v>
      </c>
      <c r="AE646">
        <v>9.7788884994169898</v>
      </c>
      <c r="AH646">
        <v>-1.8670444253391299E-5</v>
      </c>
    </row>
    <row r="647" spans="1:36" x14ac:dyDescent="0.2">
      <c r="A647" t="s">
        <v>5</v>
      </c>
      <c r="B647">
        <v>1</v>
      </c>
      <c r="C647" s="2">
        <v>43735</v>
      </c>
      <c r="D647" s="13">
        <v>270.50902499999938</v>
      </c>
      <c r="E647" s="13">
        <v>270.53270699999996</v>
      </c>
      <c r="F647" s="4">
        <v>1428.7</v>
      </c>
      <c r="G647" s="4">
        <v>1442.7</v>
      </c>
      <c r="H647">
        <v>8.6999999999999993</v>
      </c>
      <c r="I647">
        <v>8.7800000000000011</v>
      </c>
      <c r="J647">
        <v>18.89</v>
      </c>
      <c r="K647" s="4">
        <v>19.224</v>
      </c>
      <c r="L647">
        <v>7.8</v>
      </c>
      <c r="M647">
        <v>10.080000000000002</v>
      </c>
      <c r="N647">
        <v>0.25</v>
      </c>
      <c r="O647" s="4">
        <v>0.248</v>
      </c>
      <c r="P647">
        <v>8.6554175106653997</v>
      </c>
      <c r="Q647">
        <v>8.8574705655554062</v>
      </c>
      <c r="R647">
        <v>1.3803164900994638</v>
      </c>
      <c r="S647">
        <v>-1.2485313238769E-4</v>
      </c>
      <c r="T647" s="6">
        <v>-1.4217654160397298E-4</v>
      </c>
      <c r="U647" s="6">
        <v>5.8513543781076117E-5</v>
      </c>
      <c r="X647" t="s">
        <v>5</v>
      </c>
      <c r="Y647">
        <v>1</v>
      </c>
      <c r="Z647" t="s">
        <v>4</v>
      </c>
      <c r="AA647" s="16">
        <v>43735</v>
      </c>
      <c r="AB647">
        <v>270.50381999999809</v>
      </c>
      <c r="AC647" s="4">
        <v>1416.2</v>
      </c>
      <c r="AD647" s="4">
        <v>1441.2</v>
      </c>
      <c r="AE647">
        <v>8.5387611029495201</v>
      </c>
      <c r="AF647">
        <v>8.3573613207850972</v>
      </c>
      <c r="AG647">
        <v>1.6622464206611383</v>
      </c>
      <c r="AH647">
        <v>-1.7880301511944099E-4</v>
      </c>
      <c r="AI647">
        <v>-1.7180347668486372E-4</v>
      </c>
      <c r="AJ647">
        <v>7.0138391844224709E-5</v>
      </c>
    </row>
    <row r="648" spans="1:36" x14ac:dyDescent="0.2">
      <c r="A648" t="s">
        <v>5</v>
      </c>
      <c r="B648">
        <v>2</v>
      </c>
      <c r="C648" s="2">
        <v>43735</v>
      </c>
      <c r="D648" s="13">
        <v>270.52013499999885</v>
      </c>
      <c r="E648" s="13"/>
      <c r="F648" s="4">
        <v>1438.7</v>
      </c>
      <c r="H648">
        <v>7.4</v>
      </c>
      <c r="J648">
        <v>18.89</v>
      </c>
      <c r="L648">
        <v>20.100000000000001</v>
      </c>
      <c r="N648">
        <v>0.25</v>
      </c>
      <c r="P648">
        <v>7.8995670468623702</v>
      </c>
      <c r="S648">
        <v>-1.44024675464404E-4</v>
      </c>
      <c r="T648" s="6"/>
      <c r="U648" s="6"/>
      <c r="X648" t="s">
        <v>5</v>
      </c>
      <c r="Y648">
        <v>2</v>
      </c>
      <c r="Z648" t="s">
        <v>4</v>
      </c>
      <c r="AA648" s="16">
        <v>43735</v>
      </c>
      <c r="AB648">
        <v>270.515625</v>
      </c>
      <c r="AC648" s="4">
        <v>1436.2</v>
      </c>
      <c r="AE648">
        <v>8.5252060523847604</v>
      </c>
      <c r="AH648">
        <v>-2.1465605538952399E-4</v>
      </c>
    </row>
    <row r="649" spans="1:36" x14ac:dyDescent="0.2">
      <c r="A649" t="s">
        <v>5</v>
      </c>
      <c r="B649">
        <v>3</v>
      </c>
      <c r="C649" s="2">
        <v>43735</v>
      </c>
      <c r="D649" s="13">
        <v>270.53229500000089</v>
      </c>
      <c r="E649" s="13"/>
      <c r="F649" s="4">
        <v>1453.7</v>
      </c>
      <c r="H649">
        <v>7</v>
      </c>
      <c r="J649">
        <v>18.89</v>
      </c>
      <c r="L649">
        <v>8.1999999999999993</v>
      </c>
      <c r="N649">
        <v>0.24</v>
      </c>
      <c r="P649">
        <v>10.872408184069</v>
      </c>
      <c r="S649">
        <v>-2.32698839784571E-4</v>
      </c>
      <c r="T649" s="6"/>
      <c r="U649" s="6"/>
      <c r="X649" t="s">
        <v>5</v>
      </c>
      <c r="Y649">
        <v>3</v>
      </c>
      <c r="Z649" t="s">
        <v>4</v>
      </c>
      <c r="AA649" s="16">
        <v>43735</v>
      </c>
      <c r="AB649">
        <v>270.52673499999946</v>
      </c>
      <c r="AC649" s="4">
        <v>1453.7</v>
      </c>
      <c r="AE649">
        <v>10.5299526372788</v>
      </c>
      <c r="AH649">
        <v>-2.5200837826748799E-4</v>
      </c>
    </row>
    <row r="650" spans="1:36" x14ac:dyDescent="0.2">
      <c r="A650" t="s">
        <v>5</v>
      </c>
      <c r="B650">
        <v>4</v>
      </c>
      <c r="C650" s="2">
        <v>43735</v>
      </c>
      <c r="D650" s="13">
        <v>270.54409500000111</v>
      </c>
      <c r="E650" s="13"/>
      <c r="F650" s="4">
        <v>1456.2</v>
      </c>
      <c r="H650">
        <v>11.1</v>
      </c>
      <c r="J650">
        <v>18.89</v>
      </c>
      <c r="L650">
        <v>9.8000000000000007</v>
      </c>
      <c r="N650">
        <v>0.24</v>
      </c>
      <c r="P650">
        <v>7.3723364445299602</v>
      </c>
      <c r="S650">
        <v>-1.3916033979632499E-4</v>
      </c>
      <c r="T650" s="6"/>
      <c r="U650" s="6"/>
      <c r="X650" t="s">
        <v>5</v>
      </c>
      <c r="Y650">
        <v>4</v>
      </c>
      <c r="Z650" t="s">
        <v>4</v>
      </c>
      <c r="AA650" s="16">
        <v>43735</v>
      </c>
      <c r="AB650">
        <v>270.53854499999943</v>
      </c>
      <c r="AC650" s="4">
        <v>1453.7</v>
      </c>
      <c r="AE650">
        <v>5.8532230086190999</v>
      </c>
      <c r="AH650">
        <v>-1.44866952732625E-4</v>
      </c>
    </row>
    <row r="651" spans="1:36" x14ac:dyDescent="0.2">
      <c r="A651" t="s">
        <v>5</v>
      </c>
      <c r="B651">
        <v>5</v>
      </c>
      <c r="C651" s="2">
        <v>43735</v>
      </c>
      <c r="D651" s="13">
        <v>270.55798499999946</v>
      </c>
      <c r="E651" s="13"/>
      <c r="F651" s="4">
        <v>1436.2</v>
      </c>
      <c r="H651">
        <v>9.6999999999999993</v>
      </c>
      <c r="J651">
        <v>20.56</v>
      </c>
      <c r="L651">
        <v>4.5</v>
      </c>
      <c r="N651">
        <v>0.26</v>
      </c>
      <c r="P651">
        <v>9.4876236416503001</v>
      </c>
      <c r="S651" s="6">
        <v>-7.0145720586874905E-5</v>
      </c>
      <c r="X651" t="s">
        <v>5</v>
      </c>
      <c r="Y651">
        <v>5</v>
      </c>
      <c r="Z651" t="s">
        <v>4</v>
      </c>
      <c r="AA651" s="16">
        <v>43735</v>
      </c>
      <c r="AB651">
        <v>270.55034499999965</v>
      </c>
      <c r="AC651" s="4">
        <v>1446.2</v>
      </c>
      <c r="AE651">
        <v>8.3396638026933001</v>
      </c>
      <c r="AH651">
        <v>-6.8682981915240798E-5</v>
      </c>
    </row>
    <row r="652" spans="1:36" x14ac:dyDescent="0.2">
      <c r="A652" t="s">
        <v>5</v>
      </c>
      <c r="B652">
        <v>1</v>
      </c>
      <c r="C652" s="2">
        <v>43740</v>
      </c>
      <c r="D652" s="13">
        <v>275.49930500000119</v>
      </c>
      <c r="E652" s="13">
        <v>275.58381900000023</v>
      </c>
      <c r="F652" s="4">
        <v>1156.2</v>
      </c>
      <c r="G652" s="4">
        <v>666.2</v>
      </c>
      <c r="H652">
        <v>10.199999999999999</v>
      </c>
      <c r="I652">
        <v>9.5800000000000018</v>
      </c>
      <c r="J652">
        <v>26.11</v>
      </c>
      <c r="K652" s="4">
        <v>24.442</v>
      </c>
      <c r="L652">
        <v>7.2</v>
      </c>
      <c r="M652">
        <v>8.7200000000000006</v>
      </c>
      <c r="N652">
        <v>0.21</v>
      </c>
      <c r="O652" s="4">
        <v>0.21600000000000003</v>
      </c>
      <c r="P652">
        <v>4.0963989119999997</v>
      </c>
      <c r="Q652">
        <v>3.9944001984104252</v>
      </c>
      <c r="R652">
        <v>0.20954690435621909</v>
      </c>
      <c r="S652" s="6">
        <v>7.13730731320307E-5</v>
      </c>
      <c r="T652" s="6">
        <v>-2.1244943051748463E-5</v>
      </c>
      <c r="U652" s="6">
        <v>8.6274063792677312E-5</v>
      </c>
      <c r="X652" t="s">
        <v>5</v>
      </c>
      <c r="Y652">
        <v>1</v>
      </c>
      <c r="Z652" t="s">
        <v>4</v>
      </c>
      <c r="AA652" s="16">
        <v>43740</v>
      </c>
      <c r="AB652">
        <v>275.49340500000108</v>
      </c>
      <c r="AC652" s="4">
        <v>1143.7</v>
      </c>
      <c r="AD652" s="4">
        <v>708.2</v>
      </c>
      <c r="AE652">
        <v>6.0713701289999999</v>
      </c>
      <c r="AF652">
        <v>4.9856202701782024</v>
      </c>
      <c r="AG652">
        <v>1.1866699221348638</v>
      </c>
      <c r="AH652">
        <v>-7.6637568380828695E-5</v>
      </c>
      <c r="AI652">
        <v>5.0724658649824261E-5</v>
      </c>
      <c r="AJ652">
        <v>2.0280271173537298E-4</v>
      </c>
    </row>
    <row r="653" spans="1:36" x14ac:dyDescent="0.2">
      <c r="A653" t="s">
        <v>5</v>
      </c>
      <c r="B653">
        <v>2</v>
      </c>
      <c r="C653" s="2">
        <v>43740</v>
      </c>
      <c r="D653" s="13">
        <v>275.54826500000127</v>
      </c>
      <c r="E653" s="13"/>
      <c r="F653" s="4">
        <v>698.7</v>
      </c>
      <c r="H653">
        <v>8.4</v>
      </c>
      <c r="J653">
        <v>26.11</v>
      </c>
      <c r="L653">
        <v>6.2</v>
      </c>
      <c r="N653">
        <v>0.21</v>
      </c>
      <c r="S653" s="6">
        <v>-8.8071028071651101E-5</v>
      </c>
      <c r="T653" s="6"/>
      <c r="U653" s="6"/>
      <c r="X653" t="s">
        <v>5</v>
      </c>
      <c r="Y653">
        <v>2</v>
      </c>
      <c r="Z653" t="s">
        <v>4</v>
      </c>
      <c r="AA653" s="16">
        <v>43740</v>
      </c>
      <c r="AB653">
        <v>275.54201499999908</v>
      </c>
      <c r="AC653" s="4">
        <v>526.20000000000005</v>
      </c>
      <c r="AE653">
        <v>5.8762278620000004</v>
      </c>
      <c r="AH653">
        <v>-2.2075383639005001E-4</v>
      </c>
    </row>
    <row r="654" spans="1:36" x14ac:dyDescent="0.2">
      <c r="A654" t="s">
        <v>5</v>
      </c>
      <c r="B654">
        <v>3</v>
      </c>
      <c r="C654" s="2">
        <v>43740</v>
      </c>
      <c r="D654" s="13">
        <v>275.61215499999889</v>
      </c>
      <c r="E654" s="13"/>
      <c r="F654" s="4">
        <v>668.7</v>
      </c>
      <c r="H654">
        <v>7.3</v>
      </c>
      <c r="J654">
        <v>23.33</v>
      </c>
      <c r="L654">
        <v>20.100000000000001</v>
      </c>
      <c r="N654">
        <v>0.22</v>
      </c>
      <c r="P654">
        <v>4.1568341632748202</v>
      </c>
      <c r="S654" s="6">
        <v>7.4900817706710494E-5</v>
      </c>
      <c r="T654" s="6"/>
      <c r="U654" s="6"/>
      <c r="X654" t="s">
        <v>5</v>
      </c>
      <c r="Y654">
        <v>3</v>
      </c>
      <c r="Z654" t="s">
        <v>4</v>
      </c>
      <c r="AA654" s="16">
        <v>43740</v>
      </c>
      <c r="AB654">
        <v>275.55451499999981</v>
      </c>
      <c r="AC654" s="4">
        <v>533.70000000000005</v>
      </c>
      <c r="AH654">
        <v>1.06483502444899E-4</v>
      </c>
    </row>
    <row r="655" spans="1:36" x14ac:dyDescent="0.2">
      <c r="A655" t="s">
        <v>5</v>
      </c>
      <c r="B655">
        <v>4</v>
      </c>
      <c r="C655" s="2">
        <v>43740</v>
      </c>
      <c r="D655" s="13">
        <v>275.62395499999911</v>
      </c>
      <c r="E655" s="13"/>
      <c r="F655" s="4">
        <v>566.20000000000005</v>
      </c>
      <c r="H655">
        <v>11.3</v>
      </c>
      <c r="J655">
        <v>23.33</v>
      </c>
      <c r="L655">
        <v>7.5</v>
      </c>
      <c r="N655">
        <v>0.22</v>
      </c>
      <c r="P655">
        <v>4.0353584302716303</v>
      </c>
      <c r="S655" s="6">
        <v>-8.72449968604297E-5</v>
      </c>
      <c r="T655" s="6"/>
      <c r="U655" s="6"/>
      <c r="X655" t="s">
        <v>5</v>
      </c>
      <c r="Y655">
        <v>4</v>
      </c>
      <c r="Z655" t="s">
        <v>4</v>
      </c>
      <c r="AA655" s="16">
        <v>43740</v>
      </c>
      <c r="AB655">
        <v>275.61840500000108</v>
      </c>
      <c r="AC655" s="4">
        <v>671.2</v>
      </c>
      <c r="AE655">
        <v>3.6104483360017201</v>
      </c>
      <c r="AH655">
        <v>3.0174016335317901E-4</v>
      </c>
    </row>
    <row r="656" spans="1:36" x14ac:dyDescent="0.2">
      <c r="A656" t="s">
        <v>5</v>
      </c>
      <c r="B656">
        <v>5</v>
      </c>
      <c r="C656" s="2">
        <v>43740</v>
      </c>
      <c r="D656" s="13">
        <v>275.63541500000065</v>
      </c>
      <c r="E656" s="13"/>
      <c r="F656" s="4">
        <v>241.2</v>
      </c>
      <c r="H656">
        <v>10.7</v>
      </c>
      <c r="J656">
        <v>23.33</v>
      </c>
      <c r="L656">
        <v>2.6</v>
      </c>
      <c r="N656">
        <v>0.22</v>
      </c>
      <c r="P656">
        <v>3.6890092880952499</v>
      </c>
      <c r="S656" s="6">
        <v>-7.7182581165402702E-5</v>
      </c>
      <c r="X656" t="s">
        <v>5</v>
      </c>
      <c r="Y656">
        <v>5</v>
      </c>
      <c r="Z656" t="s">
        <v>4</v>
      </c>
      <c r="AA656" s="16">
        <v>43740</v>
      </c>
      <c r="AB656">
        <v>275.62916499999847</v>
      </c>
      <c r="AC656" s="4">
        <v>666.2</v>
      </c>
      <c r="AE656">
        <v>4.3844347537110897</v>
      </c>
      <c r="AH656">
        <v>1.4279103222192201E-4</v>
      </c>
    </row>
    <row r="657" spans="1:36" s="18" customFormat="1" x14ac:dyDescent="0.2">
      <c r="A657" s="18" t="s">
        <v>5</v>
      </c>
      <c r="B657" s="18">
        <v>1</v>
      </c>
      <c r="C657" s="19">
        <v>43747</v>
      </c>
      <c r="D657" s="20">
        <v>282.47812500000146</v>
      </c>
      <c r="E657" s="20">
        <v>282.50156250000055</v>
      </c>
      <c r="F657" s="21">
        <v>503.7</v>
      </c>
      <c r="G657" s="21">
        <v>693.7</v>
      </c>
      <c r="H657" s="18">
        <v>17.399999999999999</v>
      </c>
      <c r="I657" s="18">
        <v>18.049999999999997</v>
      </c>
      <c r="J657" s="18">
        <v>13.33</v>
      </c>
      <c r="K657">
        <v>13.47</v>
      </c>
      <c r="M657" t="e">
        <v>#DIV/0!</v>
      </c>
      <c r="N657" s="18">
        <v>0.19</v>
      </c>
      <c r="O657" s="4">
        <v>0.1925</v>
      </c>
      <c r="P657" s="18">
        <v>1.9797710289927299</v>
      </c>
      <c r="Q657">
        <v>1.8404797649637601</v>
      </c>
      <c r="R657">
        <v>0.19779689191205421</v>
      </c>
      <c r="S657" s="23">
        <v>-8.2371465142553897E-5</v>
      </c>
      <c r="T657" s="6">
        <v>-7.1328092560909138E-5</v>
      </c>
      <c r="U657" s="6">
        <v>2.9753653118343219E-5</v>
      </c>
      <c r="X657" s="18" t="s">
        <v>5</v>
      </c>
      <c r="Y657" s="18">
        <v>1</v>
      </c>
      <c r="Z657" s="18" t="s">
        <v>4</v>
      </c>
      <c r="AA657" s="22">
        <v>43747</v>
      </c>
      <c r="AB657" s="18">
        <v>282.47118000000046</v>
      </c>
      <c r="AC657" s="21">
        <v>461.2</v>
      </c>
      <c r="AD657" s="4">
        <v>579.70000000000005</v>
      </c>
      <c r="AE657" s="18">
        <v>2.2902475507700699</v>
      </c>
      <c r="AF657">
        <v>2.3926521959892701</v>
      </c>
      <c r="AG657">
        <v>0.48711337252609588</v>
      </c>
      <c r="AH657" s="18">
        <v>-1.4007411528481201E-4</v>
      </c>
      <c r="AI657">
        <v>-5.9249322682677522E-5</v>
      </c>
      <c r="AJ657">
        <v>1.0222866309498888E-4</v>
      </c>
    </row>
    <row r="658" spans="1:36" s="18" customFormat="1" x14ac:dyDescent="0.2">
      <c r="A658" s="18" t="s">
        <v>5</v>
      </c>
      <c r="B658" s="18">
        <v>2</v>
      </c>
      <c r="C658" s="19">
        <v>43747</v>
      </c>
      <c r="D658" s="20">
        <v>282.49548499999946</v>
      </c>
      <c r="E658" s="20"/>
      <c r="F658" s="21">
        <v>388.7</v>
      </c>
      <c r="G658" s="21"/>
      <c r="H658" s="18">
        <v>18.899999999999999</v>
      </c>
      <c r="J658" s="18">
        <v>13.33</v>
      </c>
      <c r="K658"/>
      <c r="M658"/>
      <c r="N658" s="18">
        <v>0.19</v>
      </c>
      <c r="O658" s="4"/>
      <c r="P658" s="18">
        <v>1.6071422199246399</v>
      </c>
      <c r="Q658"/>
      <c r="R658"/>
      <c r="S658" s="18">
        <v>-1.03938351609003E-4</v>
      </c>
      <c r="T658" s="6"/>
      <c r="U658" s="6"/>
      <c r="X658" s="18" t="s">
        <v>5</v>
      </c>
      <c r="Y658" s="18">
        <v>2</v>
      </c>
      <c r="Z658" s="18" t="s">
        <v>4</v>
      </c>
      <c r="AA658" s="22">
        <v>43747</v>
      </c>
      <c r="AB658" s="18">
        <v>282.48507000000245</v>
      </c>
      <c r="AC658" s="21">
        <v>463.7</v>
      </c>
      <c r="AD658" s="4"/>
      <c r="AE658" s="18">
        <v>2.1809402300370699</v>
      </c>
      <c r="AF658"/>
      <c r="AG658"/>
      <c r="AH658" s="18">
        <v>-1.3409769282779599E-4</v>
      </c>
      <c r="AI658"/>
      <c r="AJ658"/>
    </row>
    <row r="659" spans="1:36" s="18" customFormat="1" x14ac:dyDescent="0.2">
      <c r="A659" s="18" t="s">
        <v>5</v>
      </c>
      <c r="B659" s="18">
        <v>4</v>
      </c>
      <c r="C659" s="19">
        <v>43747</v>
      </c>
      <c r="D659" s="20">
        <v>282.50937500000146</v>
      </c>
      <c r="E659" s="20"/>
      <c r="F659" s="21">
        <v>863.7</v>
      </c>
      <c r="G659" s="21"/>
      <c r="H659" s="18">
        <v>17.5</v>
      </c>
      <c r="J659" s="18">
        <v>13.33</v>
      </c>
      <c r="K659"/>
      <c r="M659"/>
      <c r="N659" s="18">
        <v>0.19</v>
      </c>
      <c r="O659" s="4"/>
      <c r="P659" s="18">
        <v>1.74768156642394</v>
      </c>
      <c r="Q659"/>
      <c r="R659"/>
      <c r="S659" s="23">
        <v>-6.5589079132736603E-5</v>
      </c>
      <c r="T659" s="6"/>
      <c r="U659" s="6"/>
      <c r="X659" s="18" t="s">
        <v>5</v>
      </c>
      <c r="Y659" s="18">
        <v>4</v>
      </c>
      <c r="Z659" s="18" t="s">
        <v>4</v>
      </c>
      <c r="AA659" s="22">
        <v>43747</v>
      </c>
      <c r="AB659" s="18">
        <v>282.50173500000164</v>
      </c>
      <c r="AC659" s="21">
        <v>473.7</v>
      </c>
      <c r="AD659" s="4"/>
      <c r="AE659" s="18">
        <v>1.99871366742593</v>
      </c>
      <c r="AF659"/>
      <c r="AG659"/>
      <c r="AH659" s="18">
        <v>-4.09950636124875E-5</v>
      </c>
      <c r="AI659"/>
      <c r="AJ659"/>
    </row>
    <row r="660" spans="1:36" s="18" customFormat="1" x14ac:dyDescent="0.2">
      <c r="A660" s="18" t="s">
        <v>5</v>
      </c>
      <c r="B660" s="18">
        <v>5</v>
      </c>
      <c r="C660" s="19">
        <v>43747</v>
      </c>
      <c r="D660" s="20">
        <v>282.52326499999981</v>
      </c>
      <c r="E660" s="20"/>
      <c r="F660" s="21">
        <v>1018.7</v>
      </c>
      <c r="G660" s="21"/>
      <c r="H660" s="18">
        <v>18.399999999999999</v>
      </c>
      <c r="J660" s="18">
        <v>13.89</v>
      </c>
      <c r="K660"/>
      <c r="M660" t="e">
        <v>#DIV/0!</v>
      </c>
      <c r="N660" s="18">
        <v>0.2</v>
      </c>
      <c r="O660" s="4"/>
      <c r="P660" s="18">
        <v>2.0273242445137298</v>
      </c>
      <c r="Q660"/>
      <c r="R660"/>
      <c r="S660" s="23">
        <v>-3.3413474359342998E-5</v>
      </c>
      <c r="T660" s="6"/>
      <c r="U660" s="6"/>
      <c r="X660" s="18" t="s">
        <v>5</v>
      </c>
      <c r="Y660" s="18">
        <v>5</v>
      </c>
      <c r="Z660" s="18" t="s">
        <v>4</v>
      </c>
      <c r="AA660" s="22">
        <v>43747</v>
      </c>
      <c r="AB660" s="18">
        <v>282.51632000000245</v>
      </c>
      <c r="AC660" s="21">
        <v>933.7</v>
      </c>
      <c r="AD660" s="4"/>
      <c r="AE660" s="18">
        <v>3.1007073357240098</v>
      </c>
      <c r="AF660"/>
      <c r="AG660"/>
      <c r="AH660" s="18">
        <v>7.8169580994385404E-5</v>
      </c>
      <c r="AI660"/>
      <c r="AJ660"/>
    </row>
    <row r="661" spans="1:36" s="18" customFormat="1" x14ac:dyDescent="0.2">
      <c r="A661" s="18" t="s">
        <v>5</v>
      </c>
      <c r="B661" s="18">
        <v>1</v>
      </c>
      <c r="C661" s="19">
        <v>43747</v>
      </c>
      <c r="D661" s="20">
        <v>282.56562499999927</v>
      </c>
      <c r="E661" s="20">
        <v>282.58697749999919</v>
      </c>
      <c r="F661" s="21">
        <v>508.7</v>
      </c>
      <c r="G661" s="21">
        <v>500.57499999999999</v>
      </c>
      <c r="H661" s="18">
        <v>17.899999999999999</v>
      </c>
      <c r="I661" s="18">
        <v>19.375</v>
      </c>
      <c r="J661" s="18">
        <v>14.44</v>
      </c>
      <c r="K661">
        <v>14.72</v>
      </c>
      <c r="M661"/>
      <c r="N661" s="18">
        <v>0.2</v>
      </c>
      <c r="O661" s="4">
        <v>0.1925</v>
      </c>
      <c r="P661" s="18">
        <v>2.7363618850095701</v>
      </c>
      <c r="Q661">
        <v>2.2677494438554526</v>
      </c>
      <c r="R661">
        <v>0.31590510439586089</v>
      </c>
      <c r="S661" s="23">
        <v>-5.1563052433334002E-5</v>
      </c>
      <c r="T661" s="6">
        <v>1.6704865208407335E-5</v>
      </c>
      <c r="U661">
        <v>7.7516033373366619E-5</v>
      </c>
      <c r="X661" s="18" t="s">
        <v>5</v>
      </c>
      <c r="Y661" s="18">
        <v>1</v>
      </c>
      <c r="Z661" s="18" t="s">
        <v>4</v>
      </c>
      <c r="AA661" s="22">
        <v>43747</v>
      </c>
      <c r="AB661" s="18">
        <v>282.55937500000073</v>
      </c>
      <c r="AC661" s="21">
        <v>566.20000000000005</v>
      </c>
      <c r="AD661" s="4">
        <v>536.20000000000005</v>
      </c>
      <c r="AE661" s="18">
        <v>3.08851405840106</v>
      </c>
      <c r="AF661">
        <v>2.5703508125151</v>
      </c>
      <c r="AG661">
        <v>0.45080089445657046</v>
      </c>
      <c r="AH661" s="18">
        <v>7.9264160332106301E-6</v>
      </c>
      <c r="AI661">
        <v>2.8972208168680921E-5</v>
      </c>
      <c r="AJ661">
        <v>2.5963362269008742E-5</v>
      </c>
    </row>
    <row r="662" spans="1:36" s="18" customFormat="1" x14ac:dyDescent="0.2">
      <c r="A662" s="18" t="s">
        <v>5</v>
      </c>
      <c r="B662" s="18">
        <v>2</v>
      </c>
      <c r="C662" s="19">
        <v>43747</v>
      </c>
      <c r="D662" s="20">
        <v>282.58020499999839</v>
      </c>
      <c r="E662" s="20"/>
      <c r="F662" s="21">
        <v>438.7</v>
      </c>
      <c r="G662" s="21"/>
      <c r="H662" s="18">
        <v>18.899999999999999</v>
      </c>
      <c r="J662" s="18">
        <v>14.44</v>
      </c>
      <c r="K662"/>
      <c r="M662"/>
      <c r="N662" s="18">
        <v>0.17</v>
      </c>
      <c r="O662" s="4"/>
      <c r="P662" s="18">
        <v>2.1116868934145101</v>
      </c>
      <c r="Q662"/>
      <c r="R662"/>
      <c r="S662" s="23">
        <v>-1.4476590361816001E-5</v>
      </c>
      <c r="T662" s="6"/>
      <c r="U662" s="6"/>
      <c r="X662" s="18" t="s">
        <v>5</v>
      </c>
      <c r="Y662" s="18">
        <v>2</v>
      </c>
      <c r="Z662" s="18" t="s">
        <v>4</v>
      </c>
      <c r="AA662" s="22">
        <v>43747</v>
      </c>
      <c r="AB662" s="18">
        <v>282.57257000000027</v>
      </c>
      <c r="AC662" s="21">
        <v>468.7</v>
      </c>
      <c r="AD662" s="4"/>
      <c r="AE662" s="18">
        <v>2.1144236929266098</v>
      </c>
      <c r="AF662"/>
      <c r="AG662"/>
      <c r="AH662" s="18">
        <v>3.5747646377187501E-5</v>
      </c>
      <c r="AI662"/>
      <c r="AJ662"/>
    </row>
    <row r="663" spans="1:36" s="18" customFormat="1" x14ac:dyDescent="0.2">
      <c r="A663" s="18" t="s">
        <v>5</v>
      </c>
      <c r="B663" s="18">
        <v>4</v>
      </c>
      <c r="C663" s="19">
        <v>43747</v>
      </c>
      <c r="D663" s="20">
        <v>282.59409500000038</v>
      </c>
      <c r="E663" s="20"/>
      <c r="F663" s="21">
        <v>531.20000000000005</v>
      </c>
      <c r="G663" s="21"/>
      <c r="H663" s="18">
        <v>19.5</v>
      </c>
      <c r="J663" s="18">
        <v>14.44</v>
      </c>
      <c r="K663"/>
      <c r="M663"/>
      <c r="N663" s="18">
        <v>0.2</v>
      </c>
      <c r="O663" s="4"/>
      <c r="P663" s="18">
        <v>2.0540669719752498</v>
      </c>
      <c r="Q663"/>
      <c r="R663"/>
      <c r="S663" s="23">
        <v>5.4036326362283402E-6</v>
      </c>
      <c r="T663" s="6"/>
      <c r="U663" s="6"/>
      <c r="X663" s="18" t="s">
        <v>5</v>
      </c>
      <c r="Y663" s="18">
        <v>4</v>
      </c>
      <c r="Z663" s="18" t="s">
        <v>4</v>
      </c>
      <c r="AA663" s="22">
        <v>43747</v>
      </c>
      <c r="AB663" s="18">
        <v>282.58715500000108</v>
      </c>
      <c r="AC663" s="21">
        <v>506.2</v>
      </c>
      <c r="AD663" s="4"/>
      <c r="AE663" s="18">
        <v>2.2829467920287199</v>
      </c>
      <c r="AF663"/>
      <c r="AG663"/>
      <c r="AH663" s="18">
        <v>6.2862152098147007E-5</v>
      </c>
      <c r="AI663"/>
      <c r="AJ663"/>
    </row>
    <row r="664" spans="1:36" s="18" customFormat="1" x14ac:dyDescent="0.2">
      <c r="A664" s="18" t="s">
        <v>5</v>
      </c>
      <c r="B664" s="18">
        <v>5</v>
      </c>
      <c r="C664" s="19">
        <v>43747</v>
      </c>
      <c r="D664" s="20">
        <v>282.60798499999873</v>
      </c>
      <c r="E664" s="20"/>
      <c r="F664" s="21">
        <v>523.70000000000005</v>
      </c>
      <c r="G664" s="21"/>
      <c r="H664" s="18">
        <v>21.2</v>
      </c>
      <c r="J664" s="18">
        <v>15.56</v>
      </c>
      <c r="K664"/>
      <c r="M664"/>
      <c r="N664" s="18">
        <v>0.2</v>
      </c>
      <c r="O664" s="4"/>
      <c r="P664" s="18">
        <v>2.1688820250224801</v>
      </c>
      <c r="Q664"/>
      <c r="R664"/>
      <c r="S664" s="18">
        <v>1.2745547099255101E-4</v>
      </c>
      <c r="T664" s="6"/>
      <c r="U664" s="6"/>
      <c r="X664" s="18" t="s">
        <v>5</v>
      </c>
      <c r="Y664" s="18">
        <v>5</v>
      </c>
      <c r="Z664" s="18" t="s">
        <v>4</v>
      </c>
      <c r="AA664" s="22">
        <v>43747</v>
      </c>
      <c r="AB664" s="18">
        <v>282.60104499999943</v>
      </c>
      <c r="AC664" s="21">
        <v>603.70000000000005</v>
      </c>
      <c r="AD664" s="4"/>
      <c r="AE664" s="18">
        <v>2.7955187067040099</v>
      </c>
      <c r="AF664"/>
      <c r="AG664"/>
      <c r="AH664" s="18">
        <v>9.3526181661785504E-6</v>
      </c>
      <c r="AI664"/>
      <c r="AJ664"/>
    </row>
    <row r="665" spans="1:36" x14ac:dyDescent="0.2">
      <c r="A665" t="s">
        <v>5</v>
      </c>
      <c r="B665">
        <v>1</v>
      </c>
      <c r="C665" s="2">
        <v>43754</v>
      </c>
      <c r="D665" s="13">
        <v>289.44201500000054</v>
      </c>
      <c r="E665" s="13">
        <v>289.47305699999998</v>
      </c>
      <c r="F665" s="4">
        <v>551.20000000000005</v>
      </c>
      <c r="G665" s="4">
        <v>488.7</v>
      </c>
      <c r="H665">
        <v>15.4</v>
      </c>
      <c r="I665">
        <v>14.62</v>
      </c>
      <c r="J665">
        <v>12.22</v>
      </c>
      <c r="K665">
        <v>12.664</v>
      </c>
      <c r="M665" t="e">
        <v>#DIV/0!</v>
      </c>
      <c r="N665">
        <v>0.19</v>
      </c>
      <c r="O665" s="4">
        <v>0.17800000000000002</v>
      </c>
      <c r="P665">
        <v>1.5949057878901101</v>
      </c>
      <c r="Q665">
        <v>1.4150470296050348</v>
      </c>
      <c r="R665">
        <v>0.32264913605542667</v>
      </c>
      <c r="S665">
        <v>-1.09279860873472E-4</v>
      </c>
      <c r="T665" s="6">
        <v>-1.1913539484739136E-4</v>
      </c>
      <c r="U665" s="6">
        <v>3.2267493201772691E-5</v>
      </c>
      <c r="X665" t="s">
        <v>5</v>
      </c>
      <c r="Y665">
        <v>1</v>
      </c>
      <c r="Z665" t="s">
        <v>4</v>
      </c>
      <c r="AA665" s="16">
        <v>43754</v>
      </c>
      <c r="AB665">
        <v>289.43645499999911</v>
      </c>
      <c r="AC665" s="4">
        <v>688.7</v>
      </c>
      <c r="AD665" s="4">
        <v>536.20000000000005</v>
      </c>
      <c r="AE665">
        <v>1.8772451621772199</v>
      </c>
      <c r="AF665">
        <v>1.6942177819725557</v>
      </c>
      <c r="AG665">
        <v>0.2146650532840565</v>
      </c>
      <c r="AH665">
        <v>-1.81926286829702E-4</v>
      </c>
      <c r="AI665">
        <v>-9.1412377111826085E-5</v>
      </c>
      <c r="AJ665">
        <v>6.9025054719436323E-5</v>
      </c>
    </row>
    <row r="666" spans="1:36" x14ac:dyDescent="0.2">
      <c r="A666" t="s">
        <v>5</v>
      </c>
      <c r="B666">
        <v>2</v>
      </c>
      <c r="C666" s="2">
        <v>43754</v>
      </c>
      <c r="D666" s="13">
        <v>289.45590499999889</v>
      </c>
      <c r="E666" s="13"/>
      <c r="F666" s="4">
        <v>503.7</v>
      </c>
      <c r="H666">
        <v>13.7</v>
      </c>
      <c r="J666">
        <v>12.22</v>
      </c>
      <c r="N666">
        <v>0.17</v>
      </c>
      <c r="P666">
        <v>0.91102612984286402</v>
      </c>
      <c r="S666">
        <v>-1.15759716533359E-4</v>
      </c>
      <c r="X666" t="s">
        <v>5</v>
      </c>
      <c r="Y666">
        <v>2</v>
      </c>
      <c r="Z666" t="s">
        <v>4</v>
      </c>
      <c r="AA666" s="16">
        <v>43754</v>
      </c>
      <c r="AB666">
        <v>289.44826499999908</v>
      </c>
      <c r="AC666" s="4">
        <v>251.2</v>
      </c>
      <c r="AE666">
        <v>1.58861524373368</v>
      </c>
      <c r="AH666">
        <v>-1.1803904438124E-4</v>
      </c>
    </row>
    <row r="667" spans="1:36" x14ac:dyDescent="0.2">
      <c r="A667" t="s">
        <v>5</v>
      </c>
      <c r="B667">
        <v>3</v>
      </c>
      <c r="C667" s="2">
        <v>43754</v>
      </c>
      <c r="D667" s="13">
        <v>289.47256999999809</v>
      </c>
      <c r="E667" s="13"/>
      <c r="F667" s="4">
        <v>243.7</v>
      </c>
      <c r="H667">
        <v>14</v>
      </c>
      <c r="J667">
        <v>12.22</v>
      </c>
      <c r="N667">
        <v>0.18</v>
      </c>
      <c r="P667">
        <v>1.4612496777374899</v>
      </c>
      <c r="S667">
        <v>-1.7507105992391501E-4</v>
      </c>
      <c r="T667" s="6"/>
      <c r="U667" s="6"/>
      <c r="X667" t="s">
        <v>5</v>
      </c>
      <c r="Y667">
        <v>3</v>
      </c>
      <c r="Z667" t="s">
        <v>4</v>
      </c>
      <c r="AA667" s="16">
        <v>43754</v>
      </c>
      <c r="AB667">
        <v>289.46319499999663</v>
      </c>
      <c r="AC667" s="4">
        <v>116.2</v>
      </c>
      <c r="AE667">
        <v>1.7140384749559701</v>
      </c>
      <c r="AH667">
        <v>-1.08585522663916E-4</v>
      </c>
    </row>
    <row r="668" spans="1:36" x14ac:dyDescent="0.2">
      <c r="A668" t="s">
        <v>5</v>
      </c>
      <c r="B668">
        <v>4</v>
      </c>
      <c r="C668" s="2">
        <v>43754</v>
      </c>
      <c r="D668" s="13">
        <v>289.48750000000291</v>
      </c>
      <c r="E668" s="13"/>
      <c r="F668" s="4">
        <v>683.7</v>
      </c>
      <c r="H668">
        <v>13.9</v>
      </c>
      <c r="J668">
        <v>12.22</v>
      </c>
      <c r="N668">
        <v>0.17</v>
      </c>
      <c r="P668">
        <v>1.3427707763676699</v>
      </c>
      <c r="S668" s="6">
        <v>-9.4989967370461698E-5</v>
      </c>
      <c r="T668" s="6"/>
      <c r="U668" s="6"/>
      <c r="X668" t="s">
        <v>5</v>
      </c>
      <c r="Y668">
        <v>4</v>
      </c>
      <c r="Z668" t="s">
        <v>4</v>
      </c>
      <c r="AA668" s="16">
        <v>43754</v>
      </c>
      <c r="AB668">
        <v>289.48090500000035</v>
      </c>
      <c r="AC668" s="4">
        <v>868.7</v>
      </c>
      <c r="AE668">
        <v>1.3862186320779399</v>
      </c>
      <c r="AH668">
        <v>-3.74843786346221E-6</v>
      </c>
    </row>
    <row r="669" spans="1:36" x14ac:dyDescent="0.2">
      <c r="A669" t="s">
        <v>5</v>
      </c>
      <c r="B669">
        <v>5</v>
      </c>
      <c r="C669" s="2">
        <v>43754</v>
      </c>
      <c r="D669" s="13">
        <v>289.50729499999943</v>
      </c>
      <c r="E669" s="13"/>
      <c r="F669" s="4">
        <v>461.2</v>
      </c>
      <c r="H669">
        <v>16.100000000000001</v>
      </c>
      <c r="J669">
        <v>14.44</v>
      </c>
      <c r="N669">
        <v>0.18</v>
      </c>
      <c r="P669">
        <v>1.76528277618704</v>
      </c>
      <c r="S669">
        <v>-1.00576369535749E-4</v>
      </c>
      <c r="T669" s="6"/>
      <c r="U669" s="6"/>
      <c r="X669" t="s">
        <v>5</v>
      </c>
      <c r="Y669">
        <v>5</v>
      </c>
      <c r="Z669" t="s">
        <v>4</v>
      </c>
      <c r="AA669" s="16">
        <v>43754</v>
      </c>
      <c r="AB669">
        <v>289.4940949999982</v>
      </c>
      <c r="AC669" s="4">
        <v>756.2</v>
      </c>
      <c r="AE669">
        <v>1.90497139691797</v>
      </c>
      <c r="AH669">
        <v>-4.4762593820810201E-5</v>
      </c>
    </row>
    <row r="670" spans="1:36" x14ac:dyDescent="0.2">
      <c r="A670" t="s">
        <v>5</v>
      </c>
      <c r="B670">
        <v>1</v>
      </c>
      <c r="C670" s="2">
        <v>43754</v>
      </c>
      <c r="D670" s="13">
        <v>289.52812500000073</v>
      </c>
      <c r="E670" s="13">
        <v>289.55889100000059</v>
      </c>
      <c r="F670" s="4">
        <v>416.2</v>
      </c>
      <c r="G670" s="4">
        <v>355.7</v>
      </c>
      <c r="H670">
        <v>13.7</v>
      </c>
      <c r="I670">
        <v>14.1</v>
      </c>
      <c r="J670">
        <v>20</v>
      </c>
      <c r="K670">
        <v>19.887999999999998</v>
      </c>
      <c r="M670" t="e">
        <v>#DIV/0!</v>
      </c>
      <c r="N670">
        <v>0.18</v>
      </c>
      <c r="O670" s="4">
        <v>0.16600000000000001</v>
      </c>
      <c r="P670">
        <v>1.66282339598369</v>
      </c>
      <c r="Q670">
        <v>1.3284992722896578</v>
      </c>
      <c r="R670">
        <v>0.24871720797057925</v>
      </c>
      <c r="S670">
        <v>-1.1079109570186699E-4</v>
      </c>
      <c r="T670" s="6">
        <v>-8.9241334802715318E-5</v>
      </c>
      <c r="U670" s="6">
        <v>2.3553434790244159E-5</v>
      </c>
      <c r="X670" t="s">
        <v>5</v>
      </c>
      <c r="Y670">
        <v>1</v>
      </c>
      <c r="Z670" t="s">
        <v>4</v>
      </c>
      <c r="AA670" s="16">
        <v>43754</v>
      </c>
      <c r="AB670">
        <v>289.52117999999973</v>
      </c>
      <c r="AC670" s="4">
        <v>296.2</v>
      </c>
      <c r="AD670" s="4">
        <v>293.7</v>
      </c>
      <c r="AE670">
        <v>1.6428395501848401</v>
      </c>
      <c r="AF670">
        <v>1.41725762618958</v>
      </c>
      <c r="AG670">
        <v>0.22369780417345023</v>
      </c>
      <c r="AH670">
        <v>-1.3576859796179001E-4</v>
      </c>
      <c r="AI670">
        <v>-7.8320803201613735E-5</v>
      </c>
      <c r="AJ670">
        <v>3.7936770623754355E-5</v>
      </c>
    </row>
    <row r="671" spans="1:36" x14ac:dyDescent="0.2">
      <c r="A671" t="s">
        <v>5</v>
      </c>
      <c r="B671">
        <v>2</v>
      </c>
      <c r="C671" s="2">
        <v>43754</v>
      </c>
      <c r="D671" s="13">
        <v>289.54479500000161</v>
      </c>
      <c r="E671" s="13"/>
      <c r="F671" s="4">
        <v>431.2</v>
      </c>
      <c r="H671">
        <v>13.7</v>
      </c>
      <c r="J671">
        <v>20</v>
      </c>
      <c r="N671">
        <v>0.17</v>
      </c>
      <c r="P671">
        <v>0.97619292100260902</v>
      </c>
      <c r="S671">
        <v>-1.0064590018357199E-4</v>
      </c>
      <c r="X671" t="s">
        <v>5</v>
      </c>
      <c r="Y671">
        <v>2</v>
      </c>
      <c r="Z671" t="s">
        <v>4</v>
      </c>
      <c r="AA671" s="16">
        <v>43754</v>
      </c>
      <c r="AB671">
        <v>289.53784499999892</v>
      </c>
      <c r="AC671" s="4">
        <v>386.2</v>
      </c>
      <c r="AE671">
        <v>1.1210262303637999</v>
      </c>
      <c r="AH671">
        <v>-7.6433986299856096E-5</v>
      </c>
    </row>
    <row r="672" spans="1:36" x14ac:dyDescent="0.2">
      <c r="A672" t="s">
        <v>5</v>
      </c>
      <c r="B672">
        <v>3</v>
      </c>
      <c r="C672" s="2">
        <v>43754</v>
      </c>
      <c r="D672" s="13">
        <v>289.55937500000073</v>
      </c>
      <c r="E672" s="13"/>
      <c r="F672" s="4">
        <v>296.2</v>
      </c>
      <c r="H672">
        <v>13.7</v>
      </c>
      <c r="J672">
        <v>20</v>
      </c>
      <c r="N672">
        <v>0.14000000000000001</v>
      </c>
      <c r="P672">
        <v>1.3696204509557299</v>
      </c>
      <c r="S672">
        <v>-1.0647616869288999E-4</v>
      </c>
      <c r="T672" s="6"/>
      <c r="U672" s="6"/>
      <c r="X672" t="s">
        <v>5</v>
      </c>
      <c r="Y672">
        <v>3</v>
      </c>
      <c r="Z672" t="s">
        <v>4</v>
      </c>
      <c r="AA672" s="16">
        <v>43754</v>
      </c>
      <c r="AB672">
        <v>289.55173500000092</v>
      </c>
      <c r="AC672" s="4">
        <v>333.7</v>
      </c>
      <c r="AE672">
        <v>1.39915631051807</v>
      </c>
      <c r="AH672">
        <v>-8.1544362181616096E-5</v>
      </c>
    </row>
    <row r="673" spans="1:36" x14ac:dyDescent="0.2">
      <c r="A673" t="s">
        <v>5</v>
      </c>
      <c r="B673">
        <v>4</v>
      </c>
      <c r="C673" s="2">
        <v>43754</v>
      </c>
      <c r="D673" s="13">
        <v>289.57361500000115</v>
      </c>
      <c r="E673" s="13"/>
      <c r="F673" s="4">
        <v>458.7</v>
      </c>
      <c r="H673">
        <v>12.9</v>
      </c>
      <c r="J673">
        <v>20</v>
      </c>
      <c r="N673">
        <v>0.17</v>
      </c>
      <c r="P673">
        <v>1.2476840154430699</v>
      </c>
      <c r="S673" s="6">
        <v>-6.9981369393000298E-5</v>
      </c>
      <c r="T673" s="6"/>
      <c r="U673" s="6"/>
      <c r="X673" t="s">
        <v>5</v>
      </c>
      <c r="Y673">
        <v>4</v>
      </c>
      <c r="Z673" t="s">
        <v>4</v>
      </c>
      <c r="AA673" s="16">
        <v>43754</v>
      </c>
      <c r="AB673">
        <v>289.56701500000054</v>
      </c>
      <c r="AC673" s="4">
        <v>251.2</v>
      </c>
      <c r="AE673">
        <v>1.29243405822445</v>
      </c>
      <c r="AH673">
        <v>-6.78333336765719E-5</v>
      </c>
    </row>
    <row r="674" spans="1:36" x14ac:dyDescent="0.2">
      <c r="A674" t="s">
        <v>5</v>
      </c>
      <c r="B674">
        <v>5</v>
      </c>
      <c r="C674" s="2">
        <v>43754</v>
      </c>
      <c r="D674" s="13">
        <v>289.5885449999987</v>
      </c>
      <c r="E674" s="13"/>
      <c r="F674" s="4">
        <v>176.2</v>
      </c>
      <c r="H674">
        <v>16.5</v>
      </c>
      <c r="J674">
        <v>19.440000000000001</v>
      </c>
      <c r="N674">
        <v>0.17</v>
      </c>
      <c r="P674">
        <v>1.3861755780631899</v>
      </c>
      <c r="S674" s="6">
        <v>-5.8312140042247303E-5</v>
      </c>
      <c r="T674" s="6"/>
      <c r="U674" s="6"/>
      <c r="X674" t="s">
        <v>5</v>
      </c>
      <c r="Y674">
        <v>5</v>
      </c>
      <c r="Z674" t="s">
        <v>4</v>
      </c>
      <c r="AA674" s="16">
        <v>43754</v>
      </c>
      <c r="AB674">
        <v>289.58020499999839</v>
      </c>
      <c r="AC674" s="4">
        <v>201.2</v>
      </c>
      <c r="AE674">
        <v>1.63083198165674</v>
      </c>
      <c r="AH674">
        <v>-3.0023735888234599E-5</v>
      </c>
    </row>
    <row r="675" spans="1:36" x14ac:dyDescent="0.2">
      <c r="A675" t="s">
        <v>5</v>
      </c>
      <c r="B675">
        <v>1</v>
      </c>
      <c r="C675" s="2">
        <v>43762</v>
      </c>
      <c r="D675" s="13">
        <v>297.63992999999755</v>
      </c>
      <c r="E675" s="13">
        <v>297.66264000000012</v>
      </c>
      <c r="F675" s="4">
        <v>791.2</v>
      </c>
      <c r="G675" s="4">
        <v>620.70000000000005</v>
      </c>
      <c r="H675">
        <v>15.6</v>
      </c>
      <c r="I675">
        <v>18.7</v>
      </c>
      <c r="J675">
        <v>20.56</v>
      </c>
      <c r="K675">
        <v>20.448</v>
      </c>
      <c r="M675" t="e">
        <v>#DIV/0!</v>
      </c>
      <c r="N675">
        <v>0.17</v>
      </c>
      <c r="O675" s="4">
        <v>0.17399999999999999</v>
      </c>
      <c r="P675">
        <v>2.0263456685983701</v>
      </c>
      <c r="Q675">
        <v>1.7084981898601881</v>
      </c>
      <c r="R675">
        <v>0.32211404768171187</v>
      </c>
      <c r="S675" s="6">
        <v>-2.2799999999999999E-5</v>
      </c>
      <c r="T675" s="6">
        <v>-4.7360000000000001E-5</v>
      </c>
      <c r="U675" s="6">
        <v>2.587659173848055E-5</v>
      </c>
      <c r="X675" t="s">
        <v>5</v>
      </c>
      <c r="Y675">
        <v>1</v>
      </c>
      <c r="Z675" t="s">
        <v>4</v>
      </c>
      <c r="AA675" s="16">
        <v>43762</v>
      </c>
      <c r="AB675">
        <v>297.63437500000146</v>
      </c>
      <c r="AC675" s="4">
        <v>828.7</v>
      </c>
      <c r="AD675" s="4">
        <v>660.2</v>
      </c>
      <c r="AE675">
        <v>2.38366757947328</v>
      </c>
      <c r="AF675">
        <v>1.9092202544742662</v>
      </c>
      <c r="AG675">
        <v>0.44345250636888156</v>
      </c>
      <c r="AH675">
        <v>6.5099999999999997E-5</v>
      </c>
      <c r="AI675">
        <v>3.6119599999999999E-5</v>
      </c>
      <c r="AJ675">
        <v>7.1564112659907954E-5</v>
      </c>
    </row>
    <row r="676" spans="1:36" x14ac:dyDescent="0.2">
      <c r="A676" t="s">
        <v>5</v>
      </c>
      <c r="B676">
        <v>2</v>
      </c>
      <c r="C676" s="2">
        <v>43762</v>
      </c>
      <c r="D676" s="13">
        <v>297.65069500000027</v>
      </c>
      <c r="E676" s="13"/>
      <c r="F676" s="4">
        <v>713.7</v>
      </c>
      <c r="H676">
        <v>19.7</v>
      </c>
      <c r="J676">
        <v>20.56</v>
      </c>
      <c r="N676">
        <v>0.17</v>
      </c>
      <c r="P676">
        <v>1.33616641237821</v>
      </c>
      <c r="S676" s="6">
        <v>-9.0099999999999995E-5</v>
      </c>
      <c r="X676" t="s">
        <v>5</v>
      </c>
      <c r="Y676">
        <v>2</v>
      </c>
      <c r="Z676" t="s">
        <v>4</v>
      </c>
      <c r="AA676" s="16">
        <v>43762</v>
      </c>
      <c r="AB676">
        <v>297.64514000000054</v>
      </c>
      <c r="AC676" s="4">
        <v>753.7</v>
      </c>
      <c r="AE676">
        <v>1.68617387518856</v>
      </c>
      <c r="AH676">
        <v>1.1589799999999999E-4</v>
      </c>
    </row>
    <row r="677" spans="1:36" x14ac:dyDescent="0.2">
      <c r="A677" t="s">
        <v>5</v>
      </c>
      <c r="B677">
        <v>3</v>
      </c>
      <c r="C677" s="2">
        <v>43762</v>
      </c>
      <c r="D677" s="13">
        <v>297.6621550000018</v>
      </c>
      <c r="E677" s="13"/>
      <c r="F677" s="4">
        <v>626.20000000000005</v>
      </c>
      <c r="H677">
        <v>17.399999999999999</v>
      </c>
      <c r="J677">
        <v>20.56</v>
      </c>
      <c r="N677">
        <v>0.18</v>
      </c>
      <c r="P677">
        <v>2.0653065441662801</v>
      </c>
      <c r="S677" s="6">
        <v>-4.9299999999999999E-5</v>
      </c>
      <c r="T677" s="6"/>
      <c r="U677" s="6"/>
      <c r="X677" t="s">
        <v>5</v>
      </c>
      <c r="Y677">
        <v>3</v>
      </c>
      <c r="Z677" t="s">
        <v>4</v>
      </c>
      <c r="AA677" s="16">
        <v>43762</v>
      </c>
      <c r="AB677">
        <v>297.65659500000038</v>
      </c>
      <c r="AC677" s="4">
        <v>668.7</v>
      </c>
      <c r="AE677">
        <v>2.3692511878832598</v>
      </c>
      <c r="AH677">
        <v>-7.3899999999999994E-5</v>
      </c>
    </row>
    <row r="678" spans="1:36" x14ac:dyDescent="0.2">
      <c r="A678" t="s">
        <v>5</v>
      </c>
      <c r="B678">
        <v>4</v>
      </c>
      <c r="C678" s="2">
        <v>43762</v>
      </c>
      <c r="D678" s="13">
        <v>297.67430500000046</v>
      </c>
      <c r="E678" s="13"/>
      <c r="F678" s="4">
        <v>533.70000000000005</v>
      </c>
      <c r="H678">
        <v>20.6</v>
      </c>
      <c r="J678">
        <v>20.56</v>
      </c>
      <c r="N678">
        <v>0.18</v>
      </c>
      <c r="P678">
        <v>1.52298687093617</v>
      </c>
      <c r="S678" s="6">
        <v>-3.2700000000000002E-5</v>
      </c>
      <c r="T678" s="6"/>
      <c r="U678" s="6"/>
      <c r="X678" t="s">
        <v>5</v>
      </c>
      <c r="Y678">
        <v>4</v>
      </c>
      <c r="Z678" t="s">
        <v>4</v>
      </c>
      <c r="AA678" s="16">
        <v>43762</v>
      </c>
      <c r="AB678">
        <v>297.66840500000035</v>
      </c>
      <c r="AC678" s="4">
        <v>563.70000000000005</v>
      </c>
      <c r="AE678">
        <v>1.40011847609594</v>
      </c>
      <c r="AH678">
        <v>6.0999999999999999E-5</v>
      </c>
    </row>
    <row r="679" spans="1:36" x14ac:dyDescent="0.2">
      <c r="A679" t="s">
        <v>5</v>
      </c>
      <c r="B679">
        <v>5</v>
      </c>
      <c r="C679" s="2">
        <v>43762</v>
      </c>
      <c r="D679" s="13">
        <v>297.68611500000043</v>
      </c>
      <c r="E679" s="13"/>
      <c r="F679" s="4">
        <v>438.7</v>
      </c>
      <c r="H679">
        <v>20.2</v>
      </c>
      <c r="J679">
        <v>20</v>
      </c>
      <c r="N679">
        <v>0.17</v>
      </c>
      <c r="P679">
        <v>1.59168545322191</v>
      </c>
      <c r="S679" s="6">
        <v>-4.1900000000000002E-5</v>
      </c>
      <c r="T679" s="6"/>
      <c r="U679" s="6"/>
      <c r="X679" t="s">
        <v>5</v>
      </c>
      <c r="Y679">
        <v>5</v>
      </c>
      <c r="Z679" t="s">
        <v>4</v>
      </c>
      <c r="AA679" s="16">
        <v>43762</v>
      </c>
      <c r="AB679">
        <v>297.67986500000188</v>
      </c>
      <c r="AC679" s="4">
        <v>486.2</v>
      </c>
      <c r="AE679">
        <v>1.7068901537302901</v>
      </c>
      <c r="AH679">
        <v>1.2500000000000001E-5</v>
      </c>
    </row>
    <row r="680" spans="1:36" x14ac:dyDescent="0.2">
      <c r="A680" t="s">
        <v>5</v>
      </c>
      <c r="B680">
        <v>1</v>
      </c>
      <c r="C680" s="2">
        <v>43762</v>
      </c>
      <c r="D680" s="13">
        <v>297.70694500000172</v>
      </c>
      <c r="E680" s="13">
        <v>297.72955000000076</v>
      </c>
      <c r="F680" s="4">
        <v>266.2</v>
      </c>
      <c r="G680" s="4">
        <v>114.20000000000002</v>
      </c>
      <c r="H680">
        <v>14.6</v>
      </c>
      <c r="I680">
        <v>18.14</v>
      </c>
      <c r="J680">
        <v>20</v>
      </c>
      <c r="K680">
        <v>19.887999999999998</v>
      </c>
      <c r="M680" t="e">
        <v>#DIV/0!</v>
      </c>
      <c r="N680">
        <v>0.17</v>
      </c>
      <c r="O680" s="4">
        <v>0.16200000000000001</v>
      </c>
      <c r="P680">
        <v>1.6521645736758199</v>
      </c>
      <c r="Q680">
        <v>1.425114641924434</v>
      </c>
      <c r="R680">
        <v>0.22776220974350617</v>
      </c>
      <c r="S680" s="6">
        <v>-2.2989067724420001E-5</v>
      </c>
      <c r="T680" s="6">
        <v>3.7291372648841898E-7</v>
      </c>
      <c r="U680" s="6">
        <v>2.6847071826368247E-5</v>
      </c>
      <c r="X680" t="s">
        <v>5</v>
      </c>
      <c r="Y680">
        <v>1</v>
      </c>
      <c r="Z680" t="s">
        <v>4</v>
      </c>
      <c r="AA680" s="16">
        <v>43762</v>
      </c>
      <c r="AB680">
        <v>297.7019650000002</v>
      </c>
      <c r="AC680" s="4">
        <v>308.7</v>
      </c>
      <c r="AD680" s="4">
        <v>147.69999999999999</v>
      </c>
      <c r="AE680">
        <v>2.0605727000812002</v>
      </c>
      <c r="AF680">
        <v>1.5066204087410622</v>
      </c>
      <c r="AG680">
        <v>0.37974586255460685</v>
      </c>
      <c r="AH680">
        <v>-6.5044444814805699E-5</v>
      </c>
      <c r="AI680">
        <v>2.3322937750308664E-6</v>
      </c>
      <c r="AJ680">
        <v>4.1700928085575782E-5</v>
      </c>
    </row>
    <row r="681" spans="1:36" x14ac:dyDescent="0.2">
      <c r="A681" t="s">
        <v>5</v>
      </c>
      <c r="B681">
        <v>2</v>
      </c>
      <c r="C681" s="2">
        <v>43762</v>
      </c>
      <c r="D681" s="13">
        <v>297.71736500000043</v>
      </c>
      <c r="E681" s="13"/>
      <c r="F681" s="4">
        <v>181.2</v>
      </c>
      <c r="H681">
        <v>19.100000000000001</v>
      </c>
      <c r="J681">
        <v>20</v>
      </c>
      <c r="N681">
        <v>0.16</v>
      </c>
      <c r="P681">
        <v>1.1281896736586901</v>
      </c>
      <c r="S681" s="6">
        <v>3.2230448327923297E-5</v>
      </c>
      <c r="X681" t="s">
        <v>5</v>
      </c>
      <c r="Y681">
        <v>2</v>
      </c>
      <c r="Z681" t="s">
        <v>4</v>
      </c>
      <c r="AA681" s="16">
        <v>43762</v>
      </c>
      <c r="AB681">
        <v>297.71215500000108</v>
      </c>
      <c r="AC681" s="4">
        <v>226.2</v>
      </c>
      <c r="AE681">
        <v>1.15604355291854</v>
      </c>
      <c r="AH681">
        <v>8.4516554325793799E-6</v>
      </c>
    </row>
    <row r="682" spans="1:36" x14ac:dyDescent="0.2">
      <c r="A682" t="s">
        <v>5</v>
      </c>
      <c r="B682">
        <v>3</v>
      </c>
      <c r="C682" s="2">
        <v>43762</v>
      </c>
      <c r="D682" s="13">
        <v>297.72969000000012</v>
      </c>
      <c r="E682" s="13"/>
      <c r="F682" s="4">
        <v>88.7</v>
      </c>
      <c r="H682">
        <v>17.2</v>
      </c>
      <c r="J682">
        <v>20</v>
      </c>
      <c r="N682">
        <v>0.16</v>
      </c>
      <c r="P682">
        <v>1.5777434769007399</v>
      </c>
      <c r="S682" s="6">
        <v>2.6868589972208098E-5</v>
      </c>
      <c r="T682" s="6"/>
      <c r="U682" s="6"/>
      <c r="X682" t="s">
        <v>5</v>
      </c>
      <c r="Y682">
        <v>3</v>
      </c>
      <c r="Z682" t="s">
        <v>4</v>
      </c>
      <c r="AA682" s="16">
        <v>43762</v>
      </c>
      <c r="AB682">
        <v>297.72361499999897</v>
      </c>
      <c r="AC682" s="4">
        <v>131.19999999999999</v>
      </c>
      <c r="AE682">
        <v>1.7131338892549299</v>
      </c>
      <c r="AH682">
        <v>-3.79668128518625E-6</v>
      </c>
    </row>
    <row r="683" spans="1:36" x14ac:dyDescent="0.2">
      <c r="A683" t="s">
        <v>5</v>
      </c>
      <c r="B683">
        <v>4</v>
      </c>
      <c r="C683" s="2">
        <v>43762</v>
      </c>
      <c r="D683" s="13">
        <v>297.741320000001</v>
      </c>
      <c r="E683" s="13"/>
      <c r="F683" s="4">
        <v>33.700000000000003</v>
      </c>
      <c r="H683">
        <v>20</v>
      </c>
      <c r="J683">
        <v>20</v>
      </c>
      <c r="N683">
        <v>0.16</v>
      </c>
      <c r="P683">
        <v>1.2404430609796999</v>
      </c>
      <c r="S683" s="6">
        <v>-1.5102497100964799E-5</v>
      </c>
      <c r="T683" s="6"/>
      <c r="U683" s="6"/>
      <c r="X683" t="s">
        <v>5</v>
      </c>
      <c r="Y683">
        <v>4</v>
      </c>
      <c r="Z683" t="s">
        <v>4</v>
      </c>
      <c r="AA683" s="16">
        <v>43762</v>
      </c>
      <c r="AB683">
        <v>297.73576500000127</v>
      </c>
      <c r="AC683" s="4">
        <v>56.2</v>
      </c>
      <c r="AE683">
        <v>1.20066078301944</v>
      </c>
      <c r="AH683">
        <v>3.0076790507079498E-5</v>
      </c>
    </row>
    <row r="684" spans="1:36" x14ac:dyDescent="0.2">
      <c r="A684" t="s">
        <v>5</v>
      </c>
      <c r="B684">
        <v>5</v>
      </c>
      <c r="C684" s="2">
        <v>43762</v>
      </c>
      <c r="D684" s="13">
        <v>297.75243000000046</v>
      </c>
      <c r="E684" s="13"/>
      <c r="F684" s="4">
        <v>1.2</v>
      </c>
      <c r="H684">
        <v>19.8</v>
      </c>
      <c r="J684">
        <v>19.440000000000001</v>
      </c>
      <c r="N684">
        <v>0.16</v>
      </c>
      <c r="P684">
        <v>1.52703242440722</v>
      </c>
      <c r="S684" s="6">
        <v>-1.9142904842304501E-5</v>
      </c>
      <c r="T684" s="6"/>
      <c r="U684" s="6"/>
      <c r="X684" t="s">
        <v>5</v>
      </c>
      <c r="Y684">
        <v>5</v>
      </c>
      <c r="Z684" t="s">
        <v>4</v>
      </c>
      <c r="AA684" s="16">
        <v>43762</v>
      </c>
      <c r="AB684">
        <v>297.74687500000073</v>
      </c>
      <c r="AC684" s="4">
        <v>16.2</v>
      </c>
      <c r="AE684">
        <v>1.4026911184312001</v>
      </c>
      <c r="AH684">
        <v>4.1974149035487403E-5</v>
      </c>
    </row>
    <row r="685" spans="1:36" x14ac:dyDescent="0.2">
      <c r="A685" t="s">
        <v>5</v>
      </c>
      <c r="B685">
        <v>1</v>
      </c>
      <c r="C685" s="2">
        <v>43768</v>
      </c>
      <c r="D685" s="13">
        <v>303.40625</v>
      </c>
      <c r="E685" s="13">
        <v>303.43016199999983</v>
      </c>
      <c r="F685" s="4">
        <v>303.7</v>
      </c>
      <c r="G685" s="4">
        <v>419.7</v>
      </c>
      <c r="H685">
        <v>18</v>
      </c>
      <c r="I685">
        <v>20.440000000000001</v>
      </c>
      <c r="J685">
        <v>13.89</v>
      </c>
      <c r="K685">
        <v>14.224</v>
      </c>
      <c r="M685" t="e">
        <v>#DIV/0!</v>
      </c>
      <c r="N685">
        <v>0.17</v>
      </c>
      <c r="O685" s="4">
        <v>0.16600000000000001</v>
      </c>
      <c r="P685">
        <v>1.76240805145274</v>
      </c>
      <c r="Q685">
        <v>1.6131498686477102</v>
      </c>
      <c r="R685">
        <v>0.35901632483340612</v>
      </c>
      <c r="S685" s="6">
        <v>-1.6130537006855999E-5</v>
      </c>
      <c r="T685" s="6">
        <v>-4.4009870602644113E-5</v>
      </c>
      <c r="U685" s="6">
        <v>3.3363797871291997E-5</v>
      </c>
      <c r="X685" t="s">
        <v>5</v>
      </c>
      <c r="Y685">
        <v>1</v>
      </c>
      <c r="Z685" t="s">
        <v>4</v>
      </c>
      <c r="AA685" s="16">
        <v>43768</v>
      </c>
      <c r="AB685">
        <v>303.4003449999982</v>
      </c>
      <c r="AC685" s="4">
        <v>278.7</v>
      </c>
      <c r="AD685" s="4">
        <v>404.2</v>
      </c>
      <c r="AE685">
        <v>1.84367773359989</v>
      </c>
      <c r="AF685">
        <v>1.8846900431578539</v>
      </c>
      <c r="AG685">
        <v>0.37094947406891032</v>
      </c>
      <c r="AH685">
        <v>5.0450111851712503E-5</v>
      </c>
      <c r="AI685">
        <v>-1.4326851085996219E-5</v>
      </c>
      <c r="AJ685">
        <v>4.7099148894178688E-5</v>
      </c>
    </row>
    <row r="686" spans="1:36" x14ac:dyDescent="0.2">
      <c r="A686" t="s">
        <v>5</v>
      </c>
      <c r="B686">
        <v>2</v>
      </c>
      <c r="C686" s="2">
        <v>43768</v>
      </c>
      <c r="D686" s="13">
        <v>303.41840500000035</v>
      </c>
      <c r="E686" s="13"/>
      <c r="F686" s="4">
        <v>386.2</v>
      </c>
      <c r="H686">
        <v>21</v>
      </c>
      <c r="J686">
        <v>13.89</v>
      </c>
      <c r="N686">
        <v>0.16</v>
      </c>
      <c r="P686">
        <v>1.60081785328738</v>
      </c>
      <c r="S686" s="6">
        <v>-7.1264270102265804E-5</v>
      </c>
      <c r="X686" t="s">
        <v>5</v>
      </c>
      <c r="Y686">
        <v>2</v>
      </c>
      <c r="Z686" t="s">
        <v>4</v>
      </c>
      <c r="AA686" s="16">
        <v>43768</v>
      </c>
      <c r="AB686">
        <v>303.41284499999892</v>
      </c>
      <c r="AC686" s="4">
        <v>298.7</v>
      </c>
      <c r="AE686">
        <v>1.56686687223294</v>
      </c>
      <c r="AH686">
        <v>-2.9031685465581499E-5</v>
      </c>
    </row>
    <row r="687" spans="1:36" x14ac:dyDescent="0.2">
      <c r="A687" t="s">
        <v>5</v>
      </c>
      <c r="B687">
        <v>3</v>
      </c>
      <c r="C687" s="2">
        <v>43768</v>
      </c>
      <c r="D687" s="13">
        <v>303.4299749999991</v>
      </c>
      <c r="E687" s="13"/>
      <c r="F687" s="4">
        <v>393.7</v>
      </c>
      <c r="H687">
        <v>20.9</v>
      </c>
      <c r="J687">
        <v>13.89</v>
      </c>
      <c r="N687">
        <v>0.17</v>
      </c>
      <c r="P687">
        <v>2.13720758646333</v>
      </c>
      <c r="S687" s="6">
        <v>-8.8057604445248696E-5</v>
      </c>
      <c r="T687" s="6"/>
      <c r="U687" s="6"/>
      <c r="X687" t="s">
        <v>5</v>
      </c>
      <c r="Y687">
        <v>3</v>
      </c>
      <c r="Z687" t="s">
        <v>4</v>
      </c>
      <c r="AA687" s="16">
        <v>43768</v>
      </c>
      <c r="AB687">
        <v>303.42430500000046</v>
      </c>
      <c r="AC687" s="4">
        <v>508.7</v>
      </c>
      <c r="AE687">
        <v>2.4947169529098701</v>
      </c>
      <c r="AH687">
        <v>-7.7913856618816202E-5</v>
      </c>
    </row>
    <row r="688" spans="1:36" x14ac:dyDescent="0.2">
      <c r="A688" t="s">
        <v>5</v>
      </c>
      <c r="B688">
        <v>4</v>
      </c>
      <c r="C688" s="2">
        <v>43768</v>
      </c>
      <c r="D688" s="13">
        <v>303.44166499999847</v>
      </c>
      <c r="E688" s="13"/>
      <c r="F688" s="4">
        <v>458.7</v>
      </c>
      <c r="H688">
        <v>21.5</v>
      </c>
      <c r="J688">
        <v>13.89</v>
      </c>
      <c r="N688">
        <v>0.15</v>
      </c>
      <c r="P688">
        <v>1.2774395756360299</v>
      </c>
      <c r="S688" s="6">
        <v>-2.72754112643786E-5</v>
      </c>
      <c r="T688" s="6"/>
      <c r="U688" s="6"/>
      <c r="X688" t="s">
        <v>5</v>
      </c>
      <c r="Y688">
        <v>4</v>
      </c>
      <c r="Z688" t="s">
        <v>4</v>
      </c>
      <c r="AA688" s="16">
        <v>43768</v>
      </c>
      <c r="AB688">
        <v>303.43611500000043</v>
      </c>
      <c r="AC688" s="4">
        <v>423.7</v>
      </c>
      <c r="AE688">
        <v>1.90748414293996</v>
      </c>
      <c r="AH688">
        <v>-2.0344368610475599E-5</v>
      </c>
    </row>
    <row r="689" spans="1:36" x14ac:dyDescent="0.2">
      <c r="A689" t="s">
        <v>5</v>
      </c>
      <c r="B689">
        <v>5</v>
      </c>
      <c r="C689" s="2">
        <v>43768</v>
      </c>
      <c r="D689" s="13">
        <v>303.45451500000127</v>
      </c>
      <c r="E689" s="13"/>
      <c r="F689" s="4">
        <v>556.20000000000005</v>
      </c>
      <c r="H689">
        <v>20.8</v>
      </c>
      <c r="J689">
        <v>15.56</v>
      </c>
      <c r="N689">
        <v>0.18</v>
      </c>
      <c r="P689">
        <v>1.2878762763990701</v>
      </c>
      <c r="S689" s="6">
        <v>-1.7321530194471499E-5</v>
      </c>
      <c r="T689" s="6"/>
      <c r="U689" s="6"/>
      <c r="X689" t="s">
        <v>5</v>
      </c>
      <c r="Y689">
        <v>5</v>
      </c>
      <c r="Z689" t="s">
        <v>4</v>
      </c>
      <c r="AA689" s="16">
        <v>43768</v>
      </c>
      <c r="AB689">
        <v>303.4487850000005</v>
      </c>
      <c r="AC689" s="4">
        <v>511.2</v>
      </c>
      <c r="AE689">
        <v>1.6107045141066101</v>
      </c>
      <c r="AH689">
        <v>5.2055434131796999E-6</v>
      </c>
    </row>
    <row r="690" spans="1:36" x14ac:dyDescent="0.2">
      <c r="A690" t="s">
        <v>5</v>
      </c>
      <c r="B690">
        <v>1</v>
      </c>
      <c r="C690" s="2">
        <v>43768</v>
      </c>
      <c r="D690" s="13">
        <v>303.48333500000081</v>
      </c>
      <c r="E690" s="13">
        <v>303.50989499999997</v>
      </c>
      <c r="F690" s="4">
        <v>791.2</v>
      </c>
      <c r="G690" s="4">
        <v>433.7</v>
      </c>
      <c r="H690">
        <v>19.7</v>
      </c>
      <c r="I690">
        <v>20.919999999999998</v>
      </c>
      <c r="J690">
        <v>15.56</v>
      </c>
      <c r="K690">
        <v>15.559999999999999</v>
      </c>
      <c r="M690" t="e">
        <v>#DIV/0!</v>
      </c>
      <c r="N690">
        <v>0.17</v>
      </c>
      <c r="O690" s="4">
        <v>0.16000000000000003</v>
      </c>
      <c r="P690">
        <v>1.53378520984447</v>
      </c>
      <c r="Q690">
        <v>1.7305381346852537</v>
      </c>
      <c r="R690">
        <v>0.56051835049466625</v>
      </c>
      <c r="S690" s="6">
        <v>3.37769392332136E-5</v>
      </c>
      <c r="T690" s="6">
        <v>-1.977821579311844E-5</v>
      </c>
      <c r="U690" s="6">
        <v>8.1428722180679468E-5</v>
      </c>
      <c r="X690" t="s">
        <v>5</v>
      </c>
      <c r="Y690">
        <v>1</v>
      </c>
      <c r="Z690" t="s">
        <v>4</v>
      </c>
      <c r="AA690" s="16">
        <v>43768</v>
      </c>
      <c r="AB690">
        <v>303.477429999999</v>
      </c>
      <c r="AC690" s="4">
        <v>498.7</v>
      </c>
      <c r="AD690" s="4">
        <v>434.2</v>
      </c>
      <c r="AE690">
        <v>1.78894633596663</v>
      </c>
      <c r="AF690">
        <v>1.8027917492613881</v>
      </c>
      <c r="AG690">
        <v>0.40816071068543575</v>
      </c>
      <c r="AH690">
        <v>-1.8078148212885299E-5</v>
      </c>
      <c r="AI690">
        <v>1.1172119407506077E-5</v>
      </c>
      <c r="AJ690">
        <v>5.2059728296924725E-5</v>
      </c>
    </row>
    <row r="691" spans="1:36" x14ac:dyDescent="0.2">
      <c r="A691" t="s">
        <v>5</v>
      </c>
      <c r="B691">
        <v>2</v>
      </c>
      <c r="C691" s="2">
        <v>43768</v>
      </c>
      <c r="D691" s="13">
        <v>303.49652499999866</v>
      </c>
      <c r="E691" s="13"/>
      <c r="F691" s="4">
        <v>403.7</v>
      </c>
      <c r="H691">
        <v>19.600000000000001</v>
      </c>
      <c r="J691">
        <v>15.56</v>
      </c>
      <c r="N691">
        <v>0.14000000000000001</v>
      </c>
      <c r="P691">
        <v>1.5109315288627201</v>
      </c>
      <c r="S691" s="6">
        <v>-2.9874139243360198E-5</v>
      </c>
      <c r="X691" t="s">
        <v>5</v>
      </c>
      <c r="Y691">
        <v>2</v>
      </c>
      <c r="Z691" t="s">
        <v>4</v>
      </c>
      <c r="AA691" s="16">
        <v>43768</v>
      </c>
      <c r="AB691">
        <v>303.48992999999973</v>
      </c>
      <c r="AC691" s="4">
        <v>606.20000000000005</v>
      </c>
      <c r="AE691">
        <v>1.84681964806293</v>
      </c>
      <c r="AH691">
        <v>-1.8314027769991799E-5</v>
      </c>
    </row>
    <row r="692" spans="1:36" x14ac:dyDescent="0.2">
      <c r="A692" t="s">
        <v>5</v>
      </c>
      <c r="B692">
        <v>3</v>
      </c>
      <c r="C692" s="2">
        <v>43768</v>
      </c>
      <c r="D692" s="13">
        <v>303.50798500000019</v>
      </c>
      <c r="E692" s="13"/>
      <c r="F692" s="4">
        <v>361.2</v>
      </c>
      <c r="H692">
        <v>21.1</v>
      </c>
      <c r="J692">
        <v>15.56</v>
      </c>
      <c r="N692">
        <v>0.16</v>
      </c>
      <c r="P692">
        <v>2.72336121189185</v>
      </c>
      <c r="S692">
        <v>-1.5607768085813099E-4</v>
      </c>
      <c r="T692" s="6"/>
      <c r="U692" s="6"/>
      <c r="X692" t="s">
        <v>5</v>
      </c>
      <c r="Y692">
        <v>3</v>
      </c>
      <c r="Z692" t="s">
        <v>4</v>
      </c>
      <c r="AA692" s="16">
        <v>43768</v>
      </c>
      <c r="AB692">
        <v>303.50243000000046</v>
      </c>
      <c r="AC692" s="4">
        <v>381.2</v>
      </c>
      <c r="AE692">
        <v>2.4525037918666301</v>
      </c>
      <c r="AH692">
        <v>-3.8226560761543499E-5</v>
      </c>
    </row>
    <row r="693" spans="1:36" x14ac:dyDescent="0.2">
      <c r="A693" t="s">
        <v>5</v>
      </c>
      <c r="B693">
        <v>4</v>
      </c>
      <c r="C693" s="2">
        <v>43768</v>
      </c>
      <c r="D693" s="13">
        <v>303.52725500000088</v>
      </c>
      <c r="E693" s="13"/>
      <c r="F693" s="4">
        <v>321.2</v>
      </c>
      <c r="H693">
        <v>24.4</v>
      </c>
      <c r="J693">
        <v>15.56</v>
      </c>
      <c r="N693">
        <v>0.16</v>
      </c>
      <c r="P693">
        <v>1.5369946324141599</v>
      </c>
      <c r="S693" s="6">
        <v>4.48801331787017E-5</v>
      </c>
      <c r="T693" s="6"/>
      <c r="U693" s="6"/>
      <c r="X693" t="s">
        <v>5</v>
      </c>
      <c r="Y693">
        <v>4</v>
      </c>
      <c r="Z693" t="s">
        <v>4</v>
      </c>
      <c r="AA693" s="16">
        <v>43768</v>
      </c>
      <c r="AB693">
        <v>303.51423499999873</v>
      </c>
      <c r="AC693" s="4">
        <v>363.7</v>
      </c>
      <c r="AE693">
        <v>1.3886943379965899</v>
      </c>
      <c r="AH693">
        <v>8.5599200603249295E-5</v>
      </c>
    </row>
    <row r="694" spans="1:36" x14ac:dyDescent="0.2">
      <c r="A694" t="s">
        <v>5</v>
      </c>
      <c r="B694">
        <v>5</v>
      </c>
      <c r="C694" s="2">
        <v>43768</v>
      </c>
      <c r="D694" s="13">
        <v>303.53437499999927</v>
      </c>
      <c r="E694" s="13"/>
      <c r="F694" s="4">
        <v>291.2</v>
      </c>
      <c r="H694">
        <v>19.8</v>
      </c>
      <c r="J694">
        <v>15.56</v>
      </c>
      <c r="N694">
        <v>0.17</v>
      </c>
      <c r="P694">
        <v>1.3476180904130699</v>
      </c>
      <c r="S694" s="6">
        <v>8.4036687239836795E-6</v>
      </c>
      <c r="T694" s="6"/>
      <c r="U694" s="6"/>
      <c r="X694" t="s">
        <v>5</v>
      </c>
      <c r="Y694">
        <v>5</v>
      </c>
      <c r="Z694" t="s">
        <v>4</v>
      </c>
      <c r="AA694" s="16">
        <v>43768</v>
      </c>
      <c r="AB694">
        <v>303.52725500000088</v>
      </c>
      <c r="AC694" s="4">
        <v>321.2</v>
      </c>
      <c r="AE694">
        <v>1.5369946324141599</v>
      </c>
      <c r="AH694">
        <v>4.48801331787017E-5</v>
      </c>
    </row>
    <row r="695" spans="1:36" x14ac:dyDescent="0.2">
      <c r="A695" t="s">
        <v>8</v>
      </c>
      <c r="B695">
        <v>1</v>
      </c>
      <c r="C695" s="2">
        <v>43572</v>
      </c>
      <c r="D695" s="13">
        <v>107.47682500000155</v>
      </c>
      <c r="E695" s="13">
        <v>107.49627200000104</v>
      </c>
      <c r="F695" s="4">
        <v>1636.2</v>
      </c>
      <c r="G695" s="4">
        <v>1693.7</v>
      </c>
      <c r="H695">
        <v>15.1</v>
      </c>
      <c r="I695">
        <v>15.319999999999999</v>
      </c>
      <c r="J695">
        <v>11.66</v>
      </c>
      <c r="K695">
        <v>11.66</v>
      </c>
      <c r="M695" t="e">
        <v>#DIV/0!</v>
      </c>
      <c r="O695" s="4" t="e">
        <v>#DIV/0!</v>
      </c>
      <c r="P695">
        <v>1.98259157482675</v>
      </c>
      <c r="Q695">
        <v>1.9731230813804905</v>
      </c>
      <c r="R695">
        <v>1.1331774285690761</v>
      </c>
      <c r="S695" s="6">
        <v>2.8497492823910199E-5</v>
      </c>
      <c r="T695" s="6">
        <v>3.7758226186507986E-5</v>
      </c>
      <c r="U695" s="6">
        <v>2.5509884428726184E-4</v>
      </c>
      <c r="X695" t="s">
        <v>8</v>
      </c>
      <c r="Y695">
        <v>1</v>
      </c>
      <c r="Z695" t="s">
        <v>2</v>
      </c>
      <c r="AA695" s="16">
        <v>43572</v>
      </c>
      <c r="AB695">
        <v>107.47196500000064</v>
      </c>
      <c r="AC695" s="4">
        <v>1611.2</v>
      </c>
      <c r="AD695" s="4">
        <v>1678.2</v>
      </c>
      <c r="AE695">
        <v>1.4279731899960799</v>
      </c>
      <c r="AF695">
        <v>-0.61738437990854023</v>
      </c>
      <c r="AG695">
        <v>4.5324709993336487</v>
      </c>
      <c r="AH695">
        <v>1.1363312124703899E-4</v>
      </c>
      <c r="AI695">
        <v>4.5365760549506901E-4</v>
      </c>
      <c r="AJ695">
        <v>6.1318253594549652E-4</v>
      </c>
    </row>
    <row r="696" spans="1:36" x14ac:dyDescent="0.2">
      <c r="A696" t="s">
        <v>8</v>
      </c>
      <c r="B696">
        <v>2</v>
      </c>
      <c r="C696" s="2">
        <v>43572</v>
      </c>
      <c r="D696" s="13">
        <v>107.48655000000144</v>
      </c>
      <c r="E696" s="13"/>
      <c r="F696" s="4">
        <v>1661.2</v>
      </c>
      <c r="H696">
        <v>10.9</v>
      </c>
      <c r="J696">
        <v>11.66</v>
      </c>
      <c r="P696">
        <v>1.46333382960861</v>
      </c>
      <c r="S696" s="6">
        <v>5.3540049479714697E-5</v>
      </c>
      <c r="X696" t="s">
        <v>8</v>
      </c>
      <c r="Y696">
        <v>2</v>
      </c>
      <c r="Z696" t="s">
        <v>2</v>
      </c>
      <c r="AA696" s="16">
        <v>43572</v>
      </c>
      <c r="AB696">
        <v>107.48169000000053</v>
      </c>
      <c r="AC696" s="4">
        <v>1648.7</v>
      </c>
      <c r="AE696">
        <v>1.7536964639772199</v>
      </c>
      <c r="AH696">
        <v>1.65218465491532E-4</v>
      </c>
    </row>
    <row r="697" spans="1:36" x14ac:dyDescent="0.2">
      <c r="A697" t="s">
        <v>8</v>
      </c>
      <c r="B697">
        <v>3</v>
      </c>
      <c r="C697" s="2">
        <v>43572</v>
      </c>
      <c r="D697" s="13">
        <v>107.49627500000133</v>
      </c>
      <c r="E697" s="13"/>
      <c r="F697" s="4">
        <v>1696.2</v>
      </c>
      <c r="H697">
        <v>15.4</v>
      </c>
      <c r="J697">
        <v>11.66</v>
      </c>
      <c r="P697">
        <v>3.4809091195195299</v>
      </c>
      <c r="S697">
        <v>-1.6393646053433999E-4</v>
      </c>
      <c r="T697" s="6"/>
      <c r="U697" s="6"/>
      <c r="X697" t="s">
        <v>8</v>
      </c>
      <c r="Y697">
        <v>3</v>
      </c>
      <c r="Z697" t="s">
        <v>2</v>
      </c>
      <c r="AA697" s="16">
        <v>43572</v>
      </c>
      <c r="AB697">
        <v>107.49141500000042</v>
      </c>
      <c r="AC697" s="4">
        <v>1681.2</v>
      </c>
      <c r="AE697">
        <v>-8.5567719472586798</v>
      </c>
      <c r="AH697">
        <v>3.2670897996063102E-4</v>
      </c>
    </row>
    <row r="698" spans="1:36" x14ac:dyDescent="0.2">
      <c r="A698" t="s">
        <v>8</v>
      </c>
      <c r="B698">
        <v>4</v>
      </c>
      <c r="C698" s="2">
        <v>43572</v>
      </c>
      <c r="D698" s="13">
        <v>107.50599499999953</v>
      </c>
      <c r="E698" s="13"/>
      <c r="F698" s="4">
        <v>1733.7</v>
      </c>
      <c r="H698">
        <v>17.8</v>
      </c>
      <c r="J698">
        <v>11.66</v>
      </c>
      <c r="P698">
        <v>2.4929816008390899</v>
      </c>
      <c r="S698">
        <v>-1.81072216734704E-4</v>
      </c>
      <c r="T698" s="6"/>
      <c r="U698" s="6"/>
      <c r="X698" t="s">
        <v>8</v>
      </c>
      <c r="Y698">
        <v>4</v>
      </c>
      <c r="Z698" t="s">
        <v>2</v>
      </c>
      <c r="AA698" s="16">
        <v>43572</v>
      </c>
      <c r="AB698">
        <v>107.50113499999861</v>
      </c>
      <c r="AC698" s="4">
        <v>1711.2</v>
      </c>
      <c r="AE698">
        <v>2.3947302666588901</v>
      </c>
      <c r="AH698">
        <v>1.2294375781120301E-4</v>
      </c>
    </row>
    <row r="699" spans="1:36" x14ac:dyDescent="0.2">
      <c r="A699" t="s">
        <v>8</v>
      </c>
      <c r="B699">
        <v>5</v>
      </c>
      <c r="C699" s="2">
        <v>43572</v>
      </c>
      <c r="D699" s="13">
        <v>107.51571500000136</v>
      </c>
      <c r="E699" s="13"/>
      <c r="F699" s="4">
        <v>1741.2</v>
      </c>
      <c r="H699">
        <v>17.399999999999999</v>
      </c>
      <c r="J699">
        <v>11.66</v>
      </c>
      <c r="P699">
        <v>0.44579928210847403</v>
      </c>
      <c r="S699">
        <v>4.5176226589795901E-4</v>
      </c>
      <c r="T699" s="6"/>
      <c r="U699" s="6"/>
      <c r="X699" t="s">
        <v>8</v>
      </c>
      <c r="Y699">
        <v>5</v>
      </c>
      <c r="Z699" t="s">
        <v>2</v>
      </c>
      <c r="AA699" s="16">
        <v>43572</v>
      </c>
      <c r="AB699">
        <v>107.51085500000045</v>
      </c>
      <c r="AC699" s="4">
        <v>1738.7</v>
      </c>
      <c r="AE699">
        <v>-0.106549872916211</v>
      </c>
      <c r="AH699">
        <v>1.53978370296494E-3</v>
      </c>
    </row>
    <row r="700" spans="1:36" x14ac:dyDescent="0.2">
      <c r="A700" t="s">
        <v>8</v>
      </c>
      <c r="B700">
        <v>1</v>
      </c>
      <c r="C700" s="2">
        <v>43578</v>
      </c>
      <c r="D700" s="13">
        <v>113.42841499999849</v>
      </c>
      <c r="E700" s="13">
        <v>113.44785800000027</v>
      </c>
      <c r="F700" s="4">
        <v>1398.7</v>
      </c>
      <c r="G700" s="4">
        <v>1512.2</v>
      </c>
      <c r="H700">
        <v>11.3</v>
      </c>
      <c r="I700">
        <v>14.52</v>
      </c>
      <c r="J700">
        <v>18.329999999999998</v>
      </c>
      <c r="K700">
        <v>18.329999999999998</v>
      </c>
      <c r="M700" t="e">
        <v>#DIV/0!</v>
      </c>
      <c r="O700" s="4" t="e">
        <v>#DIV/0!</v>
      </c>
      <c r="P700">
        <v>2.90363360603931</v>
      </c>
      <c r="Q700">
        <v>4.1938830273357457</v>
      </c>
      <c r="R700">
        <v>2.3791249804818402</v>
      </c>
      <c r="S700">
        <v>-2.3643373225966399E-4</v>
      </c>
      <c r="T700" s="6">
        <v>-8.3495522837116482E-5</v>
      </c>
      <c r="U700" s="6">
        <v>1.1499225389717874E-4</v>
      </c>
      <c r="X700" t="s">
        <v>8</v>
      </c>
      <c r="Y700">
        <v>1</v>
      </c>
      <c r="Z700" t="s">
        <v>2</v>
      </c>
      <c r="AA700" s="16">
        <v>43578</v>
      </c>
      <c r="AB700">
        <v>113.42355500000122</v>
      </c>
      <c r="AC700" s="4">
        <v>1361.2</v>
      </c>
      <c r="AD700" s="4">
        <v>1483.2</v>
      </c>
      <c r="AE700">
        <v>1.02861591865318</v>
      </c>
      <c r="AF700">
        <v>-2.6634665192174749</v>
      </c>
      <c r="AG700">
        <v>8.2083583632991761</v>
      </c>
      <c r="AH700">
        <v>-1.01446258103334E-4</v>
      </c>
      <c r="AI700">
        <v>-2.722527104134136E-5</v>
      </c>
      <c r="AJ700">
        <v>5.6006930174555577E-5</v>
      </c>
    </row>
    <row r="701" spans="1:36" x14ac:dyDescent="0.2">
      <c r="A701" t="s">
        <v>8</v>
      </c>
      <c r="B701">
        <v>2</v>
      </c>
      <c r="C701" s="2">
        <v>43578</v>
      </c>
      <c r="D701" s="13">
        <v>113.43813500000033</v>
      </c>
      <c r="E701" s="13"/>
      <c r="F701" s="4">
        <v>1463.7</v>
      </c>
      <c r="H701">
        <v>15.8</v>
      </c>
      <c r="J701">
        <v>18.329999999999998</v>
      </c>
      <c r="P701">
        <v>2.4973486927694002</v>
      </c>
      <c r="S701">
        <v>-1.1311900470414101E-4</v>
      </c>
      <c r="X701" t="s">
        <v>8</v>
      </c>
      <c r="Y701">
        <v>2</v>
      </c>
      <c r="Z701" t="s">
        <v>2</v>
      </c>
      <c r="AA701" s="16">
        <v>43578</v>
      </c>
      <c r="AB701">
        <v>113.43327499999941</v>
      </c>
      <c r="AC701" s="4">
        <v>1433.7</v>
      </c>
      <c r="AE701">
        <v>1.26878683000953</v>
      </c>
      <c r="AH701">
        <v>-4.85426745777092E-5</v>
      </c>
    </row>
    <row r="702" spans="1:36" x14ac:dyDescent="0.2">
      <c r="A702" t="s">
        <v>8</v>
      </c>
      <c r="B702">
        <v>3</v>
      </c>
      <c r="C702" s="2">
        <v>43578</v>
      </c>
      <c r="D702" s="13">
        <v>113.44785499999853</v>
      </c>
      <c r="E702" s="13"/>
      <c r="F702" s="4">
        <v>1521.2</v>
      </c>
      <c r="H702">
        <v>14.2</v>
      </c>
      <c r="J702">
        <v>18.329999999999998</v>
      </c>
      <c r="P702">
        <v>8.3469320275513006</v>
      </c>
      <c r="S702" s="6">
        <v>-8.6042533201104702E-5</v>
      </c>
      <c r="T702" s="6"/>
      <c r="U702" s="6"/>
      <c r="X702" t="s">
        <v>8</v>
      </c>
      <c r="Y702">
        <v>3</v>
      </c>
      <c r="Z702" t="s">
        <v>2</v>
      </c>
      <c r="AA702" s="16">
        <v>43578</v>
      </c>
      <c r="AB702">
        <v>113.44299500000125</v>
      </c>
      <c r="AC702" s="4">
        <v>1491.2</v>
      </c>
      <c r="AE702">
        <v>-17.221998676169001</v>
      </c>
      <c r="AH702">
        <v>-1.2500943629060099E-5</v>
      </c>
    </row>
    <row r="703" spans="1:36" x14ac:dyDescent="0.2">
      <c r="A703" t="s">
        <v>8</v>
      </c>
      <c r="B703">
        <v>4</v>
      </c>
      <c r="C703" s="2">
        <v>43578</v>
      </c>
      <c r="D703" s="13">
        <v>113.45758000000205</v>
      </c>
      <c r="E703" s="13"/>
      <c r="F703" s="4">
        <v>1566.2</v>
      </c>
      <c r="H703">
        <v>13.8</v>
      </c>
      <c r="J703">
        <v>18.329999999999998</v>
      </c>
      <c r="P703">
        <v>3.9023555021729099</v>
      </c>
      <c r="S703" s="6">
        <v>-6.6724165717316206E-5</v>
      </c>
      <c r="T703" s="6"/>
      <c r="U703" s="6"/>
      <c r="X703" t="s">
        <v>8</v>
      </c>
      <c r="Y703">
        <v>4</v>
      </c>
      <c r="Z703" t="s">
        <v>2</v>
      </c>
      <c r="AA703" s="16">
        <v>43578</v>
      </c>
      <c r="AB703">
        <v>113.45272000000114</v>
      </c>
      <c r="AC703" s="4">
        <v>1541.2</v>
      </c>
      <c r="AE703">
        <v>2.2905917757990499</v>
      </c>
      <c r="AH703">
        <v>-2.6198793496305499E-5</v>
      </c>
    </row>
    <row r="704" spans="1:36" x14ac:dyDescent="0.2">
      <c r="A704" t="s">
        <v>8</v>
      </c>
      <c r="B704">
        <v>5</v>
      </c>
      <c r="C704" s="2">
        <v>43578</v>
      </c>
      <c r="D704" s="13">
        <v>113.46730500000194</v>
      </c>
      <c r="E704" s="13"/>
      <c r="F704" s="4">
        <v>1611.2</v>
      </c>
      <c r="H704">
        <v>17.5</v>
      </c>
      <c r="J704">
        <v>18.329999999999998</v>
      </c>
      <c r="P704">
        <v>3.31914530814581</v>
      </c>
      <c r="S704" s="6">
        <v>8.4841821696643503E-5</v>
      </c>
      <c r="T704" s="6"/>
      <c r="U704" s="6"/>
      <c r="X704" t="s">
        <v>8</v>
      </c>
      <c r="Y704">
        <v>5</v>
      </c>
      <c r="Z704" t="s">
        <v>2</v>
      </c>
      <c r="AA704" s="16">
        <v>43578</v>
      </c>
      <c r="AB704">
        <v>113.46244500000103</v>
      </c>
      <c r="AC704" s="4">
        <v>1588.7</v>
      </c>
      <c r="AE704">
        <v>-0.68332844438013396</v>
      </c>
      <c r="AH704">
        <v>5.2562314599701998E-5</v>
      </c>
    </row>
    <row r="705" spans="1:36" x14ac:dyDescent="0.2">
      <c r="A705" t="s">
        <v>8</v>
      </c>
      <c r="B705">
        <v>1</v>
      </c>
      <c r="C705" s="2">
        <v>43578</v>
      </c>
      <c r="D705" s="13">
        <v>113.55532500000118</v>
      </c>
      <c r="E705" s="13">
        <v>113.57198999999964</v>
      </c>
      <c r="F705" s="4">
        <v>1773.7</v>
      </c>
      <c r="G705" s="4">
        <v>1078.7</v>
      </c>
      <c r="H705">
        <v>10.1</v>
      </c>
      <c r="I705">
        <v>12.819999999999999</v>
      </c>
      <c r="J705">
        <v>21.67</v>
      </c>
      <c r="K705">
        <v>21.67</v>
      </c>
      <c r="M705" t="e">
        <v>#DIV/0!</v>
      </c>
      <c r="O705" s="4" t="e">
        <v>#DIV/0!</v>
      </c>
      <c r="P705">
        <v>3.9432630979060601</v>
      </c>
      <c r="Q705">
        <v>5.9101049761654521</v>
      </c>
      <c r="R705">
        <v>4.3715304983629961</v>
      </c>
      <c r="S705">
        <v>1.65642097020283E-4</v>
      </c>
      <c r="T705" s="6">
        <v>-8.2943473449748206E-5</v>
      </c>
      <c r="U705" s="6">
        <v>1.4307989245215119E-4</v>
      </c>
      <c r="X705" t="s">
        <v>8</v>
      </c>
      <c r="Y705">
        <v>1</v>
      </c>
      <c r="Z705" t="s">
        <v>2</v>
      </c>
      <c r="AA705" s="16">
        <v>43578</v>
      </c>
      <c r="AB705">
        <v>113.55115500000102</v>
      </c>
      <c r="AC705" s="4">
        <v>1778.7</v>
      </c>
      <c r="AD705" s="4">
        <v>1424.2</v>
      </c>
      <c r="AE705">
        <v>2.3336606410695602</v>
      </c>
      <c r="AF705">
        <v>-1.5959143907016089</v>
      </c>
      <c r="AG705">
        <v>7.3800770737096801</v>
      </c>
      <c r="AH705">
        <v>2.0657886359723101E-4</v>
      </c>
      <c r="AI705">
        <v>1.3483099334172426E-4</v>
      </c>
      <c r="AJ705">
        <v>1.5380810370836654E-4</v>
      </c>
    </row>
    <row r="706" spans="1:36" x14ac:dyDescent="0.2">
      <c r="A706" t="s">
        <v>8</v>
      </c>
      <c r="B706">
        <v>2</v>
      </c>
      <c r="C706" s="2">
        <v>43578</v>
      </c>
      <c r="D706" s="13">
        <v>113.56365500000175</v>
      </c>
      <c r="E706" s="13"/>
      <c r="F706" s="4">
        <v>1763.7</v>
      </c>
      <c r="H706">
        <v>15.4</v>
      </c>
      <c r="J706">
        <v>21.67</v>
      </c>
      <c r="P706">
        <v>2.7180716972980101</v>
      </c>
      <c r="S706">
        <v>-1.3423461281806799E-4</v>
      </c>
      <c r="X706" t="s">
        <v>8</v>
      </c>
      <c r="Y706">
        <v>2</v>
      </c>
      <c r="Z706" t="s">
        <v>2</v>
      </c>
      <c r="AA706" s="16">
        <v>43578</v>
      </c>
      <c r="AB706">
        <v>113.55948999999964</v>
      </c>
      <c r="AC706" s="4">
        <v>1768.7</v>
      </c>
      <c r="AE706">
        <v>2.8015560254331699</v>
      </c>
      <c r="AH706">
        <v>2.9808611958566199E-4</v>
      </c>
    </row>
    <row r="707" spans="1:36" x14ac:dyDescent="0.2">
      <c r="A707" t="s">
        <v>8</v>
      </c>
      <c r="B707">
        <v>3</v>
      </c>
      <c r="C707" s="2">
        <v>43578</v>
      </c>
      <c r="D707" s="13">
        <v>113.57198999999673</v>
      </c>
      <c r="E707" s="13"/>
      <c r="F707" s="4">
        <v>1771.2</v>
      </c>
      <c r="H707">
        <v>16.2</v>
      </c>
      <c r="J707">
        <v>21.67</v>
      </c>
      <c r="P707">
        <v>13.598074151788101</v>
      </c>
      <c r="S707" s="6">
        <v>-9.4033984758392004E-5</v>
      </c>
      <c r="T707" s="6"/>
      <c r="U707" s="6"/>
      <c r="X707" t="s">
        <v>8</v>
      </c>
      <c r="Y707">
        <v>3</v>
      </c>
      <c r="Z707" t="s">
        <v>2</v>
      </c>
      <c r="AA707" s="16">
        <v>43578</v>
      </c>
      <c r="AB707">
        <v>113.5678250000019</v>
      </c>
      <c r="AC707" s="4">
        <v>1773.7</v>
      </c>
      <c r="AE707">
        <v>-14.6462087720189</v>
      </c>
      <c r="AH707">
        <v>2.0661273949034199E-4</v>
      </c>
    </row>
    <row r="708" spans="1:36" x14ac:dyDescent="0.2">
      <c r="A708" t="s">
        <v>8</v>
      </c>
      <c r="B708">
        <v>4</v>
      </c>
      <c r="C708" s="2">
        <v>43578</v>
      </c>
      <c r="D708" s="13">
        <v>113.58032499999899</v>
      </c>
      <c r="E708" s="13"/>
      <c r="F708" s="4">
        <v>36.200000000000003</v>
      </c>
      <c r="H708">
        <v>13.8</v>
      </c>
      <c r="J708">
        <v>21.67</v>
      </c>
      <c r="P708">
        <v>4.8462366185966701</v>
      </c>
      <c r="S708">
        <v>-1.7725091221930701E-4</v>
      </c>
      <c r="T708" s="6"/>
      <c r="U708" s="6"/>
      <c r="X708" t="s">
        <v>8</v>
      </c>
      <c r="Y708">
        <v>4</v>
      </c>
      <c r="Z708" t="s">
        <v>2</v>
      </c>
      <c r="AA708" s="16">
        <v>43578</v>
      </c>
      <c r="AB708">
        <v>113.57615499999883</v>
      </c>
      <c r="AC708" s="4">
        <v>1758.7</v>
      </c>
      <c r="AE708">
        <v>1.66518791952039</v>
      </c>
      <c r="AH708">
        <v>5.4296976697736499E-5</v>
      </c>
    </row>
    <row r="709" spans="1:36" x14ac:dyDescent="0.2">
      <c r="A709" t="s">
        <v>8</v>
      </c>
      <c r="B709">
        <v>5</v>
      </c>
      <c r="C709" s="2">
        <v>43578</v>
      </c>
      <c r="D709" s="13">
        <v>113.58865499999956</v>
      </c>
      <c r="E709" s="13"/>
      <c r="F709" s="4">
        <v>48.7</v>
      </c>
      <c r="H709">
        <v>8.6</v>
      </c>
      <c r="J709">
        <v>21.67</v>
      </c>
      <c r="P709">
        <v>4.4448793152384196</v>
      </c>
      <c r="S709">
        <v>-1.7483995447325701E-4</v>
      </c>
      <c r="T709" s="6"/>
      <c r="U709" s="6"/>
      <c r="X709" t="s">
        <v>8</v>
      </c>
      <c r="Y709">
        <v>5</v>
      </c>
      <c r="Z709" t="s">
        <v>2</v>
      </c>
      <c r="AA709" s="16">
        <v>43578</v>
      </c>
      <c r="AB709">
        <v>113.5844900000011</v>
      </c>
      <c r="AC709" s="4">
        <v>41.2</v>
      </c>
      <c r="AE709">
        <v>-0.13376776751226499</v>
      </c>
      <c r="AH709">
        <v>-9.1419732662350196E-5</v>
      </c>
    </row>
    <row r="710" spans="1:36" x14ac:dyDescent="0.2">
      <c r="A710" t="s">
        <v>8</v>
      </c>
      <c r="B710">
        <v>1</v>
      </c>
      <c r="C710" s="2">
        <v>43586</v>
      </c>
      <c r="D710" s="13">
        <v>121.41646000000037</v>
      </c>
      <c r="E710" s="13">
        <v>121.43729199999943</v>
      </c>
      <c r="F710" s="4">
        <v>198.7</v>
      </c>
      <c r="G710" s="4">
        <v>370.2</v>
      </c>
      <c r="H710">
        <v>18.8</v>
      </c>
      <c r="I710">
        <v>15.6</v>
      </c>
      <c r="J710">
        <v>10</v>
      </c>
      <c r="K710">
        <v>10</v>
      </c>
      <c r="M710" t="e">
        <v>#DIV/0!</v>
      </c>
      <c r="O710" s="4" t="e">
        <v>#DIV/0!</v>
      </c>
      <c r="P710">
        <v>1.49670752383398</v>
      </c>
      <c r="Q710">
        <v>0.40300016306669717</v>
      </c>
      <c r="R710">
        <v>1.1830597487386068</v>
      </c>
      <c r="S710">
        <v>-1.12689693350162E-4</v>
      </c>
      <c r="T710" s="6">
        <v>-2.1839212013313801E-5</v>
      </c>
      <c r="U710" s="6">
        <v>2.5700210376470857E-4</v>
      </c>
      <c r="X710" t="s">
        <v>8</v>
      </c>
      <c r="Y710">
        <v>1</v>
      </c>
      <c r="Z710" t="s">
        <v>2</v>
      </c>
      <c r="AA710" s="16">
        <v>43586</v>
      </c>
      <c r="AB710">
        <v>121.41124999999738</v>
      </c>
      <c r="AC710" s="4">
        <v>276.2</v>
      </c>
      <c r="AD710" s="4">
        <v>327.2</v>
      </c>
      <c r="AE710">
        <v>0.45414535351825602</v>
      </c>
      <c r="AF710">
        <v>0.52971294851724371</v>
      </c>
      <c r="AG710">
        <v>0.24923142228013967</v>
      </c>
      <c r="AH710">
        <v>9.7930938676686505E-6</v>
      </c>
      <c r="AI710">
        <v>-1.2613771342919968E-4</v>
      </c>
      <c r="AJ710">
        <v>2.0054470635807626E-4</v>
      </c>
    </row>
    <row r="711" spans="1:36" x14ac:dyDescent="0.2">
      <c r="A711" t="s">
        <v>8</v>
      </c>
      <c r="B711">
        <v>2</v>
      </c>
      <c r="C711" s="2">
        <v>43586</v>
      </c>
      <c r="D711" s="13">
        <v>121.42687499999738</v>
      </c>
      <c r="E711" s="13"/>
      <c r="F711" s="4">
        <v>341.2</v>
      </c>
      <c r="H711">
        <v>11.9</v>
      </c>
      <c r="J711">
        <v>10</v>
      </c>
      <c r="P711">
        <v>0.31808307919753598</v>
      </c>
      <c r="S711">
        <v>-2.2547596787918001E-4</v>
      </c>
      <c r="X711" t="s">
        <v>8</v>
      </c>
      <c r="Y711">
        <v>2</v>
      </c>
      <c r="Z711" t="s">
        <v>2</v>
      </c>
      <c r="AA711" s="16">
        <v>43586</v>
      </c>
      <c r="AB711">
        <v>121.42166999999972</v>
      </c>
      <c r="AC711" s="4">
        <v>221.2</v>
      </c>
      <c r="AE711">
        <v>0.65474175657029898</v>
      </c>
      <c r="AH711">
        <v>-1.11650444141523E-4</v>
      </c>
    </row>
    <row r="712" spans="1:36" x14ac:dyDescent="0.2">
      <c r="A712" t="s">
        <v>8</v>
      </c>
      <c r="B712">
        <v>3</v>
      </c>
      <c r="C712" s="2">
        <v>43586</v>
      </c>
      <c r="D712" s="13">
        <v>121.43728999999803</v>
      </c>
      <c r="E712" s="13"/>
      <c r="F712" s="4">
        <v>343.7</v>
      </c>
      <c r="H712">
        <v>13.5</v>
      </c>
      <c r="J712">
        <v>10</v>
      </c>
      <c r="P712">
        <v>-0.46531825887796002</v>
      </c>
      <c r="S712">
        <v>4.1628251860669998E-4</v>
      </c>
      <c r="T712" s="6"/>
      <c r="U712" s="6"/>
      <c r="X712" t="s">
        <v>8</v>
      </c>
      <c r="Y712">
        <v>3</v>
      </c>
      <c r="Z712" t="s">
        <v>2</v>
      </c>
      <c r="AA712" s="16">
        <v>43586</v>
      </c>
      <c r="AB712">
        <v>121.43208500000037</v>
      </c>
      <c r="AC712" s="4">
        <v>338.7</v>
      </c>
      <c r="AE712">
        <v>0.13349925319606601</v>
      </c>
      <c r="AH712">
        <v>9.4032149648194905E-6</v>
      </c>
    </row>
    <row r="713" spans="1:36" x14ac:dyDescent="0.2">
      <c r="A713" t="s">
        <v>8</v>
      </c>
      <c r="B713">
        <v>4</v>
      </c>
      <c r="C713" s="2">
        <v>43586</v>
      </c>
      <c r="D713" s="13">
        <v>121.44771000000037</v>
      </c>
      <c r="E713" s="13"/>
      <c r="F713" s="4">
        <v>418.7</v>
      </c>
      <c r="H713">
        <v>12.6</v>
      </c>
      <c r="J713">
        <v>10</v>
      </c>
      <c r="P713">
        <v>-1.01469109229793</v>
      </c>
      <c r="S713">
        <v>-1.7179896433873601E-4</v>
      </c>
      <c r="T713" s="6"/>
      <c r="U713" s="6"/>
      <c r="X713" t="s">
        <v>8</v>
      </c>
      <c r="Y713">
        <v>4</v>
      </c>
      <c r="Z713" t="s">
        <v>2</v>
      </c>
      <c r="AA713" s="16">
        <v>43586</v>
      </c>
      <c r="AB713">
        <v>121.44250000000102</v>
      </c>
      <c r="AC713" s="4">
        <v>348.7</v>
      </c>
      <c r="AE713">
        <v>0.632312750030112</v>
      </c>
      <c r="AH713">
        <v>-4.7274436552667901E-4</v>
      </c>
    </row>
    <row r="714" spans="1:36" x14ac:dyDescent="0.2">
      <c r="A714" t="s">
        <v>8</v>
      </c>
      <c r="B714">
        <v>5</v>
      </c>
      <c r="C714" s="2">
        <v>43586</v>
      </c>
      <c r="D714" s="13">
        <v>121.45812500000102</v>
      </c>
      <c r="E714" s="13"/>
      <c r="F714" s="4">
        <v>548.70000000000005</v>
      </c>
      <c r="H714">
        <v>21.2</v>
      </c>
      <c r="J714">
        <v>10</v>
      </c>
      <c r="P714">
        <v>1.6802195634778601</v>
      </c>
      <c r="S714">
        <v>-1.5513953105191001E-5</v>
      </c>
      <c r="T714" s="6"/>
      <c r="U714" s="6"/>
      <c r="X714" t="s">
        <v>8</v>
      </c>
      <c r="Y714">
        <v>5</v>
      </c>
      <c r="Z714" t="s">
        <v>2</v>
      </c>
      <c r="AA714" s="16">
        <v>43586</v>
      </c>
      <c r="AB714">
        <v>121.45291500000167</v>
      </c>
      <c r="AC714" s="4">
        <v>451.2</v>
      </c>
      <c r="AE714">
        <v>0.77386562927148606</v>
      </c>
      <c r="AH714">
        <v>-6.54900663102846E-5</v>
      </c>
    </row>
    <row r="715" spans="1:36" x14ac:dyDescent="0.2">
      <c r="A715" t="s">
        <v>8</v>
      </c>
      <c r="B715">
        <v>1</v>
      </c>
      <c r="C715" s="2">
        <v>43586</v>
      </c>
      <c r="D715" s="13">
        <v>121.51544000000285</v>
      </c>
      <c r="E715" s="13">
        <v>121.5348840000006</v>
      </c>
      <c r="F715" s="4">
        <v>926.2</v>
      </c>
      <c r="G715" s="4">
        <v>758.7</v>
      </c>
      <c r="H715">
        <v>17.7</v>
      </c>
      <c r="I715">
        <v>16.639999999999997</v>
      </c>
      <c r="J715">
        <v>13.33</v>
      </c>
      <c r="K715">
        <v>13.330000000000002</v>
      </c>
      <c r="M715" t="e">
        <v>#DIV/0!</v>
      </c>
      <c r="O715" s="4" t="e">
        <v>#DIV/0!</v>
      </c>
      <c r="P715">
        <v>1.9819930453778301</v>
      </c>
      <c r="Q715">
        <v>2.4644014830815566</v>
      </c>
      <c r="R715">
        <v>0.86634689809528398</v>
      </c>
      <c r="S715">
        <v>-3.0110599999999999E-4</v>
      </c>
      <c r="T715" s="6">
        <v>-1.2990920000000001E-4</v>
      </c>
      <c r="U715" s="6">
        <v>9.9613367090968256E-5</v>
      </c>
      <c r="X715" t="s">
        <v>8</v>
      </c>
      <c r="Y715">
        <v>1</v>
      </c>
      <c r="Z715" t="s">
        <v>2</v>
      </c>
      <c r="AA715" s="16">
        <v>43586</v>
      </c>
      <c r="AB715">
        <v>121.51057500000024</v>
      </c>
      <c r="AC715" s="4">
        <v>721.2</v>
      </c>
      <c r="AD715" s="4">
        <v>786.2</v>
      </c>
      <c r="AE715">
        <v>-0.496543671127393</v>
      </c>
      <c r="AF715">
        <v>-3.1993458243486108</v>
      </c>
      <c r="AG715">
        <v>6.4501243477698633</v>
      </c>
      <c r="AH715">
        <v>-3.19327E-4</v>
      </c>
      <c r="AI715">
        <v>-9.3354399999999988E-5</v>
      </c>
      <c r="AJ715">
        <v>1.9356885261658188E-4</v>
      </c>
    </row>
    <row r="716" spans="1:36" x14ac:dyDescent="0.2">
      <c r="A716" t="s">
        <v>8</v>
      </c>
      <c r="B716">
        <v>2</v>
      </c>
      <c r="C716" s="2">
        <v>43586</v>
      </c>
      <c r="D716" s="13">
        <v>121.52516499999911</v>
      </c>
      <c r="E716" s="13"/>
      <c r="F716" s="4">
        <v>833.7</v>
      </c>
      <c r="H716">
        <v>13.7</v>
      </c>
      <c r="J716">
        <v>13.33</v>
      </c>
      <c r="P716">
        <v>1.81916907792444</v>
      </c>
      <c r="S716" s="6">
        <v>-7.8800000000000004E-5</v>
      </c>
      <c r="X716" t="s">
        <v>8</v>
      </c>
      <c r="Y716">
        <v>2</v>
      </c>
      <c r="Z716" t="s">
        <v>2</v>
      </c>
      <c r="AA716" s="16">
        <v>43586</v>
      </c>
      <c r="AB716">
        <v>121.52030000000013</v>
      </c>
      <c r="AC716" s="4">
        <v>941.2</v>
      </c>
      <c r="AE716">
        <v>4.0027644049837302E-2</v>
      </c>
      <c r="AH716">
        <v>-1.75417E-4</v>
      </c>
    </row>
    <row r="717" spans="1:36" x14ac:dyDescent="0.2">
      <c r="A717" t="s">
        <v>8</v>
      </c>
      <c r="B717">
        <v>3</v>
      </c>
      <c r="C717" s="2">
        <v>43586</v>
      </c>
      <c r="D717" s="13">
        <v>121.53488500000094</v>
      </c>
      <c r="E717" s="13"/>
      <c r="F717" s="4">
        <v>771.2</v>
      </c>
      <c r="H717">
        <v>17.7</v>
      </c>
      <c r="J717">
        <v>13.33</v>
      </c>
      <c r="P717">
        <v>3.9742353669292201</v>
      </c>
      <c r="S717" s="6">
        <v>-7.7100000000000004E-5</v>
      </c>
      <c r="T717" s="6"/>
      <c r="U717" s="6"/>
      <c r="X717" t="s">
        <v>8</v>
      </c>
      <c r="Y717">
        <v>3</v>
      </c>
      <c r="Z717" t="s">
        <v>2</v>
      </c>
      <c r="AA717" s="16">
        <v>43586</v>
      </c>
      <c r="AB717">
        <v>121.53002500000002</v>
      </c>
      <c r="AC717" s="4">
        <v>763.7</v>
      </c>
      <c r="AE717">
        <v>-14.5051212499841</v>
      </c>
      <c r="AH717">
        <v>-5.0399999999999999E-5</v>
      </c>
    </row>
    <row r="718" spans="1:36" x14ac:dyDescent="0.2">
      <c r="A718" t="s">
        <v>8</v>
      </c>
      <c r="B718">
        <v>4</v>
      </c>
      <c r="C718" s="2">
        <v>43586</v>
      </c>
      <c r="D718" s="13">
        <v>121.54460499999914</v>
      </c>
      <c r="E718" s="13"/>
      <c r="F718" s="4">
        <v>713.7</v>
      </c>
      <c r="H718">
        <v>18.3</v>
      </c>
      <c r="J718">
        <v>13.33</v>
      </c>
      <c r="P718">
        <v>2.2899019023784102</v>
      </c>
      <c r="S718" s="6">
        <v>-5.94E-5</v>
      </c>
      <c r="T718" s="6"/>
      <c r="U718" s="6"/>
      <c r="X718" t="s">
        <v>8</v>
      </c>
      <c r="Y718">
        <v>4</v>
      </c>
      <c r="Z718" t="s">
        <v>2</v>
      </c>
      <c r="AA718" s="16">
        <v>43586</v>
      </c>
      <c r="AB718">
        <v>121.53974499999822</v>
      </c>
      <c r="AC718" s="4">
        <v>813.7</v>
      </c>
      <c r="AE718">
        <v>1.2731351011571701</v>
      </c>
      <c r="AH718">
        <v>-1.2679400000000001E-4</v>
      </c>
    </row>
    <row r="719" spans="1:36" x14ac:dyDescent="0.2">
      <c r="A719" t="s">
        <v>8</v>
      </c>
      <c r="B719">
        <v>5</v>
      </c>
      <c r="C719" s="2">
        <v>43586</v>
      </c>
      <c r="D719" s="13">
        <v>121.55432500000097</v>
      </c>
      <c r="E719" s="13"/>
      <c r="F719" s="4">
        <v>548.70000000000005</v>
      </c>
      <c r="H719">
        <v>15.8</v>
      </c>
      <c r="J719">
        <v>13.33</v>
      </c>
      <c r="P719">
        <v>2.2567080227978802</v>
      </c>
      <c r="S719">
        <v>-1.3313999999999999E-4</v>
      </c>
      <c r="T719" s="6"/>
      <c r="U719" s="6"/>
      <c r="X719" t="s">
        <v>8</v>
      </c>
      <c r="Y719">
        <v>5</v>
      </c>
      <c r="Z719" t="s">
        <v>2</v>
      </c>
      <c r="AA719" s="16">
        <v>43586</v>
      </c>
      <c r="AB719">
        <v>121.54946500000005</v>
      </c>
      <c r="AC719" s="4">
        <v>691.2</v>
      </c>
      <c r="AE719">
        <v>-2.30822694583857</v>
      </c>
      <c r="AH719">
        <v>2.0516600000000001E-4</v>
      </c>
    </row>
    <row r="720" spans="1:36" x14ac:dyDescent="0.2">
      <c r="A720" t="s">
        <v>8</v>
      </c>
      <c r="B720">
        <v>1</v>
      </c>
      <c r="C720" s="2">
        <v>43600</v>
      </c>
      <c r="D720" s="13">
        <v>135.39016500000071</v>
      </c>
      <c r="E720" s="13">
        <v>135.40960599999963</v>
      </c>
      <c r="F720" s="4">
        <v>576.20000000000005</v>
      </c>
      <c r="G720" s="4">
        <v>941.2</v>
      </c>
      <c r="H720">
        <v>17.399999999999999</v>
      </c>
      <c r="I720">
        <v>19.64</v>
      </c>
      <c r="J720">
        <v>10</v>
      </c>
      <c r="K720">
        <v>10</v>
      </c>
      <c r="M720" t="e">
        <v>#DIV/0!</v>
      </c>
      <c r="O720" s="4" t="e">
        <v>#DIV/0!</v>
      </c>
      <c r="P720">
        <v>1.6769448367084001</v>
      </c>
      <c r="Q720">
        <v>3.8411233295076186</v>
      </c>
      <c r="R720">
        <v>2.6964845485168452</v>
      </c>
      <c r="T720" s="6" t="e">
        <v>#DIV/0!</v>
      </c>
      <c r="U720" s="6" t="e">
        <v>#DIV/0!</v>
      </c>
      <c r="X720" t="s">
        <v>8</v>
      </c>
      <c r="Y720">
        <v>1</v>
      </c>
      <c r="Z720" t="s">
        <v>2</v>
      </c>
      <c r="AA720" s="16">
        <v>43600</v>
      </c>
      <c r="AB720">
        <v>135.38530000000173</v>
      </c>
      <c r="AC720" s="4">
        <v>338.7</v>
      </c>
      <c r="AD720" s="4">
        <v>1181.7</v>
      </c>
      <c r="AE720">
        <v>-1.54183379206222</v>
      </c>
      <c r="AF720">
        <v>-6.4736663694032162</v>
      </c>
      <c r="AG720">
        <v>5.9379710838347632</v>
      </c>
      <c r="AI720" t="e">
        <v>#DIV/0!</v>
      </c>
      <c r="AJ720" t="e">
        <v>#DIV/0!</v>
      </c>
    </row>
    <row r="721" spans="1:36" x14ac:dyDescent="0.2">
      <c r="A721" t="s">
        <v>8</v>
      </c>
      <c r="B721">
        <v>2</v>
      </c>
      <c r="C721" s="2">
        <v>43600</v>
      </c>
      <c r="D721" s="13">
        <v>135.3998849999989</v>
      </c>
      <c r="E721" s="13"/>
      <c r="F721" s="4">
        <v>1583.7</v>
      </c>
      <c r="H721">
        <v>17.3</v>
      </c>
      <c r="J721">
        <v>10</v>
      </c>
      <c r="P721">
        <v>1.0174318960247</v>
      </c>
      <c r="X721" t="s">
        <v>8</v>
      </c>
      <c r="Y721">
        <v>2</v>
      </c>
      <c r="Z721" t="s">
        <v>2</v>
      </c>
      <c r="AA721" s="16">
        <v>43600</v>
      </c>
      <c r="AB721">
        <v>135.39502500000162</v>
      </c>
      <c r="AC721" s="4">
        <v>1591.2</v>
      </c>
      <c r="AE721">
        <v>-0.51517665731138995</v>
      </c>
    </row>
    <row r="722" spans="1:36" x14ac:dyDescent="0.2">
      <c r="A722" t="s">
        <v>8</v>
      </c>
      <c r="B722">
        <v>3</v>
      </c>
      <c r="C722" s="2">
        <v>43600</v>
      </c>
      <c r="D722" s="13">
        <v>135.40960500000074</v>
      </c>
      <c r="E722" s="13"/>
      <c r="F722" s="4">
        <v>451.2</v>
      </c>
      <c r="H722">
        <v>23.9</v>
      </c>
      <c r="J722">
        <v>10</v>
      </c>
      <c r="P722">
        <v>6.87215548629813</v>
      </c>
      <c r="T722" s="6"/>
      <c r="U722" s="6"/>
      <c r="X722" t="s">
        <v>8</v>
      </c>
      <c r="Y722">
        <v>3</v>
      </c>
      <c r="Z722" t="s">
        <v>2</v>
      </c>
      <c r="AA722" s="16">
        <v>43600</v>
      </c>
      <c r="AB722">
        <v>135.40474499999982</v>
      </c>
      <c r="AC722" s="4">
        <v>1743.7</v>
      </c>
      <c r="AE722">
        <v>-14.393895863902801</v>
      </c>
    </row>
    <row r="723" spans="1:36" x14ac:dyDescent="0.2">
      <c r="A723" t="s">
        <v>8</v>
      </c>
      <c r="B723">
        <v>4</v>
      </c>
      <c r="C723" s="2">
        <v>43600</v>
      </c>
      <c r="D723" s="13">
        <v>135.41932499999893</v>
      </c>
      <c r="E723" s="13"/>
      <c r="F723" s="4">
        <v>476.2</v>
      </c>
      <c r="H723">
        <v>23.6</v>
      </c>
      <c r="J723">
        <v>10</v>
      </c>
      <c r="P723">
        <v>6.4513281772075599</v>
      </c>
      <c r="T723" s="6"/>
      <c r="U723" s="6"/>
      <c r="X723" t="s">
        <v>8</v>
      </c>
      <c r="Y723">
        <v>4</v>
      </c>
      <c r="Z723" t="s">
        <v>2</v>
      </c>
      <c r="AA723" s="16">
        <v>43600</v>
      </c>
      <c r="AB723">
        <v>135.41446499999802</v>
      </c>
      <c r="AC723" s="4">
        <v>506.2</v>
      </c>
      <c r="AE723">
        <v>-10.611133293389599</v>
      </c>
    </row>
    <row r="724" spans="1:36" x14ac:dyDescent="0.2">
      <c r="A724" t="s">
        <v>8</v>
      </c>
      <c r="B724">
        <v>5</v>
      </c>
      <c r="C724" s="2">
        <v>43600</v>
      </c>
      <c r="D724" s="13">
        <v>135.42904999999882</v>
      </c>
      <c r="E724" s="13"/>
      <c r="F724" s="4">
        <v>1618.7</v>
      </c>
      <c r="H724">
        <v>16</v>
      </c>
      <c r="J724">
        <v>10</v>
      </c>
      <c r="P724">
        <v>3.1877562512992998</v>
      </c>
      <c r="T724" s="6"/>
      <c r="U724" s="6"/>
      <c r="X724" t="s">
        <v>8</v>
      </c>
      <c r="Y724">
        <v>5</v>
      </c>
      <c r="Z724" t="s">
        <v>2</v>
      </c>
      <c r="AA724" s="16">
        <v>43600</v>
      </c>
      <c r="AB724">
        <v>135.42418999999791</v>
      </c>
      <c r="AC724" s="4">
        <v>1728.7</v>
      </c>
      <c r="AE724">
        <v>-5.3062922403500696</v>
      </c>
    </row>
    <row r="725" spans="1:36" x14ac:dyDescent="0.2">
      <c r="A725" t="s">
        <v>8</v>
      </c>
      <c r="B725">
        <v>1</v>
      </c>
      <c r="C725" s="2">
        <v>43600</v>
      </c>
      <c r="D725" s="13">
        <v>135.50830999999744</v>
      </c>
      <c r="E725" s="13">
        <v>135.5277549999999</v>
      </c>
      <c r="F725" s="4">
        <v>1631.2</v>
      </c>
      <c r="G725" s="4">
        <v>1599.2</v>
      </c>
      <c r="H725">
        <v>15.6</v>
      </c>
      <c r="I725">
        <v>17.800000000000004</v>
      </c>
      <c r="J725">
        <v>15.56</v>
      </c>
      <c r="K725">
        <v>15.559999999999999</v>
      </c>
      <c r="M725" t="e">
        <v>#DIV/0!</v>
      </c>
      <c r="O725" s="4" t="e">
        <v>#DIV/0!</v>
      </c>
      <c r="P725">
        <v>2.4918023031591301</v>
      </c>
      <c r="Q725">
        <v>5.429604229620554</v>
      </c>
      <c r="R725">
        <v>3.3373888767944959</v>
      </c>
      <c r="S725">
        <v>2.5871419303220101E-4</v>
      </c>
      <c r="T725" s="6">
        <v>1.1478039127975326E-5</v>
      </c>
      <c r="U725" s="6">
        <v>4.4435492387245716E-4</v>
      </c>
      <c r="X725" t="s">
        <v>8</v>
      </c>
      <c r="Y725">
        <v>1</v>
      </c>
      <c r="Z725" t="s">
        <v>2</v>
      </c>
      <c r="AA725" s="16">
        <v>43600</v>
      </c>
      <c r="AB725">
        <v>135.50345000000016</v>
      </c>
      <c r="AC725" s="4">
        <v>671.2</v>
      </c>
      <c r="AD725" s="4">
        <v>1673.2</v>
      </c>
      <c r="AE725">
        <v>-1.4515190219296199</v>
      </c>
      <c r="AF725">
        <v>-7.6520059906658489</v>
      </c>
      <c r="AG725">
        <v>6.1309329356498017</v>
      </c>
      <c r="AH725">
        <v>-6.6109213443926805E-4</v>
      </c>
      <c r="AI725">
        <v>-1.1282756446962727E-4</v>
      </c>
      <c r="AJ725">
        <v>4.0087406734349803E-4</v>
      </c>
    </row>
    <row r="726" spans="1:36" x14ac:dyDescent="0.2">
      <c r="A726" t="s">
        <v>8</v>
      </c>
      <c r="B726">
        <v>2</v>
      </c>
      <c r="C726" s="2">
        <v>43600</v>
      </c>
      <c r="D726" s="13">
        <v>135.51803500000096</v>
      </c>
      <c r="E726" s="13"/>
      <c r="F726" s="4">
        <v>1908.7</v>
      </c>
      <c r="H726">
        <v>15.5</v>
      </c>
      <c r="J726">
        <v>15.56</v>
      </c>
      <c r="P726">
        <v>2.2286604848690801</v>
      </c>
      <c r="S726">
        <v>3.6104799219251801E-4</v>
      </c>
      <c r="X726" t="s">
        <v>8</v>
      </c>
      <c r="Y726">
        <v>2</v>
      </c>
      <c r="Z726" t="s">
        <v>2</v>
      </c>
      <c r="AA726" s="16">
        <v>43600</v>
      </c>
      <c r="AB726">
        <v>135.51317500000005</v>
      </c>
      <c r="AC726" s="4">
        <v>1903.7</v>
      </c>
      <c r="AE726">
        <v>-2.1271294377721599</v>
      </c>
      <c r="AH726">
        <v>-9.8111155047298998E-5</v>
      </c>
    </row>
    <row r="727" spans="1:36" x14ac:dyDescent="0.2">
      <c r="A727" t="s">
        <v>8</v>
      </c>
      <c r="B727">
        <v>3</v>
      </c>
      <c r="C727" s="2">
        <v>43600</v>
      </c>
      <c r="D727" s="13">
        <v>135.52775499999916</v>
      </c>
      <c r="E727" s="13"/>
      <c r="F727" s="4">
        <v>651.20000000000005</v>
      </c>
      <c r="H727">
        <v>17.100000000000001</v>
      </c>
      <c r="J727">
        <v>15.56</v>
      </c>
      <c r="P727">
        <v>10.3996789791575</v>
      </c>
      <c r="S727" s="6">
        <v>-5.97346074352375E-5</v>
      </c>
      <c r="T727" s="6"/>
      <c r="U727" s="6"/>
      <c r="X727" t="s">
        <v>8</v>
      </c>
      <c r="Y727">
        <v>3</v>
      </c>
      <c r="Z727" t="s">
        <v>2</v>
      </c>
      <c r="AA727" s="16">
        <v>43600</v>
      </c>
      <c r="AB727">
        <v>135.52289499999824</v>
      </c>
      <c r="AC727" s="4">
        <v>2066.1999999999998</v>
      </c>
      <c r="AE727">
        <v>-14.101237569476</v>
      </c>
      <c r="AH727">
        <v>4.6823309089782499E-4</v>
      </c>
    </row>
    <row r="728" spans="1:36" x14ac:dyDescent="0.2">
      <c r="A728" t="s">
        <v>8</v>
      </c>
      <c r="B728">
        <v>4</v>
      </c>
      <c r="C728" s="2">
        <v>43600</v>
      </c>
      <c r="D728" s="13">
        <v>135.537475000001</v>
      </c>
      <c r="E728" s="13"/>
      <c r="F728" s="4">
        <v>1613.7</v>
      </c>
      <c r="H728">
        <v>24.1</v>
      </c>
      <c r="J728">
        <v>15.56</v>
      </c>
      <c r="P728">
        <v>6.3956451829866499</v>
      </c>
      <c r="S728">
        <v>2.2997375731536701E-4</v>
      </c>
      <c r="T728" s="6"/>
      <c r="U728" s="6"/>
      <c r="X728" t="s">
        <v>8</v>
      </c>
      <c r="Y728">
        <v>4</v>
      </c>
      <c r="Z728" t="s">
        <v>2</v>
      </c>
      <c r="AA728" s="16">
        <v>43600</v>
      </c>
      <c r="AB728">
        <v>135.53261500000008</v>
      </c>
      <c r="AC728" s="4">
        <v>2011.2</v>
      </c>
      <c r="AE728">
        <v>-13.8867150480252</v>
      </c>
      <c r="AH728">
        <v>-1.7676624763044999E-4</v>
      </c>
    </row>
    <row r="729" spans="1:36" x14ac:dyDescent="0.2">
      <c r="A729" t="s">
        <v>8</v>
      </c>
      <c r="B729">
        <v>5</v>
      </c>
      <c r="C729" s="2">
        <v>43600</v>
      </c>
      <c r="D729" s="13">
        <v>135.54720000000088</v>
      </c>
      <c r="E729" s="13"/>
      <c r="F729" s="4">
        <v>2191.1999999999998</v>
      </c>
      <c r="H729">
        <v>16.7</v>
      </c>
      <c r="J729">
        <v>15.56</v>
      </c>
      <c r="P729">
        <v>5.6322341979304102</v>
      </c>
      <c r="S729">
        <v>-7.32611139464972E-4</v>
      </c>
      <c r="T729" s="6"/>
      <c r="U729" s="6"/>
      <c r="X729" t="s">
        <v>8</v>
      </c>
      <c r="Y729">
        <v>5</v>
      </c>
      <c r="Z729" t="s">
        <v>2</v>
      </c>
      <c r="AA729" s="16">
        <v>43600</v>
      </c>
      <c r="AB729">
        <v>135.54233500000191</v>
      </c>
      <c r="AC729" s="4">
        <v>1713.7</v>
      </c>
      <c r="AE729">
        <v>-6.6934288761262604</v>
      </c>
      <c r="AH729">
        <v>-9.6401376128944303E-5</v>
      </c>
    </row>
    <row r="730" spans="1:36" x14ac:dyDescent="0.2">
      <c r="A730" t="s">
        <v>8</v>
      </c>
      <c r="B730">
        <v>1</v>
      </c>
      <c r="C730" s="2">
        <v>43627</v>
      </c>
      <c r="D730" s="13">
        <v>162.43090500000108</v>
      </c>
      <c r="E730" s="13">
        <v>162.45034800000067</v>
      </c>
      <c r="F730" s="4">
        <v>69.17</v>
      </c>
      <c r="G730" s="4">
        <v>69.754400000000004</v>
      </c>
      <c r="H730">
        <v>13</v>
      </c>
      <c r="I730">
        <v>7.6799999999999979</v>
      </c>
      <c r="J730">
        <v>18.88</v>
      </c>
      <c r="K730">
        <v>18.88</v>
      </c>
      <c r="M730" t="e">
        <v>#DIV/0!</v>
      </c>
      <c r="O730" s="4" t="e">
        <v>#DIV/0!</v>
      </c>
      <c r="P730">
        <v>9.6680054283210808</v>
      </c>
      <c r="Q730">
        <v>10.291437892023682</v>
      </c>
      <c r="R730">
        <v>2.5583689053129204</v>
      </c>
      <c r="S730">
        <v>3.22357491387526E-4</v>
      </c>
      <c r="T730" s="6">
        <v>-3.6296762091210115E-4</v>
      </c>
      <c r="U730" s="6">
        <v>3.0752390593166159E-3</v>
      </c>
      <c r="X730" t="s">
        <v>8</v>
      </c>
      <c r="Y730">
        <v>1</v>
      </c>
      <c r="Z730" t="s">
        <v>2</v>
      </c>
      <c r="AA730" s="16">
        <v>43627</v>
      </c>
      <c r="AB730">
        <v>162.42604500000016</v>
      </c>
      <c r="AC730" s="4">
        <v>69.129000000000005</v>
      </c>
      <c r="AD730" s="4">
        <v>69.617199999999997</v>
      </c>
      <c r="AE730">
        <v>-3.0008719732725799</v>
      </c>
      <c r="AF730">
        <v>-4.3687511489517279</v>
      </c>
      <c r="AG730">
        <v>3.7010304955067688</v>
      </c>
      <c r="AH730">
        <v>2.5884555781203301E-4</v>
      </c>
      <c r="AI730">
        <v>4.0260317873390162E-4</v>
      </c>
      <c r="AJ730">
        <v>8.9150281020542437E-3</v>
      </c>
    </row>
    <row r="731" spans="1:36" x14ac:dyDescent="0.2">
      <c r="A731" t="s">
        <v>8</v>
      </c>
      <c r="B731">
        <v>2</v>
      </c>
      <c r="C731" s="2">
        <v>43627</v>
      </c>
      <c r="D731" s="13">
        <v>162.44062499999927</v>
      </c>
      <c r="E731" s="13"/>
      <c r="F731" s="4">
        <v>69.385999999999996</v>
      </c>
      <c r="H731">
        <v>5.9</v>
      </c>
      <c r="J731">
        <v>18.88</v>
      </c>
      <c r="P731">
        <v>11.797502274779101</v>
      </c>
      <c r="S731">
        <v>1.15557369395058E-4</v>
      </c>
      <c r="X731" t="s">
        <v>8</v>
      </c>
      <c r="Y731">
        <v>2</v>
      </c>
      <c r="Z731" t="s">
        <v>2</v>
      </c>
      <c r="AA731" s="16">
        <v>43627</v>
      </c>
      <c r="AB731">
        <v>162.43576499999836</v>
      </c>
      <c r="AC731" s="4">
        <v>69.256</v>
      </c>
      <c r="AE731">
        <v>-0.560028632863387</v>
      </c>
      <c r="AH731">
        <v>-7.3024303074370096E-5</v>
      </c>
    </row>
    <row r="732" spans="1:36" x14ac:dyDescent="0.2">
      <c r="A732" t="s">
        <v>8</v>
      </c>
      <c r="B732">
        <v>3</v>
      </c>
      <c r="C732" s="2">
        <v>43627</v>
      </c>
      <c r="D732" s="13">
        <v>162.45034500000111</v>
      </c>
      <c r="E732" s="13"/>
      <c r="F732" s="4">
        <v>69.685000000000002</v>
      </c>
      <c r="H732">
        <v>6.2</v>
      </c>
      <c r="J732">
        <v>18.88</v>
      </c>
      <c r="P732">
        <v>13.9238108595012</v>
      </c>
      <c r="S732">
        <v>1.06082366366215E-3</v>
      </c>
      <c r="T732" s="6"/>
      <c r="U732" s="6"/>
      <c r="X732" t="s">
        <v>8</v>
      </c>
      <c r="Y732">
        <v>3</v>
      </c>
      <c r="Z732" t="s">
        <v>2</v>
      </c>
      <c r="AA732" s="16">
        <v>43627</v>
      </c>
      <c r="AB732">
        <v>162.44548500000019</v>
      </c>
      <c r="AC732" s="4">
        <v>69.513999999999996</v>
      </c>
      <c r="AE732">
        <v>-1.6674925112451</v>
      </c>
      <c r="AH732">
        <v>-1.8350487934995499E-4</v>
      </c>
    </row>
    <row r="733" spans="1:36" x14ac:dyDescent="0.2">
      <c r="A733" t="s">
        <v>8</v>
      </c>
      <c r="B733">
        <v>4</v>
      </c>
      <c r="C733" s="2">
        <v>43627</v>
      </c>
      <c r="D733" s="13">
        <v>162.460070000001</v>
      </c>
      <c r="E733" s="13"/>
      <c r="F733" s="4">
        <v>70.072000000000003</v>
      </c>
      <c r="H733">
        <v>8.5</v>
      </c>
      <c r="J733">
        <v>18.88</v>
      </c>
      <c r="P733">
        <v>7.7718859082822904</v>
      </c>
      <c r="S733">
        <v>-5.6414212220320904E-3</v>
      </c>
      <c r="T733" s="6"/>
      <c r="U733" s="6"/>
      <c r="X733" t="s">
        <v>8</v>
      </c>
      <c r="Y733">
        <v>4</v>
      </c>
      <c r="Z733" t="s">
        <v>2</v>
      </c>
      <c r="AA733" s="16">
        <v>43627</v>
      </c>
      <c r="AB733">
        <v>162.45520499999839</v>
      </c>
      <c r="AC733" s="4">
        <v>69.900999999999996</v>
      </c>
      <c r="AE733">
        <v>-8.1004298266811805</v>
      </c>
      <c r="AH733">
        <v>1.3586961081831401E-2</v>
      </c>
    </row>
    <row r="734" spans="1:36" x14ac:dyDescent="0.2">
      <c r="A734" t="s">
        <v>8</v>
      </c>
      <c r="B734">
        <v>5</v>
      </c>
      <c r="C734" s="2">
        <v>43627</v>
      </c>
      <c r="D734" s="13">
        <v>162.46979500000089</v>
      </c>
      <c r="E734" s="13"/>
      <c r="F734" s="4">
        <v>70.459000000000003</v>
      </c>
      <c r="H734">
        <v>4.8</v>
      </c>
      <c r="J734">
        <v>18.88</v>
      </c>
      <c r="P734">
        <v>8.2959849892347304</v>
      </c>
      <c r="S734">
        <v>2.3278445930268502E-3</v>
      </c>
      <c r="T734" s="6"/>
      <c r="U734" s="6"/>
      <c r="X734" t="s">
        <v>8</v>
      </c>
      <c r="Y734">
        <v>5</v>
      </c>
      <c r="Z734" t="s">
        <v>2</v>
      </c>
      <c r="AA734" s="16">
        <v>43627</v>
      </c>
      <c r="AB734">
        <v>162.46493000000191</v>
      </c>
      <c r="AC734" s="4">
        <v>70.286000000000001</v>
      </c>
      <c r="AE734">
        <v>-8.5149328006963891</v>
      </c>
      <c r="AH734">
        <v>-1.15762615635496E-2</v>
      </c>
    </row>
    <row r="735" spans="1:36" x14ac:dyDescent="0.2">
      <c r="A735" t="s">
        <v>8</v>
      </c>
      <c r="B735">
        <v>1</v>
      </c>
      <c r="C735" s="2">
        <v>43627</v>
      </c>
      <c r="D735" s="13">
        <v>162.54132000000027</v>
      </c>
      <c r="E735" s="13">
        <v>162.56076399999947</v>
      </c>
      <c r="F735" s="4">
        <v>2498.6999999999998</v>
      </c>
      <c r="G735" s="4">
        <v>1069.6999999999998</v>
      </c>
      <c r="H735">
        <v>4.9000000000000004</v>
      </c>
      <c r="I735">
        <v>5.2200000000000006</v>
      </c>
      <c r="J735">
        <v>18.88</v>
      </c>
      <c r="K735">
        <v>18.88</v>
      </c>
      <c r="M735" t="e">
        <v>#DIV/0!</v>
      </c>
      <c r="O735" s="4" t="e">
        <v>#DIV/0!</v>
      </c>
      <c r="P735">
        <v>13.508838263762501</v>
      </c>
      <c r="Q735">
        <f>AVERAGE(P735,P737:P739)</f>
        <v>10.0704204355706</v>
      </c>
      <c r="R735">
        <v>2.346057432802672</v>
      </c>
      <c r="S735">
        <v>3.8420440481724198E-4</v>
      </c>
      <c r="T735" s="6">
        <f>AVERAGE(S735,S737:S739)</f>
        <v>4.9053729320711245E-5</v>
      </c>
      <c r="U735" s="6">
        <v>3.9920253230085284E-4</v>
      </c>
      <c r="X735" t="s">
        <v>8</v>
      </c>
      <c r="Y735">
        <v>1</v>
      </c>
      <c r="Z735" t="s">
        <v>2</v>
      </c>
      <c r="AA735" s="16">
        <v>43627</v>
      </c>
      <c r="AB735" s="18">
        <v>162.5364550000013</v>
      </c>
      <c r="AC735" s="21">
        <v>1663.7</v>
      </c>
      <c r="AD735" s="21">
        <v>1123.2</v>
      </c>
      <c r="AE735" s="18">
        <v>-469903.43151798</v>
      </c>
      <c r="AF735" s="18">
        <f>AVERAGE(AE736:AE739)</f>
        <v>-3.3107800592292476</v>
      </c>
      <c r="AG735">
        <v>2.443495731110009</v>
      </c>
      <c r="AH735" s="18">
        <v>14.6816743009713</v>
      </c>
      <c r="AI735" s="18">
        <f>AVERAGE(AH736:AH739)</f>
        <v>-5.4841318847477635E-4</v>
      </c>
      <c r="AJ735">
        <v>2.4777916780008069E-4</v>
      </c>
    </row>
    <row r="736" spans="1:36" x14ac:dyDescent="0.2">
      <c r="A736" s="18" t="s">
        <v>8</v>
      </c>
      <c r="B736" s="18">
        <v>2</v>
      </c>
      <c r="C736" s="19">
        <v>43627</v>
      </c>
      <c r="D736" s="20">
        <v>162.55104500000016</v>
      </c>
      <c r="E736" s="20"/>
      <c r="F736" s="21">
        <v>968.7</v>
      </c>
      <c r="G736" s="21"/>
      <c r="H736" s="18">
        <v>3.2</v>
      </c>
      <c r="I736" s="18"/>
      <c r="J736" s="18">
        <v>18.88</v>
      </c>
      <c r="K736" s="18"/>
      <c r="L736" s="18"/>
      <c r="M736" s="18"/>
      <c r="N736" s="18"/>
      <c r="O736" s="21"/>
      <c r="P736" s="18">
        <v>275111.39981306402</v>
      </c>
      <c r="Q736" s="18"/>
      <c r="S736" s="18">
        <v>2820.1731326982099</v>
      </c>
      <c r="X736" t="s">
        <v>8</v>
      </c>
      <c r="Y736">
        <v>2</v>
      </c>
      <c r="Z736" t="s">
        <v>2</v>
      </c>
      <c r="AA736" s="16">
        <v>43627</v>
      </c>
      <c r="AB736">
        <v>162.54617999999755</v>
      </c>
      <c r="AC736" s="4">
        <v>1441.2</v>
      </c>
      <c r="AE736">
        <v>-2.1728655030342199</v>
      </c>
      <c r="AH736">
        <v>-8.6511322266904502E-4</v>
      </c>
    </row>
    <row r="737" spans="1:36" x14ac:dyDescent="0.2">
      <c r="A737" t="s">
        <v>8</v>
      </c>
      <c r="B737">
        <v>3</v>
      </c>
      <c r="C737" s="2">
        <v>43627</v>
      </c>
      <c r="D737" s="13">
        <v>162.56076499999836</v>
      </c>
      <c r="E737" s="13"/>
      <c r="F737" s="4">
        <v>738.7</v>
      </c>
      <c r="H737">
        <v>5.4</v>
      </c>
      <c r="J737">
        <v>18.88</v>
      </c>
      <c r="P737">
        <v>9.0289339130856998</v>
      </c>
      <c r="S737">
        <v>-3.6737386450499401E-4</v>
      </c>
      <c r="T737" s="6"/>
      <c r="U737" s="6"/>
      <c r="X737" t="s">
        <v>8</v>
      </c>
      <c r="Y737">
        <v>3</v>
      </c>
      <c r="Z737" t="s">
        <v>2</v>
      </c>
      <c r="AA737" s="16">
        <v>43627</v>
      </c>
      <c r="AB737">
        <v>162.55590500000108</v>
      </c>
      <c r="AC737" s="4">
        <v>836.2</v>
      </c>
      <c r="AE737">
        <v>-0.52940780567147105</v>
      </c>
      <c r="AH737">
        <v>-4.6595223710627803E-4</v>
      </c>
    </row>
    <row r="738" spans="1:36" x14ac:dyDescent="0.2">
      <c r="A738" t="s">
        <v>8</v>
      </c>
      <c r="B738">
        <v>4</v>
      </c>
      <c r="C738" s="2">
        <v>43627</v>
      </c>
      <c r="D738" s="13">
        <v>162.57048500000019</v>
      </c>
      <c r="E738" s="13"/>
      <c r="F738" s="4">
        <v>988.7</v>
      </c>
      <c r="H738">
        <v>6.8</v>
      </c>
      <c r="J738">
        <v>18.88</v>
      </c>
      <c r="P738">
        <v>9.4768949674218508</v>
      </c>
      <c r="S738">
        <v>-2.1775463657104299E-4</v>
      </c>
      <c r="T738" s="6"/>
      <c r="U738" s="6"/>
      <c r="X738" t="s">
        <v>8</v>
      </c>
      <c r="Y738">
        <v>4</v>
      </c>
      <c r="Z738" t="s">
        <v>2</v>
      </c>
      <c r="AA738" s="16">
        <v>43627</v>
      </c>
      <c r="AB738">
        <v>162.56562499999927</v>
      </c>
      <c r="AC738" s="4">
        <v>1541.2</v>
      </c>
      <c r="AE738">
        <v>-4.4955917193875603</v>
      </c>
      <c r="AH738">
        <v>-5.88854514453391E-4</v>
      </c>
    </row>
    <row r="739" spans="1:36" x14ac:dyDescent="0.2">
      <c r="A739" t="s">
        <v>8</v>
      </c>
      <c r="B739">
        <v>5</v>
      </c>
      <c r="C739" s="2">
        <v>43627</v>
      </c>
      <c r="D739" s="13">
        <v>162.58020499999839</v>
      </c>
      <c r="E739" s="13"/>
      <c r="F739" s="4">
        <v>153.69999999999999</v>
      </c>
      <c r="H739">
        <v>5.8</v>
      </c>
      <c r="J739">
        <v>18.88</v>
      </c>
      <c r="P739">
        <v>8.2670145980123504</v>
      </c>
      <c r="S739">
        <v>3.9713901354164E-4</v>
      </c>
      <c r="T739" s="6"/>
      <c r="U739" s="6"/>
      <c r="X739" t="s">
        <v>8</v>
      </c>
      <c r="Y739">
        <v>5</v>
      </c>
      <c r="Z739" t="s">
        <v>2</v>
      </c>
      <c r="AA739" s="16">
        <v>43627</v>
      </c>
      <c r="AB739">
        <v>162.57534500000111</v>
      </c>
      <c r="AC739" s="4">
        <v>133.69999999999999</v>
      </c>
      <c r="AE739">
        <v>-6.0452552088237397</v>
      </c>
      <c r="AH739">
        <v>-2.7373277967039102E-4</v>
      </c>
    </row>
    <row r="740" spans="1:36" x14ac:dyDescent="0.2">
      <c r="A740" t="s">
        <v>8</v>
      </c>
      <c r="B740">
        <v>1</v>
      </c>
      <c r="C740" s="2">
        <v>43635</v>
      </c>
      <c r="D740" s="13">
        <v>170.43854500000089</v>
      </c>
      <c r="E740" s="13">
        <v>170.45798599999981</v>
      </c>
      <c r="F740" s="4">
        <v>708.7</v>
      </c>
      <c r="G740" s="4">
        <v>1048.7</v>
      </c>
      <c r="H740">
        <v>10.9</v>
      </c>
      <c r="I740">
        <v>10.7</v>
      </c>
      <c r="J740">
        <v>21.67</v>
      </c>
      <c r="K740">
        <v>21.67</v>
      </c>
      <c r="M740" t="e">
        <v>#DIV/0!</v>
      </c>
      <c r="O740" s="4" t="e">
        <v>#DIV/0!</v>
      </c>
      <c r="P740">
        <v>6.5859383993486604</v>
      </c>
      <c r="Q740">
        <f>AVERAGE(P740:P741,P743:P744)</f>
        <v>8.247437460648591</v>
      </c>
      <c r="R740">
        <v>1.451356322694207</v>
      </c>
      <c r="S740">
        <v>3.7642772383858302E-4</v>
      </c>
      <c r="T740" s="6">
        <f>AVERAGE(S740:S741,S743:S744)</f>
        <v>-7.2853967316488053E-3</v>
      </c>
      <c r="U740" s="6">
        <v>3.8889418548586983E-2</v>
      </c>
      <c r="X740" t="s">
        <v>8</v>
      </c>
      <c r="Y740">
        <v>1</v>
      </c>
      <c r="Z740" t="s">
        <v>2</v>
      </c>
      <c r="AA740" s="16">
        <v>43635</v>
      </c>
      <c r="AB740">
        <v>170.43368000000191</v>
      </c>
      <c r="AC740" s="4">
        <v>568.70000000000005</v>
      </c>
      <c r="AD740" s="4">
        <v>845.7</v>
      </c>
      <c r="AE740">
        <v>1.86551235241707</v>
      </c>
      <c r="AF740">
        <f>AVERAGE(AE740:AE741,AE743:AE744)</f>
        <v>1.0922378565274948</v>
      </c>
      <c r="AG740">
        <v>1.9706048155208304</v>
      </c>
      <c r="AH740">
        <v>-1.3933711983573501E-3</v>
      </c>
      <c r="AI740">
        <f>AVERAGE(AH740:AH741,AH743:AH744)</f>
        <v>-1.9627774020117689E-2</v>
      </c>
      <c r="AJ740">
        <v>3.5745615289027713E-2</v>
      </c>
    </row>
    <row r="741" spans="1:36" x14ac:dyDescent="0.2">
      <c r="A741" t="s">
        <v>8</v>
      </c>
      <c r="B741">
        <v>2</v>
      </c>
      <c r="C741" s="2">
        <v>43635</v>
      </c>
      <c r="D741" s="13">
        <v>170.44826499999908</v>
      </c>
      <c r="E741" s="13"/>
      <c r="F741" s="4">
        <v>1021.2</v>
      </c>
      <c r="H741">
        <v>7.9</v>
      </c>
      <c r="J741">
        <v>21.67</v>
      </c>
      <c r="P741">
        <v>9.8841946630500708</v>
      </c>
      <c r="S741">
        <v>-6.4401400664260502E-4</v>
      </c>
      <c r="X741" t="s">
        <v>8</v>
      </c>
      <c r="Y741">
        <v>2</v>
      </c>
      <c r="Z741" t="s">
        <v>2</v>
      </c>
      <c r="AA741" s="16">
        <v>43635</v>
      </c>
      <c r="AB741">
        <v>170.4434050000018</v>
      </c>
      <c r="AC741" s="4">
        <v>823.7</v>
      </c>
      <c r="AE741">
        <v>1.3728178607036701</v>
      </c>
      <c r="AH741">
        <v>-3.9238465836710897E-3</v>
      </c>
    </row>
    <row r="742" spans="1:36" x14ac:dyDescent="0.2">
      <c r="A742" s="18" t="s">
        <v>8</v>
      </c>
      <c r="B742" s="18">
        <v>3</v>
      </c>
      <c r="C742" s="19">
        <v>43635</v>
      </c>
      <c r="D742" s="20">
        <v>170.45798500000092</v>
      </c>
      <c r="E742" s="20"/>
      <c r="F742" s="21">
        <v>1471.2</v>
      </c>
      <c r="G742" s="21"/>
      <c r="H742" s="18">
        <v>12.9</v>
      </c>
      <c r="I742" s="18"/>
      <c r="J742" s="18">
        <v>21.67</v>
      </c>
      <c r="K742" s="18"/>
      <c r="L742" s="18"/>
      <c r="M742" s="18"/>
      <c r="N742" s="18"/>
      <c r="O742" s="21"/>
      <c r="P742" s="18">
        <v>759570.80769934005</v>
      </c>
      <c r="Q742" s="18"/>
      <c r="S742" s="18">
        <v>-15.550214813373699</v>
      </c>
      <c r="T742" s="6"/>
      <c r="U742" s="6"/>
      <c r="X742" t="s">
        <v>8</v>
      </c>
      <c r="Y742">
        <v>3</v>
      </c>
      <c r="Z742" t="s">
        <v>2</v>
      </c>
      <c r="AA742" s="16">
        <v>43635</v>
      </c>
      <c r="AB742" s="18">
        <v>170.453125</v>
      </c>
      <c r="AC742" s="21">
        <v>958.7</v>
      </c>
      <c r="AD742" s="21"/>
      <c r="AE742" s="18">
        <v>87.530577523342998</v>
      </c>
      <c r="AF742" s="18"/>
      <c r="AH742" s="18">
        <v>-0.20396815526864701</v>
      </c>
    </row>
    <row r="743" spans="1:36" x14ac:dyDescent="0.2">
      <c r="A743" t="s">
        <v>8</v>
      </c>
      <c r="B743">
        <v>4</v>
      </c>
      <c r="C743" s="2">
        <v>43635</v>
      </c>
      <c r="D743" s="13">
        <v>170.46770499999911</v>
      </c>
      <c r="E743" s="13"/>
      <c r="F743" s="4">
        <v>1011.2</v>
      </c>
      <c r="H743">
        <v>10.6</v>
      </c>
      <c r="J743">
        <v>21.67</v>
      </c>
      <c r="P743">
        <v>7.5966921950879103</v>
      </c>
      <c r="S743">
        <v>3.2103617630763602E-2</v>
      </c>
      <c r="T743" s="6"/>
      <c r="U743" s="6"/>
      <c r="X743" t="s">
        <v>8</v>
      </c>
      <c r="Y743">
        <v>4</v>
      </c>
      <c r="Z743" t="s">
        <v>2</v>
      </c>
      <c r="AA743" s="16">
        <v>43635</v>
      </c>
      <c r="AB743">
        <v>170.4628449999982</v>
      </c>
      <c r="AC743" s="4">
        <v>926.2</v>
      </c>
      <c r="AE743">
        <v>2.8476193913077599</v>
      </c>
      <c r="AH743">
        <v>-2.98388595021658E-6</v>
      </c>
    </row>
    <row r="744" spans="1:36" x14ac:dyDescent="0.2">
      <c r="A744" t="s">
        <v>8</v>
      </c>
      <c r="B744">
        <v>5</v>
      </c>
      <c r="C744" s="2">
        <v>43635</v>
      </c>
      <c r="D744" s="13">
        <v>170.477429999999</v>
      </c>
      <c r="E744" s="13"/>
      <c r="F744" s="4">
        <v>1031.2</v>
      </c>
      <c r="H744">
        <v>11.2</v>
      </c>
      <c r="J744">
        <v>21.67</v>
      </c>
      <c r="P744">
        <v>8.9229245851077206</v>
      </c>
      <c r="S744">
        <v>-6.09776182745548E-2</v>
      </c>
      <c r="T744" s="6"/>
      <c r="U744" s="6"/>
      <c r="X744" t="s">
        <v>8</v>
      </c>
      <c r="Y744">
        <v>5</v>
      </c>
      <c r="Z744" t="s">
        <v>2</v>
      </c>
      <c r="AA744" s="16">
        <v>43635</v>
      </c>
      <c r="AB744">
        <v>170.47256999999809</v>
      </c>
      <c r="AC744" s="4">
        <v>951.2</v>
      </c>
      <c r="AE744">
        <v>-1.71699817831852</v>
      </c>
      <c r="AH744">
        <v>-7.3190894412492102E-2</v>
      </c>
    </row>
    <row r="745" spans="1:36" x14ac:dyDescent="0.2">
      <c r="A745" t="s">
        <v>8</v>
      </c>
      <c r="B745">
        <v>1</v>
      </c>
      <c r="C745" s="2">
        <v>43635</v>
      </c>
      <c r="D745" s="13">
        <v>170.52465500000108</v>
      </c>
      <c r="E745" s="13">
        <v>170.54409800000067</v>
      </c>
      <c r="F745" s="4">
        <v>1723.7</v>
      </c>
      <c r="G745" s="4">
        <v>1375.7</v>
      </c>
      <c r="H745">
        <v>5.5</v>
      </c>
      <c r="I745">
        <v>9.6000000000000014</v>
      </c>
      <c r="J745">
        <v>22.78</v>
      </c>
      <c r="K745">
        <v>22.78</v>
      </c>
      <c r="M745" t="e">
        <v>#DIV/0!</v>
      </c>
      <c r="O745" s="4" t="e">
        <v>#DIV/0!</v>
      </c>
      <c r="P745">
        <v>9.7191451306776298</v>
      </c>
      <c r="Q745">
        <v>6.9495278289331655</v>
      </c>
      <c r="R745">
        <v>4.4351252818196771</v>
      </c>
      <c r="S745" s="6">
        <v>-4.0565016743781202E-5</v>
      </c>
      <c r="T745" s="6">
        <v>-4.0565016743781202E-5</v>
      </c>
      <c r="U745" s="6" t="e">
        <v>#DIV/0!</v>
      </c>
      <c r="X745" t="s">
        <v>8</v>
      </c>
      <c r="Y745">
        <v>1</v>
      </c>
      <c r="Z745" t="s">
        <v>2</v>
      </c>
      <c r="AA745" s="16">
        <v>43635</v>
      </c>
      <c r="AB745">
        <v>170.51979500000016</v>
      </c>
      <c r="AC745" s="4">
        <v>1151.2</v>
      </c>
      <c r="AD745" s="4">
        <v>1394.2</v>
      </c>
      <c r="AE745">
        <v>2.5232002916359502</v>
      </c>
      <c r="AF745">
        <v>2.2388543809443933</v>
      </c>
      <c r="AG745">
        <v>2.310216795826515</v>
      </c>
      <c r="AH745">
        <v>-5.0354894711786497E-5</v>
      </c>
      <c r="AI745">
        <v>-2.4778194052395421E-5</v>
      </c>
      <c r="AJ745">
        <v>3.6170916953267745E-5</v>
      </c>
    </row>
    <row r="746" spans="1:36" x14ac:dyDescent="0.2">
      <c r="A746" t="s">
        <v>8</v>
      </c>
      <c r="B746">
        <v>2</v>
      </c>
      <c r="C746" s="2">
        <v>43635</v>
      </c>
      <c r="D746" s="13">
        <v>170.53437499999927</v>
      </c>
      <c r="E746" s="13"/>
      <c r="F746" s="4">
        <v>1201.2</v>
      </c>
      <c r="H746">
        <v>9.4</v>
      </c>
      <c r="J746">
        <v>22.78</v>
      </c>
      <c r="P746">
        <v>9.7388500773984195</v>
      </c>
      <c r="X746" t="s">
        <v>8</v>
      </c>
      <c r="Y746">
        <v>2</v>
      </c>
      <c r="Z746" t="s">
        <v>2</v>
      </c>
      <c r="AA746" s="16">
        <v>43635</v>
      </c>
      <c r="AB746">
        <v>170.52951499999836</v>
      </c>
      <c r="AC746" s="4">
        <v>986.2</v>
      </c>
      <c r="AE746">
        <v>3.1471196824438001</v>
      </c>
      <c r="AH746">
        <v>7.9850660699565705E-7</v>
      </c>
    </row>
    <row r="747" spans="1:36" x14ac:dyDescent="0.2">
      <c r="A747" t="s">
        <v>8</v>
      </c>
      <c r="B747">
        <v>3</v>
      </c>
      <c r="C747" s="2">
        <v>43635</v>
      </c>
      <c r="D747" s="13">
        <v>170.54409500000111</v>
      </c>
      <c r="E747" s="13"/>
      <c r="F747" s="4">
        <v>1363.7</v>
      </c>
      <c r="H747">
        <v>16.7</v>
      </c>
      <c r="J747">
        <v>22.78</v>
      </c>
      <c r="P747">
        <v>6.0004450669193803</v>
      </c>
      <c r="T747" s="6"/>
      <c r="U747" s="6"/>
      <c r="X747" t="s">
        <v>8</v>
      </c>
      <c r="Y747">
        <v>3</v>
      </c>
      <c r="Z747" t="s">
        <v>2</v>
      </c>
      <c r="AA747" s="16">
        <v>43635</v>
      </c>
      <c r="AB747">
        <v>170.53923500000019</v>
      </c>
      <c r="AC747" s="4">
        <v>943.7</v>
      </c>
      <c r="AE747">
        <v>-0.28767392804400699</v>
      </c>
    </row>
    <row r="748" spans="1:36" x14ac:dyDescent="0.2">
      <c r="A748" t="s">
        <v>8</v>
      </c>
      <c r="B748">
        <v>4</v>
      </c>
      <c r="C748" s="2">
        <v>43635</v>
      </c>
      <c r="D748" s="13">
        <v>170.553820000001</v>
      </c>
      <c r="E748" s="13"/>
      <c r="F748" s="4">
        <v>2553.6999999999998</v>
      </c>
      <c r="H748">
        <v>11.3</v>
      </c>
      <c r="J748">
        <v>22.78</v>
      </c>
      <c r="P748">
        <v>-0.43989161957963102</v>
      </c>
      <c r="T748" s="6"/>
      <c r="U748" s="6"/>
      <c r="X748" t="s">
        <v>8</v>
      </c>
      <c r="Y748">
        <v>4</v>
      </c>
      <c r="Z748" t="s">
        <v>2</v>
      </c>
      <c r="AA748" s="16">
        <v>43635</v>
      </c>
      <c r="AB748">
        <v>170.54895499999839</v>
      </c>
      <c r="AC748" s="4">
        <v>1336.2</v>
      </c>
      <c r="AE748">
        <v>5.4718989970108396</v>
      </c>
    </row>
    <row r="749" spans="1:36" x14ac:dyDescent="0.2">
      <c r="A749" t="s">
        <v>8</v>
      </c>
      <c r="B749">
        <v>5</v>
      </c>
      <c r="C749" s="2">
        <v>43635</v>
      </c>
      <c r="D749" s="13">
        <v>170.56354500000089</v>
      </c>
      <c r="E749" s="13"/>
      <c r="F749" s="4">
        <v>36.200000000000003</v>
      </c>
      <c r="H749">
        <v>5.0999999999999996</v>
      </c>
      <c r="J749">
        <v>22.78</v>
      </c>
      <c r="P749">
        <v>9.7290904892500301</v>
      </c>
      <c r="T749" s="6"/>
      <c r="U749" s="6"/>
      <c r="X749" t="s">
        <v>8</v>
      </c>
      <c r="Y749">
        <v>5</v>
      </c>
      <c r="Z749" t="s">
        <v>2</v>
      </c>
      <c r="AA749" s="16">
        <v>43635</v>
      </c>
      <c r="AB749">
        <v>170.55868000000191</v>
      </c>
      <c r="AC749" s="4">
        <v>2553.6999999999998</v>
      </c>
      <c r="AE749">
        <v>0.33972686167538302</v>
      </c>
    </row>
    <row r="750" spans="1:36" x14ac:dyDescent="0.2">
      <c r="A750" t="s">
        <v>8</v>
      </c>
      <c r="B750">
        <v>1</v>
      </c>
      <c r="C750" s="2">
        <v>43647</v>
      </c>
      <c r="D750" s="13">
        <v>182.43645499999911</v>
      </c>
      <c r="E750" s="13">
        <v>182.45590199999933</v>
      </c>
      <c r="F750" s="4">
        <v>1586.2</v>
      </c>
      <c r="G750" s="4">
        <v>1691.7</v>
      </c>
      <c r="H750">
        <v>4.9000000000000004</v>
      </c>
      <c r="I750">
        <v>5.0200000000000005</v>
      </c>
      <c r="J750">
        <v>21.67</v>
      </c>
      <c r="K750">
        <v>21.67</v>
      </c>
      <c r="M750" t="e">
        <v>#DIV/0!</v>
      </c>
      <c r="O750" s="4" t="e">
        <v>#DIV/0!</v>
      </c>
      <c r="P750">
        <v>8.5422350847211792</v>
      </c>
      <c r="Q750">
        <v>8.1771943603685848</v>
      </c>
      <c r="R750">
        <v>0.59083578731055797</v>
      </c>
      <c r="S750">
        <v>7.6871470949258999E-4</v>
      </c>
      <c r="T750" s="6">
        <v>6.2767747227843922E-4</v>
      </c>
      <c r="U750" s="6">
        <v>4.0385113325967727E-4</v>
      </c>
      <c r="X750" t="s">
        <v>8</v>
      </c>
      <c r="Y750">
        <v>1</v>
      </c>
      <c r="Z750" t="s">
        <v>2</v>
      </c>
      <c r="AA750" s="16">
        <v>43647</v>
      </c>
      <c r="AB750">
        <v>182.4315949999982</v>
      </c>
      <c r="AC750" s="4">
        <v>1558.7</v>
      </c>
      <c r="AD750" s="4">
        <v>1666.7</v>
      </c>
      <c r="AE750">
        <v>-6.2250351904934202</v>
      </c>
      <c r="AF750">
        <v>-7.010559996717066</v>
      </c>
      <c r="AG750">
        <v>1.1968461251120339</v>
      </c>
      <c r="AH750">
        <v>6.1207269705547602E-4</v>
      </c>
      <c r="AI750">
        <v>8.8015555169423194E-4</v>
      </c>
      <c r="AJ750">
        <v>5.1298679640772666E-4</v>
      </c>
    </row>
    <row r="751" spans="1:36" x14ac:dyDescent="0.2">
      <c r="A751" t="s">
        <v>8</v>
      </c>
      <c r="B751">
        <v>2</v>
      </c>
      <c r="C751" s="2">
        <v>43647</v>
      </c>
      <c r="D751" s="13">
        <v>182.446179999999</v>
      </c>
      <c r="E751" s="13"/>
      <c r="F751" s="4">
        <v>1643.7</v>
      </c>
      <c r="H751">
        <v>4.7</v>
      </c>
      <c r="J751">
        <v>21.67</v>
      </c>
      <c r="P751">
        <v>8.9706367073193505</v>
      </c>
      <c r="S751">
        <v>1.1732928230153701E-3</v>
      </c>
      <c r="X751" t="s">
        <v>8</v>
      </c>
      <c r="Y751">
        <v>2</v>
      </c>
      <c r="Z751" t="s">
        <v>2</v>
      </c>
      <c r="AA751" s="16">
        <v>43647</v>
      </c>
      <c r="AB751">
        <v>182.44131999999809</v>
      </c>
      <c r="AC751" s="4">
        <v>1618.7</v>
      </c>
      <c r="AE751">
        <v>-5.5655149480562098</v>
      </c>
      <c r="AH751">
        <v>1.63997427887084E-3</v>
      </c>
    </row>
    <row r="752" spans="1:36" x14ac:dyDescent="0.2">
      <c r="A752" t="s">
        <v>8</v>
      </c>
      <c r="B752">
        <v>3</v>
      </c>
      <c r="C752" s="2">
        <v>43647</v>
      </c>
      <c r="D752" s="13">
        <v>182.45590499999889</v>
      </c>
      <c r="E752" s="13"/>
      <c r="F752" s="4">
        <v>1698.7</v>
      </c>
      <c r="H752">
        <v>3.5</v>
      </c>
      <c r="J752">
        <v>21.67</v>
      </c>
      <c r="P752">
        <v>7.95861938090124</v>
      </c>
      <c r="S752">
        <v>7.2599608336201902E-4</v>
      </c>
      <c r="T752" s="6"/>
      <c r="U752" s="6"/>
      <c r="X752" t="s">
        <v>8</v>
      </c>
      <c r="Y752">
        <v>3</v>
      </c>
      <c r="Z752" t="s">
        <v>2</v>
      </c>
      <c r="AA752" s="16">
        <v>43647</v>
      </c>
      <c r="AB752">
        <v>182.45104500000161</v>
      </c>
      <c r="AC752" s="4">
        <v>1673.7</v>
      </c>
      <c r="AE752">
        <v>-7.6984300542847599</v>
      </c>
      <c r="AH752">
        <v>8.4999074886723701E-4</v>
      </c>
    </row>
    <row r="753" spans="1:36" x14ac:dyDescent="0.2">
      <c r="A753" t="s">
        <v>8</v>
      </c>
      <c r="B753">
        <v>4</v>
      </c>
      <c r="C753" s="2">
        <v>43647</v>
      </c>
      <c r="D753" s="13">
        <v>182.46562500000073</v>
      </c>
      <c r="E753" s="13"/>
      <c r="F753" s="4">
        <v>1743.7</v>
      </c>
      <c r="H753">
        <v>9.1999999999999993</v>
      </c>
      <c r="J753">
        <v>21.67</v>
      </c>
      <c r="P753">
        <v>7.9756183963596401</v>
      </c>
      <c r="S753">
        <v>1.4289101372567901E-4</v>
      </c>
      <c r="T753" s="6"/>
      <c r="U753" s="6"/>
      <c r="X753" t="s">
        <v>8</v>
      </c>
      <c r="Y753">
        <v>4</v>
      </c>
      <c r="Z753" t="s">
        <v>2</v>
      </c>
      <c r="AA753" s="16">
        <v>43647</v>
      </c>
      <c r="AB753">
        <v>182.46076499999981</v>
      </c>
      <c r="AC753" s="4">
        <v>1718.7</v>
      </c>
      <c r="AE753">
        <v>-6.95685485887428</v>
      </c>
      <c r="AH753">
        <v>1.0340744855602501E-3</v>
      </c>
    </row>
    <row r="754" spans="1:36" x14ac:dyDescent="0.2">
      <c r="A754" t="s">
        <v>8</v>
      </c>
      <c r="B754">
        <v>5</v>
      </c>
      <c r="C754" s="2">
        <v>43647</v>
      </c>
      <c r="D754" s="13">
        <v>182.47534499999892</v>
      </c>
      <c r="E754" s="13"/>
      <c r="F754" s="4">
        <v>1786.2</v>
      </c>
      <c r="H754">
        <v>2.8</v>
      </c>
      <c r="J754">
        <v>21.67</v>
      </c>
      <c r="P754">
        <v>7.4388622325415099</v>
      </c>
      <c r="S754">
        <v>3.27492731796538E-4</v>
      </c>
      <c r="T754" s="6"/>
      <c r="U754" s="6"/>
      <c r="X754" t="s">
        <v>8</v>
      </c>
      <c r="Y754">
        <v>5</v>
      </c>
      <c r="Z754" t="s">
        <v>2</v>
      </c>
      <c r="AA754" s="16">
        <v>43647</v>
      </c>
      <c r="AB754">
        <v>182.47048500000164</v>
      </c>
      <c r="AC754" s="4">
        <v>1763.7</v>
      </c>
      <c r="AE754">
        <v>-8.6069649318766608</v>
      </c>
      <c r="AH754">
        <v>2.6466554811735698E-4</v>
      </c>
    </row>
    <row r="755" spans="1:36" x14ac:dyDescent="0.2">
      <c r="A755" t="s">
        <v>8</v>
      </c>
      <c r="B755">
        <v>1</v>
      </c>
      <c r="C755" s="2">
        <v>43647</v>
      </c>
      <c r="D755" s="13">
        <v>182.52465500000108</v>
      </c>
      <c r="E755" s="13">
        <v>182.54409800000067</v>
      </c>
      <c r="F755" s="4">
        <v>1928.7</v>
      </c>
      <c r="G755" s="4">
        <v>1931.2</v>
      </c>
      <c r="H755">
        <v>4.3</v>
      </c>
      <c r="I755">
        <v>4.74</v>
      </c>
      <c r="J755">
        <v>26.11</v>
      </c>
      <c r="K755">
        <v>26.110000000000003</v>
      </c>
      <c r="M755" t="e">
        <v>#DIV/0!</v>
      </c>
      <c r="O755" s="4" t="e">
        <v>#DIV/0!</v>
      </c>
      <c r="P755">
        <v>6.67406151366347</v>
      </c>
      <c r="Q755">
        <v>8.3897293688705226</v>
      </c>
      <c r="R755">
        <v>1.3836383297142441</v>
      </c>
      <c r="S755">
        <v>5.3768389118287105E-4</v>
      </c>
      <c r="T755" s="6">
        <v>9.678823175988373E-4</v>
      </c>
      <c r="U755" s="6">
        <v>5.8638346337157765E-4</v>
      </c>
      <c r="X755" t="s">
        <v>8</v>
      </c>
      <c r="Y755">
        <v>1</v>
      </c>
      <c r="Z755" t="s">
        <v>2</v>
      </c>
      <c r="AA755" s="16">
        <v>43647</v>
      </c>
      <c r="AB755">
        <v>182.51979500000016</v>
      </c>
      <c r="AC755" s="4">
        <v>1908.7</v>
      </c>
      <c r="AD755" s="4">
        <v>1925.2</v>
      </c>
      <c r="AE755">
        <v>-4.61959101098034</v>
      </c>
      <c r="AF755">
        <v>-4.4616661625608725</v>
      </c>
      <c r="AG755">
        <v>1.4075943994166928</v>
      </c>
      <c r="AH755">
        <v>1.8152869344345999E-3</v>
      </c>
      <c r="AI755">
        <v>5.6072012932682964E-4</v>
      </c>
      <c r="AJ755">
        <v>7.9349245453726853E-4</v>
      </c>
    </row>
    <row r="756" spans="1:36" x14ac:dyDescent="0.2">
      <c r="A756" t="s">
        <v>8</v>
      </c>
      <c r="B756">
        <v>2</v>
      </c>
      <c r="C756" s="2">
        <v>43647</v>
      </c>
      <c r="D756" s="13">
        <v>182.53437499999927</v>
      </c>
      <c r="E756" s="13"/>
      <c r="F756" s="4">
        <v>1928.7</v>
      </c>
      <c r="H756">
        <v>3</v>
      </c>
      <c r="J756">
        <v>26.11</v>
      </c>
      <c r="P756">
        <v>10.1844936477682</v>
      </c>
      <c r="S756">
        <v>3.38013633787025E-4</v>
      </c>
      <c r="X756" t="s">
        <v>8</v>
      </c>
      <c r="Y756">
        <v>2</v>
      </c>
      <c r="Z756" t="s">
        <v>2</v>
      </c>
      <c r="AA756" s="16">
        <v>43647</v>
      </c>
      <c r="AB756">
        <v>182.52951499999836</v>
      </c>
      <c r="AC756" s="4">
        <v>1933.7</v>
      </c>
      <c r="AE756">
        <v>-2.0674172124005499</v>
      </c>
      <c r="AH756">
        <v>-2.6705725863532498E-4</v>
      </c>
    </row>
    <row r="757" spans="1:36" x14ac:dyDescent="0.2">
      <c r="A757" t="s">
        <v>8</v>
      </c>
      <c r="B757">
        <v>3</v>
      </c>
      <c r="C757" s="2">
        <v>43647</v>
      </c>
      <c r="D757" s="13">
        <v>182.54409500000111</v>
      </c>
      <c r="E757" s="13"/>
      <c r="F757" s="4">
        <v>1928.7</v>
      </c>
      <c r="H757">
        <v>3.6</v>
      </c>
      <c r="J757">
        <v>26.11</v>
      </c>
      <c r="P757">
        <v>8.1113759936486893</v>
      </c>
      <c r="S757">
        <v>1.8495927611475399E-3</v>
      </c>
      <c r="T757" s="6"/>
      <c r="U757" s="6"/>
      <c r="X757" t="s">
        <v>8</v>
      </c>
      <c r="Y757">
        <v>3</v>
      </c>
      <c r="Z757" t="s">
        <v>2</v>
      </c>
      <c r="AA757" s="16">
        <v>43647</v>
      </c>
      <c r="AB757">
        <v>182.53923500000019</v>
      </c>
      <c r="AC757" s="4">
        <v>1921.2</v>
      </c>
      <c r="AE757">
        <v>-5.1764811367723196</v>
      </c>
      <c r="AH757">
        <v>7.81618834270406E-4</v>
      </c>
    </row>
    <row r="758" spans="1:36" x14ac:dyDescent="0.2">
      <c r="A758" t="s">
        <v>8</v>
      </c>
      <c r="B758">
        <v>4</v>
      </c>
      <c r="C758" s="2">
        <v>43647</v>
      </c>
      <c r="D758" s="13">
        <v>182.553820000001</v>
      </c>
      <c r="E758" s="13"/>
      <c r="F758" s="4">
        <v>1941.2</v>
      </c>
      <c r="H758">
        <v>7</v>
      </c>
      <c r="J758">
        <v>26.11</v>
      </c>
      <c r="P758">
        <v>7.6539558947474298</v>
      </c>
      <c r="S758">
        <v>1.0684220546302999E-3</v>
      </c>
      <c r="T758" s="6"/>
      <c r="U758" s="6"/>
      <c r="X758" t="s">
        <v>8</v>
      </c>
      <c r="Y758">
        <v>4</v>
      </c>
      <c r="Z758" t="s">
        <v>2</v>
      </c>
      <c r="AA758" s="16">
        <v>43647</v>
      </c>
      <c r="AB758">
        <v>182.54895499999839</v>
      </c>
      <c r="AC758" s="4">
        <v>1928.7</v>
      </c>
      <c r="AE758">
        <v>-4.7226886881039398</v>
      </c>
      <c r="AH758">
        <v>2.1660737891797299E-4</v>
      </c>
    </row>
    <row r="759" spans="1:36" x14ac:dyDescent="0.2">
      <c r="A759" t="s">
        <v>8</v>
      </c>
      <c r="B759">
        <v>5</v>
      </c>
      <c r="C759" s="2">
        <v>43647</v>
      </c>
      <c r="D759" s="13">
        <v>182.56354500000089</v>
      </c>
      <c r="E759" s="13"/>
      <c r="F759" s="4">
        <v>1928.7</v>
      </c>
      <c r="H759">
        <v>5.8</v>
      </c>
      <c r="J759">
        <v>26.11</v>
      </c>
      <c r="P759">
        <v>9.3247597945248195</v>
      </c>
      <c r="S759">
        <v>1.0456992472464501E-3</v>
      </c>
      <c r="T759" s="6"/>
      <c r="U759" s="6"/>
      <c r="X759" t="s">
        <v>8</v>
      </c>
      <c r="Y759">
        <v>5</v>
      </c>
      <c r="Z759" t="s">
        <v>2</v>
      </c>
      <c r="AA759" s="16">
        <v>43647</v>
      </c>
      <c r="AB759">
        <v>182.55868000000191</v>
      </c>
      <c r="AC759" s="4">
        <v>1933.7</v>
      </c>
      <c r="AE759">
        <v>-5.7221527645472099</v>
      </c>
      <c r="AH759">
        <v>2.5714475764649399E-4</v>
      </c>
    </row>
    <row r="760" spans="1:36" x14ac:dyDescent="0.2">
      <c r="A760" t="s">
        <v>8</v>
      </c>
      <c r="B760">
        <v>1</v>
      </c>
      <c r="C760" s="2">
        <v>43649</v>
      </c>
      <c r="D760" s="13">
        <v>184.35729500000161</v>
      </c>
      <c r="E760" s="13">
        <v>184.37673600000053</v>
      </c>
      <c r="F760" s="4">
        <v>1086.2</v>
      </c>
      <c r="G760" s="4">
        <v>984.7</v>
      </c>
      <c r="H760">
        <v>1.6</v>
      </c>
      <c r="I760">
        <v>2</v>
      </c>
      <c r="J760">
        <v>26.67</v>
      </c>
      <c r="K760">
        <v>26.670000000000005</v>
      </c>
      <c r="M760" t="e">
        <v>#DIV/0!</v>
      </c>
      <c r="O760" s="4" t="e">
        <v>#DIV/0!</v>
      </c>
      <c r="P760">
        <v>4.3179067363471502</v>
      </c>
      <c r="Q760">
        <v>5.5728907779371557</v>
      </c>
      <c r="R760">
        <v>0.80577149294262718</v>
      </c>
      <c r="S760">
        <v>-5.4319536010634904E-4</v>
      </c>
      <c r="T760" s="6">
        <v>2.3800342283571379E-4</v>
      </c>
      <c r="U760" s="6">
        <v>8.351254878148852E-4</v>
      </c>
      <c r="X760" t="s">
        <v>8</v>
      </c>
      <c r="Y760">
        <v>1</v>
      </c>
      <c r="Z760" t="s">
        <v>2</v>
      </c>
      <c r="AA760" s="16">
        <v>43649</v>
      </c>
      <c r="AB760">
        <v>184.352429999999</v>
      </c>
      <c r="AC760" s="4">
        <v>1051.2</v>
      </c>
      <c r="AD760" s="4">
        <v>963.2</v>
      </c>
      <c r="AE760">
        <v>-9.3327105760855602</v>
      </c>
      <c r="AF760">
        <v>-8.9543985366211167</v>
      </c>
      <c r="AG760">
        <v>0.96903023762523322</v>
      </c>
      <c r="AH760">
        <v>2.6751492754744899E-3</v>
      </c>
      <c r="AI760">
        <v>1.8895781478801932E-3</v>
      </c>
      <c r="AJ760">
        <v>1.6476547364100327E-3</v>
      </c>
    </row>
    <row r="761" spans="1:36" x14ac:dyDescent="0.2">
      <c r="A761" t="s">
        <v>8</v>
      </c>
      <c r="B761">
        <v>2</v>
      </c>
      <c r="C761" s="2">
        <v>43649</v>
      </c>
      <c r="D761" s="13">
        <v>184.36701499999981</v>
      </c>
      <c r="E761" s="13"/>
      <c r="F761" s="4">
        <v>1191.2</v>
      </c>
      <c r="H761">
        <v>1.1000000000000001</v>
      </c>
      <c r="J761">
        <v>26.67</v>
      </c>
      <c r="P761">
        <v>5.9438215463418</v>
      </c>
      <c r="S761">
        <v>5.8581669940673301E-4</v>
      </c>
      <c r="X761" t="s">
        <v>8</v>
      </c>
      <c r="Y761">
        <v>2</v>
      </c>
      <c r="Z761" t="s">
        <v>2</v>
      </c>
      <c r="AA761" s="16">
        <v>43649</v>
      </c>
      <c r="AB761">
        <v>184.36215499999889</v>
      </c>
      <c r="AC761" s="4">
        <v>1138.7</v>
      </c>
      <c r="AE761">
        <v>-7.4782465007524301</v>
      </c>
      <c r="AH761">
        <v>3.0596623284458902E-3</v>
      </c>
    </row>
    <row r="762" spans="1:36" x14ac:dyDescent="0.2">
      <c r="A762" t="s">
        <v>8</v>
      </c>
      <c r="B762">
        <v>3</v>
      </c>
      <c r="C762" s="2">
        <v>43649</v>
      </c>
      <c r="D762" s="13">
        <v>184.37673500000164</v>
      </c>
      <c r="E762" s="13"/>
      <c r="F762" s="4">
        <v>1278.7</v>
      </c>
      <c r="H762">
        <v>1.1000000000000001</v>
      </c>
      <c r="J762">
        <v>26.67</v>
      </c>
      <c r="P762">
        <v>5.4737468480507898</v>
      </c>
      <c r="S762">
        <v>3.4617866247114998E-4</v>
      </c>
      <c r="T762" s="6"/>
      <c r="U762" s="6"/>
      <c r="X762" t="s">
        <v>8</v>
      </c>
      <c r="Y762">
        <v>3</v>
      </c>
      <c r="Z762" t="s">
        <v>2</v>
      </c>
      <c r="AA762" s="16">
        <v>43649</v>
      </c>
      <c r="AB762">
        <v>184.37187500000073</v>
      </c>
      <c r="AC762" s="4">
        <v>1226.2</v>
      </c>
      <c r="AE762">
        <v>-8.8197931019626701</v>
      </c>
      <c r="AH762">
        <v>3.3611543705857698E-3</v>
      </c>
    </row>
    <row r="763" spans="1:36" x14ac:dyDescent="0.2">
      <c r="A763" t="s">
        <v>8</v>
      </c>
      <c r="B763">
        <v>4</v>
      </c>
      <c r="C763" s="2">
        <v>43649</v>
      </c>
      <c r="D763" s="13">
        <v>184.38645499999984</v>
      </c>
      <c r="E763" s="13"/>
      <c r="F763" s="4">
        <v>1366.2</v>
      </c>
      <c r="H763">
        <v>3.7</v>
      </c>
      <c r="J763">
        <v>26.67</v>
      </c>
      <c r="P763">
        <v>5.6221499584037602</v>
      </c>
      <c r="S763">
        <v>-5.9786777463704502E-4</v>
      </c>
      <c r="T763" s="6"/>
      <c r="U763" s="6"/>
      <c r="X763" t="s">
        <v>8</v>
      </c>
      <c r="Y763">
        <v>4</v>
      </c>
      <c r="Z763" t="s">
        <v>2</v>
      </c>
      <c r="AA763" s="16">
        <v>43649</v>
      </c>
      <c r="AB763">
        <v>184.38159499999892</v>
      </c>
      <c r="AC763" s="4">
        <v>1331.2</v>
      </c>
      <c r="AE763">
        <v>-10.143488636549501</v>
      </c>
      <c r="AH763">
        <v>8.2185361679952096E-4</v>
      </c>
    </row>
    <row r="764" spans="1:36" x14ac:dyDescent="0.2">
      <c r="A764" t="s">
        <v>8</v>
      </c>
      <c r="B764">
        <v>5</v>
      </c>
      <c r="C764" s="2">
        <v>43649</v>
      </c>
      <c r="D764" s="13">
        <v>184.39617999999973</v>
      </c>
      <c r="E764" s="13"/>
      <c r="F764" s="4">
        <v>1.2</v>
      </c>
      <c r="H764">
        <v>2.5</v>
      </c>
      <c r="J764">
        <v>26.67</v>
      </c>
      <c r="P764">
        <v>6.5068288005422801</v>
      </c>
      <c r="S764">
        <v>1.39908488704408E-3</v>
      </c>
      <c r="T764" s="6"/>
      <c r="U764" s="6"/>
      <c r="X764" t="s">
        <v>8</v>
      </c>
      <c r="Y764">
        <v>5</v>
      </c>
      <c r="Z764" t="s">
        <v>2</v>
      </c>
      <c r="AA764" s="16">
        <v>43649</v>
      </c>
      <c r="AB764">
        <v>184.39132000000245</v>
      </c>
      <c r="AC764" s="4">
        <v>68.7</v>
      </c>
      <c r="AE764">
        <v>-8.9977538677554207</v>
      </c>
      <c r="AH764">
        <v>-4.69928851904704E-4</v>
      </c>
    </row>
    <row r="765" spans="1:36" x14ac:dyDescent="0.2">
      <c r="A765" t="s">
        <v>8</v>
      </c>
      <c r="B765">
        <v>1</v>
      </c>
      <c r="C765" s="2">
        <v>43649</v>
      </c>
      <c r="D765" s="13">
        <v>184.47951499999908</v>
      </c>
      <c r="E765" s="13">
        <v>184.49895799999939</v>
      </c>
      <c r="F765" s="4">
        <v>1863.7</v>
      </c>
      <c r="G765" s="4">
        <v>1910.2</v>
      </c>
      <c r="H765">
        <v>3.3</v>
      </c>
      <c r="I765">
        <v>4.38</v>
      </c>
      <c r="J765">
        <v>27.22</v>
      </c>
      <c r="K765">
        <v>27.22</v>
      </c>
      <c r="M765" t="e">
        <v>#DIV/0!</v>
      </c>
      <c r="O765" s="4" t="e">
        <v>#DIV/0!</v>
      </c>
      <c r="P765">
        <v>5.4096370556358302</v>
      </c>
      <c r="Q765">
        <v>7.2591276193890293</v>
      </c>
      <c r="R765">
        <v>1.3245247919442855</v>
      </c>
      <c r="S765">
        <v>2.42918474275299E-4</v>
      </c>
      <c r="T765" s="6">
        <v>-8.9606339978158035E-4</v>
      </c>
      <c r="U765" s="6">
        <v>1.9303288424952665E-3</v>
      </c>
      <c r="X765" t="s">
        <v>8</v>
      </c>
      <c r="Y765">
        <v>1</v>
      </c>
      <c r="Z765" t="s">
        <v>2</v>
      </c>
      <c r="AA765" s="16">
        <v>43649</v>
      </c>
      <c r="AB765">
        <v>184.4746550000018</v>
      </c>
      <c r="AC765" s="4">
        <v>1851.2</v>
      </c>
      <c r="AD765" s="4">
        <v>1876.7</v>
      </c>
      <c r="AE765">
        <v>-5.5092051668949997</v>
      </c>
      <c r="AF765">
        <v>-4.5237235237053426</v>
      </c>
      <c r="AG765">
        <v>1.6418575294607733</v>
      </c>
      <c r="AH765">
        <v>-2.2251970437966499E-4</v>
      </c>
      <c r="AI765">
        <v>-7.2009976046086532E-5</v>
      </c>
      <c r="AJ765">
        <v>9.2531719187896697E-4</v>
      </c>
    </row>
    <row r="766" spans="1:36" x14ac:dyDescent="0.2">
      <c r="A766" t="s">
        <v>8</v>
      </c>
      <c r="B766">
        <v>2</v>
      </c>
      <c r="C766" s="2">
        <v>43649</v>
      </c>
      <c r="D766" s="13">
        <v>184.48923500000092</v>
      </c>
      <c r="E766" s="13"/>
      <c r="F766" s="4">
        <v>1898.7</v>
      </c>
      <c r="H766">
        <v>3.3</v>
      </c>
      <c r="J766">
        <v>27.22</v>
      </c>
      <c r="P766">
        <v>7.6512866653488398</v>
      </c>
      <c r="S766">
        <v>-1.8620599513068401E-3</v>
      </c>
      <c r="X766" t="s">
        <v>8</v>
      </c>
      <c r="Y766">
        <v>2</v>
      </c>
      <c r="Z766" t="s">
        <v>2</v>
      </c>
      <c r="AA766" s="16">
        <v>43649</v>
      </c>
      <c r="AB766">
        <v>184.484375</v>
      </c>
      <c r="AC766" s="4">
        <v>1758.7</v>
      </c>
      <c r="AE766">
        <v>-1.6936792758669501</v>
      </c>
      <c r="AH766">
        <v>-5.0252669706412397E-4</v>
      </c>
    </row>
    <row r="767" spans="1:36" x14ac:dyDescent="0.2">
      <c r="A767" t="s">
        <v>8</v>
      </c>
      <c r="B767">
        <v>3</v>
      </c>
      <c r="C767" s="2">
        <v>43649</v>
      </c>
      <c r="D767" s="13">
        <v>184.49895499999911</v>
      </c>
      <c r="E767" s="13"/>
      <c r="F767" s="4">
        <v>1913.7</v>
      </c>
      <c r="H767">
        <v>7.3</v>
      </c>
      <c r="J767">
        <v>27.22</v>
      </c>
      <c r="P767">
        <v>6.8547961174604897</v>
      </c>
      <c r="S767">
        <v>1.7224682976557E-3</v>
      </c>
      <c r="T767" s="6"/>
      <c r="U767" s="6"/>
      <c r="X767" t="s">
        <v>8</v>
      </c>
      <c r="Y767">
        <v>3</v>
      </c>
      <c r="Z767" t="s">
        <v>2</v>
      </c>
      <c r="AA767" s="16">
        <v>43649</v>
      </c>
      <c r="AB767">
        <v>184.4940949999982</v>
      </c>
      <c r="AC767" s="4">
        <v>1901.2</v>
      </c>
      <c r="AE767">
        <v>-5.7617391317099997</v>
      </c>
      <c r="AH767">
        <v>-1.07387489316883E-3</v>
      </c>
    </row>
    <row r="768" spans="1:36" x14ac:dyDescent="0.2">
      <c r="A768" t="s">
        <v>8</v>
      </c>
      <c r="B768">
        <v>4</v>
      </c>
      <c r="C768" s="2">
        <v>43649</v>
      </c>
      <c r="D768" s="13">
        <v>184.508679999999</v>
      </c>
      <c r="E768" s="13"/>
      <c r="F768" s="4">
        <v>1933.7</v>
      </c>
      <c r="H768">
        <v>5.7</v>
      </c>
      <c r="J768">
        <v>27.22</v>
      </c>
      <c r="P768">
        <v>9.0693569550967794</v>
      </c>
      <c r="S768">
        <v>-1.31170537924125E-3</v>
      </c>
      <c r="T768" s="6"/>
      <c r="U768" s="6"/>
      <c r="X768" t="s">
        <v>8</v>
      </c>
      <c r="Y768">
        <v>4</v>
      </c>
      <c r="Z768" t="s">
        <v>2</v>
      </c>
      <c r="AA768" s="16">
        <v>43649</v>
      </c>
      <c r="AB768">
        <v>184.50381999999809</v>
      </c>
      <c r="AC768" s="4">
        <v>1931.2</v>
      </c>
      <c r="AE768">
        <v>-5.0341537249953197</v>
      </c>
      <c r="AH768">
        <v>2.6491284543416201E-5</v>
      </c>
    </row>
    <row r="769" spans="1:36" x14ac:dyDescent="0.2">
      <c r="A769" t="s">
        <v>8</v>
      </c>
      <c r="B769">
        <v>5</v>
      </c>
      <c r="C769" s="2">
        <v>43649</v>
      </c>
      <c r="D769" s="13">
        <v>184.51840499999889</v>
      </c>
      <c r="E769" s="13"/>
      <c r="F769" s="4">
        <v>1941.2</v>
      </c>
      <c r="H769">
        <v>2.2999999999999998</v>
      </c>
      <c r="J769">
        <v>27.22</v>
      </c>
      <c r="P769">
        <v>7.31056130340321</v>
      </c>
      <c r="S769">
        <v>-3.2719384402908102E-3</v>
      </c>
      <c r="T769" s="6"/>
      <c r="U769" s="6"/>
      <c r="X769" t="s">
        <v>8</v>
      </c>
      <c r="Y769">
        <v>5</v>
      </c>
      <c r="Z769" t="s">
        <v>2</v>
      </c>
      <c r="AA769" s="16">
        <v>43649</v>
      </c>
      <c r="AB769">
        <v>184.51354500000161</v>
      </c>
      <c r="AC769" s="4">
        <v>1941.2</v>
      </c>
      <c r="AE769">
        <v>-4.6198403190594401</v>
      </c>
      <c r="AH769">
        <v>1.4123801298387699E-3</v>
      </c>
    </row>
    <row r="770" spans="1:36" x14ac:dyDescent="0.2">
      <c r="A770" t="s">
        <v>8</v>
      </c>
      <c r="B770">
        <v>1</v>
      </c>
      <c r="C770" s="2">
        <v>43656</v>
      </c>
      <c r="D770" s="13">
        <v>191.43506999999954</v>
      </c>
      <c r="E770" s="13">
        <v>191.45451400000019</v>
      </c>
      <c r="F770" s="4">
        <v>1603.7</v>
      </c>
      <c r="G770" s="4">
        <v>1616.7</v>
      </c>
      <c r="H770">
        <v>3.3</v>
      </c>
      <c r="I770">
        <v>3.34</v>
      </c>
      <c r="J770">
        <v>23.33</v>
      </c>
      <c r="K770">
        <v>23.33</v>
      </c>
      <c r="M770" t="e">
        <v>#DIV/0!</v>
      </c>
      <c r="O770" s="4" t="e">
        <v>#DIV/0!</v>
      </c>
      <c r="P770">
        <v>9.0072032524384191</v>
      </c>
      <c r="Q770">
        <v>9.0810525219629348</v>
      </c>
      <c r="R770">
        <v>0.71197046681167808</v>
      </c>
      <c r="S770">
        <v>-1.2056532377528001E-4</v>
      </c>
      <c r="T770" s="6">
        <v>-2.9628266948607946E-4</v>
      </c>
      <c r="U770" s="6">
        <v>1.6654971982219948E-4</v>
      </c>
      <c r="X770" t="s">
        <v>8</v>
      </c>
      <c r="Y770">
        <v>1</v>
      </c>
      <c r="Z770" t="s">
        <v>2</v>
      </c>
      <c r="AA770" s="16">
        <v>43656</v>
      </c>
      <c r="AB770">
        <v>191.43020500000057</v>
      </c>
      <c r="AC770" s="4">
        <v>1566.2</v>
      </c>
      <c r="AD770" s="4">
        <v>1603.7</v>
      </c>
      <c r="AE770">
        <v>-8.4671707103243197</v>
      </c>
      <c r="AF770">
        <v>-8.5989543803838018</v>
      </c>
      <c r="AG770">
        <v>1.7167142465882896</v>
      </c>
      <c r="AH770">
        <v>-5.3892562295065601E-4</v>
      </c>
      <c r="AI770">
        <v>-3.8481599104749303E-4</v>
      </c>
      <c r="AJ770">
        <v>1.3385906702046945E-4</v>
      </c>
    </row>
    <row r="771" spans="1:36" x14ac:dyDescent="0.2">
      <c r="A771" t="s">
        <v>8</v>
      </c>
      <c r="B771">
        <v>2</v>
      </c>
      <c r="C771" s="2">
        <v>43656</v>
      </c>
      <c r="D771" s="13">
        <v>191.44479499999943</v>
      </c>
      <c r="E771" s="13"/>
      <c r="F771" s="4">
        <v>1546.2</v>
      </c>
      <c r="H771">
        <v>1.9</v>
      </c>
      <c r="J771">
        <v>23.33</v>
      </c>
      <c r="P771">
        <v>8.0749165973480199</v>
      </c>
      <c r="S771">
        <v>-5.5691905035012805E-4</v>
      </c>
      <c r="X771" t="s">
        <v>8</v>
      </c>
      <c r="Y771">
        <v>2</v>
      </c>
      <c r="Z771" t="s">
        <v>2</v>
      </c>
      <c r="AA771" s="16">
        <v>43656</v>
      </c>
      <c r="AB771">
        <v>191.43993000000046</v>
      </c>
      <c r="AC771" s="4">
        <v>1583.7</v>
      </c>
      <c r="AE771">
        <v>-7.2486599236612701</v>
      </c>
      <c r="AH771">
        <v>-3.5210965518610001E-4</v>
      </c>
    </row>
    <row r="772" spans="1:36" x14ac:dyDescent="0.2">
      <c r="A772" t="s">
        <v>8</v>
      </c>
      <c r="B772">
        <v>3</v>
      </c>
      <c r="C772" s="2">
        <v>43656</v>
      </c>
      <c r="D772" s="13">
        <v>191.45451500000127</v>
      </c>
      <c r="E772" s="13"/>
      <c r="F772" s="4">
        <v>1646.2</v>
      </c>
      <c r="H772">
        <v>4.0999999999999996</v>
      </c>
      <c r="J772">
        <v>23.33</v>
      </c>
      <c r="P772">
        <v>8.8404009841581193</v>
      </c>
      <c r="S772">
        <v>-2.88786679580725E-4</v>
      </c>
      <c r="T772" s="6"/>
      <c r="U772" s="6"/>
      <c r="X772" t="s">
        <v>8</v>
      </c>
      <c r="Y772">
        <v>3</v>
      </c>
      <c r="Z772" t="s">
        <v>2</v>
      </c>
      <c r="AA772" s="16">
        <v>43656</v>
      </c>
      <c r="AB772">
        <v>191.44965500000035</v>
      </c>
      <c r="AC772" s="4">
        <v>1616.2</v>
      </c>
      <c r="AE772">
        <v>-10.163715917123101</v>
      </c>
      <c r="AH772">
        <v>-4.3452771446819498E-4</v>
      </c>
    </row>
    <row r="773" spans="1:36" x14ac:dyDescent="0.2">
      <c r="A773" t="s">
        <v>8</v>
      </c>
      <c r="B773">
        <v>4</v>
      </c>
      <c r="C773" s="2">
        <v>43656</v>
      </c>
      <c r="D773" s="13">
        <v>191.46423499999946</v>
      </c>
      <c r="E773" s="13"/>
      <c r="F773" s="4">
        <v>1606.2</v>
      </c>
      <c r="H773">
        <v>3</v>
      </c>
      <c r="J773">
        <v>23.33</v>
      </c>
      <c r="P773">
        <v>9.54150753773032</v>
      </c>
      <c r="S773">
        <v>-3.2500249804785498E-4</v>
      </c>
      <c r="T773" s="6"/>
      <c r="U773" s="6"/>
      <c r="X773" t="s">
        <v>8</v>
      </c>
      <c r="Y773">
        <v>4</v>
      </c>
      <c r="Z773" t="s">
        <v>2</v>
      </c>
      <c r="AA773" s="16">
        <v>43656</v>
      </c>
      <c r="AB773">
        <v>191.45937499999854</v>
      </c>
      <c r="AC773" s="4">
        <v>1671.2</v>
      </c>
      <c r="AE773">
        <v>-10.4935713813448</v>
      </c>
      <c r="AH773">
        <v>-4.2120536699866802E-4</v>
      </c>
    </row>
    <row r="774" spans="1:36" x14ac:dyDescent="0.2">
      <c r="A774" t="s">
        <v>8</v>
      </c>
      <c r="B774">
        <v>5</v>
      </c>
      <c r="C774" s="2">
        <v>43656</v>
      </c>
      <c r="D774" s="13">
        <v>191.4739550000013</v>
      </c>
      <c r="E774" s="13"/>
      <c r="F774" s="4">
        <v>1681.2</v>
      </c>
      <c r="H774">
        <v>4.4000000000000004</v>
      </c>
      <c r="J774">
        <v>23.33</v>
      </c>
      <c r="P774">
        <v>9.9412342381397991</v>
      </c>
      <c r="S774">
        <v>-1.9013979567640899E-4</v>
      </c>
      <c r="T774" s="6"/>
      <c r="U774" s="6"/>
      <c r="X774" t="s">
        <v>8</v>
      </c>
      <c r="Y774">
        <v>5</v>
      </c>
      <c r="Z774" t="s">
        <v>2</v>
      </c>
      <c r="AA774" s="16">
        <v>43656</v>
      </c>
      <c r="AB774">
        <v>191.46909500000038</v>
      </c>
      <c r="AC774" s="4">
        <v>1581.2</v>
      </c>
      <c r="AE774">
        <v>-6.6216539694655197</v>
      </c>
      <c r="AH774">
        <v>-1.7731159563384599E-4</v>
      </c>
    </row>
    <row r="775" spans="1:36" x14ac:dyDescent="0.2">
      <c r="A775" t="s">
        <v>8</v>
      </c>
      <c r="B775">
        <v>1</v>
      </c>
      <c r="C775" s="2">
        <v>43656</v>
      </c>
      <c r="D775" s="13">
        <v>191.53159500000038</v>
      </c>
      <c r="E775" s="13">
        <v>191.55104199999988</v>
      </c>
      <c r="F775" s="4">
        <v>1733.7</v>
      </c>
      <c r="G775" s="4">
        <v>1669.7</v>
      </c>
      <c r="H775">
        <v>2.5</v>
      </c>
      <c r="I775">
        <v>4.7200000000000006</v>
      </c>
      <c r="J775">
        <v>29.44</v>
      </c>
      <c r="K775">
        <v>29.440000000000005</v>
      </c>
      <c r="M775" t="e">
        <v>#DIV/0!</v>
      </c>
      <c r="O775" s="4" t="e">
        <v>#DIV/0!</v>
      </c>
      <c r="P775">
        <v>9.4163064357128601</v>
      </c>
      <c r="Q775">
        <v>9.756972760857213</v>
      </c>
      <c r="R775">
        <v>0.91620441368455174</v>
      </c>
      <c r="S775">
        <v>-4.8538775827949003E-4</v>
      </c>
      <c r="T775" s="6">
        <v>-4.0282441118188078E-4</v>
      </c>
      <c r="U775" s="6">
        <v>8.6446894919801952E-5</v>
      </c>
      <c r="X775" t="s">
        <v>8</v>
      </c>
      <c r="Y775">
        <v>1</v>
      </c>
      <c r="Z775" t="s">
        <v>2</v>
      </c>
      <c r="AA775" s="16">
        <v>43656</v>
      </c>
      <c r="AB775">
        <v>191.52673499999946</v>
      </c>
      <c r="AC775" s="4">
        <v>1776.2</v>
      </c>
      <c r="AD775" s="4">
        <v>1789.7</v>
      </c>
      <c r="AE775">
        <v>-5.0392271430059798</v>
      </c>
      <c r="AF775">
        <v>-2.6949274580944502</v>
      </c>
      <c r="AG775">
        <v>4.7621491075921494</v>
      </c>
      <c r="AH775">
        <v>-1.5219270343901699E-4</v>
      </c>
      <c r="AI775">
        <v>8.3727260128562478E-3</v>
      </c>
      <c r="AJ775">
        <v>1.9377993805861197E-2</v>
      </c>
    </row>
    <row r="776" spans="1:36" x14ac:dyDescent="0.2">
      <c r="A776" t="s">
        <v>8</v>
      </c>
      <c r="B776">
        <v>2</v>
      </c>
      <c r="C776" s="2">
        <v>43656</v>
      </c>
      <c r="D776" s="13">
        <v>191.54132000000027</v>
      </c>
      <c r="E776" s="13"/>
      <c r="F776" s="4">
        <v>1408.7</v>
      </c>
      <c r="H776">
        <v>4.7</v>
      </c>
      <c r="J776">
        <v>29.44</v>
      </c>
      <c r="P776">
        <v>9.4003304186668206</v>
      </c>
      <c r="S776">
        <v>-4.83377439627871E-4</v>
      </c>
      <c r="X776" t="s">
        <v>8</v>
      </c>
      <c r="Y776">
        <v>2</v>
      </c>
      <c r="Z776" t="s">
        <v>2</v>
      </c>
      <c r="AA776" s="16">
        <v>43656</v>
      </c>
      <c r="AB776">
        <v>191.5364550000013</v>
      </c>
      <c r="AC776" s="4">
        <v>1886.2</v>
      </c>
      <c r="AE776">
        <v>5.2162308294138899</v>
      </c>
      <c r="AH776">
        <v>4.3036612298912598E-2</v>
      </c>
    </row>
    <row r="777" spans="1:36" x14ac:dyDescent="0.2">
      <c r="A777" t="s">
        <v>8</v>
      </c>
      <c r="B777">
        <v>3</v>
      </c>
      <c r="C777" s="2">
        <v>43656</v>
      </c>
      <c r="D777" s="13">
        <v>191.55104500000016</v>
      </c>
      <c r="E777" s="13"/>
      <c r="F777" s="4">
        <v>1693.7</v>
      </c>
      <c r="H777">
        <v>4.3</v>
      </c>
      <c r="J777">
        <v>29.44</v>
      </c>
      <c r="P777">
        <v>10.130231660162901</v>
      </c>
      <c r="S777">
        <v>-2.7672580552089301E-4</v>
      </c>
      <c r="T777" s="6"/>
      <c r="U777" s="6"/>
      <c r="X777" t="s">
        <v>8</v>
      </c>
      <c r="Y777">
        <v>3</v>
      </c>
      <c r="Z777" t="s">
        <v>2</v>
      </c>
      <c r="AA777" s="16">
        <v>43656</v>
      </c>
      <c r="AB777">
        <v>191.54617999999755</v>
      </c>
      <c r="AC777" s="4">
        <v>1846.2</v>
      </c>
      <c r="AE777">
        <v>-4.9382395542325899</v>
      </c>
      <c r="AH777">
        <v>-4.2485901757408599E-4</v>
      </c>
    </row>
    <row r="778" spans="1:36" x14ac:dyDescent="0.2">
      <c r="A778" t="s">
        <v>8</v>
      </c>
      <c r="B778">
        <v>4</v>
      </c>
      <c r="C778" s="2">
        <v>43656</v>
      </c>
      <c r="D778" s="13">
        <v>191.56076499999836</v>
      </c>
      <c r="E778" s="13"/>
      <c r="F778" s="4">
        <v>1871.2</v>
      </c>
      <c r="H778">
        <v>5.2</v>
      </c>
      <c r="J778">
        <v>29.44</v>
      </c>
      <c r="P778">
        <v>11.127850091057599</v>
      </c>
      <c r="S778">
        <v>-3.8370319620945601E-4</v>
      </c>
      <c r="T778" s="6"/>
      <c r="U778" s="6"/>
      <c r="X778" t="s">
        <v>8</v>
      </c>
      <c r="Y778">
        <v>4</v>
      </c>
      <c r="Z778" t="s">
        <v>2</v>
      </c>
      <c r="AA778" s="16">
        <v>43656</v>
      </c>
      <c r="AB778">
        <v>191.55590500000108</v>
      </c>
      <c r="AC778" s="4">
        <v>1756.2</v>
      </c>
      <c r="AE778">
        <v>-6.81379861109275</v>
      </c>
      <c r="AH778">
        <v>-3.6139881471880102E-4</v>
      </c>
    </row>
    <row r="779" spans="1:36" x14ac:dyDescent="0.2">
      <c r="A779" t="s">
        <v>8</v>
      </c>
      <c r="B779">
        <v>5</v>
      </c>
      <c r="C779" s="2">
        <v>43656</v>
      </c>
      <c r="D779" s="13">
        <v>191.57048500000019</v>
      </c>
      <c r="E779" s="13"/>
      <c r="F779" s="4">
        <v>1641.2</v>
      </c>
      <c r="H779">
        <v>6.9</v>
      </c>
      <c r="J779">
        <v>29.44</v>
      </c>
      <c r="P779">
        <v>8.7101451986858809</v>
      </c>
      <c r="S779">
        <v>-3.8492785627169398E-4</v>
      </c>
      <c r="T779" s="6"/>
      <c r="U779" s="6"/>
      <c r="X779" t="s">
        <v>8</v>
      </c>
      <c r="Y779">
        <v>5</v>
      </c>
      <c r="Z779" t="s">
        <v>2</v>
      </c>
      <c r="AA779" s="16">
        <v>43656</v>
      </c>
      <c r="AB779">
        <v>191.56562499999927</v>
      </c>
      <c r="AC779" s="4">
        <v>1683.7</v>
      </c>
      <c r="AE779">
        <v>-1.89960281155482</v>
      </c>
      <c r="AH779">
        <v>-2.3453169889945299E-4</v>
      </c>
    </row>
    <row r="780" spans="1:36" x14ac:dyDescent="0.2">
      <c r="A780" t="s">
        <v>8</v>
      </c>
      <c r="B780">
        <v>1</v>
      </c>
      <c r="C780" s="2">
        <v>43658</v>
      </c>
      <c r="D780" s="13">
        <v>193.46216500000082</v>
      </c>
      <c r="E780" s="13">
        <v>193.48160799999968</v>
      </c>
      <c r="F780" s="4">
        <v>1526.2</v>
      </c>
      <c r="G780" s="4">
        <v>1659.7</v>
      </c>
      <c r="H780">
        <v>5.8</v>
      </c>
      <c r="I780">
        <v>5.9799999999999995</v>
      </c>
      <c r="J780">
        <v>26.67</v>
      </c>
      <c r="K780">
        <v>26.670000000000005</v>
      </c>
      <c r="M780" t="e">
        <v>#DIV/0!</v>
      </c>
      <c r="O780" s="4" t="e">
        <v>#DIV/0!</v>
      </c>
      <c r="P780">
        <v>14.488502843982801</v>
      </c>
      <c r="Q780">
        <v>12.550170163011478</v>
      </c>
      <c r="R780">
        <v>3.2027351095520165</v>
      </c>
      <c r="S780">
        <v>-3.4780085797566599E-4</v>
      </c>
      <c r="T780" s="6">
        <v>7.5622254720001296E-3</v>
      </c>
      <c r="U780" s="6">
        <v>1.2969461601825513E-2</v>
      </c>
      <c r="X780" t="s">
        <v>8</v>
      </c>
      <c r="Y780">
        <v>1</v>
      </c>
      <c r="Z780" t="s">
        <v>2</v>
      </c>
      <c r="AA780" s="16">
        <v>43658</v>
      </c>
      <c r="AB780">
        <v>193.45730499999991</v>
      </c>
      <c r="AC780" s="4">
        <v>1306.2</v>
      </c>
      <c r="AD780" s="4">
        <v>1494.2</v>
      </c>
      <c r="AE780">
        <v>-12.326531836047501</v>
      </c>
      <c r="AF780">
        <v>-14.793983658374884</v>
      </c>
      <c r="AG780">
        <v>7.3594880563486917</v>
      </c>
      <c r="AH780">
        <v>4.5285600955292899E-4</v>
      </c>
      <c r="AI780">
        <v>-7.3791649230221991E-5</v>
      </c>
      <c r="AJ780">
        <v>4.8481625547328099E-4</v>
      </c>
    </row>
    <row r="781" spans="1:36" x14ac:dyDescent="0.2">
      <c r="A781" t="s">
        <v>8</v>
      </c>
      <c r="B781">
        <v>2</v>
      </c>
      <c r="C781" s="2">
        <v>43658</v>
      </c>
      <c r="D781" s="13">
        <v>193.47188499999902</v>
      </c>
      <c r="E781" s="13"/>
      <c r="F781" s="4">
        <v>2246.1999999999998</v>
      </c>
      <c r="H781">
        <v>5.0999999999999996</v>
      </c>
      <c r="J781">
        <v>26.67</v>
      </c>
      <c r="P781">
        <v>16.442782517892901</v>
      </c>
      <c r="S781">
        <v>5.0449389121535299E-4</v>
      </c>
      <c r="X781" t="s">
        <v>8</v>
      </c>
      <c r="Y781">
        <v>2</v>
      </c>
      <c r="Z781" t="s">
        <v>2</v>
      </c>
      <c r="AA781" s="16">
        <v>43658</v>
      </c>
      <c r="AB781">
        <v>193.46702500000174</v>
      </c>
      <c r="AC781" s="4">
        <v>1121.2</v>
      </c>
      <c r="AE781">
        <v>-22.228246973926201</v>
      </c>
      <c r="AH781">
        <v>-5.0151889767019496E-4</v>
      </c>
    </row>
    <row r="782" spans="1:36" x14ac:dyDescent="0.2">
      <c r="A782" t="s">
        <v>8</v>
      </c>
      <c r="B782">
        <v>3</v>
      </c>
      <c r="C782" s="2">
        <v>43658</v>
      </c>
      <c r="D782" s="13">
        <v>193.48160500000085</v>
      </c>
      <c r="E782" s="13"/>
      <c r="F782" s="4">
        <v>1136.2</v>
      </c>
      <c r="H782">
        <v>7.3</v>
      </c>
      <c r="J782">
        <v>26.67</v>
      </c>
      <c r="P782">
        <v>11.6605819876326</v>
      </c>
      <c r="S782">
        <v>2.2529983382760702E-2</v>
      </c>
      <c r="T782" s="6"/>
      <c r="U782" s="6"/>
      <c r="X782" t="s">
        <v>8</v>
      </c>
      <c r="Y782">
        <v>3</v>
      </c>
      <c r="Z782" t="s">
        <v>2</v>
      </c>
      <c r="AA782" s="16">
        <v>43658</v>
      </c>
      <c r="AB782">
        <v>193.47674499999994</v>
      </c>
      <c r="AC782" s="4">
        <v>848.7</v>
      </c>
      <c r="AE782">
        <v>-22.864383220058301</v>
      </c>
      <c r="AH782">
        <v>-1.727120595734E-4</v>
      </c>
    </row>
    <row r="783" spans="1:36" x14ac:dyDescent="0.2">
      <c r="A783" t="s">
        <v>8</v>
      </c>
      <c r="B783">
        <v>4</v>
      </c>
      <c r="C783" s="2">
        <v>43658</v>
      </c>
      <c r="D783" s="13">
        <v>193.49132999999711</v>
      </c>
      <c r="E783" s="13"/>
      <c r="F783" s="4">
        <v>2006.2</v>
      </c>
      <c r="H783">
        <v>5.3</v>
      </c>
      <c r="J783">
        <v>26.67</v>
      </c>
      <c r="P783">
        <v>7.94400428639588</v>
      </c>
      <c r="T783" s="6"/>
      <c r="U783" s="6"/>
      <c r="X783" t="s">
        <v>8</v>
      </c>
      <c r="Y783">
        <v>4</v>
      </c>
      <c r="Z783" t="s">
        <v>2</v>
      </c>
      <c r="AA783" s="16">
        <v>43658</v>
      </c>
      <c r="AB783">
        <v>193.48646999999983</v>
      </c>
      <c r="AC783" s="4">
        <v>2228.6999999999998</v>
      </c>
      <c r="AE783">
        <v>-6.66667008789753</v>
      </c>
    </row>
    <row r="784" spans="1:36" x14ac:dyDescent="0.2">
      <c r="A784" t="s">
        <v>8</v>
      </c>
      <c r="B784">
        <v>5</v>
      </c>
      <c r="C784" s="2">
        <v>43658</v>
      </c>
      <c r="D784" s="13">
        <v>193.50105500000063</v>
      </c>
      <c r="E784" s="13"/>
      <c r="F784" s="4">
        <v>1383.7</v>
      </c>
      <c r="H784">
        <v>6.4</v>
      </c>
      <c r="J784">
        <v>26.67</v>
      </c>
      <c r="P784">
        <v>12.2149791791532</v>
      </c>
      <c r="T784" s="6"/>
      <c r="U784" s="6"/>
      <c r="X784" t="s">
        <v>8</v>
      </c>
      <c r="Y784">
        <v>5</v>
      </c>
      <c r="Z784" t="s">
        <v>2</v>
      </c>
      <c r="AA784" s="16">
        <v>43658</v>
      </c>
      <c r="AB784">
        <v>193.49619499999972</v>
      </c>
      <c r="AC784" s="4">
        <v>1966.2</v>
      </c>
      <c r="AE784">
        <v>-9.8840861739448993</v>
      </c>
    </row>
    <row r="785" spans="1:36" x14ac:dyDescent="0.2">
      <c r="A785" t="s">
        <v>8</v>
      </c>
      <c r="B785">
        <v>1</v>
      </c>
      <c r="C785" s="2">
        <v>43658</v>
      </c>
      <c r="D785" s="13">
        <v>193.58715277779993</v>
      </c>
      <c r="E785" s="13">
        <v>193.60659722222917</v>
      </c>
      <c r="F785" s="4">
        <v>861.2</v>
      </c>
      <c r="G785" s="4">
        <v>1440.7</v>
      </c>
      <c r="H785">
        <v>4.9000000000000004</v>
      </c>
      <c r="I785">
        <v>4.9400000000000004</v>
      </c>
      <c r="J785">
        <v>26.67</v>
      </c>
      <c r="K785">
        <v>26.670000000000005</v>
      </c>
      <c r="M785" t="e">
        <v>#DIV/0!</v>
      </c>
      <c r="O785" s="4" t="e">
        <v>#DIV/0!</v>
      </c>
      <c r="P785">
        <v>13.7416526995176</v>
      </c>
      <c r="Q785">
        <v>11.775331821285766</v>
      </c>
      <c r="R785">
        <v>4.55119884690723</v>
      </c>
      <c r="S785">
        <v>-1.1397081352437E-4</v>
      </c>
      <c r="T785" s="6">
        <v>-7.8742951439965143E-5</v>
      </c>
      <c r="U785" s="6">
        <v>3.9989226723204846E-5</v>
      </c>
      <c r="X785" t="s">
        <v>8</v>
      </c>
      <c r="Y785">
        <v>1</v>
      </c>
      <c r="Z785" t="s">
        <v>2</v>
      </c>
      <c r="AA785" s="16">
        <v>43658</v>
      </c>
      <c r="AB785">
        <v>193.58229166669844</v>
      </c>
      <c r="AC785" s="4">
        <v>956.2</v>
      </c>
      <c r="AD785" s="4">
        <v>1457.2</v>
      </c>
      <c r="AE785">
        <v>-11.989075018775701</v>
      </c>
      <c r="AF785">
        <v>-11.421976872775673</v>
      </c>
      <c r="AG785">
        <v>4.6934103251453214</v>
      </c>
      <c r="AH785">
        <v>-1.49764054516707E-4</v>
      </c>
      <c r="AI785">
        <v>-1.9728619898802E-5</v>
      </c>
      <c r="AJ785">
        <v>8.4843884002364705E-5</v>
      </c>
    </row>
    <row r="786" spans="1:36" x14ac:dyDescent="0.2">
      <c r="A786" t="s">
        <v>8</v>
      </c>
      <c r="B786">
        <v>2</v>
      </c>
      <c r="C786" s="2">
        <v>43658</v>
      </c>
      <c r="D786" s="13">
        <v>193.59687499999927</v>
      </c>
      <c r="E786" s="13"/>
      <c r="F786" s="4">
        <v>1786.2</v>
      </c>
      <c r="H786">
        <v>3.6</v>
      </c>
      <c r="J786">
        <v>26.67</v>
      </c>
      <c r="P786">
        <v>18.7873488795829</v>
      </c>
      <c r="S786" s="6">
        <v>-9.5399869514007398E-5</v>
      </c>
      <c r="X786" t="s">
        <v>8</v>
      </c>
      <c r="Y786">
        <v>2</v>
      </c>
      <c r="Z786" t="s">
        <v>2</v>
      </c>
      <c r="AA786" s="16">
        <v>43658</v>
      </c>
      <c r="AB786">
        <v>193.59201388890142</v>
      </c>
      <c r="AC786" s="4">
        <v>1191.2</v>
      </c>
      <c r="AE786">
        <v>-17.3171252422955</v>
      </c>
      <c r="AH786">
        <v>-4.3688422057506102E-6</v>
      </c>
    </row>
    <row r="787" spans="1:36" x14ac:dyDescent="0.2">
      <c r="A787" t="s">
        <v>8</v>
      </c>
      <c r="B787">
        <v>3</v>
      </c>
      <c r="C787" s="2">
        <v>43658</v>
      </c>
      <c r="D787" s="13">
        <v>193.60659722219862</v>
      </c>
      <c r="E787" s="13"/>
      <c r="F787" s="4">
        <v>2018.7</v>
      </c>
      <c r="H787">
        <v>5.0999999999999996</v>
      </c>
      <c r="J787">
        <v>26.67</v>
      </c>
      <c r="P787">
        <v>10.181496577127</v>
      </c>
      <c r="S787" s="6">
        <v>-2.2039111507419099E-5</v>
      </c>
      <c r="T787" s="6"/>
      <c r="U787" s="6"/>
      <c r="X787" t="s">
        <v>8</v>
      </c>
      <c r="Y787">
        <v>3</v>
      </c>
      <c r="Z787" t="s">
        <v>2</v>
      </c>
      <c r="AA787" s="16">
        <v>43658</v>
      </c>
      <c r="AB787">
        <v>193.60173611110076</v>
      </c>
      <c r="AC787" s="4">
        <v>2093.6999999999998</v>
      </c>
      <c r="AE787">
        <v>-14.330688413713601</v>
      </c>
      <c r="AH787">
        <v>3.6957005371469903E-5</v>
      </c>
    </row>
    <row r="788" spans="1:36" x14ac:dyDescent="0.2">
      <c r="A788" t="s">
        <v>8</v>
      </c>
      <c r="B788">
        <v>4</v>
      </c>
      <c r="C788" s="2">
        <v>43658</v>
      </c>
      <c r="D788" s="13">
        <v>193.61631944444889</v>
      </c>
      <c r="E788" s="13"/>
      <c r="F788" s="4">
        <v>851.2</v>
      </c>
      <c r="H788">
        <v>5.5</v>
      </c>
      <c r="J788">
        <v>26.67</v>
      </c>
      <c r="P788">
        <v>8.1639877121211395</v>
      </c>
      <c r="S788" s="6">
        <v>-5.2419567297392202E-5</v>
      </c>
      <c r="T788" s="6"/>
      <c r="U788" s="6"/>
      <c r="X788" t="s">
        <v>8</v>
      </c>
      <c r="Y788">
        <v>4</v>
      </c>
      <c r="Z788" t="s">
        <v>2</v>
      </c>
      <c r="AA788" s="16">
        <v>43658</v>
      </c>
      <c r="AB788">
        <v>193.61145833330011</v>
      </c>
      <c r="AC788" s="4">
        <v>2301.1999999999998</v>
      </c>
      <c r="AE788">
        <v>-6.1577072785633398</v>
      </c>
      <c r="AH788">
        <v>-4.8846079433726103E-5</v>
      </c>
    </row>
    <row r="789" spans="1:36" x14ac:dyDescent="0.2">
      <c r="A789" t="s">
        <v>8</v>
      </c>
      <c r="B789">
        <v>5</v>
      </c>
      <c r="C789" s="2">
        <v>43658</v>
      </c>
      <c r="D789" s="13">
        <v>193.62604166669917</v>
      </c>
      <c r="E789" s="13"/>
      <c r="F789" s="4">
        <v>1686.2</v>
      </c>
      <c r="H789">
        <v>5.6</v>
      </c>
      <c r="J789">
        <v>26.67</v>
      </c>
      <c r="P789">
        <v>8.0021732380801893</v>
      </c>
      <c r="S789">
        <v>-1.09885395356637E-4</v>
      </c>
      <c r="T789" s="6"/>
      <c r="U789" s="6"/>
      <c r="X789" t="s">
        <v>8</v>
      </c>
      <c r="Y789">
        <v>5</v>
      </c>
      <c r="Z789" t="s">
        <v>2</v>
      </c>
      <c r="AA789" s="16">
        <v>43658</v>
      </c>
      <c r="AB789">
        <v>193.62118055555038</v>
      </c>
      <c r="AC789" s="4">
        <v>743.7</v>
      </c>
      <c r="AE789">
        <v>-7.31528841053023</v>
      </c>
      <c r="AH789">
        <v>6.7378871290703802E-5</v>
      </c>
    </row>
    <row r="790" spans="1:36" x14ac:dyDescent="0.2">
      <c r="A790" t="s">
        <v>8</v>
      </c>
      <c r="B790">
        <v>1</v>
      </c>
      <c r="C790" s="2">
        <v>43661</v>
      </c>
      <c r="D790" s="13">
        <v>196.4746550000018</v>
      </c>
      <c r="E790" s="13">
        <v>196.49409799999995</v>
      </c>
      <c r="F790" s="4">
        <v>1898.7</v>
      </c>
      <c r="G790" s="4">
        <v>1854.2</v>
      </c>
      <c r="H790">
        <v>2.7</v>
      </c>
      <c r="I790">
        <v>2.2600000000000002</v>
      </c>
      <c r="J790">
        <v>28.33</v>
      </c>
      <c r="K790">
        <v>28.329999999999995</v>
      </c>
      <c r="L790">
        <v>39.799999999999997</v>
      </c>
      <c r="M790">
        <v>29.48</v>
      </c>
      <c r="N790">
        <v>0.51</v>
      </c>
      <c r="O790" s="4">
        <v>0.53</v>
      </c>
      <c r="P790">
        <v>7.6429697780014703</v>
      </c>
      <c r="Q790">
        <v>7.5608394596207349</v>
      </c>
      <c r="R790">
        <v>1.0881686167680729</v>
      </c>
      <c r="S790">
        <v>-4.5449633845992901E-4</v>
      </c>
      <c r="T790" s="6">
        <v>-3.1885060901830819E-4</v>
      </c>
      <c r="U790" s="6">
        <v>2.531478000979367E-4</v>
      </c>
      <c r="X790" t="s">
        <v>8</v>
      </c>
      <c r="Y790">
        <v>1</v>
      </c>
      <c r="Z790" t="s">
        <v>2</v>
      </c>
      <c r="AA790" s="16">
        <v>43661</v>
      </c>
      <c r="AB790">
        <v>196.46979500000089</v>
      </c>
      <c r="AC790" s="4">
        <v>1831.2</v>
      </c>
      <c r="AD790" s="4">
        <v>1868.2</v>
      </c>
      <c r="AE790">
        <v>-4.0843530952585798</v>
      </c>
      <c r="AF790">
        <v>-1.7128230402439972</v>
      </c>
      <c r="AG790">
        <v>2.1504058235989429</v>
      </c>
      <c r="AH790">
        <v>-3.2501138950916998E-4</v>
      </c>
      <c r="AI790">
        <v>-6.0211878470901186E-4</v>
      </c>
      <c r="AJ790">
        <v>6.9886609128252703E-4</v>
      </c>
    </row>
    <row r="791" spans="1:36" x14ac:dyDescent="0.2">
      <c r="A791" t="s">
        <v>8</v>
      </c>
      <c r="B791">
        <v>2</v>
      </c>
      <c r="C791" s="2">
        <v>43661</v>
      </c>
      <c r="D791" s="13">
        <v>196.484375</v>
      </c>
      <c r="E791" s="13"/>
      <c r="F791" s="4">
        <v>1773.7</v>
      </c>
      <c r="H791">
        <v>1.4</v>
      </c>
      <c r="J791">
        <v>28.33</v>
      </c>
      <c r="L791">
        <v>20.7</v>
      </c>
      <c r="N791">
        <v>0.56000000000000005</v>
      </c>
      <c r="P791">
        <v>6.5597702801787801</v>
      </c>
      <c r="S791">
        <v>-5.9732926795722299E-4</v>
      </c>
      <c r="X791" t="s">
        <v>8</v>
      </c>
      <c r="Y791">
        <v>2</v>
      </c>
      <c r="Z791" t="s">
        <v>2</v>
      </c>
      <c r="AA791" s="16">
        <v>43661</v>
      </c>
      <c r="AB791">
        <v>196.47951499999908</v>
      </c>
      <c r="AC791" s="4">
        <v>1888.7</v>
      </c>
      <c r="AE791">
        <v>-0.68406318105289499</v>
      </c>
      <c r="AH791">
        <v>-4.65857760835945E-4</v>
      </c>
    </row>
    <row r="792" spans="1:36" x14ac:dyDescent="0.2">
      <c r="A792" t="s">
        <v>8</v>
      </c>
      <c r="B792">
        <v>3</v>
      </c>
      <c r="C792" s="2">
        <v>43661</v>
      </c>
      <c r="D792" s="13">
        <v>196.4940949999982</v>
      </c>
      <c r="E792" s="13"/>
      <c r="F792" s="4">
        <v>1778.7</v>
      </c>
      <c r="H792">
        <v>1.9</v>
      </c>
      <c r="J792">
        <v>28.33</v>
      </c>
      <c r="L792">
        <v>28</v>
      </c>
      <c r="N792">
        <v>0.49</v>
      </c>
      <c r="P792">
        <v>7.2589233380927203</v>
      </c>
      <c r="S792">
        <v>-4.4028142686634402E-4</v>
      </c>
      <c r="T792" s="6"/>
      <c r="U792" s="6"/>
      <c r="X792" t="s">
        <v>8</v>
      </c>
      <c r="Y792">
        <v>3</v>
      </c>
      <c r="Z792" t="s">
        <v>2</v>
      </c>
      <c r="AA792" s="16">
        <v>43661</v>
      </c>
      <c r="AB792">
        <v>196.48923500000092</v>
      </c>
      <c r="AC792" s="4">
        <v>1876.2</v>
      </c>
      <c r="AE792">
        <v>-1.2615040925703001</v>
      </c>
      <c r="AH792">
        <v>-1.83509695197944E-3</v>
      </c>
    </row>
    <row r="793" spans="1:36" x14ac:dyDescent="0.2">
      <c r="A793" t="s">
        <v>8</v>
      </c>
      <c r="B793">
        <v>4</v>
      </c>
      <c r="C793" s="2">
        <v>43661</v>
      </c>
      <c r="D793" s="13">
        <v>196.50381999999809</v>
      </c>
      <c r="E793" s="13"/>
      <c r="F793" s="4">
        <v>1911.2</v>
      </c>
      <c r="H793">
        <v>2.8</v>
      </c>
      <c r="J793">
        <v>28.33</v>
      </c>
      <c r="L793">
        <v>28.9</v>
      </c>
      <c r="N793">
        <v>0.56000000000000005</v>
      </c>
      <c r="P793">
        <v>6.9689437676250003</v>
      </c>
      <c r="S793" s="6">
        <v>-1.7681581892555701E-5</v>
      </c>
      <c r="T793" s="6"/>
      <c r="U793" s="6"/>
      <c r="X793" t="s">
        <v>8</v>
      </c>
      <c r="Y793">
        <v>4</v>
      </c>
      <c r="Z793" t="s">
        <v>2</v>
      </c>
      <c r="AA793" s="16">
        <v>43661</v>
      </c>
      <c r="AB793">
        <v>196.49895499999911</v>
      </c>
      <c r="AC793" s="4">
        <v>1818.7</v>
      </c>
      <c r="AE793">
        <v>-3.63494957778197</v>
      </c>
      <c r="AH793">
        <v>-2.2536272632993901E-4</v>
      </c>
    </row>
    <row r="794" spans="1:36" x14ac:dyDescent="0.2">
      <c r="A794" t="s">
        <v>8</v>
      </c>
      <c r="B794">
        <v>5</v>
      </c>
      <c r="C794" s="2">
        <v>43661</v>
      </c>
      <c r="D794" s="13">
        <v>196.51354500000161</v>
      </c>
      <c r="E794" s="13"/>
      <c r="F794" s="4">
        <v>1908.7</v>
      </c>
      <c r="H794">
        <v>2.5</v>
      </c>
      <c r="J794">
        <v>28.33</v>
      </c>
      <c r="L794">
        <v>30</v>
      </c>
      <c r="N794">
        <v>0.53</v>
      </c>
      <c r="P794">
        <v>9.3735901342057009</v>
      </c>
      <c r="S794" s="6">
        <v>-8.4464429915489205E-5</v>
      </c>
      <c r="T794" s="6"/>
      <c r="U794" s="6"/>
      <c r="X794" t="s">
        <v>8</v>
      </c>
      <c r="Y794">
        <v>5</v>
      </c>
      <c r="Z794" t="s">
        <v>2</v>
      </c>
      <c r="AA794" s="16">
        <v>43661</v>
      </c>
      <c r="AB794">
        <v>196.508679999999</v>
      </c>
      <c r="AC794" s="4">
        <v>1926.2</v>
      </c>
      <c r="AE794">
        <v>1.1007547454437601</v>
      </c>
      <c r="AH794">
        <v>-1.5926509489056501E-4</v>
      </c>
    </row>
    <row r="795" spans="1:36" x14ac:dyDescent="0.2">
      <c r="A795" t="s">
        <v>8</v>
      </c>
      <c r="B795">
        <v>1</v>
      </c>
      <c r="C795" s="2">
        <v>43671</v>
      </c>
      <c r="D795" s="13">
        <v>206.47187499999927</v>
      </c>
      <c r="E795" s="13">
        <v>206.49132000000026</v>
      </c>
      <c r="F795" s="4">
        <v>1741.2</v>
      </c>
      <c r="G795" s="4">
        <v>1799.7</v>
      </c>
      <c r="H795">
        <v>4.2</v>
      </c>
      <c r="I795">
        <v>6.82</v>
      </c>
      <c r="J795">
        <v>23.89</v>
      </c>
      <c r="K795">
        <v>24.777999999999999</v>
      </c>
      <c r="L795">
        <v>34</v>
      </c>
      <c r="M795">
        <v>30.78</v>
      </c>
      <c r="N795">
        <v>0.56999999999999995</v>
      </c>
      <c r="O795" s="4">
        <v>0.55400000000000005</v>
      </c>
      <c r="P795">
        <v>5.1916208879922197</v>
      </c>
      <c r="Q795">
        <v>3.841371320982224</v>
      </c>
      <c r="R795">
        <v>0.94484474344115832</v>
      </c>
      <c r="S795">
        <v>-2.6935313580589399E-4</v>
      </c>
      <c r="T795" s="6">
        <v>-2.5342624813772858E-4</v>
      </c>
      <c r="U795" s="6">
        <v>3.0661058715159164E-4</v>
      </c>
      <c r="X795" t="s">
        <v>8</v>
      </c>
      <c r="Y795">
        <v>1</v>
      </c>
      <c r="Z795" t="s">
        <v>2</v>
      </c>
      <c r="AA795" s="16">
        <v>43671</v>
      </c>
      <c r="AB795">
        <v>206.46701499999836</v>
      </c>
      <c r="AC795" s="4">
        <v>1726.2</v>
      </c>
      <c r="AD795" s="4">
        <v>1785.2</v>
      </c>
      <c r="AE795">
        <v>-5.1640806688728</v>
      </c>
      <c r="AF795">
        <v>-3.0842341847831598</v>
      </c>
      <c r="AG795">
        <v>1.6826969243869958</v>
      </c>
      <c r="AH795">
        <v>-2.3959410998534601E-4</v>
      </c>
      <c r="AI795">
        <v>-2.278024509540971E-4</v>
      </c>
      <c r="AJ795">
        <v>1.057888645493042E-4</v>
      </c>
    </row>
    <row r="796" spans="1:36" x14ac:dyDescent="0.2">
      <c r="A796" t="s">
        <v>8</v>
      </c>
      <c r="B796">
        <v>2</v>
      </c>
      <c r="C796" s="2">
        <v>43671</v>
      </c>
      <c r="D796" s="13">
        <v>206.48159500000111</v>
      </c>
      <c r="E796" s="13"/>
      <c r="F796" s="4">
        <v>1771.2</v>
      </c>
      <c r="H796">
        <v>2.5</v>
      </c>
      <c r="J796">
        <v>23.89</v>
      </c>
      <c r="L796">
        <v>31.5</v>
      </c>
      <c r="N796">
        <v>0.6</v>
      </c>
      <c r="P796">
        <v>4.4051241206629799</v>
      </c>
      <c r="S796">
        <v>-1.7481734246577201E-4</v>
      </c>
      <c r="X796" t="s">
        <v>8</v>
      </c>
      <c r="Y796">
        <v>2</v>
      </c>
      <c r="Z796" t="s">
        <v>2</v>
      </c>
      <c r="AA796" s="16">
        <v>43671</v>
      </c>
      <c r="AB796">
        <v>206.47673500000019</v>
      </c>
      <c r="AC796" s="4">
        <v>1753.7</v>
      </c>
      <c r="AE796">
        <v>-1.6404659374194199</v>
      </c>
      <c r="AH796">
        <v>-6.1167206224726402E-5</v>
      </c>
    </row>
    <row r="797" spans="1:36" x14ac:dyDescent="0.2">
      <c r="A797" t="s">
        <v>8</v>
      </c>
      <c r="B797">
        <v>3</v>
      </c>
      <c r="C797" s="2">
        <v>43671</v>
      </c>
      <c r="D797" s="13">
        <v>206.491320000001</v>
      </c>
      <c r="E797" s="13"/>
      <c r="F797" s="4">
        <v>1808.7</v>
      </c>
      <c r="H797">
        <v>9.6</v>
      </c>
      <c r="J797">
        <v>25</v>
      </c>
      <c r="L797">
        <v>24.2</v>
      </c>
      <c r="N797">
        <v>0.52</v>
      </c>
      <c r="P797">
        <v>3.1147827628380802</v>
      </c>
      <c r="S797">
        <v>-6.05519313208242E-4</v>
      </c>
      <c r="T797" s="6"/>
      <c r="U797" s="6"/>
      <c r="X797" t="s">
        <v>8</v>
      </c>
      <c r="Y797">
        <v>3</v>
      </c>
      <c r="Z797" t="s">
        <v>2</v>
      </c>
      <c r="AA797" s="16">
        <v>43671</v>
      </c>
      <c r="AB797">
        <v>206.48645499999839</v>
      </c>
      <c r="AC797" s="4">
        <v>1796.2</v>
      </c>
      <c r="AE797">
        <v>-3.1849456267934499</v>
      </c>
      <c r="AH797">
        <v>-2.2544767597264701E-4</v>
      </c>
    </row>
    <row r="798" spans="1:36" x14ac:dyDescent="0.2">
      <c r="A798" t="s">
        <v>8</v>
      </c>
      <c r="B798">
        <v>4</v>
      </c>
      <c r="C798" s="2">
        <v>43671</v>
      </c>
      <c r="D798" s="13">
        <v>206.50104500000089</v>
      </c>
      <c r="E798" s="13"/>
      <c r="F798" s="4">
        <v>1828.7</v>
      </c>
      <c r="H798">
        <v>11</v>
      </c>
      <c r="J798">
        <v>25</v>
      </c>
      <c r="L798">
        <v>41.2</v>
      </c>
      <c r="N798">
        <v>0.55000000000000004</v>
      </c>
      <c r="P798">
        <v>2.9337945907576102</v>
      </c>
      <c r="S798">
        <v>2.1046439351610601E-4</v>
      </c>
      <c r="T798" s="6"/>
      <c r="U798" s="6"/>
      <c r="X798" t="s">
        <v>8</v>
      </c>
      <c r="Y798">
        <v>4</v>
      </c>
      <c r="Z798" t="s">
        <v>2</v>
      </c>
      <c r="AA798" s="16">
        <v>43671</v>
      </c>
      <c r="AB798">
        <v>206.49618000000191</v>
      </c>
      <c r="AC798" s="4">
        <v>1821.2</v>
      </c>
      <c r="AE798">
        <v>-4.2380212166105098</v>
      </c>
      <c r="AH798">
        <v>-3.5382304089130002E-4</v>
      </c>
    </row>
    <row r="799" spans="1:36" x14ac:dyDescent="0.2">
      <c r="A799" t="s">
        <v>8</v>
      </c>
      <c r="B799">
        <v>5</v>
      </c>
      <c r="C799" s="2">
        <v>43671</v>
      </c>
      <c r="D799" s="13">
        <v>206.51076499999908</v>
      </c>
      <c r="E799" s="13"/>
      <c r="F799" s="4">
        <v>1848.7</v>
      </c>
      <c r="H799">
        <v>6.8</v>
      </c>
      <c r="J799">
        <v>26.11</v>
      </c>
      <c r="L799">
        <v>23</v>
      </c>
      <c r="N799">
        <v>0.53</v>
      </c>
      <c r="P799">
        <v>3.5615342426602301</v>
      </c>
      <c r="S799">
        <v>-4.2790584272484099E-4</v>
      </c>
      <c r="T799" s="6"/>
      <c r="U799" s="6"/>
      <c r="X799" t="s">
        <v>8</v>
      </c>
      <c r="Y799">
        <v>5</v>
      </c>
      <c r="Z799" t="s">
        <v>2</v>
      </c>
      <c r="AA799" s="16">
        <v>43671</v>
      </c>
      <c r="AB799">
        <v>206.5059050000018</v>
      </c>
      <c r="AC799" s="4">
        <v>1828.7</v>
      </c>
      <c r="AE799">
        <v>-1.19365747421962</v>
      </c>
      <c r="AH799">
        <v>-2.58980221696466E-4</v>
      </c>
    </row>
    <row r="800" spans="1:36" x14ac:dyDescent="0.2">
      <c r="A800" t="s">
        <v>8</v>
      </c>
      <c r="B800">
        <v>1</v>
      </c>
      <c r="C800" s="2">
        <v>43671</v>
      </c>
      <c r="D800" s="13">
        <v>206.57742999999755</v>
      </c>
      <c r="E800" s="13">
        <v>206.59687500000001</v>
      </c>
      <c r="F800" s="4">
        <v>1833.7</v>
      </c>
      <c r="G800" s="4">
        <v>1783.2</v>
      </c>
      <c r="H800">
        <v>7.9</v>
      </c>
      <c r="I800">
        <v>7.5600000000000005</v>
      </c>
      <c r="J800">
        <v>27.78</v>
      </c>
      <c r="K800">
        <v>27.78</v>
      </c>
      <c r="L800">
        <v>34</v>
      </c>
      <c r="M800">
        <v>31.080000000000002</v>
      </c>
      <c r="N800">
        <v>0.56999999999999995</v>
      </c>
      <c r="O800" s="4">
        <v>0.56999999999999995</v>
      </c>
      <c r="P800">
        <v>3.9509190098254399</v>
      </c>
      <c r="Q800">
        <v>2.3965141339189286</v>
      </c>
      <c r="R800">
        <v>1.715401527415308</v>
      </c>
      <c r="S800" s="6">
        <v>-2.01890886600073E-5</v>
      </c>
      <c r="T800" s="6">
        <v>-1.074871736508698E-5</v>
      </c>
      <c r="U800" s="6">
        <v>1.6773817186304456E-4</v>
      </c>
      <c r="X800" t="s">
        <v>8</v>
      </c>
      <c r="Y800">
        <v>1</v>
      </c>
      <c r="Z800" t="s">
        <v>2</v>
      </c>
      <c r="AA800" s="16">
        <v>43671</v>
      </c>
      <c r="AB800">
        <v>206.57257000000027</v>
      </c>
      <c r="AC800" s="4">
        <v>1846.2</v>
      </c>
      <c r="AD800" s="4">
        <v>1693.2</v>
      </c>
      <c r="AE800">
        <v>-2.3791231251934701</v>
      </c>
      <c r="AF800">
        <v>-2.0116428681132343</v>
      </c>
      <c r="AG800">
        <v>0.96080599884024509</v>
      </c>
      <c r="AH800">
        <v>-2.1520881847544E-4</v>
      </c>
      <c r="AI800">
        <v>6.4510208937151818E-5</v>
      </c>
      <c r="AJ800">
        <v>1.8694546202204862E-4</v>
      </c>
    </row>
    <row r="801" spans="1:36" x14ac:dyDescent="0.2">
      <c r="A801" t="s">
        <v>8</v>
      </c>
      <c r="B801">
        <v>2</v>
      </c>
      <c r="C801" s="2">
        <v>43671</v>
      </c>
      <c r="D801" s="13">
        <v>206.58715500000108</v>
      </c>
      <c r="E801" s="13"/>
      <c r="F801" s="4">
        <v>1851.2</v>
      </c>
      <c r="H801">
        <v>4.5</v>
      </c>
      <c r="J801">
        <v>27.78</v>
      </c>
      <c r="L801">
        <v>29.5</v>
      </c>
      <c r="N801">
        <v>0.62</v>
      </c>
      <c r="P801">
        <v>1.5225357832366599</v>
      </c>
      <c r="S801">
        <v>2.5053568324120198E-4</v>
      </c>
      <c r="X801" t="s">
        <v>8</v>
      </c>
      <c r="Y801">
        <v>2</v>
      </c>
      <c r="Z801" t="s">
        <v>2</v>
      </c>
      <c r="AA801" s="16">
        <v>43671</v>
      </c>
      <c r="AB801">
        <v>206.58229500000016</v>
      </c>
      <c r="AC801" s="4">
        <v>1826.2</v>
      </c>
      <c r="AE801">
        <v>-1.73478525165219</v>
      </c>
      <c r="AH801">
        <v>3.6575959425213797E-5</v>
      </c>
    </row>
    <row r="802" spans="1:36" x14ac:dyDescent="0.2">
      <c r="A802" t="s">
        <v>8</v>
      </c>
      <c r="B802">
        <v>3</v>
      </c>
      <c r="C802" s="2">
        <v>43671</v>
      </c>
      <c r="D802" s="13">
        <v>206.59687499999927</v>
      </c>
      <c r="E802" s="13"/>
      <c r="F802" s="4">
        <v>1781.2</v>
      </c>
      <c r="H802">
        <v>4.2</v>
      </c>
      <c r="J802">
        <v>27.78</v>
      </c>
      <c r="L802">
        <v>25</v>
      </c>
      <c r="N802">
        <v>0.61</v>
      </c>
      <c r="P802">
        <v>4.9014176161460605E-4</v>
      </c>
      <c r="S802" s="6">
        <v>2.0242105427084401E-5</v>
      </c>
      <c r="T802" s="6"/>
      <c r="U802" s="6"/>
      <c r="X802" t="s">
        <v>8</v>
      </c>
      <c r="Y802">
        <v>3</v>
      </c>
      <c r="Z802" t="s">
        <v>2</v>
      </c>
      <c r="AA802" s="16">
        <v>43671</v>
      </c>
      <c r="AB802">
        <v>206.59201499999836</v>
      </c>
      <c r="AC802" s="4">
        <v>1303.7</v>
      </c>
      <c r="AE802">
        <v>-1.9419703992283599</v>
      </c>
      <c r="AH802">
        <v>6.4681598244965298E-5</v>
      </c>
    </row>
    <row r="803" spans="1:36" x14ac:dyDescent="0.2">
      <c r="A803" t="s">
        <v>8</v>
      </c>
      <c r="B803">
        <v>4</v>
      </c>
      <c r="C803" s="2">
        <v>43671</v>
      </c>
      <c r="D803" s="13">
        <v>206.60659500000111</v>
      </c>
      <c r="E803" s="13"/>
      <c r="F803" s="4">
        <v>1751.2</v>
      </c>
      <c r="H803">
        <v>10.3</v>
      </c>
      <c r="J803">
        <v>27.78</v>
      </c>
      <c r="L803">
        <v>22</v>
      </c>
      <c r="N803">
        <v>0.52</v>
      </c>
      <c r="P803">
        <v>2.4243042469287901</v>
      </c>
      <c r="S803">
        <v>-1.9233771738340699E-4</v>
      </c>
      <c r="T803" s="6"/>
      <c r="U803" s="6"/>
      <c r="X803" t="s">
        <v>8</v>
      </c>
      <c r="Y803">
        <v>4</v>
      </c>
      <c r="Z803" t="s">
        <v>2</v>
      </c>
      <c r="AA803" s="16">
        <v>43671</v>
      </c>
      <c r="AB803">
        <v>206.60173500000019</v>
      </c>
      <c r="AC803" s="4">
        <v>1758.7</v>
      </c>
      <c r="AE803">
        <v>-3.31946727073968</v>
      </c>
      <c r="AH803">
        <v>3.0040582853953598E-4</v>
      </c>
    </row>
    <row r="804" spans="1:36" x14ac:dyDescent="0.2">
      <c r="A804" t="s">
        <v>8</v>
      </c>
      <c r="B804">
        <v>5</v>
      </c>
      <c r="C804" s="2">
        <v>43671</v>
      </c>
      <c r="D804" s="13">
        <v>206.616320000001</v>
      </c>
      <c r="E804" s="13"/>
      <c r="F804" s="4">
        <v>1698.7</v>
      </c>
      <c r="H804">
        <v>10.9</v>
      </c>
      <c r="J804">
        <v>27.78</v>
      </c>
      <c r="L804">
        <v>44.9</v>
      </c>
      <c r="N804">
        <v>0.53</v>
      </c>
      <c r="P804">
        <v>4.0843214878421401</v>
      </c>
      <c r="S804">
        <v>-1.11994569450307E-4</v>
      </c>
      <c r="T804" s="6"/>
      <c r="U804" s="6"/>
      <c r="X804" t="s">
        <v>8</v>
      </c>
      <c r="Y804">
        <v>5</v>
      </c>
      <c r="Z804" t="s">
        <v>2</v>
      </c>
      <c r="AA804" s="16">
        <v>43671</v>
      </c>
      <c r="AB804">
        <v>206.61145499999839</v>
      </c>
      <c r="AC804" s="4">
        <v>1731.2</v>
      </c>
      <c r="AE804">
        <v>-0.68286829375247204</v>
      </c>
      <c r="AH804">
        <v>1.36096476951484E-4</v>
      </c>
    </row>
    <row r="805" spans="1:36" x14ac:dyDescent="0.2">
      <c r="A805" t="s">
        <v>8</v>
      </c>
      <c r="B805">
        <v>1</v>
      </c>
      <c r="C805" s="2">
        <v>43677</v>
      </c>
      <c r="D805" s="13">
        <v>212.45937499999854</v>
      </c>
      <c r="E805" s="13">
        <v>212.47881999999953</v>
      </c>
      <c r="F805" s="4">
        <v>911.2</v>
      </c>
      <c r="G805" s="4">
        <v>450.2</v>
      </c>
      <c r="H805">
        <v>3.6</v>
      </c>
      <c r="I805">
        <v>2.96</v>
      </c>
      <c r="J805">
        <v>25.56</v>
      </c>
      <c r="K805">
        <v>24.221999999999998</v>
      </c>
      <c r="L805">
        <v>43.4</v>
      </c>
      <c r="M805">
        <v>38.72</v>
      </c>
      <c r="N805">
        <v>0.51</v>
      </c>
      <c r="O805" s="4">
        <v>0.55800000000000005</v>
      </c>
      <c r="P805">
        <v>0.111678677148001</v>
      </c>
      <c r="Q805">
        <v>5.9529379228798307</v>
      </c>
      <c r="R805">
        <v>6.5308968458451666</v>
      </c>
      <c r="S805">
        <v>-2.4867413371539699E-3</v>
      </c>
      <c r="T805" s="6">
        <v>1.1153284601529063E-3</v>
      </c>
      <c r="U805" s="6">
        <v>3.3656136653531896E-3</v>
      </c>
      <c r="X805" t="s">
        <v>8</v>
      </c>
      <c r="Y805">
        <v>1</v>
      </c>
      <c r="Z805" t="s">
        <v>2</v>
      </c>
      <c r="AA805" s="16">
        <v>43677</v>
      </c>
      <c r="AB805">
        <v>212.45451500000127</v>
      </c>
      <c r="AC805" s="4">
        <v>981.2</v>
      </c>
      <c r="AD805" s="4">
        <v>551.70000000000005</v>
      </c>
      <c r="AE805">
        <v>-9.4905737643163501</v>
      </c>
      <c r="AF805">
        <v>-2.8157514876263599</v>
      </c>
      <c r="AG805">
        <v>5.1643060279653126</v>
      </c>
      <c r="AH805">
        <v>-2.5165324457171098E-4</v>
      </c>
      <c r="AI805">
        <v>-1.8420830763672498E-4</v>
      </c>
      <c r="AJ805">
        <v>5.4471628350861512E-4</v>
      </c>
    </row>
    <row r="806" spans="1:36" x14ac:dyDescent="0.2">
      <c r="A806" t="s">
        <v>8</v>
      </c>
      <c r="B806">
        <v>2</v>
      </c>
      <c r="C806" s="2">
        <v>43677</v>
      </c>
      <c r="D806" s="13">
        <v>212.46909500000038</v>
      </c>
      <c r="E806" s="13"/>
      <c r="F806" s="4">
        <v>758.7</v>
      </c>
      <c r="H806">
        <v>2.5</v>
      </c>
      <c r="J806">
        <v>25.56</v>
      </c>
      <c r="L806">
        <v>44.8</v>
      </c>
      <c r="N806">
        <v>0.63</v>
      </c>
      <c r="P806">
        <v>0.90649254356789799</v>
      </c>
      <c r="S806" s="6">
        <v>1.9907771939945299E-5</v>
      </c>
      <c r="X806" t="s">
        <v>8</v>
      </c>
      <c r="Y806">
        <v>2</v>
      </c>
      <c r="Z806" t="s">
        <v>2</v>
      </c>
      <c r="AA806" s="16">
        <v>43677</v>
      </c>
      <c r="AB806">
        <v>212.46423499999946</v>
      </c>
      <c r="AC806" s="4">
        <v>758.7</v>
      </c>
      <c r="AE806">
        <v>-1.53642957624141</v>
      </c>
      <c r="AH806">
        <v>-7.8428072042644001E-4</v>
      </c>
    </row>
    <row r="807" spans="1:36" x14ac:dyDescent="0.2">
      <c r="A807" t="s">
        <v>8</v>
      </c>
      <c r="B807">
        <v>3</v>
      </c>
      <c r="C807" s="2">
        <v>43677</v>
      </c>
      <c r="D807" s="13">
        <v>212.47882000000027</v>
      </c>
      <c r="E807" s="13"/>
      <c r="F807" s="4">
        <v>521.20000000000005</v>
      </c>
      <c r="H807">
        <v>1.6</v>
      </c>
      <c r="J807">
        <v>23.33</v>
      </c>
      <c r="L807">
        <v>40.799999999999997</v>
      </c>
      <c r="N807">
        <v>0.53</v>
      </c>
      <c r="P807">
        <v>7.93955929106769</v>
      </c>
      <c r="S807">
        <v>-6.5053563861077401E-4</v>
      </c>
      <c r="T807" s="6"/>
      <c r="U807" s="6"/>
      <c r="X807" t="s">
        <v>8</v>
      </c>
      <c r="Y807">
        <v>3</v>
      </c>
      <c r="Z807" t="s">
        <v>2</v>
      </c>
      <c r="AA807" s="16">
        <v>43677</v>
      </c>
      <c r="AB807">
        <v>212.4739550000013</v>
      </c>
      <c r="AC807" s="4">
        <v>636.20000000000005</v>
      </c>
      <c r="AE807">
        <v>-2.6040108247662301</v>
      </c>
      <c r="AH807">
        <v>-3.0638042227253099E-4</v>
      </c>
    </row>
    <row r="808" spans="1:36" x14ac:dyDescent="0.2">
      <c r="A808" t="s">
        <v>8</v>
      </c>
      <c r="B808">
        <v>4</v>
      </c>
      <c r="C808" s="2">
        <v>43677</v>
      </c>
      <c r="D808" s="13">
        <v>212.48854500000016</v>
      </c>
      <c r="E808" s="13"/>
      <c r="F808" s="4">
        <v>58.7</v>
      </c>
      <c r="H808">
        <v>2.9</v>
      </c>
      <c r="J808">
        <v>23.33</v>
      </c>
      <c r="L808">
        <v>32</v>
      </c>
      <c r="N808">
        <v>0.56999999999999995</v>
      </c>
      <c r="P808">
        <v>4.5956302131803604</v>
      </c>
      <c r="S808">
        <v>2.4590417944261199E-3</v>
      </c>
      <c r="T808" s="6"/>
      <c r="U808" s="6"/>
      <c r="X808" t="s">
        <v>8</v>
      </c>
      <c r="Y808">
        <v>4</v>
      </c>
      <c r="Z808" t="s">
        <v>2</v>
      </c>
      <c r="AA808" s="16">
        <v>43677</v>
      </c>
      <c r="AB808">
        <v>212.48367999999755</v>
      </c>
      <c r="AC808" s="4">
        <v>353.7</v>
      </c>
      <c r="AE808">
        <v>-5.0720565332964798</v>
      </c>
      <c r="AH808">
        <v>7.0837975564538305E-4</v>
      </c>
    </row>
    <row r="809" spans="1:36" x14ac:dyDescent="0.2">
      <c r="A809" t="s">
        <v>8</v>
      </c>
      <c r="B809">
        <v>5</v>
      </c>
      <c r="C809" s="2">
        <v>43677</v>
      </c>
      <c r="D809" s="13">
        <v>212.49826499999836</v>
      </c>
      <c r="E809" s="13"/>
      <c r="F809" s="4">
        <v>1.2</v>
      </c>
      <c r="H809">
        <v>4.2</v>
      </c>
      <c r="J809">
        <v>23.33</v>
      </c>
      <c r="L809">
        <v>32.6</v>
      </c>
      <c r="N809">
        <v>0.55000000000000004</v>
      </c>
      <c r="P809">
        <v>16.211328889435201</v>
      </c>
      <c r="S809">
        <v>6.2349697101632103E-3</v>
      </c>
      <c r="T809" s="6"/>
      <c r="U809" s="6"/>
      <c r="X809" t="s">
        <v>8</v>
      </c>
      <c r="Y809">
        <v>5</v>
      </c>
      <c r="Z809" t="s">
        <v>2</v>
      </c>
      <c r="AA809" s="16">
        <v>43677</v>
      </c>
      <c r="AB809">
        <v>212.49340500000108</v>
      </c>
      <c r="AC809" s="4">
        <v>28.7</v>
      </c>
      <c r="AE809">
        <v>4.6243132604886696</v>
      </c>
      <c r="AH809">
        <v>-2.8710690655832599E-4</v>
      </c>
    </row>
    <row r="810" spans="1:36" x14ac:dyDescent="0.2">
      <c r="A810" t="s">
        <v>8</v>
      </c>
      <c r="B810">
        <v>1</v>
      </c>
      <c r="C810" s="2">
        <v>43677</v>
      </c>
      <c r="D810" s="13">
        <v>212.71493055555555</v>
      </c>
      <c r="E810" s="13">
        <v>212.734375</v>
      </c>
      <c r="F810" s="4">
        <v>676.2</v>
      </c>
      <c r="G810" s="4">
        <v>498.7</v>
      </c>
      <c r="H810">
        <v>4.7</v>
      </c>
      <c r="I810">
        <v>4.8400000000000007</v>
      </c>
      <c r="J810">
        <v>26.67</v>
      </c>
      <c r="K810">
        <v>26.670000000000005</v>
      </c>
      <c r="L810">
        <v>40.9</v>
      </c>
      <c r="M810">
        <v>43.62</v>
      </c>
      <c r="N810">
        <v>0.59</v>
      </c>
      <c r="O810" s="4">
        <v>0.57999999999999985</v>
      </c>
      <c r="P810">
        <v>12.3518694603322</v>
      </c>
      <c r="Q810">
        <v>9.7573001291674437</v>
      </c>
      <c r="R810">
        <v>1.4716351260309686</v>
      </c>
      <c r="S810" s="6">
        <v>-7.0989794407200796E-5</v>
      </c>
      <c r="T810" s="6">
        <v>2.5566515922770742E-3</v>
      </c>
      <c r="U810" s="6">
        <v>4.555476148364072E-3</v>
      </c>
      <c r="X810" t="s">
        <v>8</v>
      </c>
      <c r="Y810">
        <v>1</v>
      </c>
      <c r="Z810" t="s">
        <v>2</v>
      </c>
      <c r="AA810" s="16">
        <v>43677</v>
      </c>
      <c r="AB810">
        <v>212.71006944444446</v>
      </c>
      <c r="AC810" s="4">
        <v>661.2</v>
      </c>
      <c r="AD810" s="4">
        <v>549.20000000000005</v>
      </c>
      <c r="AE810">
        <v>-4.2533769721936396</v>
      </c>
      <c r="AF810">
        <v>-2.3008580439450323</v>
      </c>
      <c r="AG810">
        <v>2.2231639785944317</v>
      </c>
      <c r="AH810">
        <v>-3.2916941814620698E-4</v>
      </c>
      <c r="AI810">
        <v>-6.976615796987645E-4</v>
      </c>
      <c r="AJ810">
        <v>1.2073211625284891E-3</v>
      </c>
    </row>
    <row r="811" spans="1:36" x14ac:dyDescent="0.2">
      <c r="A811" t="s">
        <v>8</v>
      </c>
      <c r="B811">
        <v>2</v>
      </c>
      <c r="C811" s="2">
        <v>43677</v>
      </c>
      <c r="D811" s="13">
        <v>212.72465277777778</v>
      </c>
      <c r="E811" s="13"/>
      <c r="F811" s="4">
        <v>426.2</v>
      </c>
      <c r="H811">
        <v>4.0999999999999996</v>
      </c>
      <c r="J811">
        <v>26.67</v>
      </c>
      <c r="L811">
        <v>41.5</v>
      </c>
      <c r="N811">
        <v>0.62</v>
      </c>
      <c r="P811">
        <v>8.7082447591935406</v>
      </c>
      <c r="S811">
        <v>7.0306416317956998E-3</v>
      </c>
      <c r="X811" t="s">
        <v>8</v>
      </c>
      <c r="Y811">
        <v>2</v>
      </c>
      <c r="Z811" t="s">
        <v>2</v>
      </c>
      <c r="AA811" s="16">
        <v>43677</v>
      </c>
      <c r="AB811">
        <v>212.71979166666665</v>
      </c>
      <c r="AC811" s="4">
        <v>523.70000000000005</v>
      </c>
      <c r="AE811">
        <v>-2.1499468292100801</v>
      </c>
      <c r="AH811">
        <v>-2.8259845900335998E-3</v>
      </c>
    </row>
    <row r="812" spans="1:36" x14ac:dyDescent="0.2">
      <c r="A812" t="s">
        <v>8</v>
      </c>
      <c r="B812">
        <v>3</v>
      </c>
      <c r="C812" s="2">
        <v>43677</v>
      </c>
      <c r="D812" s="13">
        <v>212.734375</v>
      </c>
      <c r="E812" s="13"/>
      <c r="F812" s="4">
        <v>596.20000000000005</v>
      </c>
      <c r="H812">
        <v>4.9000000000000004</v>
      </c>
      <c r="J812">
        <v>26.67</v>
      </c>
      <c r="L812">
        <v>42.8</v>
      </c>
      <c r="N812">
        <v>0.56999999999999995</v>
      </c>
      <c r="P812">
        <v>9.1801299597365897</v>
      </c>
      <c r="S812">
        <v>-1.5999892353448601E-4</v>
      </c>
      <c r="T812" s="6"/>
      <c r="U812" s="6"/>
      <c r="X812" t="s">
        <v>8</v>
      </c>
      <c r="Y812">
        <v>3</v>
      </c>
      <c r="Z812" t="s">
        <v>2</v>
      </c>
      <c r="AA812" s="16">
        <v>43677</v>
      </c>
      <c r="AB812">
        <v>212.7295138888889</v>
      </c>
      <c r="AC812" s="4">
        <v>511.2</v>
      </c>
      <c r="AE812">
        <v>-1.18374401926277</v>
      </c>
      <c r="AH812">
        <v>1.6393893250992101E-4</v>
      </c>
    </row>
    <row r="813" spans="1:36" x14ac:dyDescent="0.2">
      <c r="A813" t="s">
        <v>8</v>
      </c>
      <c r="B813">
        <v>4</v>
      </c>
      <c r="C813" s="2">
        <v>43677</v>
      </c>
      <c r="D813" s="13">
        <v>212.74409722222222</v>
      </c>
      <c r="E813" s="13"/>
      <c r="F813" s="4">
        <v>496.2</v>
      </c>
      <c r="H813">
        <v>3.9</v>
      </c>
      <c r="J813">
        <v>26.67</v>
      </c>
      <c r="L813">
        <v>46.9</v>
      </c>
      <c r="N813">
        <v>0.59</v>
      </c>
      <c r="P813">
        <v>9.1536243856923996</v>
      </c>
      <c r="S813">
        <v>7.9075660926895292E-3</v>
      </c>
      <c r="T813" s="6"/>
      <c r="U813" s="6"/>
      <c r="X813" t="s">
        <v>8</v>
      </c>
      <c r="Y813">
        <v>4</v>
      </c>
      <c r="Z813" t="s">
        <v>2</v>
      </c>
      <c r="AA813" s="16">
        <v>43677</v>
      </c>
      <c r="AB813">
        <v>212.7392361111111</v>
      </c>
      <c r="AC813" s="4">
        <v>663.7</v>
      </c>
      <c r="AE813">
        <v>-4.6467814316584901</v>
      </c>
      <c r="AH813">
        <v>-1.5059760564759101E-4</v>
      </c>
    </row>
    <row r="814" spans="1:36" x14ac:dyDescent="0.2">
      <c r="A814" t="s">
        <v>8</v>
      </c>
      <c r="B814">
        <v>5</v>
      </c>
      <c r="C814" s="2">
        <v>43677</v>
      </c>
      <c r="D814" s="13">
        <v>212.75381944444445</v>
      </c>
      <c r="E814" s="13"/>
      <c r="F814" s="4">
        <v>298.7</v>
      </c>
      <c r="H814">
        <v>6.6</v>
      </c>
      <c r="J814">
        <v>26.67</v>
      </c>
      <c r="L814">
        <v>46</v>
      </c>
      <c r="N814">
        <v>0.53</v>
      </c>
      <c r="P814">
        <v>9.3926320808824908</v>
      </c>
      <c r="S814">
        <v>-1.92396104515817E-3</v>
      </c>
      <c r="T814" s="6"/>
      <c r="U814" s="6"/>
      <c r="X814" t="s">
        <v>8</v>
      </c>
      <c r="Y814">
        <v>5</v>
      </c>
      <c r="Z814" t="s">
        <v>2</v>
      </c>
      <c r="AA814" s="16">
        <v>43677</v>
      </c>
      <c r="AB814">
        <v>212.74895833333335</v>
      </c>
      <c r="AC814" s="4">
        <v>386.2</v>
      </c>
      <c r="AE814">
        <v>0.72955903259981802</v>
      </c>
      <c r="AH814">
        <v>-3.4649521717634602E-4</v>
      </c>
    </row>
    <row r="815" spans="1:36" x14ac:dyDescent="0.2">
      <c r="A815" t="s">
        <v>8</v>
      </c>
      <c r="B815">
        <v>1</v>
      </c>
      <c r="C815" s="2">
        <v>43685</v>
      </c>
      <c r="D815" s="13">
        <v>220.4420149999969</v>
      </c>
      <c r="E815" s="13">
        <v>220.48996399999959</v>
      </c>
      <c r="F815" s="4">
        <v>836.2</v>
      </c>
      <c r="G815" s="4">
        <v>1728.2</v>
      </c>
      <c r="H815">
        <v>3.4</v>
      </c>
      <c r="I815">
        <v>2.6599999999999997</v>
      </c>
      <c r="J815">
        <v>23.89</v>
      </c>
      <c r="K815">
        <v>23.89</v>
      </c>
      <c r="L815">
        <v>39.5</v>
      </c>
      <c r="M815">
        <v>34.339999999999996</v>
      </c>
      <c r="N815">
        <v>0.6</v>
      </c>
      <c r="O815" s="4">
        <v>0.60399999999999998</v>
      </c>
      <c r="Q815">
        <v>0.22353030274526195</v>
      </c>
      <c r="R815">
        <v>0.31270836046805955</v>
      </c>
      <c r="T815" s="6">
        <v>-4.7453389263812538E-4</v>
      </c>
      <c r="U815" s="6">
        <v>9.6133301996343204E-4</v>
      </c>
      <c r="X815" t="s">
        <v>8</v>
      </c>
      <c r="Y815">
        <v>1</v>
      </c>
      <c r="Z815" t="s">
        <v>2</v>
      </c>
      <c r="AA815" s="16">
        <v>43685</v>
      </c>
      <c r="AB815">
        <v>220.45520499999839</v>
      </c>
      <c r="AC815" s="4">
        <v>488.7</v>
      </c>
      <c r="AD815" s="4">
        <v>1684.2</v>
      </c>
      <c r="AE815">
        <v>-0.306598849788839</v>
      </c>
      <c r="AF815">
        <v>-0.9239851995193733</v>
      </c>
      <c r="AG815">
        <v>1.0512183848593133</v>
      </c>
      <c r="AH815">
        <v>-5.57337873251104E-3</v>
      </c>
      <c r="AI815">
        <v>-1.3565541179865034E-3</v>
      </c>
      <c r="AJ815">
        <v>2.3887174901500254E-3</v>
      </c>
    </row>
    <row r="816" spans="1:36" x14ac:dyDescent="0.2">
      <c r="A816" t="s">
        <v>8</v>
      </c>
      <c r="B816">
        <v>2</v>
      </c>
      <c r="C816" s="2">
        <v>43685</v>
      </c>
      <c r="D816" s="13">
        <v>220.47916500000065</v>
      </c>
      <c r="E816" s="13"/>
      <c r="F816" s="4">
        <v>1891.2</v>
      </c>
      <c r="H816">
        <v>2.1</v>
      </c>
      <c r="J816">
        <v>23.89</v>
      </c>
      <c r="L816">
        <v>38</v>
      </c>
      <c r="N816">
        <v>0.63</v>
      </c>
      <c r="P816">
        <v>0.57174304586660596</v>
      </c>
      <c r="S816">
        <v>-1.7789796774642699E-4</v>
      </c>
      <c r="X816" t="s">
        <v>8</v>
      </c>
      <c r="Y816">
        <v>2</v>
      </c>
      <c r="Z816" t="s">
        <v>2</v>
      </c>
      <c r="AA816" s="16">
        <v>43685</v>
      </c>
      <c r="AB816">
        <v>220.47118000000046</v>
      </c>
      <c r="AC816" s="4">
        <v>1901.2</v>
      </c>
      <c r="AE816">
        <v>-0.19151218286764099</v>
      </c>
      <c r="AH816">
        <v>-2.3239312317251199E-4</v>
      </c>
    </row>
    <row r="817" spans="1:36" x14ac:dyDescent="0.2">
      <c r="A817" t="s">
        <v>8</v>
      </c>
      <c r="B817">
        <v>3</v>
      </c>
      <c r="C817" s="2">
        <v>43685</v>
      </c>
      <c r="D817" s="13">
        <v>220.49461499999961</v>
      </c>
      <c r="E817" s="13"/>
      <c r="F817" s="4">
        <v>2048.6999999999998</v>
      </c>
      <c r="H817">
        <v>2.2999999999999998</v>
      </c>
      <c r="J817">
        <v>23.89</v>
      </c>
      <c r="L817">
        <v>28.4</v>
      </c>
      <c r="N817">
        <v>0.65</v>
      </c>
      <c r="P817">
        <v>0.387617173709909</v>
      </c>
      <c r="S817">
        <v>1.7963110795180399E-4</v>
      </c>
      <c r="T817" s="6"/>
      <c r="U817" s="6"/>
      <c r="X817" t="s">
        <v>8</v>
      </c>
      <c r="Y817">
        <v>3</v>
      </c>
      <c r="Z817" t="s">
        <v>2</v>
      </c>
      <c r="AA817" s="16">
        <v>43685</v>
      </c>
      <c r="AB817">
        <v>220.48900499999945</v>
      </c>
      <c r="AC817" s="4">
        <v>1976.2</v>
      </c>
      <c r="AE817">
        <v>1.1108374083332999E-2</v>
      </c>
      <c r="AH817">
        <v>-4.3177856102097101E-5</v>
      </c>
    </row>
    <row r="818" spans="1:36" x14ac:dyDescent="0.2">
      <c r="A818" t="s">
        <v>8</v>
      </c>
      <c r="B818">
        <v>4</v>
      </c>
      <c r="C818" s="2">
        <v>43685</v>
      </c>
      <c r="D818" s="13">
        <v>220.51007000000027</v>
      </c>
      <c r="E818" s="13"/>
      <c r="F818" s="4">
        <v>1933.7</v>
      </c>
      <c r="H818">
        <v>2.9</v>
      </c>
      <c r="J818">
        <v>23.89</v>
      </c>
      <c r="L818">
        <v>29</v>
      </c>
      <c r="N818">
        <v>0.62</v>
      </c>
      <c r="P818">
        <v>5.0919388226880698E-2</v>
      </c>
      <c r="S818" s="6">
        <v>-5.3413909298422603E-8</v>
      </c>
      <c r="T818" s="6"/>
      <c r="U818" s="6"/>
      <c r="X818" t="s">
        <v>8</v>
      </c>
      <c r="Y818">
        <v>4</v>
      </c>
      <c r="Z818" t="s">
        <v>2</v>
      </c>
      <c r="AA818" s="16">
        <v>43685</v>
      </c>
      <c r="AB818">
        <v>220.50173500000164</v>
      </c>
      <c r="AC818" s="4">
        <v>2071.1999999999998</v>
      </c>
      <c r="AE818">
        <v>-1.9725127862232801</v>
      </c>
      <c r="AH818">
        <v>1.8191747549108399E-5</v>
      </c>
    </row>
    <row r="819" spans="1:36" x14ac:dyDescent="0.2">
      <c r="A819" t="s">
        <v>8</v>
      </c>
      <c r="B819">
        <v>5</v>
      </c>
      <c r="C819" s="2">
        <v>43685</v>
      </c>
      <c r="D819" s="13">
        <v>220.52395500000057</v>
      </c>
      <c r="E819" s="13"/>
      <c r="F819" s="4">
        <v>1931.2</v>
      </c>
      <c r="H819">
        <v>2.6</v>
      </c>
      <c r="J819">
        <v>23.89</v>
      </c>
      <c r="L819">
        <v>36.799999999999997</v>
      </c>
      <c r="N819">
        <v>0.52</v>
      </c>
      <c r="P819">
        <v>-0.11615839682234801</v>
      </c>
      <c r="S819">
        <v>-1.89981529684858E-3</v>
      </c>
      <c r="T819" s="6"/>
      <c r="U819" s="6"/>
      <c r="X819" t="s">
        <v>8</v>
      </c>
      <c r="Y819">
        <v>5</v>
      </c>
      <c r="Z819" t="s">
        <v>2</v>
      </c>
      <c r="AA819" s="16">
        <v>43685</v>
      </c>
      <c r="AB819">
        <v>220.5173649999997</v>
      </c>
      <c r="AC819" s="4">
        <v>1983.7</v>
      </c>
      <c r="AE819">
        <v>-2.1604105528004398</v>
      </c>
      <c r="AH819">
        <v>-9.5201262569597595E-4</v>
      </c>
    </row>
    <row r="820" spans="1:36" x14ac:dyDescent="0.2">
      <c r="A820" t="s">
        <v>8</v>
      </c>
      <c r="B820">
        <v>1</v>
      </c>
      <c r="C820" s="2">
        <v>43685</v>
      </c>
      <c r="D820" s="13">
        <v>220.58692499999961</v>
      </c>
      <c r="E820" s="13">
        <v>220.61118100000022</v>
      </c>
      <c r="F820" s="4">
        <v>468.7</v>
      </c>
      <c r="G820" s="4">
        <v>1495.1999999999998</v>
      </c>
      <c r="H820">
        <v>1.9</v>
      </c>
      <c r="I820">
        <v>2.46</v>
      </c>
      <c r="J820">
        <v>28.33</v>
      </c>
      <c r="K820">
        <v>28.329999999999995</v>
      </c>
      <c r="L820">
        <v>23.2</v>
      </c>
      <c r="M820">
        <v>39.96</v>
      </c>
      <c r="N820">
        <v>0.57999999999999996</v>
      </c>
      <c r="O820" s="4">
        <v>0.57800000000000007</v>
      </c>
      <c r="P820">
        <v>-1.79907285391838</v>
      </c>
      <c r="Q820">
        <v>-0.35041623337678457</v>
      </c>
      <c r="R820">
        <v>0.92228016270690782</v>
      </c>
      <c r="S820">
        <v>1.53507937985566E-4</v>
      </c>
      <c r="T820" s="6">
        <v>9.0718626074227517E-5</v>
      </c>
      <c r="U820" s="6">
        <v>5.4329088205418319E-5</v>
      </c>
      <c r="X820" t="s">
        <v>8</v>
      </c>
      <c r="Y820">
        <v>1</v>
      </c>
      <c r="Z820" t="s">
        <v>2</v>
      </c>
      <c r="AA820" s="16">
        <v>43685</v>
      </c>
      <c r="AB820">
        <v>220.58090499999889</v>
      </c>
      <c r="AC820" s="4">
        <v>1868.7</v>
      </c>
      <c r="AD820" s="4">
        <v>1516.7</v>
      </c>
      <c r="AE820">
        <v>-0.714736298060063</v>
      </c>
      <c r="AF820">
        <v>-0.91004569132614699</v>
      </c>
      <c r="AG820">
        <v>0.21251457547515162</v>
      </c>
      <c r="AH820">
        <v>1.44257507330237E-4</v>
      </c>
      <c r="AI820">
        <v>8.0890896313877793E-5</v>
      </c>
      <c r="AJ820">
        <v>2.0611411355378654E-4</v>
      </c>
    </row>
    <row r="821" spans="1:36" x14ac:dyDescent="0.2">
      <c r="A821" t="s">
        <v>8</v>
      </c>
      <c r="B821">
        <v>2</v>
      </c>
      <c r="C821" s="2">
        <v>43685</v>
      </c>
      <c r="D821" s="13">
        <v>220.5989550000013</v>
      </c>
      <c r="E821" s="13"/>
      <c r="F821" s="4">
        <v>2123.6999999999998</v>
      </c>
      <c r="H821">
        <v>3.1</v>
      </c>
      <c r="J821">
        <v>28.33</v>
      </c>
      <c r="L821">
        <v>30.8</v>
      </c>
      <c r="N821">
        <v>0.62</v>
      </c>
      <c r="P821">
        <v>-0.42887163375401799</v>
      </c>
      <c r="S821" s="6">
        <v>1.7056877992493098E-5</v>
      </c>
      <c r="X821" t="s">
        <v>8</v>
      </c>
      <c r="Y821">
        <v>2</v>
      </c>
      <c r="Z821" t="s">
        <v>2</v>
      </c>
      <c r="AA821" s="16">
        <v>43685</v>
      </c>
      <c r="AB821">
        <v>220.59294000000227</v>
      </c>
      <c r="AC821" s="4">
        <v>606.20000000000005</v>
      </c>
      <c r="AE821">
        <v>-1.1319846903028901</v>
      </c>
      <c r="AH821">
        <v>-1.11233873033084E-4</v>
      </c>
    </row>
    <row r="822" spans="1:36" x14ac:dyDescent="0.2">
      <c r="A822" t="s">
        <v>8</v>
      </c>
      <c r="B822">
        <v>3</v>
      </c>
      <c r="C822" s="2">
        <v>43685</v>
      </c>
      <c r="D822" s="13">
        <v>220.61088000000018</v>
      </c>
      <c r="E822" s="13"/>
      <c r="F822" s="4">
        <v>1721.2</v>
      </c>
      <c r="H822">
        <v>1</v>
      </c>
      <c r="J822">
        <v>28.33</v>
      </c>
      <c r="L822">
        <v>28.3</v>
      </c>
      <c r="N822">
        <v>0.61</v>
      </c>
      <c r="P822">
        <v>0.446464787942078</v>
      </c>
      <c r="S822" s="6">
        <v>9.1861436380696505E-5</v>
      </c>
      <c r="T822" s="6"/>
      <c r="U822" s="6"/>
      <c r="X822" t="s">
        <v>8</v>
      </c>
      <c r="Y822">
        <v>3</v>
      </c>
      <c r="Z822" t="s">
        <v>2</v>
      </c>
      <c r="AA822" s="16">
        <v>43685</v>
      </c>
      <c r="AB822">
        <v>220.60474500000055</v>
      </c>
      <c r="AC822" s="4">
        <v>1861.2</v>
      </c>
      <c r="AE822">
        <v>-0.68816204003216996</v>
      </c>
      <c r="AH822">
        <v>3.5993916066670898E-4</v>
      </c>
    </row>
    <row r="823" spans="1:36" x14ac:dyDescent="0.2">
      <c r="A823" t="s">
        <v>8</v>
      </c>
      <c r="B823">
        <v>4</v>
      </c>
      <c r="C823" s="2">
        <v>43685</v>
      </c>
      <c r="D823" s="13">
        <v>220.62326499999836</v>
      </c>
      <c r="E823" s="13"/>
      <c r="F823" s="4">
        <v>1611.2</v>
      </c>
      <c r="H823">
        <v>3.1</v>
      </c>
      <c r="J823">
        <v>28.33</v>
      </c>
      <c r="L823">
        <v>46.7</v>
      </c>
      <c r="N823">
        <v>0.56000000000000005</v>
      </c>
      <c r="P823">
        <v>0.45967315412718301</v>
      </c>
      <c r="S823" s="6">
        <v>6.1018936586441999E-5</v>
      </c>
      <c r="T823" s="6"/>
      <c r="U823" s="6"/>
      <c r="X823" t="s">
        <v>8</v>
      </c>
      <c r="Y823">
        <v>4</v>
      </c>
      <c r="Z823" t="s">
        <v>2</v>
      </c>
      <c r="AA823" s="16">
        <v>43685</v>
      </c>
      <c r="AB823">
        <v>220.61712999999872</v>
      </c>
      <c r="AC823" s="4">
        <v>1661.2</v>
      </c>
      <c r="AE823">
        <v>-1.11937024077551</v>
      </c>
      <c r="AH823">
        <v>-1.35398347179022E-4</v>
      </c>
    </row>
    <row r="824" spans="1:36" x14ac:dyDescent="0.2">
      <c r="A824" t="s">
        <v>8</v>
      </c>
      <c r="B824">
        <v>5</v>
      </c>
      <c r="C824" s="2">
        <v>43685</v>
      </c>
      <c r="D824" s="13">
        <v>220.63588000000163</v>
      </c>
      <c r="E824" s="13"/>
      <c r="F824" s="4">
        <v>1551.2</v>
      </c>
      <c r="H824">
        <v>3.2</v>
      </c>
      <c r="J824">
        <v>28.33</v>
      </c>
      <c r="L824">
        <v>70.8</v>
      </c>
      <c r="N824">
        <v>0.52</v>
      </c>
      <c r="P824">
        <v>-0.43027462128078597</v>
      </c>
      <c r="S824">
        <v>1.3014794142594E-4</v>
      </c>
      <c r="T824" s="6"/>
      <c r="U824" s="6"/>
      <c r="X824" t="s">
        <v>8</v>
      </c>
      <c r="Y824">
        <v>5</v>
      </c>
      <c r="Z824" t="s">
        <v>2</v>
      </c>
      <c r="AA824" s="16">
        <v>43685</v>
      </c>
      <c r="AB824">
        <v>220.62963000000309</v>
      </c>
      <c r="AC824" s="4">
        <v>1586.2</v>
      </c>
      <c r="AE824">
        <v>-0.89597518746010196</v>
      </c>
      <c r="AH824">
        <v>1.46890033784549E-4</v>
      </c>
    </row>
    <row r="825" spans="1:36" x14ac:dyDescent="0.2">
      <c r="A825" t="s">
        <v>8</v>
      </c>
      <c r="B825">
        <v>1</v>
      </c>
      <c r="C825" s="2">
        <v>43692</v>
      </c>
      <c r="D825" s="13">
        <v>227.49345999999787</v>
      </c>
      <c r="E825" s="13">
        <v>227.51407399999954</v>
      </c>
      <c r="F825" s="4">
        <v>1776.2</v>
      </c>
      <c r="G825" s="4">
        <v>1816.7</v>
      </c>
      <c r="H825">
        <v>1.2</v>
      </c>
      <c r="I825">
        <v>2.54</v>
      </c>
      <c r="J825">
        <v>23.89</v>
      </c>
      <c r="K825">
        <v>24.224</v>
      </c>
      <c r="L825">
        <v>43.8</v>
      </c>
      <c r="M825">
        <v>45.519999999999996</v>
      </c>
      <c r="N825">
        <v>0.46</v>
      </c>
      <c r="O825" s="4">
        <v>0.40400000000000003</v>
      </c>
      <c r="P825">
        <v>6.4231674533117697</v>
      </c>
      <c r="Q825">
        <v>5.2906181119964657</v>
      </c>
      <c r="R825">
        <v>1.3043510189339158</v>
      </c>
      <c r="S825">
        <v>-7.2026208553485995E-4</v>
      </c>
      <c r="T825" s="6">
        <v>-5.9144677158194637E-4</v>
      </c>
      <c r="U825" s="6">
        <v>1.3275231020408115E-4</v>
      </c>
      <c r="X825" t="s">
        <v>8</v>
      </c>
      <c r="Y825">
        <v>1</v>
      </c>
      <c r="Z825" t="s">
        <v>2</v>
      </c>
      <c r="AA825" s="16">
        <v>43692</v>
      </c>
      <c r="AB825">
        <v>227.48842499999955</v>
      </c>
      <c r="AC825" s="4">
        <v>1761.2</v>
      </c>
      <c r="AD825" s="4">
        <v>1808.2</v>
      </c>
      <c r="AE825">
        <v>0.65003632946621404</v>
      </c>
      <c r="AF825">
        <v>2.0444004459026308</v>
      </c>
      <c r="AG825">
        <v>0.86503563088609625</v>
      </c>
      <c r="AH825">
        <v>-6.4707243499432198E-4</v>
      </c>
      <c r="AI825">
        <v>-3.3837880587599952E-4</v>
      </c>
      <c r="AJ825">
        <v>2.7061096506953287E-4</v>
      </c>
    </row>
    <row r="826" spans="1:36" x14ac:dyDescent="0.2">
      <c r="A826" t="s">
        <v>8</v>
      </c>
      <c r="B826">
        <v>2</v>
      </c>
      <c r="C826" s="2">
        <v>43692</v>
      </c>
      <c r="D826" s="13">
        <v>227.50341499999922</v>
      </c>
      <c r="E826" s="13"/>
      <c r="F826" s="4">
        <v>1803.7</v>
      </c>
      <c r="H826">
        <v>5</v>
      </c>
      <c r="J826">
        <v>23.89</v>
      </c>
      <c r="L826">
        <v>45.9</v>
      </c>
      <c r="N826">
        <v>0.44</v>
      </c>
      <c r="P826">
        <v>5.7256828282817498</v>
      </c>
      <c r="S826">
        <v>-5.6467124539315695E-4</v>
      </c>
      <c r="X826" t="s">
        <v>8</v>
      </c>
      <c r="Y826">
        <v>2</v>
      </c>
      <c r="Z826" t="s">
        <v>2</v>
      </c>
      <c r="AA826" s="16">
        <v>43692</v>
      </c>
      <c r="AB826">
        <v>227.49814500000139</v>
      </c>
      <c r="AC826" s="4">
        <v>1791.2</v>
      </c>
      <c r="AE826">
        <v>2.7367213375063</v>
      </c>
      <c r="AH826">
        <v>-4.9450077482912505E-4</v>
      </c>
    </row>
    <row r="827" spans="1:36" x14ac:dyDescent="0.2">
      <c r="A827" t="s">
        <v>8</v>
      </c>
      <c r="B827">
        <v>3</v>
      </c>
      <c r="C827" s="2">
        <v>43692</v>
      </c>
      <c r="D827" s="13">
        <v>227.51417500000025</v>
      </c>
      <c r="E827" s="13"/>
      <c r="F827" s="4">
        <v>1821.2</v>
      </c>
      <c r="H827">
        <v>1.6</v>
      </c>
      <c r="J827">
        <v>23.89</v>
      </c>
      <c r="L827">
        <v>30.4</v>
      </c>
      <c r="N827">
        <v>0.38</v>
      </c>
      <c r="P827">
        <v>4.7760932075967801</v>
      </c>
      <c r="S827">
        <v>-4.7270849822179001E-4</v>
      </c>
      <c r="T827" s="6"/>
      <c r="U827" s="6"/>
      <c r="X827" t="s">
        <v>8</v>
      </c>
      <c r="Y827">
        <v>3</v>
      </c>
      <c r="Z827" t="s">
        <v>2</v>
      </c>
      <c r="AA827" s="16">
        <v>43692</v>
      </c>
      <c r="AB827">
        <v>227.50885500000004</v>
      </c>
      <c r="AC827" s="4">
        <v>1813.7</v>
      </c>
      <c r="AE827">
        <v>2.7553257416433801</v>
      </c>
      <c r="AH827">
        <v>-4.4207729107414903E-4</v>
      </c>
    </row>
    <row r="828" spans="1:36" x14ac:dyDescent="0.2">
      <c r="A828" t="s">
        <v>8</v>
      </c>
      <c r="B828">
        <v>4</v>
      </c>
      <c r="C828" s="2">
        <v>43692</v>
      </c>
      <c r="D828" s="13">
        <v>227.52459499999895</v>
      </c>
      <c r="E828" s="13"/>
      <c r="F828" s="4">
        <v>1838.7</v>
      </c>
      <c r="H828">
        <v>3.7</v>
      </c>
      <c r="J828">
        <v>23.89</v>
      </c>
      <c r="L828">
        <v>69.099999999999994</v>
      </c>
      <c r="N828">
        <v>0.36</v>
      </c>
      <c r="P828">
        <v>3.2617182603422998</v>
      </c>
      <c r="S828">
        <v>-7.39338467195327E-4</v>
      </c>
      <c r="T828" s="6"/>
      <c r="U828" s="6"/>
      <c r="X828" t="s">
        <v>8</v>
      </c>
      <c r="Y828">
        <v>4</v>
      </c>
      <c r="Z828" t="s">
        <v>2</v>
      </c>
      <c r="AA828" s="16">
        <v>43692</v>
      </c>
      <c r="AB828">
        <v>227.51921500000026</v>
      </c>
      <c r="AC828" s="4">
        <v>1833.7</v>
      </c>
      <c r="AE828">
        <v>2.2190304060589399</v>
      </c>
      <c r="AH828">
        <v>-7.5309550169515502E-5</v>
      </c>
    </row>
    <row r="829" spans="1:36" x14ac:dyDescent="0.2">
      <c r="A829" t="s">
        <v>8</v>
      </c>
      <c r="B829">
        <v>5</v>
      </c>
      <c r="C829" s="2">
        <v>43692</v>
      </c>
      <c r="D829" s="13">
        <v>227.53472500000134</v>
      </c>
      <c r="E829" s="13"/>
      <c r="F829" s="4">
        <v>1843.7</v>
      </c>
      <c r="H829">
        <v>1.2</v>
      </c>
      <c r="J829">
        <v>25.56</v>
      </c>
      <c r="L829">
        <v>38.4</v>
      </c>
      <c r="N829">
        <v>0.38</v>
      </c>
      <c r="P829">
        <v>6.2664288104497299</v>
      </c>
      <c r="S829">
        <v>-4.6025356156459798E-4</v>
      </c>
      <c r="T829" s="6"/>
      <c r="U829" s="6"/>
      <c r="X829" t="s">
        <v>8</v>
      </c>
      <c r="Y829">
        <v>5</v>
      </c>
      <c r="Z829" t="s">
        <v>2</v>
      </c>
      <c r="AA829" s="16">
        <v>43692</v>
      </c>
      <c r="AB829">
        <v>227.52968500000134</v>
      </c>
      <c r="AC829" s="4">
        <v>1841.2</v>
      </c>
      <c r="AE829">
        <v>1.86088841483832</v>
      </c>
      <c r="AH829">
        <v>-3.2933978312885697E-5</v>
      </c>
    </row>
    <row r="830" spans="1:36" x14ac:dyDescent="0.2">
      <c r="A830" t="s">
        <v>8</v>
      </c>
      <c r="B830">
        <v>1</v>
      </c>
      <c r="C830" s="2">
        <v>43692</v>
      </c>
      <c r="D830" s="13">
        <v>227.56171999999788</v>
      </c>
      <c r="E830" s="13">
        <v>227.582402</v>
      </c>
      <c r="F830" s="4">
        <v>1836.2</v>
      </c>
      <c r="G830" s="4">
        <v>1864.2</v>
      </c>
      <c r="H830">
        <v>1.6</v>
      </c>
      <c r="I830">
        <v>2.0800000000000005</v>
      </c>
      <c r="J830">
        <v>26.67</v>
      </c>
      <c r="K830">
        <v>27.334000000000003</v>
      </c>
      <c r="L830">
        <v>48.5</v>
      </c>
      <c r="M830">
        <v>51.160000000000004</v>
      </c>
      <c r="N830">
        <v>0.45</v>
      </c>
      <c r="O830" s="4">
        <v>0.39800000000000002</v>
      </c>
      <c r="P830">
        <v>6.4509674599927997</v>
      </c>
      <c r="Q830">
        <v>5.7911671401569809</v>
      </c>
      <c r="R830">
        <v>1.111005980595051</v>
      </c>
      <c r="S830">
        <v>-5.7479047188471895E-4</v>
      </c>
      <c r="T830" s="6">
        <v>-4.0834032307409605E-4</v>
      </c>
      <c r="U830" s="6">
        <v>2.1749082477383664E-4</v>
      </c>
      <c r="X830" t="s">
        <v>8</v>
      </c>
      <c r="Y830">
        <v>1</v>
      </c>
      <c r="Z830" t="s">
        <v>2</v>
      </c>
      <c r="AA830" s="16">
        <v>43692</v>
      </c>
      <c r="AB830">
        <v>227.5567149999988</v>
      </c>
      <c r="AC830" s="4">
        <v>1843.7</v>
      </c>
      <c r="AD830" s="4">
        <v>1588.7</v>
      </c>
      <c r="AE830">
        <v>0.61213692040757595</v>
      </c>
      <c r="AF830">
        <v>2.5503832313915651</v>
      </c>
      <c r="AG830">
        <v>1.312862436426145</v>
      </c>
      <c r="AH830">
        <v>-1.3065582190307601E-4</v>
      </c>
      <c r="AI830">
        <v>-1.0278356981260472E-4</v>
      </c>
      <c r="AJ830">
        <v>5.481518546888703E-5</v>
      </c>
    </row>
    <row r="831" spans="1:36" x14ac:dyDescent="0.2">
      <c r="A831" t="s">
        <v>8</v>
      </c>
      <c r="B831">
        <v>2</v>
      </c>
      <c r="C831" s="2">
        <v>43692</v>
      </c>
      <c r="D831" s="13">
        <v>227.57228000000032</v>
      </c>
      <c r="E831" s="13"/>
      <c r="F831" s="4">
        <v>1821.2</v>
      </c>
      <c r="H831">
        <v>3.7</v>
      </c>
      <c r="J831">
        <v>26.67</v>
      </c>
      <c r="L831">
        <v>50.2</v>
      </c>
      <c r="N831">
        <v>0.42</v>
      </c>
      <c r="P831">
        <v>6.1886596724246798</v>
      </c>
      <c r="S831">
        <v>-2.6868532174545299E-4</v>
      </c>
      <c r="X831" t="s">
        <v>8</v>
      </c>
      <c r="Y831">
        <v>2</v>
      </c>
      <c r="Z831" t="s">
        <v>2</v>
      </c>
      <c r="AA831" s="16">
        <v>43692</v>
      </c>
      <c r="AB831">
        <v>227.56707499999902</v>
      </c>
      <c r="AC831" s="4">
        <v>1826.2</v>
      </c>
      <c r="AE831">
        <v>3.2171285457256</v>
      </c>
      <c r="AH831">
        <v>-1.16488144135239E-5</v>
      </c>
    </row>
    <row r="832" spans="1:36" x14ac:dyDescent="0.2">
      <c r="A832" t="s">
        <v>8</v>
      </c>
      <c r="B832">
        <v>3</v>
      </c>
      <c r="C832" s="2">
        <v>43692</v>
      </c>
      <c r="D832" s="13">
        <v>227.58258000000205</v>
      </c>
      <c r="E832" s="13"/>
      <c r="F832" s="4">
        <v>1848.7</v>
      </c>
      <c r="H832">
        <v>1.2</v>
      </c>
      <c r="J832">
        <v>26.67</v>
      </c>
      <c r="L832">
        <v>32.700000000000003</v>
      </c>
      <c r="N832">
        <v>0.39</v>
      </c>
      <c r="P832">
        <v>5.5998524025186898</v>
      </c>
      <c r="S832">
        <v>-4.2682269926316499E-4</v>
      </c>
      <c r="T832" s="6"/>
      <c r="U832" s="6"/>
      <c r="X832" t="s">
        <v>8</v>
      </c>
      <c r="Y832">
        <v>3</v>
      </c>
      <c r="Z832" t="s">
        <v>2</v>
      </c>
      <c r="AA832" s="16">
        <v>43692</v>
      </c>
      <c r="AB832">
        <v>227.57708500000081</v>
      </c>
      <c r="AC832" s="4">
        <v>1823.7</v>
      </c>
      <c r="AE832">
        <v>4.1716841180953903</v>
      </c>
      <c r="AH832">
        <v>-9.5813390736366696E-5</v>
      </c>
    </row>
    <row r="833" spans="1:36" x14ac:dyDescent="0.2">
      <c r="A833" t="s">
        <v>8</v>
      </c>
      <c r="B833">
        <v>4</v>
      </c>
      <c r="C833" s="2">
        <v>43692</v>
      </c>
      <c r="D833" s="13">
        <v>227.59282499999972</v>
      </c>
      <c r="E833" s="13"/>
      <c r="F833" s="4">
        <v>1948.7</v>
      </c>
      <c r="H833">
        <v>1.1000000000000001</v>
      </c>
      <c r="J833">
        <v>28.33</v>
      </c>
      <c r="L833">
        <v>81.5</v>
      </c>
      <c r="N833">
        <v>0.38</v>
      </c>
      <c r="P833">
        <v>3.9559584132213801</v>
      </c>
      <c r="S833">
        <v>-1.20528750883185E-4</v>
      </c>
      <c r="T833" s="6"/>
      <c r="U833" s="6"/>
      <c r="X833" t="s">
        <v>8</v>
      </c>
      <c r="Y833">
        <v>4</v>
      </c>
      <c r="Z833" t="s">
        <v>2</v>
      </c>
      <c r="AA833" s="16">
        <v>43692</v>
      </c>
      <c r="AB833">
        <v>227.58750000000146</v>
      </c>
      <c r="AC833" s="4">
        <v>1911.2</v>
      </c>
      <c r="AE833">
        <v>2.33494635925934</v>
      </c>
      <c r="AH833">
        <v>-1.52417381856878E-4</v>
      </c>
    </row>
    <row r="834" spans="1:36" x14ac:dyDescent="0.2">
      <c r="A834" t="s">
        <v>8</v>
      </c>
      <c r="B834">
        <v>5</v>
      </c>
      <c r="C834" s="2">
        <v>43692</v>
      </c>
      <c r="D834" s="13">
        <v>227.60260500000004</v>
      </c>
      <c r="E834" s="13"/>
      <c r="F834" s="4">
        <v>1866.2</v>
      </c>
      <c r="H834">
        <v>2.8</v>
      </c>
      <c r="J834">
        <v>28.33</v>
      </c>
      <c r="L834">
        <v>42.9</v>
      </c>
      <c r="N834">
        <v>0.35</v>
      </c>
      <c r="P834">
        <v>6.76039775262735</v>
      </c>
      <c r="S834">
        <v>-6.5087437159395804E-4</v>
      </c>
      <c r="T834" s="6"/>
      <c r="U834" s="6"/>
      <c r="X834" t="s">
        <v>8</v>
      </c>
      <c r="Y834">
        <v>5</v>
      </c>
      <c r="Z834" t="s">
        <v>2</v>
      </c>
      <c r="AA834" s="16">
        <v>43692</v>
      </c>
      <c r="AB834">
        <v>227.597684999997</v>
      </c>
      <c r="AC834" s="4">
        <v>538.70000000000005</v>
      </c>
      <c r="AE834">
        <v>2.41602021346992</v>
      </c>
      <c r="AH834">
        <v>-1.2338244015317899E-4</v>
      </c>
    </row>
    <row r="835" spans="1:36" x14ac:dyDescent="0.2">
      <c r="A835" t="s">
        <v>8</v>
      </c>
      <c r="B835">
        <v>1</v>
      </c>
      <c r="C835" s="2">
        <v>43700</v>
      </c>
      <c r="D835" s="13">
        <v>235.49542500000098</v>
      </c>
      <c r="E835" s="13">
        <v>235.52231300000057</v>
      </c>
      <c r="F835" s="4">
        <v>888.7</v>
      </c>
      <c r="G835" s="4">
        <v>1572.1999999999998</v>
      </c>
      <c r="H835">
        <v>14.6</v>
      </c>
      <c r="I835">
        <v>13.819999999999999</v>
      </c>
      <c r="J835">
        <v>22.22</v>
      </c>
      <c r="K835">
        <v>22.553999999999998</v>
      </c>
      <c r="L835">
        <v>43.4</v>
      </c>
      <c r="M835">
        <v>40.980000000000004</v>
      </c>
      <c r="N835">
        <v>0.5</v>
      </c>
      <c r="O835" s="4">
        <v>0.47199999999999998</v>
      </c>
      <c r="P835">
        <v>-0.97834560100000001</v>
      </c>
      <c r="Q835">
        <v>2.6826212645999998</v>
      </c>
      <c r="R835">
        <v>2.3806405292708299</v>
      </c>
      <c r="S835">
        <v>1.4994774385167599E-4</v>
      </c>
      <c r="T835" s="6">
        <v>6.4209294432126881E-5</v>
      </c>
      <c r="U835" s="6">
        <v>2.7779539497173517E-4</v>
      </c>
      <c r="X835" t="s">
        <v>8</v>
      </c>
      <c r="Y835">
        <v>1</v>
      </c>
      <c r="Z835" t="s">
        <v>2</v>
      </c>
      <c r="AA835" s="16">
        <v>43700</v>
      </c>
      <c r="AB835">
        <v>235.48819500000172</v>
      </c>
      <c r="AC835" s="4">
        <v>788.7</v>
      </c>
      <c r="AD835" s="4">
        <v>1094.7</v>
      </c>
      <c r="AE835">
        <v>-0.111409076</v>
      </c>
      <c r="AF835">
        <v>-0.1091597374</v>
      </c>
      <c r="AG835">
        <v>0.12149441681747526</v>
      </c>
      <c r="AH835">
        <v>4.2881350950108E-4</v>
      </c>
      <c r="AI835">
        <v>1.7227953214490354E-4</v>
      </c>
      <c r="AJ835">
        <v>5.3363822309129003E-4</v>
      </c>
    </row>
    <row r="836" spans="1:36" x14ac:dyDescent="0.2">
      <c r="A836" t="s">
        <v>8</v>
      </c>
      <c r="B836">
        <v>2</v>
      </c>
      <c r="C836" s="2">
        <v>43700</v>
      </c>
      <c r="D836" s="13">
        <v>235.50937500000146</v>
      </c>
      <c r="E836" s="13"/>
      <c r="F836" s="4">
        <v>2051.1999999999998</v>
      </c>
      <c r="H836">
        <v>13.3</v>
      </c>
      <c r="J836">
        <v>22.22</v>
      </c>
      <c r="L836">
        <v>38.4</v>
      </c>
      <c r="N836">
        <v>0.48</v>
      </c>
      <c r="P836">
        <v>3.81523294</v>
      </c>
      <c r="S836">
        <v>5.0158681762127498E-4</v>
      </c>
      <c r="X836" t="s">
        <v>8</v>
      </c>
      <c r="Y836">
        <v>2</v>
      </c>
      <c r="Z836" t="s">
        <v>2</v>
      </c>
      <c r="AA836" s="16">
        <v>43700</v>
      </c>
      <c r="AB836">
        <v>235.50225499999942</v>
      </c>
      <c r="AC836" s="4">
        <v>686.2</v>
      </c>
      <c r="AE836">
        <v>7.5286896000000006E-2</v>
      </c>
      <c r="AH836">
        <v>9.6219336450787004E-4</v>
      </c>
    </row>
    <row r="837" spans="1:36" x14ac:dyDescent="0.2">
      <c r="A837" t="s">
        <v>8</v>
      </c>
      <c r="B837">
        <v>3</v>
      </c>
      <c r="C837" s="2">
        <v>43700</v>
      </c>
      <c r="D837" s="13">
        <v>235.52181500000006</v>
      </c>
      <c r="E837" s="13"/>
      <c r="F837" s="4">
        <v>1578.7</v>
      </c>
      <c r="H837">
        <v>14.6</v>
      </c>
      <c r="J837">
        <v>22.22</v>
      </c>
      <c r="L837">
        <v>35.799999999999997</v>
      </c>
      <c r="N837">
        <v>0.49</v>
      </c>
      <c r="P837">
        <v>4.5741186760000003</v>
      </c>
      <c r="S837">
        <v>-1.91390519805307E-4</v>
      </c>
      <c r="T837" s="6"/>
      <c r="U837" s="6"/>
      <c r="X837" t="s">
        <v>8</v>
      </c>
      <c r="Y837">
        <v>3</v>
      </c>
      <c r="Z837" t="s">
        <v>2</v>
      </c>
      <c r="AA837" s="16">
        <v>43700</v>
      </c>
      <c r="AB837">
        <v>235.51550999999745</v>
      </c>
      <c r="AC837" s="4">
        <v>1011.2</v>
      </c>
      <c r="AE837">
        <v>-0.17508558599999999</v>
      </c>
      <c r="AH837">
        <v>4.18031386743386E-5</v>
      </c>
    </row>
    <row r="838" spans="1:36" x14ac:dyDescent="0.2">
      <c r="A838" t="s">
        <v>8</v>
      </c>
      <c r="B838">
        <v>4</v>
      </c>
      <c r="C838" s="2">
        <v>43700</v>
      </c>
      <c r="D838" s="13">
        <v>235.5364550000013</v>
      </c>
      <c r="E838" s="13"/>
      <c r="F838" s="4">
        <v>1346.2</v>
      </c>
      <c r="H838">
        <v>11.5</v>
      </c>
      <c r="J838">
        <v>22.22</v>
      </c>
      <c r="L838">
        <v>40.9</v>
      </c>
      <c r="N838">
        <v>0.43</v>
      </c>
      <c r="P838">
        <v>1.5512651099999999</v>
      </c>
      <c r="S838">
        <v>-1.3632166037301399E-4</v>
      </c>
      <c r="T838" s="6"/>
      <c r="U838" s="6"/>
      <c r="X838" t="s">
        <v>8</v>
      </c>
      <c r="Y838">
        <v>4</v>
      </c>
      <c r="Z838" t="s">
        <v>2</v>
      </c>
      <c r="AA838" s="16">
        <v>43700</v>
      </c>
      <c r="AB838">
        <v>235.52750000000015</v>
      </c>
      <c r="AC838" s="4">
        <v>1331.2</v>
      </c>
      <c r="AE838">
        <v>-8.3892190000000005E-2</v>
      </c>
      <c r="AH838">
        <v>-3.6564228025739998E-4</v>
      </c>
    </row>
    <row r="839" spans="1:36" x14ac:dyDescent="0.2">
      <c r="A839" t="s">
        <v>8</v>
      </c>
      <c r="B839">
        <v>5</v>
      </c>
      <c r="C839" s="2">
        <v>43700</v>
      </c>
      <c r="D839" s="13">
        <v>235.54849499999909</v>
      </c>
      <c r="E839" s="13"/>
      <c r="F839" s="4">
        <v>1996.2</v>
      </c>
      <c r="H839">
        <v>15.1</v>
      </c>
      <c r="J839">
        <v>23.89</v>
      </c>
      <c r="L839">
        <v>46.4</v>
      </c>
      <c r="N839">
        <v>0.46</v>
      </c>
      <c r="P839">
        <v>4.450835198</v>
      </c>
      <c r="S839" s="6">
        <v>-2.7759091339955699E-6</v>
      </c>
      <c r="T839" s="6"/>
      <c r="U839" s="6"/>
      <c r="X839" t="s">
        <v>8</v>
      </c>
      <c r="Y839">
        <v>5</v>
      </c>
      <c r="Z839" t="s">
        <v>2</v>
      </c>
      <c r="AA839" s="16">
        <v>43700</v>
      </c>
      <c r="AB839">
        <v>235.54218499999843</v>
      </c>
      <c r="AC839" s="4">
        <v>1656.2</v>
      </c>
      <c r="AE839">
        <v>-0.25069873100000001</v>
      </c>
      <c r="AH839">
        <v>-2.05770071701371E-4</v>
      </c>
    </row>
    <row r="840" spans="1:36" x14ac:dyDescent="0.2">
      <c r="A840" t="s">
        <v>8</v>
      </c>
      <c r="B840">
        <v>1</v>
      </c>
      <c r="C840" s="2">
        <v>43700</v>
      </c>
      <c r="D840" s="13">
        <v>235.61736500000188</v>
      </c>
      <c r="E840" s="13">
        <v>235.64668000000165</v>
      </c>
      <c r="F840" s="4">
        <v>881.2</v>
      </c>
      <c r="G840" s="4">
        <v>632.70000000000005</v>
      </c>
      <c r="H840">
        <v>13.6</v>
      </c>
      <c r="I840">
        <v>14.16</v>
      </c>
      <c r="J840">
        <v>23.89</v>
      </c>
      <c r="K840">
        <v>23.777999999999999</v>
      </c>
      <c r="L840">
        <v>44.9</v>
      </c>
      <c r="M840">
        <v>40.9</v>
      </c>
      <c r="N840">
        <v>0.48</v>
      </c>
      <c r="O840" s="4">
        <v>0.45400000000000001</v>
      </c>
      <c r="P840">
        <v>5.5398564391614196</v>
      </c>
      <c r="Q840">
        <v>3.8694685604754619</v>
      </c>
      <c r="R840">
        <v>0.94573349642224602</v>
      </c>
      <c r="S840">
        <v>-2.6375187891625602E-4</v>
      </c>
      <c r="T840" s="6">
        <v>2.2103749039489154E-4</v>
      </c>
      <c r="U840" s="6">
        <v>5.155968534823087E-4</v>
      </c>
      <c r="X840" t="s">
        <v>8</v>
      </c>
      <c r="Y840">
        <v>1</v>
      </c>
      <c r="Z840" t="s">
        <v>2</v>
      </c>
      <c r="AA840" s="16">
        <v>43700</v>
      </c>
      <c r="AB840">
        <v>235.61047500000132</v>
      </c>
      <c r="AC840" s="4">
        <v>1051.2</v>
      </c>
      <c r="AD840" s="4">
        <v>743.2</v>
      </c>
      <c r="AE840">
        <v>-1.71365680774979</v>
      </c>
      <c r="AF840">
        <v>0.34692890198021864</v>
      </c>
      <c r="AG840">
        <v>1.2055668705653324</v>
      </c>
      <c r="AH840">
        <v>-1.21083811365423E-4</v>
      </c>
      <c r="AI840">
        <v>-9.4972805797766794E-5</v>
      </c>
      <c r="AJ840">
        <v>4.3206691511259144E-4</v>
      </c>
    </row>
    <row r="841" spans="1:36" x14ac:dyDescent="0.2">
      <c r="A841" t="s">
        <v>8</v>
      </c>
      <c r="B841">
        <v>2</v>
      </c>
      <c r="C841" s="2">
        <v>43700</v>
      </c>
      <c r="D841" s="13">
        <v>235.6309050000018</v>
      </c>
      <c r="E841" s="13"/>
      <c r="F841" s="4">
        <v>718.7</v>
      </c>
      <c r="H841">
        <v>18.5</v>
      </c>
      <c r="J841">
        <v>23.89</v>
      </c>
      <c r="L841">
        <v>37.799999999999997</v>
      </c>
      <c r="N841">
        <v>0.46</v>
      </c>
      <c r="P841">
        <v>3.2164759102509599</v>
      </c>
      <c r="S841" s="6">
        <v>9.0938972533536805E-5</v>
      </c>
      <c r="X841" t="s">
        <v>8</v>
      </c>
      <c r="Y841">
        <v>2</v>
      </c>
      <c r="Z841" t="s">
        <v>2</v>
      </c>
      <c r="AA841" s="16">
        <v>43700</v>
      </c>
      <c r="AB841">
        <v>235.62367000000086</v>
      </c>
      <c r="AC841" s="4">
        <v>976.2</v>
      </c>
      <c r="AE841">
        <v>1.20289376654345</v>
      </c>
      <c r="AH841">
        <v>-6.3988686264065801E-4</v>
      </c>
    </row>
    <row r="842" spans="1:36" x14ac:dyDescent="0.2">
      <c r="A842" t="s">
        <v>8</v>
      </c>
      <c r="B842">
        <v>3</v>
      </c>
      <c r="C842" s="2">
        <v>43700</v>
      </c>
      <c r="D842" s="13">
        <v>235.64375000000291</v>
      </c>
      <c r="E842" s="13"/>
      <c r="F842" s="4">
        <v>576.20000000000005</v>
      </c>
      <c r="H842">
        <v>10.5</v>
      </c>
      <c r="J842">
        <v>23.89</v>
      </c>
      <c r="L842">
        <v>34.4</v>
      </c>
      <c r="N842">
        <v>0.47</v>
      </c>
      <c r="P842">
        <v>3.54790078861808</v>
      </c>
      <c r="S842">
        <v>5.1045449521822898E-4</v>
      </c>
      <c r="T842" s="6"/>
      <c r="U842" s="6"/>
      <c r="X842" t="s">
        <v>8</v>
      </c>
      <c r="Y842">
        <v>3</v>
      </c>
      <c r="Z842" t="s">
        <v>2</v>
      </c>
      <c r="AA842" s="16">
        <v>43700</v>
      </c>
      <c r="AB842">
        <v>235.63680499999828</v>
      </c>
      <c r="AC842" s="4">
        <v>598.70000000000005</v>
      </c>
      <c r="AE842">
        <v>0.41136712391437702</v>
      </c>
      <c r="AH842">
        <v>4.3794235322870998E-4</v>
      </c>
    </row>
    <row r="843" spans="1:36" x14ac:dyDescent="0.2">
      <c r="A843" t="s">
        <v>8</v>
      </c>
      <c r="B843">
        <v>4</v>
      </c>
      <c r="C843" s="2">
        <v>43700</v>
      </c>
      <c r="D843" s="13">
        <v>235.65862500000003</v>
      </c>
      <c r="E843" s="13"/>
      <c r="F843" s="4">
        <v>578.70000000000005</v>
      </c>
      <c r="H843">
        <v>16.5</v>
      </c>
      <c r="J843">
        <v>23.89</v>
      </c>
      <c r="L843">
        <v>40.4</v>
      </c>
      <c r="N843">
        <v>0.44</v>
      </c>
      <c r="P843">
        <v>3.4333545999384301</v>
      </c>
      <c r="S843">
        <v>9.6458540303815895E-4</v>
      </c>
      <c r="T843" s="6"/>
      <c r="U843" s="6"/>
      <c r="X843" t="s">
        <v>8</v>
      </c>
      <c r="Y843">
        <v>4</v>
      </c>
      <c r="Z843" t="s">
        <v>2</v>
      </c>
      <c r="AA843" s="16">
        <v>43700</v>
      </c>
      <c r="AB843">
        <v>235.65098500000022</v>
      </c>
      <c r="AC843" s="4">
        <v>566.20000000000005</v>
      </c>
      <c r="AE843">
        <v>0.61642404803412598</v>
      </c>
      <c r="AH843">
        <v>-3.6261404652440199E-4</v>
      </c>
    </row>
    <row r="844" spans="1:36" x14ac:dyDescent="0.2">
      <c r="A844" t="s">
        <v>8</v>
      </c>
      <c r="B844">
        <v>5</v>
      </c>
      <c r="C844" s="2">
        <v>43700</v>
      </c>
      <c r="D844" s="13">
        <v>235.68275500000163</v>
      </c>
      <c r="E844" s="13"/>
      <c r="F844" s="4">
        <v>408.7</v>
      </c>
      <c r="H844">
        <v>11.7</v>
      </c>
      <c r="J844">
        <v>23.33</v>
      </c>
      <c r="L844">
        <v>47</v>
      </c>
      <c r="N844">
        <v>0.42</v>
      </c>
      <c r="P844">
        <v>3.6097550644084202</v>
      </c>
      <c r="S844">
        <v>-1.9703953989921101E-4</v>
      </c>
      <c r="T844" s="6"/>
      <c r="U844" s="6"/>
      <c r="X844" t="s">
        <v>8</v>
      </c>
      <c r="Y844">
        <v>5</v>
      </c>
      <c r="Z844" t="s">
        <v>2</v>
      </c>
      <c r="AA844" s="16">
        <v>43700</v>
      </c>
      <c r="AB844">
        <v>235.664929999999</v>
      </c>
      <c r="AC844" s="4">
        <v>523.70000000000005</v>
      </c>
      <c r="AE844">
        <v>1.2176163791589301</v>
      </c>
      <c r="AH844">
        <v>2.10778338312939E-4</v>
      </c>
    </row>
    <row r="845" spans="1:36" x14ac:dyDescent="0.2">
      <c r="A845" t="s">
        <v>8</v>
      </c>
      <c r="B845">
        <v>1</v>
      </c>
      <c r="C845" s="2">
        <v>43706</v>
      </c>
      <c r="D845" s="13">
        <v>241.47841500000141</v>
      </c>
      <c r="E845" s="13">
        <v>241.50274299999947</v>
      </c>
      <c r="F845" s="4">
        <v>1461.2</v>
      </c>
      <c r="G845" s="4">
        <v>1416.2</v>
      </c>
      <c r="H845">
        <v>5.5</v>
      </c>
      <c r="I845">
        <v>7.9799999999999995</v>
      </c>
      <c r="J845">
        <v>23.33</v>
      </c>
      <c r="K845">
        <v>23.885999999999999</v>
      </c>
      <c r="L845">
        <v>47.6</v>
      </c>
      <c r="M845">
        <v>41.86</v>
      </c>
      <c r="N845">
        <v>0.57999999999999996</v>
      </c>
      <c r="O845" s="4">
        <v>0.56799999999999995</v>
      </c>
      <c r="P845">
        <v>12.931025177002001</v>
      </c>
      <c r="Q845">
        <v>11.611272416676105</v>
      </c>
      <c r="R845">
        <v>1.8579613133917507</v>
      </c>
      <c r="S845">
        <v>-4.6517702167341799E-4</v>
      </c>
      <c r="T845" s="6">
        <v>-5.2633432491387103E-4</v>
      </c>
      <c r="U845" s="6">
        <v>1.4436534073665255E-4</v>
      </c>
      <c r="X845" t="s">
        <v>8</v>
      </c>
      <c r="Y845">
        <v>1</v>
      </c>
      <c r="Z845" t="s">
        <v>2</v>
      </c>
      <c r="AA845" s="16">
        <v>43706</v>
      </c>
      <c r="AB845">
        <v>241.47332499999902</v>
      </c>
      <c r="AC845" s="4">
        <v>1678.7</v>
      </c>
      <c r="AD845" s="4">
        <v>1117.7</v>
      </c>
      <c r="AE845">
        <v>-7.5360478273297797</v>
      </c>
      <c r="AF845">
        <v>-1.1015381931277024</v>
      </c>
      <c r="AG845">
        <v>4.0572102280373148</v>
      </c>
      <c r="AH845">
        <v>-4.2712406142430398E-4</v>
      </c>
      <c r="AI845">
        <v>-3.8956422938473876E-4</v>
      </c>
      <c r="AJ845">
        <v>6.6284629535027438E-5</v>
      </c>
    </row>
    <row r="846" spans="1:36" x14ac:dyDescent="0.2">
      <c r="A846" t="s">
        <v>8</v>
      </c>
      <c r="B846">
        <v>2</v>
      </c>
      <c r="C846" s="2">
        <v>43706</v>
      </c>
      <c r="D846" s="13">
        <v>241.49091499999849</v>
      </c>
      <c r="E846" s="13"/>
      <c r="F846" s="4">
        <v>1716.2</v>
      </c>
      <c r="H846">
        <v>15.5</v>
      </c>
      <c r="J846">
        <v>23.33</v>
      </c>
      <c r="L846">
        <v>36.9</v>
      </c>
      <c r="N846">
        <v>0.57999999999999996</v>
      </c>
      <c r="P846">
        <v>9.6799018544768707</v>
      </c>
      <c r="S846">
        <v>-3.0301042515268599E-4</v>
      </c>
      <c r="X846" t="s">
        <v>8</v>
      </c>
      <c r="Y846">
        <v>2</v>
      </c>
      <c r="Z846" t="s">
        <v>2</v>
      </c>
      <c r="AA846" s="16">
        <v>43706</v>
      </c>
      <c r="AB846">
        <v>241.48541499999919</v>
      </c>
      <c r="AC846" s="4">
        <v>1741.2</v>
      </c>
      <c r="AE846">
        <v>3.2933090542768699</v>
      </c>
      <c r="AH846">
        <v>-4.1837952712349798E-4</v>
      </c>
    </row>
    <row r="847" spans="1:36" x14ac:dyDescent="0.2">
      <c r="A847" t="s">
        <v>8</v>
      </c>
      <c r="B847">
        <v>3</v>
      </c>
      <c r="C847" s="2">
        <v>43706</v>
      </c>
      <c r="D847" s="13">
        <v>241.50283499999932</v>
      </c>
      <c r="E847" s="13"/>
      <c r="F847" s="4">
        <v>1746.2</v>
      </c>
      <c r="H847">
        <v>5.7</v>
      </c>
      <c r="J847">
        <v>23.33</v>
      </c>
      <c r="L847">
        <v>37.9</v>
      </c>
      <c r="N847">
        <v>0.62</v>
      </c>
      <c r="P847">
        <v>13.908045896708501</v>
      </c>
      <c r="S847">
        <v>-6.07784401282404E-4</v>
      </c>
      <c r="T847" s="6"/>
      <c r="U847" s="6"/>
      <c r="X847" t="s">
        <v>8</v>
      </c>
      <c r="Y847">
        <v>3</v>
      </c>
      <c r="Z847" t="s">
        <v>2</v>
      </c>
      <c r="AA847" s="16">
        <v>43706</v>
      </c>
      <c r="AB847">
        <v>241.49670500000138</v>
      </c>
      <c r="AC847" s="4">
        <v>518.70000000000005</v>
      </c>
      <c r="AE847">
        <v>0.58430611162646495</v>
      </c>
      <c r="AH847">
        <v>-4.5233500369852998E-4</v>
      </c>
    </row>
    <row r="848" spans="1:36" x14ac:dyDescent="0.2">
      <c r="A848" t="s">
        <v>8</v>
      </c>
      <c r="B848">
        <v>4</v>
      </c>
      <c r="C848" s="2">
        <v>43706</v>
      </c>
      <c r="D848" s="13">
        <v>241.51539499999853</v>
      </c>
      <c r="E848" s="13"/>
      <c r="F848" s="4">
        <v>1713.7</v>
      </c>
      <c r="H848">
        <v>4.3</v>
      </c>
      <c r="J848">
        <v>24.44</v>
      </c>
      <c r="L848">
        <v>47.6</v>
      </c>
      <c r="N848">
        <v>0.52</v>
      </c>
      <c r="P848">
        <v>9.8628529460383501</v>
      </c>
      <c r="S848">
        <v>-6.6325251771226295E-4</v>
      </c>
      <c r="T848" s="6"/>
      <c r="U848" s="6"/>
      <c r="X848" t="s">
        <v>8</v>
      </c>
      <c r="Y848">
        <v>4</v>
      </c>
      <c r="Z848" t="s">
        <v>2</v>
      </c>
      <c r="AA848" s="16">
        <v>43706</v>
      </c>
      <c r="AB848">
        <v>241.50915499999974</v>
      </c>
      <c r="AC848" s="4">
        <v>1303.7</v>
      </c>
      <c r="AE848">
        <v>-1.97856419276106</v>
      </c>
      <c r="AH848">
        <v>-3.6406840430530798E-4</v>
      </c>
    </row>
    <row r="849" spans="1:36" x14ac:dyDescent="0.2">
      <c r="A849" t="s">
        <v>8</v>
      </c>
      <c r="B849">
        <v>5</v>
      </c>
      <c r="C849" s="2">
        <v>43706</v>
      </c>
      <c r="D849" s="13">
        <v>241.52615499999956</v>
      </c>
      <c r="E849" s="13"/>
      <c r="F849" s="4">
        <v>443.7</v>
      </c>
      <c r="H849">
        <v>8.9</v>
      </c>
      <c r="J849">
        <v>25</v>
      </c>
      <c r="L849">
        <v>39.299999999999997</v>
      </c>
      <c r="N849">
        <v>0.54</v>
      </c>
      <c r="P849">
        <v>11.6745362091548</v>
      </c>
      <c r="S849">
        <v>-5.9244725874858404E-4</v>
      </c>
      <c r="T849" s="6"/>
      <c r="U849" s="6"/>
      <c r="X849" t="s">
        <v>8</v>
      </c>
      <c r="Y849">
        <v>5</v>
      </c>
      <c r="Z849" t="s">
        <v>2</v>
      </c>
      <c r="AA849" s="16">
        <v>43706</v>
      </c>
      <c r="AB849">
        <v>241.52083499999935</v>
      </c>
      <c r="AC849" s="4">
        <v>346.2</v>
      </c>
      <c r="AE849">
        <v>0.129305888548992</v>
      </c>
      <c r="AH849">
        <v>-2.8591415037205402E-4</v>
      </c>
    </row>
    <row r="850" spans="1:36" x14ac:dyDescent="0.2">
      <c r="A850" t="s">
        <v>8</v>
      </c>
      <c r="B850">
        <v>1</v>
      </c>
      <c r="C850" s="2">
        <v>43706</v>
      </c>
      <c r="D850" s="13">
        <v>241.63749999999709</v>
      </c>
      <c r="E850" s="13">
        <v>241.66210599999977</v>
      </c>
      <c r="F850" s="4">
        <v>626.20000000000005</v>
      </c>
      <c r="G850" s="4">
        <v>643.70000000000005</v>
      </c>
      <c r="H850">
        <v>5.5</v>
      </c>
      <c r="I850">
        <v>8.26</v>
      </c>
      <c r="J850">
        <v>26.11</v>
      </c>
      <c r="K850">
        <v>26.110000000000003</v>
      </c>
      <c r="L850">
        <v>36.700000000000003</v>
      </c>
      <c r="M850">
        <v>38.36</v>
      </c>
      <c r="N850">
        <v>0.55000000000000004</v>
      </c>
      <c r="O850" s="4">
        <v>0.55400000000000005</v>
      </c>
      <c r="P850">
        <v>11.965161604742001</v>
      </c>
      <c r="Q850">
        <v>10.023614428382206</v>
      </c>
      <c r="R850">
        <v>1.6588267281756599</v>
      </c>
      <c r="S850">
        <v>-7.1981146636003902E-4</v>
      </c>
      <c r="T850" s="6">
        <v>-5.3266474392178861E-4</v>
      </c>
      <c r="U850" s="6">
        <v>1.2793043273033578E-4</v>
      </c>
      <c r="X850" t="s">
        <v>8</v>
      </c>
      <c r="Y850">
        <v>1</v>
      </c>
      <c r="Z850" t="s">
        <v>2</v>
      </c>
      <c r="AA850" s="16">
        <v>43706</v>
      </c>
      <c r="AB850">
        <v>241.63124999999854</v>
      </c>
      <c r="AC850" s="4">
        <v>678.7</v>
      </c>
      <c r="AD850" s="4">
        <v>594.70000000000005</v>
      </c>
      <c r="AE850">
        <v>-5.0268121707880304</v>
      </c>
      <c r="AF850">
        <v>0.96124656808482667</v>
      </c>
      <c r="AG850">
        <v>3.4897941650883411</v>
      </c>
      <c r="AH850">
        <v>-4.4061684960678099E-4</v>
      </c>
      <c r="AI850">
        <v>-3.7575311228174216E-4</v>
      </c>
      <c r="AJ850">
        <v>1.0721881756234422E-4</v>
      </c>
    </row>
    <row r="851" spans="1:36" x14ac:dyDescent="0.2">
      <c r="A851" t="s">
        <v>8</v>
      </c>
      <c r="B851">
        <v>2</v>
      </c>
      <c r="C851" s="2">
        <v>43706</v>
      </c>
      <c r="D851" s="13">
        <v>241.65110000000277</v>
      </c>
      <c r="E851" s="13"/>
      <c r="F851" s="4">
        <v>536.20000000000005</v>
      </c>
      <c r="H851">
        <v>8.9</v>
      </c>
      <c r="J851">
        <v>26.11</v>
      </c>
      <c r="L851">
        <v>35.9</v>
      </c>
      <c r="N851">
        <v>0.54</v>
      </c>
      <c r="P851">
        <v>9.6210888994858195</v>
      </c>
      <c r="S851">
        <v>-5.0463321280908903E-4</v>
      </c>
      <c r="X851" t="s">
        <v>8</v>
      </c>
      <c r="Y851">
        <v>2</v>
      </c>
      <c r="Z851" t="s">
        <v>2</v>
      </c>
      <c r="AA851" s="16">
        <v>43706</v>
      </c>
      <c r="AB851">
        <v>241.64357499999824</v>
      </c>
      <c r="AC851" s="4">
        <v>533.70000000000005</v>
      </c>
      <c r="AE851">
        <v>3.2304795264114499</v>
      </c>
      <c r="AH851">
        <v>-2.8462437378275001E-4</v>
      </c>
    </row>
    <row r="852" spans="1:36" x14ac:dyDescent="0.2">
      <c r="A852" t="s">
        <v>8</v>
      </c>
      <c r="B852">
        <v>3</v>
      </c>
      <c r="C852" s="2">
        <v>43706</v>
      </c>
      <c r="D852" s="13">
        <v>241.66249999999854</v>
      </c>
      <c r="E852" s="13"/>
      <c r="F852" s="4">
        <v>461.2</v>
      </c>
      <c r="H852">
        <v>4.7</v>
      </c>
      <c r="J852">
        <v>26.11</v>
      </c>
      <c r="L852">
        <v>39.799999999999997</v>
      </c>
      <c r="N852">
        <v>0.57999999999999996</v>
      </c>
      <c r="P852">
        <v>10.588630860983599</v>
      </c>
      <c r="S852">
        <v>-4.1052092849175402E-4</v>
      </c>
      <c r="T852" s="6"/>
      <c r="U852" s="6"/>
      <c r="X852" t="s">
        <v>8</v>
      </c>
      <c r="Y852">
        <v>3</v>
      </c>
      <c r="Z852" t="s">
        <v>2</v>
      </c>
      <c r="AA852" s="16">
        <v>43706</v>
      </c>
      <c r="AB852">
        <v>241.65671500000099</v>
      </c>
      <c r="AC852" s="4">
        <v>606.20000000000005</v>
      </c>
      <c r="AE852">
        <v>2.5153078541555298</v>
      </c>
      <c r="AH852">
        <v>-2.54631720079999E-4</v>
      </c>
    </row>
    <row r="853" spans="1:36" x14ac:dyDescent="0.2">
      <c r="A853" t="s">
        <v>8</v>
      </c>
      <c r="B853">
        <v>4</v>
      </c>
      <c r="C853" s="2">
        <v>43706</v>
      </c>
      <c r="D853" s="13">
        <v>241.67378499999904</v>
      </c>
      <c r="E853" s="13"/>
      <c r="F853" s="4">
        <v>443.7</v>
      </c>
      <c r="H853">
        <v>11.5</v>
      </c>
      <c r="J853">
        <v>26.11</v>
      </c>
      <c r="L853">
        <v>43.4</v>
      </c>
      <c r="N853">
        <v>0.52</v>
      </c>
      <c r="P853">
        <v>7.4645352490878096</v>
      </c>
      <c r="S853">
        <v>-4.3035612637606202E-4</v>
      </c>
      <c r="T853" s="6"/>
      <c r="U853" s="6"/>
      <c r="X853" t="s">
        <v>8</v>
      </c>
      <c r="Y853">
        <v>4</v>
      </c>
      <c r="Z853" t="s">
        <v>2</v>
      </c>
      <c r="AA853" s="16">
        <v>43706</v>
      </c>
      <c r="AB853">
        <v>241.66788499999893</v>
      </c>
      <c r="AC853" s="4">
        <v>363.7</v>
      </c>
      <c r="AE853">
        <v>0.82909630438341397</v>
      </c>
      <c r="AH853">
        <v>-5.1245417289403803E-4</v>
      </c>
    </row>
    <row r="854" spans="1:36" x14ac:dyDescent="0.2">
      <c r="A854" t="s">
        <v>8</v>
      </c>
      <c r="B854">
        <v>5</v>
      </c>
      <c r="C854" s="2">
        <v>43706</v>
      </c>
      <c r="D854" s="13">
        <v>241.68564500000139</v>
      </c>
      <c r="E854" s="13"/>
      <c r="F854" s="4">
        <v>1151.2</v>
      </c>
      <c r="H854">
        <v>10.7</v>
      </c>
      <c r="J854">
        <v>26.11</v>
      </c>
      <c r="L854">
        <v>36</v>
      </c>
      <c r="N854">
        <v>0.57999999999999996</v>
      </c>
      <c r="P854">
        <v>10.478655527611799</v>
      </c>
      <c r="S854">
        <v>-5.9800198557199904E-4</v>
      </c>
      <c r="T854" s="6"/>
      <c r="U854" s="6"/>
      <c r="X854" t="s">
        <v>8</v>
      </c>
      <c r="Y854">
        <v>5</v>
      </c>
      <c r="Z854" t="s">
        <v>2</v>
      </c>
      <c r="AA854" s="16">
        <v>43706</v>
      </c>
      <c r="AB854">
        <v>241.67962999999872</v>
      </c>
      <c r="AC854" s="4">
        <v>791.2</v>
      </c>
      <c r="AE854">
        <v>3.2581613262617699</v>
      </c>
      <c r="AH854">
        <v>-3.8643844504514301E-4</v>
      </c>
    </row>
    <row r="855" spans="1:36" x14ac:dyDescent="0.2">
      <c r="A855" t="s">
        <v>8</v>
      </c>
      <c r="B855">
        <v>1</v>
      </c>
      <c r="C855" s="2">
        <v>43719</v>
      </c>
      <c r="D855" s="13">
        <v>254.40711499999816</v>
      </c>
      <c r="E855" s="13">
        <v>254.43364499999953</v>
      </c>
      <c r="F855" s="4">
        <v>951.2</v>
      </c>
      <c r="G855" s="4">
        <v>1227.7</v>
      </c>
      <c r="H855">
        <v>7.9</v>
      </c>
      <c r="I855">
        <v>8.26</v>
      </c>
      <c r="J855">
        <v>21.67</v>
      </c>
      <c r="K855">
        <v>23</v>
      </c>
      <c r="L855">
        <v>49.9</v>
      </c>
      <c r="M855">
        <v>40.299999999999997</v>
      </c>
      <c r="N855">
        <v>0.61</v>
      </c>
      <c r="O855" s="4">
        <v>0.6359999999999999</v>
      </c>
      <c r="P855">
        <v>8.6733900336604997</v>
      </c>
      <c r="Q855">
        <v>7.3217510223021565</v>
      </c>
      <c r="R855">
        <v>1.0549630073321332</v>
      </c>
      <c r="S855">
        <v>-7.71257380550553E-4</v>
      </c>
      <c r="T855" s="6">
        <v>-4.3746934736558514E-4</v>
      </c>
      <c r="U855" s="6">
        <v>2.5257925550716714E-4</v>
      </c>
      <c r="X855" t="s">
        <v>8</v>
      </c>
      <c r="Y855">
        <v>1</v>
      </c>
      <c r="Z855" t="s">
        <v>2</v>
      </c>
      <c r="AA855" s="16">
        <v>43719</v>
      </c>
      <c r="AB855">
        <v>254.40017499999885</v>
      </c>
      <c r="AC855" s="4">
        <v>956.2</v>
      </c>
      <c r="AD855" s="4">
        <v>1145.7</v>
      </c>
      <c r="AE855">
        <v>-9.3433032491200708E-3</v>
      </c>
      <c r="AF855">
        <v>-3.1483415694303405</v>
      </c>
      <c r="AG855">
        <v>2.1110759517754953</v>
      </c>
      <c r="AH855">
        <v>-1.19051465482395E-3</v>
      </c>
      <c r="AI855">
        <v>-4.7089685615778562E-4</v>
      </c>
      <c r="AJ855">
        <v>4.1160653308337889E-4</v>
      </c>
    </row>
    <row r="856" spans="1:36" x14ac:dyDescent="0.2">
      <c r="A856" t="s">
        <v>8</v>
      </c>
      <c r="B856">
        <v>2</v>
      </c>
      <c r="C856" s="2">
        <v>43719</v>
      </c>
      <c r="D856" s="13">
        <v>254.42048499999873</v>
      </c>
      <c r="E856" s="13"/>
      <c r="F856" s="4">
        <v>1126.2</v>
      </c>
      <c r="H856">
        <v>11.1</v>
      </c>
      <c r="J856">
        <v>21.67</v>
      </c>
      <c r="L856">
        <v>42.3</v>
      </c>
      <c r="N856">
        <v>0.63</v>
      </c>
      <c r="P856">
        <v>5.8053355108589404</v>
      </c>
      <c r="S856">
        <v>-3.8509572060111801E-4</v>
      </c>
      <c r="X856" t="s">
        <v>8</v>
      </c>
      <c r="Y856">
        <v>2</v>
      </c>
      <c r="Z856" t="s">
        <v>2</v>
      </c>
      <c r="AA856" s="16">
        <v>43719</v>
      </c>
      <c r="AB856">
        <v>254.41412000000128</v>
      </c>
      <c r="AC856" s="4">
        <v>1053.7</v>
      </c>
      <c r="AE856">
        <v>-3.3954773497148798</v>
      </c>
      <c r="AH856">
        <v>-1.98826622013111E-4</v>
      </c>
    </row>
    <row r="857" spans="1:36" x14ac:dyDescent="0.2">
      <c r="A857" t="s">
        <v>8</v>
      </c>
      <c r="B857">
        <v>3</v>
      </c>
      <c r="C857" s="2">
        <v>43719</v>
      </c>
      <c r="D857" s="13">
        <v>254.43362500000148</v>
      </c>
      <c r="E857" s="13"/>
      <c r="F857" s="4">
        <v>1181.2</v>
      </c>
      <c r="H857">
        <v>7.1</v>
      </c>
      <c r="J857">
        <v>23.33</v>
      </c>
      <c r="L857">
        <v>31.6</v>
      </c>
      <c r="N857">
        <v>0.66</v>
      </c>
      <c r="P857">
        <v>6.9895228246154701</v>
      </c>
      <c r="S857">
        <v>-2.9047299044766898E-4</v>
      </c>
      <c r="T857" s="6"/>
      <c r="U857" s="6"/>
      <c r="X857" t="s">
        <v>8</v>
      </c>
      <c r="Y857">
        <v>3</v>
      </c>
      <c r="Z857" t="s">
        <v>2</v>
      </c>
      <c r="AA857" s="16">
        <v>43719</v>
      </c>
      <c r="AB857">
        <v>254.42708499999935</v>
      </c>
      <c r="AC857" s="4">
        <v>1146.2</v>
      </c>
      <c r="AE857">
        <v>-4.6101273811160102</v>
      </c>
      <c r="AH857">
        <v>-4.03577038048371E-4</v>
      </c>
    </row>
    <row r="858" spans="1:36" x14ac:dyDescent="0.2">
      <c r="A858" t="s">
        <v>8</v>
      </c>
      <c r="B858">
        <v>4</v>
      </c>
      <c r="C858" s="2">
        <v>43719</v>
      </c>
      <c r="D858" s="13">
        <v>254.44710499999928</v>
      </c>
      <c r="E858" s="13"/>
      <c r="F858" s="4">
        <v>1321.2</v>
      </c>
      <c r="H858">
        <v>7</v>
      </c>
      <c r="J858">
        <v>23.33</v>
      </c>
      <c r="L858">
        <v>41.5</v>
      </c>
      <c r="N858">
        <v>0.63</v>
      </c>
      <c r="P858">
        <v>7.356406046159</v>
      </c>
      <c r="S858">
        <v>-6.0519184285911598E-4</v>
      </c>
      <c r="T858" s="6"/>
      <c r="U858" s="6"/>
      <c r="X858" t="s">
        <v>8</v>
      </c>
      <c r="Y858">
        <v>4</v>
      </c>
      <c r="Z858" t="s">
        <v>2</v>
      </c>
      <c r="AA858" s="16">
        <v>43719</v>
      </c>
      <c r="AB858">
        <v>254.44016499999998</v>
      </c>
      <c r="AC858" s="4">
        <v>1256.2</v>
      </c>
      <c r="AE858">
        <v>-5.40493806005568</v>
      </c>
      <c r="AH858">
        <v>-3.4782489656522202E-4</v>
      </c>
    </row>
    <row r="859" spans="1:36" x14ac:dyDescent="0.2">
      <c r="A859" t="s">
        <v>8</v>
      </c>
      <c r="B859">
        <v>5</v>
      </c>
      <c r="C859" s="2">
        <v>43719</v>
      </c>
      <c r="D859" s="13">
        <v>254.45989499999996</v>
      </c>
      <c r="E859" s="13"/>
      <c r="F859" s="4">
        <v>1558.7</v>
      </c>
      <c r="H859">
        <v>8.1999999999999993</v>
      </c>
      <c r="J859">
        <v>25</v>
      </c>
      <c r="L859">
        <v>36.200000000000003</v>
      </c>
      <c r="N859">
        <v>0.65</v>
      </c>
      <c r="P859">
        <v>7.7841006962168704</v>
      </c>
      <c r="S859">
        <v>-1.3532880236947001E-4</v>
      </c>
      <c r="T859" s="6"/>
      <c r="U859" s="6"/>
      <c r="X859" t="s">
        <v>8</v>
      </c>
      <c r="Y859">
        <v>5</v>
      </c>
      <c r="Z859" t="s">
        <v>2</v>
      </c>
      <c r="AA859" s="16">
        <v>43719</v>
      </c>
      <c r="AB859">
        <v>254.45283500000005</v>
      </c>
      <c r="AC859" s="4">
        <v>1316.2</v>
      </c>
      <c r="AE859">
        <v>-2.3218217530160099</v>
      </c>
      <c r="AH859">
        <v>-2.1374106933827401E-4</v>
      </c>
    </row>
    <row r="860" spans="1:36" x14ac:dyDescent="0.2">
      <c r="A860" t="s">
        <v>8</v>
      </c>
      <c r="B860">
        <v>1</v>
      </c>
      <c r="C860" s="2">
        <v>43719</v>
      </c>
      <c r="D860" s="13">
        <v>254.49102999999741</v>
      </c>
      <c r="E860" s="13">
        <v>254.51847199999901</v>
      </c>
      <c r="F860" s="4">
        <v>1483.7</v>
      </c>
      <c r="G860" s="4">
        <v>1503.2</v>
      </c>
      <c r="H860">
        <v>7.6</v>
      </c>
      <c r="I860">
        <v>9.5399999999999991</v>
      </c>
      <c r="J860">
        <v>25.56</v>
      </c>
      <c r="K860">
        <v>26.224</v>
      </c>
      <c r="L860">
        <v>42</v>
      </c>
      <c r="M860">
        <v>41.620000000000005</v>
      </c>
      <c r="N860">
        <v>0.61</v>
      </c>
      <c r="O860" s="4">
        <v>0.63</v>
      </c>
      <c r="P860">
        <v>10.4330322416378</v>
      </c>
      <c r="Q860">
        <v>8.8117750077471086</v>
      </c>
      <c r="R860">
        <v>1.3976570120196121</v>
      </c>
      <c r="S860">
        <v>-3.3456606621245399E-4</v>
      </c>
      <c r="T860" s="6">
        <v>-3.3410997483907938E-4</v>
      </c>
      <c r="U860" s="6">
        <v>5.6019100882220926E-5</v>
      </c>
      <c r="X860" t="s">
        <v>8</v>
      </c>
      <c r="Y860">
        <v>1</v>
      </c>
      <c r="Z860" t="s">
        <v>2</v>
      </c>
      <c r="AA860" s="16">
        <v>43719</v>
      </c>
      <c r="AB860">
        <v>254.4849549999999</v>
      </c>
      <c r="AC860" s="4">
        <v>1498.7</v>
      </c>
      <c r="AD860" s="4">
        <v>1508.2</v>
      </c>
      <c r="AE860">
        <v>-5.8638971173702501</v>
      </c>
      <c r="AF860">
        <v>-2.3877254135961636</v>
      </c>
      <c r="AG860">
        <v>2.0892056030414197</v>
      </c>
      <c r="AH860">
        <v>-6.2884530937065903E-4</v>
      </c>
      <c r="AI860">
        <v>-3.5267431710226841E-4</v>
      </c>
      <c r="AJ860">
        <v>2.0408157328817098E-4</v>
      </c>
    </row>
    <row r="861" spans="1:36" x14ac:dyDescent="0.2">
      <c r="A861" t="s">
        <v>8</v>
      </c>
      <c r="B861">
        <v>2</v>
      </c>
      <c r="C861" s="2">
        <v>43719</v>
      </c>
      <c r="D861" s="13">
        <v>254.50422500000059</v>
      </c>
      <c r="E861" s="13"/>
      <c r="F861" s="4">
        <v>1458.7</v>
      </c>
      <c r="H861">
        <v>12.7</v>
      </c>
      <c r="J861">
        <v>25.56</v>
      </c>
      <c r="L861">
        <v>46.8</v>
      </c>
      <c r="N861">
        <v>0.6</v>
      </c>
      <c r="P861">
        <v>7.4513640112929904</v>
      </c>
      <c r="S861">
        <v>-2.8410130199256299E-4</v>
      </c>
      <c r="X861" t="s">
        <v>8</v>
      </c>
      <c r="Y861">
        <v>2</v>
      </c>
      <c r="Z861" t="s">
        <v>2</v>
      </c>
      <c r="AA861" s="16">
        <v>43719</v>
      </c>
      <c r="AB861">
        <v>254.49658500000078</v>
      </c>
      <c r="AC861" s="4">
        <v>1463.7</v>
      </c>
      <c r="AE861">
        <v>-1.00662126849911</v>
      </c>
      <c r="AH861">
        <v>-2.8157401153881801E-4</v>
      </c>
    </row>
    <row r="862" spans="1:36" x14ac:dyDescent="0.2">
      <c r="A862" t="s">
        <v>8</v>
      </c>
      <c r="B862">
        <v>3</v>
      </c>
      <c r="C862" s="2">
        <v>43719</v>
      </c>
      <c r="D862" s="13">
        <v>254.51851499999975</v>
      </c>
      <c r="E862" s="13"/>
      <c r="F862" s="4">
        <v>1518.7</v>
      </c>
      <c r="H862">
        <v>7.6</v>
      </c>
      <c r="J862">
        <v>25.56</v>
      </c>
      <c r="L862">
        <v>44.1</v>
      </c>
      <c r="N862">
        <v>0.71</v>
      </c>
      <c r="P862">
        <v>9.2056552166108201</v>
      </c>
      <c r="S862">
        <v>-3.16789689750768E-4</v>
      </c>
      <c r="T862" s="6"/>
      <c r="U862" s="6"/>
      <c r="X862" t="s">
        <v>8</v>
      </c>
      <c r="Y862">
        <v>3</v>
      </c>
      <c r="Z862" t="s">
        <v>2</v>
      </c>
      <c r="AA862" s="16">
        <v>43719</v>
      </c>
      <c r="AB862">
        <v>254.51105499999903</v>
      </c>
      <c r="AC862" s="4">
        <v>1508.7</v>
      </c>
      <c r="AE862">
        <v>-1.95220537975396</v>
      </c>
      <c r="AH862">
        <v>-3.0408200705812102E-4</v>
      </c>
    </row>
    <row r="863" spans="1:36" x14ac:dyDescent="0.2">
      <c r="A863" t="s">
        <v>8</v>
      </c>
      <c r="B863">
        <v>4</v>
      </c>
      <c r="C863" s="2">
        <v>43719</v>
      </c>
      <c r="D863" s="13">
        <v>254.53194499999881</v>
      </c>
      <c r="E863" s="13"/>
      <c r="F863" s="4">
        <v>1531.2</v>
      </c>
      <c r="H863">
        <v>7.9</v>
      </c>
      <c r="J863">
        <v>27.22</v>
      </c>
      <c r="L863">
        <v>34.9</v>
      </c>
      <c r="N863">
        <v>0.63</v>
      </c>
      <c r="P863">
        <v>7.2668091366454197</v>
      </c>
      <c r="S863">
        <v>-4.2884690101662398E-4</v>
      </c>
      <c r="T863" s="6"/>
      <c r="U863" s="6"/>
      <c r="X863" t="s">
        <v>8</v>
      </c>
      <c r="Y863">
        <v>4</v>
      </c>
      <c r="Z863" t="s">
        <v>2</v>
      </c>
      <c r="AA863" s="16">
        <v>43719</v>
      </c>
      <c r="AB863">
        <v>254.52517499999885</v>
      </c>
      <c r="AC863" s="4">
        <v>1511.2</v>
      </c>
      <c r="AE863">
        <v>-2.5329324560985498</v>
      </c>
      <c r="AH863">
        <v>-4.6240790608916298E-4</v>
      </c>
    </row>
    <row r="864" spans="1:36" x14ac:dyDescent="0.2">
      <c r="A864" t="s">
        <v>8</v>
      </c>
      <c r="B864">
        <v>5</v>
      </c>
      <c r="C864" s="2">
        <v>43719</v>
      </c>
      <c r="D864" s="13">
        <v>254.54664499999853</v>
      </c>
      <c r="E864" s="13"/>
      <c r="F864" s="4">
        <v>1523.7</v>
      </c>
      <c r="H864">
        <v>11.9</v>
      </c>
      <c r="J864">
        <v>27.22</v>
      </c>
      <c r="L864">
        <v>40.299999999999997</v>
      </c>
      <c r="N864">
        <v>0.6</v>
      </c>
      <c r="P864">
        <v>9.7020144325485091</v>
      </c>
      <c r="S864">
        <v>-3.0624591522298802E-4</v>
      </c>
      <c r="T864" s="6"/>
      <c r="U864" s="6"/>
      <c r="X864" t="s">
        <v>8</v>
      </c>
      <c r="Y864">
        <v>5</v>
      </c>
      <c r="Z864" t="s">
        <v>2</v>
      </c>
      <c r="AA864" s="16">
        <v>43719</v>
      </c>
      <c r="AB864">
        <v>254.53917500000171</v>
      </c>
      <c r="AC864" s="4">
        <v>1558.7</v>
      </c>
      <c r="AE864">
        <v>-0.58297084625894902</v>
      </c>
      <c r="AH864">
        <v>-8.6462351454580702E-5</v>
      </c>
    </row>
    <row r="865" spans="1:36" x14ac:dyDescent="0.2">
      <c r="A865" t="s">
        <v>8</v>
      </c>
      <c r="B865">
        <v>1</v>
      </c>
      <c r="C865" s="2">
        <v>43726</v>
      </c>
      <c r="D865" s="13">
        <v>261.6206600000005</v>
      </c>
      <c r="E865" s="13">
        <v>261.64893599999994</v>
      </c>
      <c r="F865" s="4">
        <v>1263.7</v>
      </c>
      <c r="G865" s="4">
        <v>957.7</v>
      </c>
      <c r="H865">
        <v>5.7</v>
      </c>
      <c r="I865">
        <v>8.0599999999999987</v>
      </c>
      <c r="J865">
        <v>20</v>
      </c>
      <c r="K865">
        <v>20.112000000000002</v>
      </c>
      <c r="L865">
        <v>39.6</v>
      </c>
      <c r="M865">
        <v>41.720000000000006</v>
      </c>
      <c r="N865">
        <v>62</v>
      </c>
      <c r="O865" s="4">
        <v>62.4</v>
      </c>
      <c r="P865">
        <v>12.851771436602199</v>
      </c>
      <c r="Q865">
        <v>7.9222578171034446</v>
      </c>
      <c r="R865">
        <v>3.0307226665534439</v>
      </c>
      <c r="S865">
        <v>-1.52179032308459E-4</v>
      </c>
      <c r="T865" s="6">
        <v>-4.3349251671060839E-4</v>
      </c>
      <c r="U865" s="6">
        <v>2.620834745551972E-4</v>
      </c>
      <c r="X865" t="s">
        <v>8</v>
      </c>
      <c r="Y865">
        <v>1</v>
      </c>
      <c r="Z865" t="s">
        <v>2</v>
      </c>
      <c r="AA865" s="16">
        <v>43726</v>
      </c>
      <c r="AB865">
        <v>261.61637500000143</v>
      </c>
      <c r="AC865" s="4">
        <v>1456.2</v>
      </c>
      <c r="AD865" s="4">
        <v>1033.2</v>
      </c>
      <c r="AE865">
        <v>-4.6252804878671796</v>
      </c>
      <c r="AF865">
        <v>-1.4742676780043347</v>
      </c>
      <c r="AG865">
        <v>2.7740660349343145</v>
      </c>
      <c r="AH865">
        <v>-8.6515780643786101E-4</v>
      </c>
      <c r="AI865">
        <v>-5.4127329891559659E-4</v>
      </c>
      <c r="AJ865">
        <v>1.9372013185183431E-4</v>
      </c>
    </row>
    <row r="866" spans="1:36" x14ac:dyDescent="0.2">
      <c r="A866" t="s">
        <v>8</v>
      </c>
      <c r="B866">
        <v>2</v>
      </c>
      <c r="C866" s="2">
        <v>43726</v>
      </c>
      <c r="D866" s="13">
        <v>261.63535499999853</v>
      </c>
      <c r="E866" s="13"/>
      <c r="F866" s="4">
        <v>703.7</v>
      </c>
      <c r="H866">
        <v>8.3000000000000007</v>
      </c>
      <c r="J866">
        <v>20</v>
      </c>
      <c r="L866">
        <v>47.1</v>
      </c>
      <c r="N866">
        <v>63</v>
      </c>
      <c r="P866">
        <v>5.8237002341833097</v>
      </c>
      <c r="S866">
        <v>-3.3053544569770901E-4</v>
      </c>
      <c r="X866" t="s">
        <v>8</v>
      </c>
      <c r="Y866">
        <v>2</v>
      </c>
      <c r="Z866" t="s">
        <v>2</v>
      </c>
      <c r="AA866" s="16">
        <v>43726</v>
      </c>
      <c r="AB866">
        <v>261.62870499999917</v>
      </c>
      <c r="AC866" s="4">
        <v>1371.2</v>
      </c>
      <c r="AE866">
        <v>2.6454963345948102</v>
      </c>
      <c r="AH866">
        <v>-4.0473584219310002E-4</v>
      </c>
    </row>
    <row r="867" spans="1:36" x14ac:dyDescent="0.2">
      <c r="A867" t="s">
        <v>8</v>
      </c>
      <c r="B867">
        <v>3</v>
      </c>
      <c r="C867" s="2">
        <v>43726</v>
      </c>
      <c r="D867" s="13">
        <v>261.64861500000188</v>
      </c>
      <c r="E867" s="13"/>
      <c r="F867" s="4">
        <v>1343.7</v>
      </c>
      <c r="H867">
        <v>9.1</v>
      </c>
      <c r="J867">
        <v>20</v>
      </c>
      <c r="L867">
        <v>48.1</v>
      </c>
      <c r="N867">
        <v>61</v>
      </c>
      <c r="P867">
        <v>7.7522034208452801</v>
      </c>
      <c r="S867">
        <v>-8.5203296589894304E-4</v>
      </c>
      <c r="T867" s="6"/>
      <c r="U867" s="6"/>
      <c r="X867" t="s">
        <v>8</v>
      </c>
      <c r="Y867">
        <v>3</v>
      </c>
      <c r="Z867" t="s">
        <v>2</v>
      </c>
      <c r="AA867" s="16">
        <v>43726</v>
      </c>
      <c r="AB867">
        <v>261.64126499999838</v>
      </c>
      <c r="AC867" s="4">
        <v>316.2</v>
      </c>
      <c r="AE867">
        <v>-2.1959892822096898</v>
      </c>
      <c r="AH867">
        <v>-5.7562581132183704E-4</v>
      </c>
    </row>
    <row r="868" spans="1:36" x14ac:dyDescent="0.2">
      <c r="A868" t="s">
        <v>8</v>
      </c>
      <c r="B868">
        <v>4</v>
      </c>
      <c r="C868" s="2">
        <v>43726</v>
      </c>
      <c r="D868" s="13">
        <v>261.66400499999872</v>
      </c>
      <c r="E868" s="13"/>
      <c r="F868" s="4">
        <v>1021.2</v>
      </c>
      <c r="H868">
        <v>5.4</v>
      </c>
      <c r="J868">
        <v>20</v>
      </c>
      <c r="L868">
        <v>39</v>
      </c>
      <c r="N868">
        <v>61</v>
      </c>
      <c r="P868">
        <v>5.0971575723002296</v>
      </c>
      <c r="S868">
        <v>-3.4834935287455501E-4</v>
      </c>
      <c r="T868" s="6"/>
      <c r="U868" s="6"/>
      <c r="X868" t="s">
        <v>8</v>
      </c>
      <c r="Y868">
        <v>4</v>
      </c>
      <c r="Z868" t="s">
        <v>2</v>
      </c>
      <c r="AA868" s="16">
        <v>43726</v>
      </c>
      <c r="AB868">
        <v>261.65636499999891</v>
      </c>
      <c r="AC868" s="4">
        <v>1023.7</v>
      </c>
      <c r="AE868">
        <v>-2.88794493448713</v>
      </c>
      <c r="AH868">
        <v>-4.1028818312002698E-4</v>
      </c>
    </row>
    <row r="869" spans="1:36" x14ac:dyDescent="0.2">
      <c r="A869" t="s">
        <v>8</v>
      </c>
      <c r="B869">
        <v>5</v>
      </c>
      <c r="C869" s="2">
        <v>43726</v>
      </c>
      <c r="D869" s="13">
        <v>261.67604500000016</v>
      </c>
      <c r="E869" s="13"/>
      <c r="F869" s="4">
        <v>456.2</v>
      </c>
      <c r="H869">
        <v>11.8</v>
      </c>
      <c r="J869">
        <v>20.56</v>
      </c>
      <c r="L869">
        <v>34.799999999999997</v>
      </c>
      <c r="N869">
        <v>65</v>
      </c>
      <c r="P869">
        <v>8.0864564215862007</v>
      </c>
      <c r="S869">
        <v>-4.84365786773376E-4</v>
      </c>
      <c r="T869" s="6"/>
      <c r="U869" s="6"/>
      <c r="X869" t="s">
        <v>8</v>
      </c>
      <c r="Y869">
        <v>5</v>
      </c>
      <c r="Z869" t="s">
        <v>2</v>
      </c>
      <c r="AA869" s="16">
        <v>43726</v>
      </c>
      <c r="AB869">
        <v>261.66979500000161</v>
      </c>
      <c r="AC869" s="4">
        <v>998.7</v>
      </c>
      <c r="AE869">
        <v>-0.30762002005248401</v>
      </c>
      <c r="AH869">
        <v>-4.5055885150515799E-4</v>
      </c>
    </row>
    <row r="870" spans="1:36" x14ac:dyDescent="0.2">
      <c r="A870" t="s">
        <v>8</v>
      </c>
      <c r="B870">
        <v>1</v>
      </c>
      <c r="C870" s="2">
        <v>43733</v>
      </c>
      <c r="D870" s="13">
        <v>268.44409499999892</v>
      </c>
      <c r="E870" s="13">
        <v>268.47342600000047</v>
      </c>
      <c r="F870" s="4">
        <v>1328.7</v>
      </c>
      <c r="G870" s="4">
        <v>1472.7</v>
      </c>
      <c r="H870">
        <v>4.3</v>
      </c>
      <c r="I870">
        <v>5.0199999999999996</v>
      </c>
      <c r="J870">
        <v>16.670000000000002</v>
      </c>
      <c r="K870">
        <v>17.558</v>
      </c>
      <c r="L870">
        <v>35.1</v>
      </c>
      <c r="M870">
        <v>36.020000000000003</v>
      </c>
      <c r="O870" s="4" t="e">
        <v>#DIV/0!</v>
      </c>
      <c r="P870">
        <v>8.1437721168389707</v>
      </c>
      <c r="Q870">
        <v>6.9115628123434716</v>
      </c>
      <c r="R870">
        <v>0.88529322946769118</v>
      </c>
      <c r="S870">
        <v>-9.3047282120317599E-4</v>
      </c>
      <c r="T870" s="6">
        <v>-6.2027218708514669E-4</v>
      </c>
      <c r="U870" s="6">
        <v>1.8464666700088278E-4</v>
      </c>
      <c r="X870" t="s">
        <v>8</v>
      </c>
      <c r="Y870">
        <v>1</v>
      </c>
      <c r="Z870" t="s">
        <v>2</v>
      </c>
      <c r="AA870" s="16">
        <v>43733</v>
      </c>
      <c r="AB870">
        <v>268.43576499999836</v>
      </c>
      <c r="AC870" s="4">
        <v>1281.2</v>
      </c>
      <c r="AD870" s="4">
        <v>1338.7</v>
      </c>
      <c r="AE870">
        <v>-6.6545046858759198</v>
      </c>
      <c r="AF870">
        <v>-2.3065814887971365</v>
      </c>
      <c r="AG870">
        <v>2.9717310763982812</v>
      </c>
      <c r="AH870">
        <v>-5.0990368689568803E-4</v>
      </c>
      <c r="AI870">
        <v>-5.1626504741865463E-4</v>
      </c>
      <c r="AJ870">
        <v>6.7106594834706953E-5</v>
      </c>
    </row>
    <row r="871" spans="1:36" x14ac:dyDescent="0.2">
      <c r="A871" t="s">
        <v>8</v>
      </c>
      <c r="B871">
        <v>2</v>
      </c>
      <c r="C871" s="2">
        <v>43733</v>
      </c>
      <c r="D871" s="13">
        <v>268.45873500000016</v>
      </c>
      <c r="E871" s="13"/>
      <c r="F871" s="4">
        <v>1396.2</v>
      </c>
      <c r="H871">
        <v>7.2</v>
      </c>
      <c r="J871">
        <v>16.670000000000002</v>
      </c>
      <c r="L871">
        <v>41.7</v>
      </c>
      <c r="P871">
        <v>6.2458999066146799</v>
      </c>
      <c r="S871">
        <v>-6.3074829098154505E-4</v>
      </c>
      <c r="X871" t="s">
        <v>8</v>
      </c>
      <c r="Y871">
        <v>2</v>
      </c>
      <c r="Z871" t="s">
        <v>2</v>
      </c>
      <c r="AA871" s="16">
        <v>43733</v>
      </c>
      <c r="AB871">
        <v>268.45121500000096</v>
      </c>
      <c r="AC871" s="4">
        <v>1363.7</v>
      </c>
      <c r="AE871">
        <v>0.54644528169380602</v>
      </c>
      <c r="AH871">
        <v>-6.1712092666610201E-4</v>
      </c>
    </row>
    <row r="872" spans="1:36" x14ac:dyDescent="0.2">
      <c r="A872" t="s">
        <v>8</v>
      </c>
      <c r="B872">
        <v>3</v>
      </c>
      <c r="C872" s="2">
        <v>43733</v>
      </c>
      <c r="D872" s="13">
        <v>268.47228000000177</v>
      </c>
      <c r="E872" s="13"/>
      <c r="F872" s="4">
        <v>1458.7</v>
      </c>
      <c r="H872">
        <v>4.0999999999999996</v>
      </c>
      <c r="J872">
        <v>16.670000000000002</v>
      </c>
      <c r="L872">
        <v>24.7</v>
      </c>
      <c r="P872">
        <v>7.4674444861142604</v>
      </c>
      <c r="S872">
        <v>-5.7513872208248495E-4</v>
      </c>
      <c r="T872" s="6"/>
      <c r="U872" s="6"/>
      <c r="X872" t="s">
        <v>8</v>
      </c>
      <c r="Y872">
        <v>3</v>
      </c>
      <c r="Z872" t="s">
        <v>2</v>
      </c>
      <c r="AA872" s="16">
        <v>43733</v>
      </c>
      <c r="AB872">
        <v>268.46608500000002</v>
      </c>
      <c r="AC872" s="4">
        <v>1436.2</v>
      </c>
      <c r="AE872">
        <v>-2.6956142900293099</v>
      </c>
      <c r="AH872">
        <v>-4.8300385706443599E-4</v>
      </c>
    </row>
    <row r="873" spans="1:36" x14ac:dyDescent="0.2">
      <c r="A873" t="s">
        <v>8</v>
      </c>
      <c r="B873">
        <v>4</v>
      </c>
      <c r="C873" s="2">
        <v>43733</v>
      </c>
      <c r="D873" s="13">
        <v>268.48854500000016</v>
      </c>
      <c r="E873" s="13"/>
      <c r="F873" s="4">
        <v>1581.2</v>
      </c>
      <c r="H873">
        <v>4.3</v>
      </c>
      <c r="J873">
        <v>16.670000000000002</v>
      </c>
      <c r="L873">
        <v>35.4</v>
      </c>
      <c r="P873">
        <v>6.0078559220088401</v>
      </c>
      <c r="S873">
        <v>-4.8720730444468601E-4</v>
      </c>
      <c r="T873" s="6"/>
      <c r="U873" s="6"/>
      <c r="X873" t="s">
        <v>8</v>
      </c>
      <c r="Y873">
        <v>4</v>
      </c>
      <c r="Z873" t="s">
        <v>2</v>
      </c>
      <c r="AA873" s="16">
        <v>43733</v>
      </c>
      <c r="AB873">
        <v>268.4806150000004</v>
      </c>
      <c r="AC873" s="4">
        <v>1038.7</v>
      </c>
      <c r="AE873">
        <v>-3.1471155835457898</v>
      </c>
      <c r="AH873">
        <v>-4.3655796686062299E-4</v>
      </c>
    </row>
    <row r="874" spans="1:36" x14ac:dyDescent="0.2">
      <c r="A874" t="s">
        <v>8</v>
      </c>
      <c r="B874">
        <v>5</v>
      </c>
      <c r="C874" s="2">
        <v>43733</v>
      </c>
      <c r="D874" s="13">
        <v>268.50347500000134</v>
      </c>
      <c r="E874" s="13"/>
      <c r="F874" s="4">
        <v>1598.7</v>
      </c>
      <c r="H874">
        <v>5.2</v>
      </c>
      <c r="J874">
        <v>21.11</v>
      </c>
      <c r="L874">
        <v>43.2</v>
      </c>
      <c r="P874">
        <v>6.6928416301406104</v>
      </c>
      <c r="S874">
        <v>-4.7779379671384199E-4</v>
      </c>
      <c r="T874" s="6"/>
      <c r="U874" s="6"/>
      <c r="X874" t="s">
        <v>8</v>
      </c>
      <c r="Y874">
        <v>5</v>
      </c>
      <c r="Z874" t="s">
        <v>2</v>
      </c>
      <c r="AA874" s="16">
        <v>43733</v>
      </c>
      <c r="AB874">
        <v>268.49594999999681</v>
      </c>
      <c r="AC874" s="4">
        <v>1573.7</v>
      </c>
      <c r="AE874">
        <v>0.41788183377152999</v>
      </c>
      <c r="AH874">
        <v>-5.3473879960642403E-4</v>
      </c>
    </row>
    <row r="875" spans="1:36" x14ac:dyDescent="0.2">
      <c r="A875" t="s">
        <v>8</v>
      </c>
      <c r="B875">
        <v>1</v>
      </c>
      <c r="C875" s="2">
        <v>43733</v>
      </c>
      <c r="D875" s="13">
        <v>268.54340500000035</v>
      </c>
      <c r="E875" s="13">
        <v>268.56942199999975</v>
      </c>
      <c r="F875" s="4">
        <v>1618.7</v>
      </c>
      <c r="G875" s="4">
        <v>1496.2</v>
      </c>
      <c r="H875">
        <v>4.4000000000000004</v>
      </c>
      <c r="I875">
        <v>4.5599999999999996</v>
      </c>
      <c r="J875">
        <v>21.11</v>
      </c>
      <c r="K875">
        <v>21.443999999999999</v>
      </c>
      <c r="L875">
        <v>46</v>
      </c>
      <c r="M875">
        <v>40.96</v>
      </c>
      <c r="O875" s="4" t="e">
        <v>#DIV/0!</v>
      </c>
      <c r="P875">
        <v>9.6932578679555004</v>
      </c>
      <c r="Q875">
        <v>7.7319420033458242</v>
      </c>
      <c r="R875">
        <v>1.3203531762041896</v>
      </c>
      <c r="S875">
        <v>-7.9585375936928903E-4</v>
      </c>
      <c r="T875" s="6">
        <v>-6.6460221368318218E-4</v>
      </c>
      <c r="U875" s="6">
        <v>9.22681255094451E-5</v>
      </c>
      <c r="X875" t="s">
        <v>8</v>
      </c>
      <c r="Y875">
        <v>1</v>
      </c>
      <c r="Z875" t="s">
        <v>2</v>
      </c>
      <c r="AA875" s="16">
        <v>43733</v>
      </c>
      <c r="AB875">
        <v>268.5376150000011</v>
      </c>
      <c r="AC875" s="4">
        <v>1663.7</v>
      </c>
      <c r="AD875" s="4">
        <v>1525.2</v>
      </c>
      <c r="AE875">
        <v>-4.0841588693327697</v>
      </c>
      <c r="AF875">
        <v>-0.34945563422860343</v>
      </c>
      <c r="AG875">
        <v>2.5554633814045595</v>
      </c>
      <c r="AH875">
        <v>-6.2371031412974997E-4</v>
      </c>
      <c r="AI875">
        <v>-5.4929071902602169E-4</v>
      </c>
      <c r="AJ875">
        <v>1.0759541420106302E-4</v>
      </c>
    </row>
    <row r="876" spans="1:36" x14ac:dyDescent="0.2">
      <c r="A876" t="s">
        <v>8</v>
      </c>
      <c r="B876">
        <v>2</v>
      </c>
      <c r="C876" s="2">
        <v>43733</v>
      </c>
      <c r="D876" s="13">
        <v>268.5565949999982</v>
      </c>
      <c r="E876" s="13"/>
      <c r="F876" s="4">
        <v>1531.2</v>
      </c>
      <c r="H876">
        <v>5.9</v>
      </c>
      <c r="J876">
        <v>21.11</v>
      </c>
      <c r="L876">
        <v>43</v>
      </c>
      <c r="P876">
        <v>6.7757120754592899</v>
      </c>
      <c r="S876">
        <v>-5.5340613427082503E-4</v>
      </c>
      <c r="X876" t="s">
        <v>8</v>
      </c>
      <c r="Y876">
        <v>2</v>
      </c>
      <c r="Z876" t="s">
        <v>2</v>
      </c>
      <c r="AA876" s="16">
        <v>43733</v>
      </c>
      <c r="AB876">
        <v>268.54965499999889</v>
      </c>
      <c r="AC876" s="4">
        <v>1566.2</v>
      </c>
      <c r="AE876">
        <v>1.69031460317564</v>
      </c>
      <c r="AH876">
        <v>-4.1552823283232202E-4</v>
      </c>
    </row>
    <row r="877" spans="1:36" x14ac:dyDescent="0.2">
      <c r="A877" t="s">
        <v>8</v>
      </c>
      <c r="B877">
        <v>3</v>
      </c>
      <c r="C877" s="2">
        <v>43733</v>
      </c>
      <c r="D877" s="13">
        <v>268.56955999999991</v>
      </c>
      <c r="E877" s="13"/>
      <c r="F877" s="4">
        <v>1496.2</v>
      </c>
      <c r="H877">
        <v>5.6</v>
      </c>
      <c r="J877">
        <v>21.11</v>
      </c>
      <c r="L877">
        <v>32</v>
      </c>
      <c r="P877">
        <v>8.1943885779894305</v>
      </c>
      <c r="S877">
        <v>-7.0588172668644604E-4</v>
      </c>
      <c r="T877" s="6"/>
      <c r="U877" s="6"/>
      <c r="X877" t="s">
        <v>8</v>
      </c>
      <c r="Y877">
        <v>3</v>
      </c>
      <c r="Z877" t="s">
        <v>2</v>
      </c>
      <c r="AA877" s="16">
        <v>43733</v>
      </c>
      <c r="AB877">
        <v>268.56400500000018</v>
      </c>
      <c r="AC877" s="4">
        <v>1511.2</v>
      </c>
      <c r="AE877">
        <v>-0.69719905638442703</v>
      </c>
      <c r="AH877">
        <v>-4.4879044198246399E-4</v>
      </c>
    </row>
    <row r="878" spans="1:36" x14ac:dyDescent="0.2">
      <c r="A878" t="s">
        <v>8</v>
      </c>
      <c r="B878">
        <v>4</v>
      </c>
      <c r="C878" s="2">
        <v>43733</v>
      </c>
      <c r="D878" s="13">
        <v>268.58275499999945</v>
      </c>
      <c r="E878" s="13"/>
      <c r="F878" s="4">
        <v>1446.2</v>
      </c>
      <c r="H878">
        <v>3</v>
      </c>
      <c r="J878">
        <v>21.11</v>
      </c>
      <c r="L878">
        <v>39.299999999999997</v>
      </c>
      <c r="P878">
        <v>6.3193857309652</v>
      </c>
      <c r="S878">
        <v>-6.1299309584635997E-4</v>
      </c>
      <c r="T878" s="6"/>
      <c r="U878" s="6"/>
      <c r="X878" t="s">
        <v>8</v>
      </c>
      <c r="Y878">
        <v>4</v>
      </c>
      <c r="Z878" t="s">
        <v>2</v>
      </c>
      <c r="AA878" s="16">
        <v>43733</v>
      </c>
      <c r="AB878">
        <v>268.57581000000209</v>
      </c>
      <c r="AC878" s="4">
        <v>1468.7</v>
      </c>
      <c r="AE878">
        <v>-1.0318944832686601</v>
      </c>
      <c r="AH878">
        <v>-6.2844129889145096E-4</v>
      </c>
    </row>
    <row r="879" spans="1:36" x14ac:dyDescent="0.2">
      <c r="A879" t="s">
        <v>8</v>
      </c>
      <c r="B879">
        <v>5</v>
      </c>
      <c r="C879" s="2">
        <v>43733</v>
      </c>
      <c r="D879" s="13">
        <v>268.59479500000089</v>
      </c>
      <c r="E879" s="13"/>
      <c r="F879" s="4">
        <v>1388.7</v>
      </c>
      <c r="H879">
        <v>3.9</v>
      </c>
      <c r="J879">
        <v>22.78</v>
      </c>
      <c r="L879">
        <v>44.5</v>
      </c>
      <c r="P879">
        <v>7.6769657643597</v>
      </c>
      <c r="S879">
        <v>-6.5487635224299105E-4</v>
      </c>
      <c r="T879" s="6"/>
      <c r="U879" s="6"/>
      <c r="X879" t="s">
        <v>8</v>
      </c>
      <c r="Y879">
        <v>5</v>
      </c>
      <c r="Z879" t="s">
        <v>2</v>
      </c>
      <c r="AA879" s="16">
        <v>43733</v>
      </c>
      <c r="AB879">
        <v>268.5885449999987</v>
      </c>
      <c r="AC879" s="4">
        <v>1416.2</v>
      </c>
      <c r="AE879">
        <v>2.3756596346671999</v>
      </c>
      <c r="AH879">
        <v>-6.2998330729412198E-4</v>
      </c>
    </row>
    <row r="880" spans="1:36" x14ac:dyDescent="0.2">
      <c r="A880" t="s">
        <v>8</v>
      </c>
      <c r="B880">
        <v>1</v>
      </c>
      <c r="C880" s="2">
        <v>43738</v>
      </c>
      <c r="D880" s="13">
        <v>273.43506999999954</v>
      </c>
      <c r="E880" s="13">
        <v>273.46173599999963</v>
      </c>
      <c r="F880" s="4">
        <v>1128.7</v>
      </c>
      <c r="G880" s="4">
        <v>1313.2</v>
      </c>
      <c r="H880">
        <v>5.7</v>
      </c>
      <c r="I880">
        <v>6.38</v>
      </c>
      <c r="J880">
        <v>13.89</v>
      </c>
      <c r="K880">
        <v>14.556000000000001</v>
      </c>
      <c r="L880">
        <v>34.5</v>
      </c>
      <c r="M880">
        <v>41</v>
      </c>
      <c r="N880">
        <v>0.65</v>
      </c>
      <c r="O880" s="4">
        <v>0.64400000000000002</v>
      </c>
      <c r="P880">
        <v>6.5308086666370304</v>
      </c>
      <c r="Q880">
        <v>5.4415188050388066</v>
      </c>
      <c r="R880">
        <v>0.85082388326339131</v>
      </c>
      <c r="S880">
        <v>-5.8860145034433996E-4</v>
      </c>
      <c r="T880" s="6">
        <v>-4.4077145526933277E-4</v>
      </c>
      <c r="U880" s="6">
        <v>1.0878068211403165E-4</v>
      </c>
      <c r="X880" t="s">
        <v>8</v>
      </c>
      <c r="Y880">
        <v>1</v>
      </c>
      <c r="Z880" t="s">
        <v>2</v>
      </c>
      <c r="AA880" s="16">
        <v>43738</v>
      </c>
      <c r="AB880">
        <v>273.42928500000198</v>
      </c>
      <c r="AC880" s="4">
        <v>1071.2</v>
      </c>
      <c r="AD880" s="4">
        <v>1141.2</v>
      </c>
      <c r="AE880">
        <v>-8.6637108396961207</v>
      </c>
      <c r="AF880">
        <v>-3.8870259051329166</v>
      </c>
      <c r="AG880">
        <v>3.2154630993628834</v>
      </c>
      <c r="AH880">
        <v>-6.8613133632093603E-4</v>
      </c>
      <c r="AI880">
        <v>-4.5393693005878796E-4</v>
      </c>
      <c r="AJ880">
        <v>1.4011262871240708E-4</v>
      </c>
    </row>
    <row r="881" spans="1:36" x14ac:dyDescent="0.2">
      <c r="A881" t="s">
        <v>8</v>
      </c>
      <c r="B881">
        <v>2</v>
      </c>
      <c r="C881" s="2">
        <v>43738</v>
      </c>
      <c r="D881" s="13">
        <v>273.44826499999908</v>
      </c>
      <c r="E881" s="13"/>
      <c r="F881" s="4">
        <v>1166.2</v>
      </c>
      <c r="H881">
        <v>8.1999999999999993</v>
      </c>
      <c r="J881">
        <v>13.89</v>
      </c>
      <c r="L881">
        <v>48</v>
      </c>
      <c r="N881">
        <v>0.64</v>
      </c>
      <c r="P881">
        <v>4.9614955341613101</v>
      </c>
      <c r="S881">
        <v>-4.8294872327220501E-4</v>
      </c>
      <c r="X881" t="s">
        <v>8</v>
      </c>
      <c r="Y881">
        <v>2</v>
      </c>
      <c r="Z881" t="s">
        <v>2</v>
      </c>
      <c r="AA881" s="16">
        <v>43738</v>
      </c>
      <c r="AB881">
        <v>273.44131999999809</v>
      </c>
      <c r="AC881" s="4">
        <v>1101.2</v>
      </c>
      <c r="AE881">
        <v>-0.95173216160802698</v>
      </c>
      <c r="AH881">
        <v>-4.56305878893949E-4</v>
      </c>
    </row>
    <row r="882" spans="1:36" x14ac:dyDescent="0.2">
      <c r="A882" t="s">
        <v>8</v>
      </c>
      <c r="B882">
        <v>3</v>
      </c>
      <c r="C882" s="2">
        <v>43738</v>
      </c>
      <c r="D882" s="13">
        <v>273.46076499999981</v>
      </c>
      <c r="E882" s="13"/>
      <c r="F882" s="4">
        <v>1428.7</v>
      </c>
      <c r="H882">
        <v>4.4000000000000004</v>
      </c>
      <c r="J882">
        <v>13.89</v>
      </c>
      <c r="L882">
        <v>39</v>
      </c>
      <c r="N882">
        <v>0.66</v>
      </c>
      <c r="P882">
        <v>5.45248307975986</v>
      </c>
      <c r="S882">
        <v>-3.4957929779446003E-4</v>
      </c>
      <c r="T882" s="6"/>
      <c r="U882" s="6"/>
      <c r="X882" t="s">
        <v>8</v>
      </c>
      <c r="Y882">
        <v>3</v>
      </c>
      <c r="Z882" t="s">
        <v>2</v>
      </c>
      <c r="AA882" s="16">
        <v>43738</v>
      </c>
      <c r="AB882">
        <v>273.45451500000127</v>
      </c>
      <c r="AC882" s="4">
        <v>1223.7</v>
      </c>
      <c r="AE882">
        <v>-4.1872601959359299</v>
      </c>
      <c r="AH882">
        <v>-3.6604431570774499E-4</v>
      </c>
    </row>
    <row r="883" spans="1:36" x14ac:dyDescent="0.2">
      <c r="A883" t="s">
        <v>8</v>
      </c>
      <c r="B883">
        <v>4</v>
      </c>
      <c r="C883" s="2">
        <v>43738</v>
      </c>
      <c r="D883" s="13">
        <v>273.4739550000013</v>
      </c>
      <c r="E883" s="13"/>
      <c r="F883" s="4">
        <v>1558.7</v>
      </c>
      <c r="H883">
        <v>5.5</v>
      </c>
      <c r="J883">
        <v>13.89</v>
      </c>
      <c r="L883">
        <v>37.200000000000003</v>
      </c>
      <c r="N883">
        <v>0.64</v>
      </c>
      <c r="P883">
        <v>4.3294785006442904</v>
      </c>
      <c r="S883">
        <v>-4.6382801666280401E-4</v>
      </c>
      <c r="T883" s="6"/>
      <c r="U883" s="6"/>
      <c r="X883" t="s">
        <v>8</v>
      </c>
      <c r="Y883">
        <v>4</v>
      </c>
      <c r="Z883" t="s">
        <v>2</v>
      </c>
      <c r="AA883" s="16">
        <v>43738</v>
      </c>
      <c r="AB883">
        <v>273.46701499999836</v>
      </c>
      <c r="AC883" s="4">
        <v>736.2</v>
      </c>
      <c r="AE883">
        <v>-4.7579550326113402</v>
      </c>
      <c r="AH883">
        <v>-3.2526135762694398E-4</v>
      </c>
    </row>
    <row r="884" spans="1:36" x14ac:dyDescent="0.2">
      <c r="A884" t="s">
        <v>8</v>
      </c>
      <c r="B884">
        <v>5</v>
      </c>
      <c r="C884" s="2">
        <v>43738</v>
      </c>
      <c r="D884" s="13">
        <v>273.49062499999854</v>
      </c>
      <c r="E884" s="13"/>
      <c r="F884" s="4">
        <v>1283.7</v>
      </c>
      <c r="H884">
        <v>8.1</v>
      </c>
      <c r="J884">
        <v>17.22</v>
      </c>
      <c r="L884">
        <v>46.3</v>
      </c>
      <c r="N884">
        <v>0.63</v>
      </c>
      <c r="P884">
        <v>5.9333282439915402</v>
      </c>
      <c r="S884">
        <v>-3.1889978827285501E-4</v>
      </c>
      <c r="T884" s="6"/>
      <c r="U884" s="6"/>
      <c r="X884" t="s">
        <v>8</v>
      </c>
      <c r="Y884">
        <v>5</v>
      </c>
      <c r="Z884" t="s">
        <v>2</v>
      </c>
      <c r="AA884" s="16">
        <v>43738</v>
      </c>
      <c r="AB884">
        <v>273.48298499999873</v>
      </c>
      <c r="AC884" s="4">
        <v>1573.7</v>
      </c>
      <c r="AE884">
        <v>-0.87447129581316096</v>
      </c>
      <c r="AH884">
        <v>-4.3594176174436601E-4</v>
      </c>
    </row>
    <row r="885" spans="1:36" x14ac:dyDescent="0.2">
      <c r="A885" t="s">
        <v>8</v>
      </c>
      <c r="B885">
        <v>1</v>
      </c>
      <c r="C885" s="2">
        <v>43738</v>
      </c>
      <c r="D885" s="13">
        <v>273.54826500000127</v>
      </c>
      <c r="E885" s="13">
        <v>273.57340200000033</v>
      </c>
      <c r="F885" s="4">
        <v>936.2</v>
      </c>
      <c r="G885" s="4">
        <v>889.2</v>
      </c>
      <c r="H885">
        <v>6.6</v>
      </c>
      <c r="I885">
        <v>6.7</v>
      </c>
      <c r="J885">
        <v>17.22</v>
      </c>
      <c r="K885">
        <v>17.663999999999998</v>
      </c>
      <c r="L885">
        <v>43.3</v>
      </c>
      <c r="M885">
        <v>45.279999999999994</v>
      </c>
      <c r="N885">
        <v>0.74</v>
      </c>
      <c r="O885" s="4">
        <v>0.69199999999999995</v>
      </c>
      <c r="P885">
        <v>7.9273576262451799</v>
      </c>
      <c r="Q885">
        <v>5.2483105763229361</v>
      </c>
      <c r="R885">
        <v>1.6320225646018793</v>
      </c>
      <c r="S885">
        <v>-6.1484238990183097E-4</v>
      </c>
      <c r="T885" s="6">
        <v>-4.7094240757344225E-4</v>
      </c>
      <c r="U885" s="6">
        <v>1.1588061208926123E-4</v>
      </c>
      <c r="X885" t="s">
        <v>8</v>
      </c>
      <c r="Y885">
        <v>1</v>
      </c>
      <c r="Z885" t="s">
        <v>2</v>
      </c>
      <c r="AA885" s="16">
        <v>43738</v>
      </c>
      <c r="AB885">
        <v>273.54201499999908</v>
      </c>
      <c r="AC885" s="4">
        <v>1081.2</v>
      </c>
      <c r="AD885" s="4">
        <v>893.2</v>
      </c>
      <c r="AE885">
        <v>-6.4700982316049398</v>
      </c>
      <c r="AF885">
        <v>-2.6578875593686639</v>
      </c>
      <c r="AG885">
        <v>2.3183490560045681</v>
      </c>
      <c r="AH885">
        <v>-4.2076052487778197E-4</v>
      </c>
      <c r="AI885">
        <v>-4.2313394980493697E-4</v>
      </c>
      <c r="AJ885">
        <v>7.116433815767955E-5</v>
      </c>
    </row>
    <row r="886" spans="1:36" x14ac:dyDescent="0.2">
      <c r="A886" t="s">
        <v>8</v>
      </c>
      <c r="B886">
        <v>2</v>
      </c>
      <c r="C886" s="2">
        <v>43738</v>
      </c>
      <c r="D886" s="13">
        <v>273.56006999999954</v>
      </c>
      <c r="E886" s="13"/>
      <c r="F886" s="4">
        <v>958.7</v>
      </c>
      <c r="H886">
        <v>6.9</v>
      </c>
      <c r="J886">
        <v>17.22</v>
      </c>
      <c r="L886">
        <v>46.9</v>
      </c>
      <c r="N886">
        <v>0.62</v>
      </c>
      <c r="P886">
        <v>4.3595044905929097</v>
      </c>
      <c r="S886">
        <v>-4.1896849207744599E-4</v>
      </c>
      <c r="X886" t="s">
        <v>8</v>
      </c>
      <c r="Y886">
        <v>2</v>
      </c>
      <c r="Z886" t="s">
        <v>2</v>
      </c>
      <c r="AA886" s="16">
        <v>43738</v>
      </c>
      <c r="AB886">
        <v>273.55451499999981</v>
      </c>
      <c r="AC886" s="4">
        <v>863.7</v>
      </c>
      <c r="AE886">
        <v>-0.71852890858426</v>
      </c>
      <c r="AH886">
        <v>-3.6165538479337002E-4</v>
      </c>
    </row>
    <row r="887" spans="1:36" x14ac:dyDescent="0.2">
      <c r="A887" t="s">
        <v>8</v>
      </c>
      <c r="B887">
        <v>3</v>
      </c>
      <c r="C887" s="2">
        <v>43738</v>
      </c>
      <c r="D887" s="13">
        <v>273.57395499999984</v>
      </c>
      <c r="E887" s="13"/>
      <c r="F887" s="4">
        <v>941.2</v>
      </c>
      <c r="H887">
        <v>6.1</v>
      </c>
      <c r="J887">
        <v>17.22</v>
      </c>
      <c r="L887">
        <v>44.4</v>
      </c>
      <c r="N887">
        <v>0.68</v>
      </c>
      <c r="P887">
        <v>5.6796372236114401</v>
      </c>
      <c r="S887">
        <v>-5.4320079255948503E-4</v>
      </c>
      <c r="T887" s="6"/>
      <c r="U887" s="6"/>
      <c r="X887" t="s">
        <v>8</v>
      </c>
      <c r="Y887">
        <v>3</v>
      </c>
      <c r="Z887" t="s">
        <v>2</v>
      </c>
      <c r="AA887" s="16">
        <v>43738</v>
      </c>
      <c r="AB887">
        <v>273.56701500000054</v>
      </c>
      <c r="AC887" s="4">
        <v>1048.7</v>
      </c>
      <c r="AE887">
        <v>-2.0729009469235602</v>
      </c>
      <c r="AH887">
        <v>-3.8416927641034E-4</v>
      </c>
    </row>
    <row r="888" spans="1:36" x14ac:dyDescent="0.2">
      <c r="A888" t="s">
        <v>8</v>
      </c>
      <c r="B888">
        <v>4</v>
      </c>
      <c r="C888" s="2">
        <v>43738</v>
      </c>
      <c r="D888" s="13">
        <v>273.58576499999981</v>
      </c>
      <c r="E888" s="13"/>
      <c r="F888" s="4">
        <v>673.7</v>
      </c>
      <c r="H888">
        <v>5.3</v>
      </c>
      <c r="J888">
        <v>17.22</v>
      </c>
      <c r="L888">
        <v>46</v>
      </c>
      <c r="N888">
        <v>0.7</v>
      </c>
      <c r="P888">
        <v>4.0090797992290597</v>
      </c>
      <c r="S888">
        <v>-4.6502508211174897E-4</v>
      </c>
      <c r="T888" s="6"/>
      <c r="U888" s="6"/>
      <c r="X888" t="s">
        <v>8</v>
      </c>
      <c r="Y888">
        <v>4</v>
      </c>
      <c r="Z888" t="s">
        <v>2</v>
      </c>
      <c r="AA888" s="16">
        <v>43738</v>
      </c>
      <c r="AB888">
        <v>273.58020499999839</v>
      </c>
      <c r="AC888" s="4">
        <v>763.7</v>
      </c>
      <c r="AE888">
        <v>-3.0222700842024501</v>
      </c>
      <c r="AH888">
        <v>-5.4407042720291097E-4</v>
      </c>
    </row>
    <row r="889" spans="1:36" x14ac:dyDescent="0.2">
      <c r="A889" t="s">
        <v>8</v>
      </c>
      <c r="B889">
        <v>5</v>
      </c>
      <c r="C889" s="2">
        <v>43738</v>
      </c>
      <c r="D889" s="13">
        <v>273.5989550000013</v>
      </c>
      <c r="E889" s="13"/>
      <c r="F889" s="4">
        <v>936.2</v>
      </c>
      <c r="H889">
        <v>8.6</v>
      </c>
      <c r="J889">
        <v>19.440000000000001</v>
      </c>
      <c r="L889">
        <v>45.8</v>
      </c>
      <c r="N889">
        <v>0.72</v>
      </c>
      <c r="P889">
        <v>4.2659737419360901</v>
      </c>
      <c r="S889">
        <v>-3.1267528121669999E-4</v>
      </c>
      <c r="T889" s="6"/>
      <c r="U889" s="6"/>
      <c r="X889" t="s">
        <v>8</v>
      </c>
      <c r="Y889">
        <v>5</v>
      </c>
      <c r="Z889" t="s">
        <v>2</v>
      </c>
      <c r="AA889" s="16">
        <v>43738</v>
      </c>
      <c r="AB889">
        <v>273.59201499999836</v>
      </c>
      <c r="AC889" s="4">
        <v>708.7</v>
      </c>
      <c r="AE889">
        <v>-1.0056396255281099</v>
      </c>
      <c r="AH889">
        <v>-4.0501413574028201E-4</v>
      </c>
    </row>
    <row r="890" spans="1:36" x14ac:dyDescent="0.2">
      <c r="A890" t="s">
        <v>8</v>
      </c>
      <c r="B890">
        <v>1</v>
      </c>
      <c r="C890" s="2">
        <v>43749</v>
      </c>
      <c r="D890" s="13">
        <v>284.39340499999889</v>
      </c>
      <c r="E890" s="13">
        <v>284.41874899999965</v>
      </c>
      <c r="F890" s="4">
        <v>883.7</v>
      </c>
      <c r="G890" s="4">
        <v>942.7</v>
      </c>
      <c r="H890">
        <v>17.3</v>
      </c>
      <c r="I890">
        <v>15.360000000000003</v>
      </c>
      <c r="J890">
        <v>10</v>
      </c>
      <c r="K890">
        <v>10.888</v>
      </c>
      <c r="L890">
        <v>41.6</v>
      </c>
      <c r="M890">
        <v>38.160000000000004</v>
      </c>
      <c r="N890">
        <v>0.68</v>
      </c>
      <c r="O890" s="4">
        <v>0.66800000000000004</v>
      </c>
      <c r="P890">
        <v>5.7797327432799799</v>
      </c>
      <c r="Q890">
        <v>4.8946848226706337</v>
      </c>
      <c r="R890">
        <v>0.89109076601579562</v>
      </c>
      <c r="S890">
        <v>-7.0854301968159995E-4</v>
      </c>
      <c r="T890" s="6">
        <v>-4.2366897433075961E-4</v>
      </c>
      <c r="U890" s="6">
        <v>2.367458363007035E-4</v>
      </c>
      <c r="X890" t="s">
        <v>8</v>
      </c>
      <c r="Y890">
        <v>1</v>
      </c>
      <c r="Z890" t="s">
        <v>2</v>
      </c>
      <c r="AA890" s="16">
        <v>43749</v>
      </c>
      <c r="AB890">
        <v>284.383679999999</v>
      </c>
      <c r="AC890" s="4">
        <v>796.2</v>
      </c>
      <c r="AD890" s="4">
        <v>1114.7</v>
      </c>
      <c r="AE890">
        <v>0.126769362854741</v>
      </c>
      <c r="AF890">
        <v>-5.4977662539282814</v>
      </c>
      <c r="AG890">
        <v>3.8741698701087905</v>
      </c>
      <c r="AH890">
        <v>1.1210196332226101E-5</v>
      </c>
      <c r="AI890">
        <v>-1.4996117959490698E-4</v>
      </c>
      <c r="AJ890">
        <v>9.5129829609320955E-5</v>
      </c>
    </row>
    <row r="891" spans="1:36" x14ac:dyDescent="0.2">
      <c r="A891" t="s">
        <v>8</v>
      </c>
      <c r="B891">
        <v>2</v>
      </c>
      <c r="C891" s="2">
        <v>43749</v>
      </c>
      <c r="D891" s="13">
        <v>284.40694499999881</v>
      </c>
      <c r="E891" s="13"/>
      <c r="F891" s="4">
        <v>996.2</v>
      </c>
      <c r="H891">
        <v>15.3</v>
      </c>
      <c r="J891">
        <v>10</v>
      </c>
      <c r="L891">
        <v>34.1</v>
      </c>
      <c r="N891">
        <v>0.66</v>
      </c>
      <c r="P891">
        <v>3.68770556405067</v>
      </c>
      <c r="S891">
        <v>-1.9691086160436501E-4</v>
      </c>
      <c r="X891" t="s">
        <v>8</v>
      </c>
      <c r="Y891">
        <v>2</v>
      </c>
      <c r="Z891" t="s">
        <v>2</v>
      </c>
      <c r="AA891" s="16">
        <v>43749</v>
      </c>
      <c r="AB891">
        <v>284.4003449999982</v>
      </c>
      <c r="AC891" s="4">
        <v>936.2</v>
      </c>
      <c r="AE891">
        <v>-10.694988240529501</v>
      </c>
      <c r="AH891">
        <v>-1.53177361326726E-4</v>
      </c>
    </row>
    <row r="892" spans="1:36" x14ac:dyDescent="0.2">
      <c r="A892" t="s">
        <v>8</v>
      </c>
      <c r="B892">
        <v>3</v>
      </c>
      <c r="C892" s="2">
        <v>43749</v>
      </c>
      <c r="D892" s="13">
        <v>284.41909500000111</v>
      </c>
      <c r="E892" s="13"/>
      <c r="F892" s="4">
        <v>1063.7</v>
      </c>
      <c r="H892">
        <v>12</v>
      </c>
      <c r="J892">
        <v>10</v>
      </c>
      <c r="L892">
        <v>43.6</v>
      </c>
      <c r="N892">
        <v>0.69</v>
      </c>
      <c r="P892">
        <v>4.9896875565074499</v>
      </c>
      <c r="S892">
        <v>-6.4991977355260998E-4</v>
      </c>
      <c r="T892" s="6"/>
      <c r="U892" s="6"/>
      <c r="X892" t="s">
        <v>8</v>
      </c>
      <c r="Y892">
        <v>3</v>
      </c>
      <c r="Z892" t="s">
        <v>2</v>
      </c>
      <c r="AA892" s="16">
        <v>43749</v>
      </c>
      <c r="AB892">
        <v>284.41284499999892</v>
      </c>
      <c r="AC892" s="4">
        <v>996.2</v>
      </c>
      <c r="AE892">
        <v>-4.8913092406528698</v>
      </c>
      <c r="AH892">
        <v>-2.3505488320552201E-4</v>
      </c>
    </row>
    <row r="893" spans="1:36" x14ac:dyDescent="0.2">
      <c r="A893" t="s">
        <v>8</v>
      </c>
      <c r="B893">
        <v>4</v>
      </c>
      <c r="C893" s="2">
        <v>43749</v>
      </c>
      <c r="D893" s="13">
        <v>284.4315949999982</v>
      </c>
      <c r="E893" s="13"/>
      <c r="F893" s="4">
        <v>881.2</v>
      </c>
      <c r="H893">
        <v>15.8</v>
      </c>
      <c r="J893">
        <v>10</v>
      </c>
      <c r="L893">
        <v>34.1</v>
      </c>
      <c r="N893">
        <v>0.67</v>
      </c>
      <c r="P893">
        <v>4.3368487279648198</v>
      </c>
      <c r="S893">
        <v>-2.8112687306548002E-4</v>
      </c>
      <c r="T893" s="6"/>
      <c r="U893" s="6"/>
      <c r="X893" t="s">
        <v>8</v>
      </c>
      <c r="Y893">
        <v>4</v>
      </c>
      <c r="Z893" t="s">
        <v>2</v>
      </c>
      <c r="AA893" s="16">
        <v>43749</v>
      </c>
      <c r="AB893">
        <v>284.42534499999965</v>
      </c>
      <c r="AC893" s="4">
        <v>1431.2</v>
      </c>
      <c r="AE893">
        <v>-6.50867610276826</v>
      </c>
      <c r="AH893">
        <v>-1.7380532718308899E-4</v>
      </c>
    </row>
    <row r="894" spans="1:36" x14ac:dyDescent="0.2">
      <c r="A894" t="s">
        <v>8</v>
      </c>
      <c r="B894">
        <v>5</v>
      </c>
      <c r="C894" s="2">
        <v>43749</v>
      </c>
      <c r="D894" s="13">
        <v>284.4427050000013</v>
      </c>
      <c r="E894" s="13"/>
      <c r="F894" s="4">
        <v>888.7</v>
      </c>
      <c r="H894">
        <v>16.399999999999999</v>
      </c>
      <c r="J894">
        <v>14.44</v>
      </c>
      <c r="L894">
        <v>37.4</v>
      </c>
      <c r="N894">
        <v>0.64</v>
      </c>
      <c r="P894">
        <v>5.6794495215502501</v>
      </c>
      <c r="S894">
        <v>-2.8184434374974298E-4</v>
      </c>
      <c r="T894" s="6"/>
      <c r="U894" s="6"/>
      <c r="X894" t="s">
        <v>8</v>
      </c>
      <c r="Y894">
        <v>5</v>
      </c>
      <c r="Z894" t="s">
        <v>2</v>
      </c>
      <c r="AA894" s="16">
        <v>43749</v>
      </c>
      <c r="AB894">
        <v>284.43715499999962</v>
      </c>
      <c r="AC894" s="4">
        <v>1413.7</v>
      </c>
      <c r="AE894">
        <v>-5.5206270485455198</v>
      </c>
      <c r="AH894">
        <v>-1.9897852259142401E-4</v>
      </c>
    </row>
    <row r="895" spans="1:36" x14ac:dyDescent="0.2">
      <c r="A895" t="s">
        <v>8</v>
      </c>
      <c r="B895">
        <v>1</v>
      </c>
      <c r="C895" s="2">
        <v>43749</v>
      </c>
      <c r="D895" s="13">
        <v>284.48923500000092</v>
      </c>
      <c r="E895" s="13">
        <v>284.51409700000079</v>
      </c>
      <c r="F895" s="4">
        <v>1141.2</v>
      </c>
      <c r="G895" s="4">
        <v>1041.2</v>
      </c>
      <c r="H895">
        <v>15.3</v>
      </c>
      <c r="I895">
        <v>16.259999999999998</v>
      </c>
      <c r="J895">
        <v>14.44</v>
      </c>
      <c r="K895">
        <v>14.774000000000001</v>
      </c>
      <c r="L895">
        <v>41</v>
      </c>
      <c r="M895">
        <v>39.08</v>
      </c>
      <c r="N895">
        <v>0.67</v>
      </c>
      <c r="O895" s="4">
        <v>0.65</v>
      </c>
      <c r="P895">
        <v>8.1729211994386599</v>
      </c>
      <c r="Q895">
        <v>6.1120991563910145</v>
      </c>
      <c r="R895">
        <v>1.3411231291866053</v>
      </c>
      <c r="S895">
        <v>-1.13510145321393E-3</v>
      </c>
      <c r="T895" s="6">
        <v>-4.5265583315190499E-4</v>
      </c>
      <c r="U895" s="6">
        <v>4.0593248791282387E-4</v>
      </c>
      <c r="X895" t="s">
        <v>8</v>
      </c>
      <c r="Y895">
        <v>1</v>
      </c>
      <c r="Z895" t="s">
        <v>2</v>
      </c>
      <c r="AA895" s="16">
        <v>43749</v>
      </c>
      <c r="AB895">
        <v>284.48350500000015</v>
      </c>
      <c r="AC895" s="4">
        <v>843.7</v>
      </c>
      <c r="AD895" s="4">
        <v>945.2</v>
      </c>
      <c r="AE895">
        <v>-7.9565749530778298</v>
      </c>
      <c r="AF895">
        <v>-8.1780032275068137</v>
      </c>
      <c r="AG895">
        <v>2.210517536710876</v>
      </c>
      <c r="AH895">
        <v>-4.9268310880118101E-4</v>
      </c>
      <c r="AI895">
        <v>-2.028961543539945E-4</v>
      </c>
      <c r="AJ895">
        <v>1.7356411972430371E-4</v>
      </c>
    </row>
    <row r="896" spans="1:36" x14ac:dyDescent="0.2">
      <c r="A896" t="s">
        <v>8</v>
      </c>
      <c r="B896">
        <v>2</v>
      </c>
      <c r="C896" s="2">
        <v>43749</v>
      </c>
      <c r="D896" s="13">
        <v>284.50173500000164</v>
      </c>
      <c r="E896" s="13"/>
      <c r="F896" s="4">
        <v>1021.2</v>
      </c>
      <c r="H896">
        <v>17.5</v>
      </c>
      <c r="J896">
        <v>14.44</v>
      </c>
      <c r="L896">
        <v>36</v>
      </c>
      <c r="N896">
        <v>0.67</v>
      </c>
      <c r="P896">
        <v>6.3392307170646403</v>
      </c>
      <c r="S896">
        <v>-2.5701008550359401E-4</v>
      </c>
      <c r="X896" t="s">
        <v>8</v>
      </c>
      <c r="Y896">
        <v>2</v>
      </c>
      <c r="Z896" t="s">
        <v>2</v>
      </c>
      <c r="AA896" s="16">
        <v>43749</v>
      </c>
      <c r="AB896">
        <v>284.4947949999987</v>
      </c>
      <c r="AC896" s="4">
        <v>983.7</v>
      </c>
      <c r="AE896">
        <v>-11.8376934679118</v>
      </c>
      <c r="AH896">
        <v>-5.7843658854035601E-5</v>
      </c>
    </row>
    <row r="897" spans="1:36" x14ac:dyDescent="0.2">
      <c r="A897" t="s">
        <v>8</v>
      </c>
      <c r="B897">
        <v>3</v>
      </c>
      <c r="C897" s="2">
        <v>43749</v>
      </c>
      <c r="D897" s="13">
        <v>284.515625</v>
      </c>
      <c r="E897" s="13"/>
      <c r="F897" s="4">
        <v>1051.2</v>
      </c>
      <c r="H897">
        <v>12.5</v>
      </c>
      <c r="J897">
        <v>14.44</v>
      </c>
      <c r="L897">
        <v>40.6</v>
      </c>
      <c r="N897">
        <v>0.65</v>
      </c>
      <c r="P897">
        <v>5.3890735828218403</v>
      </c>
      <c r="S897">
        <v>-5.1188796216008201E-4</v>
      </c>
      <c r="T897" s="6"/>
      <c r="U897" s="6"/>
      <c r="X897" t="s">
        <v>8</v>
      </c>
      <c r="Y897">
        <v>3</v>
      </c>
      <c r="Z897" t="s">
        <v>2</v>
      </c>
      <c r="AA897" s="16">
        <v>43749</v>
      </c>
      <c r="AB897">
        <v>284.50937500000146</v>
      </c>
      <c r="AC897" s="4">
        <v>958.7</v>
      </c>
      <c r="AE897">
        <v>-5.8349012933670297</v>
      </c>
      <c r="AH897">
        <v>-8.71116259403137E-5</v>
      </c>
    </row>
    <row r="898" spans="1:36" x14ac:dyDescent="0.2">
      <c r="A898" t="s">
        <v>8</v>
      </c>
      <c r="B898">
        <v>4</v>
      </c>
      <c r="C898" s="2">
        <v>43749</v>
      </c>
      <c r="D898" s="13">
        <v>284.52673499999946</v>
      </c>
      <c r="E898" s="13"/>
      <c r="F898" s="4">
        <v>1011.2</v>
      </c>
      <c r="H898">
        <v>20</v>
      </c>
      <c r="J898">
        <v>14.44</v>
      </c>
      <c r="L898">
        <v>35</v>
      </c>
      <c r="N898">
        <v>0.65</v>
      </c>
      <c r="P898">
        <v>4.5718083465329702</v>
      </c>
      <c r="S898">
        <v>-2.1521747754593999E-4</v>
      </c>
      <c r="T898" s="6"/>
      <c r="U898" s="6"/>
      <c r="X898" t="s">
        <v>8</v>
      </c>
      <c r="Y898">
        <v>4</v>
      </c>
      <c r="Z898" t="s">
        <v>2</v>
      </c>
      <c r="AA898" s="16">
        <v>43749</v>
      </c>
      <c r="AB898">
        <v>284.52117999999973</v>
      </c>
      <c r="AC898" s="4">
        <v>1016.2</v>
      </c>
      <c r="AE898">
        <v>-7.7121959532508804</v>
      </c>
      <c r="AH898">
        <v>-2.1719794138157599E-4</v>
      </c>
    </row>
    <row r="899" spans="1:36" x14ac:dyDescent="0.2">
      <c r="A899" t="s">
        <v>8</v>
      </c>
      <c r="B899">
        <v>5</v>
      </c>
      <c r="C899" s="2">
        <v>43749</v>
      </c>
      <c r="D899" s="13">
        <v>284.5371550000018</v>
      </c>
      <c r="E899" s="13"/>
      <c r="F899" s="4">
        <v>981.2</v>
      </c>
      <c r="H899">
        <v>16</v>
      </c>
      <c r="J899">
        <v>16.11</v>
      </c>
      <c r="L899">
        <v>42.8</v>
      </c>
      <c r="N899">
        <v>0.61</v>
      </c>
      <c r="P899">
        <v>6.0874619360969602</v>
      </c>
      <c r="S899">
        <v>-1.4406218733597901E-4</v>
      </c>
      <c r="T899" s="6"/>
      <c r="U899" s="6"/>
      <c r="X899" t="s">
        <v>8</v>
      </c>
      <c r="Y899">
        <v>5</v>
      </c>
      <c r="Z899" t="s">
        <v>2</v>
      </c>
      <c r="AA899" s="16">
        <v>43749</v>
      </c>
      <c r="AB899">
        <v>284.53211499999816</v>
      </c>
      <c r="AC899" s="4">
        <v>923.7</v>
      </c>
      <c r="AE899">
        <v>-7.54865046992653</v>
      </c>
      <c r="AH899">
        <v>-1.59644436792866E-4</v>
      </c>
    </row>
    <row r="900" spans="1:36" s="18" customFormat="1" x14ac:dyDescent="0.2">
      <c r="A900" s="18" t="s">
        <v>8</v>
      </c>
      <c r="B900" s="18">
        <v>1</v>
      </c>
      <c r="C900" s="19">
        <v>43761</v>
      </c>
      <c r="D900" s="20">
        <v>296.54340500000035</v>
      </c>
      <c r="E900" s="20">
        <v>296.56753499999922</v>
      </c>
      <c r="F900" s="21">
        <v>253.7</v>
      </c>
      <c r="G900" s="4">
        <v>586.82499999999993</v>
      </c>
      <c r="H900" s="18">
        <v>17.2</v>
      </c>
      <c r="I900">
        <v>15.475</v>
      </c>
      <c r="J900" s="18">
        <v>17.22</v>
      </c>
      <c r="K900">
        <v>17.497499999999999</v>
      </c>
      <c r="L900" s="18">
        <v>44.3</v>
      </c>
      <c r="M900">
        <v>35.424999999999997</v>
      </c>
      <c r="N900" s="18">
        <v>0.66</v>
      </c>
      <c r="O900" s="4">
        <v>0.64250000000000007</v>
      </c>
      <c r="P900" s="18">
        <v>5.6600846270311802</v>
      </c>
      <c r="Q900">
        <v>5.5175206466503326</v>
      </c>
      <c r="R900">
        <v>1.5493420812952701</v>
      </c>
      <c r="S900" s="18">
        <v>-1.4298577526504399E-4</v>
      </c>
      <c r="T900" s="6">
        <v>-1.0091878396416889E-4</v>
      </c>
      <c r="U900" s="6">
        <v>5.6623716288536354E-5</v>
      </c>
      <c r="X900" s="18" t="s">
        <v>8</v>
      </c>
      <c r="Y900" s="18">
        <v>1</v>
      </c>
      <c r="Z900" s="18" t="s">
        <v>2</v>
      </c>
      <c r="AA900" s="22">
        <v>43761</v>
      </c>
      <c r="AB900" s="18">
        <v>296.5371550000018</v>
      </c>
      <c r="AC900" s="21">
        <v>316.2</v>
      </c>
      <c r="AD900" s="4">
        <v>919.95</v>
      </c>
      <c r="AE900" s="18">
        <v>-4.6880907234941196</v>
      </c>
      <c r="AF900">
        <v>-4.6317599439213497</v>
      </c>
      <c r="AG900">
        <v>0.73330412454954186</v>
      </c>
      <c r="AH900" s="18">
        <v>-1.1605539746056699E-4</v>
      </c>
      <c r="AI900">
        <v>-9.3533389318319052E-5</v>
      </c>
      <c r="AJ900">
        <v>9.9711224864266213E-5</v>
      </c>
    </row>
    <row r="901" spans="1:36" s="18" customFormat="1" x14ac:dyDescent="0.2">
      <c r="A901" s="18" t="s">
        <v>8</v>
      </c>
      <c r="B901" s="18">
        <v>2</v>
      </c>
      <c r="C901" s="19">
        <v>43761</v>
      </c>
      <c r="D901" s="20">
        <v>296.5565949999982</v>
      </c>
      <c r="E901" s="20"/>
      <c r="F901" s="21">
        <v>328.7</v>
      </c>
      <c r="G901" s="4"/>
      <c r="H901" s="18">
        <v>12.3</v>
      </c>
      <c r="I901"/>
      <c r="J901" s="18">
        <v>17.22</v>
      </c>
      <c r="K901"/>
      <c r="L901" s="18">
        <v>34.299999999999997</v>
      </c>
      <c r="M901"/>
      <c r="N901" s="18">
        <v>0.65</v>
      </c>
      <c r="O901" s="4"/>
      <c r="P901" s="18">
        <v>4.2072936949808097</v>
      </c>
      <c r="Q901"/>
      <c r="R901"/>
      <c r="S901" s="23">
        <v>-2.32655451864616E-5</v>
      </c>
      <c r="T901"/>
      <c r="U901"/>
      <c r="X901" s="18" t="s">
        <v>8</v>
      </c>
      <c r="Y901" s="18">
        <v>2</v>
      </c>
      <c r="Z901" s="18" t="s">
        <v>2</v>
      </c>
      <c r="AA901" s="22">
        <v>43761</v>
      </c>
      <c r="AB901" s="18">
        <v>296.55000000000291</v>
      </c>
      <c r="AC901" s="21">
        <v>706.2</v>
      </c>
      <c r="AD901" s="4"/>
      <c r="AE901" s="18">
        <v>-4.05964731227896</v>
      </c>
      <c r="AF901"/>
      <c r="AG901"/>
      <c r="AH901" s="18">
        <v>-2.2166025837345199E-4</v>
      </c>
      <c r="AI901"/>
      <c r="AJ901"/>
    </row>
    <row r="902" spans="1:36" s="18" customFormat="1" x14ac:dyDescent="0.2">
      <c r="A902" s="18" t="s">
        <v>8</v>
      </c>
      <c r="B902" s="18">
        <v>4</v>
      </c>
      <c r="C902" s="19">
        <v>43761</v>
      </c>
      <c r="D902" s="20">
        <v>296.578125</v>
      </c>
      <c r="E902" s="20"/>
      <c r="F902" s="21">
        <v>1388.7</v>
      </c>
      <c r="G902" s="21"/>
      <c r="H902" s="18">
        <v>17.3</v>
      </c>
      <c r="J902" s="18">
        <v>17.22</v>
      </c>
      <c r="K902"/>
      <c r="L902" s="18">
        <v>37.9</v>
      </c>
      <c r="M902"/>
      <c r="N902" s="18">
        <v>0.62</v>
      </c>
      <c r="O902" s="4"/>
      <c r="P902" s="18">
        <v>4.5549619658142797</v>
      </c>
      <c r="Q902"/>
      <c r="R902"/>
      <c r="S902" s="18">
        <v>-1.4306234901744901E-4</v>
      </c>
      <c r="T902" s="6"/>
      <c r="U902" s="6"/>
      <c r="X902" s="18" t="s">
        <v>8</v>
      </c>
      <c r="Y902" s="18">
        <v>4</v>
      </c>
      <c r="Z902" s="18" t="s">
        <v>2</v>
      </c>
      <c r="AA902" s="22">
        <v>43761</v>
      </c>
      <c r="AB902" s="18">
        <v>296.56423500000164</v>
      </c>
      <c r="AC902" s="21">
        <v>1331.2</v>
      </c>
      <c r="AD902" s="4"/>
      <c r="AE902" s="18">
        <v>-5.6478406014119003</v>
      </c>
      <c r="AF902"/>
      <c r="AG902"/>
      <c r="AH902" s="18">
        <v>9.6810794591857294E-6</v>
      </c>
      <c r="AI902"/>
      <c r="AJ902"/>
    </row>
    <row r="903" spans="1:36" s="18" customFormat="1" x14ac:dyDescent="0.2">
      <c r="A903" s="18" t="s">
        <v>8</v>
      </c>
      <c r="B903" s="18">
        <v>5</v>
      </c>
      <c r="C903" s="19">
        <v>43761</v>
      </c>
      <c r="D903" s="20">
        <v>296.59201499999836</v>
      </c>
      <c r="E903" s="20"/>
      <c r="F903" s="21">
        <v>376.2</v>
      </c>
      <c r="G903" s="21"/>
      <c r="H903" s="18">
        <v>15.1</v>
      </c>
      <c r="J903" s="18">
        <v>18.329999999999998</v>
      </c>
      <c r="K903"/>
      <c r="L903" s="18">
        <v>25.2</v>
      </c>
      <c r="M903"/>
      <c r="N903" s="18">
        <v>0.64</v>
      </c>
      <c r="O903" s="4"/>
      <c r="P903" s="18">
        <v>7.6477422987750598</v>
      </c>
      <c r="Q903"/>
      <c r="R903"/>
      <c r="S903" s="23">
        <v>-9.4361466387720897E-5</v>
      </c>
      <c r="T903" s="6"/>
      <c r="U903" s="6"/>
      <c r="X903" s="18" t="s">
        <v>8</v>
      </c>
      <c r="Y903" s="18">
        <v>5</v>
      </c>
      <c r="Z903" s="18" t="s">
        <v>2</v>
      </c>
      <c r="AA903" s="22">
        <v>43761</v>
      </c>
      <c r="AB903" s="18">
        <v>296.58437499999854</v>
      </c>
      <c r="AC903" s="21">
        <v>1326.2</v>
      </c>
      <c r="AD903" s="4"/>
      <c r="AE903" s="18">
        <v>-4.1314611385004198</v>
      </c>
      <c r="AF903"/>
      <c r="AG903"/>
      <c r="AH903" s="18">
        <v>-4.6098980898443001E-5</v>
      </c>
      <c r="AI903"/>
      <c r="AJ903"/>
    </row>
    <row r="904" spans="1:36" s="18" customFormat="1" x14ac:dyDescent="0.2">
      <c r="A904" s="18" t="s">
        <v>8</v>
      </c>
      <c r="B904" s="18">
        <v>1</v>
      </c>
      <c r="C904" s="19">
        <v>43761</v>
      </c>
      <c r="D904" s="20">
        <v>296.62986499999897</v>
      </c>
      <c r="E904" s="20">
        <v>296.64939249999952</v>
      </c>
      <c r="F904" s="21">
        <v>983.7</v>
      </c>
      <c r="G904" s="21">
        <v>835.57500000000005</v>
      </c>
      <c r="H904" s="18">
        <v>16.600000000000001</v>
      </c>
      <c r="I904" s="18">
        <v>16.95</v>
      </c>
      <c r="J904" s="18">
        <v>18.329999999999998</v>
      </c>
      <c r="K904">
        <v>18.329999999999998</v>
      </c>
      <c r="L904" s="18">
        <v>40.799999999999997</v>
      </c>
      <c r="M904">
        <v>41.524999999999999</v>
      </c>
      <c r="N904" s="18">
        <v>0.63</v>
      </c>
      <c r="O904" s="4">
        <v>0.64749999999999996</v>
      </c>
      <c r="P904" s="18">
        <v>5.6608278148544597</v>
      </c>
      <c r="Q904">
        <v>5.5938056430539547</v>
      </c>
      <c r="R904">
        <v>0.87444731667627928</v>
      </c>
      <c r="S904" s="18">
        <v>-3.0860496823891399E-4</v>
      </c>
      <c r="T904" s="6">
        <v>-5.9743772126596994E-4</v>
      </c>
      <c r="U904" s="6">
        <v>8.1819606277495113E-4</v>
      </c>
      <c r="X904" s="18" t="s">
        <v>8</v>
      </c>
      <c r="Y904" s="18">
        <v>1</v>
      </c>
      <c r="Z904" s="18" t="s">
        <v>2</v>
      </c>
      <c r="AA904" s="22">
        <v>43761</v>
      </c>
      <c r="AB904" s="18">
        <v>296.62395499999911</v>
      </c>
      <c r="AC904" s="21">
        <v>1018.7</v>
      </c>
      <c r="AD904" s="4">
        <v>880.57500000000005</v>
      </c>
      <c r="AE904" s="18">
        <v>-3.8902964741193902</v>
      </c>
      <c r="AF904">
        <v>-2.9479795524174</v>
      </c>
      <c r="AG904">
        <v>1.0417501042252513</v>
      </c>
      <c r="AH904" s="18">
        <v>-2.6871408093112701E-4</v>
      </c>
      <c r="AI904">
        <v>7.3528119158950873E-5</v>
      </c>
      <c r="AJ904">
        <v>3.9512678061353273E-4</v>
      </c>
    </row>
    <row r="905" spans="1:36" s="18" customFormat="1" x14ac:dyDescent="0.2">
      <c r="A905" s="18" t="s">
        <v>8</v>
      </c>
      <c r="B905" s="18">
        <v>2</v>
      </c>
      <c r="C905" s="19">
        <v>43761</v>
      </c>
      <c r="D905" s="20">
        <v>296.64270499999839</v>
      </c>
      <c r="E905" s="20"/>
      <c r="F905" s="21">
        <v>888.7</v>
      </c>
      <c r="G905" s="21"/>
      <c r="H905" s="18">
        <v>15.9</v>
      </c>
      <c r="J905" s="18">
        <v>18.329999999999998</v>
      </c>
      <c r="K905"/>
      <c r="L905" s="18">
        <v>54.9</v>
      </c>
      <c r="M905"/>
      <c r="N905" s="18">
        <v>0.66</v>
      </c>
      <c r="O905" s="4"/>
      <c r="P905" s="18">
        <v>5.5078110239686904</v>
      </c>
      <c r="Q905"/>
      <c r="R905"/>
      <c r="S905" s="23">
        <v>-7.1630274894917705E-5</v>
      </c>
      <c r="T905" s="6"/>
      <c r="U905" s="6"/>
      <c r="X905" s="18" t="s">
        <v>8</v>
      </c>
      <c r="Y905" s="18">
        <v>2</v>
      </c>
      <c r="Z905" s="18" t="s">
        <v>2</v>
      </c>
      <c r="AA905" s="22">
        <v>43761</v>
      </c>
      <c r="AB905" s="18">
        <v>296.63645499999984</v>
      </c>
      <c r="AC905" s="21">
        <v>933.7</v>
      </c>
      <c r="AD905" s="4"/>
      <c r="AE905" s="18">
        <v>-3.6593632979659398</v>
      </c>
      <c r="AF905"/>
      <c r="AG905"/>
      <c r="AH905" s="18">
        <v>-6.6502220905418298E-6</v>
      </c>
      <c r="AI905"/>
      <c r="AJ905"/>
    </row>
    <row r="906" spans="1:36" s="18" customFormat="1" x14ac:dyDescent="0.2">
      <c r="A906" s="18" t="s">
        <v>8</v>
      </c>
      <c r="B906" s="18">
        <v>4</v>
      </c>
      <c r="C906" s="19">
        <v>43761</v>
      </c>
      <c r="D906" s="20">
        <v>296.65590499999962</v>
      </c>
      <c r="E906" s="20"/>
      <c r="F906" s="21">
        <v>791.2</v>
      </c>
      <c r="G906" s="21"/>
      <c r="H906" s="18">
        <v>15.4</v>
      </c>
      <c r="J906" s="18">
        <v>18.329999999999998</v>
      </c>
      <c r="K906"/>
      <c r="L906" s="18">
        <v>38.799999999999997</v>
      </c>
      <c r="M906"/>
      <c r="N906" s="18">
        <v>0.65</v>
      </c>
      <c r="O906" s="4"/>
      <c r="P906" s="18">
        <v>4.5351375459110503</v>
      </c>
      <c r="Q906"/>
      <c r="R906"/>
      <c r="S906" s="18">
        <v>-1.8161200194630701E-3</v>
      </c>
      <c r="T906"/>
      <c r="U906"/>
      <c r="X906" s="18" t="s">
        <v>8</v>
      </c>
      <c r="Y906" s="18">
        <v>4</v>
      </c>
      <c r="Z906" s="18" t="s">
        <v>2</v>
      </c>
      <c r="AA906" s="22">
        <v>43761</v>
      </c>
      <c r="AB906" s="18">
        <v>296.64965500000108</v>
      </c>
      <c r="AC906" s="21">
        <v>838.7</v>
      </c>
      <c r="AD906" s="4"/>
      <c r="AE906" s="18">
        <v>-2.6182905991159502</v>
      </c>
      <c r="AF906"/>
      <c r="AG906"/>
      <c r="AH906" s="18">
        <v>6.4222802007919504E-4</v>
      </c>
      <c r="AI906"/>
      <c r="AJ906"/>
    </row>
    <row r="907" spans="1:36" s="18" customFormat="1" x14ac:dyDescent="0.2">
      <c r="A907" s="18" t="s">
        <v>8</v>
      </c>
      <c r="B907" s="18">
        <v>5</v>
      </c>
      <c r="C907" s="19">
        <v>43761</v>
      </c>
      <c r="D907" s="20">
        <v>296.66909500000111</v>
      </c>
      <c r="E907" s="20"/>
      <c r="F907" s="21">
        <v>678.7</v>
      </c>
      <c r="G907" s="21"/>
      <c r="H907" s="18">
        <v>19.899999999999999</v>
      </c>
      <c r="J907" s="18">
        <v>18.329999999999998</v>
      </c>
      <c r="K907"/>
      <c r="L907" s="18">
        <v>31.6</v>
      </c>
      <c r="M907"/>
      <c r="N907" s="18">
        <v>0.65</v>
      </c>
      <c r="O907" s="4"/>
      <c r="P907" s="18">
        <v>6.67144618748162</v>
      </c>
      <c r="Q907"/>
      <c r="R907"/>
      <c r="S907" s="18">
        <v>-1.9339562246697799E-4</v>
      </c>
      <c r="T907" s="6"/>
      <c r="U907" s="6"/>
      <c r="X907" s="18" t="s">
        <v>8</v>
      </c>
      <c r="Y907" s="18">
        <v>5</v>
      </c>
      <c r="Z907" s="18" t="s">
        <v>2</v>
      </c>
      <c r="AA907" s="22">
        <v>43761</v>
      </c>
      <c r="AB907" s="18">
        <v>296.66284499999892</v>
      </c>
      <c r="AC907" s="21">
        <v>731.2</v>
      </c>
      <c r="AD907" s="4"/>
      <c r="AE907" s="18">
        <v>-1.62396783846832</v>
      </c>
      <c r="AF907"/>
      <c r="AG907"/>
      <c r="AH907" s="18">
        <v>-7.27512404217227E-5</v>
      </c>
      <c r="AI907"/>
      <c r="AJ907"/>
    </row>
    <row r="908" spans="1:36" x14ac:dyDescent="0.2">
      <c r="A908" t="s">
        <v>8</v>
      </c>
      <c r="B908">
        <v>1</v>
      </c>
      <c r="C908" s="2">
        <v>43768</v>
      </c>
      <c r="D908" s="13">
        <v>303.58969999999681</v>
      </c>
      <c r="E908" s="13">
        <v>303.61314799999963</v>
      </c>
      <c r="F908" s="4">
        <v>518.70000000000005</v>
      </c>
      <c r="G908" s="4">
        <v>356.20000000000005</v>
      </c>
      <c r="H908">
        <v>14.4</v>
      </c>
      <c r="I908">
        <v>16</v>
      </c>
      <c r="J908">
        <v>18.329999999999998</v>
      </c>
      <c r="K908">
        <v>18.22</v>
      </c>
      <c r="L908">
        <v>32.4</v>
      </c>
      <c r="M908">
        <v>39.28</v>
      </c>
      <c r="N908">
        <v>0.41</v>
      </c>
      <c r="O908" s="4">
        <v>0.43200000000000005</v>
      </c>
      <c r="P908">
        <v>5.7563616249963099</v>
      </c>
      <c r="Q908">
        <v>5.6569553719708781</v>
      </c>
      <c r="R908">
        <v>1.4608317851035311</v>
      </c>
      <c r="S908" s="6">
        <v>-3.7301358071887097E-5</v>
      </c>
      <c r="T908" s="6">
        <v>-1.2107999903620059E-4</v>
      </c>
      <c r="U908" s="6">
        <v>9.686929843119074E-5</v>
      </c>
      <c r="X908" t="s">
        <v>8</v>
      </c>
      <c r="Y908">
        <v>1</v>
      </c>
      <c r="Z908" t="s">
        <v>2</v>
      </c>
      <c r="AA908" s="16">
        <v>43768</v>
      </c>
      <c r="AB908">
        <v>303.58333499999935</v>
      </c>
      <c r="AC908" s="4">
        <v>538.70000000000005</v>
      </c>
      <c r="AD908" s="4">
        <v>381.70000000000005</v>
      </c>
      <c r="AE908">
        <v>-2.6391158712025402</v>
      </c>
      <c r="AF908">
        <v>-0.97187433223006647</v>
      </c>
      <c r="AG908">
        <v>1.2496641470432053</v>
      </c>
      <c r="AH908">
        <v>-4.3737596798519998E-5</v>
      </c>
      <c r="AI908">
        <v>-1.281194129123007E-4</v>
      </c>
      <c r="AJ908">
        <v>7.4465558672869223E-5</v>
      </c>
    </row>
    <row r="909" spans="1:36" x14ac:dyDescent="0.2">
      <c r="A909" t="s">
        <v>8</v>
      </c>
      <c r="B909">
        <v>2</v>
      </c>
      <c r="C909" s="2">
        <v>43768</v>
      </c>
      <c r="D909" s="13">
        <v>303.60138999999981</v>
      </c>
      <c r="E909" s="13"/>
      <c r="F909" s="4">
        <v>468.7</v>
      </c>
      <c r="H909">
        <v>13.6</v>
      </c>
      <c r="J909">
        <v>18.329999999999998</v>
      </c>
      <c r="L909">
        <v>35.6</v>
      </c>
      <c r="N909">
        <v>0.38</v>
      </c>
      <c r="P909">
        <v>4.18568218462626</v>
      </c>
      <c r="S909" s="6">
        <v>-2.4261065936702601E-5</v>
      </c>
      <c r="T909" s="6"/>
      <c r="U909" s="6"/>
      <c r="X909" t="s">
        <v>8</v>
      </c>
      <c r="Y909">
        <v>2</v>
      </c>
      <c r="Z909" t="s">
        <v>2</v>
      </c>
      <c r="AA909" s="16">
        <v>43768</v>
      </c>
      <c r="AB909">
        <v>303.59513999999763</v>
      </c>
      <c r="AC909" s="4">
        <v>488.7</v>
      </c>
      <c r="AE909">
        <v>-0.81605702768088295</v>
      </c>
      <c r="AH909">
        <v>-8.4801484367105605E-5</v>
      </c>
    </row>
    <row r="910" spans="1:36" x14ac:dyDescent="0.2">
      <c r="A910" t="s">
        <v>8</v>
      </c>
      <c r="B910">
        <v>3</v>
      </c>
      <c r="C910" s="2">
        <v>43768</v>
      </c>
      <c r="D910" s="13">
        <v>303.61336500000107</v>
      </c>
      <c r="E910" s="13"/>
      <c r="F910" s="4">
        <v>383.7</v>
      </c>
      <c r="H910">
        <v>16.100000000000001</v>
      </c>
      <c r="J910">
        <v>18.329999999999998</v>
      </c>
      <c r="L910">
        <v>46.4</v>
      </c>
      <c r="N910">
        <v>0.47</v>
      </c>
      <c r="P910">
        <v>4.3760631020340401</v>
      </c>
      <c r="S910" s="6">
        <v>-9.8546713009254301E-5</v>
      </c>
      <c r="T910" s="6"/>
      <c r="U910" s="6"/>
      <c r="X910" t="s">
        <v>8</v>
      </c>
      <c r="Y910">
        <v>3</v>
      </c>
      <c r="Z910" t="s">
        <v>2</v>
      </c>
      <c r="AA910" s="16">
        <v>43768</v>
      </c>
      <c r="AB910">
        <v>303.60711499999888</v>
      </c>
      <c r="AC910" s="4">
        <v>361.2</v>
      </c>
      <c r="AE910">
        <v>-1.52409966724033</v>
      </c>
      <c r="AH910">
        <v>-2.29816897208416E-4</v>
      </c>
    </row>
    <row r="911" spans="1:36" x14ac:dyDescent="0.2">
      <c r="A911" t="s">
        <v>8</v>
      </c>
      <c r="B911">
        <v>4</v>
      </c>
      <c r="C911" s="2">
        <v>43768</v>
      </c>
      <c r="D911" s="13">
        <v>303.625</v>
      </c>
      <c r="E911" s="13"/>
      <c r="F911" s="4">
        <v>248.7</v>
      </c>
      <c r="H911">
        <v>17.600000000000001</v>
      </c>
      <c r="J911">
        <v>18.329999999999998</v>
      </c>
      <c r="L911">
        <v>42.5</v>
      </c>
      <c r="N911">
        <v>0.44</v>
      </c>
      <c r="P911">
        <v>7.7586868030993896</v>
      </c>
      <c r="S911">
        <v>-2.23881407656286E-4</v>
      </c>
      <c r="X911" t="s">
        <v>8</v>
      </c>
      <c r="Y911">
        <v>4</v>
      </c>
      <c r="Z911" t="s">
        <v>2</v>
      </c>
      <c r="AA911" s="16">
        <v>43768</v>
      </c>
      <c r="AB911">
        <v>303.6190949999982</v>
      </c>
      <c r="AC911" s="4">
        <v>276.2</v>
      </c>
      <c r="AE911">
        <v>-0.65011677905188403</v>
      </c>
      <c r="AH911">
        <v>-1.7649925707259099E-4</v>
      </c>
    </row>
    <row r="912" spans="1:36" x14ac:dyDescent="0.2">
      <c r="A912" t="s">
        <v>8</v>
      </c>
      <c r="B912">
        <v>5</v>
      </c>
      <c r="C912" s="2">
        <v>43768</v>
      </c>
      <c r="D912" s="13">
        <v>303.6362850000005</v>
      </c>
      <c r="E912" s="13"/>
      <c r="F912" s="4">
        <v>161.19999999999999</v>
      </c>
      <c r="H912">
        <v>18.3</v>
      </c>
      <c r="J912">
        <v>17.78</v>
      </c>
      <c r="L912">
        <v>39.5</v>
      </c>
      <c r="N912">
        <v>0.46</v>
      </c>
      <c r="P912">
        <v>6.2079831450983898</v>
      </c>
      <c r="S912">
        <v>-2.2140945050687301E-4</v>
      </c>
      <c r="T912" s="6"/>
      <c r="U912" s="6"/>
      <c r="X912" t="s">
        <v>8</v>
      </c>
      <c r="Y912">
        <v>5</v>
      </c>
      <c r="Z912" t="s">
        <v>2</v>
      </c>
      <c r="AA912" s="16">
        <v>43768</v>
      </c>
      <c r="AB912">
        <v>303.6302050000013</v>
      </c>
      <c r="AC912" s="4">
        <v>243.7</v>
      </c>
      <c r="AE912">
        <v>0.77001768402530502</v>
      </c>
      <c r="AH912">
        <v>-1.05741829114871E-4</v>
      </c>
    </row>
    <row r="913" spans="1:36" x14ac:dyDescent="0.2">
      <c r="A913" t="s">
        <v>8</v>
      </c>
      <c r="B913">
        <v>1</v>
      </c>
      <c r="C913" s="2">
        <v>43768</v>
      </c>
      <c r="D913" s="13">
        <v>303.68437500000073</v>
      </c>
      <c r="E913" s="13">
        <v>303.7079170000012</v>
      </c>
      <c r="F913" s="4">
        <v>56.2</v>
      </c>
      <c r="G913" s="4">
        <v>36.200000000000003</v>
      </c>
      <c r="H913">
        <v>12.7</v>
      </c>
      <c r="I913">
        <v>15.280000000000001</v>
      </c>
      <c r="J913">
        <v>17.78</v>
      </c>
      <c r="K913">
        <v>17.558</v>
      </c>
      <c r="L913">
        <v>35</v>
      </c>
      <c r="M913">
        <v>36.679999999999993</v>
      </c>
      <c r="N913">
        <v>0.41</v>
      </c>
      <c r="O913" s="4">
        <v>0.45</v>
      </c>
      <c r="P913">
        <v>5.2879631367808697</v>
      </c>
      <c r="Q913">
        <v>5.5670496821843596</v>
      </c>
      <c r="R913">
        <v>1.3634369776493185</v>
      </c>
      <c r="S913" s="6">
        <v>-9.4563381077655606E-5</v>
      </c>
      <c r="T913" s="6">
        <v>-2.0272231898411371E-4</v>
      </c>
      <c r="U913" s="6">
        <v>7.6213696114944317E-5</v>
      </c>
      <c r="X913" t="s">
        <v>8</v>
      </c>
      <c r="Y913">
        <v>1</v>
      </c>
      <c r="Z913" t="s">
        <v>2</v>
      </c>
      <c r="AA913" s="16">
        <v>43768</v>
      </c>
      <c r="AB913">
        <v>303.678820000001</v>
      </c>
      <c r="AC913" s="4">
        <v>63.7</v>
      </c>
      <c r="AD913" s="4">
        <v>41.2</v>
      </c>
      <c r="AE913">
        <v>3.2871560424700998</v>
      </c>
      <c r="AF913">
        <v>4.8259378891632236</v>
      </c>
      <c r="AG913">
        <v>1.8164914537504506</v>
      </c>
      <c r="AH913">
        <v>-2.40937408781225E-4</v>
      </c>
      <c r="AI913">
        <v>-1.5019162225374854E-4</v>
      </c>
      <c r="AJ913">
        <v>6.2235703909133513E-5</v>
      </c>
    </row>
    <row r="914" spans="1:36" x14ac:dyDescent="0.2">
      <c r="A914" t="s">
        <v>8</v>
      </c>
      <c r="B914">
        <v>2</v>
      </c>
      <c r="C914" s="2">
        <v>43768</v>
      </c>
      <c r="D914" s="13">
        <v>303.69548500000019</v>
      </c>
      <c r="E914" s="13"/>
      <c r="F914" s="4">
        <v>71.2</v>
      </c>
      <c r="H914">
        <v>14.3</v>
      </c>
      <c r="J914">
        <v>17.78</v>
      </c>
      <c r="L914">
        <v>39.299999999999997</v>
      </c>
      <c r="N914">
        <v>0.45</v>
      </c>
      <c r="P914">
        <v>4.9375828926492202</v>
      </c>
      <c r="S914">
        <v>-1.7529984997574299E-4</v>
      </c>
      <c r="T914" s="6"/>
      <c r="U914" s="6"/>
      <c r="X914" t="s">
        <v>8</v>
      </c>
      <c r="Y914">
        <v>2</v>
      </c>
      <c r="Z914" t="s">
        <v>2</v>
      </c>
      <c r="AA914" s="16">
        <v>43768</v>
      </c>
      <c r="AB914">
        <v>303.68993000000046</v>
      </c>
      <c r="AC914" s="4">
        <v>66.2</v>
      </c>
      <c r="AE914">
        <v>4.1325573073433697</v>
      </c>
      <c r="AH914">
        <v>-1.0709980619078201E-4</v>
      </c>
    </row>
    <row r="915" spans="1:36" x14ac:dyDescent="0.2">
      <c r="A915" t="s">
        <v>8</v>
      </c>
      <c r="B915">
        <v>3</v>
      </c>
      <c r="C915" s="2">
        <v>43768</v>
      </c>
      <c r="D915" s="13">
        <v>303.70694500000172</v>
      </c>
      <c r="E915" s="13"/>
      <c r="F915" s="4">
        <v>33.700000000000003</v>
      </c>
      <c r="H915">
        <v>14.9</v>
      </c>
      <c r="J915">
        <v>17.78</v>
      </c>
      <c r="L915">
        <v>37.1</v>
      </c>
      <c r="N915">
        <v>0.49</v>
      </c>
      <c r="P915">
        <v>3.9283109650552999</v>
      </c>
      <c r="S915">
        <v>-2.6289173779405698E-4</v>
      </c>
      <c r="T915" s="6"/>
      <c r="U915" s="6"/>
      <c r="X915" t="s">
        <v>8</v>
      </c>
      <c r="Y915">
        <v>3</v>
      </c>
      <c r="Z915" t="s">
        <v>2</v>
      </c>
      <c r="AA915" s="16">
        <v>43768</v>
      </c>
      <c r="AB915">
        <v>303.70104500000161</v>
      </c>
      <c r="AC915" s="4">
        <v>41.2</v>
      </c>
      <c r="AE915">
        <v>3.1655875201165999</v>
      </c>
      <c r="AH915">
        <v>-1.8655403062349101E-4</v>
      </c>
    </row>
    <row r="916" spans="1:36" x14ac:dyDescent="0.2">
      <c r="A916" t="s">
        <v>8</v>
      </c>
      <c r="B916">
        <v>4</v>
      </c>
      <c r="C916" s="2">
        <v>43768</v>
      </c>
      <c r="D916" s="13">
        <v>303.72048500000164</v>
      </c>
      <c r="E916" s="13"/>
      <c r="F916" s="4">
        <v>11.2</v>
      </c>
      <c r="H916">
        <v>14.6</v>
      </c>
      <c r="J916">
        <v>17.78</v>
      </c>
      <c r="L916">
        <v>38.799999999999997</v>
      </c>
      <c r="N916">
        <v>0.46</v>
      </c>
      <c r="P916">
        <v>7.5589960795294298</v>
      </c>
      <c r="S916">
        <v>-2.8690367915423299E-4</v>
      </c>
      <c r="X916" t="s">
        <v>8</v>
      </c>
      <c r="Y916">
        <v>4</v>
      </c>
      <c r="Z916" t="s">
        <v>2</v>
      </c>
      <c r="AA916" s="16">
        <v>43768</v>
      </c>
      <c r="AB916">
        <v>303.7128449999982</v>
      </c>
      <c r="AC916" s="4">
        <v>28.7</v>
      </c>
      <c r="AE916">
        <v>6.8653267625709002</v>
      </c>
      <c r="AH916">
        <v>-9.1602897840605799E-5</v>
      </c>
    </row>
    <row r="917" spans="1:36" x14ac:dyDescent="0.2">
      <c r="A917" t="s">
        <v>8</v>
      </c>
      <c r="B917">
        <v>5</v>
      </c>
      <c r="C917" s="2">
        <v>43768</v>
      </c>
      <c r="D917" s="13">
        <v>303.73229500000161</v>
      </c>
      <c r="E917" s="13"/>
      <c r="F917" s="4">
        <v>8.6999999999999993</v>
      </c>
      <c r="H917">
        <v>19.899999999999999</v>
      </c>
      <c r="J917">
        <v>16.670000000000002</v>
      </c>
      <c r="L917">
        <v>33.200000000000003</v>
      </c>
      <c r="N917">
        <v>0.44</v>
      </c>
      <c r="P917">
        <v>6.1223953369069797</v>
      </c>
      <c r="S917">
        <v>-1.9395294691888001E-4</v>
      </c>
      <c r="T917" s="6"/>
      <c r="U917" s="6"/>
      <c r="X917" t="s">
        <v>8</v>
      </c>
      <c r="Y917">
        <v>5</v>
      </c>
      <c r="Z917" t="s">
        <v>2</v>
      </c>
      <c r="AA917" s="16">
        <v>43768</v>
      </c>
      <c r="AB917">
        <v>303.72673500000019</v>
      </c>
      <c r="AC917" s="4">
        <v>6.2</v>
      </c>
      <c r="AE917">
        <v>6.6790618133151503</v>
      </c>
      <c r="AH917">
        <v>-1.2476396783263899E-4</v>
      </c>
    </row>
    <row r="918" spans="1:36" x14ac:dyDescent="0.2">
      <c r="A918" t="s">
        <v>8</v>
      </c>
      <c r="B918">
        <v>1</v>
      </c>
      <c r="C918" s="2">
        <v>43775</v>
      </c>
      <c r="D918" s="13">
        <v>310.43645499999911</v>
      </c>
      <c r="E918" s="13">
        <v>310.4649540000006</v>
      </c>
      <c r="F918" s="4">
        <v>1111.2</v>
      </c>
      <c r="G918" s="4">
        <v>1135.7</v>
      </c>
      <c r="H918">
        <v>11.2</v>
      </c>
      <c r="I918">
        <v>10.42</v>
      </c>
      <c r="J918">
        <v>7.78</v>
      </c>
      <c r="K918">
        <v>8.668000000000001</v>
      </c>
      <c r="L918">
        <v>32.299999999999997</v>
      </c>
      <c r="M918">
        <v>34.04</v>
      </c>
      <c r="N918">
        <v>0.38</v>
      </c>
      <c r="O918" s="4">
        <v>0.42599999999999999</v>
      </c>
      <c r="P918">
        <v>2.69792138162145</v>
      </c>
      <c r="Q918">
        <v>2.6362425355068559</v>
      </c>
      <c r="R918">
        <v>0.63172156213756081</v>
      </c>
      <c r="S918" s="6">
        <v>-9.9871757862167899E-5</v>
      </c>
      <c r="T918" s="6">
        <v>-1.3199971229077537E-4</v>
      </c>
      <c r="U918" s="6">
        <v>1.027755287831281E-4</v>
      </c>
      <c r="X918" t="s">
        <v>8</v>
      </c>
      <c r="Y918">
        <v>1</v>
      </c>
      <c r="Z918" t="s">
        <v>2</v>
      </c>
      <c r="AA918" s="16">
        <v>43775</v>
      </c>
      <c r="AB918">
        <v>310.42812499999854</v>
      </c>
      <c r="AC918" s="4">
        <v>1028.7</v>
      </c>
      <c r="AD918" s="4">
        <v>1112.7</v>
      </c>
      <c r="AE918">
        <v>-3.3813121113403199</v>
      </c>
      <c r="AF918">
        <v>-4.093930116854354</v>
      </c>
      <c r="AG918">
        <v>1.5505395569446523</v>
      </c>
      <c r="AH918">
        <v>-7.44947326704594E-5</v>
      </c>
      <c r="AI918">
        <v>-1.2825328394855805E-4</v>
      </c>
      <c r="AJ918">
        <v>9.8670583038883099E-5</v>
      </c>
    </row>
    <row r="919" spans="1:36" x14ac:dyDescent="0.2">
      <c r="A919" t="s">
        <v>8</v>
      </c>
      <c r="B919">
        <v>2</v>
      </c>
      <c r="C919" s="2">
        <v>43775</v>
      </c>
      <c r="D919" s="13">
        <v>310.45104500000161</v>
      </c>
      <c r="E919" s="13"/>
      <c r="F919" s="4">
        <v>1141.2</v>
      </c>
      <c r="H919">
        <v>12.3</v>
      </c>
      <c r="J919">
        <v>8.89</v>
      </c>
      <c r="L919">
        <v>36.799999999999997</v>
      </c>
      <c r="N919">
        <v>0.41</v>
      </c>
      <c r="P919">
        <v>1.7733692831168499</v>
      </c>
      <c r="S919" s="6">
        <v>-6.2508005104798507E-5</v>
      </c>
      <c r="T919" s="6"/>
      <c r="U919" s="6"/>
      <c r="X919" t="s">
        <v>8</v>
      </c>
      <c r="Y919">
        <v>2</v>
      </c>
      <c r="Z919" t="s">
        <v>2</v>
      </c>
      <c r="AA919" s="16">
        <v>43775</v>
      </c>
      <c r="AB919">
        <v>310.4434050000018</v>
      </c>
      <c r="AC919" s="4">
        <v>1106.2</v>
      </c>
      <c r="AE919">
        <v>-3.2954918249413399</v>
      </c>
      <c r="AH919">
        <v>-8.9537552802927898E-5</v>
      </c>
    </row>
    <row r="920" spans="1:36" x14ac:dyDescent="0.2">
      <c r="A920" t="s">
        <v>8</v>
      </c>
      <c r="B920">
        <v>3</v>
      </c>
      <c r="C920" s="2">
        <v>43775</v>
      </c>
      <c r="D920" s="13">
        <v>310.46493000000191</v>
      </c>
      <c r="E920" s="13"/>
      <c r="F920" s="4">
        <v>1136.2</v>
      </c>
      <c r="H920">
        <v>8.3000000000000007</v>
      </c>
      <c r="J920">
        <v>8.89</v>
      </c>
      <c r="L920">
        <v>38.700000000000003</v>
      </c>
      <c r="N920">
        <v>0.47</v>
      </c>
      <c r="P920">
        <v>2.58684547607659</v>
      </c>
      <c r="S920">
        <v>-3.08698837766719E-4</v>
      </c>
      <c r="T920" s="6"/>
      <c r="U920" s="6"/>
      <c r="X920" t="s">
        <v>8</v>
      </c>
      <c r="Y920">
        <v>3</v>
      </c>
      <c r="Z920" t="s">
        <v>2</v>
      </c>
      <c r="AA920" s="16">
        <v>43775</v>
      </c>
      <c r="AB920">
        <v>310.45821499999875</v>
      </c>
      <c r="AC920" s="4">
        <v>1141.2</v>
      </c>
      <c r="AE920">
        <v>-3.5325516249326698</v>
      </c>
      <c r="AH920">
        <v>-3.0419137645371498E-4</v>
      </c>
    </row>
    <row r="921" spans="1:36" x14ac:dyDescent="0.2">
      <c r="A921" t="s">
        <v>8</v>
      </c>
      <c r="B921">
        <v>4</v>
      </c>
      <c r="C921" s="2">
        <v>43775</v>
      </c>
      <c r="D921" s="13">
        <v>310.47893499999918</v>
      </c>
      <c r="E921" s="13"/>
      <c r="F921" s="4">
        <v>1146.2</v>
      </c>
      <c r="H921">
        <v>5.8</v>
      </c>
      <c r="J921">
        <v>8.89</v>
      </c>
      <c r="L921">
        <v>46.3</v>
      </c>
      <c r="N921">
        <v>0.45</v>
      </c>
      <c r="P921">
        <v>3.5533415869149501</v>
      </c>
      <c r="S921">
        <v>-1.2873016092863299E-4</v>
      </c>
      <c r="X921" t="s">
        <v>8</v>
      </c>
      <c r="Y921">
        <v>4</v>
      </c>
      <c r="Z921" t="s">
        <v>2</v>
      </c>
      <c r="AA921" s="16">
        <v>43775</v>
      </c>
      <c r="AB921">
        <v>310.47164500000144</v>
      </c>
      <c r="AC921" s="4">
        <v>1141.2</v>
      </c>
      <c r="AE921">
        <v>-6.8634571713386698</v>
      </c>
      <c r="AH921">
        <v>-7.8862072011514405E-5</v>
      </c>
    </row>
    <row r="922" spans="1:36" x14ac:dyDescent="0.2">
      <c r="A922" t="s">
        <v>8</v>
      </c>
      <c r="B922">
        <v>5</v>
      </c>
      <c r="C922" s="2">
        <v>43775</v>
      </c>
      <c r="D922" s="13">
        <v>310.49340500000108</v>
      </c>
      <c r="E922" s="13"/>
      <c r="F922" s="4">
        <v>1143.7</v>
      </c>
      <c r="H922">
        <v>14.5</v>
      </c>
      <c r="J922">
        <v>8.89</v>
      </c>
      <c r="L922">
        <v>16.100000000000001</v>
      </c>
      <c r="N922">
        <v>0.42</v>
      </c>
      <c r="P922">
        <v>2.5697349498044399</v>
      </c>
      <c r="S922" s="6">
        <v>-6.0189799791558498E-5</v>
      </c>
      <c r="T922" s="6"/>
      <c r="U922" s="6"/>
      <c r="X922" t="s">
        <v>8</v>
      </c>
      <c r="Y922">
        <v>5</v>
      </c>
      <c r="Z922" t="s">
        <v>2</v>
      </c>
      <c r="AA922" s="16">
        <v>43775</v>
      </c>
      <c r="AB922">
        <v>310.48645499999839</v>
      </c>
      <c r="AC922" s="4">
        <v>1146.2</v>
      </c>
      <c r="AE922">
        <v>-3.3968378517187698</v>
      </c>
      <c r="AH922">
        <v>-9.4180685804173605E-5</v>
      </c>
    </row>
    <row r="923" spans="1:36" x14ac:dyDescent="0.2">
      <c r="A923" t="s">
        <v>8</v>
      </c>
      <c r="B923">
        <v>1</v>
      </c>
      <c r="C923" s="2">
        <v>43775</v>
      </c>
      <c r="D923" s="13">
        <v>310.52063500000077</v>
      </c>
      <c r="E923" s="13">
        <v>310.54699300000067</v>
      </c>
      <c r="F923" s="4">
        <v>1103.7</v>
      </c>
      <c r="G923" s="4">
        <v>980.7</v>
      </c>
      <c r="H923">
        <v>13.9</v>
      </c>
      <c r="I923">
        <v>12.820000000000002</v>
      </c>
      <c r="J923">
        <v>11.67</v>
      </c>
      <c r="K923">
        <v>11.67</v>
      </c>
      <c r="L923">
        <v>26.3</v>
      </c>
      <c r="M923">
        <v>30.82</v>
      </c>
      <c r="N923">
        <v>0.4</v>
      </c>
      <c r="O923" s="4">
        <v>0.40400000000000003</v>
      </c>
      <c r="P923">
        <v>2.8456892173441402</v>
      </c>
      <c r="Q923">
        <v>2.7872932654278104</v>
      </c>
      <c r="R923">
        <v>0.68507550069363787</v>
      </c>
      <c r="S923">
        <v>-3.0332140135563401E-4</v>
      </c>
      <c r="T923" s="6">
        <v>-2.6144948414671011E-4</v>
      </c>
      <c r="U923" s="6">
        <v>9.8144681496402348E-5</v>
      </c>
      <c r="X923" t="s">
        <v>8</v>
      </c>
      <c r="Y923">
        <v>1</v>
      </c>
      <c r="Z923" t="s">
        <v>2</v>
      </c>
      <c r="AA923" s="16">
        <v>43775</v>
      </c>
      <c r="AB923">
        <v>310.51469999999972</v>
      </c>
      <c r="AC923" s="4">
        <v>1118.7</v>
      </c>
      <c r="AD923" s="4">
        <v>1025.2</v>
      </c>
      <c r="AE923">
        <v>-3.4120556696358499</v>
      </c>
      <c r="AF923">
        <v>-3.4332186941465084</v>
      </c>
      <c r="AG923">
        <v>1.5033690896654359</v>
      </c>
      <c r="AH923">
        <v>-2.6327633067966199E-4</v>
      </c>
      <c r="AI923">
        <v>-3.2612309614590959E-4</v>
      </c>
      <c r="AJ923">
        <v>1.5570504916951786E-4</v>
      </c>
    </row>
    <row r="924" spans="1:36" x14ac:dyDescent="0.2">
      <c r="A924" t="s">
        <v>8</v>
      </c>
      <c r="B924">
        <v>2</v>
      </c>
      <c r="C924" s="2">
        <v>43775</v>
      </c>
      <c r="D924" s="13">
        <v>310.53327500000159</v>
      </c>
      <c r="E924" s="13"/>
      <c r="F924" s="4">
        <v>1063.7</v>
      </c>
      <c r="H924">
        <v>13.2</v>
      </c>
      <c r="J924">
        <v>11.67</v>
      </c>
      <c r="L924">
        <v>28.1</v>
      </c>
      <c r="N924">
        <v>0.41</v>
      </c>
      <c r="P924">
        <v>2.9962755180652998</v>
      </c>
      <c r="S924">
        <v>-3.5472826033664797E-4</v>
      </c>
      <c r="T924" s="6"/>
      <c r="U924" s="6"/>
      <c r="X924" t="s">
        <v>8</v>
      </c>
      <c r="Y924">
        <v>2</v>
      </c>
      <c r="Z924" t="s">
        <v>2</v>
      </c>
      <c r="AA924" s="16">
        <v>43775</v>
      </c>
      <c r="AB924">
        <v>310.52661999999691</v>
      </c>
      <c r="AC924" s="4">
        <v>1086.2</v>
      </c>
      <c r="AE924">
        <v>-2.5764526949713402</v>
      </c>
      <c r="AH924">
        <v>-4.6125096224801799E-4</v>
      </c>
    </row>
    <row r="925" spans="1:36" x14ac:dyDescent="0.2">
      <c r="A925" t="s">
        <v>8</v>
      </c>
      <c r="B925">
        <v>3</v>
      </c>
      <c r="C925" s="2">
        <v>43775</v>
      </c>
      <c r="D925" s="13">
        <v>310.5462950000001</v>
      </c>
      <c r="E925" s="13"/>
      <c r="F925" s="4">
        <v>1008.7</v>
      </c>
      <c r="H925">
        <v>11.8</v>
      </c>
      <c r="J925">
        <v>11.67</v>
      </c>
      <c r="L925">
        <v>30.3</v>
      </c>
      <c r="N925">
        <v>0.36</v>
      </c>
      <c r="P925">
        <v>2.4332480896987798</v>
      </c>
      <c r="S925">
        <v>-2.5054161804732302E-4</v>
      </c>
      <c r="T925" s="6"/>
      <c r="U925" s="6"/>
      <c r="X925" t="s">
        <v>8</v>
      </c>
      <c r="Y925">
        <v>3</v>
      </c>
      <c r="Z925" t="s">
        <v>2</v>
      </c>
      <c r="AA925" s="16">
        <v>43775</v>
      </c>
      <c r="AB925">
        <v>310.53968499999974</v>
      </c>
      <c r="AC925" s="4">
        <v>1038.7</v>
      </c>
      <c r="AE925">
        <v>-2.8545534050482901</v>
      </c>
      <c r="AH925">
        <v>-5.2234818577333005E-4</v>
      </c>
    </row>
    <row r="926" spans="1:36" x14ac:dyDescent="0.2">
      <c r="A926" t="s">
        <v>8</v>
      </c>
      <c r="B926">
        <v>4</v>
      </c>
      <c r="C926" s="2">
        <v>43775</v>
      </c>
      <c r="D926" s="13">
        <v>310.55964500000118</v>
      </c>
      <c r="E926" s="13"/>
      <c r="F926" s="4">
        <v>946.2</v>
      </c>
      <c r="H926">
        <v>11.3</v>
      </c>
      <c r="J926">
        <v>11.67</v>
      </c>
      <c r="L926">
        <v>38.5</v>
      </c>
      <c r="N926">
        <v>0.46</v>
      </c>
      <c r="P926">
        <v>3.7528866192417101</v>
      </c>
      <c r="S926">
        <v>-2.99921819993032E-4</v>
      </c>
      <c r="X926" t="s">
        <v>8</v>
      </c>
      <c r="Y926">
        <v>4</v>
      </c>
      <c r="Z926" t="s">
        <v>2</v>
      </c>
      <c r="AA926" s="16">
        <v>43775</v>
      </c>
      <c r="AB926">
        <v>310.55289500000072</v>
      </c>
      <c r="AC926" s="4">
        <v>978.7</v>
      </c>
      <c r="AE926">
        <v>-6.0203181013538698</v>
      </c>
      <c r="AH926">
        <v>-2.02236300173303E-4</v>
      </c>
    </row>
    <row r="927" spans="1:36" x14ac:dyDescent="0.2">
      <c r="A927" t="s">
        <v>8</v>
      </c>
      <c r="B927">
        <v>5</v>
      </c>
      <c r="C927" s="2">
        <v>43775</v>
      </c>
      <c r="D927" s="13">
        <v>310.57511499999964</v>
      </c>
      <c r="E927" s="13"/>
      <c r="F927" s="4">
        <v>781.2</v>
      </c>
      <c r="H927">
        <v>13.9</v>
      </c>
      <c r="J927">
        <v>11.67</v>
      </c>
      <c r="L927">
        <v>30.9</v>
      </c>
      <c r="N927">
        <v>0.39</v>
      </c>
      <c r="P927">
        <v>1.90836688278912</v>
      </c>
      <c r="S927" s="6">
        <v>-9.8734321000913506E-5</v>
      </c>
      <c r="T927" s="6"/>
      <c r="U927" s="6"/>
      <c r="X927" t="s">
        <v>8</v>
      </c>
      <c r="Y927">
        <v>5</v>
      </c>
      <c r="Z927" t="s">
        <v>2</v>
      </c>
      <c r="AA927" s="16">
        <v>43775</v>
      </c>
      <c r="AB927">
        <v>310.5678450000014</v>
      </c>
      <c r="AC927" s="4">
        <v>903.7</v>
      </c>
      <c r="AE927">
        <v>-2.30271359972319</v>
      </c>
      <c r="AH927">
        <v>-1.81503701855235E-4</v>
      </c>
    </row>
    <row r="928" spans="1:36" x14ac:dyDescent="0.2">
      <c r="C928" s="2"/>
      <c r="D928" s="13"/>
      <c r="E928" s="13"/>
      <c r="H928" s="4"/>
      <c r="I928" s="4"/>
      <c r="J928" s="4"/>
      <c r="K928" s="4"/>
    </row>
    <row r="929" spans="3:21" x14ac:dyDescent="0.2">
      <c r="C929" s="2"/>
      <c r="D929" s="13"/>
      <c r="E929" s="13"/>
      <c r="H929" s="4"/>
      <c r="I929" s="4"/>
      <c r="J929" s="4"/>
      <c r="K929" s="4"/>
    </row>
    <row r="930" spans="3:21" x14ac:dyDescent="0.2">
      <c r="C930" s="2"/>
      <c r="D930" s="13"/>
      <c r="E930" s="13"/>
      <c r="H930" s="4"/>
      <c r="I930" s="4"/>
      <c r="J930" s="4"/>
      <c r="K930" s="4"/>
    </row>
    <row r="931" spans="3:21" x14ac:dyDescent="0.2">
      <c r="C931" s="2"/>
      <c r="D931" s="13"/>
      <c r="E931" s="13"/>
      <c r="H931" s="4"/>
      <c r="I931" s="4"/>
      <c r="J931" s="4"/>
      <c r="K931" s="4"/>
    </row>
    <row r="932" spans="3:21" x14ac:dyDescent="0.2">
      <c r="C932" s="2"/>
      <c r="D932" s="13"/>
      <c r="E932" s="13"/>
      <c r="H932" s="4"/>
      <c r="I932" s="4"/>
      <c r="J932" s="4"/>
      <c r="K932" s="4"/>
    </row>
    <row r="933" spans="3:21" x14ac:dyDescent="0.2">
      <c r="C933" s="2"/>
      <c r="D933" s="13"/>
      <c r="E933" s="13"/>
      <c r="H933" s="4"/>
      <c r="I933" s="4"/>
      <c r="J933" s="4"/>
      <c r="K933" s="4"/>
    </row>
    <row r="934" spans="3:21" x14ac:dyDescent="0.2">
      <c r="C934" s="2"/>
      <c r="D934" s="13"/>
      <c r="E934" s="13"/>
      <c r="H934" s="4"/>
      <c r="I934" s="4"/>
      <c r="J934" s="4"/>
      <c r="K934" s="4"/>
    </row>
    <row r="935" spans="3:21" x14ac:dyDescent="0.2">
      <c r="C935" s="2"/>
      <c r="D935" s="13"/>
      <c r="E935" s="13"/>
      <c r="H935" s="4"/>
      <c r="I935" s="4"/>
      <c r="J935" s="4"/>
      <c r="K935" s="4"/>
      <c r="S935" s="6"/>
      <c r="T935" s="6"/>
      <c r="U935" s="6"/>
    </row>
    <row r="936" spans="3:21" x14ac:dyDescent="0.2">
      <c r="C936" s="2"/>
      <c r="D936" s="13"/>
      <c r="E936" s="13"/>
      <c r="H936" s="4"/>
      <c r="I936" s="4"/>
      <c r="J936" s="4"/>
      <c r="K936" s="4"/>
      <c r="S936" s="6"/>
      <c r="T936" s="6"/>
      <c r="U936" s="6"/>
    </row>
    <row r="937" spans="3:21" x14ac:dyDescent="0.2">
      <c r="C937" s="2"/>
      <c r="D937" s="13"/>
      <c r="E937" s="13"/>
      <c r="H937" s="4"/>
      <c r="I937" s="4"/>
      <c r="J937" s="4"/>
      <c r="K937" s="4"/>
    </row>
    <row r="938" spans="3:21" x14ac:dyDescent="0.2">
      <c r="C938" s="2"/>
      <c r="D938" s="13"/>
      <c r="E938" s="13"/>
      <c r="H938" s="4"/>
      <c r="I938" s="4"/>
      <c r="J938" s="4"/>
      <c r="K938" s="4"/>
    </row>
    <row r="939" spans="3:21" x14ac:dyDescent="0.2">
      <c r="C939" s="2"/>
      <c r="D939" s="13"/>
      <c r="E939" s="13"/>
      <c r="H939" s="4"/>
      <c r="I939" s="4"/>
      <c r="J939" s="4"/>
      <c r="K939" s="4"/>
    </row>
    <row r="940" spans="3:21" x14ac:dyDescent="0.2">
      <c r="C940" s="2"/>
      <c r="D940" s="13"/>
      <c r="E940" s="13"/>
      <c r="H940" s="4"/>
      <c r="I940" s="4"/>
      <c r="J940" s="4"/>
      <c r="K940" s="4"/>
    </row>
    <row r="941" spans="3:21" x14ac:dyDescent="0.2">
      <c r="C941" s="2"/>
      <c r="D941" s="13"/>
      <c r="E941" s="13"/>
      <c r="H941" s="4"/>
      <c r="I941" s="4"/>
      <c r="J941" s="4"/>
      <c r="K941" s="4"/>
    </row>
    <row r="942" spans="3:21" x14ac:dyDescent="0.2">
      <c r="C942" s="2"/>
      <c r="D942" s="13"/>
      <c r="E942" s="13"/>
      <c r="H942" s="4"/>
      <c r="I942" s="4"/>
      <c r="J942" s="4"/>
      <c r="K942" s="4"/>
    </row>
    <row r="943" spans="3:21" x14ac:dyDescent="0.2">
      <c r="C943" s="2"/>
      <c r="D943" s="13"/>
      <c r="E943" s="13"/>
      <c r="H943" s="4"/>
      <c r="I943" s="4"/>
      <c r="J943" s="4"/>
      <c r="K943" s="4"/>
    </row>
    <row r="944" spans="3:21" x14ac:dyDescent="0.2">
      <c r="C944" s="2"/>
      <c r="D944" s="13"/>
      <c r="E944" s="13"/>
      <c r="H944" s="4"/>
      <c r="I944" s="4"/>
      <c r="J944" s="4"/>
      <c r="K944" s="4"/>
    </row>
    <row r="945" spans="3:11" x14ac:dyDescent="0.2">
      <c r="C945" s="2"/>
      <c r="D945" s="13"/>
      <c r="E945" s="13"/>
      <c r="H945" s="4"/>
      <c r="I945" s="4"/>
      <c r="J945" s="4"/>
      <c r="K945" s="4"/>
    </row>
    <row r="946" spans="3:11" x14ac:dyDescent="0.2">
      <c r="C946" s="2"/>
      <c r="D946" s="13"/>
      <c r="E946" s="13"/>
      <c r="H946" s="4"/>
      <c r="I946" s="4"/>
      <c r="J946" s="4"/>
      <c r="K946" s="4"/>
    </row>
    <row r="947" spans="3:11" x14ac:dyDescent="0.2">
      <c r="C947" s="2"/>
      <c r="D947" s="13"/>
      <c r="E947" s="13"/>
      <c r="H947" s="4"/>
      <c r="I947" s="4"/>
      <c r="J947" s="4"/>
      <c r="K947" s="4"/>
    </row>
    <row r="948" spans="3:11" x14ac:dyDescent="0.2">
      <c r="C948" s="2"/>
      <c r="D948" s="13"/>
      <c r="E948" s="13"/>
      <c r="H948" s="4"/>
      <c r="I948" s="4"/>
      <c r="J948" s="4"/>
      <c r="K948" s="4"/>
    </row>
    <row r="949" spans="3:11" x14ac:dyDescent="0.2">
      <c r="C949" s="2"/>
      <c r="D949" s="13"/>
      <c r="E949" s="13"/>
      <c r="H949" s="4"/>
      <c r="I949" s="4"/>
      <c r="J949" s="4"/>
      <c r="K949" s="4"/>
    </row>
    <row r="950" spans="3:11" x14ac:dyDescent="0.2">
      <c r="C950" s="2"/>
      <c r="D950" s="13"/>
      <c r="E950" s="13"/>
      <c r="H950" s="4"/>
      <c r="I950" s="4"/>
      <c r="J950" s="4"/>
      <c r="K950" s="4"/>
    </row>
    <row r="951" spans="3:11" x14ac:dyDescent="0.2">
      <c r="C951" s="2"/>
      <c r="D951" s="13"/>
      <c r="E951" s="13"/>
      <c r="H951" s="4"/>
      <c r="I951" s="4"/>
      <c r="J951" s="4"/>
      <c r="K951" s="4"/>
    </row>
    <row r="952" spans="3:11" x14ac:dyDescent="0.2">
      <c r="C952" s="2"/>
      <c r="D952" s="13"/>
      <c r="E952" s="13"/>
      <c r="H952" s="4"/>
      <c r="I952" s="4"/>
      <c r="J952" s="4"/>
      <c r="K952" s="4"/>
    </row>
    <row r="953" spans="3:11" x14ac:dyDescent="0.2">
      <c r="C953" s="2"/>
      <c r="D953" s="13"/>
      <c r="E953" s="13"/>
      <c r="H953" s="4"/>
      <c r="I953" s="4"/>
      <c r="J953" s="4"/>
      <c r="K953" s="4"/>
    </row>
    <row r="954" spans="3:11" x14ac:dyDescent="0.2">
      <c r="C954" s="2"/>
      <c r="D954" s="13"/>
      <c r="E954" s="13"/>
      <c r="H954" s="4"/>
      <c r="I954" s="4"/>
      <c r="J954" s="4"/>
      <c r="K954" s="4"/>
    </row>
    <row r="955" spans="3:11" x14ac:dyDescent="0.2">
      <c r="C955" s="2"/>
      <c r="D955" s="13"/>
      <c r="E955" s="13"/>
      <c r="H955" s="4"/>
      <c r="I955" s="4"/>
      <c r="J955" s="4"/>
      <c r="K955" s="4"/>
    </row>
    <row r="956" spans="3:11" x14ac:dyDescent="0.2">
      <c r="C956" s="2"/>
      <c r="D956" s="13"/>
      <c r="E956" s="13"/>
      <c r="H956" s="4"/>
      <c r="I956" s="4"/>
      <c r="J956" s="4"/>
      <c r="K956" s="4"/>
    </row>
    <row r="957" spans="3:11" x14ac:dyDescent="0.2">
      <c r="C957" s="2"/>
      <c r="D957" s="13"/>
      <c r="E957" s="13"/>
      <c r="H957" s="4"/>
      <c r="I957" s="4"/>
      <c r="J957" s="4"/>
      <c r="K957" s="4"/>
    </row>
    <row r="958" spans="3:11" x14ac:dyDescent="0.2">
      <c r="C958" s="2"/>
      <c r="D958" s="13"/>
      <c r="E958" s="13"/>
      <c r="H958" s="4"/>
      <c r="I958" s="4"/>
      <c r="J958" s="4"/>
      <c r="K958" s="4"/>
    </row>
    <row r="959" spans="3:11" x14ac:dyDescent="0.2">
      <c r="C959" s="2"/>
      <c r="D959" s="13"/>
      <c r="E959" s="13"/>
      <c r="H959" s="4"/>
      <c r="I959" s="4"/>
      <c r="J959" s="4"/>
      <c r="K959" s="4"/>
    </row>
    <row r="960" spans="3:11" x14ac:dyDescent="0.2">
      <c r="C960" s="2"/>
      <c r="D960" s="13"/>
      <c r="E960" s="13"/>
      <c r="H960" s="4"/>
      <c r="I960" s="4"/>
      <c r="J960" s="4"/>
      <c r="K960" s="4"/>
    </row>
    <row r="961" spans="3:11" x14ac:dyDescent="0.2">
      <c r="C961" s="2"/>
      <c r="D961" s="13"/>
      <c r="E961" s="13"/>
      <c r="H961" s="4"/>
      <c r="I961" s="4"/>
      <c r="J961" s="4"/>
      <c r="K961" s="4"/>
    </row>
    <row r="962" spans="3:11" x14ac:dyDescent="0.2">
      <c r="C962" s="2"/>
      <c r="D962" s="13"/>
      <c r="E962" s="13"/>
      <c r="H962" s="4"/>
      <c r="I962" s="4"/>
      <c r="J962" s="4"/>
      <c r="K962" s="4"/>
    </row>
    <row r="963" spans="3:11" x14ac:dyDescent="0.2">
      <c r="C963" s="2"/>
      <c r="D963" s="13"/>
      <c r="E963" s="13"/>
      <c r="H963" s="4"/>
      <c r="I963" s="4"/>
      <c r="J963" s="4"/>
      <c r="K963" s="4"/>
    </row>
    <row r="964" spans="3:11" x14ac:dyDescent="0.2">
      <c r="C964" s="2"/>
      <c r="D964" s="13"/>
      <c r="E964" s="13"/>
      <c r="H964" s="4"/>
      <c r="I964" s="4"/>
      <c r="J964" s="4"/>
      <c r="K964" s="4"/>
    </row>
    <row r="965" spans="3:11" x14ac:dyDescent="0.2">
      <c r="C965" s="2"/>
      <c r="D965" s="13"/>
      <c r="E965" s="13"/>
      <c r="H965" s="4"/>
      <c r="I965" s="4"/>
      <c r="J965" s="4"/>
      <c r="K965" s="4"/>
    </row>
    <row r="966" spans="3:11" x14ac:dyDescent="0.2">
      <c r="C966" s="2"/>
      <c r="D966" s="13"/>
      <c r="E966" s="13"/>
      <c r="H966" s="4"/>
      <c r="I966" s="4"/>
      <c r="J966" s="4"/>
      <c r="K966" s="4"/>
    </row>
    <row r="967" spans="3:11" x14ac:dyDescent="0.2">
      <c r="C967" s="2"/>
      <c r="D967" s="13"/>
      <c r="E967" s="13"/>
      <c r="H967" s="4"/>
      <c r="I967" s="4"/>
      <c r="J967" s="4"/>
      <c r="K967" s="4"/>
    </row>
    <row r="968" spans="3:11" x14ac:dyDescent="0.2">
      <c r="C968" s="2"/>
      <c r="D968" s="13"/>
      <c r="E968" s="13"/>
      <c r="H968" s="4"/>
      <c r="I968" s="4"/>
      <c r="J968" s="4"/>
      <c r="K968" s="4"/>
    </row>
    <row r="969" spans="3:11" x14ac:dyDescent="0.2">
      <c r="C969" s="2"/>
      <c r="D969" s="13"/>
      <c r="E969" s="13"/>
      <c r="H969" s="4"/>
      <c r="I969" s="4"/>
      <c r="J969" s="4"/>
      <c r="K969" s="4"/>
    </row>
    <row r="970" spans="3:11" x14ac:dyDescent="0.2">
      <c r="C970" s="2"/>
      <c r="D970" s="13"/>
      <c r="E970" s="13"/>
      <c r="H970" s="4"/>
      <c r="I970" s="4"/>
      <c r="J970" s="4"/>
      <c r="K970" s="4"/>
    </row>
    <row r="971" spans="3:11" x14ac:dyDescent="0.2">
      <c r="C971" s="2"/>
      <c r="D971" s="13"/>
      <c r="E971" s="13"/>
      <c r="H971" s="4"/>
      <c r="I971" s="4"/>
      <c r="J971" s="4"/>
      <c r="K971" s="4"/>
    </row>
    <row r="972" spans="3:11" x14ac:dyDescent="0.2">
      <c r="C972" s="2"/>
      <c r="D972" s="13"/>
      <c r="E972" s="13"/>
      <c r="H972" s="4"/>
      <c r="I972" s="4"/>
      <c r="J972" s="4"/>
      <c r="K972" s="4"/>
    </row>
    <row r="973" spans="3:11" x14ac:dyDescent="0.2">
      <c r="C973" s="2"/>
      <c r="D973" s="13"/>
      <c r="E973" s="13"/>
      <c r="H973" s="4"/>
      <c r="I973" s="4"/>
      <c r="J973" s="4"/>
      <c r="K973" s="4"/>
    </row>
    <row r="974" spans="3:11" x14ac:dyDescent="0.2">
      <c r="C974" s="2"/>
      <c r="D974" s="13"/>
      <c r="E974" s="13"/>
      <c r="H974" s="4"/>
      <c r="I974" s="4"/>
      <c r="J974" s="4"/>
      <c r="K974" s="4"/>
    </row>
    <row r="975" spans="3:11" x14ac:dyDescent="0.2">
      <c r="C975" s="2"/>
      <c r="D975" s="13"/>
      <c r="E975" s="13"/>
      <c r="H975" s="4"/>
      <c r="I975" s="4"/>
      <c r="J975" s="4"/>
      <c r="K975" s="4"/>
    </row>
    <row r="976" spans="3:11" x14ac:dyDescent="0.2">
      <c r="C976" s="2"/>
      <c r="D976" s="13"/>
      <c r="E976" s="13"/>
      <c r="H976" s="4"/>
      <c r="I976" s="4"/>
      <c r="J976" s="4"/>
      <c r="K976" s="4"/>
    </row>
    <row r="977" spans="3:11" x14ac:dyDescent="0.2">
      <c r="C977" s="2"/>
      <c r="D977" s="13"/>
      <c r="E977" s="13"/>
      <c r="H977" s="4"/>
      <c r="I977" s="4"/>
      <c r="J977" s="4"/>
      <c r="K977" s="4"/>
    </row>
    <row r="978" spans="3:11" x14ac:dyDescent="0.2">
      <c r="C978" s="2"/>
      <c r="D978" s="13"/>
      <c r="E978" s="13"/>
      <c r="H978" s="4"/>
      <c r="I978" s="4"/>
      <c r="J978" s="4"/>
      <c r="K978" s="4"/>
    </row>
    <row r="979" spans="3:11" x14ac:dyDescent="0.2">
      <c r="C979" s="2"/>
      <c r="D979" s="13"/>
      <c r="E979" s="13"/>
      <c r="H979" s="4"/>
      <c r="I979" s="4"/>
      <c r="J979" s="4"/>
      <c r="K979" s="4"/>
    </row>
    <row r="980" spans="3:11" x14ac:dyDescent="0.2">
      <c r="C980" s="2"/>
      <c r="D980" s="13"/>
      <c r="E980" s="13"/>
      <c r="H980" s="4"/>
      <c r="I980" s="4"/>
      <c r="J980" s="4"/>
      <c r="K980" s="4"/>
    </row>
    <row r="981" spans="3:11" x14ac:dyDescent="0.2">
      <c r="C981" s="2"/>
      <c r="D981" s="13"/>
      <c r="E981" s="13"/>
      <c r="H981" s="4"/>
      <c r="I981" s="4"/>
      <c r="J981" s="4"/>
      <c r="K981" s="4"/>
    </row>
    <row r="982" spans="3:11" x14ac:dyDescent="0.2">
      <c r="C982" s="2"/>
      <c r="D982" s="13"/>
      <c r="E982" s="13"/>
      <c r="H982" s="4"/>
      <c r="I982" s="4"/>
      <c r="J982" s="4"/>
      <c r="K982" s="4"/>
    </row>
    <row r="983" spans="3:11" x14ac:dyDescent="0.2">
      <c r="C983" s="2"/>
      <c r="D983" s="13"/>
      <c r="E983" s="13"/>
      <c r="H983" s="4"/>
      <c r="I983" s="4"/>
      <c r="J983" s="4"/>
      <c r="K983" s="4"/>
    </row>
    <row r="984" spans="3:11" x14ac:dyDescent="0.2">
      <c r="C984" s="2"/>
      <c r="D984" s="13"/>
      <c r="E984" s="13"/>
      <c r="H984" s="4"/>
      <c r="I984" s="4"/>
      <c r="J984" s="4"/>
      <c r="K984" s="4"/>
    </row>
    <row r="985" spans="3:11" x14ac:dyDescent="0.2">
      <c r="C985" s="2"/>
      <c r="D985" s="13"/>
      <c r="E985" s="13"/>
      <c r="H985" s="4"/>
      <c r="I985" s="4"/>
      <c r="J985" s="4"/>
      <c r="K985" s="4"/>
    </row>
    <row r="986" spans="3:11" x14ac:dyDescent="0.2">
      <c r="C986" s="2"/>
      <c r="D986" s="13"/>
      <c r="E986" s="13"/>
      <c r="H986" s="4"/>
      <c r="I986" s="4"/>
      <c r="J986" s="4"/>
      <c r="K986" s="4"/>
    </row>
    <row r="987" spans="3:11" x14ac:dyDescent="0.2">
      <c r="C987" s="2"/>
      <c r="D987" s="13"/>
      <c r="E987" s="13"/>
      <c r="H987" s="4"/>
      <c r="I987" s="4"/>
      <c r="J987" s="4"/>
      <c r="K987" s="4"/>
    </row>
    <row r="988" spans="3:11" x14ac:dyDescent="0.2">
      <c r="C988" s="2"/>
      <c r="D988" s="13"/>
      <c r="E988" s="13"/>
      <c r="H988" s="4"/>
      <c r="I988" s="4"/>
      <c r="J988" s="4"/>
      <c r="K988" s="4"/>
    </row>
    <row r="989" spans="3:11" x14ac:dyDescent="0.2">
      <c r="C989" s="2"/>
      <c r="D989" s="13"/>
      <c r="E989" s="13"/>
      <c r="H989" s="4"/>
      <c r="I989" s="4"/>
      <c r="J989" s="4"/>
      <c r="K989" s="4"/>
    </row>
    <row r="990" spans="3:11" x14ac:dyDescent="0.2">
      <c r="C990" s="2"/>
      <c r="D990" s="13"/>
      <c r="E990" s="13"/>
      <c r="H990" s="4"/>
      <c r="I990" s="4"/>
      <c r="J990" s="4"/>
      <c r="K990" s="4"/>
    </row>
    <row r="991" spans="3:11" x14ac:dyDescent="0.2">
      <c r="C991" s="2"/>
      <c r="D991" s="13"/>
      <c r="E991" s="13"/>
      <c r="H991" s="4"/>
      <c r="I991" s="4"/>
      <c r="J991" s="4"/>
      <c r="K991" s="4"/>
    </row>
    <row r="992" spans="3:11" x14ac:dyDescent="0.2">
      <c r="C992" s="2"/>
      <c r="D992" s="13"/>
      <c r="E992" s="13"/>
      <c r="H992" s="4"/>
      <c r="I992" s="4"/>
      <c r="J992" s="4"/>
      <c r="K992" s="4"/>
    </row>
    <row r="993" spans="3:21" x14ac:dyDescent="0.2">
      <c r="C993" s="2"/>
      <c r="D993" s="13"/>
      <c r="E993" s="13"/>
      <c r="H993" s="4"/>
      <c r="I993" s="4"/>
      <c r="J993" s="4"/>
      <c r="K993" s="4"/>
    </row>
    <row r="994" spans="3:21" x14ac:dyDescent="0.2">
      <c r="C994" s="2"/>
      <c r="D994" s="13"/>
      <c r="E994" s="13"/>
      <c r="H994" s="4"/>
      <c r="I994" s="4"/>
      <c r="J994" s="4"/>
      <c r="K994" s="4"/>
    </row>
    <row r="995" spans="3:21" x14ac:dyDescent="0.2">
      <c r="C995" s="2"/>
      <c r="D995" s="13"/>
      <c r="E995" s="13"/>
      <c r="H995" s="4"/>
      <c r="I995" s="4"/>
      <c r="J995" s="4"/>
      <c r="K995" s="4"/>
    </row>
    <row r="996" spans="3:21" x14ac:dyDescent="0.2">
      <c r="C996" s="2"/>
      <c r="D996" s="13"/>
      <c r="E996" s="13"/>
      <c r="H996" s="4"/>
      <c r="I996" s="4"/>
      <c r="J996" s="4"/>
      <c r="K996" s="4"/>
      <c r="S996" s="6"/>
      <c r="T996" s="6"/>
      <c r="U996" s="6"/>
    </row>
    <row r="997" spans="3:21" x14ac:dyDescent="0.2">
      <c r="C997" s="2"/>
      <c r="D997" s="13"/>
      <c r="E997" s="13"/>
      <c r="H997" s="4"/>
      <c r="I997" s="4"/>
      <c r="J997" s="4"/>
      <c r="K997" s="4"/>
    </row>
    <row r="998" spans="3:21" x14ac:dyDescent="0.2">
      <c r="C998" s="2"/>
      <c r="D998" s="13"/>
      <c r="E998" s="13"/>
      <c r="H998" s="4"/>
      <c r="I998" s="4"/>
      <c r="J998" s="4"/>
      <c r="K998" s="4"/>
    </row>
    <row r="999" spans="3:21" x14ac:dyDescent="0.2">
      <c r="C999" s="2"/>
      <c r="D999" s="13"/>
      <c r="E999" s="13"/>
      <c r="H999" s="4"/>
      <c r="I999" s="4"/>
      <c r="J999" s="4"/>
      <c r="K999" s="4"/>
    </row>
    <row r="1000" spans="3:21" x14ac:dyDescent="0.2">
      <c r="C1000" s="2"/>
      <c r="D1000" s="13"/>
      <c r="E1000" s="13"/>
      <c r="H1000" s="4"/>
      <c r="I1000" s="4"/>
      <c r="J1000" s="4"/>
      <c r="K1000" s="4"/>
    </row>
    <row r="1001" spans="3:21" x14ac:dyDescent="0.2">
      <c r="C1001" s="2"/>
      <c r="D1001" s="13"/>
      <c r="E1001" s="13"/>
      <c r="H1001" s="4"/>
      <c r="I1001" s="4"/>
      <c r="J1001" s="4"/>
      <c r="K1001" s="4"/>
    </row>
    <row r="1002" spans="3:21" x14ac:dyDescent="0.2">
      <c r="C1002" s="2"/>
      <c r="D1002" s="13"/>
      <c r="E1002" s="13"/>
      <c r="H1002" s="4"/>
      <c r="I1002" s="4"/>
      <c r="J1002" s="4"/>
      <c r="K1002" s="4"/>
    </row>
    <row r="1003" spans="3:21" x14ac:dyDescent="0.2">
      <c r="C1003" s="2"/>
      <c r="D1003" s="13"/>
      <c r="E1003" s="13"/>
      <c r="H1003" s="4"/>
      <c r="I1003" s="4"/>
      <c r="J1003" s="4"/>
      <c r="K1003" s="4"/>
    </row>
    <row r="1004" spans="3:21" x14ac:dyDescent="0.2">
      <c r="C1004" s="2"/>
      <c r="D1004" s="13"/>
      <c r="E1004" s="13"/>
      <c r="H1004" s="4"/>
      <c r="I1004" s="4"/>
      <c r="J1004" s="4"/>
      <c r="K1004" s="4"/>
    </row>
    <row r="1005" spans="3:21" x14ac:dyDescent="0.2">
      <c r="C1005" s="2"/>
      <c r="D1005" s="13"/>
      <c r="E1005" s="13"/>
      <c r="H1005" s="4"/>
      <c r="I1005" s="4"/>
      <c r="J1005" s="4"/>
      <c r="K1005" s="4"/>
    </row>
    <row r="1006" spans="3:21" x14ac:dyDescent="0.2">
      <c r="C1006" s="2"/>
      <c r="D1006" s="13"/>
      <c r="E1006" s="13"/>
      <c r="H1006" s="4"/>
      <c r="I1006" s="4"/>
      <c r="J1006" s="4"/>
      <c r="K1006" s="4"/>
    </row>
    <row r="1007" spans="3:21" x14ac:dyDescent="0.2">
      <c r="C1007" s="2"/>
      <c r="D1007" s="13"/>
      <c r="E1007" s="13"/>
      <c r="H1007" s="4"/>
      <c r="I1007" s="4"/>
      <c r="J1007" s="4"/>
      <c r="K1007" s="4"/>
    </row>
    <row r="1008" spans="3:21" x14ac:dyDescent="0.2">
      <c r="C1008" s="2"/>
      <c r="D1008" s="13"/>
      <c r="E1008" s="13"/>
      <c r="H1008" s="4"/>
      <c r="I1008" s="4"/>
      <c r="J1008" s="4"/>
      <c r="K1008" s="4"/>
    </row>
    <row r="1009" spans="3:21" x14ac:dyDescent="0.2">
      <c r="C1009" s="2"/>
      <c r="D1009" s="13"/>
      <c r="E1009" s="13"/>
      <c r="H1009" s="4"/>
      <c r="I1009" s="4"/>
      <c r="J1009" s="4"/>
      <c r="K1009" s="4"/>
    </row>
    <row r="1010" spans="3:21" x14ac:dyDescent="0.2">
      <c r="C1010" s="2"/>
      <c r="D1010" s="13"/>
      <c r="E1010" s="13"/>
      <c r="H1010" s="4"/>
      <c r="I1010" s="4"/>
      <c r="J1010" s="4"/>
      <c r="K1010" s="4"/>
    </row>
    <row r="1011" spans="3:21" x14ac:dyDescent="0.2">
      <c r="C1011" s="2"/>
      <c r="D1011" s="13"/>
      <c r="E1011" s="13"/>
      <c r="H1011" s="4"/>
      <c r="I1011" s="4"/>
      <c r="J1011" s="4"/>
      <c r="K1011" s="4"/>
      <c r="S1011" s="6"/>
      <c r="T1011" s="6"/>
      <c r="U1011" s="6"/>
    </row>
    <row r="1012" spans="3:21" x14ac:dyDescent="0.2">
      <c r="C1012" s="2"/>
      <c r="D1012" s="13"/>
      <c r="E1012" s="13"/>
      <c r="H1012" s="4"/>
      <c r="I1012" s="4"/>
      <c r="J1012" s="4"/>
      <c r="K1012" s="4"/>
    </row>
    <row r="1013" spans="3:21" x14ac:dyDescent="0.2">
      <c r="C1013" s="2"/>
      <c r="D1013" s="13"/>
      <c r="E1013" s="13"/>
      <c r="H1013" s="4"/>
      <c r="I1013" s="4"/>
      <c r="J1013" s="4"/>
      <c r="K1013" s="4"/>
    </row>
    <row r="1014" spans="3:21" x14ac:dyDescent="0.2">
      <c r="C1014" s="2"/>
      <c r="D1014" s="13"/>
      <c r="E1014" s="13"/>
      <c r="H1014" s="4"/>
      <c r="I1014" s="4"/>
      <c r="J1014" s="4"/>
      <c r="K1014" s="4"/>
    </row>
    <row r="1015" spans="3:21" x14ac:dyDescent="0.2">
      <c r="C1015" s="2"/>
      <c r="D1015" s="13"/>
      <c r="E1015" s="13"/>
      <c r="H1015" s="4"/>
      <c r="I1015" s="4"/>
      <c r="J1015" s="4"/>
      <c r="K1015" s="4"/>
    </row>
    <row r="1016" spans="3:21" x14ac:dyDescent="0.2">
      <c r="C1016" s="2"/>
      <c r="D1016" s="13"/>
      <c r="E1016" s="13"/>
      <c r="H1016" s="4"/>
      <c r="I1016" s="4"/>
      <c r="J1016" s="4"/>
      <c r="K1016" s="4"/>
    </row>
    <row r="1017" spans="3:21" x14ac:dyDescent="0.2">
      <c r="C1017" s="2"/>
      <c r="D1017" s="13"/>
      <c r="E1017" s="13"/>
      <c r="H1017" s="4"/>
      <c r="I1017" s="4"/>
      <c r="J1017" s="4"/>
      <c r="K1017" s="4"/>
    </row>
    <row r="1018" spans="3:21" x14ac:dyDescent="0.2">
      <c r="C1018" s="2"/>
      <c r="D1018" s="13"/>
      <c r="E1018" s="13"/>
      <c r="H1018" s="4"/>
      <c r="I1018" s="4"/>
      <c r="J1018" s="4"/>
      <c r="K1018" s="4"/>
    </row>
    <row r="1019" spans="3:21" x14ac:dyDescent="0.2">
      <c r="C1019" s="2"/>
      <c r="D1019" s="13"/>
      <c r="E1019" s="13"/>
      <c r="H1019" s="4"/>
      <c r="I1019" s="4"/>
      <c r="J1019" s="4"/>
      <c r="K1019" s="4"/>
    </row>
    <row r="1020" spans="3:21" x14ac:dyDescent="0.2">
      <c r="C1020" s="2"/>
      <c r="D1020" s="13"/>
      <c r="E1020" s="13"/>
      <c r="H1020" s="4"/>
      <c r="I1020" s="4"/>
      <c r="J1020" s="4"/>
      <c r="K1020" s="4"/>
    </row>
    <row r="1021" spans="3:21" x14ac:dyDescent="0.2">
      <c r="C1021" s="2"/>
      <c r="D1021" s="13"/>
      <c r="E1021" s="13"/>
      <c r="H1021" s="4"/>
      <c r="I1021" s="4"/>
      <c r="J1021" s="4"/>
      <c r="K1021" s="4"/>
    </row>
    <row r="1022" spans="3:21" x14ac:dyDescent="0.2">
      <c r="C1022" s="2"/>
      <c r="D1022" s="13"/>
      <c r="E1022" s="13"/>
      <c r="H1022" s="4"/>
      <c r="I1022" s="4"/>
      <c r="J1022" s="4"/>
      <c r="K1022" s="4"/>
    </row>
    <row r="1023" spans="3:21" x14ac:dyDescent="0.2">
      <c r="C1023" s="2"/>
      <c r="D1023" s="13"/>
      <c r="E1023" s="13"/>
      <c r="H1023" s="4"/>
      <c r="I1023" s="4"/>
      <c r="J1023" s="4"/>
      <c r="K1023" s="4"/>
    </row>
    <row r="1024" spans="3:21" x14ac:dyDescent="0.2">
      <c r="C1024" s="2"/>
      <c r="D1024" s="13"/>
      <c r="E1024" s="13"/>
      <c r="H1024" s="4"/>
      <c r="I1024" s="4"/>
      <c r="J1024" s="4"/>
      <c r="K1024" s="4"/>
    </row>
    <row r="1025" spans="3:11" x14ac:dyDescent="0.2">
      <c r="C1025" s="2"/>
      <c r="D1025" s="13"/>
      <c r="E1025" s="13"/>
      <c r="H1025" s="4"/>
      <c r="I1025" s="4"/>
      <c r="J1025" s="4"/>
      <c r="K1025" s="4"/>
    </row>
    <row r="1026" spans="3:11" x14ac:dyDescent="0.2">
      <c r="C1026" s="2"/>
      <c r="D1026" s="13"/>
      <c r="E1026" s="13"/>
      <c r="H1026" s="4"/>
      <c r="I1026" s="4"/>
      <c r="J1026" s="4"/>
      <c r="K1026" s="4"/>
    </row>
    <row r="1027" spans="3:11" x14ac:dyDescent="0.2">
      <c r="C1027" s="2"/>
      <c r="D1027" s="13"/>
      <c r="E1027" s="13"/>
      <c r="H1027" s="4"/>
      <c r="I1027" s="4"/>
      <c r="J1027" s="4"/>
      <c r="K1027" s="4"/>
    </row>
    <row r="1028" spans="3:11" x14ac:dyDescent="0.2">
      <c r="C1028" s="2"/>
      <c r="D1028" s="13"/>
      <c r="E1028" s="13"/>
      <c r="H1028" s="4"/>
      <c r="I1028" s="4"/>
      <c r="J1028" s="4"/>
      <c r="K1028" s="4"/>
    </row>
    <row r="1029" spans="3:11" x14ac:dyDescent="0.2">
      <c r="C1029" s="2"/>
      <c r="D1029" s="13"/>
      <c r="E1029" s="13"/>
      <c r="H1029" s="4"/>
      <c r="I1029" s="4"/>
      <c r="J1029" s="4"/>
      <c r="K1029" s="4"/>
    </row>
    <row r="1030" spans="3:11" x14ac:dyDescent="0.2">
      <c r="C1030" s="2"/>
      <c r="D1030" s="13"/>
      <c r="E1030" s="13"/>
      <c r="H1030" s="4"/>
      <c r="I1030" s="4"/>
      <c r="J1030" s="4"/>
      <c r="K1030" s="4"/>
    </row>
    <row r="1031" spans="3:11" x14ac:dyDescent="0.2">
      <c r="C1031" s="2"/>
      <c r="D1031" s="13"/>
      <c r="E1031" s="13"/>
      <c r="H1031" s="4"/>
      <c r="I1031" s="4"/>
      <c r="J1031" s="4"/>
      <c r="K1031" s="4"/>
    </row>
    <row r="1032" spans="3:11" x14ac:dyDescent="0.2">
      <c r="C1032" s="2"/>
      <c r="D1032" s="13"/>
      <c r="E1032" s="13"/>
      <c r="H1032" s="4"/>
      <c r="I1032" s="4"/>
      <c r="J1032" s="4"/>
      <c r="K1032" s="4"/>
    </row>
    <row r="1033" spans="3:11" x14ac:dyDescent="0.2">
      <c r="C1033" s="2"/>
      <c r="D1033" s="13"/>
      <c r="E1033" s="13"/>
      <c r="H1033" s="4"/>
      <c r="I1033" s="4"/>
      <c r="J1033" s="4"/>
      <c r="K1033" s="4"/>
    </row>
    <row r="1034" spans="3:11" x14ac:dyDescent="0.2">
      <c r="C1034" s="2"/>
      <c r="D1034" s="13"/>
      <c r="E1034" s="13"/>
      <c r="H1034" s="4"/>
      <c r="I1034" s="4"/>
      <c r="J1034" s="4"/>
      <c r="K1034" s="4"/>
    </row>
    <row r="1035" spans="3:11" x14ac:dyDescent="0.2">
      <c r="C1035" s="2"/>
      <c r="D1035" s="13"/>
      <c r="E1035" s="13"/>
      <c r="H1035" s="4"/>
      <c r="I1035" s="4"/>
      <c r="J1035" s="4"/>
      <c r="K1035" s="4"/>
    </row>
    <row r="1036" spans="3:11" x14ac:dyDescent="0.2">
      <c r="C1036" s="2"/>
      <c r="D1036" s="13"/>
      <c r="E1036" s="13"/>
      <c r="H1036" s="4"/>
      <c r="I1036" s="4"/>
      <c r="J1036" s="4"/>
      <c r="K1036" s="4"/>
    </row>
    <row r="1037" spans="3:11" x14ac:dyDescent="0.2">
      <c r="C1037" s="2"/>
      <c r="D1037" s="13"/>
      <c r="E1037" s="13"/>
      <c r="H1037" s="4"/>
      <c r="I1037" s="4"/>
      <c r="J1037" s="4"/>
      <c r="K1037" s="4"/>
    </row>
    <row r="1038" spans="3:11" x14ac:dyDescent="0.2">
      <c r="C1038" s="2"/>
      <c r="D1038" s="13"/>
      <c r="E1038" s="13"/>
      <c r="H1038" s="4"/>
      <c r="I1038" s="4"/>
      <c r="J1038" s="4"/>
      <c r="K1038" s="4"/>
    </row>
    <row r="1039" spans="3:11" x14ac:dyDescent="0.2">
      <c r="C1039" s="2"/>
      <c r="D1039" s="13"/>
      <c r="E1039" s="13"/>
      <c r="H1039" s="4"/>
      <c r="I1039" s="4"/>
      <c r="J1039" s="4"/>
      <c r="K1039" s="4"/>
    </row>
    <row r="1040" spans="3:11" x14ac:dyDescent="0.2">
      <c r="C1040" s="2"/>
      <c r="D1040" s="13"/>
      <c r="E1040" s="13"/>
      <c r="H1040" s="4"/>
      <c r="I1040" s="4"/>
      <c r="J1040" s="4"/>
      <c r="K1040" s="4"/>
    </row>
    <row r="1041" spans="3:11" x14ac:dyDescent="0.2">
      <c r="C1041" s="2"/>
      <c r="D1041" s="13"/>
      <c r="E1041" s="13"/>
      <c r="H1041" s="4"/>
      <c r="I1041" s="4"/>
      <c r="J1041" s="4"/>
      <c r="K1041" s="4"/>
    </row>
    <row r="1042" spans="3:11" x14ac:dyDescent="0.2">
      <c r="C1042" s="2"/>
      <c r="D1042" s="13"/>
      <c r="E1042" s="13"/>
      <c r="H1042" s="4"/>
      <c r="I1042" s="4"/>
      <c r="J1042" s="4"/>
      <c r="K1042" s="4"/>
    </row>
    <row r="1043" spans="3:11" x14ac:dyDescent="0.2">
      <c r="C1043" s="2"/>
      <c r="D1043" s="13"/>
      <c r="E1043" s="13"/>
      <c r="H1043" s="4"/>
      <c r="I1043" s="4"/>
      <c r="J1043" s="4"/>
      <c r="K1043" s="4"/>
    </row>
    <row r="1044" spans="3:11" x14ac:dyDescent="0.2">
      <c r="C1044" s="2"/>
      <c r="D1044" s="13"/>
      <c r="E1044" s="13"/>
      <c r="H1044" s="4"/>
      <c r="I1044" s="4"/>
      <c r="J1044" s="4"/>
      <c r="K1044" s="4"/>
    </row>
    <row r="1045" spans="3:11" x14ac:dyDescent="0.2">
      <c r="C1045" s="2"/>
      <c r="D1045" s="13"/>
      <c r="E1045" s="13"/>
      <c r="H1045" s="4"/>
      <c r="I1045" s="4"/>
      <c r="J1045" s="4"/>
      <c r="K1045" s="4"/>
    </row>
    <row r="1046" spans="3:11" x14ac:dyDescent="0.2">
      <c r="C1046" s="2"/>
      <c r="D1046" s="13"/>
      <c r="E1046" s="13"/>
      <c r="H1046" s="4"/>
      <c r="I1046" s="4"/>
      <c r="J1046" s="4"/>
      <c r="K1046" s="4"/>
    </row>
    <row r="1047" spans="3:11" x14ac:dyDescent="0.2">
      <c r="C1047" s="2"/>
      <c r="D1047" s="13"/>
      <c r="E1047" s="13"/>
      <c r="H1047" s="4"/>
      <c r="I1047" s="4"/>
      <c r="J1047" s="4"/>
      <c r="K1047" s="4"/>
    </row>
    <row r="1048" spans="3:11" x14ac:dyDescent="0.2">
      <c r="C1048" s="2"/>
      <c r="D1048" s="13"/>
      <c r="E1048" s="13"/>
      <c r="H1048" s="4"/>
      <c r="I1048" s="4"/>
      <c r="J1048" s="4"/>
      <c r="K1048" s="4"/>
    </row>
    <row r="1049" spans="3:11" x14ac:dyDescent="0.2">
      <c r="C1049" s="2"/>
      <c r="D1049" s="13"/>
      <c r="E1049" s="13"/>
      <c r="H1049" s="4"/>
      <c r="I1049" s="4"/>
      <c r="J1049" s="4"/>
      <c r="K1049" s="4"/>
    </row>
    <row r="1050" spans="3:11" x14ac:dyDescent="0.2">
      <c r="C1050" s="2"/>
      <c r="D1050" s="13"/>
      <c r="E1050" s="13"/>
      <c r="H1050" s="4"/>
      <c r="I1050" s="4"/>
      <c r="J1050" s="4"/>
      <c r="K1050" s="4"/>
    </row>
    <row r="1051" spans="3:11" x14ac:dyDescent="0.2">
      <c r="C1051" s="2"/>
      <c r="D1051" s="13"/>
      <c r="E1051" s="13"/>
      <c r="H1051" s="4"/>
      <c r="I1051" s="4"/>
      <c r="J1051" s="4"/>
      <c r="K1051" s="4"/>
    </row>
    <row r="1052" spans="3:11" x14ac:dyDescent="0.2">
      <c r="C1052" s="2"/>
      <c r="D1052" s="13"/>
      <c r="E1052" s="13"/>
      <c r="H1052" s="4"/>
      <c r="I1052" s="4"/>
      <c r="J1052" s="4"/>
      <c r="K1052" s="4"/>
    </row>
    <row r="1053" spans="3:11" x14ac:dyDescent="0.2">
      <c r="C1053" s="2"/>
      <c r="D1053" s="13"/>
      <c r="E1053" s="13"/>
      <c r="H1053" s="4"/>
      <c r="I1053" s="4"/>
      <c r="J1053" s="4"/>
      <c r="K1053" s="4"/>
    </row>
    <row r="1054" spans="3:11" x14ac:dyDescent="0.2">
      <c r="C1054" s="2"/>
      <c r="D1054" s="13"/>
      <c r="E1054" s="13"/>
      <c r="H1054" s="4"/>
      <c r="I1054" s="4"/>
      <c r="J1054" s="4"/>
      <c r="K1054" s="4"/>
    </row>
    <row r="1055" spans="3:11" x14ac:dyDescent="0.2">
      <c r="C1055" s="2"/>
      <c r="D1055" s="13"/>
      <c r="E1055" s="13"/>
      <c r="H1055" s="4"/>
      <c r="I1055" s="4"/>
      <c r="J1055" s="4"/>
      <c r="K1055" s="4"/>
    </row>
    <row r="1056" spans="3:11" x14ac:dyDescent="0.2">
      <c r="C1056" s="2"/>
      <c r="D1056" s="13"/>
      <c r="E1056" s="13"/>
      <c r="H1056" s="4"/>
      <c r="I1056" s="4"/>
      <c r="J1056" s="4"/>
      <c r="K1056" s="4"/>
    </row>
    <row r="1057" spans="3:11" x14ac:dyDescent="0.2">
      <c r="C1057" s="2"/>
      <c r="D1057" s="13"/>
      <c r="E1057" s="13"/>
      <c r="H1057" s="4"/>
      <c r="I1057" s="4"/>
      <c r="J1057" s="4"/>
      <c r="K1057" s="4"/>
    </row>
    <row r="1058" spans="3:11" x14ac:dyDescent="0.2">
      <c r="C1058" s="2"/>
      <c r="D1058" s="13"/>
      <c r="E1058" s="13"/>
      <c r="H1058" s="4"/>
      <c r="I1058" s="4"/>
      <c r="J1058" s="4"/>
      <c r="K1058" s="4"/>
    </row>
    <row r="1059" spans="3:11" x14ac:dyDescent="0.2">
      <c r="C1059" s="2"/>
      <c r="D1059" s="13"/>
      <c r="E1059" s="13"/>
      <c r="H1059" s="4"/>
      <c r="I1059" s="4"/>
      <c r="J1059" s="4"/>
      <c r="K1059" s="4"/>
    </row>
    <row r="1060" spans="3:11" x14ac:dyDescent="0.2">
      <c r="C1060" s="2"/>
      <c r="D1060" s="13"/>
      <c r="E1060" s="13"/>
      <c r="H1060" s="4"/>
      <c r="I1060" s="4"/>
      <c r="J1060" s="4"/>
      <c r="K1060" s="4"/>
    </row>
    <row r="1061" spans="3:11" x14ac:dyDescent="0.2">
      <c r="C1061" s="2"/>
      <c r="D1061" s="13"/>
      <c r="E1061" s="13"/>
      <c r="H1061" s="4"/>
      <c r="I1061" s="4"/>
      <c r="J1061" s="4"/>
      <c r="K1061" s="4"/>
    </row>
    <row r="1062" spans="3:11" x14ac:dyDescent="0.2">
      <c r="C1062" s="2"/>
      <c r="D1062" s="13"/>
      <c r="E1062" s="13"/>
      <c r="H1062" s="4"/>
      <c r="I1062" s="4"/>
      <c r="J1062" s="4"/>
      <c r="K1062" s="4"/>
    </row>
    <row r="1063" spans="3:11" x14ac:dyDescent="0.2">
      <c r="C1063" s="2"/>
      <c r="D1063" s="13"/>
      <c r="E1063" s="13"/>
      <c r="H1063" s="4"/>
      <c r="I1063" s="4"/>
      <c r="J1063" s="4"/>
      <c r="K1063" s="4"/>
    </row>
    <row r="1064" spans="3:11" x14ac:dyDescent="0.2">
      <c r="C1064" s="2"/>
      <c r="D1064" s="13"/>
      <c r="E1064" s="13"/>
      <c r="H1064" s="4"/>
      <c r="I1064" s="4"/>
      <c r="J1064" s="4"/>
      <c r="K1064" s="4"/>
    </row>
    <row r="1065" spans="3:11" x14ac:dyDescent="0.2">
      <c r="C1065" s="2"/>
      <c r="D1065" s="13"/>
      <c r="E1065" s="13"/>
      <c r="H1065" s="4"/>
      <c r="I1065" s="4"/>
      <c r="J1065" s="4"/>
      <c r="K1065" s="4"/>
    </row>
    <row r="1066" spans="3:11" x14ac:dyDescent="0.2">
      <c r="C1066" s="2"/>
      <c r="D1066" s="13"/>
      <c r="E1066" s="13"/>
      <c r="H1066" s="4"/>
      <c r="I1066" s="4"/>
      <c r="J1066" s="4"/>
      <c r="K1066" s="4"/>
    </row>
    <row r="1067" spans="3:11" x14ac:dyDescent="0.2">
      <c r="C1067" s="2"/>
      <c r="D1067" s="13"/>
      <c r="E1067" s="13"/>
      <c r="H1067" s="4"/>
      <c r="I1067" s="4"/>
      <c r="J1067" s="4"/>
      <c r="K1067" s="4"/>
    </row>
    <row r="1068" spans="3:11" x14ac:dyDescent="0.2">
      <c r="C1068" s="2"/>
      <c r="D1068" s="13"/>
      <c r="E1068" s="13"/>
      <c r="H1068" s="4"/>
      <c r="I1068" s="4"/>
      <c r="J1068" s="4"/>
      <c r="K1068" s="4"/>
    </row>
    <row r="1069" spans="3:11" x14ac:dyDescent="0.2">
      <c r="C1069" s="2"/>
      <c r="D1069" s="13"/>
      <c r="E1069" s="13"/>
      <c r="H1069" s="4"/>
      <c r="I1069" s="4"/>
      <c r="J1069" s="4"/>
      <c r="K1069" s="4"/>
    </row>
    <row r="1070" spans="3:11" x14ac:dyDescent="0.2">
      <c r="C1070" s="2"/>
      <c r="D1070" s="13"/>
      <c r="E1070" s="13"/>
      <c r="H1070" s="4"/>
      <c r="I1070" s="4"/>
      <c r="J1070" s="4"/>
      <c r="K1070" s="4"/>
    </row>
    <row r="1071" spans="3:11" x14ac:dyDescent="0.2">
      <c r="C1071" s="2"/>
      <c r="D1071" s="13"/>
      <c r="E1071" s="13"/>
      <c r="H1071" s="4"/>
      <c r="I1071" s="4"/>
      <c r="J1071" s="4"/>
      <c r="K1071" s="4"/>
    </row>
    <row r="1072" spans="3:11" x14ac:dyDescent="0.2">
      <c r="C1072" s="2"/>
      <c r="D1072" s="13"/>
      <c r="E1072" s="13"/>
      <c r="H1072" s="4"/>
      <c r="I1072" s="4"/>
      <c r="J1072" s="4"/>
      <c r="K1072" s="4"/>
    </row>
    <row r="1073" spans="3:21" x14ac:dyDescent="0.2">
      <c r="C1073" s="2"/>
      <c r="D1073" s="13"/>
      <c r="E1073" s="13"/>
      <c r="H1073" s="4"/>
      <c r="I1073" s="4"/>
      <c r="J1073" s="4"/>
      <c r="K1073" s="4"/>
    </row>
    <row r="1074" spans="3:21" x14ac:dyDescent="0.2">
      <c r="C1074" s="2"/>
      <c r="D1074" s="13"/>
      <c r="E1074" s="13"/>
      <c r="H1074" s="4"/>
      <c r="I1074" s="4"/>
      <c r="J1074" s="4"/>
      <c r="K1074" s="4"/>
    </row>
    <row r="1075" spans="3:21" x14ac:dyDescent="0.2">
      <c r="C1075" s="2"/>
      <c r="D1075" s="13"/>
      <c r="E1075" s="13"/>
      <c r="H1075" s="4"/>
      <c r="I1075" s="4"/>
      <c r="J1075" s="4"/>
      <c r="K1075" s="4"/>
    </row>
    <row r="1076" spans="3:21" x14ac:dyDescent="0.2">
      <c r="C1076" s="2"/>
      <c r="D1076" s="13"/>
      <c r="E1076" s="13"/>
      <c r="H1076" s="4"/>
      <c r="I1076" s="4"/>
      <c r="J1076" s="4"/>
      <c r="K1076" s="4"/>
    </row>
    <row r="1077" spans="3:21" x14ac:dyDescent="0.2">
      <c r="C1077" s="2"/>
      <c r="D1077" s="13"/>
      <c r="E1077" s="13"/>
      <c r="H1077" s="4"/>
      <c r="I1077" s="4"/>
      <c r="J1077" s="4"/>
      <c r="K1077" s="4"/>
    </row>
    <row r="1078" spans="3:21" x14ac:dyDescent="0.2">
      <c r="C1078" s="2"/>
      <c r="D1078" s="13"/>
      <c r="E1078" s="13"/>
      <c r="H1078" s="4"/>
      <c r="I1078" s="4"/>
      <c r="J1078" s="4"/>
      <c r="K1078" s="4"/>
    </row>
    <row r="1079" spans="3:21" x14ac:dyDescent="0.2">
      <c r="C1079" s="2"/>
      <c r="D1079" s="13"/>
      <c r="E1079" s="13"/>
      <c r="H1079" s="4"/>
      <c r="I1079" s="4"/>
      <c r="J1079" s="4"/>
      <c r="K1079" s="4"/>
    </row>
    <row r="1080" spans="3:21" x14ac:dyDescent="0.2">
      <c r="C1080" s="2"/>
      <c r="D1080" s="13"/>
      <c r="E1080" s="13"/>
      <c r="H1080" s="4"/>
      <c r="I1080" s="4"/>
      <c r="J1080" s="4"/>
      <c r="K1080" s="4"/>
    </row>
    <row r="1081" spans="3:21" x14ac:dyDescent="0.2">
      <c r="C1081" s="2"/>
      <c r="D1081" s="13"/>
      <c r="E1081" s="13"/>
      <c r="H1081" s="4"/>
      <c r="I1081" s="4"/>
      <c r="J1081" s="4"/>
      <c r="K1081" s="4"/>
    </row>
    <row r="1082" spans="3:21" x14ac:dyDescent="0.2">
      <c r="C1082" s="2"/>
      <c r="D1082" s="13"/>
      <c r="E1082" s="13"/>
      <c r="H1082" s="4"/>
      <c r="I1082" s="4"/>
      <c r="J1082" s="4"/>
      <c r="K1082" s="4"/>
      <c r="S1082" s="6"/>
      <c r="T1082" s="6"/>
      <c r="U1082" s="6"/>
    </row>
    <row r="1083" spans="3:21" x14ac:dyDescent="0.2">
      <c r="C1083" s="2"/>
      <c r="D1083" s="13"/>
      <c r="E1083" s="13"/>
      <c r="H1083" s="4"/>
      <c r="I1083" s="4"/>
      <c r="J1083" s="4"/>
      <c r="K1083" s="4"/>
    </row>
    <row r="1084" spans="3:21" x14ac:dyDescent="0.2">
      <c r="C1084" s="2"/>
      <c r="D1084" s="13"/>
      <c r="E1084" s="13"/>
      <c r="H1084" s="4"/>
      <c r="I1084" s="4"/>
      <c r="J1084" s="4"/>
      <c r="K1084" s="4"/>
      <c r="S1084" s="6"/>
      <c r="T1084" s="6"/>
      <c r="U1084" s="6"/>
    </row>
    <row r="1085" spans="3:21" x14ac:dyDescent="0.2">
      <c r="C1085" s="2"/>
      <c r="D1085" s="13"/>
      <c r="E1085" s="13"/>
      <c r="H1085" s="4"/>
      <c r="I1085" s="4"/>
      <c r="J1085" s="4"/>
      <c r="K1085" s="4"/>
      <c r="S1085" s="6"/>
      <c r="T1085" s="6"/>
      <c r="U1085" s="6"/>
    </row>
    <row r="1086" spans="3:21" x14ac:dyDescent="0.2">
      <c r="C1086" s="2"/>
      <c r="D1086" s="13"/>
      <c r="E1086" s="13"/>
      <c r="H1086" s="4"/>
      <c r="I1086" s="4"/>
      <c r="J1086" s="4"/>
      <c r="K1086" s="4"/>
    </row>
    <row r="1087" spans="3:21" x14ac:dyDescent="0.2">
      <c r="C1087" s="2"/>
      <c r="D1087" s="13"/>
      <c r="E1087" s="13"/>
    </row>
    <row r="1088" spans="3:21" x14ac:dyDescent="0.2">
      <c r="C1088" s="2"/>
      <c r="D1088" s="13"/>
      <c r="E1088" s="13"/>
    </row>
    <row r="1089" spans="3:21" x14ac:dyDescent="0.2">
      <c r="C1089" s="2"/>
      <c r="D1089" s="13"/>
      <c r="E1089" s="13"/>
    </row>
    <row r="1090" spans="3:21" x14ac:dyDescent="0.2">
      <c r="C1090" s="2"/>
      <c r="D1090" s="13"/>
      <c r="E1090" s="13"/>
    </row>
    <row r="1091" spans="3:21" x14ac:dyDescent="0.2">
      <c r="C1091" s="2"/>
      <c r="D1091" s="13"/>
      <c r="E1091" s="13"/>
    </row>
    <row r="1092" spans="3:21" x14ac:dyDescent="0.2">
      <c r="C1092" s="2"/>
      <c r="D1092" s="13"/>
      <c r="E1092" s="13"/>
    </row>
    <row r="1093" spans="3:21" x14ac:dyDescent="0.2">
      <c r="C1093" s="2"/>
      <c r="D1093" s="13"/>
      <c r="E1093" s="13"/>
      <c r="S1093" s="6"/>
      <c r="T1093" s="6"/>
      <c r="U1093" s="6"/>
    </row>
    <row r="1094" spans="3:21" x14ac:dyDescent="0.2">
      <c r="C1094" s="2"/>
      <c r="D1094" s="13"/>
      <c r="E1094" s="13"/>
      <c r="S1094" s="6"/>
      <c r="T1094" s="6"/>
      <c r="U1094" s="6"/>
    </row>
    <row r="1095" spans="3:21" x14ac:dyDescent="0.2">
      <c r="C1095" s="2"/>
      <c r="D1095" s="13"/>
      <c r="E1095" s="13"/>
      <c r="S1095" s="6"/>
      <c r="T1095" s="6"/>
      <c r="U1095" s="6"/>
    </row>
    <row r="1096" spans="3:21" x14ac:dyDescent="0.2">
      <c r="C1096" s="2"/>
      <c r="D1096" s="13"/>
      <c r="E1096" s="13"/>
      <c r="S1096" s="6"/>
      <c r="T1096" s="6"/>
      <c r="U1096" s="6"/>
    </row>
    <row r="1097" spans="3:21" x14ac:dyDescent="0.2">
      <c r="C1097" s="2"/>
      <c r="D1097" s="13"/>
      <c r="E1097" s="13"/>
    </row>
    <row r="1098" spans="3:21" x14ac:dyDescent="0.2">
      <c r="C1098" s="2"/>
      <c r="D1098" s="13"/>
      <c r="E1098" s="13"/>
    </row>
    <row r="1099" spans="3:21" x14ac:dyDescent="0.2">
      <c r="C1099" s="2"/>
      <c r="D1099" s="13"/>
      <c r="E1099" s="13"/>
    </row>
    <row r="1100" spans="3:21" x14ac:dyDescent="0.2">
      <c r="C1100" s="2"/>
      <c r="D1100" s="13"/>
      <c r="E1100" s="13"/>
      <c r="S1100" s="6"/>
      <c r="T1100" s="6"/>
      <c r="U1100" s="6"/>
    </row>
    <row r="1101" spans="3:21" x14ac:dyDescent="0.2">
      <c r="C1101" s="2"/>
      <c r="D1101" s="13"/>
      <c r="E1101" s="13"/>
      <c r="S1101" s="6"/>
      <c r="T1101" s="6"/>
      <c r="U1101" s="6"/>
    </row>
    <row r="1102" spans="3:21" x14ac:dyDescent="0.2">
      <c r="C1102" s="2"/>
      <c r="D1102" s="13"/>
      <c r="E1102" s="13"/>
    </row>
    <row r="1103" spans="3:21" x14ac:dyDescent="0.2">
      <c r="C1103" s="2"/>
      <c r="D1103" s="13"/>
      <c r="E1103" s="13"/>
    </row>
    <row r="1104" spans="3:21" x14ac:dyDescent="0.2">
      <c r="C1104" s="2"/>
      <c r="D1104" s="13"/>
      <c r="E1104" s="13"/>
    </row>
    <row r="1105" spans="3:21" x14ac:dyDescent="0.2">
      <c r="C1105" s="2"/>
      <c r="D1105" s="13"/>
      <c r="E1105" s="13"/>
    </row>
    <row r="1106" spans="3:21" x14ac:dyDescent="0.2">
      <c r="C1106" s="2"/>
      <c r="D1106" s="13"/>
      <c r="E1106" s="13"/>
    </row>
    <row r="1107" spans="3:21" x14ac:dyDescent="0.2">
      <c r="C1107" s="2"/>
      <c r="D1107" s="13"/>
      <c r="E1107" s="13"/>
    </row>
    <row r="1108" spans="3:21" x14ac:dyDescent="0.2">
      <c r="C1108" s="2"/>
      <c r="D1108" s="13"/>
      <c r="E1108" s="13"/>
    </row>
    <row r="1109" spans="3:21" x14ac:dyDescent="0.2">
      <c r="C1109" s="2"/>
      <c r="D1109" s="13"/>
      <c r="E1109" s="13"/>
      <c r="S1109" s="6"/>
      <c r="T1109" s="6"/>
      <c r="U1109" s="6"/>
    </row>
    <row r="1110" spans="3:21" x14ac:dyDescent="0.2">
      <c r="C1110" s="2"/>
      <c r="D1110" s="13"/>
      <c r="E1110" s="13"/>
    </row>
    <row r="1111" spans="3:21" x14ac:dyDescent="0.2">
      <c r="C1111" s="2"/>
      <c r="D1111" s="13"/>
      <c r="E1111" s="13"/>
    </row>
    <row r="1112" spans="3:21" x14ac:dyDescent="0.2">
      <c r="C1112" s="2"/>
      <c r="D1112" s="13"/>
      <c r="E1112" s="13"/>
    </row>
    <row r="1113" spans="3:21" x14ac:dyDescent="0.2">
      <c r="C1113" s="2"/>
      <c r="D1113" s="13"/>
      <c r="E1113" s="13"/>
    </row>
    <row r="1114" spans="3:21" x14ac:dyDescent="0.2">
      <c r="C1114" s="2"/>
      <c r="D1114" s="13"/>
      <c r="E1114" s="13"/>
    </row>
    <row r="1115" spans="3:21" x14ac:dyDescent="0.2">
      <c r="C1115" s="2"/>
      <c r="D1115" s="13"/>
      <c r="E1115" s="13"/>
    </row>
    <row r="1116" spans="3:21" x14ac:dyDescent="0.2">
      <c r="C1116" s="2"/>
      <c r="D1116" s="13"/>
      <c r="E1116" s="13"/>
    </row>
    <row r="1117" spans="3:21" x14ac:dyDescent="0.2">
      <c r="C1117" s="2"/>
      <c r="D1117" s="13"/>
      <c r="E1117" s="13"/>
    </row>
    <row r="1118" spans="3:21" x14ac:dyDescent="0.2">
      <c r="C1118" s="2"/>
      <c r="D1118" s="13"/>
      <c r="E1118" s="13"/>
      <c r="S1118" s="6"/>
      <c r="T1118" s="6"/>
      <c r="U1118" s="6"/>
    </row>
    <row r="1119" spans="3:21" x14ac:dyDescent="0.2">
      <c r="C1119" s="2"/>
      <c r="D1119" s="13"/>
      <c r="E1119" s="13"/>
    </row>
    <row r="1120" spans="3:21" x14ac:dyDescent="0.2">
      <c r="C1120" s="2"/>
      <c r="D1120" s="13"/>
      <c r="E1120" s="13"/>
    </row>
    <row r="1121" spans="3:21" x14ac:dyDescent="0.2">
      <c r="C1121" s="2"/>
      <c r="D1121" s="13"/>
      <c r="E1121" s="13"/>
      <c r="S1121" s="6"/>
      <c r="T1121" s="6"/>
      <c r="U1121" s="6"/>
    </row>
    <row r="1122" spans="3:21" x14ac:dyDescent="0.2">
      <c r="C1122" s="2"/>
      <c r="D1122" s="13"/>
      <c r="E1122" s="13"/>
    </row>
    <row r="1123" spans="3:21" x14ac:dyDescent="0.2">
      <c r="C1123" s="2"/>
      <c r="D1123" s="13"/>
      <c r="E1123" s="13"/>
      <c r="S1123" s="6"/>
      <c r="T1123" s="6"/>
      <c r="U1123" s="6"/>
    </row>
    <row r="1124" spans="3:21" x14ac:dyDescent="0.2">
      <c r="C1124" s="2"/>
      <c r="D1124" s="13"/>
      <c r="E1124" s="13"/>
    </row>
    <row r="1125" spans="3:21" x14ac:dyDescent="0.2">
      <c r="C1125" s="2"/>
      <c r="D1125" s="13"/>
      <c r="E1125" s="13"/>
    </row>
    <row r="1126" spans="3:21" x14ac:dyDescent="0.2">
      <c r="C1126" s="2"/>
      <c r="D1126" s="13"/>
      <c r="E1126" s="13"/>
    </row>
    <row r="1127" spans="3:21" x14ac:dyDescent="0.2">
      <c r="C1127" s="2"/>
      <c r="D1127" s="13"/>
      <c r="E1127" s="13"/>
    </row>
    <row r="1128" spans="3:21" x14ac:dyDescent="0.2">
      <c r="C1128" s="2"/>
      <c r="D1128" s="13"/>
      <c r="E1128" s="13"/>
    </row>
    <row r="1129" spans="3:21" x14ac:dyDescent="0.2">
      <c r="C1129" s="2"/>
      <c r="D1129" s="13"/>
      <c r="E1129" s="13"/>
    </row>
    <row r="1130" spans="3:21" x14ac:dyDescent="0.2">
      <c r="C1130" s="2"/>
      <c r="D1130" s="13"/>
      <c r="E1130" s="13"/>
    </row>
    <row r="1131" spans="3:21" x14ac:dyDescent="0.2">
      <c r="C1131" s="2"/>
      <c r="D1131" s="13"/>
      <c r="E1131" s="13"/>
    </row>
    <row r="1132" spans="3:21" x14ac:dyDescent="0.2">
      <c r="C1132" s="2"/>
      <c r="D1132" s="13"/>
      <c r="E1132" s="13"/>
    </row>
    <row r="1133" spans="3:21" x14ac:dyDescent="0.2">
      <c r="C1133" s="2"/>
      <c r="D1133" s="13"/>
      <c r="E1133" s="13"/>
    </row>
    <row r="1134" spans="3:21" x14ac:dyDescent="0.2">
      <c r="C1134" s="2"/>
      <c r="D1134" s="13"/>
      <c r="E1134" s="13"/>
    </row>
    <row r="1135" spans="3:21" x14ac:dyDescent="0.2">
      <c r="C1135" s="2"/>
      <c r="D1135" s="13"/>
      <c r="E1135" s="13"/>
      <c r="S1135" s="6"/>
      <c r="T1135" s="6"/>
      <c r="U1135" s="6"/>
    </row>
    <row r="1136" spans="3:21" x14ac:dyDescent="0.2">
      <c r="C1136" s="2"/>
      <c r="D1136" s="13"/>
      <c r="E1136" s="13"/>
    </row>
    <row r="1137" spans="3:21" x14ac:dyDescent="0.2">
      <c r="C1137" s="2"/>
      <c r="D1137" s="13"/>
      <c r="E1137" s="13"/>
      <c r="S1137" s="6"/>
      <c r="T1137" s="6"/>
      <c r="U1137" s="6"/>
    </row>
    <row r="1138" spans="3:21" x14ac:dyDescent="0.2">
      <c r="C1138" s="2"/>
      <c r="D1138" s="13"/>
      <c r="E1138" s="13"/>
      <c r="S1138" s="6"/>
      <c r="T1138" s="6"/>
      <c r="U1138" s="6"/>
    </row>
    <row r="1139" spans="3:21" x14ac:dyDescent="0.2">
      <c r="C1139" s="2"/>
      <c r="D1139" s="13"/>
      <c r="E1139" s="13"/>
    </row>
    <row r="1140" spans="3:21" x14ac:dyDescent="0.2">
      <c r="C1140" s="2"/>
      <c r="D1140" s="13"/>
      <c r="E1140" s="13"/>
    </row>
    <row r="1141" spans="3:21" x14ac:dyDescent="0.2">
      <c r="C1141" s="2"/>
      <c r="D1141" s="13"/>
      <c r="E1141" s="13"/>
    </row>
    <row r="1142" spans="3:21" x14ac:dyDescent="0.2">
      <c r="C1142" s="2"/>
      <c r="D1142" s="13"/>
      <c r="E1142" s="13"/>
    </row>
    <row r="1143" spans="3:21" x14ac:dyDescent="0.2">
      <c r="C1143" s="2"/>
      <c r="D1143" s="13"/>
      <c r="E1143" s="13"/>
    </row>
    <row r="1144" spans="3:21" x14ac:dyDescent="0.2">
      <c r="C1144" s="2"/>
      <c r="D1144" s="13"/>
      <c r="E1144" s="13"/>
    </row>
    <row r="1145" spans="3:21" x14ac:dyDescent="0.2">
      <c r="C1145" s="2"/>
      <c r="D1145" s="13"/>
      <c r="E1145" s="13"/>
    </row>
    <row r="1146" spans="3:21" x14ac:dyDescent="0.2">
      <c r="C1146" s="2"/>
      <c r="D1146" s="13"/>
      <c r="E1146" s="13"/>
    </row>
    <row r="1147" spans="3:21" x14ac:dyDescent="0.2">
      <c r="C1147" s="2"/>
      <c r="D1147" s="13"/>
      <c r="E1147" s="13"/>
    </row>
    <row r="1148" spans="3:21" x14ac:dyDescent="0.2">
      <c r="C1148" s="2"/>
      <c r="D1148" s="13"/>
      <c r="E1148" s="13"/>
    </row>
    <row r="1149" spans="3:21" x14ac:dyDescent="0.2">
      <c r="C1149" s="2"/>
      <c r="D1149" s="13"/>
      <c r="E1149" s="13"/>
    </row>
    <row r="1150" spans="3:21" x14ac:dyDescent="0.2">
      <c r="C1150" s="2"/>
      <c r="D1150" s="13"/>
      <c r="E1150" s="13"/>
    </row>
    <row r="1151" spans="3:21" x14ac:dyDescent="0.2">
      <c r="C1151" s="2"/>
      <c r="D1151" s="13"/>
      <c r="E1151" s="13"/>
    </row>
    <row r="1152" spans="3:21" x14ac:dyDescent="0.2">
      <c r="C1152" s="2"/>
      <c r="D1152" s="13"/>
      <c r="E1152" s="13"/>
    </row>
    <row r="1153" spans="3:21" x14ac:dyDescent="0.2">
      <c r="C1153" s="2"/>
      <c r="D1153" s="13"/>
      <c r="E1153" s="13"/>
    </row>
    <row r="1154" spans="3:21" x14ac:dyDescent="0.2">
      <c r="C1154" s="2"/>
      <c r="D1154" s="13"/>
      <c r="E1154" s="13"/>
    </row>
    <row r="1155" spans="3:21" x14ac:dyDescent="0.2">
      <c r="C1155" s="2"/>
      <c r="D1155" s="13"/>
      <c r="E1155" s="13"/>
    </row>
    <row r="1156" spans="3:21" x14ac:dyDescent="0.2">
      <c r="C1156" s="2"/>
      <c r="D1156" s="13"/>
      <c r="E1156" s="13"/>
    </row>
    <row r="1157" spans="3:21" x14ac:dyDescent="0.2">
      <c r="C1157" s="2"/>
      <c r="D1157" s="13"/>
      <c r="E1157" s="13"/>
    </row>
    <row r="1158" spans="3:21" x14ac:dyDescent="0.2">
      <c r="C1158" s="2"/>
      <c r="D1158" s="13"/>
      <c r="E1158" s="13"/>
    </row>
    <row r="1159" spans="3:21" x14ac:dyDescent="0.2">
      <c r="C1159" s="2"/>
      <c r="D1159" s="13"/>
      <c r="E1159" s="13"/>
    </row>
    <row r="1160" spans="3:21" x14ac:dyDescent="0.2">
      <c r="C1160" s="2"/>
      <c r="D1160" s="13"/>
      <c r="E1160" s="13"/>
      <c r="S1160" s="6"/>
      <c r="T1160" s="6"/>
      <c r="U1160" s="6"/>
    </row>
    <row r="1161" spans="3:21" x14ac:dyDescent="0.2">
      <c r="C1161" s="2"/>
      <c r="D1161" s="13"/>
      <c r="E1161" s="13"/>
    </row>
    <row r="1162" spans="3:21" x14ac:dyDescent="0.2">
      <c r="C1162" s="2"/>
      <c r="D1162" s="13"/>
      <c r="E1162" s="13"/>
    </row>
    <row r="1163" spans="3:21" x14ac:dyDescent="0.2">
      <c r="C1163" s="2"/>
      <c r="D1163" s="13"/>
      <c r="E1163" s="13"/>
    </row>
    <row r="1164" spans="3:21" x14ac:dyDescent="0.2">
      <c r="C1164" s="2"/>
      <c r="D1164" s="13"/>
      <c r="E1164" s="13"/>
    </row>
    <row r="1165" spans="3:21" x14ac:dyDescent="0.2">
      <c r="C1165" s="2"/>
      <c r="D1165" s="13"/>
      <c r="E1165" s="13"/>
    </row>
    <row r="1166" spans="3:21" x14ac:dyDescent="0.2">
      <c r="C1166" s="2"/>
      <c r="D1166" s="13"/>
      <c r="E1166" s="13"/>
    </row>
    <row r="1167" spans="3:21" x14ac:dyDescent="0.2">
      <c r="C1167" s="2"/>
      <c r="D1167" s="13"/>
      <c r="E1167" s="13"/>
    </row>
    <row r="1168" spans="3:21" x14ac:dyDescent="0.2">
      <c r="C1168" s="2"/>
      <c r="D1168" s="13"/>
      <c r="E1168" s="13"/>
    </row>
    <row r="1169" spans="3:21" x14ac:dyDescent="0.2">
      <c r="C1169" s="2"/>
      <c r="D1169" s="13"/>
      <c r="E1169" s="13"/>
    </row>
    <row r="1170" spans="3:21" x14ac:dyDescent="0.2">
      <c r="C1170" s="2"/>
      <c r="D1170" s="13"/>
      <c r="E1170" s="13"/>
    </row>
    <row r="1171" spans="3:21" x14ac:dyDescent="0.2">
      <c r="C1171" s="2"/>
      <c r="D1171" s="13"/>
      <c r="E1171" s="13"/>
    </row>
    <row r="1172" spans="3:21" x14ac:dyDescent="0.2">
      <c r="C1172" s="2"/>
      <c r="D1172" s="13"/>
      <c r="E1172" s="13"/>
    </row>
    <row r="1173" spans="3:21" x14ac:dyDescent="0.2">
      <c r="C1173" s="2"/>
      <c r="D1173" s="13"/>
      <c r="E1173" s="13"/>
    </row>
    <row r="1174" spans="3:21" x14ac:dyDescent="0.2">
      <c r="C1174" s="2"/>
      <c r="D1174" s="13"/>
      <c r="E1174" s="13"/>
    </row>
    <row r="1175" spans="3:21" x14ac:dyDescent="0.2">
      <c r="C1175" s="2"/>
      <c r="D1175" s="13"/>
      <c r="E1175" s="13"/>
    </row>
    <row r="1176" spans="3:21" x14ac:dyDescent="0.2">
      <c r="C1176" s="2"/>
      <c r="D1176" s="13"/>
      <c r="E1176" s="13"/>
    </row>
    <row r="1177" spans="3:21" x14ac:dyDescent="0.2">
      <c r="C1177" s="2"/>
      <c r="D1177" s="13"/>
      <c r="E1177" s="13"/>
    </row>
    <row r="1178" spans="3:21" x14ac:dyDescent="0.2">
      <c r="C1178" s="2"/>
      <c r="D1178" s="13"/>
      <c r="E1178" s="13"/>
      <c r="S1178" s="6"/>
      <c r="T1178" s="6"/>
      <c r="U1178" s="6"/>
    </row>
    <row r="1179" spans="3:21" x14ac:dyDescent="0.2">
      <c r="C1179" s="2"/>
      <c r="D1179" s="13"/>
      <c r="E1179" s="13"/>
      <c r="S1179" s="6"/>
      <c r="T1179" s="6"/>
      <c r="U1179" s="6"/>
    </row>
    <row r="1180" spans="3:21" x14ac:dyDescent="0.2">
      <c r="C1180" s="2"/>
      <c r="D1180" s="13"/>
      <c r="E1180" s="13"/>
      <c r="S1180" s="6"/>
      <c r="T1180" s="6"/>
      <c r="U1180" s="6"/>
    </row>
    <row r="1181" spans="3:21" x14ac:dyDescent="0.2">
      <c r="C1181" s="2"/>
      <c r="D1181" s="13"/>
      <c r="E1181" s="13"/>
      <c r="S1181" s="6"/>
      <c r="T1181" s="6"/>
      <c r="U1181" s="6"/>
    </row>
    <row r="1182" spans="3:21" x14ac:dyDescent="0.2">
      <c r="C1182" s="2"/>
      <c r="D1182" s="13"/>
      <c r="E1182" s="13"/>
    </row>
    <row r="1183" spans="3:21" x14ac:dyDescent="0.2">
      <c r="C1183" s="2"/>
      <c r="D1183" s="13"/>
      <c r="E1183" s="13"/>
    </row>
    <row r="1184" spans="3:21" x14ac:dyDescent="0.2">
      <c r="C1184" s="2"/>
      <c r="D1184" s="13"/>
      <c r="E1184" s="13"/>
    </row>
    <row r="1185" spans="3:21" x14ac:dyDescent="0.2">
      <c r="C1185" s="2"/>
      <c r="D1185" s="13"/>
      <c r="E1185" s="13"/>
    </row>
    <row r="1186" spans="3:21" x14ac:dyDescent="0.2">
      <c r="C1186" s="2"/>
      <c r="D1186" s="13"/>
      <c r="E1186" s="13"/>
    </row>
    <row r="1187" spans="3:21" x14ac:dyDescent="0.2">
      <c r="C1187" s="2"/>
      <c r="D1187" s="13"/>
      <c r="E1187" s="13"/>
    </row>
    <row r="1188" spans="3:21" x14ac:dyDescent="0.2">
      <c r="C1188" s="2"/>
      <c r="D1188" s="13"/>
      <c r="E1188" s="13"/>
      <c r="S1188" s="6"/>
      <c r="T1188" s="6"/>
      <c r="U1188" s="6"/>
    </row>
    <row r="1189" spans="3:21" x14ac:dyDescent="0.2">
      <c r="C1189" s="2"/>
      <c r="D1189" s="13"/>
      <c r="E1189" s="13"/>
    </row>
    <row r="1190" spans="3:21" x14ac:dyDescent="0.2">
      <c r="C1190" s="2"/>
      <c r="D1190" s="13"/>
      <c r="E1190" s="13"/>
    </row>
    <row r="1191" spans="3:21" x14ac:dyDescent="0.2">
      <c r="C1191" s="2"/>
      <c r="D1191" s="13"/>
      <c r="E1191" s="13"/>
    </row>
    <row r="1192" spans="3:21" x14ac:dyDescent="0.2">
      <c r="C1192" s="2"/>
      <c r="D1192" s="13"/>
      <c r="E1192" s="13"/>
    </row>
    <row r="1193" spans="3:21" x14ac:dyDescent="0.2">
      <c r="C1193" s="2"/>
      <c r="D1193" s="13"/>
      <c r="E1193" s="13"/>
      <c r="S1193" s="6"/>
      <c r="T1193" s="6"/>
      <c r="U1193" s="6"/>
    </row>
    <row r="1194" spans="3:21" x14ac:dyDescent="0.2">
      <c r="C1194" s="2"/>
      <c r="D1194" s="13"/>
      <c r="E1194" s="13"/>
      <c r="S1194" s="6"/>
      <c r="T1194" s="6"/>
      <c r="U1194" s="6"/>
    </row>
    <row r="1195" spans="3:21" x14ac:dyDescent="0.2">
      <c r="C1195" s="2"/>
      <c r="D1195" s="13"/>
      <c r="E1195" s="13"/>
    </row>
    <row r="1196" spans="3:21" x14ac:dyDescent="0.2">
      <c r="C1196" s="2"/>
      <c r="D1196" s="13"/>
      <c r="E1196" s="13"/>
    </row>
    <row r="1197" spans="3:21" x14ac:dyDescent="0.2">
      <c r="C1197" s="2"/>
      <c r="D1197" s="13"/>
      <c r="E1197" s="13"/>
    </row>
    <row r="1198" spans="3:21" x14ac:dyDescent="0.2">
      <c r="C1198" s="2"/>
      <c r="D1198" s="13"/>
      <c r="E1198" s="13"/>
    </row>
    <row r="1199" spans="3:21" x14ac:dyDescent="0.2">
      <c r="C1199" s="2"/>
      <c r="D1199" s="13"/>
      <c r="E1199" s="13"/>
    </row>
    <row r="1200" spans="3:21" x14ac:dyDescent="0.2">
      <c r="C1200" s="2"/>
      <c r="D1200" s="13"/>
      <c r="E1200" s="13"/>
    </row>
    <row r="1201" spans="3:21" x14ac:dyDescent="0.2">
      <c r="C1201" s="2"/>
      <c r="D1201" s="13"/>
      <c r="E1201" s="13"/>
    </row>
    <row r="1202" spans="3:21" x14ac:dyDescent="0.2">
      <c r="C1202" s="2"/>
      <c r="D1202" s="13"/>
      <c r="E1202" s="13"/>
    </row>
    <row r="1203" spans="3:21" x14ac:dyDescent="0.2">
      <c r="C1203" s="2"/>
      <c r="D1203" s="13"/>
      <c r="E1203" s="13"/>
    </row>
    <row r="1204" spans="3:21" x14ac:dyDescent="0.2">
      <c r="C1204" s="2"/>
      <c r="D1204" s="13"/>
      <c r="E1204" s="13"/>
    </row>
    <row r="1205" spans="3:21" x14ac:dyDescent="0.2">
      <c r="C1205" s="2"/>
      <c r="D1205" s="13"/>
      <c r="E1205" s="13"/>
    </row>
    <row r="1206" spans="3:21" x14ac:dyDescent="0.2">
      <c r="C1206" s="2"/>
      <c r="D1206" s="13"/>
      <c r="E1206" s="13"/>
    </row>
    <row r="1207" spans="3:21" x14ac:dyDescent="0.2">
      <c r="C1207" s="2"/>
      <c r="D1207" s="13"/>
      <c r="E1207" s="13"/>
    </row>
    <row r="1208" spans="3:21" x14ac:dyDescent="0.2">
      <c r="C1208" s="2"/>
      <c r="D1208" s="13"/>
      <c r="E1208" s="13"/>
    </row>
    <row r="1209" spans="3:21" x14ac:dyDescent="0.2">
      <c r="C1209" s="2"/>
      <c r="D1209" s="13"/>
      <c r="E1209" s="13"/>
      <c r="S1209" s="6"/>
      <c r="T1209" s="6"/>
      <c r="U1209" s="6"/>
    </row>
    <row r="1210" spans="3:21" x14ac:dyDescent="0.2">
      <c r="C1210" s="2"/>
      <c r="D1210" s="13"/>
      <c r="E1210" s="13"/>
      <c r="S1210" s="6"/>
      <c r="T1210" s="6"/>
      <c r="U1210" s="6"/>
    </row>
    <row r="1211" spans="3:21" x14ac:dyDescent="0.2">
      <c r="C1211" s="2"/>
      <c r="D1211" s="13"/>
      <c r="E1211" s="13"/>
    </row>
    <row r="1212" spans="3:21" x14ac:dyDescent="0.2">
      <c r="C1212" s="2"/>
      <c r="D1212" s="13"/>
      <c r="E1212" s="13"/>
    </row>
    <row r="1213" spans="3:21" x14ac:dyDescent="0.2">
      <c r="C1213" s="2"/>
      <c r="D1213" s="13"/>
      <c r="E1213" s="13"/>
    </row>
    <row r="1214" spans="3:21" x14ac:dyDescent="0.2">
      <c r="C1214" s="2"/>
      <c r="D1214" s="13"/>
      <c r="E1214" s="13"/>
    </row>
    <row r="1215" spans="3:21" x14ac:dyDescent="0.2">
      <c r="C1215" s="2"/>
      <c r="D1215" s="13"/>
      <c r="E1215" s="13"/>
    </row>
    <row r="1216" spans="3:21" x14ac:dyDescent="0.2">
      <c r="C1216" s="2"/>
      <c r="D1216" s="13"/>
      <c r="E1216" s="13"/>
    </row>
    <row r="1217" spans="3:21" x14ac:dyDescent="0.2">
      <c r="C1217" s="2"/>
      <c r="D1217" s="13"/>
      <c r="E1217" s="13"/>
    </row>
    <row r="1218" spans="3:21" x14ac:dyDescent="0.2">
      <c r="C1218" s="2"/>
      <c r="D1218" s="13"/>
      <c r="E1218" s="13"/>
    </row>
    <row r="1219" spans="3:21" x14ac:dyDescent="0.2">
      <c r="C1219" s="2"/>
      <c r="D1219" s="13"/>
      <c r="E1219" s="13"/>
    </row>
    <row r="1220" spans="3:21" x14ac:dyDescent="0.2">
      <c r="C1220" s="2"/>
      <c r="D1220" s="13"/>
      <c r="E1220" s="13"/>
      <c r="S1220" s="6"/>
      <c r="T1220" s="6"/>
      <c r="U1220" s="6"/>
    </row>
    <row r="1221" spans="3:21" x14ac:dyDescent="0.2">
      <c r="C1221" s="2"/>
      <c r="D1221" s="13"/>
      <c r="E1221" s="13"/>
      <c r="S1221" s="6"/>
      <c r="T1221" s="6"/>
      <c r="U1221" s="6"/>
    </row>
    <row r="1222" spans="3:21" x14ac:dyDescent="0.2">
      <c r="C1222" s="2"/>
      <c r="D1222" s="13"/>
      <c r="E1222" s="13"/>
    </row>
    <row r="1223" spans="3:21" x14ac:dyDescent="0.2">
      <c r="C1223" s="2"/>
      <c r="D1223" s="13"/>
      <c r="E1223" s="13"/>
      <c r="S1223" s="6"/>
      <c r="T1223" s="6"/>
      <c r="U1223" s="6"/>
    </row>
    <row r="1224" spans="3:21" x14ac:dyDescent="0.2">
      <c r="C1224" s="2"/>
      <c r="D1224" s="13"/>
      <c r="E1224" s="13"/>
      <c r="S1224" s="6"/>
      <c r="T1224" s="6"/>
      <c r="U1224" s="6"/>
    </row>
    <row r="1225" spans="3:21" x14ac:dyDescent="0.2">
      <c r="C1225" s="2"/>
      <c r="D1225" s="13"/>
      <c r="E1225" s="13"/>
    </row>
    <row r="1226" spans="3:21" x14ac:dyDescent="0.2">
      <c r="C1226" s="2"/>
      <c r="D1226" s="13"/>
      <c r="E1226" s="13"/>
    </row>
    <row r="1227" spans="3:21" x14ac:dyDescent="0.2">
      <c r="C1227" s="2"/>
      <c r="D1227" s="13"/>
      <c r="E1227" s="13"/>
    </row>
    <row r="1228" spans="3:21" x14ac:dyDescent="0.2">
      <c r="C1228" s="2"/>
      <c r="D1228" s="13"/>
      <c r="E1228" s="13"/>
    </row>
    <row r="1229" spans="3:21" x14ac:dyDescent="0.2">
      <c r="C1229" s="2"/>
      <c r="D1229" s="13"/>
      <c r="E1229" s="13"/>
      <c r="S1229" s="6"/>
      <c r="T1229" s="6"/>
      <c r="U1229" s="6"/>
    </row>
    <row r="1230" spans="3:21" x14ac:dyDescent="0.2">
      <c r="C1230" s="2"/>
      <c r="D1230" s="13"/>
      <c r="E1230" s="13"/>
    </row>
    <row r="1231" spans="3:21" x14ac:dyDescent="0.2">
      <c r="C1231" s="2"/>
      <c r="D1231" s="13"/>
      <c r="E1231" s="13"/>
    </row>
    <row r="1232" spans="3:21" x14ac:dyDescent="0.2">
      <c r="C1232" s="2"/>
      <c r="D1232" s="13"/>
      <c r="E1232" s="13"/>
    </row>
    <row r="1233" spans="3:5" x14ac:dyDescent="0.2">
      <c r="C1233" s="2"/>
      <c r="D1233" s="13"/>
      <c r="E1233" s="13"/>
    </row>
    <row r="1234" spans="3:5" x14ac:dyDescent="0.2">
      <c r="C1234" s="2"/>
      <c r="D1234" s="13"/>
      <c r="E1234" s="13"/>
    </row>
    <row r="1235" spans="3:5" x14ac:dyDescent="0.2">
      <c r="C1235" s="2"/>
      <c r="D1235" s="13"/>
      <c r="E1235" s="13"/>
    </row>
    <row r="1236" spans="3:5" x14ac:dyDescent="0.2">
      <c r="C1236" s="2"/>
      <c r="D1236" s="13"/>
      <c r="E1236" s="13"/>
    </row>
    <row r="1237" spans="3:5" x14ac:dyDescent="0.2">
      <c r="C1237" s="2"/>
      <c r="D1237" s="13"/>
      <c r="E1237" s="13"/>
    </row>
    <row r="1238" spans="3:5" x14ac:dyDescent="0.2">
      <c r="C1238" s="2"/>
      <c r="D1238" s="13"/>
      <c r="E1238" s="13"/>
    </row>
    <row r="1239" spans="3:5" x14ac:dyDescent="0.2">
      <c r="C1239" s="2"/>
      <c r="D1239" s="13"/>
      <c r="E1239" s="13"/>
    </row>
    <row r="1240" spans="3:5" x14ac:dyDescent="0.2">
      <c r="C1240" s="2"/>
      <c r="D1240" s="13"/>
      <c r="E1240" s="13"/>
    </row>
    <row r="1241" spans="3:5" x14ac:dyDescent="0.2">
      <c r="C1241" s="2"/>
      <c r="D1241" s="13"/>
      <c r="E1241" s="13"/>
    </row>
    <row r="1242" spans="3:5" x14ac:dyDescent="0.2">
      <c r="C1242" s="2"/>
      <c r="D1242" s="13"/>
      <c r="E1242" s="13"/>
    </row>
    <row r="1243" spans="3:5" x14ac:dyDescent="0.2">
      <c r="C1243" s="2"/>
      <c r="D1243" s="13"/>
      <c r="E1243" s="13"/>
    </row>
    <row r="1244" spans="3:5" x14ac:dyDescent="0.2">
      <c r="C1244" s="2"/>
      <c r="D1244" s="13"/>
      <c r="E1244" s="13"/>
    </row>
    <row r="1245" spans="3:5" x14ac:dyDescent="0.2">
      <c r="C1245" s="2"/>
      <c r="D1245" s="13"/>
      <c r="E1245" s="13"/>
    </row>
    <row r="1246" spans="3:5" x14ac:dyDescent="0.2">
      <c r="C1246" s="2"/>
      <c r="D1246" s="13"/>
      <c r="E1246" s="13"/>
    </row>
    <row r="1247" spans="3:5" x14ac:dyDescent="0.2">
      <c r="C1247" s="2"/>
      <c r="D1247" s="13"/>
      <c r="E1247" s="13"/>
    </row>
    <row r="1248" spans="3:5" x14ac:dyDescent="0.2">
      <c r="C1248" s="2"/>
      <c r="D1248" s="13"/>
      <c r="E1248" s="13"/>
    </row>
    <row r="1249" spans="3:21" x14ac:dyDescent="0.2">
      <c r="C1249" s="2"/>
      <c r="D1249" s="13"/>
      <c r="E1249" s="13"/>
    </row>
    <row r="1250" spans="3:21" x14ac:dyDescent="0.2">
      <c r="C1250" s="2"/>
      <c r="D1250" s="13"/>
      <c r="E1250" s="13"/>
    </row>
    <row r="1251" spans="3:21" x14ac:dyDescent="0.2">
      <c r="C1251" s="2"/>
      <c r="D1251" s="13"/>
      <c r="E1251" s="13"/>
    </row>
    <row r="1252" spans="3:21" x14ac:dyDescent="0.2">
      <c r="C1252" s="2"/>
      <c r="D1252" s="13"/>
      <c r="E1252" s="13"/>
    </row>
    <row r="1253" spans="3:21" x14ac:dyDescent="0.2">
      <c r="C1253" s="2"/>
      <c r="D1253" s="13"/>
      <c r="E1253" s="13"/>
    </row>
    <row r="1254" spans="3:21" x14ac:dyDescent="0.2">
      <c r="C1254" s="2"/>
      <c r="D1254" s="13"/>
      <c r="E1254" s="13"/>
    </row>
    <row r="1255" spans="3:21" x14ac:dyDescent="0.2">
      <c r="C1255" s="2"/>
      <c r="D1255" s="13"/>
      <c r="E1255" s="13"/>
    </row>
    <row r="1256" spans="3:21" x14ac:dyDescent="0.2">
      <c r="C1256" s="2"/>
      <c r="D1256" s="13"/>
      <c r="E1256" s="13"/>
      <c r="S1256" s="6"/>
      <c r="T1256" s="6"/>
      <c r="U1256" s="6"/>
    </row>
    <row r="1257" spans="3:21" x14ac:dyDescent="0.2">
      <c r="C1257" s="2"/>
      <c r="D1257" s="13"/>
      <c r="E1257" s="13"/>
    </row>
    <row r="1258" spans="3:21" x14ac:dyDescent="0.2">
      <c r="C1258" s="2"/>
      <c r="D1258" s="13"/>
      <c r="E1258" s="13"/>
    </row>
    <row r="1259" spans="3:21" x14ac:dyDescent="0.2">
      <c r="C1259" s="2"/>
      <c r="D1259" s="13"/>
      <c r="E1259" s="13"/>
    </row>
    <row r="1260" spans="3:21" x14ac:dyDescent="0.2">
      <c r="C1260" s="2"/>
      <c r="D1260" s="13"/>
      <c r="E1260" s="13"/>
    </row>
    <row r="1261" spans="3:21" x14ac:dyDescent="0.2">
      <c r="C1261" s="2"/>
      <c r="D1261" s="13"/>
      <c r="E1261" s="13"/>
    </row>
    <row r="1262" spans="3:21" x14ac:dyDescent="0.2">
      <c r="C1262" s="2"/>
      <c r="D1262" s="13"/>
      <c r="E1262" s="13"/>
    </row>
    <row r="1263" spans="3:21" x14ac:dyDescent="0.2">
      <c r="C1263" s="2"/>
      <c r="D1263" s="13"/>
      <c r="E1263" s="13"/>
    </row>
    <row r="1264" spans="3:21" x14ac:dyDescent="0.2">
      <c r="C1264" s="2"/>
      <c r="D1264" s="13"/>
      <c r="E1264" s="13"/>
    </row>
    <row r="1265" spans="3:5" x14ac:dyDescent="0.2">
      <c r="C1265" s="2"/>
      <c r="D1265" s="13"/>
      <c r="E1265" s="13"/>
    </row>
    <row r="1266" spans="3:5" x14ac:dyDescent="0.2">
      <c r="C1266" s="2"/>
      <c r="D1266" s="13"/>
      <c r="E1266" s="13"/>
    </row>
    <row r="1267" spans="3:5" x14ac:dyDescent="0.2">
      <c r="C1267" s="2"/>
      <c r="D1267" s="13"/>
      <c r="E1267" s="13"/>
    </row>
    <row r="1268" spans="3:5" x14ac:dyDescent="0.2">
      <c r="C1268" s="2"/>
      <c r="D1268" s="13"/>
      <c r="E1268" s="13"/>
    </row>
    <row r="1269" spans="3:5" x14ac:dyDescent="0.2">
      <c r="C1269" s="2"/>
      <c r="D1269" s="13"/>
      <c r="E1269" s="13"/>
    </row>
    <row r="1270" spans="3:5" x14ac:dyDescent="0.2">
      <c r="C1270" s="2"/>
      <c r="D1270" s="13"/>
      <c r="E1270" s="13"/>
    </row>
    <row r="1271" spans="3:5" x14ac:dyDescent="0.2">
      <c r="C1271" s="2"/>
      <c r="D1271" s="13"/>
      <c r="E1271" s="13"/>
    </row>
    <row r="1272" spans="3:5" x14ac:dyDescent="0.2">
      <c r="C1272" s="2"/>
      <c r="D1272" s="13"/>
      <c r="E1272" s="13"/>
    </row>
    <row r="1273" spans="3:5" x14ac:dyDescent="0.2">
      <c r="C1273" s="2"/>
      <c r="D1273" s="13"/>
      <c r="E1273" s="13"/>
    </row>
    <row r="1274" spans="3:5" x14ac:dyDescent="0.2">
      <c r="C1274" s="2"/>
      <c r="D1274" s="13"/>
      <c r="E1274" s="13"/>
    </row>
    <row r="1275" spans="3:5" x14ac:dyDescent="0.2">
      <c r="C1275" s="2"/>
      <c r="D1275" s="13"/>
      <c r="E1275" s="13"/>
    </row>
    <row r="1276" spans="3:5" x14ac:dyDescent="0.2">
      <c r="C1276" s="2"/>
      <c r="D1276" s="13"/>
      <c r="E1276" s="13"/>
    </row>
    <row r="1277" spans="3:5" x14ac:dyDescent="0.2">
      <c r="C1277" s="2"/>
      <c r="D1277" s="13"/>
      <c r="E1277" s="13"/>
    </row>
    <row r="1278" spans="3:5" x14ac:dyDescent="0.2">
      <c r="C1278" s="2"/>
      <c r="D1278" s="13"/>
      <c r="E1278" s="13"/>
    </row>
    <row r="1279" spans="3:5" x14ac:dyDescent="0.2">
      <c r="C1279" s="2"/>
      <c r="D1279" s="13"/>
      <c r="E1279" s="13"/>
    </row>
    <row r="1280" spans="3:5" x14ac:dyDescent="0.2">
      <c r="C1280" s="2"/>
      <c r="D1280" s="13"/>
      <c r="E1280" s="13"/>
    </row>
    <row r="1281" spans="3:21" x14ac:dyDescent="0.2">
      <c r="C1281" s="2"/>
      <c r="D1281" s="13"/>
      <c r="E1281" s="13"/>
    </row>
    <row r="1282" spans="3:21" x14ac:dyDescent="0.2">
      <c r="C1282" s="2"/>
      <c r="D1282" s="13"/>
      <c r="E1282" s="13"/>
      <c r="S1282" s="6"/>
      <c r="T1282" s="6"/>
      <c r="U1282" s="6"/>
    </row>
    <row r="1283" spans="3:21" x14ac:dyDescent="0.2">
      <c r="C1283" s="2"/>
      <c r="D1283" s="13"/>
      <c r="E1283" s="13"/>
    </row>
    <row r="1284" spans="3:21" x14ac:dyDescent="0.2">
      <c r="C1284" s="2"/>
      <c r="D1284" s="13"/>
      <c r="E1284" s="13"/>
    </row>
    <row r="1285" spans="3:21" x14ac:dyDescent="0.2">
      <c r="C1285" s="2"/>
      <c r="D1285" s="13"/>
      <c r="E1285" s="13"/>
    </row>
    <row r="1286" spans="3:21" x14ac:dyDescent="0.2">
      <c r="C1286" s="2"/>
      <c r="D1286" s="13"/>
      <c r="E1286" s="13"/>
    </row>
    <row r="1287" spans="3:21" x14ac:dyDescent="0.2">
      <c r="C1287" s="2"/>
      <c r="D1287" s="13"/>
      <c r="E1287" s="13"/>
    </row>
    <row r="1288" spans="3:21" x14ac:dyDescent="0.2">
      <c r="C1288" s="2"/>
      <c r="D1288" s="13"/>
      <c r="E1288" s="13"/>
      <c r="S1288" s="6"/>
      <c r="T1288" s="6"/>
      <c r="U1288" s="6"/>
    </row>
    <row r="1289" spans="3:21" x14ac:dyDescent="0.2">
      <c r="C1289" s="2"/>
      <c r="D1289" s="13"/>
      <c r="E1289" s="13"/>
      <c r="S1289" s="6"/>
      <c r="T1289" s="6"/>
      <c r="U1289" s="6"/>
    </row>
    <row r="1290" spans="3:21" x14ac:dyDescent="0.2">
      <c r="C1290" s="2"/>
      <c r="D1290" s="13"/>
      <c r="E1290" s="13"/>
    </row>
    <row r="1291" spans="3:21" x14ac:dyDescent="0.2">
      <c r="C1291" s="2"/>
      <c r="D1291" s="13"/>
      <c r="E1291" s="13"/>
    </row>
    <row r="1292" spans="3:21" x14ac:dyDescent="0.2">
      <c r="C1292" s="2"/>
      <c r="D1292" s="13"/>
      <c r="E1292" s="13"/>
    </row>
    <row r="1293" spans="3:21" x14ac:dyDescent="0.2">
      <c r="C1293" s="2"/>
      <c r="D1293" s="13"/>
      <c r="E1293" s="13"/>
    </row>
    <row r="1294" spans="3:21" x14ac:dyDescent="0.2">
      <c r="C1294" s="2"/>
      <c r="D1294" s="13"/>
      <c r="E1294" s="13"/>
      <c r="S1294" s="6"/>
      <c r="T1294" s="6"/>
      <c r="U1294" s="6"/>
    </row>
    <row r="1295" spans="3:21" x14ac:dyDescent="0.2">
      <c r="C1295" s="2"/>
      <c r="D1295" s="13"/>
      <c r="E1295" s="13"/>
      <c r="S1295" s="6"/>
      <c r="T1295" s="6"/>
      <c r="U1295" s="6"/>
    </row>
    <row r="1296" spans="3:21" x14ac:dyDescent="0.2">
      <c r="C1296" s="2"/>
      <c r="D1296" s="13"/>
      <c r="E1296" s="13"/>
    </row>
    <row r="1297" spans="3:21" x14ac:dyDescent="0.2">
      <c r="C1297" s="2"/>
      <c r="D1297" s="13"/>
      <c r="E1297" s="13"/>
      <c r="S1297" s="6"/>
      <c r="T1297" s="6"/>
      <c r="U1297" s="6"/>
    </row>
    <row r="1298" spans="3:21" x14ac:dyDescent="0.2">
      <c r="C1298" s="2"/>
      <c r="D1298" s="13"/>
      <c r="E1298" s="13"/>
    </row>
    <row r="1299" spans="3:21" x14ac:dyDescent="0.2">
      <c r="C1299" s="2"/>
      <c r="D1299" s="13"/>
      <c r="E1299" s="13"/>
      <c r="S1299" s="6"/>
      <c r="T1299" s="6"/>
      <c r="U1299" s="6"/>
    </row>
    <row r="1300" spans="3:21" x14ac:dyDescent="0.2">
      <c r="C1300" s="2"/>
      <c r="D1300" s="13"/>
      <c r="E1300" s="13"/>
      <c r="S1300" s="6"/>
      <c r="T1300" s="6"/>
      <c r="U1300" s="6"/>
    </row>
    <row r="1301" spans="3:21" x14ac:dyDescent="0.2">
      <c r="C1301" s="2"/>
      <c r="D1301" s="13"/>
      <c r="E1301" s="13"/>
      <c r="S1301" s="6"/>
      <c r="T1301" s="6"/>
      <c r="U1301" s="6"/>
    </row>
    <row r="1302" spans="3:21" x14ac:dyDescent="0.2">
      <c r="C1302" s="2"/>
      <c r="D1302" s="13"/>
      <c r="E1302" s="13"/>
    </row>
    <row r="1303" spans="3:21" x14ac:dyDescent="0.2">
      <c r="C1303" s="2"/>
      <c r="D1303" s="13"/>
      <c r="E1303" s="13"/>
    </row>
    <row r="1304" spans="3:21" x14ac:dyDescent="0.2">
      <c r="C1304" s="2"/>
      <c r="D1304" s="13"/>
      <c r="E1304" s="13"/>
    </row>
    <row r="1305" spans="3:21" x14ac:dyDescent="0.2">
      <c r="C1305" s="2"/>
      <c r="D1305" s="13"/>
      <c r="E1305" s="13"/>
    </row>
    <row r="1306" spans="3:21" x14ac:dyDescent="0.2">
      <c r="C1306" s="2"/>
      <c r="D1306" s="13"/>
      <c r="E1306" s="13"/>
    </row>
    <row r="1307" spans="3:21" x14ac:dyDescent="0.2">
      <c r="C1307" s="2"/>
      <c r="D1307" s="13"/>
      <c r="E1307" s="13"/>
    </row>
    <row r="1308" spans="3:21" x14ac:dyDescent="0.2">
      <c r="C1308" s="2"/>
      <c r="D1308" s="13"/>
      <c r="E1308" s="13"/>
      <c r="S1308" s="6"/>
      <c r="T1308" s="6"/>
      <c r="U1308" s="6"/>
    </row>
    <row r="1309" spans="3:21" x14ac:dyDescent="0.2">
      <c r="C1309" s="2"/>
      <c r="D1309" s="13"/>
      <c r="E1309" s="13"/>
    </row>
    <row r="1310" spans="3:21" x14ac:dyDescent="0.2">
      <c r="C1310" s="2"/>
      <c r="D1310" s="13"/>
      <c r="E1310" s="13"/>
      <c r="S1310" s="6"/>
      <c r="T1310" s="6"/>
      <c r="U1310" s="6"/>
    </row>
    <row r="1311" spans="3:21" x14ac:dyDescent="0.2">
      <c r="C1311" s="2"/>
      <c r="D1311" s="13"/>
      <c r="E1311" s="13"/>
      <c r="S1311" s="6"/>
      <c r="T1311" s="6"/>
      <c r="U1311" s="6"/>
    </row>
    <row r="1312" spans="3:21" x14ac:dyDescent="0.2">
      <c r="C1312" s="2"/>
      <c r="D1312" s="13"/>
      <c r="E1312" s="13"/>
    </row>
    <row r="1313" spans="3:21" x14ac:dyDescent="0.2">
      <c r="C1313" s="2"/>
      <c r="D1313" s="13"/>
      <c r="E1313" s="13"/>
      <c r="S1313" s="6"/>
      <c r="T1313" s="6"/>
      <c r="U1313" s="6"/>
    </row>
    <row r="1314" spans="3:21" x14ac:dyDescent="0.2">
      <c r="C1314" s="2"/>
      <c r="D1314" s="13"/>
      <c r="E1314" s="13"/>
      <c r="S1314" s="6"/>
      <c r="T1314" s="6"/>
      <c r="U1314" s="6"/>
    </row>
    <row r="1315" spans="3:21" x14ac:dyDescent="0.2">
      <c r="C1315" s="2"/>
      <c r="D1315" s="13"/>
      <c r="E1315" s="13"/>
    </row>
    <row r="1316" spans="3:21" x14ac:dyDescent="0.2">
      <c r="C1316" s="2"/>
      <c r="D1316" s="13"/>
      <c r="E1316" s="13"/>
    </row>
    <row r="1317" spans="3:21" x14ac:dyDescent="0.2">
      <c r="C1317" s="2"/>
      <c r="D1317" s="13"/>
      <c r="E1317" s="13"/>
    </row>
    <row r="1318" spans="3:21" x14ac:dyDescent="0.2">
      <c r="C1318" s="2"/>
      <c r="D1318" s="13"/>
      <c r="E1318" s="13"/>
    </row>
    <row r="1319" spans="3:21" x14ac:dyDescent="0.2">
      <c r="C1319" s="2"/>
      <c r="D1319" s="13"/>
      <c r="E1319" s="13"/>
    </row>
    <row r="1320" spans="3:21" x14ac:dyDescent="0.2">
      <c r="C1320" s="2"/>
      <c r="D1320" s="13"/>
      <c r="E1320" s="13"/>
      <c r="S1320" s="6"/>
      <c r="T1320" s="6"/>
      <c r="U1320" s="6"/>
    </row>
    <row r="1321" spans="3:21" x14ac:dyDescent="0.2">
      <c r="C1321" s="2"/>
      <c r="D1321" s="13"/>
      <c r="E1321" s="13"/>
      <c r="S1321" s="6"/>
      <c r="T1321" s="6"/>
      <c r="U1321" s="6"/>
    </row>
    <row r="1322" spans="3:21" x14ac:dyDescent="0.2">
      <c r="C1322" s="2"/>
      <c r="D1322" s="13"/>
      <c r="E1322" s="13"/>
      <c r="S1322" s="6"/>
      <c r="T1322" s="6"/>
      <c r="U1322" s="6"/>
    </row>
    <row r="1323" spans="3:21" x14ac:dyDescent="0.2">
      <c r="C1323" s="2"/>
      <c r="D1323" s="13"/>
      <c r="E1323" s="13"/>
      <c r="S1323" s="6"/>
      <c r="T1323" s="6"/>
      <c r="U1323" s="6"/>
    </row>
    <row r="1324" spans="3:21" x14ac:dyDescent="0.2">
      <c r="C1324" s="2"/>
      <c r="D1324" s="13"/>
      <c r="E1324" s="13"/>
    </row>
    <row r="1325" spans="3:21" x14ac:dyDescent="0.2">
      <c r="C1325" s="2"/>
      <c r="D1325" s="13"/>
      <c r="E1325" s="13"/>
      <c r="S1325" s="6"/>
      <c r="T1325" s="6"/>
      <c r="U1325" s="6"/>
    </row>
    <row r="1326" spans="3:21" x14ac:dyDescent="0.2">
      <c r="C1326" s="2"/>
      <c r="D1326" s="13"/>
      <c r="E1326" s="13"/>
    </row>
    <row r="1327" spans="3:21" x14ac:dyDescent="0.2">
      <c r="C1327" s="2"/>
      <c r="D1327" s="13"/>
      <c r="E1327" s="13"/>
      <c r="S1327" s="6"/>
      <c r="T1327" s="6"/>
      <c r="U1327" s="6"/>
    </row>
    <row r="1328" spans="3:21" x14ac:dyDescent="0.2">
      <c r="C1328" s="2"/>
      <c r="D1328" s="13"/>
      <c r="E1328" s="13"/>
      <c r="S1328" s="6"/>
      <c r="T1328" s="6"/>
      <c r="U1328" s="6"/>
    </row>
    <row r="1329" spans="3:21" x14ac:dyDescent="0.2">
      <c r="C1329" s="2"/>
      <c r="D1329" s="13"/>
      <c r="E1329" s="13"/>
    </row>
    <row r="1330" spans="3:21" x14ac:dyDescent="0.2">
      <c r="C1330" s="2"/>
      <c r="D1330" s="13"/>
      <c r="E1330" s="13"/>
    </row>
    <row r="1331" spans="3:21" x14ac:dyDescent="0.2">
      <c r="C1331" s="2"/>
      <c r="D1331" s="13"/>
      <c r="E1331" s="13"/>
      <c r="S1331" s="6"/>
      <c r="T1331" s="6"/>
      <c r="U1331" s="6"/>
    </row>
    <row r="1332" spans="3:21" x14ac:dyDescent="0.2">
      <c r="C1332" s="2"/>
      <c r="D1332" s="13"/>
      <c r="E1332" s="13"/>
      <c r="S1332" s="6"/>
      <c r="T1332" s="6"/>
      <c r="U1332" s="6"/>
    </row>
    <row r="1333" spans="3:21" x14ac:dyDescent="0.2">
      <c r="C1333" s="2"/>
      <c r="D1333" s="13"/>
      <c r="E1333" s="13"/>
      <c r="S1333" s="6"/>
      <c r="T1333" s="6"/>
      <c r="U1333" s="6"/>
    </row>
    <row r="1334" spans="3:21" x14ac:dyDescent="0.2">
      <c r="C1334" s="2"/>
      <c r="D1334" s="13"/>
      <c r="E1334" s="13"/>
      <c r="S1334" s="6"/>
      <c r="T1334" s="6"/>
      <c r="U1334" s="6"/>
    </row>
    <row r="1335" spans="3:21" x14ac:dyDescent="0.2">
      <c r="C1335" s="2"/>
      <c r="D1335" s="13"/>
      <c r="E1335" s="13"/>
    </row>
    <row r="1336" spans="3:21" x14ac:dyDescent="0.2">
      <c r="C1336" s="2"/>
      <c r="D1336" s="13"/>
      <c r="E1336" s="13"/>
    </row>
    <row r="1337" spans="3:21" x14ac:dyDescent="0.2">
      <c r="C1337" s="2"/>
      <c r="D1337" s="13"/>
      <c r="E1337" s="13"/>
    </row>
    <row r="1338" spans="3:21" x14ac:dyDescent="0.2">
      <c r="C1338" s="2"/>
      <c r="D1338" s="13"/>
      <c r="E1338" s="13"/>
      <c r="S1338" s="6"/>
      <c r="T1338" s="6"/>
      <c r="U1338" s="6"/>
    </row>
    <row r="1339" spans="3:21" x14ac:dyDescent="0.2">
      <c r="C1339" s="2"/>
      <c r="D1339" s="13"/>
      <c r="E1339" s="13"/>
      <c r="S1339" s="6"/>
      <c r="T1339" s="6"/>
      <c r="U1339" s="6"/>
    </row>
    <row r="1340" spans="3:21" x14ac:dyDescent="0.2">
      <c r="C1340" s="2"/>
      <c r="D1340" s="13"/>
      <c r="E1340" s="13"/>
    </row>
    <row r="1341" spans="3:21" x14ac:dyDescent="0.2">
      <c r="C1341" s="2"/>
      <c r="D1341" s="13"/>
      <c r="E1341" s="13"/>
    </row>
    <row r="1342" spans="3:21" x14ac:dyDescent="0.2">
      <c r="C1342" s="2"/>
      <c r="D1342" s="13"/>
      <c r="E1342" s="13"/>
      <c r="S1342" s="6"/>
      <c r="T1342" s="6"/>
      <c r="U1342" s="6"/>
    </row>
    <row r="1343" spans="3:21" x14ac:dyDescent="0.2">
      <c r="C1343" s="2"/>
      <c r="D1343" s="13"/>
      <c r="E1343" s="13"/>
      <c r="S1343" s="6"/>
      <c r="T1343" s="6"/>
      <c r="U1343" s="6"/>
    </row>
    <row r="1344" spans="3:21" x14ac:dyDescent="0.2">
      <c r="C1344" s="2"/>
      <c r="D1344" s="13"/>
      <c r="E1344" s="13"/>
      <c r="S1344" s="6"/>
      <c r="T1344" s="6"/>
      <c r="U1344" s="6"/>
    </row>
    <row r="1345" spans="3:21" x14ac:dyDescent="0.2">
      <c r="C1345" s="2"/>
      <c r="D1345" s="13"/>
      <c r="E1345" s="13"/>
    </row>
    <row r="1346" spans="3:21" x14ac:dyDescent="0.2">
      <c r="C1346" s="2"/>
      <c r="D1346" s="13"/>
      <c r="E1346" s="13"/>
    </row>
    <row r="1347" spans="3:21" x14ac:dyDescent="0.2">
      <c r="C1347" s="2"/>
      <c r="D1347" s="13"/>
      <c r="E1347" s="13"/>
    </row>
    <row r="1348" spans="3:21" x14ac:dyDescent="0.2">
      <c r="C1348" s="2"/>
      <c r="D1348" s="13"/>
      <c r="E1348" s="13"/>
      <c r="S1348" s="6"/>
      <c r="T1348" s="6"/>
      <c r="U1348" s="6"/>
    </row>
    <row r="1349" spans="3:21" x14ac:dyDescent="0.2">
      <c r="C1349" s="2"/>
      <c r="D1349" s="13"/>
      <c r="E1349" s="13"/>
    </row>
    <row r="1350" spans="3:21" x14ac:dyDescent="0.2">
      <c r="C1350" s="2"/>
      <c r="D1350" s="13"/>
      <c r="E1350" s="13"/>
      <c r="S1350" s="6"/>
      <c r="T1350" s="6"/>
      <c r="U1350" s="6"/>
    </row>
    <row r="1351" spans="3:21" x14ac:dyDescent="0.2">
      <c r="C1351" s="2"/>
      <c r="D1351" s="13"/>
      <c r="E1351" s="13"/>
    </row>
    <row r="1352" spans="3:21" x14ac:dyDescent="0.2">
      <c r="C1352" s="2"/>
      <c r="D1352" s="13"/>
      <c r="E1352" s="13"/>
    </row>
    <row r="1353" spans="3:21" x14ac:dyDescent="0.2">
      <c r="C1353" s="2"/>
      <c r="D1353" s="13"/>
      <c r="E1353" s="13"/>
    </row>
    <row r="1354" spans="3:21" x14ac:dyDescent="0.2">
      <c r="C1354" s="2"/>
      <c r="D1354" s="13"/>
      <c r="E1354" s="13"/>
    </row>
    <row r="1355" spans="3:21" x14ac:dyDescent="0.2">
      <c r="C1355" s="2"/>
      <c r="D1355" s="13"/>
      <c r="E1355" s="13"/>
      <c r="S1355" s="6"/>
      <c r="T1355" s="6"/>
      <c r="U1355" s="6"/>
    </row>
    <row r="1356" spans="3:21" x14ac:dyDescent="0.2">
      <c r="C1356" s="2"/>
      <c r="D1356" s="13"/>
      <c r="E1356" s="13"/>
      <c r="S1356" s="6"/>
      <c r="T1356" s="6"/>
      <c r="U1356" s="6"/>
    </row>
    <row r="1357" spans="3:21" x14ac:dyDescent="0.2">
      <c r="C1357" s="2"/>
      <c r="D1357" s="13"/>
      <c r="E1357" s="13"/>
      <c r="S1357" s="6"/>
      <c r="T1357" s="6"/>
      <c r="U1357" s="6"/>
    </row>
    <row r="1358" spans="3:21" x14ac:dyDescent="0.2">
      <c r="C1358" s="2"/>
      <c r="D1358" s="13"/>
      <c r="E1358" s="13"/>
      <c r="S1358" s="6"/>
      <c r="T1358" s="6"/>
      <c r="U1358" s="6"/>
    </row>
    <row r="1359" spans="3:21" x14ac:dyDescent="0.2">
      <c r="C1359" s="2"/>
      <c r="D1359" s="13"/>
      <c r="E1359" s="13"/>
      <c r="S1359" s="6"/>
      <c r="T1359" s="6"/>
      <c r="U1359" s="6"/>
    </row>
    <row r="1360" spans="3:21" x14ac:dyDescent="0.2">
      <c r="C1360" s="2"/>
      <c r="D1360" s="13"/>
      <c r="E1360" s="13"/>
      <c r="S1360" s="6"/>
      <c r="T1360" s="6"/>
      <c r="U1360" s="6"/>
    </row>
    <row r="1361" spans="3:21" x14ac:dyDescent="0.2">
      <c r="C1361" s="2"/>
      <c r="D1361" s="13"/>
      <c r="E1361" s="13"/>
      <c r="S1361" s="6"/>
      <c r="T1361" s="6"/>
      <c r="U1361" s="6"/>
    </row>
    <row r="1362" spans="3:21" x14ac:dyDescent="0.2">
      <c r="C1362" s="2"/>
      <c r="D1362" s="13"/>
      <c r="E1362" s="13"/>
      <c r="S1362" s="6"/>
      <c r="T1362" s="6"/>
      <c r="U1362" s="6"/>
    </row>
    <row r="1363" spans="3:21" x14ac:dyDescent="0.2">
      <c r="C1363" s="2"/>
      <c r="D1363" s="13"/>
      <c r="E1363" s="13"/>
      <c r="S1363" s="6"/>
      <c r="T1363" s="6"/>
      <c r="U1363" s="6"/>
    </row>
    <row r="1364" spans="3:21" x14ac:dyDescent="0.2">
      <c r="C1364" s="2"/>
      <c r="D1364" s="13"/>
      <c r="E1364" s="13"/>
      <c r="S1364" s="6"/>
      <c r="T1364" s="6"/>
      <c r="U1364" s="6"/>
    </row>
    <row r="1365" spans="3:21" x14ac:dyDescent="0.2">
      <c r="C1365" s="2"/>
      <c r="D1365" s="13"/>
      <c r="E1365" s="13"/>
    </row>
    <row r="1366" spans="3:21" x14ac:dyDescent="0.2">
      <c r="C1366" s="2"/>
      <c r="D1366" s="13"/>
      <c r="E1366" s="13"/>
      <c r="S1366" s="6"/>
      <c r="T1366" s="6"/>
      <c r="U1366" s="6"/>
    </row>
    <row r="1367" spans="3:21" x14ac:dyDescent="0.2">
      <c r="C1367" s="2"/>
      <c r="D1367" s="13"/>
      <c r="E1367" s="13"/>
    </row>
    <row r="1368" spans="3:21" x14ac:dyDescent="0.2">
      <c r="C1368" s="2"/>
      <c r="D1368" s="13"/>
      <c r="E1368" s="13"/>
    </row>
    <row r="1369" spans="3:21" x14ac:dyDescent="0.2">
      <c r="C1369" s="2"/>
      <c r="D1369" s="13"/>
      <c r="E1369" s="13"/>
    </row>
    <row r="1370" spans="3:21" x14ac:dyDescent="0.2">
      <c r="C1370" s="2"/>
      <c r="D1370" s="13"/>
      <c r="E1370" s="13"/>
    </row>
    <row r="1371" spans="3:21" x14ac:dyDescent="0.2">
      <c r="C1371" s="2"/>
      <c r="D1371" s="13"/>
      <c r="E1371" s="13"/>
    </row>
    <row r="1372" spans="3:21" x14ac:dyDescent="0.2">
      <c r="C1372" s="2"/>
      <c r="D1372" s="13"/>
      <c r="E1372" s="13"/>
    </row>
    <row r="1373" spans="3:21" x14ac:dyDescent="0.2">
      <c r="C1373" s="2"/>
      <c r="D1373" s="13"/>
      <c r="E1373" s="13"/>
    </row>
    <row r="1374" spans="3:21" x14ac:dyDescent="0.2">
      <c r="C1374" s="2"/>
      <c r="D1374" s="13"/>
      <c r="E1374" s="13"/>
      <c r="H1374" s="4"/>
      <c r="I1374" s="4"/>
      <c r="J1374" s="4"/>
      <c r="K1374" s="4"/>
    </row>
    <row r="1375" spans="3:21" x14ac:dyDescent="0.2">
      <c r="C1375" s="2"/>
      <c r="D1375" s="13"/>
      <c r="E1375" s="13"/>
      <c r="H1375" s="4"/>
      <c r="I1375" s="4"/>
      <c r="J1375" s="4"/>
      <c r="K1375" s="4"/>
    </row>
    <row r="1376" spans="3:21" x14ac:dyDescent="0.2">
      <c r="C1376" s="2"/>
      <c r="D1376" s="13"/>
      <c r="E1376" s="13"/>
      <c r="H1376" s="4"/>
      <c r="I1376" s="4"/>
      <c r="J1376" s="4"/>
      <c r="K1376" s="4"/>
    </row>
    <row r="1377" spans="3:11" x14ac:dyDescent="0.2">
      <c r="C1377" s="2"/>
      <c r="D1377" s="13"/>
      <c r="E1377" s="13"/>
      <c r="H1377" s="4"/>
      <c r="I1377" s="4"/>
      <c r="J1377" s="4"/>
      <c r="K1377" s="4"/>
    </row>
    <row r="1378" spans="3:11" x14ac:dyDescent="0.2">
      <c r="C1378" s="2"/>
      <c r="D1378" s="13"/>
      <c r="E1378" s="13"/>
      <c r="H1378" s="4"/>
      <c r="I1378" s="4"/>
      <c r="J1378" s="4"/>
      <c r="K1378" s="4"/>
    </row>
    <row r="1379" spans="3:11" x14ac:dyDescent="0.2">
      <c r="C1379" s="2"/>
      <c r="D1379" s="13"/>
      <c r="E1379" s="13"/>
      <c r="H1379" s="4"/>
      <c r="I1379" s="4"/>
      <c r="J1379" s="4"/>
      <c r="K1379" s="4"/>
    </row>
    <row r="1380" spans="3:11" x14ac:dyDescent="0.2">
      <c r="C1380" s="2"/>
      <c r="D1380" s="13"/>
      <c r="E1380" s="13"/>
      <c r="H1380" s="4"/>
      <c r="I1380" s="4"/>
      <c r="J1380" s="4"/>
      <c r="K1380" s="4"/>
    </row>
    <row r="1381" spans="3:11" x14ac:dyDescent="0.2">
      <c r="C1381" s="2"/>
      <c r="D1381" s="13"/>
      <c r="E1381" s="13"/>
      <c r="H1381" s="4"/>
      <c r="I1381" s="4"/>
      <c r="J1381" s="4"/>
      <c r="K1381" s="4"/>
    </row>
    <row r="1382" spans="3:11" x14ac:dyDescent="0.2">
      <c r="C1382" s="2"/>
      <c r="D1382" s="13"/>
      <c r="E1382" s="13"/>
      <c r="H1382" s="4"/>
      <c r="I1382" s="4"/>
      <c r="J1382" s="4"/>
      <c r="K1382" s="4"/>
    </row>
    <row r="1383" spans="3:11" x14ac:dyDescent="0.2">
      <c r="C1383" s="2"/>
      <c r="D1383" s="13"/>
      <c r="E1383" s="13"/>
      <c r="H1383" s="4"/>
      <c r="I1383" s="4"/>
      <c r="J1383" s="4"/>
      <c r="K1383" s="4"/>
    </row>
    <row r="1384" spans="3:11" x14ac:dyDescent="0.2">
      <c r="C1384" s="2"/>
      <c r="D1384" s="13"/>
      <c r="E1384" s="13"/>
      <c r="H1384" s="4"/>
      <c r="I1384" s="4"/>
      <c r="J1384" s="4"/>
      <c r="K1384" s="4"/>
    </row>
    <row r="1385" spans="3:11" x14ac:dyDescent="0.2">
      <c r="C1385" s="2"/>
      <c r="D1385" s="13"/>
      <c r="E1385" s="13"/>
      <c r="H1385" s="4"/>
      <c r="I1385" s="4"/>
      <c r="J1385" s="4"/>
      <c r="K1385" s="4"/>
    </row>
    <row r="1386" spans="3:11" x14ac:dyDescent="0.2">
      <c r="C1386" s="2"/>
      <c r="D1386" s="13"/>
      <c r="E1386" s="13"/>
      <c r="H1386" s="4"/>
      <c r="I1386" s="4"/>
      <c r="J1386" s="4"/>
      <c r="K1386" s="4"/>
    </row>
    <row r="1387" spans="3:11" x14ac:dyDescent="0.2">
      <c r="C1387" s="2"/>
      <c r="D1387" s="13"/>
      <c r="E1387" s="13"/>
      <c r="H1387" s="4"/>
      <c r="I1387" s="4"/>
      <c r="J1387" s="4"/>
      <c r="K1387" s="4"/>
    </row>
    <row r="1388" spans="3:11" x14ac:dyDescent="0.2">
      <c r="C1388" s="2"/>
      <c r="D1388" s="13"/>
      <c r="E1388" s="13"/>
      <c r="H1388" s="4"/>
      <c r="I1388" s="4"/>
      <c r="J1388" s="4"/>
      <c r="K1388" s="4"/>
    </row>
    <row r="1389" spans="3:11" x14ac:dyDescent="0.2">
      <c r="C1389" s="2"/>
      <c r="D1389" s="13"/>
      <c r="E1389" s="13"/>
      <c r="H1389" s="4"/>
      <c r="I1389" s="4"/>
    </row>
    <row r="1390" spans="3:11" x14ac:dyDescent="0.2">
      <c r="C1390" s="2"/>
      <c r="D1390" s="13"/>
      <c r="E1390" s="13"/>
      <c r="H1390" s="4"/>
      <c r="I1390" s="4"/>
    </row>
    <row r="1391" spans="3:11" x14ac:dyDescent="0.2">
      <c r="C1391" s="2"/>
      <c r="D1391" s="13"/>
      <c r="E1391" s="13"/>
      <c r="H1391" s="4"/>
      <c r="I1391" s="4"/>
    </row>
    <row r="1392" spans="3:11" x14ac:dyDescent="0.2">
      <c r="C1392" s="2"/>
      <c r="D1392" s="13"/>
      <c r="E1392" s="13"/>
      <c r="H1392" s="4"/>
      <c r="I1392" s="4"/>
    </row>
    <row r="1393" spans="3:21" x14ac:dyDescent="0.2">
      <c r="C1393" s="2"/>
      <c r="D1393" s="13"/>
      <c r="E1393" s="13"/>
      <c r="H1393" s="4"/>
      <c r="I1393" s="4"/>
    </row>
    <row r="1394" spans="3:21" x14ac:dyDescent="0.2">
      <c r="C1394" s="2"/>
      <c r="D1394" s="13"/>
      <c r="E1394" s="13"/>
      <c r="H1394" s="4"/>
      <c r="I1394" s="4"/>
    </row>
    <row r="1395" spans="3:21" x14ac:dyDescent="0.2">
      <c r="C1395" s="2"/>
      <c r="D1395" s="13"/>
      <c r="E1395" s="13"/>
      <c r="H1395" s="4"/>
      <c r="I1395" s="4"/>
    </row>
    <row r="1396" spans="3:21" x14ac:dyDescent="0.2">
      <c r="C1396" s="2"/>
      <c r="D1396" s="13"/>
      <c r="E1396" s="13"/>
      <c r="H1396" s="4"/>
      <c r="I1396" s="4"/>
    </row>
    <row r="1397" spans="3:21" x14ac:dyDescent="0.2">
      <c r="C1397" s="2"/>
      <c r="D1397" s="13"/>
      <c r="E1397" s="13"/>
      <c r="H1397" s="4"/>
      <c r="I1397" s="4"/>
    </row>
    <row r="1398" spans="3:21" x14ac:dyDescent="0.2">
      <c r="C1398" s="2"/>
      <c r="D1398" s="13"/>
      <c r="E1398" s="13"/>
      <c r="H1398" s="4"/>
      <c r="I1398" s="4"/>
    </row>
    <row r="1399" spans="3:21" x14ac:dyDescent="0.2">
      <c r="C1399" s="2"/>
      <c r="D1399" s="13"/>
      <c r="E1399" s="13"/>
      <c r="H1399" s="4"/>
      <c r="I1399" s="4"/>
      <c r="J1399" s="4"/>
      <c r="K1399" s="4"/>
      <c r="S1399" s="6"/>
      <c r="T1399" s="6"/>
      <c r="U1399" s="6"/>
    </row>
    <row r="1400" spans="3:21" x14ac:dyDescent="0.2">
      <c r="C1400" s="2"/>
      <c r="D1400" s="13"/>
      <c r="E1400" s="13"/>
      <c r="H1400" s="4"/>
      <c r="I1400" s="4"/>
      <c r="J1400" s="4"/>
      <c r="K1400" s="4"/>
      <c r="S1400" s="6"/>
      <c r="T1400" s="6"/>
      <c r="U1400" s="6"/>
    </row>
    <row r="1401" spans="3:21" x14ac:dyDescent="0.2">
      <c r="C1401" s="2"/>
      <c r="D1401" s="13"/>
      <c r="E1401" s="13"/>
      <c r="H1401" s="4"/>
      <c r="I1401" s="4"/>
      <c r="J1401" s="4"/>
      <c r="K1401" s="4"/>
    </row>
    <row r="1402" spans="3:21" x14ac:dyDescent="0.2">
      <c r="C1402" s="2"/>
      <c r="D1402" s="13"/>
      <c r="E1402" s="13"/>
      <c r="H1402" s="4"/>
      <c r="I1402" s="4"/>
      <c r="J1402" s="4"/>
      <c r="K1402" s="4"/>
    </row>
    <row r="1403" spans="3:21" x14ac:dyDescent="0.2">
      <c r="C1403" s="2"/>
      <c r="D1403" s="13"/>
      <c r="E1403" s="13"/>
      <c r="H1403" s="4"/>
      <c r="I1403" s="4"/>
      <c r="J1403" s="4"/>
      <c r="K1403" s="4"/>
    </row>
    <row r="1404" spans="3:21" x14ac:dyDescent="0.2">
      <c r="C1404" s="2"/>
      <c r="D1404" s="13"/>
      <c r="E1404" s="13"/>
      <c r="H1404" s="4"/>
      <c r="I1404" s="4"/>
      <c r="J1404" s="4"/>
      <c r="K1404" s="4"/>
    </row>
    <row r="1405" spans="3:21" x14ac:dyDescent="0.2">
      <c r="C1405" s="2"/>
      <c r="D1405" s="13"/>
      <c r="E1405" s="13"/>
      <c r="H1405" s="4"/>
      <c r="I1405" s="4"/>
      <c r="J1405" s="4"/>
      <c r="K1405" s="4"/>
      <c r="S1405" s="6"/>
      <c r="T1405" s="6"/>
      <c r="U1405" s="6"/>
    </row>
    <row r="1406" spans="3:21" x14ac:dyDescent="0.2">
      <c r="C1406" s="2"/>
      <c r="D1406" s="13"/>
      <c r="E1406" s="13"/>
      <c r="H1406" s="4"/>
      <c r="I1406" s="4"/>
      <c r="J1406" s="4"/>
      <c r="K1406" s="4"/>
    </row>
    <row r="1407" spans="3:21" x14ac:dyDescent="0.2">
      <c r="C1407" s="2"/>
      <c r="D1407" s="13"/>
      <c r="E1407" s="13"/>
      <c r="H1407" s="4"/>
      <c r="I1407" s="4"/>
      <c r="J1407" s="4"/>
      <c r="K1407" s="4"/>
    </row>
    <row r="1408" spans="3:21" x14ac:dyDescent="0.2">
      <c r="C1408" s="2"/>
      <c r="D1408" s="13"/>
      <c r="E1408" s="13"/>
      <c r="H1408" s="4"/>
      <c r="I1408" s="4"/>
      <c r="J1408" s="4"/>
      <c r="K1408" s="4"/>
      <c r="S1408" s="6"/>
      <c r="T1408" s="6"/>
      <c r="U1408" s="6"/>
    </row>
    <row r="1409" spans="3:21" x14ac:dyDescent="0.2">
      <c r="C1409" s="2"/>
      <c r="D1409" s="13"/>
      <c r="E1409" s="13"/>
      <c r="H1409" s="4"/>
      <c r="I1409" s="4"/>
      <c r="J1409" s="4"/>
      <c r="K1409" s="4"/>
    </row>
    <row r="1410" spans="3:21" x14ac:dyDescent="0.2">
      <c r="C1410" s="2"/>
      <c r="D1410" s="13"/>
      <c r="E1410" s="13"/>
      <c r="H1410" s="4"/>
      <c r="I1410" s="4"/>
      <c r="J1410" s="4"/>
      <c r="K1410" s="4"/>
    </row>
    <row r="1411" spans="3:21" x14ac:dyDescent="0.2">
      <c r="C1411" s="2"/>
      <c r="D1411" s="13"/>
      <c r="E1411" s="13"/>
      <c r="H1411" s="4"/>
      <c r="I1411" s="4"/>
      <c r="J1411" s="4"/>
      <c r="K1411" s="4"/>
      <c r="S1411" s="6"/>
      <c r="T1411" s="6"/>
      <c r="U1411" s="6"/>
    </row>
    <row r="1412" spans="3:21" x14ac:dyDescent="0.2">
      <c r="C1412" s="2"/>
      <c r="D1412" s="13"/>
      <c r="E1412" s="13"/>
      <c r="H1412" s="4"/>
      <c r="I1412" s="4"/>
      <c r="J1412" s="4"/>
      <c r="K1412" s="4"/>
    </row>
    <row r="1413" spans="3:21" x14ac:dyDescent="0.2">
      <c r="C1413" s="2"/>
      <c r="D1413" s="13"/>
      <c r="E1413" s="13"/>
      <c r="H1413" s="4"/>
      <c r="I1413" s="4"/>
      <c r="J1413" s="4"/>
      <c r="K1413" s="4"/>
      <c r="S1413" s="6"/>
      <c r="T1413" s="6"/>
      <c r="U1413" s="6"/>
    </row>
    <row r="1414" spans="3:21" x14ac:dyDescent="0.2">
      <c r="C1414" s="2"/>
      <c r="D1414" s="13"/>
      <c r="E1414" s="13"/>
      <c r="H1414" s="4"/>
      <c r="I1414" s="4"/>
      <c r="J1414" s="4"/>
      <c r="K1414" s="4"/>
    </row>
    <row r="1415" spans="3:21" x14ac:dyDescent="0.2">
      <c r="C1415" s="2"/>
      <c r="D1415" s="13"/>
      <c r="E1415" s="13"/>
      <c r="H1415" s="4"/>
      <c r="I1415" s="4"/>
      <c r="J1415" s="4"/>
      <c r="K1415" s="4"/>
    </row>
    <row r="1416" spans="3:21" x14ac:dyDescent="0.2">
      <c r="C1416" s="2"/>
      <c r="D1416" s="13"/>
      <c r="E1416" s="13"/>
      <c r="H1416" s="4"/>
      <c r="I1416" s="4"/>
      <c r="J1416" s="4"/>
      <c r="K1416" s="4"/>
      <c r="S1416" s="6"/>
      <c r="T1416" s="6"/>
      <c r="U1416" s="6"/>
    </row>
    <row r="1417" spans="3:21" x14ac:dyDescent="0.2">
      <c r="C1417" s="2"/>
      <c r="D1417" s="13"/>
      <c r="E1417" s="13"/>
      <c r="H1417" s="4"/>
      <c r="I1417" s="4"/>
      <c r="J1417" s="4"/>
      <c r="K1417" s="4"/>
      <c r="S1417" s="6"/>
      <c r="T1417" s="6"/>
      <c r="U1417" s="6"/>
    </row>
    <row r="1418" spans="3:21" x14ac:dyDescent="0.2">
      <c r="C1418" s="2"/>
      <c r="D1418" s="13"/>
      <c r="E1418" s="13"/>
      <c r="H1418" s="4"/>
      <c r="I1418" s="4"/>
      <c r="J1418" s="4"/>
      <c r="K1418" s="4"/>
      <c r="S1418" s="6"/>
      <c r="T1418" s="6"/>
      <c r="U1418" s="6"/>
    </row>
    <row r="1419" spans="3:21" x14ac:dyDescent="0.2">
      <c r="C1419" s="2"/>
      <c r="D1419" s="13"/>
      <c r="E1419" s="13"/>
      <c r="H1419" s="4"/>
      <c r="I1419" s="4"/>
      <c r="S1419" s="6"/>
      <c r="T1419" s="6"/>
      <c r="U1419" s="6"/>
    </row>
    <row r="1420" spans="3:21" x14ac:dyDescent="0.2">
      <c r="C1420" s="2"/>
      <c r="D1420" s="13"/>
      <c r="E1420" s="13"/>
      <c r="H1420" s="4"/>
      <c r="I1420" s="4"/>
    </row>
    <row r="1421" spans="3:21" x14ac:dyDescent="0.2">
      <c r="C1421" s="2"/>
      <c r="D1421" s="13"/>
      <c r="E1421" s="13"/>
      <c r="H1421" s="4"/>
      <c r="I1421" s="4"/>
    </row>
    <row r="1422" spans="3:21" x14ac:dyDescent="0.2">
      <c r="C1422" s="2"/>
      <c r="D1422" s="13"/>
      <c r="E1422" s="13"/>
      <c r="H1422" s="4"/>
      <c r="I1422" s="4"/>
      <c r="S1422" s="6"/>
      <c r="T1422" s="6"/>
      <c r="U1422" s="6"/>
    </row>
    <row r="1423" spans="3:21" x14ac:dyDescent="0.2">
      <c r="C1423" s="2"/>
      <c r="D1423" s="13"/>
      <c r="E1423" s="13"/>
      <c r="H1423" s="4"/>
      <c r="I1423" s="4"/>
    </row>
    <row r="1424" spans="3:21" x14ac:dyDescent="0.2">
      <c r="C1424" s="2"/>
      <c r="D1424" s="13"/>
      <c r="E1424" s="13"/>
      <c r="H1424" s="4"/>
      <c r="I1424" s="4"/>
      <c r="S1424" s="6"/>
      <c r="T1424" s="6"/>
      <c r="U1424" s="6"/>
    </row>
    <row r="1425" spans="3:21" x14ac:dyDescent="0.2">
      <c r="C1425" s="2"/>
      <c r="D1425" s="13"/>
      <c r="E1425" s="13"/>
      <c r="H1425" s="4"/>
      <c r="I1425" s="4"/>
      <c r="S1425" s="6"/>
      <c r="T1425" s="6"/>
      <c r="U1425" s="6"/>
    </row>
    <row r="1426" spans="3:21" x14ac:dyDescent="0.2">
      <c r="C1426" s="2"/>
      <c r="D1426" s="13"/>
      <c r="E1426" s="13"/>
      <c r="H1426" s="4"/>
      <c r="I1426" s="4"/>
      <c r="S1426" s="6"/>
      <c r="T1426" s="6"/>
      <c r="U1426" s="6"/>
    </row>
    <row r="1427" spans="3:21" x14ac:dyDescent="0.2">
      <c r="C1427" s="2"/>
      <c r="D1427" s="13"/>
      <c r="E1427" s="13"/>
      <c r="H1427" s="4"/>
      <c r="I1427" s="4"/>
    </row>
    <row r="1428" spans="3:21" x14ac:dyDescent="0.2">
      <c r="C1428" s="2"/>
      <c r="D1428" s="13"/>
      <c r="E1428" s="13"/>
      <c r="H1428" s="4"/>
      <c r="I1428" s="4"/>
      <c r="S1428" s="6"/>
      <c r="T1428" s="6"/>
      <c r="U1428" s="6"/>
    </row>
    <row r="1429" spans="3:21" x14ac:dyDescent="0.2">
      <c r="C1429" s="2"/>
      <c r="D1429" s="13"/>
      <c r="E1429" s="13"/>
      <c r="H1429" s="4"/>
      <c r="I1429" s="4"/>
    </row>
    <row r="1430" spans="3:21" x14ac:dyDescent="0.2">
      <c r="C1430" s="2"/>
      <c r="D1430" s="13"/>
      <c r="E1430" s="13"/>
      <c r="H1430" s="4"/>
      <c r="I1430" s="4"/>
    </row>
    <row r="1431" spans="3:21" x14ac:dyDescent="0.2">
      <c r="C1431" s="2"/>
      <c r="D1431" s="13"/>
      <c r="E1431" s="13"/>
      <c r="H1431" s="4"/>
      <c r="I1431" s="4"/>
    </row>
    <row r="1432" spans="3:21" x14ac:dyDescent="0.2">
      <c r="C1432" s="2"/>
      <c r="D1432" s="13"/>
      <c r="E1432" s="13"/>
      <c r="H1432" s="4"/>
      <c r="I1432" s="4"/>
    </row>
    <row r="1433" spans="3:21" x14ac:dyDescent="0.2">
      <c r="C1433" s="2"/>
      <c r="D1433" s="13"/>
      <c r="E1433" s="13"/>
      <c r="H1433" s="4"/>
      <c r="I1433" s="4"/>
    </row>
    <row r="1434" spans="3:21" x14ac:dyDescent="0.2">
      <c r="C1434" s="2"/>
      <c r="D1434" s="13"/>
      <c r="E1434" s="13"/>
      <c r="H1434" s="4"/>
      <c r="I1434" s="4"/>
      <c r="J1434" s="4"/>
      <c r="K1434" s="4"/>
    </row>
    <row r="1435" spans="3:21" x14ac:dyDescent="0.2">
      <c r="C1435" s="2"/>
      <c r="D1435" s="13"/>
      <c r="E1435" s="13"/>
      <c r="H1435" s="4"/>
      <c r="I1435" s="4"/>
      <c r="J1435" s="4"/>
      <c r="K1435" s="4"/>
    </row>
    <row r="1436" spans="3:21" x14ac:dyDescent="0.2">
      <c r="C1436" s="2"/>
      <c r="D1436" s="13"/>
      <c r="E1436" s="13"/>
      <c r="H1436" s="4"/>
      <c r="I1436" s="4"/>
      <c r="J1436" s="4"/>
      <c r="K1436" s="4"/>
    </row>
    <row r="1437" spans="3:21" x14ac:dyDescent="0.2">
      <c r="C1437" s="2"/>
      <c r="D1437" s="13"/>
      <c r="E1437" s="13"/>
      <c r="H1437" s="4"/>
      <c r="I1437" s="4"/>
      <c r="J1437" s="4"/>
      <c r="K1437" s="4"/>
    </row>
    <row r="1438" spans="3:21" x14ac:dyDescent="0.2">
      <c r="C1438" s="2"/>
      <c r="D1438" s="13"/>
      <c r="E1438" s="13"/>
      <c r="H1438" s="4"/>
      <c r="I1438" s="4"/>
      <c r="J1438" s="4"/>
      <c r="K1438" s="4"/>
    </row>
    <row r="1439" spans="3:21" x14ac:dyDescent="0.2">
      <c r="C1439" s="2"/>
      <c r="D1439" s="13"/>
      <c r="E1439" s="13"/>
      <c r="H1439" s="4"/>
      <c r="I1439" s="4"/>
      <c r="J1439" s="4"/>
      <c r="K1439" s="4"/>
    </row>
    <row r="1440" spans="3:21" x14ac:dyDescent="0.2">
      <c r="C1440" s="2"/>
      <c r="D1440" s="13"/>
      <c r="E1440" s="13"/>
      <c r="H1440" s="4"/>
      <c r="I1440" s="4"/>
      <c r="J1440" s="4"/>
      <c r="K1440" s="4"/>
    </row>
    <row r="1441" spans="3:21" x14ac:dyDescent="0.2">
      <c r="C1441" s="2"/>
      <c r="D1441" s="13"/>
      <c r="E1441" s="13"/>
      <c r="H1441" s="4"/>
      <c r="I1441" s="4"/>
      <c r="J1441" s="4"/>
      <c r="K1441" s="4"/>
    </row>
    <row r="1442" spans="3:21" x14ac:dyDescent="0.2">
      <c r="C1442" s="2"/>
      <c r="D1442" s="13"/>
      <c r="E1442" s="13"/>
      <c r="H1442" s="4"/>
      <c r="I1442" s="4"/>
      <c r="S1442" s="6"/>
      <c r="T1442" s="6"/>
      <c r="U1442" s="6"/>
    </row>
    <row r="1443" spans="3:21" x14ac:dyDescent="0.2">
      <c r="C1443" s="2"/>
      <c r="D1443" s="13"/>
      <c r="E1443" s="13"/>
      <c r="H1443" s="4"/>
      <c r="I1443" s="4"/>
      <c r="S1443" s="6"/>
      <c r="T1443" s="6"/>
      <c r="U1443" s="6"/>
    </row>
    <row r="1444" spans="3:21" x14ac:dyDescent="0.2">
      <c r="C1444" s="2"/>
      <c r="D1444" s="13"/>
      <c r="E1444" s="13"/>
      <c r="H1444" s="4"/>
      <c r="I1444" s="4"/>
    </row>
    <row r="1445" spans="3:21" x14ac:dyDescent="0.2">
      <c r="C1445" s="2"/>
      <c r="D1445" s="13"/>
      <c r="E1445" s="13"/>
      <c r="H1445" s="4"/>
      <c r="I1445" s="4"/>
    </row>
    <row r="1446" spans="3:21" x14ac:dyDescent="0.2">
      <c r="C1446" s="2"/>
      <c r="D1446" s="13"/>
      <c r="E1446" s="13"/>
      <c r="H1446" s="4"/>
      <c r="I1446" s="4"/>
    </row>
    <row r="1447" spans="3:21" x14ac:dyDescent="0.2">
      <c r="C1447" s="2"/>
      <c r="D1447" s="13"/>
      <c r="E1447" s="13"/>
      <c r="H1447" s="4"/>
      <c r="I1447" s="4"/>
    </row>
    <row r="1448" spans="3:21" x14ac:dyDescent="0.2">
      <c r="C1448" s="2"/>
      <c r="D1448" s="13"/>
      <c r="E1448" s="13"/>
      <c r="H1448" s="4"/>
      <c r="I1448" s="4"/>
      <c r="S1448" s="6"/>
      <c r="T1448" s="6"/>
      <c r="U1448" s="6"/>
    </row>
    <row r="1449" spans="3:21" x14ac:dyDescent="0.2">
      <c r="C1449" s="2"/>
      <c r="D1449" s="13"/>
      <c r="E1449" s="13"/>
      <c r="H1449" s="4"/>
      <c r="I1449" s="4"/>
      <c r="S1449" s="6"/>
      <c r="T1449" s="6"/>
      <c r="U1449" s="6"/>
    </row>
    <row r="1450" spans="3:21" x14ac:dyDescent="0.2">
      <c r="C1450" s="2"/>
      <c r="D1450" s="13"/>
      <c r="E1450" s="13"/>
      <c r="H1450" s="4"/>
      <c r="I1450" s="4"/>
      <c r="S1450" s="6"/>
      <c r="T1450" s="6"/>
      <c r="U1450" s="6"/>
    </row>
    <row r="1451" spans="3:21" x14ac:dyDescent="0.2">
      <c r="C1451" s="2"/>
      <c r="D1451" s="13"/>
      <c r="E1451" s="13"/>
      <c r="H1451" s="4"/>
      <c r="I1451" s="4"/>
      <c r="S1451" s="6"/>
      <c r="T1451" s="6"/>
      <c r="U1451" s="6"/>
    </row>
    <row r="1452" spans="3:21" x14ac:dyDescent="0.2">
      <c r="C1452" s="2"/>
      <c r="D1452" s="13"/>
      <c r="E1452" s="13"/>
      <c r="H1452" s="4"/>
      <c r="I1452" s="4"/>
      <c r="S1452" s="6"/>
      <c r="T1452" s="6"/>
      <c r="U1452" s="6"/>
    </row>
    <row r="1453" spans="3:21" x14ac:dyDescent="0.2">
      <c r="C1453" s="2"/>
      <c r="D1453" s="13"/>
      <c r="E1453" s="13"/>
      <c r="H1453" s="4"/>
      <c r="I1453" s="4"/>
      <c r="S1453" s="6"/>
      <c r="T1453" s="6"/>
      <c r="U1453" s="6"/>
    </row>
    <row r="1454" spans="3:21" x14ac:dyDescent="0.2">
      <c r="C1454" s="2"/>
      <c r="D1454" s="13"/>
      <c r="E1454" s="13"/>
      <c r="H1454" s="4"/>
      <c r="I1454" s="4"/>
    </row>
    <row r="1455" spans="3:21" x14ac:dyDescent="0.2">
      <c r="C1455" s="2"/>
      <c r="D1455" s="13"/>
      <c r="E1455" s="13"/>
      <c r="H1455" s="4"/>
      <c r="I1455" s="4"/>
    </row>
    <row r="1456" spans="3:21" x14ac:dyDescent="0.2">
      <c r="C1456" s="2"/>
      <c r="D1456" s="13"/>
      <c r="E1456" s="13"/>
      <c r="H1456" s="4"/>
      <c r="I1456" s="4"/>
    </row>
    <row r="1457" spans="3:21" x14ac:dyDescent="0.2">
      <c r="C1457" s="2"/>
      <c r="D1457" s="13"/>
      <c r="E1457" s="13"/>
      <c r="H1457" s="4"/>
      <c r="I1457" s="4"/>
    </row>
    <row r="1458" spans="3:21" x14ac:dyDescent="0.2">
      <c r="C1458" s="2"/>
      <c r="D1458" s="13"/>
      <c r="E1458" s="13"/>
      <c r="H1458" s="4"/>
      <c r="I1458" s="4"/>
    </row>
    <row r="1459" spans="3:21" x14ac:dyDescent="0.2">
      <c r="C1459" s="2"/>
      <c r="D1459" s="13"/>
      <c r="E1459" s="13"/>
      <c r="H1459" s="4"/>
      <c r="I1459" s="4"/>
    </row>
    <row r="1460" spans="3:21" x14ac:dyDescent="0.2">
      <c r="C1460" s="2"/>
      <c r="D1460" s="13"/>
      <c r="E1460" s="13"/>
      <c r="H1460" s="4"/>
      <c r="I1460" s="4"/>
      <c r="S1460" s="6"/>
      <c r="T1460" s="6"/>
      <c r="U1460" s="6"/>
    </row>
    <row r="1461" spans="3:21" x14ac:dyDescent="0.2">
      <c r="C1461" s="2"/>
      <c r="D1461" s="13"/>
      <c r="E1461" s="13"/>
      <c r="H1461" s="4"/>
      <c r="I1461" s="4"/>
    </row>
    <row r="1462" spans="3:21" x14ac:dyDescent="0.2">
      <c r="C1462" s="2"/>
      <c r="D1462" s="13"/>
      <c r="E1462" s="13"/>
      <c r="H1462" s="4"/>
      <c r="I1462" s="4"/>
    </row>
    <row r="1463" spans="3:21" x14ac:dyDescent="0.2">
      <c r="C1463" s="2"/>
      <c r="D1463" s="13"/>
      <c r="E1463" s="13"/>
      <c r="H1463" s="4"/>
      <c r="I1463" s="4"/>
      <c r="S1463" s="6"/>
      <c r="T1463" s="6"/>
      <c r="U1463" s="6"/>
    </row>
    <row r="1464" spans="3:21" x14ac:dyDescent="0.2">
      <c r="C1464" s="2"/>
      <c r="D1464" s="13"/>
      <c r="E1464" s="13"/>
      <c r="H1464" s="4"/>
      <c r="I1464" s="4"/>
    </row>
    <row r="1465" spans="3:21" x14ac:dyDescent="0.2">
      <c r="C1465" s="2"/>
      <c r="D1465" s="13"/>
      <c r="E1465" s="13"/>
      <c r="H1465" s="4"/>
      <c r="I1465" s="4"/>
    </row>
    <row r="1466" spans="3:21" x14ac:dyDescent="0.2">
      <c r="C1466" s="2"/>
      <c r="D1466" s="13"/>
      <c r="E1466" s="13"/>
      <c r="H1466" s="4"/>
      <c r="I1466" s="4"/>
    </row>
    <row r="1467" spans="3:21" x14ac:dyDescent="0.2">
      <c r="C1467" s="2"/>
      <c r="D1467" s="13"/>
      <c r="E1467" s="13"/>
      <c r="H1467" s="4"/>
      <c r="I1467" s="4"/>
    </row>
    <row r="1468" spans="3:21" x14ac:dyDescent="0.2">
      <c r="C1468" s="2"/>
      <c r="D1468" s="13"/>
      <c r="E1468" s="13"/>
      <c r="H1468" s="4"/>
      <c r="I1468" s="4"/>
    </row>
    <row r="1469" spans="3:21" x14ac:dyDescent="0.2">
      <c r="C1469" s="2"/>
      <c r="D1469" s="13"/>
      <c r="E1469" s="13"/>
      <c r="H1469" s="4"/>
      <c r="I1469" s="4"/>
    </row>
    <row r="1470" spans="3:21" x14ac:dyDescent="0.2">
      <c r="C1470" s="2"/>
      <c r="D1470" s="13"/>
      <c r="E1470" s="13"/>
      <c r="H1470" s="4"/>
      <c r="I1470" s="4"/>
    </row>
    <row r="1471" spans="3:21" x14ac:dyDescent="0.2">
      <c r="C1471" s="2"/>
      <c r="D1471" s="13"/>
      <c r="E1471" s="13"/>
      <c r="H1471" s="4"/>
      <c r="I1471" s="4"/>
    </row>
    <row r="1472" spans="3:21" x14ac:dyDescent="0.2">
      <c r="C1472" s="2"/>
      <c r="D1472" s="13"/>
      <c r="E1472" s="13"/>
      <c r="H1472" s="4"/>
      <c r="I1472" s="4"/>
      <c r="S1472" s="6"/>
      <c r="T1472" s="6"/>
      <c r="U1472" s="6"/>
    </row>
    <row r="1473" spans="3:21" x14ac:dyDescent="0.2">
      <c r="C1473" s="2"/>
      <c r="D1473" s="13"/>
      <c r="E1473" s="13"/>
      <c r="H1473" s="4"/>
      <c r="I1473" s="4"/>
    </row>
    <row r="1474" spans="3:21" x14ac:dyDescent="0.2">
      <c r="C1474" s="2"/>
      <c r="D1474" s="13"/>
      <c r="E1474" s="13"/>
      <c r="H1474" s="4"/>
      <c r="I1474" s="4"/>
    </row>
    <row r="1475" spans="3:21" x14ac:dyDescent="0.2">
      <c r="C1475" s="2"/>
      <c r="D1475" s="13"/>
      <c r="E1475" s="13"/>
      <c r="H1475" s="4"/>
      <c r="I1475" s="4"/>
    </row>
    <row r="1476" spans="3:21" x14ac:dyDescent="0.2">
      <c r="C1476" s="2"/>
      <c r="D1476" s="13"/>
      <c r="E1476" s="13"/>
      <c r="H1476" s="4"/>
      <c r="I1476" s="4"/>
    </row>
    <row r="1477" spans="3:21" x14ac:dyDescent="0.2">
      <c r="C1477" s="2"/>
      <c r="D1477" s="13"/>
      <c r="E1477" s="13"/>
      <c r="H1477" s="4"/>
      <c r="I1477" s="4"/>
      <c r="S1477" s="6"/>
      <c r="T1477" s="6"/>
      <c r="U1477" s="6"/>
    </row>
    <row r="1478" spans="3:21" x14ac:dyDescent="0.2">
      <c r="C1478" s="2"/>
      <c r="D1478" s="13"/>
      <c r="E1478" s="13"/>
      <c r="H1478" s="4"/>
      <c r="I1478" s="4"/>
    </row>
    <row r="1479" spans="3:21" x14ac:dyDescent="0.2">
      <c r="C1479" s="2"/>
      <c r="D1479" s="13"/>
      <c r="E1479" s="13"/>
      <c r="H1479" s="4"/>
      <c r="I1479" s="4"/>
    </row>
    <row r="1480" spans="3:21" x14ac:dyDescent="0.2">
      <c r="C1480" s="2"/>
      <c r="D1480" s="13"/>
      <c r="E1480" s="13"/>
      <c r="H1480" s="4"/>
      <c r="I1480" s="4"/>
    </row>
    <row r="1481" spans="3:21" x14ac:dyDescent="0.2">
      <c r="C1481" s="2"/>
      <c r="D1481" s="13"/>
      <c r="E1481" s="13"/>
      <c r="H1481" s="4"/>
      <c r="I1481" s="4"/>
    </row>
    <row r="1482" spans="3:21" x14ac:dyDescent="0.2">
      <c r="C1482" s="2"/>
      <c r="D1482" s="13"/>
      <c r="E1482" s="13"/>
      <c r="H1482" s="4"/>
      <c r="I1482" s="4"/>
    </row>
    <row r="1483" spans="3:21" x14ac:dyDescent="0.2">
      <c r="C1483" s="2"/>
      <c r="D1483" s="13"/>
      <c r="E1483" s="13"/>
      <c r="H1483" s="4"/>
      <c r="I1483" s="4"/>
      <c r="S1483" s="6"/>
      <c r="T1483" s="6"/>
      <c r="U1483" s="6"/>
    </row>
    <row r="1484" spans="3:21" x14ac:dyDescent="0.2">
      <c r="C1484" s="2"/>
      <c r="D1484" s="13"/>
      <c r="E1484" s="13"/>
      <c r="H1484" s="4"/>
      <c r="I1484" s="4"/>
    </row>
    <row r="1485" spans="3:21" x14ac:dyDescent="0.2">
      <c r="C1485" s="2"/>
      <c r="D1485" s="13"/>
      <c r="E1485" s="13"/>
      <c r="H1485" s="4"/>
      <c r="I1485" s="4"/>
      <c r="S1485" s="6"/>
      <c r="T1485" s="6"/>
      <c r="U1485" s="6"/>
    </row>
    <row r="1486" spans="3:21" x14ac:dyDescent="0.2">
      <c r="C1486" s="2"/>
      <c r="D1486" s="13"/>
      <c r="E1486" s="13"/>
      <c r="H1486" s="4"/>
      <c r="I1486" s="4"/>
    </row>
    <row r="1487" spans="3:21" x14ac:dyDescent="0.2">
      <c r="C1487" s="2"/>
      <c r="D1487" s="13"/>
      <c r="E1487" s="13"/>
      <c r="H1487" s="4"/>
      <c r="I1487" s="4"/>
    </row>
    <row r="1488" spans="3:21" x14ac:dyDescent="0.2">
      <c r="C1488" s="2"/>
      <c r="D1488" s="13"/>
      <c r="E1488" s="13"/>
      <c r="H1488" s="4"/>
      <c r="I1488" s="4"/>
    </row>
    <row r="1489" spans="3:21" x14ac:dyDescent="0.2">
      <c r="C1489" s="2"/>
      <c r="D1489" s="13"/>
      <c r="E1489" s="13"/>
      <c r="H1489" s="4"/>
      <c r="I1489" s="4"/>
    </row>
    <row r="1490" spans="3:21" x14ac:dyDescent="0.2">
      <c r="C1490" s="2"/>
      <c r="D1490" s="13"/>
      <c r="E1490" s="13"/>
      <c r="H1490" s="4"/>
      <c r="I1490" s="4"/>
    </row>
    <row r="1491" spans="3:21" x14ac:dyDescent="0.2">
      <c r="C1491" s="2"/>
      <c r="D1491" s="13"/>
      <c r="E1491" s="13"/>
      <c r="H1491" s="4"/>
      <c r="I1491" s="4"/>
    </row>
    <row r="1492" spans="3:21" x14ac:dyDescent="0.2">
      <c r="C1492" s="2"/>
      <c r="D1492" s="13"/>
      <c r="E1492" s="13"/>
    </row>
    <row r="1493" spans="3:21" x14ac:dyDescent="0.2">
      <c r="C1493" s="2"/>
      <c r="D1493" s="13"/>
      <c r="E1493" s="13"/>
    </row>
    <row r="1494" spans="3:21" x14ac:dyDescent="0.2">
      <c r="C1494" s="2"/>
      <c r="D1494" s="13"/>
      <c r="E1494" s="13"/>
    </row>
    <row r="1495" spans="3:21" x14ac:dyDescent="0.2">
      <c r="C1495" s="2"/>
      <c r="D1495" s="13"/>
      <c r="E1495" s="13"/>
      <c r="S1495" s="6"/>
      <c r="T1495" s="6"/>
      <c r="U1495" s="6"/>
    </row>
    <row r="1496" spans="3:21" x14ac:dyDescent="0.2">
      <c r="C1496" s="2"/>
      <c r="D1496" s="13"/>
      <c r="E1496" s="13"/>
    </row>
    <row r="1497" spans="3:21" x14ac:dyDescent="0.2">
      <c r="C1497" s="2"/>
      <c r="D1497" s="13"/>
      <c r="E1497" s="13"/>
    </row>
    <row r="1498" spans="3:21" x14ac:dyDescent="0.2">
      <c r="C1498" s="2"/>
      <c r="D1498" s="13"/>
      <c r="E1498" s="13"/>
    </row>
    <row r="1499" spans="3:21" x14ac:dyDescent="0.2">
      <c r="C1499" s="2"/>
      <c r="D1499" s="13"/>
      <c r="E1499" s="13"/>
    </row>
    <row r="1500" spans="3:21" x14ac:dyDescent="0.2">
      <c r="C1500" s="2"/>
      <c r="D1500" s="13"/>
      <c r="E1500" s="13"/>
    </row>
    <row r="1501" spans="3:21" x14ac:dyDescent="0.2">
      <c r="C1501" s="2"/>
      <c r="D1501" s="13"/>
      <c r="E1501" s="13"/>
    </row>
    <row r="1502" spans="3:21" x14ac:dyDescent="0.2">
      <c r="C1502" s="2"/>
      <c r="D1502" s="13"/>
      <c r="E1502" s="13"/>
      <c r="S1502" s="6"/>
      <c r="T1502" s="6"/>
      <c r="U1502" s="6"/>
    </row>
    <row r="1503" spans="3:21" x14ac:dyDescent="0.2">
      <c r="C1503" s="2"/>
      <c r="D1503" s="13"/>
      <c r="E1503" s="13"/>
    </row>
    <row r="1504" spans="3:21" x14ac:dyDescent="0.2">
      <c r="C1504" s="2"/>
      <c r="D1504" s="13"/>
      <c r="E1504" s="13"/>
      <c r="S1504" s="6"/>
      <c r="T1504" s="6"/>
      <c r="U1504" s="6"/>
    </row>
    <row r="1505" spans="3:21" x14ac:dyDescent="0.2">
      <c r="C1505" s="2"/>
      <c r="D1505" s="13"/>
      <c r="E1505" s="13"/>
      <c r="S1505" s="6"/>
      <c r="T1505" s="6"/>
      <c r="U1505" s="6"/>
    </row>
    <row r="1506" spans="3:21" x14ac:dyDescent="0.2">
      <c r="C1506" s="2"/>
      <c r="D1506" s="13"/>
      <c r="E1506" s="13"/>
    </row>
    <row r="1507" spans="3:21" x14ac:dyDescent="0.2">
      <c r="C1507" s="2"/>
      <c r="D1507" s="13"/>
      <c r="E1507" s="13"/>
    </row>
    <row r="1508" spans="3:21" x14ac:dyDescent="0.2">
      <c r="C1508" s="2"/>
      <c r="D1508" s="13"/>
      <c r="E1508" s="13"/>
    </row>
    <row r="1509" spans="3:21" x14ac:dyDescent="0.2">
      <c r="C1509" s="2"/>
      <c r="D1509" s="13"/>
      <c r="E1509" s="13"/>
    </row>
    <row r="1510" spans="3:21" x14ac:dyDescent="0.2">
      <c r="C1510" s="2"/>
      <c r="D1510" s="13"/>
      <c r="E1510" s="13"/>
    </row>
    <row r="1511" spans="3:21" x14ac:dyDescent="0.2">
      <c r="C1511" s="2"/>
      <c r="D1511" s="13"/>
      <c r="E1511" s="13"/>
    </row>
    <row r="1512" spans="3:21" x14ac:dyDescent="0.2">
      <c r="C1512" s="2"/>
      <c r="D1512" s="13"/>
      <c r="E1512" s="13"/>
    </row>
    <row r="1513" spans="3:21" x14ac:dyDescent="0.2">
      <c r="C1513" s="2"/>
      <c r="D1513" s="13"/>
      <c r="E1513" s="13"/>
      <c r="S1513" s="6"/>
      <c r="T1513" s="6"/>
      <c r="U1513" s="6"/>
    </row>
    <row r="1514" spans="3:21" x14ac:dyDescent="0.2">
      <c r="C1514" s="2"/>
      <c r="D1514" s="13"/>
      <c r="E1514" s="13"/>
      <c r="S1514" s="6"/>
      <c r="T1514" s="6"/>
      <c r="U1514" s="6"/>
    </row>
    <row r="1515" spans="3:21" x14ac:dyDescent="0.2">
      <c r="C1515" s="2"/>
      <c r="D1515" s="13"/>
      <c r="E1515" s="13"/>
    </row>
    <row r="1516" spans="3:21" x14ac:dyDescent="0.2">
      <c r="C1516" s="2"/>
      <c r="D1516" s="13"/>
      <c r="E1516" s="13"/>
      <c r="S1516" s="6"/>
      <c r="T1516" s="6"/>
      <c r="U1516" s="6"/>
    </row>
    <row r="1517" spans="3:21" x14ac:dyDescent="0.2">
      <c r="C1517" s="2"/>
      <c r="D1517" s="13"/>
      <c r="E1517" s="13"/>
    </row>
    <row r="1518" spans="3:21" x14ac:dyDescent="0.2">
      <c r="C1518" s="2"/>
      <c r="D1518" s="13"/>
      <c r="E1518" s="13"/>
    </row>
    <row r="1519" spans="3:21" x14ac:dyDescent="0.2">
      <c r="C1519" s="2"/>
      <c r="D1519" s="13"/>
      <c r="E1519" s="13"/>
    </row>
    <row r="1520" spans="3:21" x14ac:dyDescent="0.2">
      <c r="C1520" s="2"/>
      <c r="D1520" s="13"/>
      <c r="E1520" s="13"/>
    </row>
    <row r="1521" spans="3:21" x14ac:dyDescent="0.2">
      <c r="C1521" s="2"/>
      <c r="D1521" s="13"/>
      <c r="E1521" s="13"/>
      <c r="S1521" s="6"/>
      <c r="T1521" s="6"/>
      <c r="U1521" s="6"/>
    </row>
    <row r="1522" spans="3:21" x14ac:dyDescent="0.2">
      <c r="C1522" s="2"/>
      <c r="D1522" s="13"/>
      <c r="E1522" s="13"/>
    </row>
    <row r="1523" spans="3:21" x14ac:dyDescent="0.2">
      <c r="C1523" s="2"/>
      <c r="D1523" s="13"/>
      <c r="E1523" s="13"/>
      <c r="S1523" s="6"/>
      <c r="T1523" s="6"/>
      <c r="U1523" s="6"/>
    </row>
    <row r="1524" spans="3:21" x14ac:dyDescent="0.2">
      <c r="C1524" s="2"/>
      <c r="D1524" s="13"/>
      <c r="E1524" s="13"/>
      <c r="S1524" s="6"/>
      <c r="T1524" s="6"/>
      <c r="U1524" s="6"/>
    </row>
    <row r="1525" spans="3:21" x14ac:dyDescent="0.2">
      <c r="C1525" s="2"/>
      <c r="D1525" s="13"/>
      <c r="E1525" s="13"/>
      <c r="S1525" s="6"/>
      <c r="T1525" s="6"/>
      <c r="U1525" s="6"/>
    </row>
    <row r="1526" spans="3:21" x14ac:dyDescent="0.2">
      <c r="C1526" s="2"/>
      <c r="D1526" s="13"/>
      <c r="E1526" s="13"/>
    </row>
    <row r="1527" spans="3:21" x14ac:dyDescent="0.2">
      <c r="C1527" s="2"/>
      <c r="D1527" s="13"/>
      <c r="E1527" s="13"/>
    </row>
    <row r="1528" spans="3:21" x14ac:dyDescent="0.2">
      <c r="C1528" s="2"/>
      <c r="D1528" s="13"/>
      <c r="E1528" s="13"/>
    </row>
    <row r="1529" spans="3:21" x14ac:dyDescent="0.2">
      <c r="C1529" s="2"/>
      <c r="D1529" s="13"/>
      <c r="E1529" s="13"/>
    </row>
    <row r="1530" spans="3:21" x14ac:dyDescent="0.2">
      <c r="C1530" s="2"/>
      <c r="D1530" s="13"/>
      <c r="E1530" s="13"/>
    </row>
    <row r="1531" spans="3:21" x14ac:dyDescent="0.2">
      <c r="C1531" s="2"/>
      <c r="D1531" s="13"/>
      <c r="E1531" s="13"/>
    </row>
    <row r="1532" spans="3:21" x14ac:dyDescent="0.2">
      <c r="C1532" s="2"/>
      <c r="D1532" s="13"/>
      <c r="E1532" s="13"/>
    </row>
    <row r="1533" spans="3:21" x14ac:dyDescent="0.2">
      <c r="C1533" s="2"/>
      <c r="D1533" s="13"/>
      <c r="E1533" s="13"/>
    </row>
    <row r="1534" spans="3:21" x14ac:dyDescent="0.2">
      <c r="C1534" s="2"/>
      <c r="D1534" s="13"/>
      <c r="E1534" s="13"/>
    </row>
    <row r="1535" spans="3:21" x14ac:dyDescent="0.2">
      <c r="C1535" s="2"/>
      <c r="D1535" s="13"/>
      <c r="E1535" s="13"/>
    </row>
    <row r="1536" spans="3:21" x14ac:dyDescent="0.2">
      <c r="C1536" s="2"/>
      <c r="D1536" s="13"/>
      <c r="E1536" s="13"/>
    </row>
    <row r="1537" spans="3:21" x14ac:dyDescent="0.2">
      <c r="C1537" s="2"/>
      <c r="D1537" s="13"/>
      <c r="E1537" s="13"/>
    </row>
    <row r="1538" spans="3:21" x14ac:dyDescent="0.2">
      <c r="C1538" s="2"/>
      <c r="D1538" s="13"/>
      <c r="E1538" s="13"/>
    </row>
    <row r="1539" spans="3:21" x14ac:dyDescent="0.2">
      <c r="C1539" s="2"/>
      <c r="D1539" s="13"/>
      <c r="E1539" s="13"/>
    </row>
    <row r="1540" spans="3:21" x14ac:dyDescent="0.2">
      <c r="C1540" s="2"/>
      <c r="D1540" s="13"/>
      <c r="E1540" s="13"/>
    </row>
    <row r="1541" spans="3:21" x14ac:dyDescent="0.2">
      <c r="C1541" s="2"/>
      <c r="D1541" s="13"/>
      <c r="E1541" s="13"/>
    </row>
    <row r="1542" spans="3:21" x14ac:dyDescent="0.2">
      <c r="C1542" s="2"/>
      <c r="D1542" s="13"/>
      <c r="E1542" s="13"/>
      <c r="S1542" s="6"/>
      <c r="T1542" s="6"/>
      <c r="U1542" s="6"/>
    </row>
    <row r="1543" spans="3:21" x14ac:dyDescent="0.2">
      <c r="C1543" s="2"/>
      <c r="D1543" s="13"/>
      <c r="E1543" s="13"/>
      <c r="S1543" s="6"/>
      <c r="T1543" s="6"/>
      <c r="U1543" s="6"/>
    </row>
    <row r="1544" spans="3:21" x14ac:dyDescent="0.2">
      <c r="C1544" s="2"/>
      <c r="D1544" s="13"/>
      <c r="E1544" s="13"/>
      <c r="S1544" s="6"/>
      <c r="T1544" s="6"/>
      <c r="U1544" s="6"/>
    </row>
    <row r="1545" spans="3:21" x14ac:dyDescent="0.2">
      <c r="C1545" s="2"/>
      <c r="D1545" s="13"/>
      <c r="E1545" s="13"/>
      <c r="S1545" s="6"/>
      <c r="T1545" s="6"/>
      <c r="U1545" s="6"/>
    </row>
    <row r="1546" spans="3:21" x14ac:dyDescent="0.2">
      <c r="C1546" s="2"/>
      <c r="D1546" s="13"/>
      <c r="E1546" s="13"/>
      <c r="S1546" s="6"/>
      <c r="T1546" s="6"/>
      <c r="U1546" s="6"/>
    </row>
    <row r="1547" spans="3:21" x14ac:dyDescent="0.2">
      <c r="C1547" s="2"/>
      <c r="D1547" s="13"/>
      <c r="E1547" s="13"/>
      <c r="S1547" s="6"/>
      <c r="T1547" s="6"/>
      <c r="U1547" s="6"/>
    </row>
    <row r="1548" spans="3:21" x14ac:dyDescent="0.2">
      <c r="C1548" s="2"/>
      <c r="D1548" s="13"/>
      <c r="E1548" s="13"/>
      <c r="S1548" s="6"/>
      <c r="T1548" s="6"/>
      <c r="U1548" s="6"/>
    </row>
    <row r="1549" spans="3:21" x14ac:dyDescent="0.2">
      <c r="C1549" s="2"/>
      <c r="D1549" s="13"/>
      <c r="E1549" s="13"/>
      <c r="S1549" s="6"/>
      <c r="T1549" s="6"/>
      <c r="U1549" s="6"/>
    </row>
    <row r="1550" spans="3:21" x14ac:dyDescent="0.2">
      <c r="C1550" s="2"/>
      <c r="D1550" s="13"/>
      <c r="E1550" s="13"/>
      <c r="S1550" s="6"/>
      <c r="T1550" s="6"/>
      <c r="U1550" s="6"/>
    </row>
    <row r="1551" spans="3:21" x14ac:dyDescent="0.2">
      <c r="C1551" s="2"/>
      <c r="D1551" s="13"/>
      <c r="E1551" s="13"/>
      <c r="S1551" s="6"/>
      <c r="T1551" s="6"/>
      <c r="U1551" s="6"/>
    </row>
    <row r="1552" spans="3:21" x14ac:dyDescent="0.2">
      <c r="C1552" s="2"/>
      <c r="D1552" s="13"/>
      <c r="E1552" s="13"/>
      <c r="S1552" s="6"/>
      <c r="T1552" s="6"/>
      <c r="U1552" s="6"/>
    </row>
    <row r="1553" spans="3:21" x14ac:dyDescent="0.2">
      <c r="C1553" s="2"/>
      <c r="D1553" s="13"/>
      <c r="E1553" s="13"/>
      <c r="S1553" s="6"/>
      <c r="T1553" s="6"/>
      <c r="U1553" s="6"/>
    </row>
    <row r="1554" spans="3:21" x14ac:dyDescent="0.2">
      <c r="C1554" s="2"/>
      <c r="D1554" s="13"/>
      <c r="E1554" s="13"/>
    </row>
    <row r="1555" spans="3:21" x14ac:dyDescent="0.2">
      <c r="C1555" s="2"/>
      <c r="D1555" s="13"/>
      <c r="E1555" s="13"/>
    </row>
    <row r="1556" spans="3:21" x14ac:dyDescent="0.2">
      <c r="C1556" s="2"/>
      <c r="D1556" s="13"/>
      <c r="E1556" s="13"/>
      <c r="S1556" s="6"/>
      <c r="T1556" s="6"/>
      <c r="U1556" s="6"/>
    </row>
    <row r="1557" spans="3:21" x14ac:dyDescent="0.2">
      <c r="C1557" s="2"/>
      <c r="D1557" s="13"/>
      <c r="E1557" s="13"/>
      <c r="S1557" s="6"/>
      <c r="T1557" s="6"/>
      <c r="U1557" s="6"/>
    </row>
    <row r="1558" spans="3:21" x14ac:dyDescent="0.2">
      <c r="C1558" s="2"/>
      <c r="D1558" s="13"/>
      <c r="E1558" s="13"/>
      <c r="S1558" s="6"/>
      <c r="T1558" s="6"/>
      <c r="U1558" s="6"/>
    </row>
    <row r="1559" spans="3:21" x14ac:dyDescent="0.2">
      <c r="C1559" s="2"/>
      <c r="D1559" s="13"/>
      <c r="E1559" s="13"/>
      <c r="S1559" s="6"/>
      <c r="T1559" s="6"/>
      <c r="U1559" s="6"/>
    </row>
    <row r="1560" spans="3:21" x14ac:dyDescent="0.2">
      <c r="C1560" s="2"/>
      <c r="D1560" s="13"/>
      <c r="E1560" s="13"/>
    </row>
    <row r="1561" spans="3:21" x14ac:dyDescent="0.2">
      <c r="C1561" s="2"/>
      <c r="D1561" s="13"/>
      <c r="E1561" s="13"/>
    </row>
    <row r="1562" spans="3:21" x14ac:dyDescent="0.2">
      <c r="C1562" s="2"/>
      <c r="D1562" s="13"/>
      <c r="E1562" s="13"/>
    </row>
    <row r="1563" spans="3:21" x14ac:dyDescent="0.2">
      <c r="C1563" s="2"/>
      <c r="D1563" s="13"/>
      <c r="E1563" s="13"/>
    </row>
    <row r="1564" spans="3:21" x14ac:dyDescent="0.2">
      <c r="C1564" s="2"/>
      <c r="D1564" s="13"/>
      <c r="E1564" s="13"/>
    </row>
    <row r="1565" spans="3:21" x14ac:dyDescent="0.2">
      <c r="C1565" s="2"/>
      <c r="D1565" s="13"/>
      <c r="E1565" s="13"/>
    </row>
    <row r="1566" spans="3:21" x14ac:dyDescent="0.2">
      <c r="C1566" s="2"/>
      <c r="D1566" s="13"/>
      <c r="E1566" s="13"/>
    </row>
    <row r="1567" spans="3:21" x14ac:dyDescent="0.2">
      <c r="C1567" s="2"/>
      <c r="D1567" s="13"/>
      <c r="E1567" s="13"/>
    </row>
    <row r="1568" spans="3:21" x14ac:dyDescent="0.2">
      <c r="C1568" s="2"/>
      <c r="D1568" s="13"/>
      <c r="E1568" s="13"/>
      <c r="S1568" s="6"/>
      <c r="T1568" s="6"/>
      <c r="U1568" s="6"/>
    </row>
    <row r="1569" spans="3:21" x14ac:dyDescent="0.2">
      <c r="C1569" s="2"/>
      <c r="D1569" s="13"/>
      <c r="E1569" s="13"/>
      <c r="S1569" s="6"/>
      <c r="T1569" s="6"/>
      <c r="U1569" s="6"/>
    </row>
    <row r="1570" spans="3:21" x14ac:dyDescent="0.2">
      <c r="C1570" s="2"/>
      <c r="D1570" s="13"/>
      <c r="E1570" s="13"/>
      <c r="S1570" s="6"/>
      <c r="T1570" s="6"/>
      <c r="U1570" s="6"/>
    </row>
    <row r="1571" spans="3:21" x14ac:dyDescent="0.2">
      <c r="C1571" s="2"/>
      <c r="D1571" s="13"/>
      <c r="E1571" s="13"/>
      <c r="S1571" s="6"/>
      <c r="T1571" s="6"/>
      <c r="U1571" s="6"/>
    </row>
    <row r="1572" spans="3:21" x14ac:dyDescent="0.2">
      <c r="C1572" s="2"/>
      <c r="D1572" s="13"/>
      <c r="E1572" s="13"/>
      <c r="S1572" s="6"/>
      <c r="T1572" s="6"/>
      <c r="U1572" s="6"/>
    </row>
    <row r="1573" spans="3:21" x14ac:dyDescent="0.2">
      <c r="C1573" s="2"/>
      <c r="D1573" s="13"/>
      <c r="E1573" s="13"/>
      <c r="S1573" s="6"/>
      <c r="T1573" s="6"/>
      <c r="U1573" s="6"/>
    </row>
    <row r="1574" spans="3:21" x14ac:dyDescent="0.2">
      <c r="C1574" s="2"/>
      <c r="D1574" s="13"/>
      <c r="E1574" s="13"/>
    </row>
    <row r="1575" spans="3:21" x14ac:dyDescent="0.2">
      <c r="C1575" s="2"/>
      <c r="D1575" s="13"/>
      <c r="E1575" s="13"/>
    </row>
    <row r="1576" spans="3:21" x14ac:dyDescent="0.2">
      <c r="C1576" s="2"/>
      <c r="D1576" s="13"/>
      <c r="E1576" s="13"/>
      <c r="S1576" s="6"/>
      <c r="T1576" s="6"/>
      <c r="U1576" s="6"/>
    </row>
    <row r="1577" spans="3:21" x14ac:dyDescent="0.2">
      <c r="C1577" s="2"/>
      <c r="D1577" s="13"/>
      <c r="E1577" s="13"/>
    </row>
    <row r="1578" spans="3:21" x14ac:dyDescent="0.2">
      <c r="C1578" s="2"/>
      <c r="D1578" s="13"/>
      <c r="E1578" s="13"/>
    </row>
    <row r="1579" spans="3:21" x14ac:dyDescent="0.2">
      <c r="C1579" s="2"/>
      <c r="D1579" s="13"/>
      <c r="E1579" s="13"/>
    </row>
    <row r="1580" spans="3:21" x14ac:dyDescent="0.2">
      <c r="C1580" s="2"/>
      <c r="D1580" s="13"/>
      <c r="E1580" s="13"/>
    </row>
    <row r="1581" spans="3:21" x14ac:dyDescent="0.2">
      <c r="C1581" s="2"/>
      <c r="D1581" s="13"/>
      <c r="E1581" s="13"/>
    </row>
    <row r="1582" spans="3:21" x14ac:dyDescent="0.2">
      <c r="C1582" s="2"/>
      <c r="D1582" s="13"/>
      <c r="E1582" s="13"/>
    </row>
    <row r="1583" spans="3:21" x14ac:dyDescent="0.2">
      <c r="C1583" s="2"/>
      <c r="D1583" s="13"/>
      <c r="E1583" s="13"/>
    </row>
    <row r="1584" spans="3:21" x14ac:dyDescent="0.2">
      <c r="C1584" s="2"/>
      <c r="D1584" s="13"/>
      <c r="E1584" s="13"/>
    </row>
    <row r="1585" spans="3:21" x14ac:dyDescent="0.2">
      <c r="C1585" s="2"/>
      <c r="D1585" s="13"/>
      <c r="E1585" s="13"/>
    </row>
    <row r="1586" spans="3:21" x14ac:dyDescent="0.2">
      <c r="C1586" s="2"/>
      <c r="D1586" s="13"/>
      <c r="E1586" s="13"/>
      <c r="S1586" s="6"/>
      <c r="T1586" s="6"/>
      <c r="U1586" s="6"/>
    </row>
    <row r="1587" spans="3:21" x14ac:dyDescent="0.2">
      <c r="C1587" s="2"/>
      <c r="D1587" s="13"/>
      <c r="E1587" s="13"/>
    </row>
    <row r="1588" spans="3:21" x14ac:dyDescent="0.2">
      <c r="C1588" s="2"/>
      <c r="D1588" s="13"/>
      <c r="E1588" s="13"/>
      <c r="S1588" s="6"/>
      <c r="T1588" s="6"/>
      <c r="U1588" s="6"/>
    </row>
    <row r="1589" spans="3:21" x14ac:dyDescent="0.2">
      <c r="C1589" s="2"/>
      <c r="D1589" s="13"/>
      <c r="E1589" s="13"/>
    </row>
    <row r="1590" spans="3:21" x14ac:dyDescent="0.2">
      <c r="C1590" s="2"/>
      <c r="D1590" s="13"/>
      <c r="E1590" s="13"/>
      <c r="S1590" s="6"/>
      <c r="T1590" s="6"/>
      <c r="U1590" s="6"/>
    </row>
    <row r="1591" spans="3:21" x14ac:dyDescent="0.2">
      <c r="C1591" s="2"/>
      <c r="D1591" s="13"/>
      <c r="E1591" s="13"/>
      <c r="S1591" s="6"/>
      <c r="T1591" s="6"/>
      <c r="U1591" s="6"/>
    </row>
    <row r="1592" spans="3:21" x14ac:dyDescent="0.2">
      <c r="C1592" s="2"/>
      <c r="D1592" s="13"/>
      <c r="E1592" s="13"/>
    </row>
    <row r="1593" spans="3:21" x14ac:dyDescent="0.2">
      <c r="C1593" s="2"/>
      <c r="D1593" s="13"/>
      <c r="E1593" s="13"/>
    </row>
    <row r="1594" spans="3:21" x14ac:dyDescent="0.2">
      <c r="C1594" s="2"/>
      <c r="D1594" s="13"/>
      <c r="E1594" s="13"/>
    </row>
    <row r="1595" spans="3:21" x14ac:dyDescent="0.2">
      <c r="C1595" s="2"/>
      <c r="D1595" s="13"/>
      <c r="E1595" s="13"/>
    </row>
    <row r="1596" spans="3:21" x14ac:dyDescent="0.2">
      <c r="C1596" s="2"/>
      <c r="D1596" s="13"/>
      <c r="E1596" s="13"/>
    </row>
    <row r="1597" spans="3:21" x14ac:dyDescent="0.2">
      <c r="C1597" s="2"/>
      <c r="D1597" s="13"/>
      <c r="E1597" s="13"/>
    </row>
    <row r="1598" spans="3:21" x14ac:dyDescent="0.2">
      <c r="C1598" s="2"/>
      <c r="D1598" s="13"/>
      <c r="E1598" s="13"/>
    </row>
    <row r="1599" spans="3:21" x14ac:dyDescent="0.2">
      <c r="C1599" s="2"/>
      <c r="D1599" s="13"/>
      <c r="E1599" s="13"/>
    </row>
    <row r="1600" spans="3:21" x14ac:dyDescent="0.2">
      <c r="C1600" s="2"/>
      <c r="D1600" s="13"/>
      <c r="E1600" s="13"/>
      <c r="S1600" s="6"/>
      <c r="T1600" s="6"/>
      <c r="U1600" s="6"/>
    </row>
    <row r="1601" spans="3:21" x14ac:dyDescent="0.2">
      <c r="C1601" s="2"/>
      <c r="D1601" s="13"/>
      <c r="E1601" s="13"/>
    </row>
    <row r="1602" spans="3:21" x14ac:dyDescent="0.2">
      <c r="C1602" s="2"/>
      <c r="D1602" s="13"/>
      <c r="E1602" s="13"/>
      <c r="S1602" s="6"/>
      <c r="T1602" s="6"/>
      <c r="U1602" s="6"/>
    </row>
    <row r="1603" spans="3:21" x14ac:dyDescent="0.2">
      <c r="C1603" s="2"/>
      <c r="D1603" s="13"/>
      <c r="E1603" s="13"/>
    </row>
    <row r="1604" spans="3:21" x14ac:dyDescent="0.2">
      <c r="C1604" s="2"/>
      <c r="D1604" s="13"/>
      <c r="E1604" s="13"/>
    </row>
    <row r="1605" spans="3:21" x14ac:dyDescent="0.2">
      <c r="C1605" s="2"/>
      <c r="D1605" s="13"/>
      <c r="E1605" s="13"/>
      <c r="S1605" s="6"/>
      <c r="T1605" s="6"/>
      <c r="U1605" s="6"/>
    </row>
    <row r="1606" spans="3:21" x14ac:dyDescent="0.2">
      <c r="C1606" s="2"/>
      <c r="D1606" s="13"/>
      <c r="E1606" s="13"/>
      <c r="S1606" s="6"/>
      <c r="T1606" s="6"/>
      <c r="U1606" s="6"/>
    </row>
    <row r="1607" spans="3:21" x14ac:dyDescent="0.2">
      <c r="C1607" s="2"/>
      <c r="D1607" s="13"/>
      <c r="E1607" s="13"/>
    </row>
    <row r="1608" spans="3:21" x14ac:dyDescent="0.2">
      <c r="C1608" s="2"/>
      <c r="D1608" s="13"/>
      <c r="E1608" s="13"/>
    </row>
    <row r="1609" spans="3:21" x14ac:dyDescent="0.2">
      <c r="C1609" s="2"/>
      <c r="D1609" s="13"/>
      <c r="E1609" s="13"/>
    </row>
    <row r="1610" spans="3:21" x14ac:dyDescent="0.2">
      <c r="C1610" s="2"/>
      <c r="D1610" s="13"/>
      <c r="E1610" s="13"/>
    </row>
    <row r="1611" spans="3:21" x14ac:dyDescent="0.2">
      <c r="C1611" s="2"/>
      <c r="D1611" s="13"/>
      <c r="E1611" s="13"/>
      <c r="S1611" s="6"/>
      <c r="T1611" s="6"/>
      <c r="U1611" s="6"/>
    </row>
    <row r="1612" spans="3:21" x14ac:dyDescent="0.2">
      <c r="C1612" s="2"/>
      <c r="D1612" s="13"/>
      <c r="E1612" s="13"/>
    </row>
    <row r="1613" spans="3:21" x14ac:dyDescent="0.2">
      <c r="C1613" s="2"/>
      <c r="D1613" s="13"/>
      <c r="E1613" s="13"/>
    </row>
    <row r="1614" spans="3:21" x14ac:dyDescent="0.2">
      <c r="C1614" s="2"/>
      <c r="D1614" s="13"/>
      <c r="E1614" s="13"/>
    </row>
    <row r="1615" spans="3:21" x14ac:dyDescent="0.2">
      <c r="C1615" s="2"/>
      <c r="D1615" s="13"/>
      <c r="E1615" s="13"/>
    </row>
    <row r="1616" spans="3:21" x14ac:dyDescent="0.2">
      <c r="C1616" s="2"/>
      <c r="D1616" s="13"/>
      <c r="E1616" s="13"/>
      <c r="S1616" s="6"/>
      <c r="T1616" s="6"/>
      <c r="U1616" s="6"/>
    </row>
    <row r="1617" spans="3:21" x14ac:dyDescent="0.2">
      <c r="C1617" s="2"/>
      <c r="D1617" s="13"/>
      <c r="E1617" s="13"/>
      <c r="S1617" s="6"/>
      <c r="T1617" s="6"/>
      <c r="U1617" s="6"/>
    </row>
    <row r="1618" spans="3:21" x14ac:dyDescent="0.2">
      <c r="C1618" s="2"/>
      <c r="D1618" s="13"/>
      <c r="E1618" s="13"/>
    </row>
    <row r="1619" spans="3:21" x14ac:dyDescent="0.2">
      <c r="C1619" s="2"/>
      <c r="D1619" s="13"/>
      <c r="E1619" s="13"/>
    </row>
    <row r="1620" spans="3:21" x14ac:dyDescent="0.2">
      <c r="C1620" s="2"/>
      <c r="D1620" s="13"/>
      <c r="E1620" s="13"/>
      <c r="S1620" s="6"/>
      <c r="T1620" s="6"/>
      <c r="U1620" s="6"/>
    </row>
    <row r="1621" spans="3:21" x14ac:dyDescent="0.2">
      <c r="C1621" s="2"/>
      <c r="D1621" s="13"/>
      <c r="E1621" s="13"/>
    </row>
    <row r="1622" spans="3:21" x14ac:dyDescent="0.2">
      <c r="C1622" s="2"/>
      <c r="D1622" s="13"/>
      <c r="E1622" s="13"/>
    </row>
    <row r="1623" spans="3:21" x14ac:dyDescent="0.2">
      <c r="C1623" s="2"/>
      <c r="D1623" s="13"/>
      <c r="E1623" s="13"/>
      <c r="S1623" s="6"/>
      <c r="T1623" s="6"/>
      <c r="U1623" s="6"/>
    </row>
    <row r="1624" spans="3:21" x14ac:dyDescent="0.2">
      <c r="C1624" s="2"/>
      <c r="D1624" s="13"/>
      <c r="E1624" s="13"/>
      <c r="S1624" s="6"/>
      <c r="T1624" s="6"/>
      <c r="U1624" s="6"/>
    </row>
    <row r="1625" spans="3:21" x14ac:dyDescent="0.2">
      <c r="C1625" s="2"/>
      <c r="D1625" s="13"/>
      <c r="E1625" s="13"/>
      <c r="S1625" s="6"/>
      <c r="T1625" s="6"/>
      <c r="U1625" s="6"/>
    </row>
    <row r="1626" spans="3:21" x14ac:dyDescent="0.2">
      <c r="C1626" s="2"/>
      <c r="D1626" s="13"/>
      <c r="E1626" s="13"/>
    </row>
    <row r="1627" spans="3:21" x14ac:dyDescent="0.2">
      <c r="C1627" s="2"/>
      <c r="D1627" s="13"/>
      <c r="E1627" s="13"/>
      <c r="S1627" s="6"/>
      <c r="T1627" s="6"/>
      <c r="U1627" s="6"/>
    </row>
    <row r="1628" spans="3:21" x14ac:dyDescent="0.2">
      <c r="C1628" s="2"/>
      <c r="D1628" s="13"/>
      <c r="E1628" s="13"/>
    </row>
    <row r="1629" spans="3:21" x14ac:dyDescent="0.2">
      <c r="C1629" s="2"/>
      <c r="D1629" s="13"/>
      <c r="E1629" s="13"/>
    </row>
    <row r="1630" spans="3:21" x14ac:dyDescent="0.2">
      <c r="C1630" s="2"/>
      <c r="D1630" s="13"/>
      <c r="E1630" s="13"/>
    </row>
    <row r="1631" spans="3:21" x14ac:dyDescent="0.2">
      <c r="C1631" s="2"/>
      <c r="D1631" s="13"/>
      <c r="E1631" s="13"/>
    </row>
    <row r="1632" spans="3:21" x14ac:dyDescent="0.2">
      <c r="C1632" s="2"/>
      <c r="D1632" s="13"/>
      <c r="E1632" s="13"/>
    </row>
    <row r="1633" spans="3:21" x14ac:dyDescent="0.2">
      <c r="C1633" s="2"/>
      <c r="D1633" s="13"/>
      <c r="E1633" s="13"/>
    </row>
    <row r="1634" spans="3:21" x14ac:dyDescent="0.2">
      <c r="C1634" s="2"/>
      <c r="D1634" s="13"/>
      <c r="E1634" s="13"/>
      <c r="S1634" s="6"/>
      <c r="T1634" s="6"/>
      <c r="U1634" s="6"/>
    </row>
    <row r="1635" spans="3:21" x14ac:dyDescent="0.2">
      <c r="C1635" s="2"/>
      <c r="D1635" s="13"/>
      <c r="E1635" s="13"/>
      <c r="S1635" s="6"/>
      <c r="T1635" s="6"/>
      <c r="U1635" s="6"/>
    </row>
    <row r="1636" spans="3:21" x14ac:dyDescent="0.2">
      <c r="C1636" s="2"/>
      <c r="D1636" s="13"/>
      <c r="E1636" s="13"/>
    </row>
    <row r="1637" spans="3:21" x14ac:dyDescent="0.2">
      <c r="C1637" s="2"/>
      <c r="D1637" s="13"/>
      <c r="E1637" s="13"/>
    </row>
    <row r="1638" spans="3:21" x14ac:dyDescent="0.2">
      <c r="C1638" s="2"/>
      <c r="D1638" s="13"/>
      <c r="E1638" s="13"/>
    </row>
    <row r="1639" spans="3:21" x14ac:dyDescent="0.2">
      <c r="C1639" s="2"/>
      <c r="D1639" s="13"/>
      <c r="E1639" s="13"/>
      <c r="S1639" s="6"/>
      <c r="T1639" s="6"/>
      <c r="U1639" s="6"/>
    </row>
    <row r="1640" spans="3:21" x14ac:dyDescent="0.2">
      <c r="C1640" s="2"/>
      <c r="D1640" s="13"/>
      <c r="E1640" s="13"/>
      <c r="S1640" s="6"/>
      <c r="T1640" s="6"/>
      <c r="U1640" s="6"/>
    </row>
    <row r="1641" spans="3:21" x14ac:dyDescent="0.2">
      <c r="C1641" s="2"/>
      <c r="D1641" s="13"/>
      <c r="E1641" s="13"/>
      <c r="S1641" s="6"/>
      <c r="T1641" s="6"/>
      <c r="U1641" s="6"/>
    </row>
    <row r="1642" spans="3:21" x14ac:dyDescent="0.2">
      <c r="C1642" s="2"/>
      <c r="D1642" s="13"/>
      <c r="E1642" s="13"/>
    </row>
    <row r="1643" spans="3:21" x14ac:dyDescent="0.2">
      <c r="C1643" s="2"/>
      <c r="D1643" s="13"/>
      <c r="E1643" s="13"/>
    </row>
    <row r="1644" spans="3:21" x14ac:dyDescent="0.2">
      <c r="C1644" s="2"/>
      <c r="D1644" s="13"/>
      <c r="E1644" s="13"/>
    </row>
    <row r="1645" spans="3:21" x14ac:dyDescent="0.2">
      <c r="C1645" s="2"/>
      <c r="D1645" s="13"/>
      <c r="E1645" s="13"/>
      <c r="S1645" s="6"/>
      <c r="T1645" s="6"/>
      <c r="U1645" s="6"/>
    </row>
    <row r="1646" spans="3:21" x14ac:dyDescent="0.2">
      <c r="C1646" s="2"/>
      <c r="D1646" s="13"/>
      <c r="E1646" s="13"/>
      <c r="S1646" s="6"/>
      <c r="T1646" s="6"/>
      <c r="U1646" s="6"/>
    </row>
    <row r="1647" spans="3:21" x14ac:dyDescent="0.2">
      <c r="C1647" s="2"/>
      <c r="D1647" s="13"/>
      <c r="E1647" s="13"/>
      <c r="F1647" s="10"/>
      <c r="G1647" s="10"/>
    </row>
    <row r="1648" spans="3:21" x14ac:dyDescent="0.2">
      <c r="C1648" s="2"/>
      <c r="D1648" s="13"/>
      <c r="E1648" s="13"/>
      <c r="F1648" s="10"/>
      <c r="G1648" s="10"/>
    </row>
    <row r="1649" spans="3:21" x14ac:dyDescent="0.2">
      <c r="C1649" s="2"/>
      <c r="D1649" s="13"/>
      <c r="E1649" s="13"/>
      <c r="F1649" s="10"/>
      <c r="G1649" s="10"/>
      <c r="S1649" s="6"/>
      <c r="T1649" s="6"/>
      <c r="U1649" s="6"/>
    </row>
    <row r="1650" spans="3:21" x14ac:dyDescent="0.2">
      <c r="C1650" s="2"/>
      <c r="D1650" s="13"/>
      <c r="E1650" s="13"/>
      <c r="F1650" s="10"/>
      <c r="G1650" s="10"/>
    </row>
    <row r="1651" spans="3:21" x14ac:dyDescent="0.2">
      <c r="C1651" s="2"/>
      <c r="D1651" s="13"/>
      <c r="E1651" s="13"/>
      <c r="F1651" s="10"/>
      <c r="G1651" s="10"/>
    </row>
    <row r="1652" spans="3:21" x14ac:dyDescent="0.2">
      <c r="C1652" s="2"/>
      <c r="D1652" s="13"/>
      <c r="E1652" s="13"/>
      <c r="F1652" s="10"/>
      <c r="G1652" s="10"/>
    </row>
    <row r="1653" spans="3:21" x14ac:dyDescent="0.2">
      <c r="C1653" s="2"/>
      <c r="D1653" s="13"/>
      <c r="E1653" s="13"/>
      <c r="F1653" s="10"/>
      <c r="G1653" s="10"/>
    </row>
    <row r="1654" spans="3:21" x14ac:dyDescent="0.2">
      <c r="C1654" s="2"/>
      <c r="D1654" s="13"/>
      <c r="E1654" s="13"/>
      <c r="F1654" s="10"/>
      <c r="G1654" s="10"/>
    </row>
    <row r="1655" spans="3:21" x14ac:dyDescent="0.2">
      <c r="C1655" s="2"/>
      <c r="D1655" s="13"/>
      <c r="E1655" s="13"/>
      <c r="F1655" s="10"/>
      <c r="G1655" s="10"/>
      <c r="S1655" s="6"/>
      <c r="T1655" s="6"/>
      <c r="U1655" s="6"/>
    </row>
    <row r="1656" spans="3:21" x14ac:dyDescent="0.2">
      <c r="C1656" s="2"/>
      <c r="D1656" s="13"/>
      <c r="E1656" s="13"/>
      <c r="F1656" s="10"/>
      <c r="G1656" s="10"/>
    </row>
    <row r="1657" spans="3:21" x14ac:dyDescent="0.2">
      <c r="C1657" s="2"/>
      <c r="D1657" s="13"/>
      <c r="E1657" s="13"/>
    </row>
    <row r="1658" spans="3:21" x14ac:dyDescent="0.2">
      <c r="C1658" s="2"/>
      <c r="D1658" s="13"/>
      <c r="E1658" s="13"/>
      <c r="S1658" s="6"/>
      <c r="T1658" s="6"/>
      <c r="U1658" s="6"/>
    </row>
    <row r="1659" spans="3:21" x14ac:dyDescent="0.2">
      <c r="C1659" s="2"/>
      <c r="D1659" s="13"/>
      <c r="E1659" s="13"/>
      <c r="S1659" s="6"/>
      <c r="T1659" s="6"/>
      <c r="U1659" s="6"/>
    </row>
    <row r="1660" spans="3:21" x14ac:dyDescent="0.2">
      <c r="C1660" s="2"/>
      <c r="D1660" s="13"/>
      <c r="E1660" s="13"/>
    </row>
    <row r="1661" spans="3:21" x14ac:dyDescent="0.2">
      <c r="C1661" s="2"/>
      <c r="D1661" s="13"/>
      <c r="E1661" s="13"/>
      <c r="S1661" s="6"/>
      <c r="T1661" s="6"/>
      <c r="U1661" s="6"/>
    </row>
    <row r="1662" spans="3:21" x14ac:dyDescent="0.2">
      <c r="C1662" s="2"/>
      <c r="D1662" s="13"/>
      <c r="E1662" s="13"/>
      <c r="S1662" s="6"/>
      <c r="T1662" s="6"/>
      <c r="U1662" s="6"/>
    </row>
    <row r="1663" spans="3:21" x14ac:dyDescent="0.2">
      <c r="C1663" s="2"/>
      <c r="D1663" s="13"/>
      <c r="E1663" s="13"/>
    </row>
    <row r="1664" spans="3:21" x14ac:dyDescent="0.2">
      <c r="C1664" s="2"/>
      <c r="D1664" s="13"/>
      <c r="E1664" s="13"/>
    </row>
    <row r="1665" spans="3:21" x14ac:dyDescent="0.2">
      <c r="C1665" s="2"/>
      <c r="D1665" s="13"/>
      <c r="E1665" s="13"/>
      <c r="S1665" s="6"/>
      <c r="T1665" s="6"/>
      <c r="U1665" s="6"/>
    </row>
    <row r="1666" spans="3:21" x14ac:dyDescent="0.2">
      <c r="C1666" s="2"/>
      <c r="D1666" s="13"/>
      <c r="E1666" s="13"/>
    </row>
    <row r="1667" spans="3:21" x14ac:dyDescent="0.2">
      <c r="C1667" s="2"/>
      <c r="D1667" s="13"/>
      <c r="E1667" s="13"/>
    </row>
    <row r="1668" spans="3:21" x14ac:dyDescent="0.2">
      <c r="C1668" s="2"/>
      <c r="D1668" s="13"/>
      <c r="E1668" s="13"/>
    </row>
    <row r="1669" spans="3:21" x14ac:dyDescent="0.2">
      <c r="C1669" s="2"/>
      <c r="D1669" s="13"/>
      <c r="E1669" s="13"/>
    </row>
    <row r="1670" spans="3:21" x14ac:dyDescent="0.2">
      <c r="C1670" s="2"/>
      <c r="D1670" s="13"/>
      <c r="E1670" s="13"/>
      <c r="S1670" s="6"/>
      <c r="T1670" s="6"/>
      <c r="U1670" s="6"/>
    </row>
    <row r="1671" spans="3:21" x14ac:dyDescent="0.2">
      <c r="C1671" s="2"/>
      <c r="D1671" s="13"/>
      <c r="E1671" s="13"/>
      <c r="S1671" s="6"/>
      <c r="T1671" s="6"/>
      <c r="U1671" s="6"/>
    </row>
    <row r="1672" spans="3:21" x14ac:dyDescent="0.2">
      <c r="C1672" s="2"/>
      <c r="D1672" s="13"/>
      <c r="E1672" s="13"/>
    </row>
    <row r="1673" spans="3:21" x14ac:dyDescent="0.2">
      <c r="C1673" s="2"/>
      <c r="D1673" s="13"/>
      <c r="E1673" s="13"/>
    </row>
    <row r="1674" spans="3:21" x14ac:dyDescent="0.2">
      <c r="C1674" s="2"/>
      <c r="D1674" s="13"/>
      <c r="E1674" s="13"/>
    </row>
    <row r="1675" spans="3:21" x14ac:dyDescent="0.2">
      <c r="C1675" s="2"/>
      <c r="D1675" s="13"/>
      <c r="E1675" s="13"/>
    </row>
    <row r="1676" spans="3:21" x14ac:dyDescent="0.2">
      <c r="C1676" s="2"/>
      <c r="D1676" s="13"/>
      <c r="E1676" s="13"/>
      <c r="S1676" s="6"/>
      <c r="T1676" s="6"/>
      <c r="U1676" s="6"/>
    </row>
    <row r="1677" spans="3:21" x14ac:dyDescent="0.2">
      <c r="C1677" s="2"/>
      <c r="D1677" s="13"/>
      <c r="E1677" s="13"/>
      <c r="S1677" s="6"/>
      <c r="T1677" s="6"/>
      <c r="U1677" s="6"/>
    </row>
    <row r="1678" spans="3:21" x14ac:dyDescent="0.2">
      <c r="C1678" s="2"/>
      <c r="D1678" s="13"/>
      <c r="E1678" s="13"/>
    </row>
    <row r="1679" spans="3:21" x14ac:dyDescent="0.2">
      <c r="C1679" s="2"/>
      <c r="D1679" s="13"/>
      <c r="E1679" s="13"/>
    </row>
    <row r="1680" spans="3:21" x14ac:dyDescent="0.2">
      <c r="C1680" s="2"/>
      <c r="D1680" s="13"/>
      <c r="E1680" s="13"/>
    </row>
    <row r="1681" spans="3:21" x14ac:dyDescent="0.2">
      <c r="C1681" s="2"/>
      <c r="D1681" s="13"/>
      <c r="E1681" s="13"/>
    </row>
    <row r="1682" spans="3:21" x14ac:dyDescent="0.2">
      <c r="C1682" s="2"/>
      <c r="D1682" s="13"/>
      <c r="E1682" s="13"/>
    </row>
    <row r="1683" spans="3:21" x14ac:dyDescent="0.2">
      <c r="C1683" s="2"/>
      <c r="D1683" s="13"/>
      <c r="E1683" s="13"/>
    </row>
    <row r="1684" spans="3:21" x14ac:dyDescent="0.2">
      <c r="C1684" s="2"/>
      <c r="D1684" s="13"/>
      <c r="E1684" s="13"/>
      <c r="S1684" s="6"/>
      <c r="T1684" s="6"/>
      <c r="U1684" s="6"/>
    </row>
    <row r="1685" spans="3:21" x14ac:dyDescent="0.2">
      <c r="C1685" s="2"/>
      <c r="D1685" s="13"/>
      <c r="E1685" s="13"/>
      <c r="S1685" s="6"/>
      <c r="T1685" s="6"/>
      <c r="U1685" s="6"/>
    </row>
    <row r="1686" spans="3:21" x14ac:dyDescent="0.2">
      <c r="C1686" s="2"/>
      <c r="D1686" s="13"/>
      <c r="E1686" s="13"/>
      <c r="S1686" s="6"/>
      <c r="T1686" s="6"/>
      <c r="U1686" s="6"/>
    </row>
    <row r="1687" spans="3:21" x14ac:dyDescent="0.2">
      <c r="C1687" s="2"/>
      <c r="D1687" s="13"/>
      <c r="E1687" s="13"/>
      <c r="S1687" s="6"/>
      <c r="T1687" s="6"/>
      <c r="U1687" s="6"/>
    </row>
    <row r="1688" spans="3:21" x14ac:dyDescent="0.2">
      <c r="C1688" s="2"/>
      <c r="D1688" s="13"/>
      <c r="E1688" s="13"/>
      <c r="S1688" s="6"/>
      <c r="T1688" s="6"/>
      <c r="U1688" s="6"/>
    </row>
    <row r="1689" spans="3:21" x14ac:dyDescent="0.2">
      <c r="C1689" s="2"/>
      <c r="D1689" s="13"/>
      <c r="E1689" s="13"/>
      <c r="S1689" s="6"/>
      <c r="T1689" s="6"/>
      <c r="U1689" s="6"/>
    </row>
    <row r="1690" spans="3:21" x14ac:dyDescent="0.2">
      <c r="C1690" s="2"/>
      <c r="D1690" s="13"/>
      <c r="E1690" s="13"/>
    </row>
    <row r="1691" spans="3:21" x14ac:dyDescent="0.2">
      <c r="C1691" s="2"/>
      <c r="D1691" s="13"/>
      <c r="E1691" s="13"/>
    </row>
    <row r="1692" spans="3:21" x14ac:dyDescent="0.2">
      <c r="C1692" s="2"/>
      <c r="D1692" s="13"/>
      <c r="E1692" s="13"/>
    </row>
    <row r="1693" spans="3:21" x14ac:dyDescent="0.2">
      <c r="C1693" s="2"/>
      <c r="D1693" s="13"/>
      <c r="E1693" s="13"/>
      <c r="S1693" s="6"/>
      <c r="T1693" s="6"/>
      <c r="U1693" s="6"/>
    </row>
    <row r="1694" spans="3:21" x14ac:dyDescent="0.2">
      <c r="C1694" s="2"/>
      <c r="D1694" s="13"/>
      <c r="E1694" s="13"/>
      <c r="S1694" s="6"/>
      <c r="T1694" s="6"/>
      <c r="U1694" s="6"/>
    </row>
    <row r="1695" spans="3:21" x14ac:dyDescent="0.2">
      <c r="C1695" s="2"/>
      <c r="D1695" s="13"/>
      <c r="E1695" s="13"/>
    </row>
    <row r="1696" spans="3:21" x14ac:dyDescent="0.2">
      <c r="C1696" s="2"/>
      <c r="D1696" s="13"/>
      <c r="E1696" s="13"/>
      <c r="S1696" s="6"/>
      <c r="T1696" s="6"/>
      <c r="U1696" s="6"/>
    </row>
    <row r="1697" spans="3:21" x14ac:dyDescent="0.2">
      <c r="C1697" s="2"/>
      <c r="D1697" s="13"/>
      <c r="E1697" s="13"/>
      <c r="S1697" s="6"/>
      <c r="T1697" s="6"/>
      <c r="U1697" s="6"/>
    </row>
    <row r="1698" spans="3:21" x14ac:dyDescent="0.2">
      <c r="C1698" s="2"/>
      <c r="D1698" s="13"/>
      <c r="E1698" s="13"/>
      <c r="S1698" s="6"/>
      <c r="T1698" s="6"/>
      <c r="U1698" s="6"/>
    </row>
    <row r="1699" spans="3:21" x14ac:dyDescent="0.2">
      <c r="C1699" s="2"/>
      <c r="D1699" s="13"/>
      <c r="E1699" s="13"/>
      <c r="S1699" s="6"/>
      <c r="T1699" s="6"/>
      <c r="U1699" s="6"/>
    </row>
    <row r="1700" spans="3:21" x14ac:dyDescent="0.2">
      <c r="C1700" s="2"/>
      <c r="D1700" s="13"/>
      <c r="E1700" s="13"/>
      <c r="S1700" s="6"/>
      <c r="T1700" s="6"/>
      <c r="U1700" s="6"/>
    </row>
    <row r="1701" spans="3:21" x14ac:dyDescent="0.2">
      <c r="C1701" s="2"/>
      <c r="D1701" s="13"/>
      <c r="E1701" s="13"/>
    </row>
    <row r="1702" spans="3:21" x14ac:dyDescent="0.2">
      <c r="C1702" s="2"/>
      <c r="D1702" s="13"/>
      <c r="E1702" s="13"/>
      <c r="S1702" s="6"/>
      <c r="T1702" s="6"/>
      <c r="U1702" s="6"/>
    </row>
    <row r="1703" spans="3:21" x14ac:dyDescent="0.2">
      <c r="C1703" s="2"/>
      <c r="D1703" s="13"/>
      <c r="E1703" s="13"/>
      <c r="S1703" s="6"/>
      <c r="T1703" s="6"/>
      <c r="U1703" s="6"/>
    </row>
    <row r="1704" spans="3:21" x14ac:dyDescent="0.2">
      <c r="C1704" s="2"/>
      <c r="D1704" s="13"/>
      <c r="E1704" s="13"/>
      <c r="S1704" s="6"/>
      <c r="T1704" s="6"/>
      <c r="U1704" s="6"/>
    </row>
    <row r="1705" spans="3:21" x14ac:dyDescent="0.2">
      <c r="C1705" s="2"/>
      <c r="D1705" s="13"/>
      <c r="E1705" s="13"/>
      <c r="S1705" s="6"/>
      <c r="T1705" s="6"/>
      <c r="U1705" s="6"/>
    </row>
    <row r="1706" spans="3:21" x14ac:dyDescent="0.2">
      <c r="C1706" s="2"/>
      <c r="D1706" s="13"/>
      <c r="E1706" s="13"/>
      <c r="S1706" s="6"/>
      <c r="T1706" s="6"/>
      <c r="U1706" s="6"/>
    </row>
    <row r="1707" spans="3:21" x14ac:dyDescent="0.2">
      <c r="C1707" s="2"/>
      <c r="D1707" s="13"/>
      <c r="E1707" s="13"/>
      <c r="S1707" s="6"/>
      <c r="T1707" s="6"/>
      <c r="U1707" s="6"/>
    </row>
    <row r="1708" spans="3:21" x14ac:dyDescent="0.2">
      <c r="C1708" s="2"/>
      <c r="D1708" s="13"/>
      <c r="E1708" s="13"/>
      <c r="S1708" s="6"/>
      <c r="T1708" s="6"/>
      <c r="U1708" s="6"/>
    </row>
    <row r="1709" spans="3:21" x14ac:dyDescent="0.2">
      <c r="C1709" s="2"/>
      <c r="D1709" s="13"/>
      <c r="E1709" s="13"/>
      <c r="S1709" s="6"/>
      <c r="T1709" s="6"/>
      <c r="U1709" s="6"/>
    </row>
    <row r="1710" spans="3:21" x14ac:dyDescent="0.2">
      <c r="C1710" s="2"/>
      <c r="D1710" s="13"/>
      <c r="E1710" s="13"/>
      <c r="S1710" s="6"/>
      <c r="T1710" s="6"/>
      <c r="U1710" s="6"/>
    </row>
    <row r="1711" spans="3:21" x14ac:dyDescent="0.2">
      <c r="C1711" s="2"/>
      <c r="D1711" s="13"/>
      <c r="E1711" s="13"/>
      <c r="S1711" s="6"/>
      <c r="T1711" s="6"/>
      <c r="U1711" s="6"/>
    </row>
    <row r="1712" spans="3:21" x14ac:dyDescent="0.2">
      <c r="C1712" s="2"/>
      <c r="D1712" s="13"/>
      <c r="E1712" s="13"/>
      <c r="S1712" s="6"/>
      <c r="T1712" s="6"/>
      <c r="U1712" s="6"/>
    </row>
    <row r="1713" spans="3:21" x14ac:dyDescent="0.2">
      <c r="C1713" s="2"/>
      <c r="D1713" s="13"/>
      <c r="E1713" s="13"/>
      <c r="S1713" s="6"/>
      <c r="T1713" s="6"/>
      <c r="U1713" s="6"/>
    </row>
    <row r="1714" spans="3:21" x14ac:dyDescent="0.2">
      <c r="C1714" s="2"/>
      <c r="D1714" s="13"/>
      <c r="E1714" s="13"/>
      <c r="S1714" s="6"/>
      <c r="T1714" s="6"/>
      <c r="U1714" s="6"/>
    </row>
    <row r="1715" spans="3:21" x14ac:dyDescent="0.2">
      <c r="C1715" s="2"/>
      <c r="D1715" s="13"/>
      <c r="E1715" s="13"/>
      <c r="S1715" s="6"/>
      <c r="T1715" s="6"/>
      <c r="U1715" s="6"/>
    </row>
    <row r="1716" spans="3:21" x14ac:dyDescent="0.2">
      <c r="C1716" s="2"/>
      <c r="D1716" s="13"/>
      <c r="E1716" s="13"/>
      <c r="S1716" s="6"/>
      <c r="T1716" s="6"/>
      <c r="U1716" s="6"/>
    </row>
    <row r="1717" spans="3:21" x14ac:dyDescent="0.2">
      <c r="C1717" s="2"/>
      <c r="D1717" s="13"/>
      <c r="E1717" s="13"/>
      <c r="S1717" s="6"/>
      <c r="T1717" s="6"/>
      <c r="U1717" s="6"/>
    </row>
    <row r="1718" spans="3:21" x14ac:dyDescent="0.2">
      <c r="C1718" s="2"/>
      <c r="D1718" s="13"/>
      <c r="E1718" s="13"/>
      <c r="S1718" s="6"/>
      <c r="T1718" s="6"/>
      <c r="U1718" s="6"/>
    </row>
    <row r="1719" spans="3:21" x14ac:dyDescent="0.2">
      <c r="C1719" s="2"/>
      <c r="D1719" s="13"/>
      <c r="E1719" s="13"/>
      <c r="S1719" s="6"/>
      <c r="T1719" s="6"/>
      <c r="U1719" s="6"/>
    </row>
    <row r="1720" spans="3:21" x14ac:dyDescent="0.2">
      <c r="C1720" s="2"/>
      <c r="D1720" s="13"/>
      <c r="E1720" s="13"/>
    </row>
    <row r="1721" spans="3:21" x14ac:dyDescent="0.2">
      <c r="C1721" s="2"/>
      <c r="D1721" s="13"/>
      <c r="E1721" s="13"/>
    </row>
    <row r="1722" spans="3:21" x14ac:dyDescent="0.2">
      <c r="C1722" s="2"/>
      <c r="D1722" s="13"/>
      <c r="E1722" s="13"/>
    </row>
    <row r="1723" spans="3:21" x14ac:dyDescent="0.2">
      <c r="C1723" s="2"/>
      <c r="D1723" s="13"/>
      <c r="E1723" s="13"/>
    </row>
    <row r="1724" spans="3:21" x14ac:dyDescent="0.2">
      <c r="C1724" s="2"/>
      <c r="D1724" s="13"/>
      <c r="E1724" s="13"/>
    </row>
    <row r="1725" spans="3:21" x14ac:dyDescent="0.2">
      <c r="C1725" s="2"/>
      <c r="D1725" s="13"/>
      <c r="E1725" s="13"/>
    </row>
    <row r="1726" spans="3:21" x14ac:dyDescent="0.2">
      <c r="C1726" s="2"/>
      <c r="D1726" s="13"/>
      <c r="E1726" s="13"/>
    </row>
    <row r="1727" spans="3:21" x14ac:dyDescent="0.2">
      <c r="C1727" s="2"/>
      <c r="D1727" s="13"/>
      <c r="E1727" s="13"/>
    </row>
    <row r="1728" spans="3:21" x14ac:dyDescent="0.2">
      <c r="C1728" s="2"/>
      <c r="D1728" s="13"/>
      <c r="E1728" s="13"/>
      <c r="S1728" s="6"/>
      <c r="T1728" s="6"/>
      <c r="U1728" s="6"/>
    </row>
    <row r="1729" spans="3:21" x14ac:dyDescent="0.2">
      <c r="C1729" s="2"/>
      <c r="D1729" s="13"/>
      <c r="E1729" s="13"/>
    </row>
    <row r="1730" spans="3:21" x14ac:dyDescent="0.2">
      <c r="C1730" s="2"/>
      <c r="D1730" s="13"/>
      <c r="E1730" s="13"/>
    </row>
    <row r="1731" spans="3:21" x14ac:dyDescent="0.2">
      <c r="C1731" s="2"/>
      <c r="D1731" s="13"/>
      <c r="E1731" s="13"/>
    </row>
    <row r="1732" spans="3:21" x14ac:dyDescent="0.2">
      <c r="C1732" s="2"/>
      <c r="D1732" s="13"/>
      <c r="E1732" s="13"/>
    </row>
    <row r="1733" spans="3:21" x14ac:dyDescent="0.2">
      <c r="C1733" s="2"/>
      <c r="D1733" s="13"/>
      <c r="E1733" s="13"/>
      <c r="S1733" s="6"/>
      <c r="T1733" s="6"/>
      <c r="U1733" s="6"/>
    </row>
    <row r="1734" spans="3:21" x14ac:dyDescent="0.2">
      <c r="C1734" s="2"/>
      <c r="D1734" s="13"/>
      <c r="E1734" s="13"/>
    </row>
    <row r="1735" spans="3:21" x14ac:dyDescent="0.2">
      <c r="C1735" s="2"/>
      <c r="D1735" s="13"/>
      <c r="E1735" s="13"/>
    </row>
    <row r="1736" spans="3:21" x14ac:dyDescent="0.2">
      <c r="C1736" s="2"/>
      <c r="D1736" s="13"/>
      <c r="E1736" s="13"/>
    </row>
    <row r="1737" spans="3:21" x14ac:dyDescent="0.2">
      <c r="C1737" s="2"/>
      <c r="D1737" s="13"/>
      <c r="E1737" s="13"/>
    </row>
    <row r="1738" spans="3:21" x14ac:dyDescent="0.2">
      <c r="C1738" s="2"/>
      <c r="D1738" s="13"/>
      <c r="E1738" s="13"/>
    </row>
    <row r="1739" spans="3:21" x14ac:dyDescent="0.2">
      <c r="C1739" s="2"/>
      <c r="D1739" s="13"/>
      <c r="E1739" s="13"/>
    </row>
    <row r="1740" spans="3:21" x14ac:dyDescent="0.2">
      <c r="C1740" s="2"/>
      <c r="D1740" s="13"/>
      <c r="E1740" s="13"/>
    </row>
    <row r="1741" spans="3:21" x14ac:dyDescent="0.2">
      <c r="C1741" s="2"/>
      <c r="D1741" s="13"/>
      <c r="E1741" s="13"/>
    </row>
    <row r="1742" spans="3:21" x14ac:dyDescent="0.2">
      <c r="C1742" s="2"/>
      <c r="D1742" s="13"/>
      <c r="E1742" s="13"/>
      <c r="S1742" s="6"/>
      <c r="T1742" s="6"/>
      <c r="U1742" s="6"/>
    </row>
    <row r="1743" spans="3:21" x14ac:dyDescent="0.2">
      <c r="C1743" s="2"/>
      <c r="D1743" s="13"/>
      <c r="E1743" s="13"/>
    </row>
    <row r="1744" spans="3:21" x14ac:dyDescent="0.2">
      <c r="C1744" s="2"/>
      <c r="D1744" s="13"/>
      <c r="E1744" s="13"/>
    </row>
    <row r="1745" spans="3:21" x14ac:dyDescent="0.2">
      <c r="C1745" s="2"/>
      <c r="D1745" s="13"/>
      <c r="E1745" s="13"/>
    </row>
    <row r="1746" spans="3:21" x14ac:dyDescent="0.2">
      <c r="C1746" s="2"/>
      <c r="D1746" s="13"/>
      <c r="E1746" s="13"/>
    </row>
    <row r="1747" spans="3:21" x14ac:dyDescent="0.2">
      <c r="C1747" s="2"/>
      <c r="D1747" s="13"/>
      <c r="E1747" s="13"/>
    </row>
    <row r="1748" spans="3:21" x14ac:dyDescent="0.2">
      <c r="C1748" s="2"/>
      <c r="D1748" s="13"/>
      <c r="E1748" s="13"/>
    </row>
    <row r="1749" spans="3:21" x14ac:dyDescent="0.2">
      <c r="C1749" s="2"/>
      <c r="D1749" s="13"/>
      <c r="E1749" s="13"/>
    </row>
    <row r="1750" spans="3:21" x14ac:dyDescent="0.2">
      <c r="C1750" s="2"/>
      <c r="D1750" s="13"/>
      <c r="E1750" s="13"/>
      <c r="S1750" s="6"/>
      <c r="T1750" s="6"/>
      <c r="U1750" s="6"/>
    </row>
    <row r="1751" spans="3:21" x14ac:dyDescent="0.2">
      <c r="C1751" s="2"/>
      <c r="D1751" s="13"/>
      <c r="E1751" s="13"/>
    </row>
    <row r="1752" spans="3:21" x14ac:dyDescent="0.2">
      <c r="C1752" s="2"/>
      <c r="D1752" s="13"/>
      <c r="E1752" s="13"/>
    </row>
    <row r="1753" spans="3:21" x14ac:dyDescent="0.2">
      <c r="C1753" s="2"/>
      <c r="D1753" s="13"/>
      <c r="E1753" s="13"/>
    </row>
    <row r="1754" spans="3:21" x14ac:dyDescent="0.2">
      <c r="C1754" s="2"/>
      <c r="D1754" s="13"/>
      <c r="E1754" s="13"/>
    </row>
    <row r="1755" spans="3:21" x14ac:dyDescent="0.2">
      <c r="C1755" s="2"/>
      <c r="D1755" s="13"/>
      <c r="E1755" s="13"/>
    </row>
    <row r="1756" spans="3:21" x14ac:dyDescent="0.2">
      <c r="C1756" s="2"/>
      <c r="D1756" s="13"/>
      <c r="E1756" s="13"/>
    </row>
    <row r="1757" spans="3:21" x14ac:dyDescent="0.2">
      <c r="C1757" s="2"/>
      <c r="D1757" s="13"/>
      <c r="E1757" s="13"/>
      <c r="S1757" s="6"/>
      <c r="T1757" s="6"/>
      <c r="U1757" s="6"/>
    </row>
    <row r="1758" spans="3:21" x14ac:dyDescent="0.2">
      <c r="C1758" s="2"/>
      <c r="D1758" s="13"/>
      <c r="E1758" s="13"/>
      <c r="S1758" s="6"/>
      <c r="T1758" s="6"/>
      <c r="U1758" s="6"/>
    </row>
    <row r="1759" spans="3:21" x14ac:dyDescent="0.2">
      <c r="C1759" s="2"/>
      <c r="D1759" s="13"/>
      <c r="E1759" s="13"/>
      <c r="S1759" s="6"/>
      <c r="T1759" s="6"/>
      <c r="U1759" s="6"/>
    </row>
    <row r="1760" spans="3:21" x14ac:dyDescent="0.2">
      <c r="C1760" s="2"/>
      <c r="D1760" s="13"/>
      <c r="E1760" s="13"/>
      <c r="S1760" s="6"/>
      <c r="T1760" s="6"/>
      <c r="U1760" s="6"/>
    </row>
    <row r="1761" spans="3:21" x14ac:dyDescent="0.2">
      <c r="C1761" s="2"/>
      <c r="D1761" s="13"/>
      <c r="E1761" s="13"/>
    </row>
    <row r="1762" spans="3:21" x14ac:dyDescent="0.2">
      <c r="C1762" s="2"/>
      <c r="D1762" s="13"/>
      <c r="E1762" s="13"/>
    </row>
    <row r="1763" spans="3:21" x14ac:dyDescent="0.2">
      <c r="C1763" s="2"/>
      <c r="D1763" s="13"/>
      <c r="E1763" s="13"/>
    </row>
    <row r="1764" spans="3:21" x14ac:dyDescent="0.2">
      <c r="C1764" s="2"/>
      <c r="D1764" s="13"/>
      <c r="E1764" s="13"/>
    </row>
    <row r="1765" spans="3:21" x14ac:dyDescent="0.2">
      <c r="C1765" s="2"/>
      <c r="D1765" s="13"/>
      <c r="E1765" s="13"/>
      <c r="S1765" s="6"/>
      <c r="T1765" s="6"/>
      <c r="U1765" s="6"/>
    </row>
    <row r="1766" spans="3:21" x14ac:dyDescent="0.2">
      <c r="C1766" s="2"/>
      <c r="D1766" s="13"/>
      <c r="E1766" s="13"/>
    </row>
    <row r="1767" spans="3:21" x14ac:dyDescent="0.2">
      <c r="C1767" s="2"/>
      <c r="D1767" s="13"/>
      <c r="E1767" s="13"/>
    </row>
    <row r="1768" spans="3:21" x14ac:dyDescent="0.2">
      <c r="C1768" s="2"/>
      <c r="D1768" s="13"/>
      <c r="E1768" s="13"/>
    </row>
    <row r="1769" spans="3:21" x14ac:dyDescent="0.2">
      <c r="C1769" s="2"/>
      <c r="D1769" s="13"/>
      <c r="E1769" s="13"/>
    </row>
    <row r="1770" spans="3:21" x14ac:dyDescent="0.2">
      <c r="C1770" s="2"/>
      <c r="D1770" s="13"/>
      <c r="E1770" s="13"/>
      <c r="S1770" s="6"/>
      <c r="T1770" s="6"/>
      <c r="U1770" s="6"/>
    </row>
    <row r="1771" spans="3:21" x14ac:dyDescent="0.2">
      <c r="C1771" s="2"/>
      <c r="D1771" s="13"/>
      <c r="E1771" s="13"/>
    </row>
    <row r="1772" spans="3:21" x14ac:dyDescent="0.2">
      <c r="C1772" s="2"/>
      <c r="D1772" s="13"/>
      <c r="E1772" s="13"/>
    </row>
    <row r="1773" spans="3:21" x14ac:dyDescent="0.2">
      <c r="C1773" s="2"/>
      <c r="D1773" s="13"/>
      <c r="E1773" s="13"/>
    </row>
    <row r="1774" spans="3:21" x14ac:dyDescent="0.2">
      <c r="C1774" s="2"/>
      <c r="D1774" s="13"/>
      <c r="E1774" s="13"/>
    </row>
    <row r="1775" spans="3:21" x14ac:dyDescent="0.2">
      <c r="C1775" s="2"/>
      <c r="D1775" s="13"/>
      <c r="E1775" s="13"/>
      <c r="S1775" s="6"/>
      <c r="T1775" s="6"/>
      <c r="U1775" s="6"/>
    </row>
    <row r="1776" spans="3:21" x14ac:dyDescent="0.2">
      <c r="C1776" s="2"/>
      <c r="D1776" s="13"/>
      <c r="E1776" s="13"/>
    </row>
    <row r="1777" spans="3:21" x14ac:dyDescent="0.2">
      <c r="C1777" s="2"/>
      <c r="D1777" s="13"/>
      <c r="E1777" s="13"/>
    </row>
    <row r="1778" spans="3:21" x14ac:dyDescent="0.2">
      <c r="C1778" s="2"/>
      <c r="D1778" s="13"/>
      <c r="E1778" s="13"/>
    </row>
    <row r="1779" spans="3:21" x14ac:dyDescent="0.2">
      <c r="C1779" s="2"/>
      <c r="D1779" s="13"/>
      <c r="E1779" s="13"/>
    </row>
    <row r="1780" spans="3:21" x14ac:dyDescent="0.2">
      <c r="C1780" s="2"/>
      <c r="D1780" s="13"/>
      <c r="E1780" s="13"/>
      <c r="S1780" s="6"/>
      <c r="T1780" s="6"/>
      <c r="U1780" s="6"/>
    </row>
    <row r="1781" spans="3:21" x14ac:dyDescent="0.2">
      <c r="C1781" s="2"/>
      <c r="D1781" s="13"/>
      <c r="E1781" s="13"/>
    </row>
    <row r="1782" spans="3:21" x14ac:dyDescent="0.2">
      <c r="C1782" s="2"/>
      <c r="D1782" s="13"/>
      <c r="E1782" s="13"/>
    </row>
    <row r="1783" spans="3:21" x14ac:dyDescent="0.2">
      <c r="C1783" s="2"/>
      <c r="D1783" s="13"/>
      <c r="E1783" s="13"/>
    </row>
    <row r="1784" spans="3:21" x14ac:dyDescent="0.2">
      <c r="C1784" s="2"/>
      <c r="D1784" s="13"/>
      <c r="E1784" s="13"/>
    </row>
    <row r="1785" spans="3:21" x14ac:dyDescent="0.2">
      <c r="C1785" s="2"/>
      <c r="D1785" s="13"/>
      <c r="E1785" s="13"/>
      <c r="S1785" s="6"/>
      <c r="T1785" s="6"/>
      <c r="U1785" s="6"/>
    </row>
    <row r="1786" spans="3:21" x14ac:dyDescent="0.2">
      <c r="C1786" s="2"/>
      <c r="D1786" s="13"/>
      <c r="E1786" s="13"/>
    </row>
    <row r="1787" spans="3:21" x14ac:dyDescent="0.2">
      <c r="C1787" s="2"/>
      <c r="D1787" s="13"/>
      <c r="E1787" s="13"/>
    </row>
    <row r="1788" spans="3:21" x14ac:dyDescent="0.2">
      <c r="C1788" s="2"/>
      <c r="D1788" s="13"/>
      <c r="E1788" s="13"/>
    </row>
    <row r="1789" spans="3:21" x14ac:dyDescent="0.2">
      <c r="C1789" s="2"/>
      <c r="D1789" s="13"/>
      <c r="E1789" s="13"/>
    </row>
    <row r="1790" spans="3:21" x14ac:dyDescent="0.2">
      <c r="C1790" s="2"/>
      <c r="D1790" s="13"/>
      <c r="E1790" s="13"/>
    </row>
    <row r="1791" spans="3:21" x14ac:dyDescent="0.2">
      <c r="C1791" s="2"/>
      <c r="D1791" s="13"/>
      <c r="E1791" s="13"/>
    </row>
    <row r="1792" spans="3:21" x14ac:dyDescent="0.2">
      <c r="C1792" s="2"/>
      <c r="D1792" s="13"/>
      <c r="E1792" s="13"/>
    </row>
    <row r="1793" spans="3:5" x14ac:dyDescent="0.2">
      <c r="C1793" s="2"/>
      <c r="D1793" s="13"/>
      <c r="E1793" s="13"/>
    </row>
    <row r="1794" spans="3:5" x14ac:dyDescent="0.2">
      <c r="C1794" s="2"/>
      <c r="D1794" s="13"/>
      <c r="E1794" s="13"/>
    </row>
    <row r="1795" spans="3:5" x14ac:dyDescent="0.2">
      <c r="C1795" s="2"/>
      <c r="D1795" s="13"/>
      <c r="E1795" s="13"/>
    </row>
    <row r="1796" spans="3:5" x14ac:dyDescent="0.2">
      <c r="C1796" s="2"/>
      <c r="D1796" s="13"/>
      <c r="E1796" s="13"/>
    </row>
    <row r="1797" spans="3:5" x14ac:dyDescent="0.2">
      <c r="C1797" s="2"/>
      <c r="D1797" s="13"/>
      <c r="E1797" s="13"/>
    </row>
    <row r="1798" spans="3:5" x14ac:dyDescent="0.2">
      <c r="C1798" s="2"/>
      <c r="D1798" s="13"/>
      <c r="E1798" s="13"/>
    </row>
    <row r="1799" spans="3:5" x14ac:dyDescent="0.2">
      <c r="C1799" s="2"/>
      <c r="D1799" s="13"/>
      <c r="E1799" s="13"/>
    </row>
    <row r="1800" spans="3:5" x14ac:dyDescent="0.2">
      <c r="C1800" s="2"/>
      <c r="D1800" s="13"/>
      <c r="E1800" s="13"/>
    </row>
    <row r="1801" spans="3:5" x14ac:dyDescent="0.2">
      <c r="C1801" s="2"/>
      <c r="D1801" s="13"/>
      <c r="E1801" s="13"/>
    </row>
    <row r="1802" spans="3:5" x14ac:dyDescent="0.2">
      <c r="C1802" s="2"/>
      <c r="D1802" s="13"/>
      <c r="E1802" s="13"/>
    </row>
    <row r="1803" spans="3:5" x14ac:dyDescent="0.2">
      <c r="C1803" s="2"/>
      <c r="D1803" s="13"/>
      <c r="E1803" s="13"/>
    </row>
    <row r="1804" spans="3:5" x14ac:dyDescent="0.2">
      <c r="C1804" s="2"/>
      <c r="D1804" s="13"/>
      <c r="E1804" s="13"/>
    </row>
    <row r="1805" spans="3:5" x14ac:dyDescent="0.2">
      <c r="C1805" s="2"/>
      <c r="D1805" s="13"/>
      <c r="E1805" s="13"/>
    </row>
    <row r="1806" spans="3:5" x14ac:dyDescent="0.2">
      <c r="C1806" s="2"/>
      <c r="D1806" s="13"/>
      <c r="E1806" s="13"/>
    </row>
    <row r="1807" spans="3:5" x14ac:dyDescent="0.2">
      <c r="C1807" s="2"/>
      <c r="D1807" s="13"/>
      <c r="E1807" s="13"/>
    </row>
    <row r="1808" spans="3:5" x14ac:dyDescent="0.2">
      <c r="C1808" s="2"/>
      <c r="D1808" s="13"/>
      <c r="E1808" s="13"/>
    </row>
    <row r="1809" spans="3:21" x14ac:dyDescent="0.2">
      <c r="C1809" s="2"/>
      <c r="D1809" s="13"/>
      <c r="E1809" s="13"/>
    </row>
    <row r="1810" spans="3:21" x14ac:dyDescent="0.2">
      <c r="C1810" s="2"/>
      <c r="D1810" s="13"/>
      <c r="E1810" s="13"/>
    </row>
    <row r="1811" spans="3:21" x14ac:dyDescent="0.2">
      <c r="C1811" s="2"/>
      <c r="D1811" s="13"/>
      <c r="E1811" s="13"/>
    </row>
    <row r="1812" spans="3:21" x14ac:dyDescent="0.2">
      <c r="C1812" s="2"/>
      <c r="D1812" s="13"/>
      <c r="E1812" s="13"/>
    </row>
    <row r="1813" spans="3:21" x14ac:dyDescent="0.2">
      <c r="C1813" s="2"/>
      <c r="D1813" s="13"/>
      <c r="E1813" s="13"/>
    </row>
    <row r="1814" spans="3:21" x14ac:dyDescent="0.2">
      <c r="C1814" s="2"/>
      <c r="D1814" s="13"/>
      <c r="E1814" s="13"/>
      <c r="S1814" s="6"/>
      <c r="T1814" s="6"/>
      <c r="U1814" s="6"/>
    </row>
    <row r="1815" spans="3:21" x14ac:dyDescent="0.2">
      <c r="C1815" s="2"/>
      <c r="D1815" s="13"/>
      <c r="E1815" s="13"/>
      <c r="S1815" s="6"/>
      <c r="T1815" s="6"/>
      <c r="U1815" s="6"/>
    </row>
    <row r="1816" spans="3:21" x14ac:dyDescent="0.2">
      <c r="C1816" s="2"/>
      <c r="D1816" s="13"/>
      <c r="E1816" s="13"/>
      <c r="S1816" s="6"/>
      <c r="T1816" s="6"/>
      <c r="U1816" s="6"/>
    </row>
    <row r="1817" spans="3:21" x14ac:dyDescent="0.2">
      <c r="C1817" s="2"/>
      <c r="D1817" s="13"/>
      <c r="E1817" s="13"/>
    </row>
    <row r="1818" spans="3:21" x14ac:dyDescent="0.2">
      <c r="C1818" s="2"/>
      <c r="D1818" s="13"/>
      <c r="E1818" s="13"/>
    </row>
    <row r="1819" spans="3:21" x14ac:dyDescent="0.2">
      <c r="C1819" s="2"/>
      <c r="D1819" s="13"/>
      <c r="E1819" s="13"/>
      <c r="S1819" s="6"/>
      <c r="T1819" s="6"/>
      <c r="U1819" s="6"/>
    </row>
    <row r="1820" spans="3:21" x14ac:dyDescent="0.2">
      <c r="C1820" s="2"/>
      <c r="D1820" s="13"/>
      <c r="E1820" s="13"/>
    </row>
    <row r="1821" spans="3:21" x14ac:dyDescent="0.2">
      <c r="C1821" s="2"/>
      <c r="D1821" s="13"/>
      <c r="E1821" s="13"/>
    </row>
    <row r="1822" spans="3:21" x14ac:dyDescent="0.2">
      <c r="C1822" s="2"/>
      <c r="D1822" s="13"/>
      <c r="E1822" s="13"/>
      <c r="S1822" s="6"/>
      <c r="T1822" s="6"/>
      <c r="U1822" s="6"/>
    </row>
    <row r="1823" spans="3:21" x14ac:dyDescent="0.2">
      <c r="C1823" s="2"/>
      <c r="D1823" s="13"/>
      <c r="E1823" s="13"/>
    </row>
    <row r="1824" spans="3:21" x14ac:dyDescent="0.2">
      <c r="C1824" s="2"/>
      <c r="D1824" s="13"/>
      <c r="E1824" s="13"/>
    </row>
    <row r="1825" spans="3:21" x14ac:dyDescent="0.2">
      <c r="C1825" s="2"/>
      <c r="D1825" s="13"/>
      <c r="E1825" s="13"/>
      <c r="S1825" s="6"/>
      <c r="T1825" s="6"/>
      <c r="U1825" s="6"/>
    </row>
    <row r="1826" spans="3:21" x14ac:dyDescent="0.2">
      <c r="C1826" s="2"/>
      <c r="D1826" s="13"/>
      <c r="E1826" s="13"/>
    </row>
    <row r="1827" spans="3:21" x14ac:dyDescent="0.2">
      <c r="C1827" s="2"/>
      <c r="D1827" s="13"/>
      <c r="E1827" s="13"/>
    </row>
    <row r="1828" spans="3:21" x14ac:dyDescent="0.2">
      <c r="C1828" s="2"/>
      <c r="D1828" s="13"/>
      <c r="E1828" s="13"/>
    </row>
    <row r="1829" spans="3:21" x14ac:dyDescent="0.2">
      <c r="C1829" s="2"/>
      <c r="D1829" s="13"/>
      <c r="E1829" s="13"/>
    </row>
    <row r="1830" spans="3:21" x14ac:dyDescent="0.2">
      <c r="C1830" s="2"/>
      <c r="D1830" s="13"/>
      <c r="E1830" s="13"/>
    </row>
    <row r="1831" spans="3:21" x14ac:dyDescent="0.2">
      <c r="C1831" s="2"/>
      <c r="D1831" s="13"/>
      <c r="E1831" s="13"/>
    </row>
    <row r="1832" spans="3:21" x14ac:dyDescent="0.2">
      <c r="C1832" s="2"/>
      <c r="D1832" s="13"/>
      <c r="E1832" s="13"/>
    </row>
    <row r="1833" spans="3:21" x14ac:dyDescent="0.2">
      <c r="C1833" s="2"/>
      <c r="D1833" s="13"/>
      <c r="E1833" s="13"/>
      <c r="S1833" s="6"/>
      <c r="T1833" s="6"/>
      <c r="U1833" s="6"/>
    </row>
    <row r="1834" spans="3:21" x14ac:dyDescent="0.2">
      <c r="C1834" s="2"/>
      <c r="D1834" s="13"/>
      <c r="E1834" s="13"/>
    </row>
    <row r="1835" spans="3:21" x14ac:dyDescent="0.2">
      <c r="C1835" s="2"/>
      <c r="D1835" s="13"/>
      <c r="E1835" s="13"/>
    </row>
    <row r="1836" spans="3:21" x14ac:dyDescent="0.2">
      <c r="C1836" s="2"/>
      <c r="D1836" s="13"/>
      <c r="E1836" s="13"/>
      <c r="S1836" s="6"/>
      <c r="T1836" s="6"/>
      <c r="U1836" s="6"/>
    </row>
    <row r="1837" spans="3:21" x14ac:dyDescent="0.2">
      <c r="C1837" s="2"/>
      <c r="D1837" s="13"/>
      <c r="E1837" s="13"/>
      <c r="S1837" s="6"/>
      <c r="T1837" s="6"/>
      <c r="U1837" s="6"/>
    </row>
    <row r="1838" spans="3:21" x14ac:dyDescent="0.2">
      <c r="C1838" s="2"/>
      <c r="D1838" s="13"/>
      <c r="E1838" s="13"/>
    </row>
    <row r="1839" spans="3:21" x14ac:dyDescent="0.2">
      <c r="C1839" s="2"/>
      <c r="D1839" s="13"/>
      <c r="E1839" s="13"/>
    </row>
    <row r="1840" spans="3:21" x14ac:dyDescent="0.2">
      <c r="C1840" s="2"/>
      <c r="D1840" s="13"/>
      <c r="E1840" s="13"/>
    </row>
    <row r="1841" spans="3:21" x14ac:dyDescent="0.2">
      <c r="C1841" s="2"/>
      <c r="D1841" s="13"/>
      <c r="E1841" s="13"/>
    </row>
    <row r="1842" spans="3:21" x14ac:dyDescent="0.2">
      <c r="C1842" s="2"/>
      <c r="D1842" s="13"/>
      <c r="E1842" s="13"/>
    </row>
    <row r="1843" spans="3:21" x14ac:dyDescent="0.2">
      <c r="C1843" s="2"/>
      <c r="D1843" s="13"/>
      <c r="E1843" s="13"/>
    </row>
    <row r="1844" spans="3:21" x14ac:dyDescent="0.2">
      <c r="C1844" s="2"/>
      <c r="D1844" s="13"/>
      <c r="E1844" s="13"/>
    </row>
    <row r="1845" spans="3:21" x14ac:dyDescent="0.2">
      <c r="C1845" s="2"/>
      <c r="D1845" s="13"/>
      <c r="E1845" s="13"/>
      <c r="S1845" s="6"/>
      <c r="T1845" s="6"/>
      <c r="U1845" s="6"/>
    </row>
    <row r="1846" spans="3:21" x14ac:dyDescent="0.2">
      <c r="C1846" s="2"/>
      <c r="D1846" s="13"/>
      <c r="E1846" s="13"/>
    </row>
    <row r="1847" spans="3:21" x14ac:dyDescent="0.2">
      <c r="C1847" s="2"/>
      <c r="D1847" s="13"/>
      <c r="E1847" s="13"/>
    </row>
    <row r="1848" spans="3:21" x14ac:dyDescent="0.2">
      <c r="C1848" s="2"/>
      <c r="D1848" s="13"/>
      <c r="E1848" s="13"/>
    </row>
    <row r="1849" spans="3:21" x14ac:dyDescent="0.2">
      <c r="C1849" s="2"/>
      <c r="D1849" s="13"/>
      <c r="E1849" s="13"/>
    </row>
    <row r="1850" spans="3:21" x14ac:dyDescent="0.2">
      <c r="C1850" s="2"/>
      <c r="D1850" s="13"/>
      <c r="E1850" s="13"/>
    </row>
    <row r="1851" spans="3:21" x14ac:dyDescent="0.2">
      <c r="C1851" s="2"/>
      <c r="D1851" s="13"/>
      <c r="E1851" s="13"/>
    </row>
    <row r="1852" spans="3:21" x14ac:dyDescent="0.2">
      <c r="C1852" s="2"/>
      <c r="D1852" s="13"/>
      <c r="E1852" s="13"/>
    </row>
    <row r="1853" spans="3:21" x14ac:dyDescent="0.2">
      <c r="C1853" s="2"/>
      <c r="D1853" s="13"/>
      <c r="E1853" s="13"/>
    </row>
    <row r="1854" spans="3:21" x14ac:dyDescent="0.2">
      <c r="C1854" s="2"/>
      <c r="D1854" s="13"/>
      <c r="E1854" s="13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8BBA6-E0E5-447A-907E-4C9706CCFE83}">
  <sheetPr codeName="Sheet7"/>
  <dimension ref="A1:T1106"/>
  <sheetViews>
    <sheetView zoomScaleNormal="100" workbookViewId="0">
      <pane ySplit="1" topLeftCell="A2" activePane="bottomLeft" state="frozen"/>
      <selection pane="bottomLeft" activeCell="E1" sqref="E1:E1048576"/>
    </sheetView>
  </sheetViews>
  <sheetFormatPr baseColWidth="10" defaultColWidth="8.83203125" defaultRowHeight="15" x14ac:dyDescent="0.2"/>
  <cols>
    <col min="2" max="2" width="19" style="25" customWidth="1"/>
    <col min="3" max="3" width="21.5" style="4" customWidth="1"/>
    <col min="4" max="4" width="20.33203125" customWidth="1"/>
    <col min="5" max="5" width="19.33203125" customWidth="1"/>
    <col min="6" max="6" width="17.5" customWidth="1"/>
    <col min="7" max="7" width="24.6640625" style="4" customWidth="1"/>
    <col min="8" max="9" width="34.6640625" customWidth="1"/>
    <col min="10" max="10" width="41.83203125" customWidth="1"/>
    <col min="12" max="12" width="41.83203125" customWidth="1"/>
    <col min="15" max="15" width="15.1640625" customWidth="1"/>
    <col min="16" max="16" width="12.83203125" style="4" customWidth="1"/>
    <col min="17" max="18" width="27.6640625" customWidth="1"/>
    <col min="19" max="19" width="16.6640625" customWidth="1"/>
    <col min="20" max="20" width="12" bestFit="1" customWidth="1"/>
  </cols>
  <sheetData>
    <row r="1" spans="1:20" ht="42" customHeight="1" x14ac:dyDescent="0.35">
      <c r="A1" s="1" t="s">
        <v>22</v>
      </c>
      <c r="B1" s="24" t="s">
        <v>34</v>
      </c>
      <c r="C1" s="17" t="s">
        <v>33</v>
      </c>
      <c r="D1" s="17" t="s">
        <v>35</v>
      </c>
      <c r="E1" s="17" t="s">
        <v>36</v>
      </c>
      <c r="F1" s="12" t="s">
        <v>37</v>
      </c>
      <c r="G1" s="5" t="s">
        <v>38</v>
      </c>
      <c r="H1" s="1" t="s">
        <v>48</v>
      </c>
      <c r="I1" s="1" t="s">
        <v>49</v>
      </c>
      <c r="J1" s="1" t="s">
        <v>42</v>
      </c>
      <c r="L1" s="1" t="s">
        <v>50</v>
      </c>
      <c r="N1" s="1" t="s">
        <v>22</v>
      </c>
      <c r="O1" s="12" t="s">
        <v>34</v>
      </c>
      <c r="P1" s="5" t="s">
        <v>33</v>
      </c>
      <c r="Q1" s="1" t="s">
        <v>51</v>
      </c>
      <c r="R1" s="1" t="s">
        <v>52</v>
      </c>
      <c r="S1" s="1" t="s">
        <v>43</v>
      </c>
      <c r="T1" s="1" t="s">
        <v>53</v>
      </c>
    </row>
    <row r="2" spans="1:20" x14ac:dyDescent="0.2">
      <c r="A2" t="s">
        <v>9</v>
      </c>
      <c r="B2" s="25">
        <v>115.44294000000009</v>
      </c>
      <c r="C2" s="4">
        <v>1528.2</v>
      </c>
      <c r="D2">
        <v>18.32</v>
      </c>
      <c r="E2">
        <v>11.11</v>
      </c>
      <c r="H2">
        <v>3.6548722223418282</v>
      </c>
      <c r="I2">
        <v>0.82584246885025381</v>
      </c>
      <c r="J2" s="6">
        <v>-9.2049803145864795E-5</v>
      </c>
      <c r="L2" s="6">
        <v>8.1186773532731878E-5</v>
      </c>
      <c r="N2" t="s">
        <v>9</v>
      </c>
      <c r="O2">
        <v>115.43807800000067</v>
      </c>
      <c r="P2" s="4">
        <v>1501.7</v>
      </c>
      <c r="Q2">
        <v>-0.55154379613028681</v>
      </c>
      <c r="R2">
        <v>1.1729367790170317</v>
      </c>
      <c r="S2">
        <v>-6.0726091037926805E-5</v>
      </c>
      <c r="T2">
        <v>7.3988587727613048E-5</v>
      </c>
    </row>
    <row r="3" spans="1:20" x14ac:dyDescent="0.2">
      <c r="A3" t="s">
        <v>9</v>
      </c>
      <c r="B3" s="25">
        <v>115.54693199999966</v>
      </c>
      <c r="C3" s="4">
        <v>1794.2</v>
      </c>
      <c r="D3">
        <v>16.96</v>
      </c>
      <c r="E3">
        <v>16.670000000000002</v>
      </c>
      <c r="H3">
        <v>3.467100165088552</v>
      </c>
      <c r="I3">
        <v>0.57271732211453552</v>
      </c>
      <c r="J3" s="6">
        <v>-3.3824724101699465E-5</v>
      </c>
      <c r="L3" s="6">
        <v>1.0047408383551661E-4</v>
      </c>
      <c r="N3" t="s">
        <v>9</v>
      </c>
      <c r="O3">
        <v>115.54207200000091</v>
      </c>
      <c r="P3" s="4">
        <v>1761.7</v>
      </c>
      <c r="Q3">
        <v>7.061918694014338E-2</v>
      </c>
      <c r="R3">
        <v>1.1826369678757578</v>
      </c>
      <c r="S3">
        <v>-6.5357568771029912E-5</v>
      </c>
      <c r="T3">
        <v>5.7266864844650745E-5</v>
      </c>
    </row>
    <row r="4" spans="1:20" x14ac:dyDescent="0.2">
      <c r="A4" t="s">
        <v>9</v>
      </c>
      <c r="B4" s="25">
        <v>119.43761599999998</v>
      </c>
      <c r="C4" s="4">
        <v>1373.2</v>
      </c>
      <c r="D4">
        <v>23.240000000000002</v>
      </c>
      <c r="E4">
        <v>7.7799999999999994</v>
      </c>
      <c r="H4">
        <v>2.4777204923292877</v>
      </c>
      <c r="I4">
        <v>0.80920167462666492</v>
      </c>
      <c r="J4" s="6">
        <v>1.2494753506583019E-5</v>
      </c>
      <c r="L4" s="6">
        <v>4.4655290033386907E-5</v>
      </c>
      <c r="N4" t="s">
        <v>9</v>
      </c>
      <c r="O4">
        <v>119.43275500000018</v>
      </c>
      <c r="P4" s="4">
        <v>1405.2</v>
      </c>
      <c r="Q4">
        <v>-1.03492594465239</v>
      </c>
      <c r="R4">
        <v>1.5571883805789664</v>
      </c>
      <c r="S4">
        <v>5.860395734866657E-5</v>
      </c>
      <c r="T4">
        <v>5.6315422820087548E-5</v>
      </c>
    </row>
    <row r="5" spans="1:20" x14ac:dyDescent="0.2">
      <c r="A5" t="s">
        <v>9</v>
      </c>
      <c r="B5" s="25">
        <v>119.5411460000003</v>
      </c>
      <c r="C5" s="4">
        <v>1626.7</v>
      </c>
      <c r="D5">
        <v>23.700000000000003</v>
      </c>
      <c r="E5">
        <v>13.330000000000002</v>
      </c>
      <c r="H5">
        <v>3.4564744720157963</v>
      </c>
      <c r="I5">
        <v>0.52699136055751428</v>
      </c>
      <c r="J5" s="6">
        <v>3.4290882653508055E-5</v>
      </c>
      <c r="L5" s="6">
        <v>3.4018800569232643E-5</v>
      </c>
      <c r="N5" t="s">
        <v>9</v>
      </c>
      <c r="O5">
        <v>119.53628499999976</v>
      </c>
      <c r="P5" s="4">
        <v>1759.2</v>
      </c>
      <c r="Q5">
        <v>-0.89409954484235266</v>
      </c>
      <c r="R5">
        <v>1.2512621181005061</v>
      </c>
      <c r="S5">
        <v>6.7141031724084432E-5</v>
      </c>
      <c r="T5">
        <v>1.2034944926464751E-4</v>
      </c>
    </row>
    <row r="6" spans="1:20" x14ac:dyDescent="0.2">
      <c r="A6" t="s">
        <v>9</v>
      </c>
      <c r="B6" s="25">
        <v>141.52679400000051</v>
      </c>
      <c r="C6" s="4">
        <v>1903.2</v>
      </c>
      <c r="D6">
        <v>22.18</v>
      </c>
      <c r="E6">
        <v>18.89</v>
      </c>
      <c r="H6">
        <v>6.4432504002125786</v>
      </c>
      <c r="I6">
        <v>1.7025328387921541</v>
      </c>
      <c r="J6" s="6">
        <v>-8.9737275874191192E-5</v>
      </c>
      <c r="L6" s="6">
        <v>1.2633130969818136E-4</v>
      </c>
      <c r="N6" t="s">
        <v>9</v>
      </c>
      <c r="O6">
        <v>141.52193200000039</v>
      </c>
      <c r="P6" s="4">
        <v>1899.2</v>
      </c>
      <c r="Q6">
        <v>-11.193472090381066</v>
      </c>
      <c r="R6">
        <v>1.8611231043666145</v>
      </c>
      <c r="S6">
        <v>9.1541641016297629E-5</v>
      </c>
      <c r="T6">
        <v>9.8571875980326323E-5</v>
      </c>
    </row>
    <row r="7" spans="1:20" x14ac:dyDescent="0.2">
      <c r="A7" t="s">
        <v>9</v>
      </c>
      <c r="B7" s="25">
        <v>144.47129600000045</v>
      </c>
      <c r="C7" s="4">
        <v>1845.7</v>
      </c>
      <c r="D7">
        <v>17.04</v>
      </c>
      <c r="E7">
        <v>17.22</v>
      </c>
      <c r="H7">
        <v>8.1142853351682849</v>
      </c>
      <c r="I7">
        <v>3.4491170443699062</v>
      </c>
      <c r="J7" s="6">
        <v>-8.2149743657085594E-5</v>
      </c>
      <c r="L7" s="6">
        <v>4.4940767734401977E-4</v>
      </c>
      <c r="N7" t="s">
        <v>9</v>
      </c>
      <c r="O7">
        <v>144.46643499999919</v>
      </c>
      <c r="P7" s="4">
        <v>1393.7</v>
      </c>
      <c r="Q7">
        <v>-14.701454053565422</v>
      </c>
      <c r="R7">
        <v>3.7484846962178628</v>
      </c>
      <c r="S7">
        <v>6.1212350379984815E-5</v>
      </c>
      <c r="T7">
        <v>4.2527085823872618E-4</v>
      </c>
    </row>
    <row r="8" spans="1:20" x14ac:dyDescent="0.2">
      <c r="A8" t="s">
        <v>9</v>
      </c>
      <c r="B8" s="25">
        <v>144.54282399999937</v>
      </c>
      <c r="C8" s="4">
        <v>1736.7</v>
      </c>
      <c r="D8">
        <v>17.400000000000002</v>
      </c>
      <c r="E8">
        <v>18.329999999999998</v>
      </c>
      <c r="H8">
        <v>8.1454183591217486</v>
      </c>
      <c r="I8">
        <v>3.0660351466688458</v>
      </c>
      <c r="J8" s="6">
        <v>1.1445503954050161E-4</v>
      </c>
      <c r="L8" s="6">
        <v>3.24061292099792E-4</v>
      </c>
      <c r="N8" t="s">
        <v>9</v>
      </c>
      <c r="O8">
        <v>144.53796199999996</v>
      </c>
      <c r="P8" s="4">
        <v>1864.7</v>
      </c>
      <c r="Q8">
        <v>-13.916306477304897</v>
      </c>
      <c r="R8">
        <v>3.2795120970347273</v>
      </c>
      <c r="S8">
        <v>-2.9506034870323359E-4</v>
      </c>
      <c r="T8">
        <v>1.8607048186448417E-4</v>
      </c>
    </row>
    <row r="9" spans="1:20" x14ac:dyDescent="0.2">
      <c r="A9" t="s">
        <v>9</v>
      </c>
      <c r="B9" s="25">
        <v>155.4643520000005</v>
      </c>
      <c r="C9" s="4">
        <v>1359.7</v>
      </c>
      <c r="D9">
        <v>11.24</v>
      </c>
      <c r="E9">
        <v>17.78</v>
      </c>
      <c r="H9">
        <v>6.7578653093858119</v>
      </c>
      <c r="I9">
        <v>1.1592881354935471</v>
      </c>
      <c r="J9" s="6">
        <v>-1.3725840647112883E-6</v>
      </c>
      <c r="L9" s="6">
        <v>2.3722088888809734E-7</v>
      </c>
      <c r="N9" t="s">
        <v>9</v>
      </c>
      <c r="O9">
        <v>155.45949000000036</v>
      </c>
      <c r="P9" s="4">
        <v>1380.6999999999998</v>
      </c>
      <c r="Q9">
        <v>-13.458042213567158</v>
      </c>
      <c r="R9">
        <v>3.8763494055294552</v>
      </c>
      <c r="S9">
        <v>2.886770445710918E-6</v>
      </c>
      <c r="T9">
        <v>8.2923234772376071E-7</v>
      </c>
    </row>
    <row r="10" spans="1:20" x14ac:dyDescent="0.2">
      <c r="A10" t="s">
        <v>9</v>
      </c>
      <c r="B10" s="25">
        <v>155.54493100000036</v>
      </c>
      <c r="C10" s="4">
        <v>1910.2</v>
      </c>
      <c r="D10">
        <v>8.64</v>
      </c>
      <c r="E10">
        <v>19.440000000000001</v>
      </c>
      <c r="H10">
        <v>7.9960950503362245</v>
      </c>
      <c r="I10">
        <v>1.4252142821514229</v>
      </c>
      <c r="J10" s="6">
        <v>-1.439861446607652E-6</v>
      </c>
      <c r="L10" s="6">
        <v>2.4062070705608413E-7</v>
      </c>
      <c r="N10" t="s">
        <v>9</v>
      </c>
      <c r="O10">
        <v>155.54020799999998</v>
      </c>
      <c r="P10" s="4">
        <v>1758.7</v>
      </c>
      <c r="Q10">
        <v>-12.373088393052161</v>
      </c>
      <c r="R10">
        <v>1.7466585461366639</v>
      </c>
      <c r="S10">
        <v>2.3807821768493842E-6</v>
      </c>
      <c r="T10">
        <v>3.0559047125205582E-7</v>
      </c>
    </row>
    <row r="11" spans="1:20" x14ac:dyDescent="0.2">
      <c r="A11" t="s">
        <v>9</v>
      </c>
      <c r="B11" s="25">
        <v>175.51365799999911</v>
      </c>
      <c r="C11" s="4">
        <v>1390.7</v>
      </c>
      <c r="D11">
        <v>7.6200000000000019</v>
      </c>
      <c r="E11">
        <v>25</v>
      </c>
      <c r="H11">
        <v>7.4562541120106136</v>
      </c>
      <c r="I11">
        <v>1.9344824077930989</v>
      </c>
      <c r="J11" s="6">
        <v>-9.2934561688741601E-7</v>
      </c>
      <c r="L11" s="6" t="e">
        <v>#DIV/0!</v>
      </c>
      <c r="N11" t="s">
        <v>9</v>
      </c>
      <c r="O11">
        <v>175.50879600000044</v>
      </c>
      <c r="P11" s="4">
        <v>1850.7</v>
      </c>
      <c r="Q11">
        <v>-10.618798168960661</v>
      </c>
      <c r="R11">
        <v>1.6210347146880602</v>
      </c>
      <c r="S11">
        <v>2.2400889118901089E-3</v>
      </c>
      <c r="T11">
        <v>3.1672360324819892E-3</v>
      </c>
    </row>
    <row r="12" spans="1:20" x14ac:dyDescent="0.2">
      <c r="A12" s="18" t="s">
        <v>9</v>
      </c>
      <c r="B12" s="26">
        <v>175.6351850000004</v>
      </c>
      <c r="C12" s="21">
        <v>1049.5333333333335</v>
      </c>
      <c r="D12" s="18">
        <v>7.0999999999999988</v>
      </c>
      <c r="E12">
        <v>30</v>
      </c>
      <c r="F12" s="18"/>
      <c r="G12" s="21"/>
      <c r="H12">
        <v>8.1445894843883</v>
      </c>
      <c r="I12">
        <v>0.55155054165607376</v>
      </c>
      <c r="J12" s="6">
        <v>1.3155437666666667E-2</v>
      </c>
      <c r="L12" s="6">
        <v>1.1432096108061736E-2</v>
      </c>
      <c r="N12" s="18" t="s">
        <v>9</v>
      </c>
      <c r="O12">
        <v>175.63032500000068</v>
      </c>
      <c r="P12" s="4">
        <v>990.36666666666679</v>
      </c>
      <c r="Q12">
        <v>-8.6637820657546758</v>
      </c>
      <c r="R12">
        <v>2.0720461196564348</v>
      </c>
      <c r="S12">
        <v>2.1063488000000002E-2</v>
      </c>
      <c r="T12">
        <v>1.561083650245418E-2</v>
      </c>
    </row>
    <row r="13" spans="1:20" x14ac:dyDescent="0.2">
      <c r="A13" t="s">
        <v>9</v>
      </c>
      <c r="B13" s="25">
        <v>192.35115799999986</v>
      </c>
      <c r="C13" s="4">
        <v>752.7</v>
      </c>
      <c r="D13">
        <v>5.7399999999999993</v>
      </c>
      <c r="E13">
        <v>28.889999999999997</v>
      </c>
      <c r="H13">
        <v>5.7758611097323049</v>
      </c>
      <c r="I13">
        <v>4.1377382534688758</v>
      </c>
      <c r="J13" s="6">
        <v>2.8994464041804001E-3</v>
      </c>
      <c r="L13" s="6">
        <v>6.6305403500978057E-3</v>
      </c>
      <c r="N13" t="s">
        <v>9</v>
      </c>
      <c r="O13">
        <v>192.34629600000045</v>
      </c>
      <c r="P13" s="4">
        <v>721.2</v>
      </c>
      <c r="Q13">
        <v>-1.8718905877997063</v>
      </c>
      <c r="R13">
        <v>1.6186537890809429</v>
      </c>
      <c r="S13">
        <v>2.5373696821003218E-5</v>
      </c>
      <c r="T13">
        <v>3.6535295802402595E-3</v>
      </c>
    </row>
    <row r="14" spans="1:20" x14ac:dyDescent="0.2">
      <c r="A14" t="s">
        <v>9</v>
      </c>
      <c r="B14" s="25">
        <v>192.6178240000001</v>
      </c>
      <c r="C14" s="4">
        <v>931.7</v>
      </c>
      <c r="D14">
        <v>4.0199999999999996</v>
      </c>
      <c r="E14">
        <v>28.889999999999997</v>
      </c>
      <c r="H14">
        <v>1.8740682580671226</v>
      </c>
      <c r="I14">
        <v>2.1756810691162607</v>
      </c>
      <c r="J14" s="6">
        <v>-4.8328117682152511E-5</v>
      </c>
      <c r="L14" s="6">
        <v>2.2191852478914531E-4</v>
      </c>
      <c r="N14" t="s">
        <v>9</v>
      </c>
      <c r="O14">
        <v>192.61331100000024</v>
      </c>
      <c r="P14" s="4">
        <v>882.2</v>
      </c>
      <c r="Q14">
        <v>-3.3621080303802997</v>
      </c>
      <c r="R14">
        <v>1.5469586263757766</v>
      </c>
      <c r="S14">
        <v>-5.0376537079996971E-4</v>
      </c>
      <c r="T14">
        <v>1.592792105604307E-3</v>
      </c>
    </row>
    <row r="15" spans="1:20" x14ac:dyDescent="0.2">
      <c r="A15" t="s">
        <v>9</v>
      </c>
      <c r="B15" s="25">
        <v>214.64496500000024</v>
      </c>
      <c r="C15" s="4">
        <v>1514.7</v>
      </c>
      <c r="D15">
        <v>8.5</v>
      </c>
      <c r="E15">
        <v>30</v>
      </c>
      <c r="F15">
        <v>40</v>
      </c>
      <c r="G15" s="4">
        <v>0.57999999999999996</v>
      </c>
      <c r="H15">
        <v>9.3872956681341719</v>
      </c>
      <c r="I15">
        <v>1.5917516941918466</v>
      </c>
      <c r="J15" s="6">
        <v>-1.6320222556860135E-4</v>
      </c>
      <c r="L15" s="6">
        <v>2.2283707519164399E-4</v>
      </c>
      <c r="N15" t="s">
        <v>9</v>
      </c>
      <c r="O15">
        <v>214.63887600000015</v>
      </c>
      <c r="P15" s="4">
        <v>1547.7</v>
      </c>
      <c r="Q15">
        <v>-3.5531220114476945</v>
      </c>
      <c r="R15">
        <v>3.3736097928137458</v>
      </c>
      <c r="S15">
        <v>1.0563066879189127E-4</v>
      </c>
      <c r="T15">
        <v>3.8943809762044919E-4</v>
      </c>
    </row>
    <row r="16" spans="1:20" x14ac:dyDescent="0.2">
      <c r="A16" t="s">
        <v>9</v>
      </c>
      <c r="B16" s="25">
        <v>221.52003500000137</v>
      </c>
      <c r="C16" s="4">
        <v>921.7</v>
      </c>
      <c r="D16">
        <v>13.180000000000001</v>
      </c>
      <c r="E16">
        <v>25.56</v>
      </c>
      <c r="F16">
        <v>42.1</v>
      </c>
      <c r="G16" s="4">
        <v>0.74</v>
      </c>
      <c r="H16">
        <v>0.60159296796374073</v>
      </c>
      <c r="I16">
        <v>0.67846528471122769</v>
      </c>
      <c r="J16" s="6">
        <v>5.013415409704493E-5</v>
      </c>
      <c r="L16" s="6">
        <v>2.3829621276039633E-4</v>
      </c>
      <c r="N16" t="s">
        <v>9</v>
      </c>
      <c r="O16">
        <v>221.51341400000018</v>
      </c>
      <c r="P16" s="4">
        <v>1405.2</v>
      </c>
      <c r="Q16">
        <v>-1.7187328099294656</v>
      </c>
      <c r="R16">
        <v>0.96308513666899465</v>
      </c>
      <c r="S16">
        <v>-1.702672955509916E-4</v>
      </c>
      <c r="T16">
        <v>2.0343846105163232E-4</v>
      </c>
    </row>
    <row r="17" spans="1:20" x14ac:dyDescent="0.2">
      <c r="A17" t="s">
        <v>9</v>
      </c>
      <c r="B17" s="25">
        <v>221.63415600000008</v>
      </c>
      <c r="C17" s="4">
        <v>1623.2</v>
      </c>
      <c r="D17">
        <v>13.98</v>
      </c>
      <c r="E17">
        <v>27.78</v>
      </c>
      <c r="F17">
        <v>41.98</v>
      </c>
      <c r="G17" s="4">
        <v>0.71</v>
      </c>
      <c r="H17">
        <v>2.1844332627588474</v>
      </c>
      <c r="I17">
        <v>3.5729433049250732</v>
      </c>
      <c r="J17" s="6">
        <v>-1.453922863616308E-5</v>
      </c>
      <c r="L17" s="6">
        <v>2.2513621763386215E-4</v>
      </c>
      <c r="N17" t="s">
        <v>9</v>
      </c>
      <c r="O17">
        <v>221.62879599999869</v>
      </c>
      <c r="P17" s="4">
        <v>1489.2</v>
      </c>
      <c r="Q17">
        <v>-1.8678276401932059</v>
      </c>
      <c r="R17">
        <v>2.3678509340531049</v>
      </c>
      <c r="S17">
        <v>9.4523500474889371E-5</v>
      </c>
      <c r="T17">
        <v>2.172933886308183E-4</v>
      </c>
    </row>
    <row r="18" spans="1:20" x14ac:dyDescent="0.2">
      <c r="A18" t="s">
        <v>9</v>
      </c>
      <c r="B18" s="25">
        <v>226.5451740000004</v>
      </c>
      <c r="C18" s="4">
        <v>1350.7</v>
      </c>
      <c r="D18">
        <v>5.0600000000000005</v>
      </c>
      <c r="E18">
        <v>23.107999999999997</v>
      </c>
      <c r="F18">
        <v>39.200000000000003</v>
      </c>
      <c r="G18" s="4">
        <v>0.70600000000000007</v>
      </c>
      <c r="H18">
        <v>11.628930542677031</v>
      </c>
      <c r="I18">
        <v>2.6152330479896695</v>
      </c>
      <c r="J18" s="6">
        <v>-4.82902447190275E-4</v>
      </c>
      <c r="L18" s="6">
        <v>1.5054663107035227E-4</v>
      </c>
      <c r="N18" t="s">
        <v>9</v>
      </c>
      <c r="O18">
        <v>226.53963000000005</v>
      </c>
      <c r="P18" s="4">
        <v>1161.7</v>
      </c>
      <c r="Q18">
        <v>-8.6107347165270323</v>
      </c>
      <c r="R18">
        <v>5.8914513482815369</v>
      </c>
      <c r="S18">
        <v>-4.2407039600070816E-4</v>
      </c>
      <c r="T18">
        <v>1.3135625624244795E-4</v>
      </c>
    </row>
    <row r="19" spans="1:20" x14ac:dyDescent="0.2">
      <c r="A19" t="s">
        <v>9</v>
      </c>
      <c r="B19" s="25">
        <v>226.63182800000067</v>
      </c>
      <c r="C19" s="4">
        <v>1552.7</v>
      </c>
      <c r="D19">
        <v>4.78</v>
      </c>
      <c r="E19">
        <v>27.222000000000001</v>
      </c>
      <c r="F19">
        <v>37.44</v>
      </c>
      <c r="G19" s="4">
        <v>0.67000000000000015</v>
      </c>
      <c r="H19">
        <v>9.9674713975591072</v>
      </c>
      <c r="I19">
        <v>6.4943447328121549</v>
      </c>
      <c r="J19" s="6">
        <v>-3.1185120526100799E-4</v>
      </c>
      <c r="L19" s="6">
        <v>1.5359533176039733E-4</v>
      </c>
      <c r="N19" t="s">
        <v>9</v>
      </c>
      <c r="O19">
        <v>226.62516099999993</v>
      </c>
      <c r="P19" s="4">
        <v>1606.7</v>
      </c>
      <c r="Q19">
        <v>-3.4659218337445616</v>
      </c>
      <c r="R19">
        <v>4.4768828349320771</v>
      </c>
      <c r="S19">
        <v>-2.8658553862304336E-4</v>
      </c>
      <c r="T19">
        <v>2.085563952588275E-4</v>
      </c>
    </row>
    <row r="20" spans="1:20" x14ac:dyDescent="0.2">
      <c r="A20" t="s">
        <v>9</v>
      </c>
      <c r="B20" s="25">
        <v>234.51753500000049</v>
      </c>
      <c r="C20" s="4">
        <v>1699.7</v>
      </c>
      <c r="D20">
        <v>19.260000000000002</v>
      </c>
      <c r="E20">
        <v>28.329999999999995</v>
      </c>
      <c r="F20">
        <v>39.72</v>
      </c>
      <c r="G20" s="4">
        <v>0.79200000000000004</v>
      </c>
      <c r="H20">
        <v>21.441492198383521</v>
      </c>
      <c r="I20">
        <v>3.5294646490594199</v>
      </c>
      <c r="J20" s="6">
        <v>-1.6605147944006053E-4</v>
      </c>
      <c r="L20" s="6">
        <v>1.2600015438289931E-4</v>
      </c>
      <c r="N20" t="s">
        <v>9</v>
      </c>
      <c r="O20">
        <v>234.5115509999996</v>
      </c>
      <c r="P20" s="4">
        <v>1498.7</v>
      </c>
      <c r="Q20">
        <v>-8.116927266630011</v>
      </c>
      <c r="R20">
        <v>3.9223801975577359</v>
      </c>
      <c r="S20">
        <v>-7.3114221608332615E-5</v>
      </c>
      <c r="T20">
        <v>9.7099899484901438E-5</v>
      </c>
    </row>
    <row r="21" spans="1:20" x14ac:dyDescent="0.2">
      <c r="A21" t="s">
        <v>9</v>
      </c>
      <c r="B21" s="25">
        <v>234.61076300000059</v>
      </c>
      <c r="C21" s="4">
        <v>363.20000000000005</v>
      </c>
      <c r="D21">
        <v>17.52</v>
      </c>
      <c r="E21">
        <v>27.446000000000005</v>
      </c>
      <c r="F21">
        <v>40.119999999999997</v>
      </c>
      <c r="G21" s="4">
        <v>0.80999999999999994</v>
      </c>
      <c r="H21">
        <v>18.834465293704163</v>
      </c>
      <c r="I21">
        <v>2.4683821441201559</v>
      </c>
      <c r="J21" s="6">
        <v>-1.655074286044631E-4</v>
      </c>
      <c r="L21" s="6">
        <v>8.8820643789669015E-5</v>
      </c>
      <c r="N21" t="s">
        <v>9</v>
      </c>
      <c r="O21">
        <v>234.60521999999909</v>
      </c>
      <c r="P21" s="4">
        <v>453.2</v>
      </c>
      <c r="Q21">
        <v>2.6738922372147145</v>
      </c>
      <c r="R21">
        <v>7.9263293081733179</v>
      </c>
      <c r="S21">
        <v>-1.3126168675747814E-4</v>
      </c>
      <c r="T21">
        <v>6.5588219972673211E-5</v>
      </c>
    </row>
    <row r="22" spans="1:20" x14ac:dyDescent="0.2">
      <c r="A22" t="s">
        <v>9</v>
      </c>
      <c r="B22" s="25">
        <v>238.49260399999986</v>
      </c>
      <c r="C22" s="4">
        <v>1677.7</v>
      </c>
      <c r="D22">
        <v>13.74</v>
      </c>
      <c r="E22">
        <v>21.222000000000001</v>
      </c>
      <c r="F22">
        <v>37.739999999999995</v>
      </c>
      <c r="G22" s="4">
        <v>0.79800000000000004</v>
      </c>
      <c r="H22">
        <v>11.9893198680937</v>
      </c>
      <c r="I22">
        <v>0.64723928960141286</v>
      </c>
      <c r="J22" s="6">
        <v>-1.7797547821377679E-4</v>
      </c>
      <c r="L22" s="6">
        <v>5.834975571624229E-5</v>
      </c>
      <c r="N22" t="s">
        <v>9</v>
      </c>
      <c r="O22">
        <v>238.48541600000027</v>
      </c>
      <c r="P22" s="4">
        <v>1657.7</v>
      </c>
      <c r="Q22">
        <v>-8.4403276203708604</v>
      </c>
      <c r="R22">
        <v>11.738419070612759</v>
      </c>
      <c r="S22">
        <v>-1.6516535885276916E-4</v>
      </c>
      <c r="T22">
        <v>5.3531813158067885E-5</v>
      </c>
    </row>
    <row r="23" spans="1:20" x14ac:dyDescent="0.2">
      <c r="A23" t="s">
        <v>9</v>
      </c>
      <c r="B23" s="25">
        <v>238.58982600000019</v>
      </c>
      <c r="C23" s="4">
        <v>1665.2</v>
      </c>
      <c r="D23">
        <v>13.1</v>
      </c>
      <c r="E23">
        <v>23.777999999999999</v>
      </c>
      <c r="F23">
        <v>40.520000000000003</v>
      </c>
      <c r="G23" s="4">
        <v>0.79399999999999993</v>
      </c>
      <c r="H23">
        <v>13.124320399141819</v>
      </c>
      <c r="I23">
        <v>1.7363271339064847</v>
      </c>
      <c r="J23" s="6">
        <v>-2.1460330953063873E-4</v>
      </c>
      <c r="L23" s="6">
        <v>9.0199805885640848E-5</v>
      </c>
      <c r="N23" t="s">
        <v>9</v>
      </c>
      <c r="O23">
        <v>238.58346100000054</v>
      </c>
      <c r="P23" s="4">
        <v>1683.7</v>
      </c>
      <c r="Q23">
        <v>-8.4645658042666891</v>
      </c>
      <c r="R23">
        <v>2.2493534293132296</v>
      </c>
      <c r="S23">
        <v>-2.0241724033390773E-4</v>
      </c>
      <c r="T23">
        <v>9.5278718636040275E-5</v>
      </c>
    </row>
    <row r="24" spans="1:20" x14ac:dyDescent="0.2">
      <c r="A24" t="s">
        <v>9</v>
      </c>
      <c r="B24" s="25">
        <v>246.45655800000094</v>
      </c>
      <c r="C24" s="4">
        <v>1475.2</v>
      </c>
      <c r="D24">
        <v>10.66</v>
      </c>
      <c r="E24">
        <v>22.22</v>
      </c>
      <c r="F24">
        <v>46.72</v>
      </c>
      <c r="G24" s="4">
        <v>0.82799999999999996</v>
      </c>
      <c r="H24">
        <v>11.219151529730651</v>
      </c>
      <c r="I24">
        <v>2.5586247980846286</v>
      </c>
      <c r="J24" s="6">
        <v>-1.8291739419578056E-4</v>
      </c>
      <c r="L24" s="6">
        <v>9.8281758480328854E-5</v>
      </c>
      <c r="N24" t="s">
        <v>9</v>
      </c>
      <c r="O24">
        <v>246.45002199999945</v>
      </c>
      <c r="P24" s="4">
        <v>1430.2</v>
      </c>
      <c r="Q24">
        <v>-10.741094896013045</v>
      </c>
      <c r="R24">
        <v>4.4111982391267821</v>
      </c>
      <c r="S24">
        <v>-1.8118574580919944E-4</v>
      </c>
      <c r="T24">
        <v>1.1165317830818397E-4</v>
      </c>
    </row>
    <row r="25" spans="1:20" x14ac:dyDescent="0.2">
      <c r="A25" t="s">
        <v>9</v>
      </c>
      <c r="B25" s="25">
        <v>246.53916600000011</v>
      </c>
      <c r="C25" s="4">
        <v>1161.7</v>
      </c>
      <c r="D25">
        <v>9.5</v>
      </c>
      <c r="E25">
        <v>22.887999999999998</v>
      </c>
      <c r="F25">
        <v>44.86</v>
      </c>
      <c r="G25" s="4">
        <v>0.84000000000000008</v>
      </c>
      <c r="H25">
        <v>14.840793573654178</v>
      </c>
      <c r="I25">
        <v>2.3147246703860875</v>
      </c>
      <c r="J25" s="6">
        <v>-3.037151972560228E-4</v>
      </c>
      <c r="L25" s="6">
        <v>9.7719562061413529E-5</v>
      </c>
      <c r="N25" t="s">
        <v>9</v>
      </c>
      <c r="O25">
        <v>246.53312499999956</v>
      </c>
      <c r="P25" s="4">
        <v>1200.2</v>
      </c>
      <c r="Q25">
        <v>-8.0762317133997978</v>
      </c>
      <c r="R25">
        <v>4.3766972894488969</v>
      </c>
      <c r="S25">
        <v>-1.9828326570241534E-4</v>
      </c>
      <c r="T25">
        <v>1.2180910859276465E-4</v>
      </c>
    </row>
    <row r="26" spans="1:20" x14ac:dyDescent="0.2">
      <c r="A26" t="s">
        <v>9</v>
      </c>
      <c r="B26" s="25">
        <v>255.43494100000098</v>
      </c>
      <c r="C26" s="4">
        <v>487.7</v>
      </c>
      <c r="D26">
        <v>13.959999999999999</v>
      </c>
      <c r="E26">
        <v>18.89</v>
      </c>
      <c r="F26">
        <v>49.74</v>
      </c>
      <c r="G26" s="4">
        <v>0.85199999999999998</v>
      </c>
      <c r="H26">
        <v>10.341932542722573</v>
      </c>
      <c r="I26">
        <v>1.3017126479954757</v>
      </c>
      <c r="J26" s="6">
        <v>-2.7343306565838699E-4</v>
      </c>
      <c r="L26" s="6">
        <v>5.6385442966372882E-5</v>
      </c>
      <c r="N26" t="s">
        <v>9</v>
      </c>
      <c r="O26">
        <v>255.42896000000036</v>
      </c>
      <c r="P26" s="4">
        <v>487.7</v>
      </c>
      <c r="Q26">
        <v>-7.2481996652663723</v>
      </c>
      <c r="R26">
        <v>4.1179161927185204</v>
      </c>
      <c r="S26">
        <v>-1.9537519846334078E-4</v>
      </c>
      <c r="T26">
        <v>1.3420250367749567E-4</v>
      </c>
    </row>
    <row r="27" spans="1:20" x14ac:dyDescent="0.2">
      <c r="A27" t="s">
        <v>9</v>
      </c>
      <c r="B27" s="25">
        <v>255.52640099999991</v>
      </c>
      <c r="C27" s="4">
        <v>203.2</v>
      </c>
      <c r="D27">
        <v>12.959999999999999</v>
      </c>
      <c r="E27">
        <v>15.443999999999999</v>
      </c>
      <c r="F27">
        <v>51</v>
      </c>
      <c r="G27" s="4">
        <v>0.85199999999999998</v>
      </c>
      <c r="H27">
        <v>9.3309566795339141</v>
      </c>
      <c r="I27">
        <v>0.98512555757996567</v>
      </c>
      <c r="J27" s="6">
        <v>-3.1536816728216919E-4</v>
      </c>
      <c r="L27" s="6">
        <v>7.1471572785779535E-5</v>
      </c>
      <c r="N27" t="s">
        <v>9</v>
      </c>
      <c r="O27">
        <v>255.52020899999988</v>
      </c>
      <c r="P27" s="4">
        <v>181.2</v>
      </c>
      <c r="Q27">
        <v>1.2583608905740349</v>
      </c>
      <c r="R27">
        <v>0.874484272710633</v>
      </c>
      <c r="S27">
        <v>-2.8478025055186522E-4</v>
      </c>
      <c r="T27">
        <v>4.4458381926764371E-5</v>
      </c>
    </row>
    <row r="28" spans="1:20" x14ac:dyDescent="0.2">
      <c r="A28" t="s">
        <v>9</v>
      </c>
      <c r="B28" s="25">
        <v>263.47707199999934</v>
      </c>
      <c r="C28" s="4">
        <v>1290.7</v>
      </c>
      <c r="D28">
        <v>4.5599999999999996</v>
      </c>
      <c r="E28">
        <v>16.446000000000002</v>
      </c>
      <c r="F28">
        <v>49.019999999999996</v>
      </c>
      <c r="G28" s="4">
        <v>0.78200000000000003</v>
      </c>
      <c r="H28">
        <v>8.8192992229738287</v>
      </c>
      <c r="I28">
        <v>1.3405431580636598</v>
      </c>
      <c r="J28" s="6">
        <v>-4.4200943963147141E-4</v>
      </c>
      <c r="L28" s="6">
        <v>7.3521992226241196E-5</v>
      </c>
      <c r="N28" t="s">
        <v>9</v>
      </c>
      <c r="O28">
        <v>263.47004699999962</v>
      </c>
      <c r="P28" s="4">
        <v>1367.2</v>
      </c>
      <c r="Q28">
        <v>-4.3504473053461048</v>
      </c>
      <c r="R28">
        <v>4.4716279425848837</v>
      </c>
      <c r="S28">
        <v>-4.0103218600615021E-4</v>
      </c>
      <c r="T28">
        <v>7.8292847320327253E-5</v>
      </c>
    </row>
    <row r="29" spans="1:20" x14ac:dyDescent="0.2">
      <c r="A29" t="s">
        <v>9</v>
      </c>
      <c r="B29" s="25">
        <v>277.59444599999989</v>
      </c>
      <c r="C29" s="4">
        <v>475.7</v>
      </c>
      <c r="D29">
        <v>13.420000000000002</v>
      </c>
      <c r="E29">
        <v>11.891999999999999</v>
      </c>
      <c r="F29">
        <v>46.5</v>
      </c>
      <c r="G29" s="4">
        <v>0.77600000000000002</v>
      </c>
      <c r="H29">
        <v>4.8636707307292077</v>
      </c>
      <c r="I29">
        <v>0.75728077558402829</v>
      </c>
      <c r="J29" s="6">
        <v>-2.8168016266901159E-4</v>
      </c>
      <c r="L29" s="6">
        <v>7.3765237197981521E-5</v>
      </c>
      <c r="N29" t="s">
        <v>9</v>
      </c>
      <c r="O29">
        <v>277.58770699999951</v>
      </c>
      <c r="P29" s="4">
        <v>573.70000000000005</v>
      </c>
      <c r="Q29">
        <v>-3.1226388379830659</v>
      </c>
      <c r="R29">
        <v>0.90208687187918146</v>
      </c>
      <c r="S29">
        <v>-3.4519916602333562E-4</v>
      </c>
      <c r="T29">
        <v>1.0953086978644129E-4</v>
      </c>
    </row>
    <row r="30" spans="1:20" x14ac:dyDescent="0.2">
      <c r="A30" t="s">
        <v>9</v>
      </c>
      <c r="B30" s="25">
        <v>277.67448000000076</v>
      </c>
      <c r="C30" s="4">
        <v>356.20000000000005</v>
      </c>
      <c r="D30">
        <v>11.959999999999999</v>
      </c>
      <c r="E30">
        <v>13.001999999999999</v>
      </c>
      <c r="F30">
        <v>55.3</v>
      </c>
      <c r="G30" s="4">
        <v>0.76800000000000002</v>
      </c>
      <c r="H30">
        <v>5.6302927734341779</v>
      </c>
      <c r="I30">
        <v>0.95592208798858858</v>
      </c>
      <c r="J30" s="6">
        <v>-2.8402435836031919E-4</v>
      </c>
      <c r="L30" s="6">
        <v>5.7364062800234436E-5</v>
      </c>
      <c r="N30" t="s">
        <v>9</v>
      </c>
      <c r="O30">
        <v>277.66840100000047</v>
      </c>
      <c r="P30" s="4">
        <v>465.19999999999993</v>
      </c>
      <c r="Q30">
        <v>-3.4711828906749056</v>
      </c>
      <c r="R30">
        <v>4.1734538935702448</v>
      </c>
      <c r="S30">
        <v>-2.8360036162071044E-4</v>
      </c>
      <c r="T30">
        <v>8.2840552960972339E-5</v>
      </c>
    </row>
    <row r="31" spans="1:20" x14ac:dyDescent="0.2">
      <c r="A31" t="s">
        <v>9</v>
      </c>
      <c r="B31" s="25">
        <v>283.47787000000028</v>
      </c>
      <c r="C31" s="4">
        <v>1262.7</v>
      </c>
      <c r="D31">
        <v>15.62</v>
      </c>
      <c r="E31">
        <v>15.778</v>
      </c>
      <c r="F31">
        <v>46.059999999999988</v>
      </c>
      <c r="G31" s="4">
        <v>0.76</v>
      </c>
      <c r="H31">
        <v>7.0472194808858344</v>
      </c>
      <c r="I31">
        <v>1.0898615781749352</v>
      </c>
      <c r="J31" s="6">
        <v>-1.8303110136657676E-4</v>
      </c>
      <c r="L31" s="6">
        <v>8.9170562670005859E-5</v>
      </c>
      <c r="N31" t="s">
        <v>9</v>
      </c>
      <c r="O31">
        <v>283.47187499999927</v>
      </c>
      <c r="P31" s="4">
        <v>1243.7</v>
      </c>
      <c r="Q31">
        <v>-5.7789287404171814</v>
      </c>
      <c r="R31">
        <v>2.4318186141273501</v>
      </c>
      <c r="S31">
        <v>-1.5977799963054837E-4</v>
      </c>
      <c r="T31">
        <v>1.2168122324286124E-4</v>
      </c>
    </row>
    <row r="32" spans="1:20" x14ac:dyDescent="0.2">
      <c r="A32" t="s">
        <v>9</v>
      </c>
      <c r="B32" s="25">
        <v>283.5801630000002</v>
      </c>
      <c r="C32" s="4">
        <v>1299.2</v>
      </c>
      <c r="D32">
        <v>14.940000000000001</v>
      </c>
      <c r="E32">
        <v>19.776</v>
      </c>
      <c r="F32">
        <v>43.36</v>
      </c>
      <c r="G32" s="4">
        <v>0.77200000000000002</v>
      </c>
      <c r="H32">
        <v>7.9617907173561848</v>
      </c>
      <c r="I32">
        <v>1.327849922467059</v>
      </c>
      <c r="J32" s="6">
        <v>-9.2876046251248555E-5</v>
      </c>
      <c r="L32" s="6">
        <v>6.4109345237949481E-5</v>
      </c>
      <c r="N32" t="s">
        <v>9</v>
      </c>
      <c r="O32">
        <v>283.57423500000004</v>
      </c>
      <c r="P32" s="4">
        <v>1314.2</v>
      </c>
      <c r="Q32">
        <v>-3.7755114711565922</v>
      </c>
      <c r="R32">
        <v>1.9596786426027275</v>
      </c>
      <c r="S32">
        <v>-8.3164137270099156E-5</v>
      </c>
      <c r="T32">
        <v>7.7554352651099521E-5</v>
      </c>
    </row>
    <row r="33" spans="1:20" x14ac:dyDescent="0.2">
      <c r="A33" t="s">
        <v>9</v>
      </c>
      <c r="B33" s="25">
        <v>295.4553469999999</v>
      </c>
      <c r="C33" s="4">
        <v>516.20000000000005</v>
      </c>
      <c r="D33">
        <v>15.425000000000001</v>
      </c>
      <c r="E33">
        <v>11.556000000000001</v>
      </c>
      <c r="F33">
        <v>45.300000000000004</v>
      </c>
      <c r="G33" s="4">
        <v>0.77750000000000008</v>
      </c>
      <c r="H33">
        <v>4.7905634941205824</v>
      </c>
      <c r="I33">
        <v>0.45187995204894676</v>
      </c>
      <c r="J33" s="6">
        <v>-2.1035798177827382E-4</v>
      </c>
      <c r="L33" s="6">
        <v>6.4519067616107398E-5</v>
      </c>
      <c r="N33" t="s">
        <v>9</v>
      </c>
      <c r="O33">
        <v>295.45138999999983</v>
      </c>
      <c r="P33" s="4">
        <v>607.20000000000005</v>
      </c>
      <c r="Q33">
        <v>-5.7342561010127593</v>
      </c>
      <c r="R33">
        <v>3.931733538526065</v>
      </c>
      <c r="S33">
        <v>-1.6740281600656484E-4</v>
      </c>
      <c r="T33">
        <v>7.8712361668189037E-5</v>
      </c>
    </row>
    <row r="34" spans="1:20" x14ac:dyDescent="0.2">
      <c r="A34" t="s">
        <v>9</v>
      </c>
      <c r="B34" s="25">
        <v>301.4521869999997</v>
      </c>
      <c r="C34" s="4">
        <v>537.70000000000005</v>
      </c>
      <c r="D34">
        <v>20.74</v>
      </c>
      <c r="E34">
        <v>13.778</v>
      </c>
      <c r="F34">
        <v>48.839999999999996</v>
      </c>
      <c r="G34" s="4">
        <v>0.79</v>
      </c>
      <c r="H34">
        <v>5.1234171141556581</v>
      </c>
      <c r="I34">
        <v>0.43037036829176029</v>
      </c>
      <c r="J34" s="6">
        <v>-1.7398073389173442E-4</v>
      </c>
      <c r="L34" s="6">
        <v>4.064091806740355E-5</v>
      </c>
      <c r="N34" t="s">
        <v>9</v>
      </c>
      <c r="O34">
        <v>301.44583299999942</v>
      </c>
      <c r="P34" s="4">
        <v>472.2</v>
      </c>
      <c r="Q34">
        <v>-5.1091583346886056</v>
      </c>
      <c r="R34">
        <v>3.4784446052580695</v>
      </c>
      <c r="S34">
        <v>-1.3198902303989638E-4</v>
      </c>
      <c r="T34">
        <v>3.2026297881415607E-5</v>
      </c>
    </row>
    <row r="35" spans="1:20" x14ac:dyDescent="0.2">
      <c r="A35" t="s">
        <v>9</v>
      </c>
      <c r="B35" s="25">
        <v>301.56579800000037</v>
      </c>
      <c r="C35" s="4">
        <v>506.7</v>
      </c>
      <c r="D35">
        <v>19.799999999999997</v>
      </c>
      <c r="E35">
        <v>15.669999999999998</v>
      </c>
      <c r="F35">
        <v>49.46</v>
      </c>
      <c r="G35" s="4">
        <v>0.78</v>
      </c>
      <c r="H35">
        <v>5.8310312648331353</v>
      </c>
      <c r="I35">
        <v>0.71947422732116162</v>
      </c>
      <c r="J35" s="6">
        <v>-1.2316592406270312E-4</v>
      </c>
      <c r="L35" s="6">
        <v>7.8648058857793446E-5</v>
      </c>
      <c r="N35" t="s">
        <v>9</v>
      </c>
      <c r="O35">
        <v>301.5594440000001</v>
      </c>
      <c r="P35" s="4">
        <v>511.2</v>
      </c>
      <c r="Q35">
        <v>-6.3982826647394502</v>
      </c>
      <c r="R35">
        <v>2.4533097780140625</v>
      </c>
      <c r="S35">
        <v>-1.1690124772013581E-4</v>
      </c>
      <c r="T35">
        <v>3.3174755686244555E-5</v>
      </c>
    </row>
    <row r="36" spans="1:20" x14ac:dyDescent="0.2">
      <c r="A36" t="s">
        <v>9</v>
      </c>
      <c r="B36" s="25">
        <v>308.44090199999994</v>
      </c>
      <c r="C36" s="4">
        <v>957.7</v>
      </c>
      <c r="D36">
        <v>16.14</v>
      </c>
      <c r="E36">
        <v>10</v>
      </c>
      <c r="F36">
        <v>48.08</v>
      </c>
      <c r="G36" s="4">
        <v>0.72200000000000009</v>
      </c>
      <c r="H36">
        <v>3.1536211882997938</v>
      </c>
      <c r="I36">
        <v>0.66002102692900122</v>
      </c>
      <c r="J36" s="6">
        <v>-1.3692691002842265E-4</v>
      </c>
      <c r="L36" s="6">
        <v>5.9022480789341646E-5</v>
      </c>
      <c r="N36" t="s">
        <v>9</v>
      </c>
      <c r="O36">
        <v>308.43423600000023</v>
      </c>
      <c r="P36" s="4">
        <v>863.2</v>
      </c>
      <c r="Q36">
        <v>-5.629339686179585</v>
      </c>
      <c r="R36">
        <v>2.1632010182909576</v>
      </c>
      <c r="S36">
        <v>-1.0639688089511147E-4</v>
      </c>
      <c r="T36">
        <v>4.398723238943148E-5</v>
      </c>
    </row>
    <row r="37" spans="1:20" x14ac:dyDescent="0.2">
      <c r="A37" t="s">
        <v>9</v>
      </c>
      <c r="B37" s="25">
        <v>308.60638799999941</v>
      </c>
      <c r="C37" s="4">
        <v>292.2</v>
      </c>
      <c r="D37">
        <v>15.339999999999998</v>
      </c>
      <c r="E37">
        <v>11.11</v>
      </c>
      <c r="F37">
        <v>46.08</v>
      </c>
      <c r="G37" s="4">
        <v>0.74199999999999999</v>
      </c>
      <c r="H37">
        <v>2.7698499026658583</v>
      </c>
      <c r="I37">
        <v>0.45322202263078831</v>
      </c>
      <c r="J37" s="6">
        <v>-1.4539332938804766E-4</v>
      </c>
      <c r="L37" s="6">
        <v>4.3413744091143518E-5</v>
      </c>
      <c r="N37" t="s">
        <v>9</v>
      </c>
      <c r="O37">
        <v>308.59896000000009</v>
      </c>
      <c r="P37" s="4">
        <v>295.7</v>
      </c>
      <c r="Q37">
        <v>-2.5825386843966878</v>
      </c>
      <c r="R37">
        <v>1.0404235392509178</v>
      </c>
      <c r="S37">
        <v>-1.681110419088216E-4</v>
      </c>
      <c r="T37">
        <v>1.6907537029652663E-5</v>
      </c>
    </row>
    <row r="38" spans="1:20" x14ac:dyDescent="0.2">
      <c r="A38" t="s">
        <v>9</v>
      </c>
      <c r="B38" s="25">
        <v>315.46687499999899</v>
      </c>
      <c r="C38" s="4">
        <v>601.20000000000005</v>
      </c>
      <c r="D38">
        <v>17.725000000000001</v>
      </c>
      <c r="E38">
        <v>7.444</v>
      </c>
      <c r="F38">
        <v>39.449999999999996</v>
      </c>
      <c r="G38" s="4">
        <v>0.65500000000000003</v>
      </c>
      <c r="H38">
        <v>2.1861678571731624</v>
      </c>
      <c r="I38">
        <v>0.43165873041661307</v>
      </c>
      <c r="J38" s="6">
        <v>-1.6394587637971929E-4</v>
      </c>
      <c r="L38" s="6">
        <v>1.3037274248791871E-4</v>
      </c>
      <c r="N38" t="s">
        <v>9</v>
      </c>
      <c r="O38">
        <v>315.46333400000003</v>
      </c>
      <c r="P38" s="4">
        <v>523.70000000000005</v>
      </c>
      <c r="Q38">
        <v>-3.8019243580092379</v>
      </c>
      <c r="R38">
        <v>1.2667102822053751</v>
      </c>
      <c r="S38">
        <v>-1.5475370233427357E-4</v>
      </c>
      <c r="T38">
        <v>5.2101132573251234E-5</v>
      </c>
    </row>
    <row r="39" spans="1:20" x14ac:dyDescent="0.2">
      <c r="A39" t="s">
        <v>9</v>
      </c>
      <c r="B39" s="25">
        <v>315.57687499999957</v>
      </c>
      <c r="C39" s="4">
        <v>493.2</v>
      </c>
      <c r="D39">
        <v>16.959999999999997</v>
      </c>
      <c r="E39">
        <v>5.6639999999999997</v>
      </c>
      <c r="F39">
        <v>43.5</v>
      </c>
      <c r="G39" s="4">
        <v>0.64600000000000013</v>
      </c>
      <c r="H39">
        <v>2.091154688750704</v>
      </c>
      <c r="I39">
        <v>0.41027325140184645</v>
      </c>
      <c r="J39" s="6">
        <v>-1.7912018070037787E-4</v>
      </c>
      <c r="L39" s="6">
        <v>6.9076652045230811E-5</v>
      </c>
      <c r="N39" t="s">
        <v>9</v>
      </c>
      <c r="O39">
        <v>315.5706959999996</v>
      </c>
      <c r="P39" s="4">
        <v>506.2</v>
      </c>
      <c r="Q39">
        <v>-3.5189141529657819</v>
      </c>
      <c r="R39">
        <v>1.4664787385449809</v>
      </c>
      <c r="S39">
        <v>-1.7814713403962139E-4</v>
      </c>
      <c r="T39">
        <v>4.5558637613944553E-5</v>
      </c>
    </row>
    <row r="40" spans="1:20" x14ac:dyDescent="0.2">
      <c r="A40" t="s">
        <v>7</v>
      </c>
      <c r="B40" s="25">
        <v>106.46729166666664</v>
      </c>
      <c r="C40" s="4">
        <v>1542.7</v>
      </c>
      <c r="D40">
        <v>26.8</v>
      </c>
      <c r="E40">
        <v>7.5539999999999994</v>
      </c>
      <c r="F40" t="e">
        <v>#DIV/0!</v>
      </c>
      <c r="G40" s="4" t="e">
        <v>#DIV/0!</v>
      </c>
      <c r="H40">
        <v>1.4924509987308621</v>
      </c>
      <c r="I40">
        <v>0.55665031300701306</v>
      </c>
      <c r="J40" s="6">
        <v>1.2699769032006088E-4</v>
      </c>
      <c r="L40" s="6">
        <v>5.1430344519678825E-5</v>
      </c>
      <c r="N40" t="s">
        <v>7</v>
      </c>
      <c r="O40">
        <v>106.44826388888889</v>
      </c>
      <c r="P40" s="4">
        <v>1484.7</v>
      </c>
      <c r="Q40">
        <v>-1.2759471341326647</v>
      </c>
      <c r="R40">
        <v>0.7712849014303389</v>
      </c>
      <c r="S40">
        <v>2.0160939532125978E-4</v>
      </c>
      <c r="T40">
        <v>4.2717068935476459E-5</v>
      </c>
    </row>
    <row r="41" spans="1:20" x14ac:dyDescent="0.2">
      <c r="A41" t="s">
        <v>7</v>
      </c>
      <c r="B41" s="25">
        <v>106.57256944444444</v>
      </c>
      <c r="C41" s="4">
        <v>1731.7</v>
      </c>
      <c r="D41">
        <v>24.560000000000002</v>
      </c>
      <c r="E41">
        <v>8.89</v>
      </c>
      <c r="F41" t="e">
        <v>#DIV/0!</v>
      </c>
      <c r="G41" s="4" t="e">
        <v>#DIV/0!</v>
      </c>
      <c r="H41">
        <v>-0.33747289257215829</v>
      </c>
      <c r="I41">
        <v>1.4653055562274573</v>
      </c>
      <c r="J41" s="6">
        <v>1.033598E-4</v>
      </c>
      <c r="L41" s="6">
        <v>9.9678693195687514E-5</v>
      </c>
      <c r="N41" t="s">
        <v>7</v>
      </c>
      <c r="O41">
        <v>106.56770833333334</v>
      </c>
      <c r="P41" s="4">
        <v>1739.2</v>
      </c>
      <c r="Q41">
        <v>1.4402042164267681</v>
      </c>
      <c r="R41">
        <v>1.2186909763244052</v>
      </c>
      <c r="S41">
        <v>-1.4921839999999998E-4</v>
      </c>
      <c r="T41">
        <v>3.4279457164138402E-4</v>
      </c>
    </row>
    <row r="42" spans="1:20" x14ac:dyDescent="0.2">
      <c r="A42" t="s">
        <v>7</v>
      </c>
      <c r="B42" s="25">
        <v>112.40445601851852</v>
      </c>
      <c r="C42" s="4">
        <v>528.70000000000005</v>
      </c>
      <c r="D42">
        <v>24.119999999999997</v>
      </c>
      <c r="E42">
        <v>13.668000000000001</v>
      </c>
      <c r="F42" t="e">
        <v>#DIV/0!</v>
      </c>
      <c r="G42" s="4" t="e">
        <v>#DIV/0!</v>
      </c>
      <c r="H42">
        <v>1.1171643957983122</v>
      </c>
      <c r="I42">
        <v>0.18512382714101372</v>
      </c>
      <c r="J42" s="6">
        <v>-3.7836665789320541E-5</v>
      </c>
      <c r="L42" s="6">
        <v>7.361571300458504E-5</v>
      </c>
      <c r="N42" t="s">
        <v>7</v>
      </c>
      <c r="O42">
        <v>112.39959490740742</v>
      </c>
      <c r="P42" s="4">
        <v>516.20000000000005</v>
      </c>
      <c r="Q42">
        <v>-1.8775895322997456</v>
      </c>
      <c r="R42">
        <v>0.8885601076573425</v>
      </c>
      <c r="S42">
        <v>6.5273381702854623E-5</v>
      </c>
      <c r="T42">
        <v>6.1295716957724528E-5</v>
      </c>
    </row>
    <row r="43" spans="1:20" x14ac:dyDescent="0.2">
      <c r="A43" t="s">
        <v>7</v>
      </c>
      <c r="B43" s="25">
        <v>112.54062500000001</v>
      </c>
      <c r="C43" s="4">
        <v>1446.7</v>
      </c>
      <c r="D43">
        <v>23.660000000000004</v>
      </c>
      <c r="E43">
        <v>17.22</v>
      </c>
      <c r="F43" t="e">
        <v>#DIV/0!</v>
      </c>
      <c r="G43" s="4" t="e">
        <v>#DIV/0!</v>
      </c>
      <c r="H43">
        <v>2.7015440531028658</v>
      </c>
      <c r="I43">
        <v>0.82468543313710674</v>
      </c>
      <c r="J43" s="6">
        <v>8.6771119870253738E-5</v>
      </c>
      <c r="L43" s="6">
        <v>6.9924613090380686E-5</v>
      </c>
      <c r="N43" t="s">
        <v>7</v>
      </c>
      <c r="O43">
        <v>112.53576388888889</v>
      </c>
      <c r="P43" s="4">
        <v>1416.2</v>
      </c>
      <c r="Q43">
        <v>-2.4597138994668457</v>
      </c>
      <c r="R43">
        <v>1.6334777015860198</v>
      </c>
      <c r="S43">
        <v>5.0734689730338428E-5</v>
      </c>
      <c r="T43">
        <v>1.6695039284166948E-4</v>
      </c>
    </row>
    <row r="44" spans="1:20" x14ac:dyDescent="0.2">
      <c r="A44" t="s">
        <v>7</v>
      </c>
      <c r="B44" s="25">
        <v>120.4252314814815</v>
      </c>
      <c r="C44" s="4">
        <v>250.7</v>
      </c>
      <c r="D44">
        <v>27.52</v>
      </c>
      <c r="E44">
        <v>13.89</v>
      </c>
      <c r="F44" t="e">
        <v>#DIV/0!</v>
      </c>
      <c r="G44" s="4" t="e">
        <v>#DIV/0!</v>
      </c>
      <c r="H44">
        <v>1.4414528086832221</v>
      </c>
      <c r="I44">
        <v>0.43785081378429985</v>
      </c>
      <c r="J44" s="6">
        <v>-2.7076041859687177E-5</v>
      </c>
      <c r="L44" s="6">
        <v>4.7763327885303601E-5</v>
      </c>
      <c r="N44" t="s">
        <v>7</v>
      </c>
      <c r="O44">
        <v>120.42037037037036</v>
      </c>
      <c r="P44" s="4">
        <v>260.2</v>
      </c>
      <c r="Q44">
        <v>-0.80649625600796515</v>
      </c>
      <c r="R44">
        <v>0.91471073583047413</v>
      </c>
      <c r="S44">
        <v>7.2945418395091592E-6</v>
      </c>
      <c r="T44">
        <v>4.4877749888624501E-5</v>
      </c>
    </row>
    <row r="45" spans="1:20" x14ac:dyDescent="0.2">
      <c r="A45" t="s">
        <v>7</v>
      </c>
      <c r="B45" s="25">
        <v>120.52939814814815</v>
      </c>
      <c r="C45" s="4">
        <v>377.2</v>
      </c>
      <c r="D45">
        <v>26.660000000000004</v>
      </c>
      <c r="E45">
        <v>11.11</v>
      </c>
      <c r="F45" t="e">
        <v>#DIV/0!</v>
      </c>
      <c r="G45" s="4" t="e">
        <v>#DIV/0!</v>
      </c>
      <c r="H45">
        <v>1.3702319986821281</v>
      </c>
      <c r="I45">
        <v>0.29892663109705137</v>
      </c>
      <c r="J45" s="6">
        <v>5.8663336177432591E-6</v>
      </c>
      <c r="L45" s="6">
        <v>3.1613808099618319E-5</v>
      </c>
      <c r="N45" t="s">
        <v>7</v>
      </c>
      <c r="O45">
        <v>120.52453703703705</v>
      </c>
      <c r="P45" s="4">
        <v>354.7</v>
      </c>
      <c r="Q45">
        <v>-1.7142270501109949</v>
      </c>
      <c r="R45">
        <v>1.5555029673257794</v>
      </c>
      <c r="S45">
        <v>-2.5158237365133451E-5</v>
      </c>
      <c r="T45">
        <v>4.6423236058673842E-5</v>
      </c>
    </row>
    <row r="46" spans="1:20" x14ac:dyDescent="0.2">
      <c r="A46" t="s">
        <v>7</v>
      </c>
      <c r="B46" s="25">
        <v>136.43351851851853</v>
      </c>
      <c r="C46" s="4">
        <v>922.2</v>
      </c>
      <c r="D46">
        <v>26.880000000000003</v>
      </c>
      <c r="E46">
        <v>15.559999999999999</v>
      </c>
      <c r="F46" t="e">
        <v>#DIV/0!</v>
      </c>
      <c r="G46" s="4" t="e">
        <v>#DIV/0!</v>
      </c>
      <c r="H46">
        <v>-0.5521121057109154</v>
      </c>
      <c r="I46">
        <v>0.92891700200075888</v>
      </c>
      <c r="J46" s="6">
        <v>-1.1663535707809577E-4</v>
      </c>
      <c r="L46" s="6">
        <v>3.1391365401428015E-4</v>
      </c>
      <c r="N46" t="s">
        <v>7</v>
      </c>
      <c r="O46">
        <v>136.4286574074074</v>
      </c>
      <c r="P46" s="4">
        <v>1171.2</v>
      </c>
      <c r="Q46">
        <v>0.39748788151926256</v>
      </c>
      <c r="R46">
        <v>0.78752046805428177</v>
      </c>
      <c r="S46">
        <v>-1.1712858104617766E-4</v>
      </c>
      <c r="T46">
        <v>3.056698090824453E-4</v>
      </c>
    </row>
    <row r="47" spans="1:20" x14ac:dyDescent="0.2">
      <c r="A47" t="s">
        <v>7</v>
      </c>
      <c r="B47" s="25">
        <v>136.53664351851853</v>
      </c>
      <c r="C47" s="4">
        <v>1448.2</v>
      </c>
      <c r="D47" s="4">
        <v>24.86</v>
      </c>
      <c r="E47">
        <v>16.670000000000002</v>
      </c>
      <c r="F47" t="e">
        <v>#DIV/0!</v>
      </c>
      <c r="G47" s="4" t="e">
        <v>#DIV/0!</v>
      </c>
      <c r="H47">
        <v>0.25247294684875798</v>
      </c>
      <c r="I47">
        <v>0.73001915558068808</v>
      </c>
      <c r="J47" s="6">
        <v>1.5073982577449538E-4</v>
      </c>
      <c r="L47" s="6">
        <v>3.7290043260171978E-5</v>
      </c>
      <c r="N47" t="s">
        <v>7</v>
      </c>
      <c r="O47">
        <v>136.53178240740741</v>
      </c>
      <c r="P47" s="4">
        <v>1482.7</v>
      </c>
      <c r="Q47">
        <v>0.24746926823244592</v>
      </c>
      <c r="R47">
        <v>0.95039444771725234</v>
      </c>
      <c r="S47">
        <v>1.312642052413116E-4</v>
      </c>
      <c r="T47">
        <v>1.4108033717915398E-5</v>
      </c>
    </row>
    <row r="48" spans="1:20" x14ac:dyDescent="0.2">
      <c r="A48" t="s">
        <v>7</v>
      </c>
      <c r="B48" s="25">
        <v>143.40868055555555</v>
      </c>
      <c r="C48" s="4">
        <v>1357.2</v>
      </c>
      <c r="D48">
        <v>16.540000000000003</v>
      </c>
      <c r="E48">
        <v>16.11</v>
      </c>
      <c r="F48" t="e">
        <v>#DIV/0!</v>
      </c>
      <c r="G48" s="4" t="e">
        <v>#DIV/0!</v>
      </c>
      <c r="H48">
        <v>1.4880208288086783</v>
      </c>
      <c r="I48">
        <v>1.7728309577287471</v>
      </c>
      <c r="J48" s="6">
        <v>-1.2762873151446569E-4</v>
      </c>
      <c r="L48" s="6">
        <v>4.1439094770768468E-4</v>
      </c>
      <c r="N48" t="s">
        <v>7</v>
      </c>
      <c r="O48">
        <v>143.40381944444445</v>
      </c>
      <c r="P48" s="4">
        <v>1349.2</v>
      </c>
      <c r="Q48">
        <v>8.1346073486868425E-2</v>
      </c>
      <c r="R48">
        <v>2.6983739422634212</v>
      </c>
      <c r="S48">
        <v>-2.0777272718035907E-6</v>
      </c>
      <c r="T48">
        <v>5.9265657587501163E-4</v>
      </c>
    </row>
    <row r="49" spans="1:20" x14ac:dyDescent="0.2">
      <c r="A49" s="18" t="s">
        <v>7</v>
      </c>
      <c r="B49" s="26">
        <v>143.57187500000001</v>
      </c>
      <c r="C49" s="4">
        <v>676.2</v>
      </c>
      <c r="D49" s="4">
        <v>17.2</v>
      </c>
      <c r="E49" s="4">
        <v>18.329999999999998</v>
      </c>
      <c r="F49" t="e">
        <v>#DIV/0!</v>
      </c>
      <c r="G49" s="4" t="e">
        <v>#DIV/0!</v>
      </c>
      <c r="H49">
        <v>0.82270341205623643</v>
      </c>
      <c r="I49">
        <v>1.0419796687841991</v>
      </c>
      <c r="J49" s="6">
        <v>2.7875249380987215E-5</v>
      </c>
      <c r="L49" s="6">
        <v>2.8046926220832026E-4</v>
      </c>
      <c r="N49" s="18" t="s">
        <v>7</v>
      </c>
      <c r="O49">
        <v>143.56701388888888</v>
      </c>
      <c r="P49" s="4">
        <v>756.2</v>
      </c>
      <c r="Q49">
        <v>-0.3643049359747953</v>
      </c>
      <c r="R49">
        <v>1.9794195292315688</v>
      </c>
      <c r="S49">
        <v>-4.2848369057200695E-3</v>
      </c>
      <c r="T49">
        <v>8.7207873813180126E-3</v>
      </c>
    </row>
    <row r="50" spans="1:20" x14ac:dyDescent="0.2">
      <c r="A50" t="s">
        <v>7</v>
      </c>
      <c r="B50" s="25">
        <v>149.44618055555557</v>
      </c>
      <c r="C50" s="4">
        <v>1158.2</v>
      </c>
      <c r="D50" s="4">
        <v>23.5</v>
      </c>
      <c r="E50" s="4">
        <v>17.22</v>
      </c>
      <c r="H50">
        <v>4.0869975551487681</v>
      </c>
      <c r="I50">
        <v>0.75306191426405644</v>
      </c>
      <c r="J50" s="6">
        <v>-3.0066798641058276E-3</v>
      </c>
      <c r="L50" s="6">
        <v>9.7045047769255266E-3</v>
      </c>
      <c r="N50" t="s">
        <v>7</v>
      </c>
      <c r="O50">
        <v>149.44131944444445</v>
      </c>
      <c r="P50" s="4">
        <v>1398.7</v>
      </c>
      <c r="Q50">
        <v>2.4263965713835303</v>
      </c>
      <c r="R50">
        <v>1.1317462991542542</v>
      </c>
      <c r="S50">
        <v>-8.7886976270940831E-2</v>
      </c>
      <c r="T50">
        <v>0.12647690620460914</v>
      </c>
    </row>
    <row r="51" spans="1:20" x14ac:dyDescent="0.2">
      <c r="A51" t="s">
        <v>7</v>
      </c>
      <c r="B51" s="25">
        <v>149.54409722222221</v>
      </c>
      <c r="C51" s="4">
        <v>1275.7</v>
      </c>
      <c r="D51" s="4">
        <v>21.5</v>
      </c>
      <c r="E51" s="4">
        <v>20.56</v>
      </c>
      <c r="H51">
        <v>4.8109888197166324</v>
      </c>
      <c r="I51">
        <v>1.4880348675512587</v>
      </c>
      <c r="J51">
        <v>-2.0366289532283598E-2</v>
      </c>
      <c r="L51" s="6" t="e">
        <v>#DIV/0!</v>
      </c>
      <c r="N51" t="s">
        <v>7</v>
      </c>
      <c r="O51">
        <v>149.53923611111108</v>
      </c>
      <c r="P51" s="4">
        <v>1246.7</v>
      </c>
      <c r="Q51">
        <v>3.9988774434157994</v>
      </c>
      <c r="R51">
        <v>2.7220648270753065</v>
      </c>
      <c r="S51">
        <v>5.7178267781731395E-4</v>
      </c>
      <c r="T51" t="e">
        <v>#DIV/0!</v>
      </c>
    </row>
    <row r="52" spans="1:20" s="18" customFormat="1" x14ac:dyDescent="0.2">
      <c r="A52" t="s">
        <v>7</v>
      </c>
      <c r="B52" s="25">
        <v>151.46770833333335</v>
      </c>
      <c r="C52" s="4">
        <v>1514.2</v>
      </c>
      <c r="D52" s="4">
        <v>19.439999999999998</v>
      </c>
      <c r="E52" s="4">
        <v>23.89</v>
      </c>
      <c r="F52"/>
      <c r="G52" s="4"/>
      <c r="H52">
        <v>4.7069611187525577</v>
      </c>
      <c r="I52">
        <v>0.60369949850369964</v>
      </c>
      <c r="J52" s="6"/>
      <c r="L52" s="6" t="e">
        <v>#DIV/0!</v>
      </c>
      <c r="N52" t="s">
        <v>7</v>
      </c>
      <c r="O52">
        <v>151.46284722222222</v>
      </c>
      <c r="P52" s="4">
        <v>1469.7</v>
      </c>
      <c r="Q52">
        <v>1.9923505072233172</v>
      </c>
      <c r="R52">
        <v>1.4970907520137138</v>
      </c>
      <c r="S52"/>
      <c r="T52" t="e">
        <v>#DIV/0!</v>
      </c>
    </row>
    <row r="53" spans="1:20" s="18" customFormat="1" x14ac:dyDescent="0.2">
      <c r="A53" t="s">
        <v>7</v>
      </c>
      <c r="B53" s="25">
        <v>151.55312499999999</v>
      </c>
      <c r="C53" s="4">
        <v>1236.2</v>
      </c>
      <c r="D53" s="4">
        <v>19.240000000000002</v>
      </c>
      <c r="E53" s="4">
        <v>23.89</v>
      </c>
      <c r="F53"/>
      <c r="G53" s="4"/>
      <c r="H53">
        <v>4.8064004189496039</v>
      </c>
      <c r="I53">
        <v>0.50963340616697028</v>
      </c>
      <c r="J53" s="6"/>
      <c r="L53" s="6" t="e">
        <v>#DIV/0!</v>
      </c>
      <c r="N53" t="s">
        <v>7</v>
      </c>
      <c r="O53">
        <v>151.5482638888889</v>
      </c>
      <c r="P53" s="4">
        <v>1961.7</v>
      </c>
      <c r="Q53">
        <v>1.5592327030940987</v>
      </c>
      <c r="R53">
        <v>1.2231044614410687</v>
      </c>
      <c r="S53"/>
      <c r="T53" t="e">
        <v>#DIV/0!</v>
      </c>
    </row>
    <row r="54" spans="1:20" s="18" customFormat="1" x14ac:dyDescent="0.2">
      <c r="A54" t="s">
        <v>7</v>
      </c>
      <c r="B54" s="25">
        <v>161.45243055555557</v>
      </c>
      <c r="C54" s="4">
        <v>1690.7</v>
      </c>
      <c r="D54" s="4">
        <v>11.86</v>
      </c>
      <c r="E54" s="4">
        <v>19.440000000000001</v>
      </c>
      <c r="F54"/>
      <c r="G54" s="4"/>
      <c r="H54">
        <v>12.042442610166518</v>
      </c>
      <c r="I54">
        <v>15.490478077844301</v>
      </c>
      <c r="J54" s="6">
        <v>1.9169455753433054E-2</v>
      </c>
      <c r="L54" s="6">
        <v>4.3398628074284511E-2</v>
      </c>
      <c r="N54" t="s">
        <v>7</v>
      </c>
      <c r="O54">
        <v>161.44756944444444</v>
      </c>
      <c r="P54" s="4">
        <v>1539.2</v>
      </c>
      <c r="Q54" s="27">
        <v>-1.2272544944931365</v>
      </c>
      <c r="R54" s="27">
        <v>2.3478698107665967</v>
      </c>
      <c r="S54" s="27">
        <v>-6.6614707138016515E-3</v>
      </c>
      <c r="T54" s="27">
        <v>1.3446069626444752E-2</v>
      </c>
    </row>
    <row r="55" spans="1:20" x14ac:dyDescent="0.2">
      <c r="A55" t="s">
        <v>7</v>
      </c>
      <c r="B55" s="25">
        <v>161.53993055555557</v>
      </c>
      <c r="C55" s="4">
        <v>1584.2</v>
      </c>
      <c r="D55" s="4">
        <v>11.44</v>
      </c>
      <c r="E55" s="4">
        <v>25.56</v>
      </c>
      <c r="H55">
        <v>7.3702615079621552</v>
      </c>
      <c r="I55">
        <v>2.6157351154503785</v>
      </c>
      <c r="J55" s="6">
        <v>-1.4105288799999999E-2</v>
      </c>
      <c r="L55" s="6">
        <v>3.1214538460345519E-2</v>
      </c>
      <c r="N55" t="s">
        <v>7</v>
      </c>
      <c r="O55">
        <v>161.53506944444445</v>
      </c>
      <c r="P55" s="4">
        <v>1614.6999999999998</v>
      </c>
      <c r="Q55">
        <v>2.0890754198444127E-2</v>
      </c>
      <c r="R55">
        <v>5.9585938120914168</v>
      </c>
      <c r="S55">
        <v>1.0493326799999999E-2</v>
      </c>
      <c r="T55">
        <v>2.7849015762169749E-2</v>
      </c>
    </row>
    <row r="56" spans="1:20" x14ac:dyDescent="0.2">
      <c r="A56" t="s">
        <v>7</v>
      </c>
      <c r="B56" s="25">
        <v>171.41840277777777</v>
      </c>
      <c r="C56" s="4">
        <v>222.2</v>
      </c>
      <c r="D56" s="4">
        <v>17.220000000000002</v>
      </c>
      <c r="E56" s="4">
        <v>23.33</v>
      </c>
      <c r="H56">
        <v>7.1100998048121795</v>
      </c>
      <c r="I56">
        <v>1.0008166006242782</v>
      </c>
      <c r="J56" s="6">
        <v>-1.485492E-4</v>
      </c>
      <c r="L56" s="6">
        <v>5.9679986584281334E-5</v>
      </c>
      <c r="N56" t="s">
        <v>7</v>
      </c>
      <c r="O56">
        <v>171.41354166666665</v>
      </c>
      <c r="P56" s="4">
        <v>229.7</v>
      </c>
      <c r="Q56">
        <v>1.9342672814674722</v>
      </c>
      <c r="R56">
        <v>0.52578635759374748</v>
      </c>
      <c r="S56">
        <v>-1.8322649999999999E-4</v>
      </c>
      <c r="T56">
        <v>4.9019662915337688E-5</v>
      </c>
    </row>
    <row r="57" spans="1:20" x14ac:dyDescent="0.2">
      <c r="A57" t="s">
        <v>7</v>
      </c>
      <c r="B57" s="25">
        <v>171.52604166666666</v>
      </c>
      <c r="C57" s="4">
        <v>382.2</v>
      </c>
      <c r="D57" s="4">
        <v>16.759999999999998</v>
      </c>
      <c r="E57" s="4">
        <v>23.33</v>
      </c>
      <c r="H57">
        <v>1.3450509425910719</v>
      </c>
      <c r="I57">
        <v>11.418422088715307</v>
      </c>
      <c r="J57" s="6">
        <v>-3.10568E-4</v>
      </c>
      <c r="L57" s="6" t="e">
        <v>#DIV/0!</v>
      </c>
      <c r="N57" t="s">
        <v>7</v>
      </c>
      <c r="O57">
        <v>171.52118055555556</v>
      </c>
      <c r="P57" s="4">
        <v>311.7</v>
      </c>
      <c r="Q57">
        <v>-1.5729542424385095</v>
      </c>
      <c r="R57">
        <v>5.0328606689966939</v>
      </c>
      <c r="S57">
        <v>-3.7267499999999999E-4</v>
      </c>
      <c r="T57" t="e">
        <v>#DIV/0!</v>
      </c>
    </row>
    <row r="58" spans="1:20" x14ac:dyDescent="0.2">
      <c r="A58" t="s">
        <v>7</v>
      </c>
      <c r="B58" s="25">
        <v>177.39409722222223</v>
      </c>
      <c r="C58" s="4">
        <v>1281.7</v>
      </c>
      <c r="D58" s="4">
        <v>19.560000000000002</v>
      </c>
      <c r="E58" s="4">
        <v>22.78</v>
      </c>
      <c r="H58">
        <v>7.4786743958677473</v>
      </c>
      <c r="I58">
        <v>1.612245122016603</v>
      </c>
      <c r="J58" s="6">
        <v>1.2776954000000001E-3</v>
      </c>
      <c r="L58" s="6">
        <v>6.8771052364806806E-4</v>
      </c>
      <c r="N58" t="s">
        <v>7</v>
      </c>
      <c r="O58">
        <v>177.3892361111111</v>
      </c>
      <c r="P58" s="4">
        <v>1244.7</v>
      </c>
      <c r="Q58">
        <v>-12.279898927111947</v>
      </c>
      <c r="R58">
        <v>2.5452029960113056</v>
      </c>
      <c r="S58">
        <v>7.5220980000000005E-4</v>
      </c>
      <c r="T58">
        <v>1.1078668133702714E-3</v>
      </c>
    </row>
    <row r="59" spans="1:20" x14ac:dyDescent="0.2">
      <c r="A59" t="s">
        <v>7</v>
      </c>
      <c r="B59" s="25">
        <v>177.53923611111108</v>
      </c>
      <c r="C59" s="4">
        <v>1942.2</v>
      </c>
      <c r="D59" s="4">
        <v>21.060000000000002</v>
      </c>
      <c r="E59" s="4">
        <v>26.670000000000005</v>
      </c>
      <c r="H59">
        <v>6.9144646605522011</v>
      </c>
      <c r="I59">
        <v>0.59343641440941464</v>
      </c>
      <c r="J59" s="6">
        <v>5.6835695530396803E-3</v>
      </c>
      <c r="L59" s="6">
        <v>3.466852084434108E-3</v>
      </c>
      <c r="N59" t="s">
        <v>7</v>
      </c>
      <c r="O59">
        <v>177.53437500000001</v>
      </c>
      <c r="P59" s="4">
        <v>1935.2</v>
      </c>
      <c r="Q59">
        <v>-7.823469930871136</v>
      </c>
      <c r="R59">
        <v>2.6616562718171224</v>
      </c>
      <c r="S59">
        <v>5.7352855573216139E-3</v>
      </c>
      <c r="T59">
        <v>9.7360526281959816E-3</v>
      </c>
    </row>
    <row r="60" spans="1:20" x14ac:dyDescent="0.2">
      <c r="A60" t="s">
        <v>7</v>
      </c>
      <c r="B60" s="25">
        <v>184.43784722222222</v>
      </c>
      <c r="C60" s="4">
        <v>1221.2</v>
      </c>
      <c r="D60" s="4">
        <v>7.24</v>
      </c>
      <c r="E60" s="4">
        <v>25.56</v>
      </c>
      <c r="H60">
        <v>10.877135773010927</v>
      </c>
      <c r="I60">
        <v>7.15360501366977</v>
      </c>
      <c r="J60" s="6">
        <v>6.3102327969174804E-4</v>
      </c>
      <c r="L60" s="6">
        <v>4.1135352240540182E-3</v>
      </c>
      <c r="N60" t="s">
        <v>7</v>
      </c>
      <c r="O60">
        <v>184.43298611111112</v>
      </c>
      <c r="P60" s="4">
        <v>1357.2</v>
      </c>
      <c r="Q60">
        <v>-16.24472241022924</v>
      </c>
      <c r="R60">
        <v>2.5927622144556666</v>
      </c>
      <c r="S60">
        <v>1.5520271390621154E-3</v>
      </c>
      <c r="T60">
        <v>3.5037305843172864E-3</v>
      </c>
    </row>
    <row r="61" spans="1:20" x14ac:dyDescent="0.2">
      <c r="A61" t="s">
        <v>7</v>
      </c>
      <c r="B61" s="25">
        <v>189.43159722222222</v>
      </c>
      <c r="C61" s="4">
        <v>1316.2</v>
      </c>
      <c r="D61" s="4">
        <v>17.52</v>
      </c>
      <c r="E61" s="4">
        <v>20</v>
      </c>
      <c r="H61">
        <v>6.888574928761086</v>
      </c>
      <c r="I61">
        <v>4.9751271309296428</v>
      </c>
      <c r="J61" s="6">
        <v>2.4956822097202949E-3</v>
      </c>
      <c r="L61" s="6">
        <v>6.1155993423127426E-3</v>
      </c>
      <c r="N61" t="s">
        <v>7</v>
      </c>
      <c r="O61">
        <v>189.4267361111111</v>
      </c>
      <c r="P61" s="4">
        <v>1551.2</v>
      </c>
      <c r="Q61">
        <v>-8.6770041595199583</v>
      </c>
      <c r="R61">
        <v>14.786490460067508</v>
      </c>
      <c r="S61">
        <v>5.6842577751876249E-3</v>
      </c>
      <c r="T61">
        <v>1.3081949245264905E-2</v>
      </c>
    </row>
    <row r="62" spans="1:20" x14ac:dyDescent="0.2">
      <c r="A62" t="s">
        <v>7</v>
      </c>
      <c r="B62" s="25">
        <v>189.55104166666666</v>
      </c>
      <c r="C62" s="4">
        <v>1606.7</v>
      </c>
      <c r="D62" s="4">
        <v>16.28</v>
      </c>
      <c r="E62" s="4">
        <v>25.56</v>
      </c>
      <c r="H62">
        <v>11.891941475399999</v>
      </c>
      <c r="I62">
        <v>3.1891739464118318</v>
      </c>
      <c r="J62" s="6">
        <v>-2.1394621104294026E-5</v>
      </c>
      <c r="L62" s="6">
        <v>1.628427026083428E-4</v>
      </c>
      <c r="N62" t="s">
        <v>7</v>
      </c>
      <c r="O62">
        <v>189.54618055555557</v>
      </c>
      <c r="P62" s="4">
        <v>1832.7</v>
      </c>
      <c r="Q62">
        <v>-13.016073022</v>
      </c>
      <c r="R62">
        <v>3.7778109529561883</v>
      </c>
      <c r="S62">
        <v>-2.0286158388664338E-5</v>
      </c>
      <c r="T62">
        <v>1.3629415748254355E-4</v>
      </c>
    </row>
    <row r="63" spans="1:20" x14ac:dyDescent="0.2">
      <c r="A63" t="s">
        <v>7</v>
      </c>
      <c r="B63" s="25">
        <v>197.46840277777778</v>
      </c>
      <c r="C63" s="4">
        <v>1516.2</v>
      </c>
      <c r="D63" s="4">
        <v>3.8600000000000003</v>
      </c>
      <c r="E63" s="4">
        <v>25.887999999999998</v>
      </c>
      <c r="F63">
        <v>40.019999999999996</v>
      </c>
      <c r="G63" s="4">
        <v>0.79</v>
      </c>
      <c r="H63">
        <v>10.695847529454349</v>
      </c>
      <c r="I63">
        <v>4.711260386106729</v>
      </c>
      <c r="J63" s="6">
        <v>-1.3305155656996966E-4</v>
      </c>
      <c r="L63" s="6">
        <v>2.001536866608528E-4</v>
      </c>
      <c r="N63" t="s">
        <v>7</v>
      </c>
      <c r="O63">
        <v>197.46354166666666</v>
      </c>
      <c r="P63" s="4">
        <v>1417.2</v>
      </c>
      <c r="Q63">
        <v>-13.25956342698756</v>
      </c>
      <c r="R63">
        <v>1.7891128559043672</v>
      </c>
      <c r="S63">
        <v>2.5785725289889973E-5</v>
      </c>
      <c r="T63">
        <v>3.4711795771277375E-4</v>
      </c>
    </row>
    <row r="64" spans="1:20" x14ac:dyDescent="0.2">
      <c r="A64" t="s">
        <v>7</v>
      </c>
      <c r="B64" s="25">
        <v>197.55798611111112</v>
      </c>
      <c r="C64" s="4">
        <v>1839.7</v>
      </c>
      <c r="D64" s="4">
        <v>3.66</v>
      </c>
      <c r="E64" s="4">
        <v>31.110000000000003</v>
      </c>
      <c r="F64">
        <v>42.61999999999999</v>
      </c>
      <c r="G64" s="4">
        <v>0.77200000000000002</v>
      </c>
      <c r="H64">
        <v>13.145832680607645</v>
      </c>
      <c r="I64">
        <v>4.4896124782539895</v>
      </c>
      <c r="J64" s="6">
        <v>-1.6329217539404401E-4</v>
      </c>
      <c r="L64" s="6">
        <v>7.3769964361924901E-5</v>
      </c>
      <c r="N64" t="s">
        <v>7</v>
      </c>
      <c r="O64">
        <v>197.55312499999999</v>
      </c>
      <c r="P64" s="4">
        <v>1849.7</v>
      </c>
      <c r="Q64">
        <v>-9.1874380559689666</v>
      </c>
      <c r="R64">
        <v>3.2262834898581323</v>
      </c>
      <c r="S64">
        <v>1.3472922465118659E-4</v>
      </c>
      <c r="T64">
        <v>1.4745033448881087E-4</v>
      </c>
    </row>
    <row r="65" spans="1:20" x14ac:dyDescent="0.2">
      <c r="A65" t="s">
        <v>7</v>
      </c>
      <c r="B65" s="25">
        <v>200.48368055555557</v>
      </c>
      <c r="C65" s="4">
        <v>1580.2</v>
      </c>
      <c r="D65" s="4">
        <v>5.78</v>
      </c>
      <c r="E65" s="4">
        <v>31.110000000000003</v>
      </c>
      <c r="F65">
        <v>44.64</v>
      </c>
      <c r="G65" s="4">
        <v>0.84799999999999986</v>
      </c>
      <c r="H65">
        <v>12.307962157899246</v>
      </c>
      <c r="I65">
        <v>4.1641863661218581</v>
      </c>
      <c r="J65" s="6">
        <v>-3.8942950630039496E-3</v>
      </c>
      <c r="L65" s="6">
        <v>1.2610127128860671E-2</v>
      </c>
      <c r="N65" t="s">
        <v>7</v>
      </c>
      <c r="O65">
        <v>200.47881944444444</v>
      </c>
      <c r="P65" s="4">
        <v>1798.2</v>
      </c>
      <c r="Q65">
        <v>-16.223929714051241</v>
      </c>
      <c r="R65">
        <v>1.9773638064824703</v>
      </c>
      <c r="S65">
        <v>-1.1465844773696785E-3</v>
      </c>
      <c r="T65">
        <v>2.004936977252232E-3</v>
      </c>
    </row>
    <row r="66" spans="1:20" x14ac:dyDescent="0.2">
      <c r="A66" t="s">
        <v>7</v>
      </c>
      <c r="B66" s="25">
        <v>200.5829861111111</v>
      </c>
      <c r="C66" s="4">
        <v>1684.7</v>
      </c>
      <c r="D66" s="4">
        <v>5.78</v>
      </c>
      <c r="E66" s="4">
        <v>31.110000000000003</v>
      </c>
      <c r="F66">
        <v>44.64</v>
      </c>
      <c r="G66" s="4">
        <v>0.84799999999999986</v>
      </c>
      <c r="H66">
        <v>12.789020248062714</v>
      </c>
      <c r="I66">
        <v>5.5678865797625701</v>
      </c>
      <c r="J66" s="6">
        <v>2.4545169773947296E-4</v>
      </c>
      <c r="L66" s="6">
        <v>1.9446533681229568E-3</v>
      </c>
      <c r="N66" t="s">
        <v>7</v>
      </c>
      <c r="O66">
        <v>200.578125</v>
      </c>
      <c r="P66" s="4">
        <v>1798.7</v>
      </c>
      <c r="Q66">
        <v>-13.801289965007701</v>
      </c>
      <c r="R66">
        <v>2.4635552447316966</v>
      </c>
      <c r="S66">
        <v>2.6563232455125839E-2</v>
      </c>
      <c r="T66">
        <v>5.772426128745068E-2</v>
      </c>
    </row>
    <row r="67" spans="1:20" x14ac:dyDescent="0.2">
      <c r="A67" t="s">
        <v>7</v>
      </c>
      <c r="B67" s="25">
        <v>210.49131944444443</v>
      </c>
      <c r="C67" s="4">
        <v>1654.7</v>
      </c>
      <c r="D67" s="4">
        <v>10.419999999999998</v>
      </c>
      <c r="E67" s="4">
        <v>27.78</v>
      </c>
      <c r="F67">
        <v>37.319999999999993</v>
      </c>
      <c r="G67" s="4">
        <v>0.84799999999999986</v>
      </c>
      <c r="H67">
        <v>17.707960266994917</v>
      </c>
      <c r="I67">
        <v>11.293792037993255</v>
      </c>
      <c r="J67" s="6">
        <v>1.0045766083336044E-2</v>
      </c>
      <c r="L67" s="6">
        <v>2.5361114352293643E-2</v>
      </c>
      <c r="N67" t="s">
        <v>7</v>
      </c>
      <c r="O67">
        <v>210.4864583333333</v>
      </c>
      <c r="P67" s="4">
        <v>1651.7</v>
      </c>
      <c r="Q67">
        <v>-12.459271027561645</v>
      </c>
      <c r="R67">
        <v>3.0471794558664831</v>
      </c>
      <c r="S67">
        <v>-2.4719166079907297E-4</v>
      </c>
      <c r="T67">
        <v>5.0588012180831355E-4</v>
      </c>
    </row>
    <row r="68" spans="1:20" x14ac:dyDescent="0.2">
      <c r="A68" t="s">
        <v>7</v>
      </c>
      <c r="B68" s="25">
        <v>210.59618055555552</v>
      </c>
      <c r="C68" s="4">
        <v>1658.7</v>
      </c>
      <c r="D68" s="4">
        <v>8.5</v>
      </c>
      <c r="E68" s="4">
        <v>31.446000000000005</v>
      </c>
      <c r="F68">
        <v>40.5</v>
      </c>
      <c r="G68" s="4">
        <v>0.83799999999999986</v>
      </c>
      <c r="H68">
        <v>14.338771951588956</v>
      </c>
      <c r="I68">
        <v>4.5219851621607026</v>
      </c>
      <c r="J68" s="6">
        <v>-4.6862938103778003E-4</v>
      </c>
      <c r="L68" s="6">
        <v>1.8979635028304291E-3</v>
      </c>
      <c r="N68" t="s">
        <v>7</v>
      </c>
      <c r="O68">
        <v>210.59131944444448</v>
      </c>
      <c r="P68" s="4">
        <v>1658.7</v>
      </c>
      <c r="Q68">
        <v>-10.576306102207827</v>
      </c>
      <c r="R68">
        <v>2.3500472526019753</v>
      </c>
      <c r="S68">
        <v>1.7904515302109715E-2</v>
      </c>
      <c r="T68">
        <v>3.5690738269239124E-2</v>
      </c>
    </row>
    <row r="69" spans="1:20" x14ac:dyDescent="0.2">
      <c r="A69" t="s">
        <v>7</v>
      </c>
      <c r="B69" s="25">
        <v>218.49348148148147</v>
      </c>
      <c r="C69" s="4">
        <v>1156.7</v>
      </c>
      <c r="D69" s="4">
        <v>13.720000000000002</v>
      </c>
      <c r="E69" s="4">
        <v>25.104000000000003</v>
      </c>
      <c r="F69">
        <v>39.04</v>
      </c>
      <c r="G69" s="4">
        <v>0.83600000000000008</v>
      </c>
      <c r="H69">
        <v>12.987212789860468</v>
      </c>
      <c r="I69">
        <v>7.4647205180457554</v>
      </c>
      <c r="J69" s="6">
        <v>-1.3274132797035164E-4</v>
      </c>
      <c r="L69" s="6">
        <v>1.472544009386118E-4</v>
      </c>
      <c r="N69" t="s">
        <v>7</v>
      </c>
      <c r="O69">
        <v>218.48605902777777</v>
      </c>
      <c r="P69" s="4">
        <v>1265.2</v>
      </c>
      <c r="Q69">
        <v>-7.2187484204680512</v>
      </c>
      <c r="R69">
        <v>5.1282407432068462</v>
      </c>
      <c r="S69">
        <v>-1.2648819851765664E-4</v>
      </c>
      <c r="T69">
        <v>7.9197946594919142E-5</v>
      </c>
    </row>
    <row r="70" spans="1:20" x14ac:dyDescent="0.2">
      <c r="A70" t="s">
        <v>7</v>
      </c>
      <c r="B70" s="25">
        <v>218.68943287037035</v>
      </c>
      <c r="C70" s="4">
        <v>826.2</v>
      </c>
      <c r="D70" s="4">
        <v>14.059999999999999</v>
      </c>
      <c r="E70" s="4">
        <v>25.448</v>
      </c>
      <c r="F70">
        <v>42.14</v>
      </c>
      <c r="G70" s="4">
        <v>0.84600000000000009</v>
      </c>
      <c r="H70">
        <v>17.02408716561072</v>
      </c>
      <c r="I70">
        <v>9.9285404595576772</v>
      </c>
      <c r="J70" s="6">
        <v>-2.0318198722127679E-4</v>
      </c>
      <c r="L70" s="6">
        <v>7.3263024298804389E-5</v>
      </c>
      <c r="N70" t="s">
        <v>7</v>
      </c>
      <c r="O70">
        <v>218.68256944444443</v>
      </c>
      <c r="P70" s="4">
        <v>950.7</v>
      </c>
      <c r="Q70">
        <v>-4.4605251803745558</v>
      </c>
      <c r="R70">
        <v>4.6215503789368482</v>
      </c>
      <c r="S70">
        <v>-2.267832659805662E-4</v>
      </c>
      <c r="T70">
        <v>6.7423695175312072E-5</v>
      </c>
    </row>
    <row r="71" spans="1:20" x14ac:dyDescent="0.2">
      <c r="A71" t="s">
        <v>7</v>
      </c>
      <c r="B71" s="25">
        <v>225.48861574074076</v>
      </c>
      <c r="C71" s="4">
        <v>557.20000000000005</v>
      </c>
      <c r="D71" s="4">
        <v>7.5200000000000005</v>
      </c>
      <c r="E71" s="4">
        <v>23.33</v>
      </c>
      <c r="F71">
        <v>42</v>
      </c>
      <c r="G71" s="4" t="e">
        <v>#DIV/0!</v>
      </c>
      <c r="H71">
        <v>20.463591320773681</v>
      </c>
      <c r="I71">
        <v>9.6488831681494833</v>
      </c>
      <c r="J71" s="6">
        <v>-4.2605512133083237E-4</v>
      </c>
      <c r="L71" s="6">
        <v>1.1365484147366084E-4</v>
      </c>
      <c r="N71" t="s">
        <v>7</v>
      </c>
      <c r="O71">
        <v>225.4822337962963</v>
      </c>
      <c r="P71" s="4">
        <v>523.70000000000005</v>
      </c>
      <c r="Q71">
        <v>-0.60373364916017425</v>
      </c>
      <c r="R71">
        <v>5.7161446614245275</v>
      </c>
      <c r="S71">
        <v>-3.4081265664763824E-4</v>
      </c>
      <c r="T71">
        <v>1.4713217326220722E-4</v>
      </c>
    </row>
    <row r="72" spans="1:20" x14ac:dyDescent="0.2">
      <c r="A72" t="s">
        <v>7</v>
      </c>
      <c r="B72" s="25">
        <v>225.59120370370368</v>
      </c>
      <c r="C72" s="4">
        <v>1536.6999999999998</v>
      </c>
      <c r="D72" s="4">
        <v>7.5399999999999991</v>
      </c>
      <c r="E72" s="4">
        <v>24.667999999999999</v>
      </c>
      <c r="F72">
        <v>42.679999999999993</v>
      </c>
      <c r="G72" s="4" t="e">
        <v>#DIV/0!</v>
      </c>
      <c r="H72">
        <v>23.565753008548601</v>
      </c>
      <c r="I72">
        <v>12.675454173478093</v>
      </c>
      <c r="J72" s="6">
        <v>-3.9057183192443281E-4</v>
      </c>
      <c r="L72" s="6">
        <v>4.830281260185468E-5</v>
      </c>
      <c r="N72" t="s">
        <v>7</v>
      </c>
      <c r="O72">
        <v>225.58521990740741</v>
      </c>
      <c r="P72" s="4">
        <v>1151.2</v>
      </c>
      <c r="Q72">
        <v>-7.5014744971093323</v>
      </c>
      <c r="R72">
        <v>4.0771515433157308</v>
      </c>
      <c r="S72">
        <v>-2.6918600149301657E-4</v>
      </c>
      <c r="T72">
        <v>2.9486756050507805E-5</v>
      </c>
    </row>
    <row r="73" spans="1:20" x14ac:dyDescent="0.2">
      <c r="A73" t="s">
        <v>7</v>
      </c>
      <c r="B73" s="25">
        <v>233.48335648148151</v>
      </c>
      <c r="C73" s="4">
        <v>746.2</v>
      </c>
      <c r="D73" s="4">
        <v>20.740000000000002</v>
      </c>
      <c r="E73" s="4">
        <v>26.336000000000002</v>
      </c>
      <c r="F73">
        <v>42.7</v>
      </c>
      <c r="G73" s="4">
        <v>0.86399999999999988</v>
      </c>
      <c r="H73">
        <v>31.197703988579718</v>
      </c>
      <c r="I73">
        <v>29.99683592207489</v>
      </c>
      <c r="J73" s="6">
        <v>-1.7052787844992851E-4</v>
      </c>
      <c r="L73" s="6">
        <v>2.7497020629089244E-4</v>
      </c>
      <c r="N73" t="s">
        <v>7</v>
      </c>
      <c r="O73">
        <v>233.47672453703703</v>
      </c>
      <c r="P73" s="4">
        <v>643.70000000000005</v>
      </c>
      <c r="Q73">
        <v>-1.5908071575528104</v>
      </c>
      <c r="R73">
        <v>13.001178629870987</v>
      </c>
      <c r="S73">
        <v>1.1006816018593565E-4</v>
      </c>
      <c r="T73">
        <v>1.7946793283525164E-4</v>
      </c>
    </row>
    <row r="74" spans="1:20" x14ac:dyDescent="0.2">
      <c r="A74" t="s">
        <v>7</v>
      </c>
      <c r="B74" s="25">
        <v>233.61806712962965</v>
      </c>
      <c r="C74" s="4">
        <v>1489.7</v>
      </c>
      <c r="D74" s="4">
        <v>21.3</v>
      </c>
      <c r="E74" s="4">
        <v>27</v>
      </c>
      <c r="F74">
        <v>37.519999999999996</v>
      </c>
      <c r="G74" s="4">
        <v>0.86199999999999988</v>
      </c>
      <c r="H74">
        <v>22.609260459999998</v>
      </c>
      <c r="I74">
        <v>13.42745259657371</v>
      </c>
      <c r="J74" s="6">
        <v>-8.9612000000000009E-5</v>
      </c>
      <c r="L74" s="6">
        <v>5.9553090033179639E-5</v>
      </c>
      <c r="N74" t="s">
        <v>7</v>
      </c>
      <c r="O74">
        <v>233.61230324074077</v>
      </c>
      <c r="P74" s="4">
        <v>1437.2</v>
      </c>
      <c r="Q74">
        <v>-5.4227133782000001</v>
      </c>
      <c r="R74">
        <v>7.4807540688864629</v>
      </c>
      <c r="S74">
        <v>-4.4602599999999999E-5</v>
      </c>
      <c r="T74">
        <v>1.0321476606474482E-4</v>
      </c>
    </row>
    <row r="75" spans="1:20" x14ac:dyDescent="0.2">
      <c r="A75" t="s">
        <v>7</v>
      </c>
      <c r="B75" s="25">
        <v>240.46052083333333</v>
      </c>
      <c r="C75" s="4">
        <v>1497.7</v>
      </c>
      <c r="D75" s="4">
        <v>11.440000000000001</v>
      </c>
      <c r="E75" s="4">
        <v>23.112000000000002</v>
      </c>
      <c r="F75">
        <v>40.44</v>
      </c>
      <c r="G75" s="4">
        <v>0.83399999999999996</v>
      </c>
      <c r="H75">
        <v>23.481069363080518</v>
      </c>
      <c r="I75">
        <v>21.073000487067908</v>
      </c>
      <c r="J75" s="6">
        <v>-1.9490146325986535E-4</v>
      </c>
      <c r="L75" s="6">
        <v>1.9061315168177973E-4</v>
      </c>
      <c r="N75" t="s">
        <v>7</v>
      </c>
      <c r="O75">
        <v>240.45391203703701</v>
      </c>
      <c r="P75" s="4">
        <v>1448.7</v>
      </c>
      <c r="Q75">
        <v>-5.4421234417073663</v>
      </c>
      <c r="R75">
        <v>2.3796724032368268</v>
      </c>
      <c r="S75">
        <v>-2.265533014446786E-4</v>
      </c>
      <c r="T75">
        <v>1.6730320028614888E-4</v>
      </c>
    </row>
    <row r="76" spans="1:20" x14ac:dyDescent="0.2">
      <c r="A76" t="s">
        <v>7</v>
      </c>
      <c r="B76" s="25">
        <v>240.5655324074074</v>
      </c>
      <c r="C76" s="4">
        <v>1437.7</v>
      </c>
      <c r="D76" s="4">
        <v>11</v>
      </c>
      <c r="E76" s="4">
        <v>27.887999999999998</v>
      </c>
      <c r="F76">
        <v>44.3</v>
      </c>
      <c r="G76" s="4">
        <v>0.82800000000000007</v>
      </c>
      <c r="H76">
        <v>24.914901276714552</v>
      </c>
      <c r="I76">
        <v>19.801305563157847</v>
      </c>
      <c r="J76" s="6">
        <v>-1.07953E-4</v>
      </c>
      <c r="L76" s="6">
        <v>1.1055836086881897E-4</v>
      </c>
      <c r="N76" t="s">
        <v>7</v>
      </c>
      <c r="O76">
        <v>240.55909722222222</v>
      </c>
      <c r="P76" s="4">
        <v>1570.2</v>
      </c>
      <c r="Q76">
        <v>-4.1622704352983728</v>
      </c>
      <c r="R76">
        <v>4.6067726290889546</v>
      </c>
      <c r="S76">
        <v>-1.9090539999999998E-4</v>
      </c>
      <c r="T76">
        <v>7.9156281357198687E-5</v>
      </c>
    </row>
    <row r="77" spans="1:20" x14ac:dyDescent="0.2">
      <c r="A77" t="s">
        <v>7</v>
      </c>
      <c r="B77" s="25">
        <v>247.45473342592604</v>
      </c>
      <c r="C77" s="4">
        <v>647.20000000000005</v>
      </c>
      <c r="D77" s="4">
        <v>13.26</v>
      </c>
      <c r="E77" s="4">
        <v>22.663999999999998</v>
      </c>
      <c r="F77">
        <v>41.42</v>
      </c>
      <c r="G77" s="4">
        <v>0.81799999999999995</v>
      </c>
      <c r="H77">
        <v>18.412677278</v>
      </c>
      <c r="I77">
        <v>7.9816933945837372</v>
      </c>
      <c r="J77" s="6">
        <v>-2.6936080000000001E-4</v>
      </c>
      <c r="L77" s="6">
        <v>1.7036068323912065E-4</v>
      </c>
      <c r="N77" t="s">
        <v>7</v>
      </c>
      <c r="O77">
        <v>247.44795092592602</v>
      </c>
      <c r="P77" s="4">
        <v>616.20000000000005</v>
      </c>
      <c r="Q77">
        <v>-7.7190562306000006</v>
      </c>
      <c r="R77">
        <v>8.246244643246504</v>
      </c>
      <c r="S77">
        <v>-1.6007500000000003E-4</v>
      </c>
      <c r="T77">
        <v>2.0444158156549268E-4</v>
      </c>
    </row>
    <row r="78" spans="1:20" x14ac:dyDescent="0.2">
      <c r="A78" t="s">
        <v>7</v>
      </c>
      <c r="B78" s="25">
        <v>247.55177099999929</v>
      </c>
      <c r="C78" s="4">
        <v>1480.2</v>
      </c>
      <c r="D78" s="4">
        <v>11.46</v>
      </c>
      <c r="E78" s="4">
        <v>24.997999999999998</v>
      </c>
      <c r="F78">
        <v>38.980000000000004</v>
      </c>
      <c r="G78" s="4">
        <v>0.81200000000000006</v>
      </c>
      <c r="H78">
        <v>21.534794213999998</v>
      </c>
      <c r="I78">
        <v>8.461268871381737</v>
      </c>
      <c r="J78" s="6">
        <v>-1.504252E-4</v>
      </c>
      <c r="L78" s="6">
        <v>2.172965052530758E-4</v>
      </c>
      <c r="N78" t="s">
        <v>7</v>
      </c>
      <c r="O78">
        <v>247.54365700000125</v>
      </c>
      <c r="P78" s="4">
        <v>1037.7</v>
      </c>
      <c r="Q78">
        <v>-17.182202202999999</v>
      </c>
      <c r="R78">
        <v>10.439813748500788</v>
      </c>
      <c r="S78">
        <v>-1.1749840000000002E-4</v>
      </c>
      <c r="T78">
        <v>3.2647502163917532E-4</v>
      </c>
    </row>
    <row r="79" spans="1:20" x14ac:dyDescent="0.2">
      <c r="A79" t="s">
        <v>7</v>
      </c>
      <c r="B79" s="25">
        <v>256.45457299999981</v>
      </c>
      <c r="C79" s="4">
        <v>1422.2</v>
      </c>
      <c r="D79" s="4">
        <v>16.160000000000004</v>
      </c>
      <c r="E79" s="4">
        <v>15.666</v>
      </c>
      <c r="F79">
        <v>20.34</v>
      </c>
      <c r="G79" s="4">
        <v>0.65600000000000003</v>
      </c>
      <c r="H79">
        <v>12.601413887436143</v>
      </c>
      <c r="I79">
        <v>8.229200252602844</v>
      </c>
      <c r="J79" s="6">
        <v>-1.45432E-4</v>
      </c>
      <c r="L79" s="6">
        <v>3.1847970951616369E-4</v>
      </c>
      <c r="N79" t="s">
        <v>7</v>
      </c>
      <c r="O79">
        <v>256.44735000000003</v>
      </c>
      <c r="P79" s="4">
        <v>1349.7</v>
      </c>
      <c r="Q79">
        <v>-5.4528283100207871</v>
      </c>
      <c r="R79">
        <v>3.7296205136634515</v>
      </c>
      <c r="S79">
        <v>-1.1223600000000001E-4</v>
      </c>
      <c r="T79">
        <v>2.0401348853568479E-4</v>
      </c>
    </row>
    <row r="80" spans="1:20" x14ac:dyDescent="0.2">
      <c r="A80" t="s">
        <v>7</v>
      </c>
      <c r="B80" s="25">
        <v>256.55283599999967</v>
      </c>
      <c r="C80" s="4">
        <v>1498.1999999999998</v>
      </c>
      <c r="D80" s="4">
        <v>17</v>
      </c>
      <c r="E80" s="4">
        <v>19.224</v>
      </c>
      <c r="F80">
        <v>19.36</v>
      </c>
      <c r="G80" s="4">
        <v>0.65400000000000014</v>
      </c>
      <c r="H80">
        <v>13.398265252750001</v>
      </c>
      <c r="I80">
        <v>3.5722911248210032</v>
      </c>
      <c r="J80" s="6">
        <v>-1.4417875E-4</v>
      </c>
      <c r="L80" s="6">
        <v>2.4606791859887653E-4</v>
      </c>
      <c r="N80" t="s">
        <v>7</v>
      </c>
      <c r="O80">
        <v>256.54693400000104</v>
      </c>
      <c r="P80" s="4">
        <v>1155.7</v>
      </c>
      <c r="Q80">
        <v>-1.6402171379999999</v>
      </c>
      <c r="R80">
        <v>3.743939984623915</v>
      </c>
      <c r="S80">
        <v>-1.8986879999999999E-4</v>
      </c>
      <c r="T80">
        <v>5.9699015881101419E-4</v>
      </c>
    </row>
    <row r="81" spans="1:20" x14ac:dyDescent="0.2">
      <c r="A81" t="s">
        <v>7</v>
      </c>
      <c r="B81" s="25">
        <v>262.48348499999992</v>
      </c>
      <c r="C81" s="4">
        <v>1538.7</v>
      </c>
      <c r="D81" s="4">
        <v>12.4</v>
      </c>
      <c r="E81" s="4">
        <v>13.668000000000001</v>
      </c>
      <c r="F81">
        <v>17.64</v>
      </c>
      <c r="G81" s="4">
        <v>0.49000000000000005</v>
      </c>
      <c r="H81">
        <v>9.9476339024330738</v>
      </c>
      <c r="I81">
        <v>5.6866634421635043</v>
      </c>
      <c r="J81" s="6">
        <v>-1.6814210122629371E-4</v>
      </c>
      <c r="L81" s="6">
        <v>1.9717293507136305E-4</v>
      </c>
      <c r="N81" t="s">
        <v>7</v>
      </c>
      <c r="O81">
        <v>262.47562400000027</v>
      </c>
      <c r="P81" s="4">
        <v>1507.7</v>
      </c>
      <c r="Q81">
        <v>3.847744446068166</v>
      </c>
      <c r="R81">
        <v>1.1720242055162688</v>
      </c>
      <c r="S81">
        <v>-2.1983042398297244E-4</v>
      </c>
      <c r="T81">
        <v>2.7759925373013332E-4</v>
      </c>
    </row>
    <row r="82" spans="1:20" x14ac:dyDescent="0.2">
      <c r="A82" t="s">
        <v>7</v>
      </c>
      <c r="B82" s="25">
        <v>262.59262900000033</v>
      </c>
      <c r="C82" s="4">
        <v>1543.7</v>
      </c>
      <c r="D82" s="4">
        <v>11.66</v>
      </c>
      <c r="E82" s="4">
        <v>18.446000000000002</v>
      </c>
      <c r="F82">
        <v>23.359999999999996</v>
      </c>
      <c r="G82" s="4">
        <v>0.50600000000000001</v>
      </c>
      <c r="H82">
        <v>10.424736501459341</v>
      </c>
      <c r="I82">
        <v>5.3165389102461997</v>
      </c>
      <c r="J82" s="6">
        <v>-2.221038233631032E-4</v>
      </c>
      <c r="L82" s="6">
        <v>3.3528670197954845E-4</v>
      </c>
      <c r="N82" t="s">
        <v>7</v>
      </c>
      <c r="O82">
        <v>262.58511499999952</v>
      </c>
      <c r="P82" s="4">
        <v>1572.7</v>
      </c>
      <c r="Q82">
        <v>4.7823822256665336</v>
      </c>
      <c r="R82">
        <v>1.356645993395506</v>
      </c>
      <c r="S82">
        <v>1.0437506023562042E-5</v>
      </c>
      <c r="T82">
        <v>9.9256037522928368E-5</v>
      </c>
    </row>
    <row r="83" spans="1:20" x14ac:dyDescent="0.2">
      <c r="A83" t="s">
        <v>7</v>
      </c>
      <c r="B83" s="25">
        <v>269.45428299999986</v>
      </c>
      <c r="C83" s="4">
        <v>1568.7</v>
      </c>
      <c r="D83" s="4">
        <v>8.58</v>
      </c>
      <c r="E83" s="4">
        <v>21.89</v>
      </c>
      <c r="F83">
        <v>15.120000000000001</v>
      </c>
      <c r="G83" s="4">
        <v>0.34599999999999997</v>
      </c>
      <c r="H83">
        <v>6.270658200601388</v>
      </c>
      <c r="I83">
        <v>2.8060683063305958</v>
      </c>
      <c r="J83" s="6">
        <v>-3.1462971725170917E-4</v>
      </c>
      <c r="L83" s="6">
        <v>2.2436807746717345E-4</v>
      </c>
      <c r="N83" t="s">
        <v>7</v>
      </c>
      <c r="O83">
        <v>269.44604200000032</v>
      </c>
      <c r="P83" s="4">
        <v>1388.7</v>
      </c>
      <c r="Q83">
        <v>3.6825345237659461</v>
      </c>
      <c r="R83">
        <v>1.4164686494199372</v>
      </c>
      <c r="S83">
        <v>-5.0711689287382884E-5</v>
      </c>
      <c r="T83">
        <v>1.0041195269747635E-4</v>
      </c>
    </row>
    <row r="84" spans="1:20" x14ac:dyDescent="0.2">
      <c r="A84" s="18" t="s">
        <v>7</v>
      </c>
      <c r="B84" s="26">
        <v>269.55972166666714</v>
      </c>
      <c r="C84" s="4">
        <v>87.866666666666674</v>
      </c>
      <c r="D84" s="4">
        <v>10.866666666666667</v>
      </c>
      <c r="E84" s="4">
        <v>20.74</v>
      </c>
      <c r="F84">
        <v>15.700000000000001</v>
      </c>
      <c r="G84" s="4">
        <v>0.34333333333333332</v>
      </c>
      <c r="H84">
        <v>5.6178109009539146</v>
      </c>
      <c r="I84">
        <v>0.72205729714868783</v>
      </c>
      <c r="J84" s="6">
        <v>-2.6509763646089831E-4</v>
      </c>
      <c r="L84" s="6">
        <v>1.0986090660835628E-4</v>
      </c>
      <c r="N84" s="18" t="s">
        <v>7</v>
      </c>
      <c r="O84">
        <v>269.55212166666632</v>
      </c>
      <c r="P84" s="4">
        <v>130.36666666666665</v>
      </c>
      <c r="Q84">
        <v>6.0427121036552025</v>
      </c>
      <c r="R84">
        <v>0.8583422410913073</v>
      </c>
      <c r="S84">
        <v>-3.6665438364634397E-4</v>
      </c>
      <c r="T84">
        <v>3.3248798865831861E-5</v>
      </c>
    </row>
    <row r="85" spans="1:20" x14ac:dyDescent="0.2">
      <c r="A85" t="s">
        <v>7</v>
      </c>
      <c r="B85" s="25">
        <v>276.45291600000053</v>
      </c>
      <c r="C85" s="4">
        <v>234.7</v>
      </c>
      <c r="D85" s="4">
        <v>19.16</v>
      </c>
      <c r="E85" s="4">
        <v>9.11</v>
      </c>
      <c r="F85">
        <v>16.82</v>
      </c>
      <c r="G85" s="4">
        <v>0.30200000000000005</v>
      </c>
      <c r="H85">
        <v>4.441588707119922</v>
      </c>
      <c r="I85">
        <v>0.92926128714399014</v>
      </c>
      <c r="J85" s="6">
        <v>-1.3005972515332118E-4</v>
      </c>
      <c r="L85" s="6">
        <v>1.0436380671888877E-4</v>
      </c>
      <c r="N85" t="s">
        <v>7</v>
      </c>
      <c r="O85">
        <v>276.44618100000008</v>
      </c>
      <c r="P85" s="4">
        <v>231.7</v>
      </c>
      <c r="Q85">
        <v>3.9315664637591836</v>
      </c>
      <c r="R85">
        <v>0.96577206601707044</v>
      </c>
      <c r="S85">
        <v>-1.2514561446063034E-4</v>
      </c>
      <c r="T85">
        <v>8.7769429594865438E-5</v>
      </c>
    </row>
    <row r="86" spans="1:20" x14ac:dyDescent="0.2">
      <c r="A86" t="s">
        <v>7</v>
      </c>
      <c r="B86" s="25">
        <v>276.5388200000001</v>
      </c>
      <c r="C86" s="4">
        <v>244.7</v>
      </c>
      <c r="D86">
        <v>21.324000000000002</v>
      </c>
      <c r="E86" s="4">
        <v>9.33</v>
      </c>
      <c r="F86">
        <v>15.819999999999999</v>
      </c>
      <c r="G86" s="4">
        <v>0.308</v>
      </c>
      <c r="H86">
        <v>4.9142060352527235</v>
      </c>
      <c r="I86">
        <v>0.96389040315239949</v>
      </c>
      <c r="J86" s="6">
        <v>-1.2158500000000001E-4</v>
      </c>
      <c r="L86" s="6">
        <v>1.1244534135747912E-4</v>
      </c>
      <c r="N86" t="s">
        <v>7</v>
      </c>
      <c r="O86">
        <v>276.53187500000058</v>
      </c>
      <c r="P86" s="4">
        <v>249.7</v>
      </c>
      <c r="Q86">
        <v>4.5100916002031699</v>
      </c>
      <c r="R86">
        <v>0.79768056490100858</v>
      </c>
      <c r="S86">
        <v>-1.1507640000000001E-4</v>
      </c>
      <c r="T86">
        <v>7.1594467455942437E-5</v>
      </c>
    </row>
    <row r="87" spans="1:20" x14ac:dyDescent="0.2">
      <c r="A87" t="s">
        <v>7</v>
      </c>
      <c r="B87" s="25">
        <v>281.45888899999989</v>
      </c>
      <c r="C87" s="4">
        <v>1143.7</v>
      </c>
      <c r="D87">
        <v>23.7</v>
      </c>
      <c r="E87" s="4">
        <v>15.666</v>
      </c>
      <c r="F87" t="e">
        <v>#DIV/0!</v>
      </c>
      <c r="G87" s="4">
        <v>0.28000000000000003</v>
      </c>
      <c r="H87">
        <v>6.3923277568016541</v>
      </c>
      <c r="I87">
        <v>2.395402795169133</v>
      </c>
      <c r="J87" s="6">
        <v>-1.1761616179512699E-5</v>
      </c>
      <c r="L87" s="6">
        <v>6.6736091299068843E-5</v>
      </c>
      <c r="N87" t="s">
        <v>7</v>
      </c>
      <c r="O87">
        <v>281.45224600000074</v>
      </c>
      <c r="P87" s="4">
        <v>1099.2</v>
      </c>
      <c r="Q87">
        <v>6.8449157126827229</v>
      </c>
      <c r="R87">
        <v>2.096655056173105</v>
      </c>
      <c r="S87">
        <v>-7.2428934080213219E-6</v>
      </c>
      <c r="T87">
        <v>7.8457235385625241E-5</v>
      </c>
    </row>
    <row r="88" spans="1:20" x14ac:dyDescent="0.2">
      <c r="A88" t="s">
        <v>7</v>
      </c>
      <c r="B88" s="25">
        <v>281.56627399999854</v>
      </c>
      <c r="C88" s="4">
        <v>1051.7</v>
      </c>
      <c r="D88">
        <v>22.9</v>
      </c>
      <c r="E88" s="4">
        <v>17.89</v>
      </c>
      <c r="F88" t="e">
        <v>#DIV/0!</v>
      </c>
      <c r="G88" s="4">
        <v>0.28200000000000003</v>
      </c>
      <c r="H88">
        <v>5.5326784250000003</v>
      </c>
      <c r="I88">
        <v>1.0008801128446578</v>
      </c>
      <c r="J88" s="6">
        <v>-3.3124142646461622E-5</v>
      </c>
      <c r="L88" s="6">
        <v>1.1669047606468267E-4</v>
      </c>
      <c r="N88" t="s">
        <v>7</v>
      </c>
      <c r="O88">
        <v>281.5602070000001</v>
      </c>
      <c r="P88" s="4">
        <v>1011.7</v>
      </c>
      <c r="Q88">
        <v>6.0958141701999997</v>
      </c>
      <c r="R88">
        <v>1.3273100215838951</v>
      </c>
      <c r="S88">
        <v>-8.0175008930871719E-5</v>
      </c>
      <c r="T88">
        <v>8.1188473129415782E-5</v>
      </c>
    </row>
    <row r="89" spans="1:20" x14ac:dyDescent="0.2">
      <c r="A89" t="s">
        <v>7</v>
      </c>
      <c r="B89" s="25">
        <v>288.43118199999952</v>
      </c>
      <c r="C89" s="4">
        <v>1004.7</v>
      </c>
      <c r="D89">
        <v>17.48</v>
      </c>
      <c r="E89" s="4">
        <v>8.5579999999999998</v>
      </c>
      <c r="F89" t="e">
        <v>#DIV/0!</v>
      </c>
      <c r="G89" s="4">
        <v>0.22599999999999998</v>
      </c>
      <c r="H89">
        <v>2.5604521067141022</v>
      </c>
      <c r="I89">
        <v>0.69154146020842155</v>
      </c>
      <c r="J89" s="6">
        <v>-1.8433033518375225E-4</v>
      </c>
      <c r="L89" s="6">
        <v>9.5843887054636271E-5</v>
      </c>
      <c r="N89" t="s">
        <v>7</v>
      </c>
      <c r="O89">
        <v>288.42488500000036</v>
      </c>
      <c r="P89" s="4">
        <v>957.2</v>
      </c>
      <c r="Q89">
        <v>2.616546297045788</v>
      </c>
      <c r="R89">
        <v>0.43900845203418049</v>
      </c>
      <c r="S89">
        <v>-1.5919330073181534E-4</v>
      </c>
      <c r="T89">
        <v>7.8545618969630692E-5</v>
      </c>
    </row>
    <row r="90" spans="1:20" x14ac:dyDescent="0.2">
      <c r="A90" t="s">
        <v>7</v>
      </c>
      <c r="B90" s="25">
        <v>288.52992999999987</v>
      </c>
      <c r="C90" s="4">
        <v>1370.2</v>
      </c>
      <c r="D90">
        <v>16.419999999999998</v>
      </c>
      <c r="E90" s="4">
        <v>13.112</v>
      </c>
      <c r="F90" t="e">
        <v>#DIV/0!</v>
      </c>
      <c r="G90" s="4">
        <v>0.21000000000000002</v>
      </c>
      <c r="H90">
        <v>2.9883785497204478</v>
      </c>
      <c r="I90">
        <v>0.84818283080432089</v>
      </c>
      <c r="J90" s="6">
        <v>-1.335062238467361E-4</v>
      </c>
      <c r="L90" s="6">
        <v>4.9026830430592334E-5</v>
      </c>
      <c r="N90" t="s">
        <v>7</v>
      </c>
      <c r="O90">
        <v>288.52391299999942</v>
      </c>
      <c r="P90" s="4">
        <v>1353.7</v>
      </c>
      <c r="Q90">
        <v>2.8947040179125962</v>
      </c>
      <c r="R90">
        <v>0.7387130729087783</v>
      </c>
      <c r="S90">
        <v>-1.300347340430586E-4</v>
      </c>
      <c r="T90">
        <v>6.5148329029628921E-5</v>
      </c>
    </row>
    <row r="91" spans="1:20" x14ac:dyDescent="0.2">
      <c r="A91" t="s">
        <v>7</v>
      </c>
      <c r="B91" s="25">
        <v>297.47257100000058</v>
      </c>
      <c r="C91" s="4">
        <v>1076.2</v>
      </c>
      <c r="D91">
        <v>21.740000000000002</v>
      </c>
      <c r="E91" s="4">
        <v>13.224</v>
      </c>
      <c r="F91" t="e">
        <v>#DIV/0!</v>
      </c>
      <c r="G91" s="4">
        <v>0.192</v>
      </c>
      <c r="H91">
        <v>2.1818185358201942</v>
      </c>
      <c r="I91">
        <v>0.65619130494188216</v>
      </c>
      <c r="J91" s="6">
        <v>-6.385479999999999E-5</v>
      </c>
      <c r="L91" s="6">
        <v>1.4355547665867715E-4</v>
      </c>
      <c r="N91" t="s">
        <v>7</v>
      </c>
      <c r="O91">
        <v>297.46673499999963</v>
      </c>
      <c r="P91" s="4">
        <v>1048.7</v>
      </c>
      <c r="Q91">
        <v>2.3321889282463162</v>
      </c>
      <c r="R91">
        <v>0.76442602891400435</v>
      </c>
      <c r="S91">
        <v>-1.3041999999999988E-5</v>
      </c>
      <c r="T91">
        <v>3.8953676150332714E-4</v>
      </c>
    </row>
    <row r="92" spans="1:20" x14ac:dyDescent="0.2">
      <c r="A92" t="s">
        <v>7</v>
      </c>
      <c r="B92" s="25">
        <v>297.54319499999986</v>
      </c>
      <c r="C92" s="4">
        <v>1235.2</v>
      </c>
      <c r="D92">
        <v>21.380000000000003</v>
      </c>
      <c r="E92" s="4">
        <v>15.782</v>
      </c>
      <c r="F92" t="e">
        <v>#DIV/0!</v>
      </c>
      <c r="G92" s="4">
        <v>0.188</v>
      </c>
      <c r="H92">
        <v>2.3683671986511863</v>
      </c>
      <c r="I92">
        <v>0.85799465288747012</v>
      </c>
      <c r="J92" s="6">
        <v>2.7010489523103352E-5</v>
      </c>
      <c r="L92" s="6">
        <v>5.3164550951773815E-5</v>
      </c>
      <c r="N92" t="s">
        <v>7</v>
      </c>
      <c r="O92">
        <v>297.53742999999884</v>
      </c>
      <c r="P92" s="4">
        <v>1237.2</v>
      </c>
      <c r="Q92">
        <v>2.6134338791886238</v>
      </c>
      <c r="R92">
        <v>0.80864633308890688</v>
      </c>
      <c r="S92">
        <v>1.2866803841941741E-4</v>
      </c>
      <c r="T92">
        <v>9.348208347928674E-5</v>
      </c>
    </row>
    <row r="93" spans="1:20" x14ac:dyDescent="0.2">
      <c r="A93" t="s">
        <v>7</v>
      </c>
      <c r="B93" s="25">
        <v>302.46319599999987</v>
      </c>
      <c r="C93" s="4">
        <v>419.2</v>
      </c>
      <c r="D93">
        <v>23.060000000000002</v>
      </c>
      <c r="E93" s="4">
        <v>14.440000000000001</v>
      </c>
      <c r="F93" t="e">
        <v>#DIV/0!</v>
      </c>
      <c r="G93" s="4">
        <v>0.182</v>
      </c>
      <c r="H93">
        <v>2.4577363578008802</v>
      </c>
      <c r="I93">
        <v>0.58946251552971951</v>
      </c>
      <c r="J93" s="6">
        <v>-1.3762310808594121E-4</v>
      </c>
      <c r="L93" s="6">
        <v>3.0501127194258545E-5</v>
      </c>
      <c r="N93" t="s">
        <v>7</v>
      </c>
      <c r="O93">
        <v>302.45708299999967</v>
      </c>
      <c r="P93" s="4">
        <v>488.7</v>
      </c>
      <c r="Q93">
        <v>2.5830622485388179</v>
      </c>
      <c r="R93">
        <v>0.50541365560962936</v>
      </c>
      <c r="S93">
        <v>-1.392807444586132E-4</v>
      </c>
      <c r="T93">
        <v>3.9214572504506097E-5</v>
      </c>
    </row>
    <row r="94" spans="1:20" x14ac:dyDescent="0.2">
      <c r="A94" t="s">
        <v>7</v>
      </c>
      <c r="B94" s="25">
        <v>302.56680499999931</v>
      </c>
      <c r="C94" s="4">
        <v>561.70000000000005</v>
      </c>
      <c r="D94">
        <v>22.400000000000002</v>
      </c>
      <c r="E94" s="4">
        <v>15.448000000000002</v>
      </c>
      <c r="F94" t="e">
        <v>#DIV/0!</v>
      </c>
      <c r="G94" s="4">
        <v>0.184</v>
      </c>
      <c r="H94">
        <v>2.5839000270000003</v>
      </c>
      <c r="I94">
        <v>0.7242221719541444</v>
      </c>
      <c r="J94" s="6">
        <v>-9.831762965504688E-5</v>
      </c>
      <c r="L94" s="6">
        <v>4.2281921300117749E-5</v>
      </c>
      <c r="N94" t="s">
        <v>7</v>
      </c>
      <c r="O94">
        <v>302.56052100000016</v>
      </c>
      <c r="P94" s="4">
        <v>580.20000000000005</v>
      </c>
      <c r="Q94">
        <v>2.6130685755999998</v>
      </c>
      <c r="R94">
        <v>0.62177599426362418</v>
      </c>
      <c r="S94">
        <v>-6.2064674031288107E-5</v>
      </c>
      <c r="T94">
        <v>8.5018840531466929E-5</v>
      </c>
    </row>
    <row r="95" spans="1:20" x14ac:dyDescent="0.2">
      <c r="A95" t="s">
        <v>7</v>
      </c>
      <c r="B95" s="25">
        <v>309.45687699999979</v>
      </c>
      <c r="C95" s="4">
        <v>306.2</v>
      </c>
      <c r="D95">
        <v>19.84</v>
      </c>
      <c r="E95" s="4">
        <v>12.78</v>
      </c>
      <c r="F95" t="e">
        <v>#DIV/0!</v>
      </c>
      <c r="G95" s="4">
        <v>0.18</v>
      </c>
      <c r="H95">
        <v>1.438951850669312</v>
      </c>
      <c r="I95">
        <v>0.31561191477626077</v>
      </c>
      <c r="J95" s="6">
        <v>-1.764449047863068E-4</v>
      </c>
      <c r="L95" s="6">
        <v>4.4127767184163758E-5</v>
      </c>
      <c r="N95" t="s">
        <v>7</v>
      </c>
      <c r="O95">
        <v>309.45066000000077</v>
      </c>
      <c r="P95" s="4">
        <v>350.70000000000005</v>
      </c>
      <c r="Q95">
        <v>1.6061899628765661</v>
      </c>
      <c r="R95">
        <v>0.29309566685832328</v>
      </c>
      <c r="S95">
        <v>-1.9018593869854679E-4</v>
      </c>
      <c r="T95">
        <v>5.6679141333898771E-5</v>
      </c>
    </row>
    <row r="96" spans="1:20" x14ac:dyDescent="0.2">
      <c r="A96" t="s">
        <v>5</v>
      </c>
      <c r="B96" s="25">
        <v>107.42117999999974</v>
      </c>
      <c r="C96" s="4">
        <v>1326.2</v>
      </c>
      <c r="D96">
        <v>18.28</v>
      </c>
      <c r="E96" s="4">
        <v>10</v>
      </c>
      <c r="F96" t="e">
        <v>#DIV/0!</v>
      </c>
      <c r="G96" s="4" t="e">
        <v>#DIV/0!</v>
      </c>
      <c r="H96">
        <v>0.67193975867875666</v>
      </c>
      <c r="I96">
        <v>0.11853974954829517</v>
      </c>
      <c r="J96" s="6">
        <v>4.1477891319809121E-5</v>
      </c>
      <c r="L96" s="6">
        <v>4.2024838665211303E-5</v>
      </c>
      <c r="N96" t="s">
        <v>5</v>
      </c>
      <c r="O96">
        <v>107.41631999999954</v>
      </c>
      <c r="P96" s="4">
        <v>1293.7</v>
      </c>
      <c r="Q96">
        <v>0.73288627620328051</v>
      </c>
      <c r="R96">
        <v>0.13303160108351517</v>
      </c>
      <c r="S96">
        <v>1.4486325997868963E-4</v>
      </c>
      <c r="T96">
        <v>7.2422378116052404E-5</v>
      </c>
    </row>
    <row r="97" spans="1:20" x14ac:dyDescent="0.2">
      <c r="A97" t="s">
        <v>5</v>
      </c>
      <c r="B97" s="25">
        <v>107.67060200000051</v>
      </c>
      <c r="C97" s="4">
        <v>1295.7</v>
      </c>
      <c r="D97">
        <v>17.5</v>
      </c>
      <c r="E97" s="4">
        <v>11.11</v>
      </c>
      <c r="F97" t="e">
        <v>#DIV/0!</v>
      </c>
      <c r="G97" s="4" t="e">
        <v>#DIV/0!</v>
      </c>
      <c r="H97">
        <v>1.0076131232537731</v>
      </c>
      <c r="I97">
        <v>0.13191324336474472</v>
      </c>
      <c r="J97" s="6">
        <v>1.9055628118247421E-4</v>
      </c>
      <c r="L97" s="6">
        <v>5.5954867725553771E-5</v>
      </c>
      <c r="N97" t="s">
        <v>5</v>
      </c>
      <c r="O97">
        <v>107.66573999999892</v>
      </c>
      <c r="P97" s="4">
        <v>1292.2</v>
      </c>
      <c r="Q97">
        <v>1.113899547047998</v>
      </c>
      <c r="R97">
        <v>7.5157353789128856E-2</v>
      </c>
      <c r="S97">
        <v>3.14303331787736E-4</v>
      </c>
      <c r="T97">
        <v>7.9603671099284803E-5</v>
      </c>
    </row>
    <row r="98" spans="1:20" x14ac:dyDescent="0.2">
      <c r="A98" t="s">
        <v>5</v>
      </c>
      <c r="B98" s="25">
        <v>113.38229199999986</v>
      </c>
      <c r="C98" s="4">
        <v>772.2</v>
      </c>
      <c r="D98">
        <v>18.360000000000003</v>
      </c>
      <c r="E98" s="4">
        <v>14.440000000000001</v>
      </c>
      <c r="F98" t="e">
        <v>#DIV/0!</v>
      </c>
      <c r="G98" s="4" t="e">
        <v>#DIV/0!</v>
      </c>
      <c r="H98">
        <v>0.91337381805092765</v>
      </c>
      <c r="I98">
        <v>0.20390062936200146</v>
      </c>
      <c r="J98" s="6">
        <v>-1.0008066538599039E-5</v>
      </c>
      <c r="L98" s="6">
        <v>4.7870226388137445E-5</v>
      </c>
      <c r="N98" t="s">
        <v>5</v>
      </c>
      <c r="O98">
        <v>113.37742999999973</v>
      </c>
      <c r="P98" s="4">
        <v>962.2</v>
      </c>
      <c r="Q98">
        <v>0.82582506877159667</v>
      </c>
      <c r="R98">
        <v>0.17291037200338685</v>
      </c>
      <c r="S98">
        <v>2.7158147632123777E-5</v>
      </c>
      <c r="T98">
        <v>1.0370007202683565E-4</v>
      </c>
    </row>
    <row r="99" spans="1:20" x14ac:dyDescent="0.2">
      <c r="A99" t="s">
        <v>5</v>
      </c>
      <c r="B99" s="25">
        <v>113.51365799999913</v>
      </c>
      <c r="C99" s="4">
        <v>1399.7</v>
      </c>
      <c r="D99">
        <v>16.78</v>
      </c>
      <c r="E99" s="4">
        <v>20.56</v>
      </c>
      <c r="F99" t="e">
        <v>#DIV/0!</v>
      </c>
      <c r="G99" s="4" t="e">
        <v>#DIV/0!</v>
      </c>
      <c r="H99">
        <v>1.1850562034763021</v>
      </c>
      <c r="I99">
        <v>0.3007534781329867</v>
      </c>
      <c r="J99" s="6">
        <v>6.9176151063464461E-5</v>
      </c>
      <c r="L99" s="6">
        <v>1.5518487545199499E-4</v>
      </c>
      <c r="N99" t="s">
        <v>5</v>
      </c>
      <c r="O99">
        <v>113.50879600000044</v>
      </c>
      <c r="P99" s="4">
        <v>1740.7</v>
      </c>
      <c r="Q99">
        <v>1.3874938542575979</v>
      </c>
      <c r="R99">
        <v>0.21734029841979011</v>
      </c>
      <c r="S99">
        <v>2.2824872920621404E-4</v>
      </c>
      <c r="T99">
        <v>9.7321429845563859E-5</v>
      </c>
    </row>
    <row r="100" spans="1:20" x14ac:dyDescent="0.2">
      <c r="A100" t="s">
        <v>5</v>
      </c>
      <c r="B100" s="25">
        <v>122.40382000000027</v>
      </c>
      <c r="C100" s="4">
        <v>442.7</v>
      </c>
      <c r="D100">
        <v>18.399999999999999</v>
      </c>
      <c r="E100" s="4">
        <v>12.22</v>
      </c>
      <c r="F100" t="e">
        <v>#DIV/0!</v>
      </c>
      <c r="G100" s="4" t="e">
        <v>#DIV/0!</v>
      </c>
      <c r="H100">
        <v>0.83686593787670804</v>
      </c>
      <c r="I100">
        <v>0.22278162349368094</v>
      </c>
      <c r="J100" s="6">
        <v>-9.0392414350864964E-5</v>
      </c>
      <c r="L100" s="6">
        <v>6.2490604271259772E-5</v>
      </c>
      <c r="N100" t="s">
        <v>5</v>
      </c>
      <c r="O100">
        <v>122.39895800000014</v>
      </c>
      <c r="P100" s="4">
        <v>531.70000000000005</v>
      </c>
      <c r="Q100">
        <v>0.68819746368986578</v>
      </c>
      <c r="R100">
        <v>0.18419977982733152</v>
      </c>
      <c r="S100">
        <v>-2.2454898666135545E-5</v>
      </c>
      <c r="T100">
        <v>1.245495734598921E-4</v>
      </c>
    </row>
    <row r="101" spans="1:20" x14ac:dyDescent="0.2">
      <c r="A101" t="s">
        <v>5</v>
      </c>
      <c r="B101" s="25">
        <v>122.52208500000052</v>
      </c>
      <c r="C101" s="4">
        <v>360.2</v>
      </c>
      <c r="D101">
        <v>18.459999999999997</v>
      </c>
      <c r="E101" s="4">
        <v>12.78</v>
      </c>
      <c r="F101" t="e">
        <v>#DIV/0!</v>
      </c>
      <c r="G101" s="4" t="e">
        <v>#DIV/0!</v>
      </c>
      <c r="H101">
        <v>0.92133365534543366</v>
      </c>
      <c r="I101">
        <v>0.26360080201502128</v>
      </c>
      <c r="J101" s="6">
        <v>-8.6487122251913861E-5</v>
      </c>
      <c r="L101" s="6">
        <v>4.2556238427806223E-5</v>
      </c>
      <c r="N101" t="s">
        <v>5</v>
      </c>
      <c r="O101">
        <v>122.51777900000016</v>
      </c>
      <c r="P101" s="4">
        <v>492.2</v>
      </c>
      <c r="Q101">
        <v>0.8134878288316838</v>
      </c>
      <c r="R101">
        <v>0.34635773290967325</v>
      </c>
      <c r="S101">
        <v>-1.3434686433095181E-4</v>
      </c>
      <c r="T101">
        <v>5.9765339562441507E-5</v>
      </c>
    </row>
    <row r="102" spans="1:20" x14ac:dyDescent="0.2">
      <c r="A102" t="s">
        <v>5</v>
      </c>
      <c r="B102" s="25">
        <v>142.43402799999893</v>
      </c>
      <c r="C102" s="4">
        <v>1512.7</v>
      </c>
      <c r="D102">
        <v>15.3</v>
      </c>
      <c r="E102" s="4">
        <v>18.3</v>
      </c>
      <c r="F102" t="e">
        <v>#DIV/0!</v>
      </c>
      <c r="G102" s="4" t="e">
        <v>#DIV/0!</v>
      </c>
      <c r="H102">
        <v>-9.5490680902257424E-4</v>
      </c>
      <c r="I102">
        <v>2.1160250938682896E-3</v>
      </c>
      <c r="J102" s="6">
        <v>-3.6932800000000004E-4</v>
      </c>
      <c r="L102" s="6">
        <v>5.354613631238952E-4</v>
      </c>
      <c r="N102" t="s">
        <v>5</v>
      </c>
      <c r="O102">
        <v>142.4291680000002</v>
      </c>
      <c r="P102" s="4">
        <v>1480.7</v>
      </c>
      <c r="Q102">
        <v>-3.3833432269590302E-4</v>
      </c>
      <c r="R102">
        <v>6.870951435539647E-4</v>
      </c>
      <c r="S102">
        <v>-2.076038E-4</v>
      </c>
      <c r="T102">
        <v>3.6158273810872111E-4</v>
      </c>
    </row>
    <row r="103" spans="1:20" x14ac:dyDescent="0.2">
      <c r="A103" t="s">
        <v>5</v>
      </c>
      <c r="B103" s="25">
        <v>142.5357640000002</v>
      </c>
      <c r="C103" s="4">
        <v>1830.7</v>
      </c>
      <c r="D103">
        <v>14.76</v>
      </c>
      <c r="E103" s="4">
        <v>21.67</v>
      </c>
      <c r="F103" t="e">
        <v>#DIV/0!</v>
      </c>
      <c r="G103" s="4" t="e">
        <v>#DIV/0!</v>
      </c>
      <c r="H103">
        <v>-0.60301398875238521</v>
      </c>
      <c r="I103">
        <v>1.590278395815242</v>
      </c>
      <c r="J103" s="6">
        <v>-9.5490680902257424E-4</v>
      </c>
      <c r="L103" s="6">
        <v>2.1160250938682896E-3</v>
      </c>
      <c r="N103" t="s">
        <v>5</v>
      </c>
      <c r="O103">
        <v>142.53090200000005</v>
      </c>
      <c r="P103" s="4">
        <v>1835.2</v>
      </c>
      <c r="Q103">
        <v>1.2052892480429775</v>
      </c>
      <c r="R103">
        <v>0.56175236940860562</v>
      </c>
      <c r="S103">
        <v>-3.3833432269590302E-4</v>
      </c>
      <c r="T103">
        <v>6.870951435539647E-4</v>
      </c>
    </row>
    <row r="104" spans="1:20" x14ac:dyDescent="0.2">
      <c r="A104" t="s">
        <v>5</v>
      </c>
      <c r="B104" s="25">
        <v>150.48020800000012</v>
      </c>
      <c r="C104" s="4">
        <v>580.70000000000005</v>
      </c>
      <c r="D104">
        <v>23.479999999999997</v>
      </c>
      <c r="E104" s="4">
        <v>20</v>
      </c>
      <c r="F104" t="e">
        <v>#DIV/0!</v>
      </c>
      <c r="G104" s="4" t="e">
        <v>#DIV/0!</v>
      </c>
      <c r="H104">
        <v>1.5864105172071259</v>
      </c>
      <c r="I104">
        <v>0.16432791760487531</v>
      </c>
      <c r="J104" s="6">
        <v>3.8096341528817283E-4</v>
      </c>
      <c r="L104" s="6">
        <v>7.7920690914414019E-5</v>
      </c>
      <c r="N104" t="s">
        <v>5</v>
      </c>
      <c r="O104">
        <v>150.47534799999994</v>
      </c>
      <c r="P104" s="4">
        <v>680.2</v>
      </c>
      <c r="Q104">
        <v>1.39368579730978</v>
      </c>
      <c r="R104">
        <v>0.52394323294662237</v>
      </c>
      <c r="S104">
        <v>4.9545040703721939E-4</v>
      </c>
      <c r="T104">
        <v>1.8464274114184996E-4</v>
      </c>
    </row>
    <row r="105" spans="1:20" x14ac:dyDescent="0.2">
      <c r="A105" t="s">
        <v>5</v>
      </c>
      <c r="B105" s="25">
        <v>150.546875</v>
      </c>
      <c r="C105" s="4">
        <v>423.7</v>
      </c>
      <c r="D105">
        <v>20.04</v>
      </c>
      <c r="E105" s="4">
        <v>20.56</v>
      </c>
      <c r="F105" t="e">
        <v>#DIV/0!</v>
      </c>
      <c r="G105" s="4" t="e">
        <v>#DIV/0!</v>
      </c>
      <c r="H105">
        <v>1.2138918963394485</v>
      </c>
      <c r="I105">
        <v>0.60954994826864872</v>
      </c>
      <c r="J105" s="6">
        <v>1.3979371134418419E-4</v>
      </c>
      <c r="L105" s="6">
        <v>2.145968392803983E-4</v>
      </c>
      <c r="N105" t="s">
        <v>5</v>
      </c>
      <c r="O105">
        <v>150.54201400000019</v>
      </c>
      <c r="P105" s="4">
        <v>444.7</v>
      </c>
      <c r="Q105">
        <v>1.429745869116168</v>
      </c>
      <c r="R105">
        <v>0.44145495465459111</v>
      </c>
      <c r="S105">
        <v>4.4948395970583702E-4</v>
      </c>
      <c r="T105">
        <v>2.1250687123479592E-4</v>
      </c>
    </row>
    <row r="106" spans="1:20" x14ac:dyDescent="0.2">
      <c r="A106" t="s">
        <v>5</v>
      </c>
      <c r="B106" s="25">
        <v>154.42951400000021</v>
      </c>
      <c r="C106" s="4">
        <v>1614.7</v>
      </c>
      <c r="D106">
        <v>13.3</v>
      </c>
      <c r="E106" s="4">
        <v>19.666</v>
      </c>
      <c r="F106" t="e">
        <v>#DIV/0!</v>
      </c>
      <c r="G106" s="4" t="e">
        <v>#DIV/0!</v>
      </c>
      <c r="H106">
        <v>1.5159770543329221</v>
      </c>
      <c r="I106">
        <v>0.10430387337859574</v>
      </c>
      <c r="J106" s="6">
        <v>-3.5937675291858262E-7</v>
      </c>
      <c r="L106" s="6">
        <v>3.8222991631011724E-8</v>
      </c>
      <c r="N106" t="s">
        <v>5</v>
      </c>
      <c r="O106">
        <v>154.42465199999933</v>
      </c>
      <c r="P106" s="4">
        <v>1597.7</v>
      </c>
      <c r="Q106">
        <v>1.0090806210457219</v>
      </c>
      <c r="R106">
        <v>0.7778406681436203</v>
      </c>
      <c r="S106">
        <v>-2.6415202451781933E-7</v>
      </c>
      <c r="T106">
        <v>1.9240878516253678E-7</v>
      </c>
    </row>
    <row r="107" spans="1:20" x14ac:dyDescent="0.2">
      <c r="A107" t="s">
        <v>5</v>
      </c>
      <c r="B107" s="25">
        <v>154.53020799999939</v>
      </c>
      <c r="C107" s="4">
        <v>1915.2</v>
      </c>
      <c r="D107">
        <v>10.16</v>
      </c>
      <c r="E107" s="4">
        <v>23.89</v>
      </c>
      <c r="F107" t="e">
        <v>#DIV/0!</v>
      </c>
      <c r="G107" s="4" t="e">
        <v>#DIV/0!</v>
      </c>
      <c r="H107">
        <v>2.0264111651942782</v>
      </c>
      <c r="I107">
        <v>0.74582170770184053</v>
      </c>
      <c r="J107" s="6">
        <v>-3.8846452646717539E-7</v>
      </c>
      <c r="L107" s="6">
        <v>1.3591798484114973E-7</v>
      </c>
      <c r="N107" t="s">
        <v>5</v>
      </c>
      <c r="O107">
        <v>154.52534799999995</v>
      </c>
      <c r="P107" s="4">
        <v>1916.2</v>
      </c>
      <c r="Q107">
        <v>2.1191124467983884</v>
      </c>
      <c r="R107">
        <v>0.95823035212296481</v>
      </c>
      <c r="S107">
        <v>-4.5746581736151107E-7</v>
      </c>
      <c r="T107">
        <v>2.0585387646382792E-7</v>
      </c>
    </row>
    <row r="108" spans="1:20" x14ac:dyDescent="0.2">
      <c r="A108" t="s">
        <v>5</v>
      </c>
      <c r="B108" s="25">
        <v>163.45729199999988</v>
      </c>
      <c r="C108" s="4">
        <v>1771.7</v>
      </c>
      <c r="D108">
        <v>15.919999999999998</v>
      </c>
      <c r="E108" s="4">
        <v>20.56</v>
      </c>
      <c r="F108" t="e">
        <v>#DIV/0!</v>
      </c>
      <c r="G108" s="4" t="e">
        <v>#DIV/0!</v>
      </c>
      <c r="H108">
        <v>2.8285226044283318</v>
      </c>
      <c r="I108">
        <v>0.36678843269443001</v>
      </c>
      <c r="J108" s="6">
        <v>-3.0713293162756577E-6</v>
      </c>
      <c r="L108" s="6">
        <v>1.2727356063543352E-4</v>
      </c>
      <c r="N108" t="s">
        <v>5</v>
      </c>
      <c r="O108">
        <v>163.45242999999974</v>
      </c>
      <c r="P108" s="4">
        <v>1764.7</v>
      </c>
      <c r="Q108">
        <v>1.845944140075888</v>
      </c>
      <c r="R108">
        <v>1.7146303280839943</v>
      </c>
      <c r="S108">
        <v>1.2344939125114956E-4</v>
      </c>
      <c r="T108">
        <v>1.1542657192431118E-4</v>
      </c>
    </row>
    <row r="109" spans="1:20" x14ac:dyDescent="0.2">
      <c r="A109" t="s">
        <v>5</v>
      </c>
      <c r="B109" s="25">
        <v>163.54062500000001</v>
      </c>
      <c r="C109" s="4">
        <v>1875.7</v>
      </c>
      <c r="D109">
        <v>15.440000000000001</v>
      </c>
      <c r="E109" s="4">
        <v>23.33</v>
      </c>
      <c r="F109" t="e">
        <v>#DIV/0!</v>
      </c>
      <c r="G109" s="4" t="e">
        <v>#DIV/0!</v>
      </c>
      <c r="H109">
        <v>3.146295586346072</v>
      </c>
      <c r="I109">
        <v>0.37543764694250165</v>
      </c>
      <c r="J109" s="6">
        <v>2.7315452853356782E-5</v>
      </c>
      <c r="L109" s="6">
        <v>2.8026293290111289E-4</v>
      </c>
      <c r="N109" t="s">
        <v>5</v>
      </c>
      <c r="O109">
        <v>163.5357640000002</v>
      </c>
      <c r="P109" s="4">
        <v>1946.2</v>
      </c>
      <c r="Q109">
        <v>2.2501757583948105</v>
      </c>
      <c r="R109">
        <v>1.780035228537332</v>
      </c>
      <c r="S109">
        <v>1.5090394319471225E-4</v>
      </c>
      <c r="T109">
        <v>2.3985275439054277E-4</v>
      </c>
    </row>
    <row r="110" spans="1:20" x14ac:dyDescent="0.2">
      <c r="A110" t="s">
        <v>5</v>
      </c>
      <c r="B110" s="25">
        <v>175.44131999999954</v>
      </c>
      <c r="C110" s="4">
        <v>1281.2</v>
      </c>
      <c r="D110">
        <v>13.540000000000001</v>
      </c>
      <c r="E110" s="4">
        <v>21.67</v>
      </c>
      <c r="F110" t="e">
        <v>#DIV/0!</v>
      </c>
      <c r="G110" s="4" t="e">
        <v>#DIV/0!</v>
      </c>
      <c r="H110">
        <v>2.3462210847193838</v>
      </c>
      <c r="I110">
        <v>0.95876231057326333</v>
      </c>
      <c r="J110" s="6">
        <v>9.7842185041158315E-3</v>
      </c>
      <c r="L110" s="6">
        <v>5.0105781557333202E-3</v>
      </c>
      <c r="N110" t="s">
        <v>5</v>
      </c>
      <c r="O110">
        <v>175.43645799999939</v>
      </c>
      <c r="P110" s="4">
        <v>1674.7</v>
      </c>
      <c r="Q110">
        <v>-0.39274260629807262</v>
      </c>
      <c r="R110">
        <v>4.1423870309035085</v>
      </c>
      <c r="S110">
        <v>1.8938238788173977E-2</v>
      </c>
      <c r="T110">
        <v>4.8268214395885663E-3</v>
      </c>
    </row>
    <row r="111" spans="1:20" x14ac:dyDescent="0.2">
      <c r="A111" t="s">
        <v>5</v>
      </c>
      <c r="B111" s="25">
        <v>175.57465200000007</v>
      </c>
      <c r="C111" s="4">
        <v>1514.2</v>
      </c>
      <c r="D111">
        <v>12.08</v>
      </c>
      <c r="E111" s="4">
        <v>27.78</v>
      </c>
      <c r="F111" t="e">
        <v>#DIV/0!</v>
      </c>
      <c r="G111" s="4" t="e">
        <v>#DIV/0!</v>
      </c>
      <c r="H111">
        <v>3.358356912499918</v>
      </c>
      <c r="I111">
        <v>0.99919107916341798</v>
      </c>
      <c r="J111" s="6">
        <v>-3.4439199999999995E-6</v>
      </c>
      <c r="L111" s="6">
        <v>7.6345738343407218E-6</v>
      </c>
      <c r="N111" t="s">
        <v>5</v>
      </c>
      <c r="O111">
        <v>175.56979199999986</v>
      </c>
      <c r="P111" s="4">
        <v>1481.1999999999998</v>
      </c>
      <c r="Q111">
        <v>0.52951140205690805</v>
      </c>
      <c r="R111">
        <v>3.793541558854717</v>
      </c>
      <c r="S111">
        <v>1.4045584400000002E-3</v>
      </c>
      <c r="T111">
        <v>3.1406500266337768E-3</v>
      </c>
    </row>
    <row r="112" spans="1:20" x14ac:dyDescent="0.2">
      <c r="A112" t="s">
        <v>5</v>
      </c>
      <c r="B112" s="25">
        <v>190.50659799999994</v>
      </c>
      <c r="C112" s="4">
        <v>1862.2</v>
      </c>
      <c r="D112">
        <v>8.3000000000000007</v>
      </c>
      <c r="E112" s="4">
        <v>23.89</v>
      </c>
      <c r="F112" t="e">
        <v>#DIV/0!</v>
      </c>
      <c r="G112" s="4" t="e">
        <v>#DIV/0!</v>
      </c>
      <c r="H112">
        <v>9.617221272328548</v>
      </c>
      <c r="I112">
        <v>6.8737340086897802</v>
      </c>
      <c r="J112" s="6">
        <v>-1.1201796503398157E-4</v>
      </c>
      <c r="L112" s="6">
        <v>2.6383345145651496E-4</v>
      </c>
      <c r="N112" t="s">
        <v>5</v>
      </c>
      <c r="O112">
        <v>190.50173600000053</v>
      </c>
      <c r="P112" s="4">
        <v>1852.2</v>
      </c>
      <c r="Q112">
        <v>-1.0950814971108158</v>
      </c>
      <c r="R112">
        <v>8.4603735022814686</v>
      </c>
      <c r="S112">
        <v>-2.1468227934284388E-5</v>
      </c>
      <c r="T112">
        <v>1.8697021986089182E-4</v>
      </c>
    </row>
    <row r="113" spans="1:20" x14ac:dyDescent="0.2">
      <c r="A113" t="s">
        <v>5</v>
      </c>
      <c r="B113" s="25">
        <v>190.5982640000002</v>
      </c>
      <c r="C113" s="4">
        <v>1819.2</v>
      </c>
      <c r="D113">
        <v>7.68</v>
      </c>
      <c r="E113" s="4">
        <v>28.329999999999995</v>
      </c>
      <c r="F113" t="e">
        <v>#DIV/0!</v>
      </c>
      <c r="G113" s="4" t="e">
        <v>#DIV/0!</v>
      </c>
      <c r="H113">
        <v>6.8005312325197638</v>
      </c>
      <c r="I113">
        <v>5.8449524498856906</v>
      </c>
      <c r="J113" s="6">
        <v>1.5864134902919514E-4</v>
      </c>
      <c r="L113" s="6">
        <v>1.7225701912643832E-4</v>
      </c>
      <c r="N113" t="s">
        <v>5</v>
      </c>
      <c r="O113">
        <v>190.59340200000005</v>
      </c>
      <c r="P113" s="4">
        <v>1814.7</v>
      </c>
      <c r="Q113">
        <v>-1.0332014950805639</v>
      </c>
      <c r="R113">
        <v>7.0779844093086171</v>
      </c>
      <c r="S113">
        <v>2.7333120437856103E-4</v>
      </c>
      <c r="T113">
        <v>2.8417751158424034E-4</v>
      </c>
    </row>
    <row r="114" spans="1:20" x14ac:dyDescent="0.2">
      <c r="A114" t="s">
        <v>5</v>
      </c>
      <c r="B114" s="25">
        <v>207.46796199999955</v>
      </c>
      <c r="C114" s="4">
        <v>1696.7</v>
      </c>
      <c r="D114">
        <v>12.36</v>
      </c>
      <c r="E114" s="4">
        <v>26.110000000000003</v>
      </c>
      <c r="F114" t="e">
        <v>#DIV/0!</v>
      </c>
      <c r="G114" s="4" t="e">
        <v>#DIV/0!</v>
      </c>
      <c r="H114">
        <v>14.525559096930627</v>
      </c>
      <c r="I114">
        <v>7.2131949524232084</v>
      </c>
      <c r="J114" s="6">
        <v>4.1055403886220401E-6</v>
      </c>
      <c r="L114" s="6">
        <v>2.4639286803347865E-4</v>
      </c>
      <c r="N114" t="s">
        <v>5</v>
      </c>
      <c r="O114">
        <v>207.46310099999974</v>
      </c>
      <c r="P114" s="4">
        <v>1671.7</v>
      </c>
      <c r="Q114">
        <v>-13.391855166816438</v>
      </c>
      <c r="R114">
        <v>8.8432641045012588</v>
      </c>
      <c r="S114">
        <v>1.1694309707320731E-5</v>
      </c>
      <c r="T114">
        <v>3.434635348375195E-4</v>
      </c>
    </row>
    <row r="115" spans="1:20" x14ac:dyDescent="0.2">
      <c r="A115" t="s">
        <v>5</v>
      </c>
      <c r="B115" s="25">
        <v>211.41840200000007</v>
      </c>
      <c r="C115" s="4">
        <v>1411.2</v>
      </c>
      <c r="D115">
        <v>4</v>
      </c>
      <c r="E115" s="4">
        <v>28.329999999999995</v>
      </c>
      <c r="F115">
        <v>36.940000000000005</v>
      </c>
      <c r="G115" s="4">
        <v>0.82200000000000006</v>
      </c>
      <c r="H115">
        <v>11.846710263130523</v>
      </c>
      <c r="I115">
        <v>11.59118334331375</v>
      </c>
      <c r="J115" s="6">
        <v>1.0737926000000001E-3</v>
      </c>
      <c r="L115" s="6">
        <v>1.365385631422786E-3</v>
      </c>
      <c r="N115" t="s">
        <v>5</v>
      </c>
      <c r="O115">
        <v>211.41354199999986</v>
      </c>
      <c r="P115" s="4">
        <v>1379.2</v>
      </c>
      <c r="Q115">
        <v>-12.244474507782794</v>
      </c>
      <c r="R115">
        <v>2.1012368094175526</v>
      </c>
      <c r="S115">
        <v>-1.9023660000000003E-4</v>
      </c>
      <c r="T115">
        <v>3.1159556056657803E-4</v>
      </c>
    </row>
    <row r="116" spans="1:20" x14ac:dyDescent="0.2">
      <c r="A116" t="s">
        <v>5</v>
      </c>
      <c r="B116" s="25">
        <v>211.61840200000006</v>
      </c>
      <c r="C116" s="4">
        <v>1664.2</v>
      </c>
      <c r="D116">
        <v>2.2600000000000002</v>
      </c>
      <c r="E116" s="4">
        <v>32.78</v>
      </c>
      <c r="F116">
        <v>37.6</v>
      </c>
      <c r="G116" s="4">
        <v>0.77799999999999991</v>
      </c>
      <c r="H116">
        <v>14.466362833495543</v>
      </c>
      <c r="I116">
        <v>6.7528582823186847</v>
      </c>
      <c r="J116" s="6">
        <v>8.0186712000000007E-3</v>
      </c>
      <c r="L116" s="6">
        <v>1.6005943107388242E-2</v>
      </c>
      <c r="N116" t="s">
        <v>5</v>
      </c>
      <c r="O116">
        <v>211.61354199999988</v>
      </c>
      <c r="P116" s="4">
        <v>1685.2</v>
      </c>
      <c r="Q116">
        <v>-7.8375982734717979</v>
      </c>
      <c r="R116">
        <v>5.3592669176992533</v>
      </c>
      <c r="S116">
        <v>7.7012779999999996E-4</v>
      </c>
      <c r="T116">
        <v>1.4624648943238603E-3</v>
      </c>
    </row>
    <row r="117" spans="1:20" x14ac:dyDescent="0.2">
      <c r="A117" t="s">
        <v>5</v>
      </c>
      <c r="B117" s="25">
        <v>219.46842699999905</v>
      </c>
      <c r="C117" s="4">
        <v>1542.7</v>
      </c>
      <c r="D117">
        <v>4.8600000000000003</v>
      </c>
      <c r="E117" s="4">
        <v>25.782</v>
      </c>
      <c r="F117">
        <v>39.700000000000003</v>
      </c>
      <c r="G117" s="4">
        <v>0.83200000000000007</v>
      </c>
      <c r="H117">
        <v>31.283106289999999</v>
      </c>
      <c r="I117">
        <v>12.342846861157199</v>
      </c>
      <c r="J117" s="6">
        <v>-3.1417011683405102E-4</v>
      </c>
      <c r="L117" s="6">
        <v>1.3988608916711215E-4</v>
      </c>
      <c r="N117" t="s">
        <v>5</v>
      </c>
      <c r="O117">
        <v>219.46188499999988</v>
      </c>
      <c r="P117" s="4">
        <v>1353.7</v>
      </c>
      <c r="Q117">
        <v>-8.0188032802000002</v>
      </c>
      <c r="R117">
        <v>2.9795402715792059</v>
      </c>
      <c r="S117">
        <v>-2.398638791460159E-4</v>
      </c>
      <c r="T117">
        <v>1.7360192310279812E-4</v>
      </c>
    </row>
    <row r="118" spans="1:20" x14ac:dyDescent="0.2">
      <c r="A118" t="s">
        <v>5</v>
      </c>
      <c r="B118" s="25">
        <v>219.5890370000001</v>
      </c>
      <c r="C118" s="4">
        <v>1697.7</v>
      </c>
      <c r="D118">
        <v>3.4199999999999995</v>
      </c>
      <c r="E118" s="4">
        <v>28.224</v>
      </c>
      <c r="F118">
        <v>42.760000000000005</v>
      </c>
      <c r="G118" s="4">
        <v>0.77600000000000002</v>
      </c>
      <c r="H118">
        <v>28.23394911029078</v>
      </c>
      <c r="I118">
        <v>8.870551405387781</v>
      </c>
      <c r="J118" s="6">
        <v>1.35245468E-3</v>
      </c>
      <c r="L118" s="6">
        <v>3.1876817045957727E-3</v>
      </c>
      <c r="N118" t="s">
        <v>5</v>
      </c>
      <c r="O118">
        <v>219.58278300000092</v>
      </c>
      <c r="P118" s="4">
        <v>1347.2</v>
      </c>
      <c r="Q118">
        <v>-5.6948073219345963</v>
      </c>
      <c r="R118">
        <v>1.4637662412583308</v>
      </c>
      <c r="S118">
        <v>-6.1433807999999998E-4</v>
      </c>
      <c r="T118">
        <v>1.2474240473736014E-3</v>
      </c>
    </row>
    <row r="119" spans="1:20" x14ac:dyDescent="0.2">
      <c r="A119" t="s">
        <v>5</v>
      </c>
      <c r="B119" s="25">
        <v>224.47804799999867</v>
      </c>
      <c r="C119" s="4">
        <v>1650.2</v>
      </c>
      <c r="D119">
        <v>2</v>
      </c>
      <c r="E119" s="4">
        <v>24.553999999999998</v>
      </c>
      <c r="F119">
        <v>38.96</v>
      </c>
      <c r="G119" s="4">
        <v>0.72200000000000009</v>
      </c>
      <c r="H119">
        <v>27.958890848209318</v>
      </c>
      <c r="I119">
        <v>15.336574990901495</v>
      </c>
      <c r="J119" s="6">
        <v>-2.3745659999999997E-4</v>
      </c>
      <c r="L119" s="6">
        <v>7.3524173329592781E-5</v>
      </c>
      <c r="N119" t="s">
        <v>5</v>
      </c>
      <c r="O119">
        <v>224.47091</v>
      </c>
      <c r="P119" s="4">
        <v>1623.2</v>
      </c>
      <c r="Q119">
        <v>4.237572613337834</v>
      </c>
      <c r="R119">
        <v>3.3058915462686396</v>
      </c>
      <c r="S119">
        <v>-1.989828E-4</v>
      </c>
      <c r="T119">
        <v>1.2037234943166972E-4</v>
      </c>
    </row>
    <row r="120" spans="1:20" x14ac:dyDescent="0.2">
      <c r="A120" t="s">
        <v>5</v>
      </c>
      <c r="B120" s="25">
        <v>224.60683500000087</v>
      </c>
      <c r="C120" s="4">
        <v>1302.7</v>
      </c>
      <c r="D120">
        <v>2.4</v>
      </c>
      <c r="E120" s="4">
        <v>28.995999999999999</v>
      </c>
      <c r="F120">
        <v>39.14</v>
      </c>
      <c r="G120" s="4">
        <v>0.71599999999999997</v>
      </c>
      <c r="H120">
        <v>28.105277282000003</v>
      </c>
      <c r="I120">
        <v>16.506494815727635</v>
      </c>
      <c r="J120" s="6">
        <v>-2.6775380000000002E-4</v>
      </c>
      <c r="L120" s="6">
        <v>1.034745372867161E-4</v>
      </c>
      <c r="N120" t="s">
        <v>5</v>
      </c>
      <c r="O120">
        <v>224.5996600000006</v>
      </c>
      <c r="P120" s="4">
        <v>1616.2</v>
      </c>
      <c r="Q120">
        <v>5.2434470161999993</v>
      </c>
      <c r="R120">
        <v>4.6448630084134432</v>
      </c>
      <c r="S120">
        <v>-1.8762060000000001E-4</v>
      </c>
      <c r="T120">
        <v>1.1327587912172654E-4</v>
      </c>
    </row>
    <row r="121" spans="1:20" x14ac:dyDescent="0.2">
      <c r="A121" t="s">
        <v>5</v>
      </c>
      <c r="B121" s="25">
        <v>228.55357699999951</v>
      </c>
      <c r="C121" s="4">
        <v>1593.7</v>
      </c>
      <c r="D121">
        <v>2.9200000000000004</v>
      </c>
      <c r="E121" s="4">
        <v>25.222000000000001</v>
      </c>
      <c r="F121">
        <v>42.84</v>
      </c>
      <c r="G121" s="4">
        <v>0.72199999999999998</v>
      </c>
      <c r="H121">
        <v>23.537530751497819</v>
      </c>
      <c r="I121">
        <v>11.299649688253036</v>
      </c>
      <c r="J121" s="6">
        <v>-1.5010562135803058E-4</v>
      </c>
      <c r="L121" s="6">
        <v>1.8447386614948812E-4</v>
      </c>
      <c r="N121" t="s">
        <v>5</v>
      </c>
      <c r="O121">
        <v>228.5486109999998</v>
      </c>
      <c r="P121" s="4">
        <v>1824.2</v>
      </c>
      <c r="Q121">
        <v>0.17074605404362311</v>
      </c>
      <c r="R121">
        <v>2.6655919010225375</v>
      </c>
      <c r="S121">
        <v>-1.081744144392752E-4</v>
      </c>
      <c r="T121">
        <v>1.9819074691683258E-4</v>
      </c>
    </row>
    <row r="122" spans="1:20" x14ac:dyDescent="0.2">
      <c r="A122" t="s">
        <v>5</v>
      </c>
      <c r="B122" s="25">
        <v>228.64512799999866</v>
      </c>
      <c r="C122" s="4">
        <v>1453.2</v>
      </c>
      <c r="D122">
        <v>3.9</v>
      </c>
      <c r="E122" s="4">
        <v>27.113999999999997</v>
      </c>
      <c r="F122">
        <v>42.4</v>
      </c>
      <c r="G122" s="4">
        <v>0.73799999999999999</v>
      </c>
      <c r="H122">
        <v>17.268798684002942</v>
      </c>
      <c r="I122">
        <v>7.0728501666480739</v>
      </c>
      <c r="J122" s="6">
        <v>-3.1792433994549963E-5</v>
      </c>
      <c r="L122" s="6">
        <v>9.8035768184710604E-5</v>
      </c>
      <c r="N122" t="s">
        <v>5</v>
      </c>
      <c r="O122">
        <v>228.63944100000009</v>
      </c>
      <c r="P122" s="4">
        <v>1486.7</v>
      </c>
      <c r="Q122">
        <v>-0.42502651112679113</v>
      </c>
      <c r="R122">
        <v>2.4478949745082548</v>
      </c>
      <c r="S122">
        <v>-6.0078252628387674E-5</v>
      </c>
      <c r="T122">
        <v>1.0693774564067671E-4</v>
      </c>
    </row>
    <row r="123" spans="1:20" x14ac:dyDescent="0.2">
      <c r="A123" t="s">
        <v>5</v>
      </c>
      <c r="B123" s="25">
        <v>231.53334499999983</v>
      </c>
      <c r="C123" s="4">
        <v>1449.2</v>
      </c>
      <c r="D123">
        <v>15.86</v>
      </c>
      <c r="E123" s="4">
        <v>28.552</v>
      </c>
      <c r="F123">
        <v>41.739999999999995</v>
      </c>
      <c r="G123" s="4">
        <v>0.81799999999999995</v>
      </c>
      <c r="H123">
        <v>33.111584290203744</v>
      </c>
      <c r="I123">
        <v>13.591936651704337</v>
      </c>
      <c r="J123" s="6">
        <v>-7.5929115939197693E-5</v>
      </c>
      <c r="L123" s="6">
        <v>1.0450208204395477E-4</v>
      </c>
      <c r="N123" t="s">
        <v>5</v>
      </c>
      <c r="O123">
        <v>231.52746499999995</v>
      </c>
      <c r="P123" s="4">
        <v>1489.7</v>
      </c>
      <c r="Q123">
        <v>-7.4402917681034895</v>
      </c>
      <c r="R123">
        <v>2.7493941857774935</v>
      </c>
      <c r="S123">
        <v>-1.4432818701027282E-5</v>
      </c>
      <c r="T123">
        <v>1.3065997561609788E-4</v>
      </c>
    </row>
    <row r="124" spans="1:20" x14ac:dyDescent="0.2">
      <c r="A124" t="s">
        <v>5</v>
      </c>
      <c r="B124" s="25">
        <v>231.64409699999959</v>
      </c>
      <c r="C124" s="4">
        <v>1099.7</v>
      </c>
      <c r="D124">
        <v>17.5</v>
      </c>
      <c r="E124" s="4">
        <v>30.559999999999995</v>
      </c>
      <c r="F124">
        <v>41.459999999999994</v>
      </c>
      <c r="G124" s="4">
        <v>0.85600000000000009</v>
      </c>
      <c r="H124">
        <v>27.064509878413666</v>
      </c>
      <c r="I124">
        <v>11.448317081623031</v>
      </c>
      <c r="J124" s="6">
        <v>-1.0855351359530779E-5</v>
      </c>
      <c r="L124" s="6">
        <v>1.3650476855330297E-4</v>
      </c>
      <c r="N124" t="s">
        <v>5</v>
      </c>
      <c r="O124">
        <v>231.63921300000075</v>
      </c>
      <c r="P124" s="4">
        <v>1490.2</v>
      </c>
      <c r="Q124">
        <v>-5.569463532114634</v>
      </c>
      <c r="R124">
        <v>2.7076528319184834</v>
      </c>
      <c r="S124">
        <v>-1.3590595540323596E-4</v>
      </c>
      <c r="T124">
        <v>1.0625478554959804E-4</v>
      </c>
    </row>
    <row r="125" spans="1:20" x14ac:dyDescent="0.2">
      <c r="A125" t="s">
        <v>5</v>
      </c>
      <c r="B125" s="25">
        <v>242.4125659999998</v>
      </c>
      <c r="C125" s="4">
        <v>1168.7</v>
      </c>
      <c r="D125">
        <v>4.72</v>
      </c>
      <c r="E125" s="4">
        <v>22.558</v>
      </c>
      <c r="F125">
        <v>39.96</v>
      </c>
      <c r="G125" s="4">
        <v>0.81600000000000006</v>
      </c>
      <c r="H125">
        <v>22.123689619229459</v>
      </c>
      <c r="I125">
        <v>7.3071867539733857</v>
      </c>
      <c r="J125" s="6">
        <v>-1.5665231326468667E-4</v>
      </c>
      <c r="L125" s="6">
        <v>9.8112554842013587E-5</v>
      </c>
      <c r="N125" t="s">
        <v>5</v>
      </c>
      <c r="O125">
        <v>242.40512799999996</v>
      </c>
      <c r="P125" s="4">
        <v>1113.7</v>
      </c>
      <c r="Q125">
        <v>-9.9861707472883303</v>
      </c>
      <c r="R125">
        <v>3.3830602543422894</v>
      </c>
      <c r="S125">
        <v>-1.5210715746658668E-4</v>
      </c>
      <c r="T125">
        <v>1.7733476371078213E-4</v>
      </c>
    </row>
    <row r="126" spans="1:20" x14ac:dyDescent="0.2">
      <c r="A126" t="s">
        <v>5</v>
      </c>
      <c r="B126" s="25">
        <v>242.53821800000006</v>
      </c>
      <c r="C126" s="4">
        <v>1073.7</v>
      </c>
      <c r="D126">
        <v>5.0600000000000005</v>
      </c>
      <c r="E126" s="4">
        <v>25.892000000000003</v>
      </c>
      <c r="F126">
        <v>41.08</v>
      </c>
      <c r="G126" s="4">
        <v>0.73799999999999999</v>
      </c>
      <c r="H126">
        <v>26.239161893260654</v>
      </c>
      <c r="I126">
        <v>10.514040723547369</v>
      </c>
      <c r="J126" s="6">
        <v>-5.9737908770197075E-5</v>
      </c>
      <c r="L126" s="6">
        <v>1.9225420454566704E-4</v>
      </c>
      <c r="N126" t="s">
        <v>5</v>
      </c>
      <c r="O126">
        <v>242.53153499999971</v>
      </c>
      <c r="P126" s="4">
        <v>1513.2</v>
      </c>
      <c r="Q126">
        <v>-2.1455504289341283</v>
      </c>
      <c r="R126">
        <v>3.6141510359957558</v>
      </c>
      <c r="S126">
        <v>-7.3778614042784065E-5</v>
      </c>
      <c r="T126">
        <v>1.2015370075013012E-4</v>
      </c>
    </row>
    <row r="127" spans="1:20" x14ac:dyDescent="0.2">
      <c r="A127" t="s">
        <v>5</v>
      </c>
      <c r="B127" s="25">
        <v>248.46035800000027</v>
      </c>
      <c r="C127" s="4" t="e">
        <v>#DIV/0!</v>
      </c>
      <c r="D127">
        <v>5.6199999999999992</v>
      </c>
      <c r="E127" s="4">
        <v>18.002000000000002</v>
      </c>
      <c r="F127">
        <v>44.04</v>
      </c>
      <c r="G127" s="4">
        <v>0.78</v>
      </c>
      <c r="H127">
        <v>18.059551801942639</v>
      </c>
      <c r="I127">
        <v>4.0972381156988948</v>
      </c>
      <c r="J127" s="6">
        <v>-9.477584853785699E-5</v>
      </c>
      <c r="L127" s="6">
        <v>1.1936063322265244E-4</v>
      </c>
      <c r="N127" t="s">
        <v>5</v>
      </c>
      <c r="O127">
        <v>248.45324200000033</v>
      </c>
      <c r="P127" s="4" t="e">
        <v>#DIV/0!</v>
      </c>
      <c r="Q127">
        <v>-21.907187797536704</v>
      </c>
      <c r="R127">
        <v>7.1731888785025477</v>
      </c>
      <c r="S127">
        <v>-4.394596354098835E-5</v>
      </c>
      <c r="T127">
        <v>2.8744970004206431E-4</v>
      </c>
    </row>
    <row r="128" spans="1:20" x14ac:dyDescent="0.2">
      <c r="A128" t="s">
        <v>5</v>
      </c>
      <c r="B128" s="25">
        <v>248.55384300000006</v>
      </c>
      <c r="C128" s="4" t="e">
        <v>#DIV/0!</v>
      </c>
      <c r="D128">
        <v>4.4799999999999995</v>
      </c>
      <c r="E128" s="4">
        <v>19.886000000000003</v>
      </c>
      <c r="F128">
        <v>43.78</v>
      </c>
      <c r="G128" s="4">
        <v>0.73199999999999998</v>
      </c>
      <c r="H128">
        <v>22.195550005830743</v>
      </c>
      <c r="I128">
        <v>3.0995605516329494</v>
      </c>
      <c r="J128" s="6">
        <v>-1.8029514432964778E-4</v>
      </c>
      <c r="L128" s="6">
        <v>1.4888081123654528E-4</v>
      </c>
      <c r="N128" t="s">
        <v>5</v>
      </c>
      <c r="O128">
        <v>248.54653899999977</v>
      </c>
      <c r="P128" s="4" t="e">
        <v>#DIV/0!</v>
      </c>
      <c r="Q128">
        <v>-18.855897136058935</v>
      </c>
      <c r="R128">
        <v>8.2274152955986875</v>
      </c>
      <c r="S128">
        <v>-9.6588648964368861E-5</v>
      </c>
      <c r="T128">
        <v>2.512021744898134E-4</v>
      </c>
    </row>
    <row r="129" spans="1:20" x14ac:dyDescent="0.2">
      <c r="A129" t="s">
        <v>5</v>
      </c>
      <c r="B129" s="25">
        <v>259.42423699999927</v>
      </c>
      <c r="C129" s="4">
        <v>423.7</v>
      </c>
      <c r="D129">
        <v>8.66</v>
      </c>
      <c r="E129" s="4">
        <v>16.004000000000001</v>
      </c>
      <c r="F129">
        <v>16.82</v>
      </c>
      <c r="G129" s="4">
        <v>0.65400000000000003</v>
      </c>
      <c r="H129">
        <v>10.825652909290692</v>
      </c>
      <c r="I129">
        <v>1.5848500860875137</v>
      </c>
      <c r="J129" s="6">
        <v>-4.8997629446107113E-5</v>
      </c>
      <c r="L129" s="6">
        <v>5.9681076560041069E-5</v>
      </c>
      <c r="N129" t="s">
        <v>5</v>
      </c>
      <c r="O129">
        <v>259.4179759999999</v>
      </c>
      <c r="P129" s="4">
        <v>345.2</v>
      </c>
      <c r="Q129">
        <v>-4.7444096696002163</v>
      </c>
      <c r="R129">
        <v>4.7280570243620481</v>
      </c>
      <c r="S129">
        <v>6.1612685614027471E-5</v>
      </c>
      <c r="T129">
        <v>1.7905224922488459E-4</v>
      </c>
    </row>
    <row r="130" spans="1:20" x14ac:dyDescent="0.2">
      <c r="A130" t="s">
        <v>5</v>
      </c>
      <c r="B130" s="25">
        <v>259.50651700000088</v>
      </c>
      <c r="C130" s="4">
        <v>1062.7</v>
      </c>
      <c r="D130">
        <v>8.8000000000000007</v>
      </c>
      <c r="E130" s="4">
        <v>19.224</v>
      </c>
      <c r="F130">
        <v>17.16</v>
      </c>
      <c r="G130" s="4">
        <v>0.59800000000000009</v>
      </c>
      <c r="H130">
        <v>21.34420328174912</v>
      </c>
      <c r="I130">
        <v>4.2550622513424328</v>
      </c>
      <c r="J130" s="6">
        <v>-6.6046781945033799E-5</v>
      </c>
      <c r="L130" s="6">
        <v>1.5910776992179032E-4</v>
      </c>
      <c r="N130" t="s">
        <v>5</v>
      </c>
      <c r="O130">
        <v>259.4991669999996</v>
      </c>
      <c r="P130" s="4">
        <v>1355.2</v>
      </c>
      <c r="Q130">
        <v>-7.7843608406458262</v>
      </c>
      <c r="R130">
        <v>7.480936447419082</v>
      </c>
      <c r="S130">
        <v>-1.650468506730339E-4</v>
      </c>
      <c r="T130">
        <v>1.441260093836853E-4</v>
      </c>
    </row>
    <row r="131" spans="1:20" x14ac:dyDescent="0.2">
      <c r="A131" t="s">
        <v>5</v>
      </c>
      <c r="B131" s="25">
        <v>270.43576299999916</v>
      </c>
      <c r="C131" s="4">
        <v>1108.2</v>
      </c>
      <c r="D131">
        <v>9.7200000000000006</v>
      </c>
      <c r="E131" s="4">
        <v>16.553999999999998</v>
      </c>
      <c r="F131">
        <v>8.42</v>
      </c>
      <c r="G131" s="4">
        <v>0.246</v>
      </c>
      <c r="H131">
        <v>7.8446075913906936</v>
      </c>
      <c r="I131">
        <v>1.3841557529024311</v>
      </c>
      <c r="J131" s="6">
        <v>-2.2649145880311851E-4</v>
      </c>
      <c r="L131" s="6">
        <v>1.6447383180318226E-4</v>
      </c>
      <c r="N131" t="s">
        <v>5</v>
      </c>
      <c r="O131">
        <v>270.42826300000013</v>
      </c>
      <c r="P131" s="4">
        <v>1059.7</v>
      </c>
      <c r="Q131">
        <v>7.6701009655844272</v>
      </c>
      <c r="R131">
        <v>1.843109563250857</v>
      </c>
      <c r="S131">
        <v>-2.003691190263069E-4</v>
      </c>
      <c r="T131">
        <v>1.5930350654302718E-4</v>
      </c>
    </row>
    <row r="132" spans="1:20" x14ac:dyDescent="0.2">
      <c r="A132" t="s">
        <v>5</v>
      </c>
      <c r="B132" s="25">
        <v>270.53270699999996</v>
      </c>
      <c r="C132" s="4">
        <v>1442.7</v>
      </c>
      <c r="D132">
        <v>8.7800000000000011</v>
      </c>
      <c r="E132" s="4">
        <v>19.224</v>
      </c>
      <c r="F132">
        <v>10.080000000000002</v>
      </c>
      <c r="G132" s="4">
        <v>0.248</v>
      </c>
      <c r="H132">
        <v>8.8574705655554062</v>
      </c>
      <c r="I132">
        <v>1.3803164900994638</v>
      </c>
      <c r="J132" s="6">
        <v>-1.4217654160397298E-4</v>
      </c>
      <c r="L132" s="6">
        <v>5.8513543781076117E-5</v>
      </c>
      <c r="N132" t="s">
        <v>5</v>
      </c>
      <c r="O132">
        <v>270.52701399999933</v>
      </c>
      <c r="P132" s="4">
        <v>1441.2</v>
      </c>
      <c r="Q132">
        <v>8.3573613207850972</v>
      </c>
      <c r="R132">
        <v>1.6622464206611383</v>
      </c>
      <c r="S132">
        <v>-1.7180347668486372E-4</v>
      </c>
      <c r="T132">
        <v>7.0138391844224709E-5</v>
      </c>
    </row>
    <row r="133" spans="1:20" x14ac:dyDescent="0.2">
      <c r="A133" t="s">
        <v>5</v>
      </c>
      <c r="B133" s="25">
        <v>275.58381900000023</v>
      </c>
      <c r="C133" s="4">
        <v>666.2</v>
      </c>
      <c r="D133">
        <v>9.5800000000000018</v>
      </c>
      <c r="E133" s="4">
        <v>24.442</v>
      </c>
      <c r="F133">
        <v>8.7200000000000006</v>
      </c>
      <c r="G133" s="4">
        <v>0.21600000000000003</v>
      </c>
      <c r="H133">
        <v>3.9944001984104252</v>
      </c>
      <c r="I133">
        <v>0.20954690435621909</v>
      </c>
      <c r="J133" s="6">
        <v>-2.1244943051748463E-5</v>
      </c>
      <c r="L133" s="6">
        <v>8.6274063792677312E-5</v>
      </c>
      <c r="N133" t="s">
        <v>5</v>
      </c>
      <c r="O133">
        <v>275.56750099999988</v>
      </c>
      <c r="P133" s="4">
        <v>708.2</v>
      </c>
      <c r="Q133">
        <v>4.9856202701782024</v>
      </c>
      <c r="R133">
        <v>1.1866699221348638</v>
      </c>
      <c r="S133">
        <v>5.0724658649824261E-5</v>
      </c>
      <c r="T133">
        <v>2.0280271173537298E-4</v>
      </c>
    </row>
    <row r="134" spans="1:20" x14ac:dyDescent="0.2">
      <c r="A134" s="18" t="s">
        <v>5</v>
      </c>
      <c r="B134" s="26">
        <v>282.50156250000055</v>
      </c>
      <c r="C134" s="21">
        <v>693.7</v>
      </c>
      <c r="D134" s="18">
        <v>18.049999999999997</v>
      </c>
      <c r="E134">
        <v>13.47</v>
      </c>
      <c r="F134" t="e">
        <v>#DIV/0!</v>
      </c>
      <c r="G134" s="4">
        <v>0.1925</v>
      </c>
      <c r="H134">
        <v>1.8404797649637601</v>
      </c>
      <c r="I134">
        <v>0.19779689191205421</v>
      </c>
      <c r="J134" s="6">
        <v>-7.1328092560909138E-5</v>
      </c>
      <c r="L134" s="6">
        <v>2.9753653118343219E-5</v>
      </c>
      <c r="N134" s="18" t="s">
        <v>5</v>
      </c>
      <c r="O134">
        <v>282.49357625000175</v>
      </c>
      <c r="P134" s="4">
        <v>579.70000000000005</v>
      </c>
      <c r="Q134">
        <v>2.3926521959892701</v>
      </c>
      <c r="R134">
        <v>0.48711337252609588</v>
      </c>
      <c r="S134">
        <v>-5.9249322682677522E-5</v>
      </c>
      <c r="T134">
        <v>1.0222866309498888E-4</v>
      </c>
    </row>
    <row r="135" spans="1:20" x14ac:dyDescent="0.2">
      <c r="A135" s="18" t="s">
        <v>5</v>
      </c>
      <c r="B135" s="26">
        <v>282.58697749999919</v>
      </c>
      <c r="C135" s="21">
        <v>500.57499999999999</v>
      </c>
      <c r="D135" s="18">
        <v>19.375</v>
      </c>
      <c r="E135">
        <v>14.72</v>
      </c>
      <c r="G135" s="4">
        <v>0.1925</v>
      </c>
      <c r="H135">
        <v>2.2677494438554526</v>
      </c>
      <c r="I135">
        <v>0.31590510439586089</v>
      </c>
      <c r="J135" s="6">
        <v>1.6704865208407335E-5</v>
      </c>
      <c r="L135">
        <v>7.7516033373366619E-5</v>
      </c>
      <c r="N135" s="18" t="s">
        <v>5</v>
      </c>
      <c r="O135">
        <v>282.58003625000038</v>
      </c>
      <c r="P135" s="4">
        <v>536.20000000000005</v>
      </c>
      <c r="Q135">
        <v>2.5703508125151</v>
      </c>
      <c r="R135">
        <v>0.45080089445657046</v>
      </c>
      <c r="S135">
        <v>2.8972208168680921E-5</v>
      </c>
      <c r="T135">
        <v>2.5963362269008742E-5</v>
      </c>
    </row>
    <row r="136" spans="1:20" x14ac:dyDescent="0.2">
      <c r="A136" t="s">
        <v>5</v>
      </c>
      <c r="B136" s="25">
        <v>289.47305699999998</v>
      </c>
      <c r="C136" s="4">
        <v>488.7</v>
      </c>
      <c r="D136">
        <v>14.62</v>
      </c>
      <c r="E136">
        <v>12.664</v>
      </c>
      <c r="F136" t="e">
        <v>#DIV/0!</v>
      </c>
      <c r="G136" s="4">
        <v>0.17800000000000002</v>
      </c>
      <c r="H136">
        <v>1.4150470296050348</v>
      </c>
      <c r="I136">
        <v>0.32264913605542667</v>
      </c>
      <c r="J136" s="6">
        <v>-1.1913539484739136E-4</v>
      </c>
      <c r="L136" s="6">
        <v>3.2267493201772691E-5</v>
      </c>
      <c r="N136" t="s">
        <v>5</v>
      </c>
      <c r="O136">
        <v>289.4645829999987</v>
      </c>
      <c r="P136" s="4">
        <v>536.20000000000005</v>
      </c>
      <c r="Q136">
        <v>1.6942177819725557</v>
      </c>
      <c r="R136">
        <v>0.2146650532840565</v>
      </c>
      <c r="S136">
        <v>-9.1412377111826085E-5</v>
      </c>
      <c r="T136">
        <v>6.9025054719436323E-5</v>
      </c>
    </row>
    <row r="137" spans="1:20" x14ac:dyDescent="0.2">
      <c r="A137" t="s">
        <v>5</v>
      </c>
      <c r="B137" s="25">
        <v>289.55889100000059</v>
      </c>
      <c r="C137" s="4">
        <v>355.7</v>
      </c>
      <c r="D137">
        <v>14.1</v>
      </c>
      <c r="E137">
        <v>19.887999999999998</v>
      </c>
      <c r="F137" t="e">
        <v>#DIV/0!</v>
      </c>
      <c r="G137" s="4">
        <v>0.16600000000000001</v>
      </c>
      <c r="H137">
        <v>1.3284992722896578</v>
      </c>
      <c r="I137">
        <v>0.24871720797057925</v>
      </c>
      <c r="J137" s="6">
        <v>-8.9241334802715318E-5</v>
      </c>
      <c r="L137" s="6">
        <v>2.3553434790244159E-5</v>
      </c>
      <c r="N137" t="s">
        <v>5</v>
      </c>
      <c r="O137">
        <v>289.55159599999968</v>
      </c>
      <c r="P137" s="4">
        <v>293.7</v>
      </c>
      <c r="Q137">
        <v>1.41725762618958</v>
      </c>
      <c r="R137">
        <v>0.22369780417345023</v>
      </c>
      <c r="S137">
        <v>-7.8320803201613735E-5</v>
      </c>
      <c r="T137">
        <v>3.7936770623754355E-5</v>
      </c>
    </row>
    <row r="138" spans="1:20" x14ac:dyDescent="0.2">
      <c r="A138" t="s">
        <v>5</v>
      </c>
      <c r="B138" s="25">
        <v>297.66264000000012</v>
      </c>
      <c r="C138" s="4">
        <v>620.70000000000005</v>
      </c>
      <c r="D138">
        <v>18.7</v>
      </c>
      <c r="E138">
        <v>20.448</v>
      </c>
      <c r="F138" t="e">
        <v>#DIV/0!</v>
      </c>
      <c r="G138" s="4">
        <v>0.17399999999999999</v>
      </c>
      <c r="H138">
        <v>1.7084981898601881</v>
      </c>
      <c r="I138">
        <v>0.32211404768171187</v>
      </c>
      <c r="J138" s="6">
        <v>-4.7360000000000001E-5</v>
      </c>
      <c r="L138" s="6">
        <v>2.587659173848055E-5</v>
      </c>
      <c r="N138" t="s">
        <v>5</v>
      </c>
      <c r="O138">
        <v>297.65687600000092</v>
      </c>
      <c r="P138" s="4">
        <v>660.2</v>
      </c>
      <c r="Q138">
        <v>1.9092202544742662</v>
      </c>
      <c r="R138">
        <v>0.44345250636888156</v>
      </c>
      <c r="S138">
        <v>3.6119599999999999E-5</v>
      </c>
      <c r="T138">
        <v>7.1564112659907954E-5</v>
      </c>
    </row>
    <row r="139" spans="1:20" x14ac:dyDescent="0.2">
      <c r="A139" t="s">
        <v>5</v>
      </c>
      <c r="B139" s="25">
        <v>297.72955000000076</v>
      </c>
      <c r="C139" s="4">
        <v>114.20000000000002</v>
      </c>
      <c r="D139">
        <v>18.14</v>
      </c>
      <c r="E139">
        <v>19.887999999999998</v>
      </c>
      <c r="F139" t="e">
        <v>#DIV/0!</v>
      </c>
      <c r="G139" s="4">
        <v>0.16200000000000001</v>
      </c>
      <c r="H139">
        <v>1.425114641924434</v>
      </c>
      <c r="I139">
        <v>0.22776220974350617</v>
      </c>
      <c r="J139" s="6">
        <v>3.7291372648841898E-7</v>
      </c>
      <c r="L139" s="6">
        <v>2.6847071826368247E-5</v>
      </c>
      <c r="N139" t="s">
        <v>5</v>
      </c>
      <c r="O139">
        <v>297.72407500000043</v>
      </c>
      <c r="P139" s="4">
        <v>147.69999999999999</v>
      </c>
      <c r="Q139">
        <v>1.5066204087410622</v>
      </c>
      <c r="R139">
        <v>0.37974586255460685</v>
      </c>
      <c r="S139">
        <v>2.3322937750308664E-6</v>
      </c>
      <c r="T139">
        <v>4.1700928085575782E-5</v>
      </c>
    </row>
    <row r="140" spans="1:20" x14ac:dyDescent="0.2">
      <c r="A140" t="s">
        <v>5</v>
      </c>
      <c r="B140" s="25">
        <v>303.43016199999983</v>
      </c>
      <c r="C140" s="4">
        <v>419.7</v>
      </c>
      <c r="D140">
        <v>20.440000000000001</v>
      </c>
      <c r="E140">
        <v>14.224</v>
      </c>
      <c r="F140" t="e">
        <v>#DIV/0!</v>
      </c>
      <c r="G140" s="4">
        <v>0.16600000000000001</v>
      </c>
      <c r="H140">
        <v>1.6131498686477102</v>
      </c>
      <c r="I140">
        <v>0.35901632483340612</v>
      </c>
      <c r="J140" s="6">
        <v>-4.4009870602644113E-5</v>
      </c>
      <c r="L140" s="6">
        <v>3.3363797871291997E-5</v>
      </c>
      <c r="N140" t="s">
        <v>5</v>
      </c>
      <c r="O140">
        <v>303.42447899999968</v>
      </c>
      <c r="P140" s="4">
        <v>404.2</v>
      </c>
      <c r="Q140">
        <v>1.8846900431578539</v>
      </c>
      <c r="R140">
        <v>0.37094947406891032</v>
      </c>
      <c r="S140">
        <v>-1.4326851085996219E-5</v>
      </c>
      <c r="T140">
        <v>4.7099148894178688E-5</v>
      </c>
    </row>
    <row r="141" spans="1:20" x14ac:dyDescent="0.2">
      <c r="A141" t="s">
        <v>5</v>
      </c>
      <c r="B141" s="25">
        <v>303.50989499999997</v>
      </c>
      <c r="C141" s="4">
        <v>433.7</v>
      </c>
      <c r="D141">
        <v>20.919999999999998</v>
      </c>
      <c r="E141">
        <v>15.559999999999999</v>
      </c>
      <c r="F141" t="e">
        <v>#DIV/0!</v>
      </c>
      <c r="G141" s="4">
        <v>0.16000000000000003</v>
      </c>
      <c r="H141">
        <v>1.7305381346852537</v>
      </c>
      <c r="I141">
        <v>0.56051835049466625</v>
      </c>
      <c r="J141" s="6">
        <v>-1.977821579311844E-5</v>
      </c>
      <c r="L141" s="6">
        <v>8.1428722180679468E-5</v>
      </c>
      <c r="N141" t="s">
        <v>5</v>
      </c>
      <c r="O141">
        <v>303.50225599999976</v>
      </c>
      <c r="P141" s="4">
        <v>434.2</v>
      </c>
      <c r="Q141">
        <v>1.8027917492613881</v>
      </c>
      <c r="R141">
        <v>0.40816071068543575</v>
      </c>
      <c r="S141">
        <v>1.1172119407506077E-5</v>
      </c>
      <c r="T141">
        <v>5.2059728296924725E-5</v>
      </c>
    </row>
    <row r="142" spans="1:20" x14ac:dyDescent="0.2">
      <c r="A142" t="s">
        <v>8</v>
      </c>
      <c r="B142" s="25">
        <v>107.49627200000104</v>
      </c>
      <c r="C142" s="4">
        <v>1693.7</v>
      </c>
      <c r="D142">
        <v>15.319999999999999</v>
      </c>
      <c r="E142">
        <v>11.66</v>
      </c>
      <c r="F142" t="e">
        <v>#DIV/0!</v>
      </c>
      <c r="G142" s="4" t="e">
        <v>#DIV/0!</v>
      </c>
      <c r="H142">
        <v>1.9731230813804905</v>
      </c>
      <c r="I142">
        <v>1.1331774285690761</v>
      </c>
      <c r="J142" s="6">
        <v>3.7758226186507986E-5</v>
      </c>
      <c r="L142" s="6">
        <v>2.5509884428726184E-4</v>
      </c>
      <c r="N142" t="s">
        <v>8</v>
      </c>
      <c r="O142">
        <v>107.49141200000012</v>
      </c>
      <c r="P142" s="4">
        <v>1678.2</v>
      </c>
      <c r="Q142">
        <v>-0.61738437990854023</v>
      </c>
      <c r="R142">
        <v>4.5324709993336487</v>
      </c>
      <c r="S142">
        <v>4.5365760549506901E-4</v>
      </c>
      <c r="T142">
        <v>6.1318253594549652E-4</v>
      </c>
    </row>
    <row r="143" spans="1:20" x14ac:dyDescent="0.2">
      <c r="A143" t="s">
        <v>8</v>
      </c>
      <c r="B143" s="25">
        <v>113.44785800000027</v>
      </c>
      <c r="C143" s="4">
        <v>1512.2</v>
      </c>
      <c r="D143">
        <v>14.52</v>
      </c>
      <c r="E143">
        <v>18.329999999999998</v>
      </c>
      <c r="F143" t="e">
        <v>#DIV/0!</v>
      </c>
      <c r="G143" s="4" t="e">
        <v>#DIV/0!</v>
      </c>
      <c r="H143">
        <v>4.1938830273357457</v>
      </c>
      <c r="I143">
        <v>2.3791249804818402</v>
      </c>
      <c r="J143" s="6">
        <v>-8.3495522837116482E-5</v>
      </c>
      <c r="L143" s="6">
        <v>1.1499225389717874E-4</v>
      </c>
      <c r="N143" t="s">
        <v>8</v>
      </c>
      <c r="O143">
        <v>113.44299800000081</v>
      </c>
      <c r="P143" s="4">
        <v>1483.2</v>
      </c>
      <c r="Q143">
        <v>-2.6634665192174749</v>
      </c>
      <c r="R143">
        <v>8.2083583632991761</v>
      </c>
      <c r="S143">
        <v>-2.722527104134136E-5</v>
      </c>
      <c r="T143">
        <v>5.6006930174555577E-5</v>
      </c>
    </row>
    <row r="144" spans="1:20" x14ac:dyDescent="0.2">
      <c r="A144" t="s">
        <v>8</v>
      </c>
      <c r="B144" s="25">
        <v>113.57198999999964</v>
      </c>
      <c r="C144" s="4">
        <v>1078.7</v>
      </c>
      <c r="D144">
        <v>12.819999999999999</v>
      </c>
      <c r="E144">
        <v>21.67</v>
      </c>
      <c r="F144" t="e">
        <v>#DIV/0!</v>
      </c>
      <c r="G144" s="4" t="e">
        <v>#DIV/0!</v>
      </c>
      <c r="H144">
        <v>5.9101049761654521</v>
      </c>
      <c r="I144">
        <v>4.3715304983629961</v>
      </c>
      <c r="J144" s="6">
        <v>-8.2943473449748206E-5</v>
      </c>
      <c r="L144" s="6">
        <v>1.4307989245215119E-4</v>
      </c>
      <c r="N144" t="s">
        <v>8</v>
      </c>
      <c r="O144">
        <v>113.5678230000005</v>
      </c>
      <c r="P144" s="4">
        <v>1424.2</v>
      </c>
      <c r="Q144">
        <v>-1.5959143907016089</v>
      </c>
      <c r="R144">
        <v>7.3800770737096801</v>
      </c>
      <c r="S144">
        <v>1.3483099334172426E-4</v>
      </c>
      <c r="T144">
        <v>1.5380810370836654E-4</v>
      </c>
    </row>
    <row r="145" spans="1:20" x14ac:dyDescent="0.2">
      <c r="A145" t="s">
        <v>8</v>
      </c>
      <c r="B145" s="25">
        <v>121.43729199999943</v>
      </c>
      <c r="C145" s="4">
        <v>370.2</v>
      </c>
      <c r="D145">
        <v>15.6</v>
      </c>
      <c r="E145">
        <v>10</v>
      </c>
      <c r="F145" t="e">
        <v>#DIV/0!</v>
      </c>
      <c r="G145" s="4" t="e">
        <v>#DIV/0!</v>
      </c>
      <c r="H145">
        <v>0.40300016306669717</v>
      </c>
      <c r="I145">
        <v>1.1830597487386068</v>
      </c>
      <c r="J145" s="6">
        <v>-2.1839212013313801E-5</v>
      </c>
      <c r="L145" s="6">
        <v>2.5700210376470857E-4</v>
      </c>
      <c r="N145" t="s">
        <v>8</v>
      </c>
      <c r="O145">
        <v>121.43208400000003</v>
      </c>
      <c r="P145" s="4">
        <v>327.2</v>
      </c>
      <c r="Q145">
        <v>0.52971294851724371</v>
      </c>
      <c r="R145">
        <v>0.24923142228013967</v>
      </c>
      <c r="S145">
        <v>-1.2613771342919968E-4</v>
      </c>
      <c r="T145">
        <v>2.0054470635807626E-4</v>
      </c>
    </row>
    <row r="146" spans="1:20" x14ac:dyDescent="0.2">
      <c r="A146" t="s">
        <v>8</v>
      </c>
      <c r="B146" s="25">
        <v>121.5348840000006</v>
      </c>
      <c r="C146" s="4">
        <v>758.7</v>
      </c>
      <c r="D146">
        <v>16.639999999999997</v>
      </c>
      <c r="E146">
        <v>13.330000000000002</v>
      </c>
      <c r="F146" t="e">
        <v>#DIV/0!</v>
      </c>
      <c r="G146" s="4" t="e">
        <v>#DIV/0!</v>
      </c>
      <c r="H146">
        <v>2.4644014830815566</v>
      </c>
      <c r="I146">
        <v>0.86634689809528398</v>
      </c>
      <c r="J146" s="6">
        <v>-1.2990920000000001E-4</v>
      </c>
      <c r="L146" s="6">
        <v>9.9613367090968256E-5</v>
      </c>
      <c r="N146" t="s">
        <v>8</v>
      </c>
      <c r="O146">
        <v>121.53002199999973</v>
      </c>
      <c r="P146" s="4">
        <v>786.2</v>
      </c>
      <c r="Q146">
        <v>-3.1993458243486108</v>
      </c>
      <c r="R146">
        <v>6.4501243477698633</v>
      </c>
      <c r="S146">
        <v>-9.3354399999999988E-5</v>
      </c>
      <c r="T146">
        <v>1.9356885261658188E-4</v>
      </c>
    </row>
    <row r="147" spans="1:20" x14ac:dyDescent="0.2">
      <c r="A147" t="s">
        <v>8</v>
      </c>
      <c r="B147" s="25">
        <v>135.40960599999963</v>
      </c>
      <c r="C147" s="4">
        <v>941.2</v>
      </c>
      <c r="D147">
        <v>19.64</v>
      </c>
      <c r="E147">
        <v>10</v>
      </c>
      <c r="F147" t="e">
        <v>#DIV/0!</v>
      </c>
      <c r="G147" s="4" t="e">
        <v>#DIV/0!</v>
      </c>
      <c r="H147">
        <v>3.8411233295076186</v>
      </c>
      <c r="I147">
        <v>2.6964845485168452</v>
      </c>
      <c r="J147" s="6" t="e">
        <v>#DIV/0!</v>
      </c>
      <c r="L147" s="6" t="e">
        <v>#DIV/0!</v>
      </c>
      <c r="N147" t="s">
        <v>8</v>
      </c>
      <c r="O147">
        <v>135.40474499999982</v>
      </c>
      <c r="P147" s="4">
        <v>1181.7</v>
      </c>
      <c r="Q147">
        <v>-6.4736663694032162</v>
      </c>
      <c r="R147">
        <v>5.9379710838347632</v>
      </c>
      <c r="S147" t="e">
        <v>#DIV/0!</v>
      </c>
      <c r="T147" t="e">
        <v>#DIV/0!</v>
      </c>
    </row>
    <row r="148" spans="1:20" x14ac:dyDescent="0.2">
      <c r="A148" t="s">
        <v>8</v>
      </c>
      <c r="B148" s="25">
        <v>135.5277549999999</v>
      </c>
      <c r="C148" s="4">
        <v>1599.2</v>
      </c>
      <c r="D148">
        <v>17.800000000000004</v>
      </c>
      <c r="E148">
        <v>15.559999999999999</v>
      </c>
      <c r="F148" t="e">
        <v>#DIV/0!</v>
      </c>
      <c r="G148" s="4" t="e">
        <v>#DIV/0!</v>
      </c>
      <c r="H148">
        <v>5.429604229620554</v>
      </c>
      <c r="I148">
        <v>3.3373888767944959</v>
      </c>
      <c r="J148" s="6">
        <v>1.1478039127975326E-5</v>
      </c>
      <c r="L148" s="6">
        <v>4.4435492387245716E-4</v>
      </c>
      <c r="N148" t="s">
        <v>8</v>
      </c>
      <c r="O148">
        <v>135.52289400000009</v>
      </c>
      <c r="P148" s="4">
        <v>1673.2</v>
      </c>
      <c r="Q148">
        <v>-7.6520059906658489</v>
      </c>
      <c r="R148">
        <v>6.1309329356498017</v>
      </c>
      <c r="S148">
        <v>-1.1282756446962727E-4</v>
      </c>
      <c r="T148">
        <v>4.0087406734349803E-4</v>
      </c>
    </row>
    <row r="149" spans="1:20" x14ac:dyDescent="0.2">
      <c r="A149" t="s">
        <v>8</v>
      </c>
      <c r="B149" s="25">
        <v>162.45034800000067</v>
      </c>
      <c r="C149" s="4">
        <v>69.754400000000004</v>
      </c>
      <c r="D149">
        <v>7.6799999999999979</v>
      </c>
      <c r="E149">
        <v>18.88</v>
      </c>
      <c r="F149" t="e">
        <v>#DIV/0!</v>
      </c>
      <c r="G149" s="4" t="e">
        <v>#DIV/0!</v>
      </c>
      <c r="H149">
        <v>10.291437892023682</v>
      </c>
      <c r="I149">
        <v>2.5583689053129204</v>
      </c>
      <c r="J149" s="6">
        <v>-3.6296762091210115E-4</v>
      </c>
      <c r="L149" s="6">
        <v>3.0752390593166159E-3</v>
      </c>
      <c r="N149" t="s">
        <v>8</v>
      </c>
      <c r="O149">
        <v>162.44548599999979</v>
      </c>
      <c r="P149" s="4">
        <v>69.617199999999997</v>
      </c>
      <c r="Q149">
        <v>-4.3687511489517279</v>
      </c>
      <c r="R149">
        <v>3.7010304955067688</v>
      </c>
      <c r="S149">
        <v>4.0260317873390162E-4</v>
      </c>
      <c r="T149">
        <v>8.9150281020542437E-3</v>
      </c>
    </row>
    <row r="150" spans="1:20" x14ac:dyDescent="0.2">
      <c r="A150" t="s">
        <v>8</v>
      </c>
      <c r="B150" s="25">
        <v>162.56076399999947</v>
      </c>
      <c r="C150" s="4">
        <v>1069.6999999999998</v>
      </c>
      <c r="D150">
        <v>5.2200000000000006</v>
      </c>
      <c r="E150">
        <v>18.88</v>
      </c>
      <c r="F150" t="e">
        <v>#DIV/0!</v>
      </c>
      <c r="G150" s="4" t="e">
        <v>#DIV/0!</v>
      </c>
      <c r="H150" s="27">
        <v>10.0704204355706</v>
      </c>
      <c r="I150">
        <v>2.346057432802672</v>
      </c>
      <c r="J150" s="28">
        <v>4.9053729320711245E-5</v>
      </c>
      <c r="L150" s="6">
        <v>3.9920253230085284E-4</v>
      </c>
      <c r="N150" t="s">
        <v>8</v>
      </c>
      <c r="O150">
        <v>162.55590200000006</v>
      </c>
      <c r="P150" s="4">
        <v>1123.2</v>
      </c>
      <c r="Q150" s="27">
        <v>-3.3107800592292476</v>
      </c>
      <c r="R150">
        <v>2.443495731110009</v>
      </c>
      <c r="S150" s="27">
        <v>-5.4841318847477635E-4</v>
      </c>
      <c r="T150">
        <v>2.4777916780008069E-4</v>
      </c>
    </row>
    <row r="151" spans="1:20" x14ac:dyDescent="0.2">
      <c r="A151" t="s">
        <v>8</v>
      </c>
      <c r="B151" s="25">
        <v>170.45798599999981</v>
      </c>
      <c r="C151" s="4">
        <v>1048.7</v>
      </c>
      <c r="D151">
        <v>10.7</v>
      </c>
      <c r="E151">
        <v>21.67</v>
      </c>
      <c r="F151" t="e">
        <v>#DIV/0!</v>
      </c>
      <c r="G151" s="4" t="e">
        <v>#DIV/0!</v>
      </c>
      <c r="H151" s="27">
        <v>8.247437460648591</v>
      </c>
      <c r="I151">
        <v>1.451356322694207</v>
      </c>
      <c r="J151" s="28">
        <v>-7.2853967316488053E-3</v>
      </c>
      <c r="L151" s="6">
        <v>3.8889418548586983E-2</v>
      </c>
      <c r="N151" t="s">
        <v>8</v>
      </c>
      <c r="O151">
        <v>170.453125</v>
      </c>
      <c r="P151" s="4">
        <v>845.7</v>
      </c>
      <c r="Q151" s="27">
        <v>1.0922378565274948</v>
      </c>
      <c r="R151">
        <v>1.9706048155208304</v>
      </c>
      <c r="S151" s="27">
        <v>-1.9627774020117689E-2</v>
      </c>
      <c r="T151">
        <v>3.5745615289027713E-2</v>
      </c>
    </row>
    <row r="152" spans="1:20" x14ac:dyDescent="0.2">
      <c r="A152" t="s">
        <v>8</v>
      </c>
      <c r="B152" s="25">
        <v>170.54409800000067</v>
      </c>
      <c r="C152" s="4">
        <v>1375.7</v>
      </c>
      <c r="D152">
        <v>9.6000000000000014</v>
      </c>
      <c r="E152">
        <v>22.78</v>
      </c>
      <c r="F152" t="e">
        <v>#DIV/0!</v>
      </c>
      <c r="G152" s="4" t="e">
        <v>#DIV/0!</v>
      </c>
      <c r="H152">
        <v>6.9495278289331655</v>
      </c>
      <c r="I152">
        <v>4.4351252818196771</v>
      </c>
      <c r="J152" s="6">
        <v>-4.0565016743781202E-5</v>
      </c>
      <c r="L152" s="6" t="e">
        <v>#DIV/0!</v>
      </c>
      <c r="N152" t="s">
        <v>8</v>
      </c>
      <c r="O152">
        <v>170.53923599999979</v>
      </c>
      <c r="P152" s="4">
        <v>1394.2</v>
      </c>
      <c r="Q152">
        <v>2.2388543809443933</v>
      </c>
      <c r="R152">
        <v>2.310216795826515</v>
      </c>
      <c r="S152">
        <v>-2.4778194052395421E-5</v>
      </c>
      <c r="T152">
        <v>3.6170916953267745E-5</v>
      </c>
    </row>
    <row r="153" spans="1:20" x14ac:dyDescent="0.2">
      <c r="A153" t="s">
        <v>8</v>
      </c>
      <c r="B153" s="25">
        <v>182.45590199999933</v>
      </c>
      <c r="C153" s="4">
        <v>1691.7</v>
      </c>
      <c r="D153">
        <v>5.0200000000000005</v>
      </c>
      <c r="E153">
        <v>21.67</v>
      </c>
      <c r="F153" t="e">
        <v>#DIV/0!</v>
      </c>
      <c r="G153" s="4" t="e">
        <v>#DIV/0!</v>
      </c>
      <c r="H153">
        <v>8.1771943603685848</v>
      </c>
      <c r="I153">
        <v>0.59083578731055797</v>
      </c>
      <c r="J153" s="6">
        <v>6.2767747227843922E-4</v>
      </c>
      <c r="L153" s="6">
        <v>4.0385113325967727E-4</v>
      </c>
      <c r="N153" t="s">
        <v>8</v>
      </c>
      <c r="O153">
        <v>182.45104199999986</v>
      </c>
      <c r="P153" s="4">
        <v>1666.7</v>
      </c>
      <c r="Q153">
        <v>-7.010559996717066</v>
      </c>
      <c r="R153">
        <v>1.1968461251120339</v>
      </c>
      <c r="S153">
        <v>8.8015555169423194E-4</v>
      </c>
      <c r="T153">
        <v>5.1298679640772666E-4</v>
      </c>
    </row>
    <row r="154" spans="1:20" x14ac:dyDescent="0.2">
      <c r="A154" t="s">
        <v>8</v>
      </c>
      <c r="B154" s="25">
        <v>182.54409800000067</v>
      </c>
      <c r="C154" s="4">
        <v>1931.2</v>
      </c>
      <c r="D154">
        <v>4.74</v>
      </c>
      <c r="E154">
        <v>26.110000000000003</v>
      </c>
      <c r="F154" t="e">
        <v>#DIV/0!</v>
      </c>
      <c r="G154" s="4" t="e">
        <v>#DIV/0!</v>
      </c>
      <c r="H154">
        <v>8.3897293688705226</v>
      </c>
      <c r="I154">
        <v>1.3836383297142441</v>
      </c>
      <c r="J154" s="6">
        <v>9.678823175988373E-4</v>
      </c>
      <c r="L154" s="6">
        <v>5.8638346337157765E-4</v>
      </c>
      <c r="N154" t="s">
        <v>8</v>
      </c>
      <c r="O154">
        <v>182.53923599999979</v>
      </c>
      <c r="P154" s="4">
        <v>1925.2</v>
      </c>
      <c r="Q154">
        <v>-4.4616661625608725</v>
      </c>
      <c r="R154">
        <v>1.4075943994166928</v>
      </c>
      <c r="S154">
        <v>5.6072012932682964E-4</v>
      </c>
      <c r="T154">
        <v>7.9349245453726853E-4</v>
      </c>
    </row>
    <row r="155" spans="1:20" x14ac:dyDescent="0.2">
      <c r="A155" t="s">
        <v>8</v>
      </c>
      <c r="B155" s="25">
        <v>184.37673600000053</v>
      </c>
      <c r="C155" s="4">
        <v>984.7</v>
      </c>
      <c r="D155">
        <v>2</v>
      </c>
      <c r="E155">
        <v>26.670000000000005</v>
      </c>
      <c r="F155" t="e">
        <v>#DIV/0!</v>
      </c>
      <c r="G155" s="4" t="e">
        <v>#DIV/0!</v>
      </c>
      <c r="H155">
        <v>5.5728907779371557</v>
      </c>
      <c r="I155">
        <v>0.80577149294262718</v>
      </c>
      <c r="J155" s="6">
        <v>2.3800342283571379E-4</v>
      </c>
      <c r="L155" s="6">
        <v>8.351254878148852E-4</v>
      </c>
      <c r="N155" t="s">
        <v>8</v>
      </c>
      <c r="O155">
        <v>184.37187499999999</v>
      </c>
      <c r="P155" s="4">
        <v>963.2</v>
      </c>
      <c r="Q155">
        <v>-8.9543985366211167</v>
      </c>
      <c r="R155">
        <v>0.96903023762523322</v>
      </c>
      <c r="S155">
        <v>1.8895781478801932E-3</v>
      </c>
      <c r="T155">
        <v>1.6476547364100327E-3</v>
      </c>
    </row>
    <row r="156" spans="1:20" x14ac:dyDescent="0.2">
      <c r="A156" t="s">
        <v>8</v>
      </c>
      <c r="B156" s="25">
        <v>184.49895799999939</v>
      </c>
      <c r="C156" s="4">
        <v>1910.2</v>
      </c>
      <c r="D156">
        <v>4.38</v>
      </c>
      <c r="E156">
        <v>27.22</v>
      </c>
      <c r="F156" t="e">
        <v>#DIV/0!</v>
      </c>
      <c r="G156" s="4" t="e">
        <v>#DIV/0!</v>
      </c>
      <c r="H156">
        <v>7.2591276193890293</v>
      </c>
      <c r="I156">
        <v>1.3245247919442855</v>
      </c>
      <c r="J156" s="6">
        <v>-8.9606339978158035E-4</v>
      </c>
      <c r="L156" s="6">
        <v>1.9303288424952665E-3</v>
      </c>
      <c r="N156" t="s">
        <v>8</v>
      </c>
      <c r="O156">
        <v>184.49409799999995</v>
      </c>
      <c r="P156" s="4">
        <v>1876.7</v>
      </c>
      <c r="Q156">
        <v>-4.5237235237053426</v>
      </c>
      <c r="R156">
        <v>1.6418575294607733</v>
      </c>
      <c r="S156">
        <v>-7.2009976046086532E-5</v>
      </c>
      <c r="T156">
        <v>9.2531719187896697E-4</v>
      </c>
    </row>
    <row r="157" spans="1:20" x14ac:dyDescent="0.2">
      <c r="A157" t="s">
        <v>8</v>
      </c>
      <c r="B157" s="25">
        <v>191.45451400000019</v>
      </c>
      <c r="C157" s="4">
        <v>1616.7</v>
      </c>
      <c r="D157">
        <v>3.34</v>
      </c>
      <c r="E157">
        <v>23.33</v>
      </c>
      <c r="F157" t="e">
        <v>#DIV/0!</v>
      </c>
      <c r="G157" s="4" t="e">
        <v>#DIV/0!</v>
      </c>
      <c r="H157">
        <v>9.0810525219629348</v>
      </c>
      <c r="I157">
        <v>0.71197046681167808</v>
      </c>
      <c r="J157" s="6">
        <v>-2.9628266948607946E-4</v>
      </c>
      <c r="L157" s="6">
        <v>1.6654971982219948E-4</v>
      </c>
      <c r="N157" t="s">
        <v>8</v>
      </c>
      <c r="O157">
        <v>191.44965200000007</v>
      </c>
      <c r="P157" s="4">
        <v>1603.7</v>
      </c>
      <c r="Q157">
        <v>-8.5989543803838018</v>
      </c>
      <c r="R157">
        <v>1.7167142465882896</v>
      </c>
      <c r="S157">
        <v>-3.8481599104749303E-4</v>
      </c>
      <c r="T157">
        <v>1.3385906702046945E-4</v>
      </c>
    </row>
    <row r="158" spans="1:20" x14ac:dyDescent="0.2">
      <c r="A158" t="s">
        <v>8</v>
      </c>
      <c r="B158" s="25">
        <v>191.55104199999988</v>
      </c>
      <c r="C158" s="4">
        <v>1669.7</v>
      </c>
      <c r="D158">
        <v>4.7200000000000006</v>
      </c>
      <c r="E158">
        <v>29.440000000000005</v>
      </c>
      <c r="F158" t="e">
        <v>#DIV/0!</v>
      </c>
      <c r="G158" s="4" t="e">
        <v>#DIV/0!</v>
      </c>
      <c r="H158">
        <v>9.756972760857213</v>
      </c>
      <c r="I158">
        <v>0.91620441368455174</v>
      </c>
      <c r="J158" s="6">
        <v>-4.0282441118188078E-4</v>
      </c>
      <c r="L158" s="6">
        <v>8.6446894919801952E-5</v>
      </c>
      <c r="N158" t="s">
        <v>8</v>
      </c>
      <c r="O158">
        <v>191.54617999999974</v>
      </c>
      <c r="P158" s="4">
        <v>1789.7</v>
      </c>
      <c r="Q158">
        <v>-2.6949274580944502</v>
      </c>
      <c r="R158">
        <v>4.7621491075921494</v>
      </c>
      <c r="S158">
        <v>8.3727260128562478E-3</v>
      </c>
      <c r="T158">
        <v>1.9377993805861197E-2</v>
      </c>
    </row>
    <row r="159" spans="1:20" x14ac:dyDescent="0.2">
      <c r="A159" t="s">
        <v>8</v>
      </c>
      <c r="B159" s="25">
        <v>193.48160799999968</v>
      </c>
      <c r="C159" s="4">
        <v>1659.7</v>
      </c>
      <c r="D159">
        <v>5.9799999999999995</v>
      </c>
      <c r="E159">
        <v>26.670000000000005</v>
      </c>
      <c r="F159" t="e">
        <v>#DIV/0!</v>
      </c>
      <c r="G159" s="4" t="e">
        <v>#DIV/0!</v>
      </c>
      <c r="H159">
        <v>12.550170163011478</v>
      </c>
      <c r="I159">
        <v>3.2027351095520165</v>
      </c>
      <c r="J159" s="6">
        <v>7.5622254720001296E-3</v>
      </c>
      <c r="L159" s="6">
        <v>1.2969461601825513E-2</v>
      </c>
      <c r="N159" t="s">
        <v>8</v>
      </c>
      <c r="O159">
        <v>193.47674800000021</v>
      </c>
      <c r="P159" s="4">
        <v>1494.2</v>
      </c>
      <c r="Q159">
        <v>-14.793983658374884</v>
      </c>
      <c r="R159">
        <v>7.3594880563486917</v>
      </c>
      <c r="S159">
        <v>-7.3791649230221991E-5</v>
      </c>
      <c r="T159">
        <v>4.8481625547328099E-4</v>
      </c>
    </row>
    <row r="160" spans="1:20" x14ac:dyDescent="0.2">
      <c r="A160" t="s">
        <v>8</v>
      </c>
      <c r="B160" s="25">
        <v>193.60659722222917</v>
      </c>
      <c r="C160" s="4">
        <v>1440.7</v>
      </c>
      <c r="D160">
        <v>4.9400000000000004</v>
      </c>
      <c r="E160">
        <v>26.670000000000005</v>
      </c>
      <c r="F160" t="e">
        <v>#DIV/0!</v>
      </c>
      <c r="G160" s="4" t="e">
        <v>#DIV/0!</v>
      </c>
      <c r="H160">
        <v>11.775331821285766</v>
      </c>
      <c r="I160">
        <v>4.55119884690723</v>
      </c>
      <c r="J160" s="6">
        <v>-7.8742951439965143E-5</v>
      </c>
      <c r="L160" s="6">
        <v>3.9989226723204846E-5</v>
      </c>
      <c r="N160" t="s">
        <v>8</v>
      </c>
      <c r="O160">
        <v>193.60173611111023</v>
      </c>
      <c r="P160" s="4">
        <v>1457.2</v>
      </c>
      <c r="Q160">
        <v>-11.421976872775673</v>
      </c>
      <c r="R160">
        <v>4.6934103251453214</v>
      </c>
      <c r="S160">
        <v>-1.9728619898802E-5</v>
      </c>
      <c r="T160">
        <v>8.4843884002364705E-5</v>
      </c>
    </row>
    <row r="161" spans="1:20" x14ac:dyDescent="0.2">
      <c r="A161" t="s">
        <v>8</v>
      </c>
      <c r="B161" s="25">
        <v>196.49409799999995</v>
      </c>
      <c r="C161" s="4">
        <v>1854.2</v>
      </c>
      <c r="D161">
        <v>2.2600000000000002</v>
      </c>
      <c r="E161">
        <v>28.329999999999995</v>
      </c>
      <c r="F161">
        <v>29.48</v>
      </c>
      <c r="G161" s="4">
        <v>0.53</v>
      </c>
      <c r="H161">
        <v>7.5608394596207349</v>
      </c>
      <c r="I161">
        <v>1.0881686167680729</v>
      </c>
      <c r="J161" s="6">
        <v>-3.1885060901830819E-4</v>
      </c>
      <c r="L161" s="6">
        <v>2.531478000979367E-4</v>
      </c>
      <c r="N161" t="s">
        <v>8</v>
      </c>
      <c r="O161">
        <v>196.48923599999981</v>
      </c>
      <c r="P161" s="4">
        <v>1868.2</v>
      </c>
      <c r="Q161">
        <v>-1.7128230402439972</v>
      </c>
      <c r="R161">
        <v>2.1504058235989429</v>
      </c>
      <c r="S161">
        <v>-6.0211878470901186E-4</v>
      </c>
      <c r="T161">
        <v>6.9886609128252703E-4</v>
      </c>
    </row>
    <row r="162" spans="1:20" x14ac:dyDescent="0.2">
      <c r="A162" t="s">
        <v>8</v>
      </c>
      <c r="B162" s="25">
        <v>206.49132000000026</v>
      </c>
      <c r="C162" s="4">
        <v>1799.7</v>
      </c>
      <c r="D162">
        <v>6.82</v>
      </c>
      <c r="E162">
        <v>24.777999999999999</v>
      </c>
      <c r="F162">
        <v>30.78</v>
      </c>
      <c r="G162" s="4">
        <v>0.55400000000000005</v>
      </c>
      <c r="H162">
        <v>3.841371320982224</v>
      </c>
      <c r="I162">
        <v>0.94484474344115832</v>
      </c>
      <c r="J162" s="6">
        <v>-2.5342624813772858E-4</v>
      </c>
      <c r="L162" s="6">
        <v>3.0661058715159164E-4</v>
      </c>
      <c r="N162" t="s">
        <v>8</v>
      </c>
      <c r="O162">
        <v>206.48645800000014</v>
      </c>
      <c r="P162" s="4">
        <v>1785.2</v>
      </c>
      <c r="Q162">
        <v>-3.0842341847831598</v>
      </c>
      <c r="R162">
        <v>1.6826969243869958</v>
      </c>
      <c r="S162">
        <v>-2.278024509540971E-4</v>
      </c>
      <c r="T162">
        <v>1.057888645493042E-4</v>
      </c>
    </row>
    <row r="163" spans="1:20" x14ac:dyDescent="0.2">
      <c r="A163" t="s">
        <v>8</v>
      </c>
      <c r="B163" s="25">
        <v>206.59687500000001</v>
      </c>
      <c r="C163" s="4">
        <v>1783.2</v>
      </c>
      <c r="D163">
        <v>7.5600000000000005</v>
      </c>
      <c r="E163">
        <v>27.78</v>
      </c>
      <c r="F163">
        <v>31.080000000000002</v>
      </c>
      <c r="G163" s="4">
        <v>0.56999999999999995</v>
      </c>
      <c r="H163">
        <v>2.3965141339189286</v>
      </c>
      <c r="I163">
        <v>1.715401527415308</v>
      </c>
      <c r="J163" s="6">
        <v>-1.074871736508698E-5</v>
      </c>
      <c r="L163" s="6">
        <v>1.6773817186304456E-4</v>
      </c>
      <c r="N163" t="s">
        <v>8</v>
      </c>
      <c r="O163">
        <v>206.59201399999947</v>
      </c>
      <c r="P163" s="4">
        <v>1693.2</v>
      </c>
      <c r="Q163">
        <v>-2.0116428681132343</v>
      </c>
      <c r="R163">
        <v>0.96080599884024509</v>
      </c>
      <c r="S163">
        <v>6.4510208937151818E-5</v>
      </c>
      <c r="T163">
        <v>1.8694546202204862E-4</v>
      </c>
    </row>
    <row r="164" spans="1:20" x14ac:dyDescent="0.2">
      <c r="A164" t="s">
        <v>8</v>
      </c>
      <c r="B164" s="25">
        <v>212.47881999999953</v>
      </c>
      <c r="C164" s="4">
        <v>450.2</v>
      </c>
      <c r="D164">
        <v>2.96</v>
      </c>
      <c r="E164">
        <v>24.221999999999998</v>
      </c>
      <c r="F164">
        <v>38.72</v>
      </c>
      <c r="G164" s="4">
        <v>0.55800000000000005</v>
      </c>
      <c r="H164">
        <v>5.9529379228798307</v>
      </c>
      <c r="I164">
        <v>6.5308968458451666</v>
      </c>
      <c r="J164" s="6">
        <v>1.1153284601529063E-3</v>
      </c>
      <c r="L164" s="6">
        <v>3.3656136653531896E-3</v>
      </c>
      <c r="N164" t="s">
        <v>8</v>
      </c>
      <c r="O164">
        <v>212.47395800000012</v>
      </c>
      <c r="P164" s="4">
        <v>551.70000000000005</v>
      </c>
      <c r="Q164">
        <v>-2.8157514876263599</v>
      </c>
      <c r="R164">
        <v>5.1643060279653126</v>
      </c>
      <c r="S164">
        <v>-1.8420830763672498E-4</v>
      </c>
      <c r="T164">
        <v>5.4471628350861512E-4</v>
      </c>
    </row>
    <row r="165" spans="1:20" x14ac:dyDescent="0.2">
      <c r="A165" t="s">
        <v>8</v>
      </c>
      <c r="B165" s="25">
        <v>212.734375</v>
      </c>
      <c r="C165" s="4">
        <v>498.7</v>
      </c>
      <c r="D165">
        <v>4.8400000000000007</v>
      </c>
      <c r="E165">
        <v>26.670000000000005</v>
      </c>
      <c r="F165">
        <v>43.62</v>
      </c>
      <c r="G165" s="4">
        <v>0.57999999999999985</v>
      </c>
      <c r="H165">
        <v>9.7573001291674437</v>
      </c>
      <c r="I165">
        <v>1.4716351260309686</v>
      </c>
      <c r="J165" s="6">
        <v>2.5566515922770742E-3</v>
      </c>
      <c r="L165" s="6">
        <v>4.555476148364072E-3</v>
      </c>
      <c r="N165" t="s">
        <v>8</v>
      </c>
      <c r="O165">
        <v>212.72951388888887</v>
      </c>
      <c r="P165" s="4">
        <v>549.20000000000005</v>
      </c>
      <c r="Q165">
        <v>-2.3008580439450323</v>
      </c>
      <c r="R165">
        <v>2.2231639785944317</v>
      </c>
      <c r="S165">
        <v>-6.976615796987645E-4</v>
      </c>
      <c r="T165">
        <v>1.2073211625284891E-3</v>
      </c>
    </row>
    <row r="166" spans="1:20" x14ac:dyDescent="0.2">
      <c r="A166" t="s">
        <v>8</v>
      </c>
      <c r="B166" s="25">
        <v>220.48996399999959</v>
      </c>
      <c r="C166" s="4">
        <v>1728.2</v>
      </c>
      <c r="D166">
        <v>2.6599999999999997</v>
      </c>
      <c r="E166">
        <v>23.89</v>
      </c>
      <c r="F166">
        <v>34.339999999999996</v>
      </c>
      <c r="G166" s="4">
        <v>0.60399999999999998</v>
      </c>
      <c r="H166">
        <v>0.22353030274526195</v>
      </c>
      <c r="I166">
        <v>0.31270836046805955</v>
      </c>
      <c r="J166" s="6">
        <v>-4.7453389263812538E-4</v>
      </c>
      <c r="L166" s="6">
        <v>9.6133301996343204E-4</v>
      </c>
      <c r="N166" t="s">
        <v>8</v>
      </c>
      <c r="O166">
        <v>220.48689799999994</v>
      </c>
      <c r="P166" s="4">
        <v>1684.2</v>
      </c>
      <c r="Q166">
        <v>-0.9239851995193733</v>
      </c>
      <c r="R166">
        <v>1.0512183848593133</v>
      </c>
      <c r="S166">
        <v>-1.3565541179865034E-3</v>
      </c>
      <c r="T166">
        <v>2.3887174901500254E-3</v>
      </c>
    </row>
    <row r="167" spans="1:20" x14ac:dyDescent="0.2">
      <c r="A167" t="s">
        <v>8</v>
      </c>
      <c r="B167" s="25">
        <v>220.61118100000022</v>
      </c>
      <c r="C167" s="4">
        <v>1495.1999999999998</v>
      </c>
      <c r="D167">
        <v>2.46</v>
      </c>
      <c r="E167">
        <v>28.329999999999995</v>
      </c>
      <c r="F167">
        <v>39.96</v>
      </c>
      <c r="G167" s="4">
        <v>0.57800000000000007</v>
      </c>
      <c r="H167">
        <v>-0.35041623337678457</v>
      </c>
      <c r="I167">
        <v>0.92228016270690782</v>
      </c>
      <c r="J167" s="6">
        <v>9.0718626074227517E-5</v>
      </c>
      <c r="L167" s="6">
        <v>5.4329088205418319E-5</v>
      </c>
      <c r="N167" t="s">
        <v>8</v>
      </c>
      <c r="O167">
        <v>220.60507000000069</v>
      </c>
      <c r="P167" s="4">
        <v>1516.7</v>
      </c>
      <c r="Q167">
        <v>-0.91004569132614699</v>
      </c>
      <c r="R167">
        <v>0.21251457547515162</v>
      </c>
      <c r="S167">
        <v>8.0890896313877793E-5</v>
      </c>
      <c r="T167">
        <v>2.0611411355378654E-4</v>
      </c>
    </row>
    <row r="168" spans="1:20" x14ac:dyDescent="0.2">
      <c r="A168" t="s">
        <v>8</v>
      </c>
      <c r="B168" s="25">
        <v>227.51407399999954</v>
      </c>
      <c r="C168" s="4">
        <v>1816.7</v>
      </c>
      <c r="D168">
        <v>2.54</v>
      </c>
      <c r="E168">
        <v>24.224</v>
      </c>
      <c r="F168">
        <v>45.519999999999996</v>
      </c>
      <c r="G168" s="4">
        <v>0.40400000000000003</v>
      </c>
      <c r="H168">
        <v>5.2906181119964657</v>
      </c>
      <c r="I168">
        <v>1.3043510189339158</v>
      </c>
      <c r="J168" s="6">
        <v>-5.9144677158194637E-4</v>
      </c>
      <c r="L168" s="6">
        <v>1.3275231020408115E-4</v>
      </c>
      <c r="N168" t="s">
        <v>8</v>
      </c>
      <c r="O168">
        <v>227.50886500000053</v>
      </c>
      <c r="P168" s="4">
        <v>1808.2</v>
      </c>
      <c r="Q168">
        <v>2.0444004459026308</v>
      </c>
      <c r="R168">
        <v>0.86503563088609625</v>
      </c>
      <c r="S168">
        <v>-3.3837880587599952E-4</v>
      </c>
      <c r="T168">
        <v>2.7061096506953287E-4</v>
      </c>
    </row>
    <row r="169" spans="1:20" x14ac:dyDescent="0.2">
      <c r="A169" t="s">
        <v>8</v>
      </c>
      <c r="B169" s="25">
        <v>227.582402</v>
      </c>
      <c r="C169" s="4">
        <v>1864.2</v>
      </c>
      <c r="D169">
        <v>2.0800000000000005</v>
      </c>
      <c r="E169">
        <v>27.334000000000003</v>
      </c>
      <c r="F169">
        <v>51.160000000000004</v>
      </c>
      <c r="G169" s="4">
        <v>0.39800000000000002</v>
      </c>
      <c r="H169">
        <v>5.7911671401569809</v>
      </c>
      <c r="I169">
        <v>1.111005980595051</v>
      </c>
      <c r="J169" s="6">
        <v>-4.0834032307409605E-4</v>
      </c>
      <c r="L169" s="6">
        <v>2.1749082477383664E-4</v>
      </c>
      <c r="N169" t="s">
        <v>8</v>
      </c>
      <c r="O169">
        <v>227.57721199999941</v>
      </c>
      <c r="P169" s="4">
        <v>1588.7</v>
      </c>
      <c r="Q169">
        <v>2.5503832313915651</v>
      </c>
      <c r="R169">
        <v>1.312862436426145</v>
      </c>
      <c r="S169">
        <v>-1.0278356981260472E-4</v>
      </c>
      <c r="T169">
        <v>5.481518546888703E-5</v>
      </c>
    </row>
    <row r="170" spans="1:20" x14ac:dyDescent="0.2">
      <c r="A170" t="s">
        <v>8</v>
      </c>
      <c r="B170" s="25">
        <v>235.52231300000057</v>
      </c>
      <c r="C170" s="4">
        <v>1572.1999999999998</v>
      </c>
      <c r="D170">
        <v>13.819999999999999</v>
      </c>
      <c r="E170">
        <v>22.553999999999998</v>
      </c>
      <c r="F170">
        <v>40.980000000000004</v>
      </c>
      <c r="G170" s="4">
        <v>0.47199999999999998</v>
      </c>
      <c r="H170">
        <v>2.6826212645999998</v>
      </c>
      <c r="I170">
        <v>2.3806405292708299</v>
      </c>
      <c r="J170" s="6">
        <v>6.4209294432126881E-5</v>
      </c>
      <c r="L170" s="6">
        <v>2.7779539497173517E-4</v>
      </c>
      <c r="N170" t="s">
        <v>8</v>
      </c>
      <c r="O170">
        <v>235.51512899999943</v>
      </c>
      <c r="P170" s="4">
        <v>1094.7</v>
      </c>
      <c r="Q170">
        <v>-0.1091597374</v>
      </c>
      <c r="R170">
        <v>0.12149441681747526</v>
      </c>
      <c r="S170">
        <v>1.7227953214490354E-4</v>
      </c>
      <c r="T170">
        <v>5.3363822309129003E-4</v>
      </c>
    </row>
    <row r="171" spans="1:20" x14ac:dyDescent="0.2">
      <c r="A171" t="s">
        <v>8</v>
      </c>
      <c r="B171" s="25">
        <v>235.64668000000165</v>
      </c>
      <c r="C171" s="4">
        <v>632.70000000000005</v>
      </c>
      <c r="D171">
        <v>14.16</v>
      </c>
      <c r="E171">
        <v>23.777999999999999</v>
      </c>
      <c r="F171">
        <v>40.9</v>
      </c>
      <c r="G171" s="4">
        <v>0.45400000000000001</v>
      </c>
      <c r="H171">
        <v>3.8694685604754619</v>
      </c>
      <c r="I171">
        <v>0.94573349642224602</v>
      </c>
      <c r="J171" s="6">
        <v>2.2103749039489154E-4</v>
      </c>
      <c r="L171" s="6">
        <v>5.155968534823087E-4</v>
      </c>
      <c r="N171" t="s">
        <v>8</v>
      </c>
      <c r="O171">
        <v>235.63737299999994</v>
      </c>
      <c r="P171" s="4">
        <v>743.2</v>
      </c>
      <c r="Q171">
        <v>0.34692890198021864</v>
      </c>
      <c r="R171">
        <v>1.2055668705653324</v>
      </c>
      <c r="S171">
        <v>-9.4972805797766794E-5</v>
      </c>
      <c r="T171">
        <v>4.3206691511259144E-4</v>
      </c>
    </row>
    <row r="172" spans="1:20" x14ac:dyDescent="0.2">
      <c r="A172" t="s">
        <v>8</v>
      </c>
      <c r="B172" s="25">
        <v>241.50274299999947</v>
      </c>
      <c r="C172" s="4">
        <v>1416.2</v>
      </c>
      <c r="D172">
        <v>7.9799999999999995</v>
      </c>
      <c r="E172">
        <v>23.885999999999999</v>
      </c>
      <c r="F172">
        <v>41.86</v>
      </c>
      <c r="G172" s="4">
        <v>0.56799999999999995</v>
      </c>
      <c r="H172">
        <v>11.611272416676105</v>
      </c>
      <c r="I172">
        <v>1.8579613133917507</v>
      </c>
      <c r="J172" s="6">
        <v>-5.2633432491387103E-4</v>
      </c>
      <c r="L172" s="6">
        <v>1.4436534073665255E-4</v>
      </c>
      <c r="N172" t="s">
        <v>8</v>
      </c>
      <c r="O172">
        <v>241.49708699999974</v>
      </c>
      <c r="P172" s="4">
        <v>1117.7</v>
      </c>
      <c r="Q172">
        <v>-1.1015381931277024</v>
      </c>
      <c r="R172">
        <v>4.0572102280373148</v>
      </c>
      <c r="S172">
        <v>-3.8956422938473876E-4</v>
      </c>
      <c r="T172">
        <v>6.6284629535027438E-5</v>
      </c>
    </row>
    <row r="173" spans="1:20" x14ac:dyDescent="0.2">
      <c r="A173" t="s">
        <v>8</v>
      </c>
      <c r="B173" s="25">
        <v>241.66210599999977</v>
      </c>
      <c r="C173" s="4">
        <v>643.70000000000005</v>
      </c>
      <c r="D173">
        <v>8.26</v>
      </c>
      <c r="E173">
        <v>26.110000000000003</v>
      </c>
      <c r="F173">
        <v>38.36</v>
      </c>
      <c r="G173" s="4">
        <v>0.55400000000000005</v>
      </c>
      <c r="H173">
        <v>10.023614428382206</v>
      </c>
      <c r="I173">
        <v>1.6588267281756599</v>
      </c>
      <c r="J173" s="6">
        <v>-5.3266474392178861E-4</v>
      </c>
      <c r="L173" s="6">
        <v>1.2793043273033578E-4</v>
      </c>
      <c r="N173" t="s">
        <v>8</v>
      </c>
      <c r="O173">
        <v>241.65581099999909</v>
      </c>
      <c r="P173" s="4">
        <v>594.70000000000005</v>
      </c>
      <c r="Q173">
        <v>0.96124656808482667</v>
      </c>
      <c r="R173">
        <v>3.4897941650883411</v>
      </c>
      <c r="S173">
        <v>-3.7575311228174216E-4</v>
      </c>
      <c r="T173">
        <v>1.0721881756234422E-4</v>
      </c>
    </row>
    <row r="174" spans="1:20" x14ac:dyDescent="0.2">
      <c r="A174" t="s">
        <v>8</v>
      </c>
      <c r="B174" s="25">
        <v>254.43364499999953</v>
      </c>
      <c r="C174" s="4">
        <v>1227.7</v>
      </c>
      <c r="D174">
        <v>8.26</v>
      </c>
      <c r="E174">
        <v>23</v>
      </c>
      <c r="F174">
        <v>40.299999999999997</v>
      </c>
      <c r="G174" s="4">
        <v>0.6359999999999999</v>
      </c>
      <c r="H174">
        <v>7.3217510223021565</v>
      </c>
      <c r="I174">
        <v>1.0549630073321332</v>
      </c>
      <c r="J174" s="6">
        <v>-4.3746934736558514E-4</v>
      </c>
      <c r="L174" s="6">
        <v>2.5257925550716714E-4</v>
      </c>
      <c r="N174" t="s">
        <v>8</v>
      </c>
      <c r="O174">
        <v>254.42687599999991</v>
      </c>
      <c r="P174" s="4">
        <v>1145.7</v>
      </c>
      <c r="Q174">
        <v>-3.1483415694303405</v>
      </c>
      <c r="R174">
        <v>2.1110759517754953</v>
      </c>
      <c r="S174">
        <v>-4.7089685615778562E-4</v>
      </c>
      <c r="T174">
        <v>4.1160653308337889E-4</v>
      </c>
    </row>
    <row r="175" spans="1:20" x14ac:dyDescent="0.2">
      <c r="A175" t="s">
        <v>8</v>
      </c>
      <c r="B175" s="25">
        <v>254.51847199999901</v>
      </c>
      <c r="C175" s="4">
        <v>1503.2</v>
      </c>
      <c r="D175">
        <v>9.5399999999999991</v>
      </c>
      <c r="E175">
        <v>26.224</v>
      </c>
      <c r="F175">
        <v>41.620000000000005</v>
      </c>
      <c r="G175" s="4">
        <v>0.63</v>
      </c>
      <c r="H175">
        <v>8.8117750077471086</v>
      </c>
      <c r="I175">
        <v>1.3976570120196121</v>
      </c>
      <c r="J175" s="6">
        <v>-3.3410997483907938E-4</v>
      </c>
      <c r="L175" s="6">
        <v>5.6019100882220926E-5</v>
      </c>
      <c r="N175" t="s">
        <v>8</v>
      </c>
      <c r="O175">
        <v>254.51138900000007</v>
      </c>
      <c r="P175" s="4">
        <v>1508.2</v>
      </c>
      <c r="Q175">
        <v>-2.3877254135961636</v>
      </c>
      <c r="R175">
        <v>2.0892056030414197</v>
      </c>
      <c r="S175">
        <v>-3.5267431710226841E-4</v>
      </c>
      <c r="T175">
        <v>2.0408157328817098E-4</v>
      </c>
    </row>
    <row r="176" spans="1:20" x14ac:dyDescent="0.2">
      <c r="A176" t="s">
        <v>8</v>
      </c>
      <c r="B176" s="25">
        <v>261.64893599999994</v>
      </c>
      <c r="C176" s="4">
        <v>957.7</v>
      </c>
      <c r="D176">
        <v>8.0599999999999987</v>
      </c>
      <c r="E176">
        <v>20.112000000000002</v>
      </c>
      <c r="F176">
        <v>41.720000000000006</v>
      </c>
      <c r="G176" s="4">
        <v>62.4</v>
      </c>
      <c r="H176">
        <v>7.9222578171034446</v>
      </c>
      <c r="I176">
        <v>3.0307226665534439</v>
      </c>
      <c r="J176" s="6">
        <v>-4.3349251671060839E-4</v>
      </c>
      <c r="L176" s="6">
        <v>2.620834745551972E-4</v>
      </c>
      <c r="N176" t="s">
        <v>8</v>
      </c>
      <c r="O176">
        <v>261.64250099999992</v>
      </c>
      <c r="P176" s="4">
        <v>1033.2</v>
      </c>
      <c r="Q176">
        <v>-1.4742676780043347</v>
      </c>
      <c r="R176">
        <v>2.7740660349343145</v>
      </c>
      <c r="S176">
        <v>-5.4127329891559659E-4</v>
      </c>
      <c r="T176">
        <v>1.9372013185183431E-4</v>
      </c>
    </row>
    <row r="177" spans="1:20" x14ac:dyDescent="0.2">
      <c r="A177" t="s">
        <v>8</v>
      </c>
      <c r="B177" s="25">
        <v>268.47342600000047</v>
      </c>
      <c r="C177" s="4">
        <v>1472.7</v>
      </c>
      <c r="D177">
        <v>5.0199999999999996</v>
      </c>
      <c r="E177">
        <v>17.558</v>
      </c>
      <c r="F177">
        <v>36.020000000000003</v>
      </c>
      <c r="G177" s="4" t="e">
        <v>#DIV/0!</v>
      </c>
      <c r="H177">
        <v>6.9115628123434716</v>
      </c>
      <c r="I177">
        <v>0.88529322946769118</v>
      </c>
      <c r="J177" s="6">
        <v>-6.2027218708514669E-4</v>
      </c>
      <c r="L177" s="6">
        <v>1.8464666700088278E-4</v>
      </c>
      <c r="N177" t="s">
        <v>8</v>
      </c>
      <c r="O177">
        <v>268.46592599999929</v>
      </c>
      <c r="P177" s="4">
        <v>1338.7</v>
      </c>
      <c r="Q177">
        <v>-2.3065814887971365</v>
      </c>
      <c r="R177">
        <v>2.9717310763982812</v>
      </c>
      <c r="S177">
        <v>-5.1626504741865463E-4</v>
      </c>
      <c r="T177">
        <v>6.7106594834706953E-5</v>
      </c>
    </row>
    <row r="178" spans="1:20" x14ac:dyDescent="0.2">
      <c r="A178" t="s">
        <v>8</v>
      </c>
      <c r="B178" s="25">
        <v>268.56942199999975</v>
      </c>
      <c r="C178" s="4">
        <v>1496.2</v>
      </c>
      <c r="D178">
        <v>4.5599999999999996</v>
      </c>
      <c r="E178">
        <v>21.443999999999999</v>
      </c>
      <c r="F178">
        <v>40.96</v>
      </c>
      <c r="G178" s="4" t="e">
        <v>#DIV/0!</v>
      </c>
      <c r="H178">
        <v>7.7319420033458242</v>
      </c>
      <c r="I178">
        <v>1.3203531762041896</v>
      </c>
      <c r="J178" s="6">
        <v>-6.6460221368318218E-4</v>
      </c>
      <c r="L178" s="6">
        <v>9.22681255094451E-5</v>
      </c>
      <c r="N178" t="s">
        <v>8</v>
      </c>
      <c r="O178">
        <v>268.56312600000018</v>
      </c>
      <c r="P178" s="4">
        <v>1525.2</v>
      </c>
      <c r="Q178">
        <v>-0.34945563422860343</v>
      </c>
      <c r="R178">
        <v>2.5554633814045595</v>
      </c>
      <c r="S178">
        <v>-5.4929071902602169E-4</v>
      </c>
      <c r="T178">
        <v>1.0759541420106302E-4</v>
      </c>
    </row>
    <row r="179" spans="1:20" x14ac:dyDescent="0.2">
      <c r="A179" t="s">
        <v>8</v>
      </c>
      <c r="B179" s="25">
        <v>273.46173599999963</v>
      </c>
      <c r="C179" s="4">
        <v>1313.2</v>
      </c>
      <c r="D179">
        <v>6.38</v>
      </c>
      <c r="E179">
        <v>14.556000000000001</v>
      </c>
      <c r="F179">
        <v>41</v>
      </c>
      <c r="G179" s="4">
        <v>0.64400000000000002</v>
      </c>
      <c r="H179">
        <v>5.4415188050388066</v>
      </c>
      <c r="I179">
        <v>0.85082388326339131</v>
      </c>
      <c r="J179" s="6">
        <v>-4.4077145526933277E-4</v>
      </c>
      <c r="L179" s="6">
        <v>1.0878068211403165E-4</v>
      </c>
      <c r="N179" t="s">
        <v>8</v>
      </c>
      <c r="O179">
        <v>273.4550239999997</v>
      </c>
      <c r="P179" s="4">
        <v>1141.2</v>
      </c>
      <c r="Q179">
        <v>-3.8870259051329166</v>
      </c>
      <c r="R179">
        <v>3.2154630993628834</v>
      </c>
      <c r="S179">
        <v>-4.5393693005878796E-4</v>
      </c>
      <c r="T179">
        <v>1.4011262871240708E-4</v>
      </c>
    </row>
    <row r="180" spans="1:20" x14ac:dyDescent="0.2">
      <c r="A180" t="s">
        <v>8</v>
      </c>
      <c r="B180" s="25">
        <v>273.57340200000033</v>
      </c>
      <c r="C180" s="4">
        <v>889.2</v>
      </c>
      <c r="D180">
        <v>6.7</v>
      </c>
      <c r="E180">
        <v>17.663999999999998</v>
      </c>
      <c r="F180">
        <v>45.279999999999994</v>
      </c>
      <c r="G180" s="4">
        <v>0.69199999999999995</v>
      </c>
      <c r="H180">
        <v>5.2483105763229361</v>
      </c>
      <c r="I180">
        <v>1.6320225646018793</v>
      </c>
      <c r="J180" s="6">
        <v>-4.7094240757344225E-4</v>
      </c>
      <c r="L180" s="6">
        <v>1.1588061208926123E-4</v>
      </c>
      <c r="N180" t="s">
        <v>8</v>
      </c>
      <c r="O180">
        <v>273.56715299999922</v>
      </c>
      <c r="P180" s="4">
        <v>893.2</v>
      </c>
      <c r="Q180">
        <v>-2.6578875593686639</v>
      </c>
      <c r="R180">
        <v>2.3183490560045681</v>
      </c>
      <c r="S180">
        <v>-4.2313394980493697E-4</v>
      </c>
      <c r="T180">
        <v>7.116433815767955E-5</v>
      </c>
    </row>
    <row r="181" spans="1:20" x14ac:dyDescent="0.2">
      <c r="A181" t="s">
        <v>8</v>
      </c>
      <c r="B181" s="25">
        <v>284.41874899999965</v>
      </c>
      <c r="C181" s="4">
        <v>942.7</v>
      </c>
      <c r="D181">
        <v>15.360000000000003</v>
      </c>
      <c r="E181">
        <v>10.888</v>
      </c>
      <c r="F181">
        <v>38.160000000000004</v>
      </c>
      <c r="G181" s="4">
        <v>0.66800000000000004</v>
      </c>
      <c r="H181">
        <v>4.8946848226706337</v>
      </c>
      <c r="I181">
        <v>0.89109076601579562</v>
      </c>
      <c r="J181" s="6">
        <v>-4.2366897433075961E-4</v>
      </c>
      <c r="L181" s="6">
        <v>2.367458363007035E-4</v>
      </c>
      <c r="N181" t="s">
        <v>8</v>
      </c>
      <c r="O181">
        <v>284.4118739999991</v>
      </c>
      <c r="P181" s="4">
        <v>1114.7</v>
      </c>
      <c r="Q181">
        <v>-5.4977662539282814</v>
      </c>
      <c r="R181">
        <v>3.8741698701087905</v>
      </c>
      <c r="S181">
        <v>-1.4996117959490698E-4</v>
      </c>
      <c r="T181">
        <v>9.5129829609320955E-5</v>
      </c>
    </row>
    <row r="182" spans="1:20" x14ac:dyDescent="0.2">
      <c r="A182" t="s">
        <v>8</v>
      </c>
      <c r="B182" s="25">
        <v>284.51409700000079</v>
      </c>
      <c r="C182" s="4">
        <v>1041.2</v>
      </c>
      <c r="D182">
        <v>16.259999999999998</v>
      </c>
      <c r="E182">
        <v>14.774000000000001</v>
      </c>
      <c r="F182">
        <v>39.08</v>
      </c>
      <c r="G182" s="4">
        <v>0.65</v>
      </c>
      <c r="H182">
        <v>6.1120991563910145</v>
      </c>
      <c r="I182">
        <v>1.3411231291866053</v>
      </c>
      <c r="J182" s="6">
        <v>-4.5265583315190499E-4</v>
      </c>
      <c r="L182" s="6">
        <v>4.0593248791282387E-4</v>
      </c>
      <c r="N182" t="s">
        <v>8</v>
      </c>
      <c r="O182">
        <v>284.50819399999966</v>
      </c>
      <c r="P182" s="4">
        <v>945.2</v>
      </c>
      <c r="Q182">
        <v>-8.1780032275068137</v>
      </c>
      <c r="R182">
        <v>2.210517536710876</v>
      </c>
      <c r="S182">
        <v>-2.028961543539945E-4</v>
      </c>
      <c r="T182">
        <v>1.7356411972430371E-4</v>
      </c>
    </row>
    <row r="183" spans="1:20" x14ac:dyDescent="0.2">
      <c r="A183" s="18" t="s">
        <v>8</v>
      </c>
      <c r="B183" s="26">
        <v>296.56753499999922</v>
      </c>
      <c r="C183" s="4">
        <v>586.82499999999993</v>
      </c>
      <c r="D183">
        <v>15.475</v>
      </c>
      <c r="E183">
        <v>17.497499999999999</v>
      </c>
      <c r="F183">
        <v>35.424999999999997</v>
      </c>
      <c r="G183" s="4">
        <v>0.64250000000000007</v>
      </c>
      <c r="H183">
        <v>5.5175206466503326</v>
      </c>
      <c r="I183">
        <v>1.5493420812952701</v>
      </c>
      <c r="J183" s="6">
        <v>-1.0091878396416889E-4</v>
      </c>
      <c r="L183" s="6">
        <v>5.6623716288536354E-5</v>
      </c>
      <c r="N183" s="18" t="s">
        <v>8</v>
      </c>
      <c r="O183">
        <v>296.55894125000123</v>
      </c>
      <c r="P183" s="4">
        <v>919.95</v>
      </c>
      <c r="Q183">
        <v>-4.6317599439213497</v>
      </c>
      <c r="R183">
        <v>0.73330412454954186</v>
      </c>
      <c r="S183">
        <v>-9.3533389318319052E-5</v>
      </c>
      <c r="T183">
        <v>9.9711224864266213E-5</v>
      </c>
    </row>
    <row r="184" spans="1:20" x14ac:dyDescent="0.2">
      <c r="A184" s="18" t="s">
        <v>8</v>
      </c>
      <c r="B184" s="26">
        <v>296.64939249999952</v>
      </c>
      <c r="C184" s="21">
        <v>835.57500000000005</v>
      </c>
      <c r="D184" s="18">
        <v>16.95</v>
      </c>
      <c r="E184">
        <v>18.329999999999998</v>
      </c>
      <c r="F184">
        <v>41.524999999999999</v>
      </c>
      <c r="G184" s="4">
        <v>0.64749999999999996</v>
      </c>
      <c r="H184">
        <v>5.5938056430539547</v>
      </c>
      <c r="I184">
        <v>0.87444731667627928</v>
      </c>
      <c r="J184" s="6">
        <v>-5.9743772126596994E-4</v>
      </c>
      <c r="L184" s="6">
        <v>8.1819606277495113E-4</v>
      </c>
      <c r="N184" s="18" t="s">
        <v>8</v>
      </c>
      <c r="O184">
        <v>296.64322749999974</v>
      </c>
      <c r="P184" s="4">
        <v>880.57500000000005</v>
      </c>
      <c r="Q184">
        <v>-2.9479795524174</v>
      </c>
      <c r="R184">
        <v>1.0417501042252513</v>
      </c>
      <c r="S184">
        <v>7.3528119158950873E-5</v>
      </c>
      <c r="T184">
        <v>3.9512678061353273E-4</v>
      </c>
    </row>
    <row r="185" spans="1:20" x14ac:dyDescent="0.2">
      <c r="A185" t="s">
        <v>8</v>
      </c>
      <c r="B185" s="25">
        <v>303.61314799999963</v>
      </c>
      <c r="C185" s="4">
        <v>356.20000000000005</v>
      </c>
      <c r="D185">
        <v>16</v>
      </c>
      <c r="E185">
        <v>18.22</v>
      </c>
      <c r="F185">
        <v>39.28</v>
      </c>
      <c r="G185" s="4">
        <v>0.43200000000000005</v>
      </c>
      <c r="H185">
        <v>5.6569553719708781</v>
      </c>
      <c r="I185">
        <v>1.4608317851035311</v>
      </c>
      <c r="J185" s="6">
        <v>-1.2107999903620059E-4</v>
      </c>
      <c r="L185" s="6">
        <v>9.686929843119074E-5</v>
      </c>
      <c r="N185" t="s">
        <v>8</v>
      </c>
      <c r="O185">
        <v>303.60697799999906</v>
      </c>
      <c r="P185" s="4">
        <v>381.70000000000005</v>
      </c>
      <c r="Q185">
        <v>-0.97187433223006647</v>
      </c>
      <c r="R185">
        <v>1.2496641470432053</v>
      </c>
      <c r="S185">
        <v>-1.281194129123007E-4</v>
      </c>
      <c r="T185">
        <v>7.4465558672869223E-5</v>
      </c>
    </row>
    <row r="186" spans="1:20" x14ac:dyDescent="0.2">
      <c r="A186" t="s">
        <v>8</v>
      </c>
      <c r="B186" s="25">
        <v>303.7079170000012</v>
      </c>
      <c r="C186" s="4">
        <v>36.200000000000003</v>
      </c>
      <c r="D186">
        <v>15.280000000000001</v>
      </c>
      <c r="E186">
        <v>17.558</v>
      </c>
      <c r="F186">
        <v>36.679999999999993</v>
      </c>
      <c r="G186" s="4">
        <v>0.45</v>
      </c>
      <c r="H186">
        <v>5.5670496821843596</v>
      </c>
      <c r="I186">
        <v>1.3634369776493185</v>
      </c>
      <c r="J186" s="6">
        <v>-2.0272231898411371E-4</v>
      </c>
      <c r="L186" s="6">
        <v>7.6213696114944317E-5</v>
      </c>
      <c r="N186" t="s">
        <v>8</v>
      </c>
      <c r="O186">
        <v>303.70187500000031</v>
      </c>
      <c r="P186" s="4">
        <v>41.2</v>
      </c>
      <c r="Q186">
        <v>4.8259378891632236</v>
      </c>
      <c r="R186">
        <v>1.8164914537504506</v>
      </c>
      <c r="S186">
        <v>-1.5019162225374854E-4</v>
      </c>
      <c r="T186">
        <v>6.2235703909133513E-5</v>
      </c>
    </row>
    <row r="187" spans="1:20" x14ac:dyDescent="0.2">
      <c r="A187" t="s">
        <v>8</v>
      </c>
      <c r="B187" s="25">
        <v>310.4649540000006</v>
      </c>
      <c r="C187" s="4">
        <v>1135.7</v>
      </c>
      <c r="D187">
        <v>10.42</v>
      </c>
      <c r="E187">
        <v>8.668000000000001</v>
      </c>
      <c r="F187">
        <v>34.04</v>
      </c>
      <c r="G187" s="4">
        <v>0.42599999999999999</v>
      </c>
      <c r="H187">
        <v>2.6362425355068559</v>
      </c>
      <c r="I187">
        <v>0.63172156213756081</v>
      </c>
      <c r="J187" s="6">
        <v>-1.3199971229077537E-4</v>
      </c>
      <c r="L187" s="6">
        <v>1.027755287831281E-4</v>
      </c>
      <c r="N187" t="s">
        <v>8</v>
      </c>
      <c r="O187">
        <v>310.45756899999981</v>
      </c>
      <c r="P187" s="4">
        <v>1112.7</v>
      </c>
      <c r="Q187">
        <v>-4.093930116854354</v>
      </c>
      <c r="R187">
        <v>1.5505395569446523</v>
      </c>
      <c r="S187">
        <v>-1.2825328394855805E-4</v>
      </c>
      <c r="T187">
        <v>9.8670583038883099E-5</v>
      </c>
    </row>
    <row r="188" spans="1:20" x14ac:dyDescent="0.2">
      <c r="A188" t="s">
        <v>8</v>
      </c>
      <c r="B188" s="25">
        <v>310.54699300000067</v>
      </c>
      <c r="C188" s="4">
        <v>980.7</v>
      </c>
      <c r="D188">
        <v>12.820000000000002</v>
      </c>
      <c r="E188">
        <v>11.67</v>
      </c>
      <c r="F188">
        <v>30.82</v>
      </c>
      <c r="G188" s="4">
        <v>0.40400000000000003</v>
      </c>
      <c r="H188">
        <v>2.7872932654278104</v>
      </c>
      <c r="I188">
        <v>0.68507550069363787</v>
      </c>
      <c r="J188" s="6">
        <v>-2.6144948414671011E-4</v>
      </c>
      <c r="L188" s="6">
        <v>9.8144681496402348E-5</v>
      </c>
      <c r="N188" t="s">
        <v>8</v>
      </c>
      <c r="O188">
        <v>310.54034899999971</v>
      </c>
      <c r="P188" s="4">
        <v>1025.2</v>
      </c>
      <c r="Q188">
        <v>-3.4332186941465084</v>
      </c>
      <c r="R188">
        <v>1.5033690896654359</v>
      </c>
      <c r="S188">
        <v>-3.2612309614590959E-4</v>
      </c>
      <c r="T188">
        <v>1.5570504916951786E-4</v>
      </c>
    </row>
    <row r="189" spans="1:20" x14ac:dyDescent="0.2">
      <c r="D189" s="4"/>
      <c r="E189" s="4"/>
    </row>
    <row r="190" spans="1:20" x14ac:dyDescent="0.2">
      <c r="D190" s="4"/>
      <c r="E190" s="4"/>
    </row>
    <row r="191" spans="1:20" x14ac:dyDescent="0.2">
      <c r="D191" s="4"/>
      <c r="E191" s="4"/>
    </row>
    <row r="192" spans="1:20" x14ac:dyDescent="0.2">
      <c r="D192" s="4"/>
      <c r="E192" s="4"/>
    </row>
    <row r="193" spans="4:12" x14ac:dyDescent="0.2">
      <c r="D193" s="4"/>
      <c r="E193" s="4"/>
    </row>
    <row r="194" spans="4:12" x14ac:dyDescent="0.2">
      <c r="D194" s="4"/>
      <c r="E194" s="4"/>
    </row>
    <row r="195" spans="4:12" x14ac:dyDescent="0.2">
      <c r="D195" s="4"/>
      <c r="E195" s="4"/>
    </row>
    <row r="196" spans="4:12" x14ac:dyDescent="0.2">
      <c r="D196" s="4"/>
      <c r="E196" s="4"/>
      <c r="J196" s="6"/>
      <c r="L196" s="6"/>
    </row>
    <row r="197" spans="4:12" x14ac:dyDescent="0.2">
      <c r="D197" s="4"/>
      <c r="E197" s="4"/>
      <c r="J197" s="6"/>
      <c r="L197" s="6"/>
    </row>
    <row r="198" spans="4:12" x14ac:dyDescent="0.2">
      <c r="D198" s="4"/>
      <c r="E198" s="4"/>
    </row>
    <row r="199" spans="4:12" x14ac:dyDescent="0.2">
      <c r="D199" s="4"/>
      <c r="E199" s="4"/>
    </row>
    <row r="200" spans="4:12" x14ac:dyDescent="0.2">
      <c r="D200" s="4"/>
      <c r="E200" s="4"/>
    </row>
    <row r="201" spans="4:12" x14ac:dyDescent="0.2">
      <c r="D201" s="4"/>
      <c r="E201" s="4"/>
    </row>
    <row r="202" spans="4:12" x14ac:dyDescent="0.2">
      <c r="D202" s="4"/>
      <c r="E202" s="4"/>
    </row>
    <row r="203" spans="4:12" x14ac:dyDescent="0.2">
      <c r="D203" s="4"/>
      <c r="E203" s="4"/>
    </row>
    <row r="204" spans="4:12" x14ac:dyDescent="0.2">
      <c r="D204" s="4"/>
      <c r="E204" s="4"/>
    </row>
    <row r="205" spans="4:12" x14ac:dyDescent="0.2">
      <c r="D205" s="4"/>
      <c r="E205" s="4"/>
    </row>
    <row r="206" spans="4:12" x14ac:dyDescent="0.2">
      <c r="D206" s="4"/>
      <c r="E206" s="4"/>
    </row>
    <row r="207" spans="4:12" x14ac:dyDescent="0.2">
      <c r="D207" s="4"/>
      <c r="E207" s="4"/>
    </row>
    <row r="208" spans="4:12" x14ac:dyDescent="0.2">
      <c r="D208" s="4"/>
      <c r="E208" s="4"/>
    </row>
    <row r="209" spans="4:5" x14ac:dyDescent="0.2">
      <c r="D209" s="4"/>
      <c r="E209" s="4"/>
    </row>
    <row r="210" spans="4:5" x14ac:dyDescent="0.2">
      <c r="D210" s="4"/>
      <c r="E210" s="4"/>
    </row>
    <row r="211" spans="4:5" x14ac:dyDescent="0.2">
      <c r="D211" s="4"/>
      <c r="E211" s="4"/>
    </row>
    <row r="212" spans="4:5" x14ac:dyDescent="0.2">
      <c r="D212" s="4"/>
      <c r="E212" s="4"/>
    </row>
    <row r="213" spans="4:5" x14ac:dyDescent="0.2">
      <c r="D213" s="4"/>
      <c r="E213" s="4"/>
    </row>
    <row r="214" spans="4:5" x14ac:dyDescent="0.2">
      <c r="D214" s="4"/>
      <c r="E214" s="4"/>
    </row>
    <row r="215" spans="4:5" x14ac:dyDescent="0.2">
      <c r="D215" s="4"/>
      <c r="E215" s="4"/>
    </row>
    <row r="216" spans="4:5" x14ac:dyDescent="0.2">
      <c r="D216" s="4"/>
      <c r="E216" s="4"/>
    </row>
    <row r="217" spans="4:5" x14ac:dyDescent="0.2">
      <c r="D217" s="4"/>
      <c r="E217" s="4"/>
    </row>
    <row r="218" spans="4:5" x14ac:dyDescent="0.2">
      <c r="D218" s="4"/>
      <c r="E218" s="4"/>
    </row>
    <row r="219" spans="4:5" x14ac:dyDescent="0.2">
      <c r="D219" s="4"/>
      <c r="E219" s="4"/>
    </row>
    <row r="220" spans="4:5" x14ac:dyDescent="0.2">
      <c r="D220" s="4"/>
      <c r="E220" s="4"/>
    </row>
    <row r="221" spans="4:5" x14ac:dyDescent="0.2">
      <c r="D221" s="4"/>
      <c r="E221" s="4"/>
    </row>
    <row r="222" spans="4:5" x14ac:dyDescent="0.2">
      <c r="D222" s="4"/>
      <c r="E222" s="4"/>
    </row>
    <row r="223" spans="4:5" x14ac:dyDescent="0.2">
      <c r="D223" s="4"/>
      <c r="E223" s="4"/>
    </row>
    <row r="224" spans="4:5" x14ac:dyDescent="0.2">
      <c r="D224" s="4"/>
      <c r="E224" s="4"/>
    </row>
    <row r="225" spans="1:20" x14ac:dyDescent="0.2">
      <c r="D225" s="4"/>
      <c r="E225" s="4"/>
    </row>
    <row r="226" spans="1:20" x14ac:dyDescent="0.2">
      <c r="D226" s="4"/>
      <c r="E226" s="4"/>
    </row>
    <row r="227" spans="1:20" x14ac:dyDescent="0.2">
      <c r="D227" s="4"/>
      <c r="E227" s="4"/>
    </row>
    <row r="228" spans="1:20" x14ac:dyDescent="0.2">
      <c r="D228" s="4"/>
      <c r="E228" s="4"/>
    </row>
    <row r="229" spans="1:20" x14ac:dyDescent="0.2">
      <c r="D229" s="4"/>
      <c r="E229" s="4"/>
    </row>
    <row r="230" spans="1:20" x14ac:dyDescent="0.2">
      <c r="D230" s="4"/>
      <c r="E230" s="4"/>
    </row>
    <row r="231" spans="1:20" x14ac:dyDescent="0.2">
      <c r="D231" s="4"/>
      <c r="E231" s="4"/>
    </row>
    <row r="232" spans="1:20" x14ac:dyDescent="0.2">
      <c r="D232" s="4"/>
      <c r="E232" s="4"/>
    </row>
    <row r="233" spans="1:20" x14ac:dyDescent="0.2">
      <c r="D233" s="4"/>
      <c r="E233" s="4"/>
    </row>
    <row r="234" spans="1:20" x14ac:dyDescent="0.2">
      <c r="D234" s="4"/>
      <c r="E234" s="4"/>
    </row>
    <row r="235" spans="1:20" s="18" customFormat="1" x14ac:dyDescent="0.2">
      <c r="A235"/>
      <c r="B235" s="25"/>
      <c r="C235" s="4"/>
      <c r="D235" s="4"/>
      <c r="E235" s="4"/>
      <c r="F235"/>
      <c r="G235" s="4"/>
      <c r="H235"/>
      <c r="I235"/>
      <c r="J235"/>
      <c r="L235"/>
      <c r="N235"/>
      <c r="O235"/>
      <c r="P235" s="4"/>
      <c r="Q235"/>
      <c r="R235"/>
      <c r="S235"/>
      <c r="T235"/>
    </row>
    <row r="236" spans="1:20" s="18" customFormat="1" x14ac:dyDescent="0.2">
      <c r="A236"/>
      <c r="B236" s="25"/>
      <c r="C236" s="4"/>
      <c r="D236" s="4"/>
      <c r="E236" s="4"/>
      <c r="F236"/>
      <c r="G236" s="4"/>
      <c r="H236"/>
      <c r="I236"/>
      <c r="J236"/>
      <c r="L236"/>
      <c r="N236"/>
      <c r="O236"/>
      <c r="P236" s="4"/>
      <c r="Q236"/>
      <c r="R236"/>
      <c r="S236"/>
      <c r="T236"/>
    </row>
    <row r="237" spans="1:20" s="18" customFormat="1" x14ac:dyDescent="0.2">
      <c r="A237"/>
      <c r="B237" s="25"/>
      <c r="C237" s="4"/>
      <c r="D237" s="4"/>
      <c r="E237" s="4"/>
      <c r="F237"/>
      <c r="G237" s="4"/>
      <c r="H237"/>
      <c r="I237"/>
      <c r="J237"/>
      <c r="L237"/>
      <c r="N237"/>
      <c r="O237"/>
      <c r="P237" s="4"/>
      <c r="Q237"/>
      <c r="R237"/>
      <c r="S237"/>
      <c r="T237"/>
    </row>
    <row r="238" spans="1:20" s="18" customFormat="1" x14ac:dyDescent="0.2">
      <c r="A238"/>
      <c r="B238" s="25"/>
      <c r="C238" s="4"/>
      <c r="D238" s="4"/>
      <c r="E238" s="4"/>
      <c r="F238"/>
      <c r="G238" s="4"/>
      <c r="H238"/>
      <c r="I238"/>
      <c r="J238"/>
      <c r="L238"/>
      <c r="N238"/>
      <c r="O238"/>
      <c r="P238" s="4"/>
      <c r="Q238"/>
      <c r="R238"/>
      <c r="S238"/>
      <c r="T238"/>
    </row>
    <row r="239" spans="1:20" x14ac:dyDescent="0.2">
      <c r="D239" s="4"/>
      <c r="E239" s="4"/>
    </row>
    <row r="240" spans="1:20" x14ac:dyDescent="0.2">
      <c r="D240" s="4"/>
      <c r="E240" s="4"/>
    </row>
    <row r="241" spans="4:5" x14ac:dyDescent="0.2">
      <c r="D241" s="4"/>
      <c r="E241" s="4"/>
    </row>
    <row r="242" spans="4:5" x14ac:dyDescent="0.2">
      <c r="D242" s="4"/>
      <c r="E242" s="4"/>
    </row>
    <row r="243" spans="4:5" x14ac:dyDescent="0.2">
      <c r="D243" s="4"/>
      <c r="E243" s="4"/>
    </row>
    <row r="244" spans="4:5" x14ac:dyDescent="0.2">
      <c r="D244" s="4"/>
      <c r="E244" s="4"/>
    </row>
    <row r="245" spans="4:5" x14ac:dyDescent="0.2">
      <c r="D245" s="4"/>
      <c r="E245" s="4"/>
    </row>
    <row r="246" spans="4:5" x14ac:dyDescent="0.2">
      <c r="D246" s="4"/>
      <c r="E246" s="4"/>
    </row>
    <row r="247" spans="4:5" x14ac:dyDescent="0.2">
      <c r="D247" s="4"/>
      <c r="E247" s="4"/>
    </row>
    <row r="248" spans="4:5" x14ac:dyDescent="0.2">
      <c r="D248" s="4"/>
      <c r="E248" s="4"/>
    </row>
    <row r="249" spans="4:5" x14ac:dyDescent="0.2">
      <c r="D249" s="4"/>
      <c r="E249" s="4"/>
    </row>
    <row r="250" spans="4:5" x14ac:dyDescent="0.2">
      <c r="D250" s="4"/>
      <c r="E250" s="4"/>
    </row>
    <row r="251" spans="4:5" x14ac:dyDescent="0.2">
      <c r="D251" s="4"/>
      <c r="E251" s="4"/>
    </row>
    <row r="252" spans="4:5" x14ac:dyDescent="0.2">
      <c r="D252" s="4"/>
      <c r="E252" s="4"/>
    </row>
    <row r="253" spans="4:5" x14ac:dyDescent="0.2">
      <c r="D253" s="4"/>
      <c r="E253" s="4"/>
    </row>
    <row r="254" spans="4:5" x14ac:dyDescent="0.2">
      <c r="D254" s="4"/>
      <c r="E254" s="4"/>
    </row>
    <row r="255" spans="4:5" x14ac:dyDescent="0.2">
      <c r="D255" s="4"/>
      <c r="E255" s="4"/>
    </row>
    <row r="256" spans="4:5" x14ac:dyDescent="0.2">
      <c r="D256" s="4"/>
      <c r="E256" s="4"/>
    </row>
    <row r="257" spans="4:12" x14ac:dyDescent="0.2">
      <c r="D257" s="4"/>
      <c r="E257" s="4"/>
      <c r="J257" s="6"/>
      <c r="L257" s="6"/>
    </row>
    <row r="258" spans="4:12" x14ac:dyDescent="0.2">
      <c r="D258" s="4"/>
      <c r="E258" s="4"/>
    </row>
    <row r="259" spans="4:12" x14ac:dyDescent="0.2">
      <c r="D259" s="4"/>
      <c r="E259" s="4"/>
    </row>
    <row r="260" spans="4:12" x14ac:dyDescent="0.2">
      <c r="D260" s="4"/>
      <c r="E260" s="4"/>
    </row>
    <row r="261" spans="4:12" x14ac:dyDescent="0.2">
      <c r="D261" s="4"/>
      <c r="E261" s="4"/>
    </row>
    <row r="262" spans="4:12" x14ac:dyDescent="0.2">
      <c r="D262" s="4"/>
      <c r="E262" s="4"/>
    </row>
    <row r="263" spans="4:12" x14ac:dyDescent="0.2">
      <c r="D263" s="4"/>
      <c r="E263" s="4"/>
    </row>
    <row r="264" spans="4:12" x14ac:dyDescent="0.2">
      <c r="D264" s="4"/>
      <c r="E264" s="4"/>
    </row>
    <row r="265" spans="4:12" x14ac:dyDescent="0.2">
      <c r="D265" s="4"/>
      <c r="E265" s="4"/>
    </row>
    <row r="266" spans="4:12" x14ac:dyDescent="0.2">
      <c r="D266" s="4"/>
      <c r="E266" s="4"/>
    </row>
    <row r="267" spans="4:12" x14ac:dyDescent="0.2">
      <c r="D267" s="4"/>
      <c r="E267" s="4"/>
    </row>
    <row r="268" spans="4:12" x14ac:dyDescent="0.2">
      <c r="D268" s="4"/>
      <c r="E268" s="4"/>
    </row>
    <row r="269" spans="4:12" x14ac:dyDescent="0.2">
      <c r="D269" s="4"/>
      <c r="E269" s="4"/>
    </row>
    <row r="270" spans="4:12" x14ac:dyDescent="0.2">
      <c r="D270" s="4"/>
      <c r="E270" s="4"/>
    </row>
    <row r="271" spans="4:12" x14ac:dyDescent="0.2">
      <c r="D271" s="4"/>
      <c r="E271" s="4"/>
    </row>
    <row r="272" spans="4:12" x14ac:dyDescent="0.2">
      <c r="D272" s="4"/>
      <c r="E272" s="4"/>
      <c r="J272" s="6"/>
      <c r="L272" s="6"/>
    </row>
    <row r="273" spans="4:5" x14ac:dyDescent="0.2">
      <c r="D273" s="4"/>
      <c r="E273" s="4"/>
    </row>
    <row r="274" spans="4:5" x14ac:dyDescent="0.2">
      <c r="D274" s="4"/>
      <c r="E274" s="4"/>
    </row>
    <row r="275" spans="4:5" x14ac:dyDescent="0.2">
      <c r="D275" s="4"/>
      <c r="E275" s="4"/>
    </row>
    <row r="276" spans="4:5" x14ac:dyDescent="0.2">
      <c r="D276" s="4"/>
      <c r="E276" s="4"/>
    </row>
    <row r="277" spans="4:5" x14ac:dyDescent="0.2">
      <c r="D277" s="4"/>
      <c r="E277" s="4"/>
    </row>
    <row r="278" spans="4:5" x14ac:dyDescent="0.2">
      <c r="D278" s="4"/>
      <c r="E278" s="4"/>
    </row>
    <row r="279" spans="4:5" x14ac:dyDescent="0.2">
      <c r="D279" s="4"/>
      <c r="E279" s="4"/>
    </row>
    <row r="280" spans="4:5" x14ac:dyDescent="0.2">
      <c r="D280" s="4"/>
      <c r="E280" s="4"/>
    </row>
    <row r="281" spans="4:5" x14ac:dyDescent="0.2">
      <c r="D281" s="4"/>
      <c r="E281" s="4"/>
    </row>
    <row r="282" spans="4:5" x14ac:dyDescent="0.2">
      <c r="D282" s="4"/>
      <c r="E282" s="4"/>
    </row>
    <row r="283" spans="4:5" x14ac:dyDescent="0.2">
      <c r="D283" s="4"/>
      <c r="E283" s="4"/>
    </row>
    <row r="284" spans="4:5" x14ac:dyDescent="0.2">
      <c r="D284" s="4"/>
      <c r="E284" s="4"/>
    </row>
    <row r="285" spans="4:5" x14ac:dyDescent="0.2">
      <c r="D285" s="4"/>
      <c r="E285" s="4"/>
    </row>
    <row r="286" spans="4:5" x14ac:dyDescent="0.2">
      <c r="D286" s="4"/>
      <c r="E286" s="4"/>
    </row>
    <row r="287" spans="4:5" x14ac:dyDescent="0.2">
      <c r="D287" s="4"/>
      <c r="E287" s="4"/>
    </row>
    <row r="288" spans="4:5" x14ac:dyDescent="0.2">
      <c r="D288" s="4"/>
      <c r="E288" s="4"/>
    </row>
    <row r="289" spans="4:5" x14ac:dyDescent="0.2">
      <c r="D289" s="4"/>
      <c r="E289" s="4"/>
    </row>
    <row r="290" spans="4:5" x14ac:dyDescent="0.2">
      <c r="D290" s="4"/>
      <c r="E290" s="4"/>
    </row>
    <row r="291" spans="4:5" x14ac:dyDescent="0.2">
      <c r="D291" s="4"/>
      <c r="E291" s="4"/>
    </row>
    <row r="292" spans="4:5" x14ac:dyDescent="0.2">
      <c r="D292" s="4"/>
      <c r="E292" s="4"/>
    </row>
    <row r="293" spans="4:5" x14ac:dyDescent="0.2">
      <c r="D293" s="4"/>
      <c r="E293" s="4"/>
    </row>
    <row r="294" spans="4:5" x14ac:dyDescent="0.2">
      <c r="D294" s="4"/>
      <c r="E294" s="4"/>
    </row>
    <row r="295" spans="4:5" x14ac:dyDescent="0.2">
      <c r="D295" s="4"/>
      <c r="E295" s="4"/>
    </row>
    <row r="296" spans="4:5" x14ac:dyDescent="0.2">
      <c r="D296" s="4"/>
      <c r="E296" s="4"/>
    </row>
    <row r="297" spans="4:5" x14ac:dyDescent="0.2">
      <c r="D297" s="4"/>
      <c r="E297" s="4"/>
    </row>
    <row r="298" spans="4:5" x14ac:dyDescent="0.2">
      <c r="D298" s="4"/>
      <c r="E298" s="4"/>
    </row>
    <row r="299" spans="4:5" x14ac:dyDescent="0.2">
      <c r="D299" s="4"/>
      <c r="E299" s="4"/>
    </row>
    <row r="300" spans="4:5" x14ac:dyDescent="0.2">
      <c r="D300" s="4"/>
      <c r="E300" s="4"/>
    </row>
    <row r="301" spans="4:5" x14ac:dyDescent="0.2">
      <c r="D301" s="4"/>
      <c r="E301" s="4"/>
    </row>
    <row r="302" spans="4:5" x14ac:dyDescent="0.2">
      <c r="D302" s="4"/>
      <c r="E302" s="4"/>
    </row>
    <row r="303" spans="4:5" x14ac:dyDescent="0.2">
      <c r="D303" s="4"/>
      <c r="E303" s="4"/>
    </row>
    <row r="304" spans="4:5" x14ac:dyDescent="0.2">
      <c r="D304" s="4"/>
      <c r="E304" s="4"/>
    </row>
    <row r="305" spans="4:5" x14ac:dyDescent="0.2">
      <c r="D305" s="4"/>
      <c r="E305" s="4"/>
    </row>
    <row r="306" spans="4:5" x14ac:dyDescent="0.2">
      <c r="D306" s="4"/>
      <c r="E306" s="4"/>
    </row>
    <row r="307" spans="4:5" x14ac:dyDescent="0.2">
      <c r="D307" s="4"/>
      <c r="E307" s="4"/>
    </row>
    <row r="308" spans="4:5" x14ac:dyDescent="0.2">
      <c r="D308" s="4"/>
      <c r="E308" s="4"/>
    </row>
    <row r="309" spans="4:5" x14ac:dyDescent="0.2">
      <c r="D309" s="4"/>
      <c r="E309" s="4"/>
    </row>
    <row r="310" spans="4:5" x14ac:dyDescent="0.2">
      <c r="D310" s="4"/>
      <c r="E310" s="4"/>
    </row>
    <row r="311" spans="4:5" x14ac:dyDescent="0.2">
      <c r="D311" s="4"/>
      <c r="E311" s="4"/>
    </row>
    <row r="312" spans="4:5" x14ac:dyDescent="0.2">
      <c r="D312" s="4"/>
      <c r="E312" s="4"/>
    </row>
    <row r="313" spans="4:5" x14ac:dyDescent="0.2">
      <c r="D313" s="4"/>
      <c r="E313" s="4"/>
    </row>
    <row r="314" spans="4:5" x14ac:dyDescent="0.2">
      <c r="D314" s="4"/>
      <c r="E314" s="4"/>
    </row>
    <row r="315" spans="4:5" x14ac:dyDescent="0.2">
      <c r="D315" s="4"/>
      <c r="E315" s="4"/>
    </row>
    <row r="316" spans="4:5" x14ac:dyDescent="0.2">
      <c r="D316" s="4"/>
      <c r="E316" s="4"/>
    </row>
    <row r="317" spans="4:5" x14ac:dyDescent="0.2">
      <c r="D317" s="4"/>
      <c r="E317" s="4"/>
    </row>
    <row r="318" spans="4:5" x14ac:dyDescent="0.2">
      <c r="D318" s="4"/>
      <c r="E318" s="4"/>
    </row>
    <row r="319" spans="4:5" x14ac:dyDescent="0.2">
      <c r="D319" s="4"/>
      <c r="E319" s="4"/>
    </row>
    <row r="320" spans="4:5" x14ac:dyDescent="0.2">
      <c r="D320" s="4"/>
      <c r="E320" s="4"/>
    </row>
    <row r="321" spans="4:5" x14ac:dyDescent="0.2">
      <c r="D321" s="4"/>
      <c r="E321" s="4"/>
    </row>
    <row r="322" spans="4:5" x14ac:dyDescent="0.2">
      <c r="D322" s="4"/>
      <c r="E322" s="4"/>
    </row>
    <row r="323" spans="4:5" x14ac:dyDescent="0.2">
      <c r="D323" s="4"/>
      <c r="E323" s="4"/>
    </row>
    <row r="324" spans="4:5" x14ac:dyDescent="0.2">
      <c r="D324" s="4"/>
      <c r="E324" s="4"/>
    </row>
    <row r="325" spans="4:5" x14ac:dyDescent="0.2">
      <c r="D325" s="4"/>
      <c r="E325" s="4"/>
    </row>
    <row r="326" spans="4:5" x14ac:dyDescent="0.2">
      <c r="D326" s="4"/>
      <c r="E326" s="4"/>
    </row>
    <row r="327" spans="4:5" x14ac:dyDescent="0.2">
      <c r="D327" s="4"/>
      <c r="E327" s="4"/>
    </row>
    <row r="328" spans="4:5" x14ac:dyDescent="0.2">
      <c r="D328" s="4"/>
      <c r="E328" s="4"/>
    </row>
    <row r="329" spans="4:5" x14ac:dyDescent="0.2">
      <c r="D329" s="4"/>
      <c r="E329" s="4"/>
    </row>
    <row r="330" spans="4:5" x14ac:dyDescent="0.2">
      <c r="D330" s="4"/>
      <c r="E330" s="4"/>
    </row>
    <row r="331" spans="4:5" x14ac:dyDescent="0.2">
      <c r="D331" s="4"/>
      <c r="E331" s="4"/>
    </row>
    <row r="332" spans="4:5" x14ac:dyDescent="0.2">
      <c r="D332" s="4"/>
      <c r="E332" s="4"/>
    </row>
    <row r="333" spans="4:5" x14ac:dyDescent="0.2">
      <c r="D333" s="4"/>
      <c r="E333" s="4"/>
    </row>
    <row r="334" spans="4:5" x14ac:dyDescent="0.2">
      <c r="D334" s="4"/>
      <c r="E334" s="4"/>
    </row>
    <row r="335" spans="4:5" x14ac:dyDescent="0.2">
      <c r="D335" s="4"/>
      <c r="E335" s="4"/>
    </row>
    <row r="336" spans="4:5" x14ac:dyDescent="0.2">
      <c r="D336" s="4"/>
      <c r="E336" s="4"/>
    </row>
    <row r="337" spans="4:12" x14ac:dyDescent="0.2">
      <c r="D337" s="4"/>
      <c r="E337" s="4"/>
    </row>
    <row r="338" spans="4:12" x14ac:dyDescent="0.2">
      <c r="D338" s="4"/>
      <c r="E338" s="4"/>
    </row>
    <row r="339" spans="4:12" x14ac:dyDescent="0.2">
      <c r="D339" s="4"/>
      <c r="E339" s="4"/>
    </row>
    <row r="340" spans="4:12" x14ac:dyDescent="0.2">
      <c r="D340" s="4"/>
      <c r="E340" s="4"/>
    </row>
    <row r="341" spans="4:12" x14ac:dyDescent="0.2">
      <c r="D341" s="4"/>
      <c r="E341" s="4"/>
    </row>
    <row r="342" spans="4:12" x14ac:dyDescent="0.2">
      <c r="D342" s="4"/>
      <c r="E342" s="4"/>
    </row>
    <row r="343" spans="4:12" x14ac:dyDescent="0.2">
      <c r="D343" s="4"/>
      <c r="E343" s="4"/>
      <c r="J343" s="6"/>
      <c r="L343" s="6"/>
    </row>
    <row r="344" spans="4:12" x14ac:dyDescent="0.2">
      <c r="D344" s="4"/>
      <c r="E344" s="4"/>
    </row>
    <row r="345" spans="4:12" x14ac:dyDescent="0.2">
      <c r="D345" s="4"/>
      <c r="E345" s="4"/>
      <c r="J345" s="6"/>
      <c r="L345" s="6"/>
    </row>
    <row r="346" spans="4:12" x14ac:dyDescent="0.2">
      <c r="D346" s="4"/>
      <c r="E346" s="4"/>
      <c r="J346" s="6"/>
      <c r="L346" s="6"/>
    </row>
    <row r="347" spans="4:12" x14ac:dyDescent="0.2">
      <c r="D347" s="4"/>
      <c r="E347" s="4"/>
    </row>
    <row r="354" spans="10:12" x14ac:dyDescent="0.2">
      <c r="J354" s="6"/>
      <c r="L354" s="6"/>
    </row>
    <row r="355" spans="10:12" x14ac:dyDescent="0.2">
      <c r="J355" s="6"/>
      <c r="L355" s="6"/>
    </row>
    <row r="356" spans="10:12" x14ac:dyDescent="0.2">
      <c r="J356" s="6"/>
      <c r="L356" s="6"/>
    </row>
    <row r="357" spans="10:12" x14ac:dyDescent="0.2">
      <c r="J357" s="6"/>
      <c r="L357" s="6"/>
    </row>
    <row r="361" spans="10:12" x14ac:dyDescent="0.2">
      <c r="J361" s="6"/>
      <c r="L361" s="6"/>
    </row>
    <row r="362" spans="10:12" x14ac:dyDescent="0.2">
      <c r="J362" s="6"/>
      <c r="L362" s="6"/>
    </row>
    <row r="370" spans="10:12" x14ac:dyDescent="0.2">
      <c r="J370" s="6"/>
      <c r="L370" s="6"/>
    </row>
    <row r="379" spans="10:12" x14ac:dyDescent="0.2">
      <c r="J379" s="6"/>
      <c r="L379" s="6"/>
    </row>
    <row r="382" spans="10:12" x14ac:dyDescent="0.2">
      <c r="J382" s="6"/>
      <c r="L382" s="6"/>
    </row>
    <row r="384" spans="10:12" x14ac:dyDescent="0.2">
      <c r="J384" s="6"/>
      <c r="L384" s="6"/>
    </row>
    <row r="396" spans="10:12" x14ac:dyDescent="0.2">
      <c r="J396" s="6"/>
      <c r="L396" s="6"/>
    </row>
    <row r="398" spans="10:12" x14ac:dyDescent="0.2">
      <c r="J398" s="6"/>
      <c r="L398" s="6"/>
    </row>
    <row r="399" spans="10:12" x14ac:dyDescent="0.2">
      <c r="J399" s="6"/>
      <c r="L399" s="6"/>
    </row>
    <row r="409" spans="1:20" s="18" customFormat="1" x14ac:dyDescent="0.2">
      <c r="A409"/>
      <c r="B409" s="25"/>
      <c r="C409" s="4"/>
      <c r="D409"/>
      <c r="E409"/>
      <c r="F409"/>
      <c r="G409" s="4"/>
      <c r="H409"/>
      <c r="I409"/>
      <c r="J409"/>
      <c r="L409"/>
      <c r="N409"/>
      <c r="O409"/>
      <c r="P409" s="4"/>
      <c r="Q409"/>
      <c r="R409"/>
      <c r="S409"/>
      <c r="T409"/>
    </row>
    <row r="410" spans="1:20" s="18" customFormat="1" x14ac:dyDescent="0.2">
      <c r="A410"/>
      <c r="B410" s="25"/>
      <c r="C410" s="4"/>
      <c r="D410"/>
      <c r="E410"/>
      <c r="F410"/>
      <c r="G410" s="4"/>
      <c r="H410"/>
      <c r="I410"/>
      <c r="J410"/>
      <c r="L410"/>
      <c r="N410"/>
      <c r="O410"/>
      <c r="P410" s="4"/>
      <c r="Q410"/>
      <c r="R410"/>
      <c r="S410"/>
      <c r="T410"/>
    </row>
    <row r="411" spans="1:20" s="18" customFormat="1" x14ac:dyDescent="0.2">
      <c r="A411"/>
      <c r="B411" s="25"/>
      <c r="C411" s="4"/>
      <c r="D411"/>
      <c r="E411"/>
      <c r="F411"/>
      <c r="G411" s="4"/>
      <c r="H411"/>
      <c r="I411"/>
      <c r="J411"/>
      <c r="L411"/>
      <c r="N411"/>
      <c r="O411"/>
      <c r="P411" s="4"/>
      <c r="Q411"/>
      <c r="R411"/>
      <c r="S411"/>
      <c r="T411"/>
    </row>
    <row r="421" spans="10:12" x14ac:dyDescent="0.2">
      <c r="J421" s="6"/>
      <c r="L421" s="6"/>
    </row>
    <row r="439" spans="10:12" x14ac:dyDescent="0.2">
      <c r="J439" s="6"/>
      <c r="L439" s="6"/>
    </row>
    <row r="440" spans="10:12" x14ac:dyDescent="0.2">
      <c r="J440" s="6"/>
      <c r="L440" s="6"/>
    </row>
    <row r="441" spans="10:12" x14ac:dyDescent="0.2">
      <c r="J441" s="6"/>
      <c r="L441" s="6"/>
    </row>
    <row r="442" spans="10:12" x14ac:dyDescent="0.2">
      <c r="J442" s="6"/>
      <c r="L442" s="6"/>
    </row>
    <row r="449" spans="10:12" x14ac:dyDescent="0.2">
      <c r="J449" s="6"/>
      <c r="L449" s="6"/>
    </row>
    <row r="454" spans="10:12" x14ac:dyDescent="0.2">
      <c r="J454" s="6"/>
      <c r="L454" s="6"/>
    </row>
    <row r="455" spans="10:12" x14ac:dyDescent="0.2">
      <c r="J455" s="6"/>
      <c r="L455" s="6"/>
    </row>
    <row r="470" spans="10:12" x14ac:dyDescent="0.2">
      <c r="J470" s="6"/>
      <c r="L470" s="6"/>
    </row>
    <row r="471" spans="10:12" x14ac:dyDescent="0.2">
      <c r="J471" s="6"/>
      <c r="L471" s="6"/>
    </row>
    <row r="481" spans="10:12" x14ac:dyDescent="0.2">
      <c r="J481" s="6"/>
      <c r="L481" s="6"/>
    </row>
    <row r="482" spans="10:12" x14ac:dyDescent="0.2">
      <c r="J482" s="6"/>
      <c r="L482" s="6"/>
    </row>
    <row r="484" spans="10:12" x14ac:dyDescent="0.2">
      <c r="J484" s="6"/>
      <c r="L484" s="6"/>
    </row>
    <row r="485" spans="10:12" x14ac:dyDescent="0.2">
      <c r="J485" s="6"/>
      <c r="L485" s="6"/>
    </row>
    <row r="490" spans="10:12" x14ac:dyDescent="0.2">
      <c r="J490" s="6"/>
      <c r="L490" s="6"/>
    </row>
    <row r="517" spans="10:12" x14ac:dyDescent="0.2">
      <c r="J517" s="6"/>
      <c r="L517" s="6"/>
    </row>
    <row r="543" spans="10:12" x14ac:dyDescent="0.2">
      <c r="J543" s="6"/>
      <c r="L543" s="6"/>
    </row>
    <row r="549" spans="10:12" x14ac:dyDescent="0.2">
      <c r="J549" s="6"/>
      <c r="L549" s="6"/>
    </row>
    <row r="550" spans="10:12" x14ac:dyDescent="0.2">
      <c r="J550" s="6"/>
      <c r="L550" s="6"/>
    </row>
    <row r="555" spans="10:12" x14ac:dyDescent="0.2">
      <c r="J555" s="6"/>
      <c r="L555" s="6"/>
    </row>
    <row r="556" spans="10:12" x14ac:dyDescent="0.2">
      <c r="J556" s="6"/>
      <c r="L556" s="6"/>
    </row>
    <row r="558" spans="10:12" x14ac:dyDescent="0.2">
      <c r="J558" s="6"/>
      <c r="L558" s="6"/>
    </row>
    <row r="560" spans="10:12" x14ac:dyDescent="0.2">
      <c r="J560" s="6"/>
      <c r="L560" s="6"/>
    </row>
    <row r="561" spans="10:12" x14ac:dyDescent="0.2">
      <c r="J561" s="6"/>
      <c r="L561" s="6"/>
    </row>
    <row r="562" spans="10:12" x14ac:dyDescent="0.2">
      <c r="J562" s="6"/>
      <c r="L562" s="6"/>
    </row>
    <row r="569" spans="10:12" x14ac:dyDescent="0.2">
      <c r="J569" s="6"/>
      <c r="L569" s="6"/>
    </row>
    <row r="571" spans="10:12" x14ac:dyDescent="0.2">
      <c r="J571" s="6"/>
      <c r="L571" s="6"/>
    </row>
    <row r="572" spans="10:12" x14ac:dyDescent="0.2">
      <c r="J572" s="6"/>
      <c r="L572" s="6"/>
    </row>
    <row r="574" spans="10:12" x14ac:dyDescent="0.2">
      <c r="J574" s="6"/>
      <c r="L574" s="6"/>
    </row>
    <row r="575" spans="10:12" x14ac:dyDescent="0.2">
      <c r="J575" s="6"/>
      <c r="L575" s="6"/>
    </row>
    <row r="581" spans="10:12" x14ac:dyDescent="0.2">
      <c r="J581" s="6"/>
      <c r="L581" s="6"/>
    </row>
    <row r="582" spans="10:12" x14ac:dyDescent="0.2">
      <c r="J582" s="6"/>
      <c r="L582" s="6"/>
    </row>
    <row r="583" spans="10:12" x14ac:dyDescent="0.2">
      <c r="J583" s="6"/>
      <c r="L583" s="6"/>
    </row>
    <row r="584" spans="10:12" x14ac:dyDescent="0.2">
      <c r="J584" s="6"/>
      <c r="L584" s="6"/>
    </row>
    <row r="586" spans="10:12" x14ac:dyDescent="0.2">
      <c r="J586" s="6"/>
      <c r="L586" s="6"/>
    </row>
    <row r="588" spans="10:12" x14ac:dyDescent="0.2">
      <c r="J588" s="6"/>
      <c r="L588" s="6"/>
    </row>
    <row r="589" spans="10:12" x14ac:dyDescent="0.2">
      <c r="J589" s="6"/>
      <c r="L589" s="6"/>
    </row>
    <row r="592" spans="10:12" x14ac:dyDescent="0.2">
      <c r="J592" s="6"/>
      <c r="L592" s="6"/>
    </row>
    <row r="593" spans="10:12" x14ac:dyDescent="0.2">
      <c r="J593" s="6"/>
      <c r="L593" s="6"/>
    </row>
    <row r="594" spans="10:12" x14ac:dyDescent="0.2">
      <c r="J594" s="6"/>
      <c r="L594" s="6"/>
    </row>
    <row r="595" spans="10:12" x14ac:dyDescent="0.2">
      <c r="J595" s="6"/>
      <c r="L595" s="6"/>
    </row>
    <row r="599" spans="10:12" x14ac:dyDescent="0.2">
      <c r="J599" s="6"/>
      <c r="L599" s="6"/>
    </row>
    <row r="600" spans="10:12" x14ac:dyDescent="0.2">
      <c r="J600" s="6"/>
      <c r="L600" s="6"/>
    </row>
    <row r="603" spans="10:12" x14ac:dyDescent="0.2">
      <c r="J603" s="6"/>
      <c r="L603" s="6"/>
    </row>
    <row r="604" spans="10:12" x14ac:dyDescent="0.2">
      <c r="J604" s="6"/>
      <c r="L604" s="6"/>
    </row>
    <row r="605" spans="10:12" x14ac:dyDescent="0.2">
      <c r="J605" s="6"/>
      <c r="L605" s="6"/>
    </row>
    <row r="609" spans="10:12" x14ac:dyDescent="0.2">
      <c r="J609" s="6"/>
      <c r="L609" s="6"/>
    </row>
    <row r="611" spans="10:12" x14ac:dyDescent="0.2">
      <c r="J611" s="6"/>
      <c r="L611" s="6"/>
    </row>
    <row r="616" spans="10:12" x14ac:dyDescent="0.2">
      <c r="J616" s="6"/>
      <c r="L616" s="6"/>
    </row>
    <row r="617" spans="10:12" x14ac:dyDescent="0.2">
      <c r="J617" s="6"/>
      <c r="L617" s="6"/>
    </row>
    <row r="618" spans="10:12" x14ac:dyDescent="0.2">
      <c r="J618" s="6"/>
      <c r="L618" s="6"/>
    </row>
    <row r="619" spans="10:12" x14ac:dyDescent="0.2">
      <c r="J619" s="6"/>
      <c r="L619" s="6"/>
    </row>
    <row r="620" spans="10:12" x14ac:dyDescent="0.2">
      <c r="J620" s="6"/>
      <c r="L620" s="6"/>
    </row>
    <row r="621" spans="10:12" x14ac:dyDescent="0.2">
      <c r="J621" s="6"/>
      <c r="L621" s="6"/>
    </row>
    <row r="622" spans="10:12" x14ac:dyDescent="0.2">
      <c r="J622" s="6"/>
      <c r="L622" s="6"/>
    </row>
    <row r="623" spans="10:12" x14ac:dyDescent="0.2">
      <c r="J623" s="6"/>
      <c r="L623" s="6"/>
    </row>
    <row r="624" spans="10:12" x14ac:dyDescent="0.2">
      <c r="J624" s="6"/>
      <c r="L624" s="6"/>
    </row>
    <row r="625" spans="4:12" x14ac:dyDescent="0.2">
      <c r="J625" s="6"/>
      <c r="L625" s="6"/>
    </row>
    <row r="627" spans="4:12" x14ac:dyDescent="0.2">
      <c r="J627" s="6"/>
      <c r="L627" s="6"/>
    </row>
    <row r="635" spans="4:12" x14ac:dyDescent="0.2">
      <c r="D635" s="4"/>
      <c r="E635" s="4"/>
    </row>
    <row r="636" spans="4:12" x14ac:dyDescent="0.2">
      <c r="D636" s="4"/>
      <c r="E636" s="4"/>
    </row>
    <row r="637" spans="4:12" x14ac:dyDescent="0.2">
      <c r="D637" s="4"/>
      <c r="E637" s="4"/>
    </row>
    <row r="638" spans="4:12" x14ac:dyDescent="0.2">
      <c r="D638" s="4"/>
      <c r="E638" s="4"/>
    </row>
    <row r="639" spans="4:12" x14ac:dyDescent="0.2">
      <c r="D639" s="4"/>
      <c r="E639" s="4"/>
    </row>
    <row r="640" spans="4:12" x14ac:dyDescent="0.2">
      <c r="D640" s="4"/>
      <c r="E640" s="4"/>
    </row>
    <row r="641" spans="4:5" x14ac:dyDescent="0.2">
      <c r="D641" s="4"/>
      <c r="E641" s="4"/>
    </row>
    <row r="642" spans="4:5" x14ac:dyDescent="0.2">
      <c r="D642" s="4"/>
      <c r="E642" s="4"/>
    </row>
    <row r="643" spans="4:5" x14ac:dyDescent="0.2">
      <c r="D643" s="4"/>
      <c r="E643" s="4"/>
    </row>
    <row r="644" spans="4:5" x14ac:dyDescent="0.2">
      <c r="D644" s="4"/>
      <c r="E644" s="4"/>
    </row>
    <row r="645" spans="4:5" x14ac:dyDescent="0.2">
      <c r="D645" s="4"/>
      <c r="E645" s="4"/>
    </row>
    <row r="646" spans="4:5" x14ac:dyDescent="0.2">
      <c r="D646" s="4"/>
      <c r="E646" s="4"/>
    </row>
    <row r="647" spans="4:5" x14ac:dyDescent="0.2">
      <c r="D647" s="4"/>
      <c r="E647" s="4"/>
    </row>
    <row r="648" spans="4:5" x14ac:dyDescent="0.2">
      <c r="D648" s="4"/>
      <c r="E648" s="4"/>
    </row>
    <row r="649" spans="4:5" x14ac:dyDescent="0.2">
      <c r="D649" s="4"/>
      <c r="E649" s="4"/>
    </row>
    <row r="650" spans="4:5" x14ac:dyDescent="0.2">
      <c r="D650" s="4"/>
    </row>
    <row r="651" spans="4:5" x14ac:dyDescent="0.2">
      <c r="D651" s="4"/>
    </row>
    <row r="652" spans="4:5" x14ac:dyDescent="0.2">
      <c r="D652" s="4"/>
    </row>
    <row r="653" spans="4:5" x14ac:dyDescent="0.2">
      <c r="D653" s="4"/>
    </row>
    <row r="654" spans="4:5" x14ac:dyDescent="0.2">
      <c r="D654" s="4"/>
    </row>
    <row r="655" spans="4:5" x14ac:dyDescent="0.2">
      <c r="D655" s="4"/>
    </row>
    <row r="656" spans="4:5" x14ac:dyDescent="0.2">
      <c r="D656" s="4"/>
    </row>
    <row r="657" spans="1:20" s="18" customFormat="1" x14ac:dyDescent="0.2">
      <c r="A657"/>
      <c r="B657" s="25"/>
      <c r="C657" s="4"/>
      <c r="D657" s="4"/>
      <c r="E657"/>
      <c r="F657"/>
      <c r="G657" s="4"/>
      <c r="H657"/>
      <c r="I657"/>
      <c r="J657"/>
      <c r="L657"/>
      <c r="N657"/>
      <c r="O657"/>
      <c r="P657" s="4"/>
      <c r="Q657"/>
      <c r="R657"/>
      <c r="S657"/>
      <c r="T657"/>
    </row>
    <row r="658" spans="1:20" s="18" customFormat="1" x14ac:dyDescent="0.2">
      <c r="A658"/>
      <c r="B658" s="25"/>
      <c r="C658" s="4"/>
      <c r="D658" s="4"/>
      <c r="E658"/>
      <c r="F658"/>
      <c r="G658" s="4"/>
      <c r="H658"/>
      <c r="I658"/>
      <c r="J658"/>
      <c r="L658"/>
      <c r="N658"/>
      <c r="O658"/>
      <c r="P658" s="4"/>
      <c r="Q658"/>
      <c r="R658"/>
      <c r="S658"/>
      <c r="T658"/>
    </row>
    <row r="659" spans="1:20" s="18" customFormat="1" x14ac:dyDescent="0.2">
      <c r="A659"/>
      <c r="B659" s="25"/>
      <c r="C659" s="4"/>
      <c r="D659" s="4"/>
      <c r="E659"/>
      <c r="F659"/>
      <c r="G659" s="4"/>
      <c r="H659"/>
      <c r="I659"/>
      <c r="J659"/>
      <c r="L659"/>
      <c r="N659"/>
      <c r="O659"/>
      <c r="P659" s="4"/>
      <c r="Q659"/>
      <c r="R659"/>
      <c r="S659"/>
      <c r="T659"/>
    </row>
    <row r="660" spans="1:20" s="18" customFormat="1" x14ac:dyDescent="0.2">
      <c r="A660"/>
      <c r="B660" s="25"/>
      <c r="C660" s="4"/>
      <c r="D660" s="4"/>
      <c r="E660" s="4"/>
      <c r="F660"/>
      <c r="G660" s="4"/>
      <c r="H660"/>
      <c r="I660"/>
      <c r="J660" s="6"/>
      <c r="L660" s="6"/>
      <c r="N660"/>
      <c r="O660"/>
      <c r="P660" s="4"/>
      <c r="Q660"/>
      <c r="R660"/>
      <c r="S660"/>
      <c r="T660"/>
    </row>
    <row r="661" spans="1:20" s="18" customFormat="1" x14ac:dyDescent="0.2">
      <c r="A661"/>
      <c r="B661" s="25"/>
      <c r="C661" s="4"/>
      <c r="D661" s="4"/>
      <c r="E661" s="4"/>
      <c r="F661"/>
      <c r="G661" s="4"/>
      <c r="H661"/>
      <c r="I661"/>
      <c r="J661" s="6"/>
      <c r="L661" s="6"/>
      <c r="N661"/>
      <c r="O661"/>
      <c r="P661" s="4"/>
      <c r="Q661"/>
      <c r="R661"/>
      <c r="S661"/>
      <c r="T661"/>
    </row>
    <row r="662" spans="1:20" s="18" customFormat="1" x14ac:dyDescent="0.2">
      <c r="A662"/>
      <c r="B662" s="25"/>
      <c r="C662" s="4"/>
      <c r="D662" s="4"/>
      <c r="E662" s="4"/>
      <c r="F662"/>
      <c r="G662" s="4"/>
      <c r="H662"/>
      <c r="I662"/>
      <c r="J662"/>
      <c r="L662"/>
      <c r="N662"/>
      <c r="O662"/>
      <c r="P662" s="4"/>
      <c r="Q662"/>
      <c r="R662"/>
      <c r="S662"/>
      <c r="T662"/>
    </row>
    <row r="663" spans="1:20" s="18" customFormat="1" x14ac:dyDescent="0.2">
      <c r="A663"/>
      <c r="B663" s="25"/>
      <c r="C663" s="4"/>
      <c r="D663" s="4"/>
      <c r="E663" s="4"/>
      <c r="F663"/>
      <c r="G663" s="4"/>
      <c r="H663"/>
      <c r="I663"/>
      <c r="J663"/>
      <c r="L663"/>
      <c r="N663"/>
      <c r="O663"/>
      <c r="P663" s="4"/>
      <c r="Q663"/>
      <c r="R663"/>
      <c r="S663"/>
      <c r="T663"/>
    </row>
    <row r="664" spans="1:20" s="18" customFormat="1" x14ac:dyDescent="0.2">
      <c r="A664"/>
      <c r="B664" s="25"/>
      <c r="C664" s="4"/>
      <c r="D664" s="4"/>
      <c r="E664" s="4"/>
      <c r="F664"/>
      <c r="G664" s="4"/>
      <c r="H664"/>
      <c r="I664"/>
      <c r="J664"/>
      <c r="L664"/>
      <c r="N664"/>
      <c r="O664"/>
      <c r="P664" s="4"/>
      <c r="Q664"/>
      <c r="R664"/>
      <c r="S664"/>
      <c r="T664"/>
    </row>
    <row r="665" spans="1:20" x14ac:dyDescent="0.2">
      <c r="D665" s="4"/>
      <c r="E665" s="4"/>
    </row>
    <row r="666" spans="1:20" x14ac:dyDescent="0.2">
      <c r="D666" s="4"/>
      <c r="E666" s="4"/>
      <c r="J666" s="6"/>
      <c r="L666" s="6"/>
    </row>
    <row r="667" spans="1:20" x14ac:dyDescent="0.2">
      <c r="D667" s="4"/>
      <c r="E667" s="4"/>
    </row>
    <row r="668" spans="1:20" x14ac:dyDescent="0.2">
      <c r="D668" s="4"/>
      <c r="E668" s="4"/>
    </row>
    <row r="669" spans="1:20" x14ac:dyDescent="0.2">
      <c r="D669" s="4"/>
      <c r="E669" s="4"/>
      <c r="J669" s="6"/>
      <c r="L669" s="6"/>
    </row>
    <row r="670" spans="1:20" x14ac:dyDescent="0.2">
      <c r="D670" s="4"/>
      <c r="E670" s="4"/>
    </row>
    <row r="671" spans="1:20" x14ac:dyDescent="0.2">
      <c r="D671" s="4"/>
      <c r="E671" s="4"/>
    </row>
    <row r="672" spans="1:20" x14ac:dyDescent="0.2">
      <c r="D672" s="4"/>
      <c r="E672" s="4"/>
      <c r="J672" s="6"/>
      <c r="L672" s="6"/>
    </row>
    <row r="673" spans="4:12" x14ac:dyDescent="0.2">
      <c r="D673" s="4"/>
      <c r="E673" s="4"/>
    </row>
    <row r="674" spans="4:12" x14ac:dyDescent="0.2">
      <c r="D674" s="4"/>
      <c r="E674" s="4"/>
      <c r="J674" s="6"/>
      <c r="L674" s="6"/>
    </row>
    <row r="675" spans="4:12" x14ac:dyDescent="0.2">
      <c r="D675" s="4"/>
      <c r="E675" s="4"/>
    </row>
    <row r="676" spans="4:12" x14ac:dyDescent="0.2">
      <c r="D676" s="4"/>
      <c r="E676" s="4"/>
    </row>
    <row r="677" spans="4:12" x14ac:dyDescent="0.2">
      <c r="D677" s="4"/>
      <c r="E677" s="4"/>
      <c r="J677" s="6"/>
      <c r="L677" s="6"/>
    </row>
    <row r="678" spans="4:12" x14ac:dyDescent="0.2">
      <c r="D678" s="4"/>
      <c r="E678" s="4"/>
      <c r="J678" s="6"/>
      <c r="L678" s="6"/>
    </row>
    <row r="679" spans="4:12" x14ac:dyDescent="0.2">
      <c r="D679" s="4"/>
      <c r="E679" s="4"/>
      <c r="J679" s="6"/>
      <c r="L679" s="6"/>
    </row>
    <row r="680" spans="4:12" x14ac:dyDescent="0.2">
      <c r="D680" s="4"/>
      <c r="J680" s="6"/>
      <c r="L680" s="6"/>
    </row>
    <row r="681" spans="4:12" x14ac:dyDescent="0.2">
      <c r="D681" s="4"/>
    </row>
    <row r="682" spans="4:12" x14ac:dyDescent="0.2">
      <c r="D682" s="4"/>
    </row>
    <row r="683" spans="4:12" x14ac:dyDescent="0.2">
      <c r="D683" s="4"/>
      <c r="J683" s="6"/>
      <c r="L683" s="6"/>
    </row>
    <row r="684" spans="4:12" x14ac:dyDescent="0.2">
      <c r="D684" s="4"/>
    </row>
    <row r="685" spans="4:12" x14ac:dyDescent="0.2">
      <c r="D685" s="4"/>
      <c r="J685" s="6"/>
      <c r="L685" s="6"/>
    </row>
    <row r="686" spans="4:12" x14ac:dyDescent="0.2">
      <c r="D686" s="4"/>
      <c r="J686" s="6"/>
      <c r="L686" s="6"/>
    </row>
    <row r="687" spans="4:12" x14ac:dyDescent="0.2">
      <c r="D687" s="4"/>
      <c r="J687" s="6"/>
      <c r="L687" s="6"/>
    </row>
    <row r="688" spans="4:12" x14ac:dyDescent="0.2">
      <c r="D688" s="4"/>
    </row>
    <row r="689" spans="4:12" x14ac:dyDescent="0.2">
      <c r="D689" s="4"/>
      <c r="J689" s="6"/>
      <c r="L689" s="6"/>
    </row>
    <row r="690" spans="4:12" x14ac:dyDescent="0.2">
      <c r="D690" s="4"/>
    </row>
    <row r="691" spans="4:12" x14ac:dyDescent="0.2">
      <c r="D691" s="4"/>
    </row>
    <row r="692" spans="4:12" x14ac:dyDescent="0.2">
      <c r="D692" s="4"/>
    </row>
    <row r="693" spans="4:12" x14ac:dyDescent="0.2">
      <c r="D693" s="4"/>
    </row>
    <row r="694" spans="4:12" x14ac:dyDescent="0.2">
      <c r="D694" s="4"/>
    </row>
    <row r="695" spans="4:12" x14ac:dyDescent="0.2">
      <c r="D695" s="4"/>
      <c r="E695" s="4"/>
    </row>
    <row r="696" spans="4:12" x14ac:dyDescent="0.2">
      <c r="D696" s="4"/>
      <c r="E696" s="4"/>
    </row>
    <row r="697" spans="4:12" x14ac:dyDescent="0.2">
      <c r="D697" s="4"/>
      <c r="E697" s="4"/>
    </row>
    <row r="698" spans="4:12" x14ac:dyDescent="0.2">
      <c r="D698" s="4"/>
      <c r="E698" s="4"/>
    </row>
    <row r="699" spans="4:12" x14ac:dyDescent="0.2">
      <c r="D699" s="4"/>
      <c r="E699" s="4"/>
    </row>
    <row r="700" spans="4:12" x14ac:dyDescent="0.2">
      <c r="D700" s="4"/>
      <c r="E700" s="4"/>
    </row>
    <row r="701" spans="4:12" x14ac:dyDescent="0.2">
      <c r="D701" s="4"/>
      <c r="E701" s="4"/>
    </row>
    <row r="702" spans="4:12" x14ac:dyDescent="0.2">
      <c r="D702" s="4"/>
      <c r="E702" s="4"/>
    </row>
    <row r="703" spans="4:12" x14ac:dyDescent="0.2">
      <c r="D703" s="4"/>
      <c r="J703" s="6"/>
      <c r="L703" s="6"/>
    </row>
    <row r="704" spans="4:12" x14ac:dyDescent="0.2">
      <c r="D704" s="4"/>
      <c r="J704" s="6"/>
      <c r="L704" s="6"/>
    </row>
    <row r="705" spans="4:12" x14ac:dyDescent="0.2">
      <c r="D705" s="4"/>
    </row>
    <row r="706" spans="4:12" x14ac:dyDescent="0.2">
      <c r="D706" s="4"/>
    </row>
    <row r="707" spans="4:12" x14ac:dyDescent="0.2">
      <c r="D707" s="4"/>
    </row>
    <row r="708" spans="4:12" x14ac:dyDescent="0.2">
      <c r="D708" s="4"/>
    </row>
    <row r="709" spans="4:12" x14ac:dyDescent="0.2">
      <c r="D709" s="4"/>
      <c r="J709" s="6"/>
      <c r="L709" s="6"/>
    </row>
    <row r="710" spans="4:12" x14ac:dyDescent="0.2">
      <c r="D710" s="4"/>
      <c r="J710" s="6"/>
      <c r="L710" s="6"/>
    </row>
    <row r="711" spans="4:12" x14ac:dyDescent="0.2">
      <c r="D711" s="4"/>
      <c r="J711" s="6"/>
      <c r="L711" s="6"/>
    </row>
    <row r="712" spans="4:12" x14ac:dyDescent="0.2">
      <c r="D712" s="4"/>
      <c r="J712" s="6"/>
      <c r="L712" s="6"/>
    </row>
    <row r="713" spans="4:12" x14ac:dyDescent="0.2">
      <c r="D713" s="4"/>
      <c r="J713" s="6"/>
      <c r="L713" s="6"/>
    </row>
    <row r="714" spans="4:12" x14ac:dyDescent="0.2">
      <c r="D714" s="4"/>
      <c r="J714" s="6"/>
      <c r="L714" s="6"/>
    </row>
    <row r="715" spans="4:12" x14ac:dyDescent="0.2">
      <c r="D715" s="4"/>
    </row>
    <row r="716" spans="4:12" x14ac:dyDescent="0.2">
      <c r="D716" s="4"/>
    </row>
    <row r="717" spans="4:12" x14ac:dyDescent="0.2">
      <c r="D717" s="4"/>
    </row>
    <row r="718" spans="4:12" x14ac:dyDescent="0.2">
      <c r="D718" s="4"/>
    </row>
    <row r="719" spans="4:12" x14ac:dyDescent="0.2">
      <c r="D719" s="4"/>
    </row>
    <row r="720" spans="4:12" x14ac:dyDescent="0.2">
      <c r="D720" s="4"/>
    </row>
    <row r="721" spans="4:12" x14ac:dyDescent="0.2">
      <c r="D721" s="4"/>
      <c r="J721" s="6"/>
      <c r="L721" s="6"/>
    </row>
    <row r="722" spans="4:12" x14ac:dyDescent="0.2">
      <c r="D722" s="4"/>
    </row>
    <row r="723" spans="4:12" x14ac:dyDescent="0.2">
      <c r="D723" s="4"/>
    </row>
    <row r="724" spans="4:12" x14ac:dyDescent="0.2">
      <c r="D724" s="4"/>
      <c r="J724" s="6"/>
      <c r="L724" s="6"/>
    </row>
    <row r="725" spans="4:12" x14ac:dyDescent="0.2">
      <c r="D725" s="4"/>
    </row>
    <row r="726" spans="4:12" x14ac:dyDescent="0.2">
      <c r="D726" s="4"/>
    </row>
    <row r="727" spans="4:12" x14ac:dyDescent="0.2">
      <c r="D727" s="4"/>
    </row>
    <row r="728" spans="4:12" x14ac:dyDescent="0.2">
      <c r="D728" s="4"/>
    </row>
    <row r="729" spans="4:12" x14ac:dyDescent="0.2">
      <c r="D729" s="4"/>
    </row>
    <row r="730" spans="4:12" x14ac:dyDescent="0.2">
      <c r="D730" s="4"/>
    </row>
    <row r="731" spans="4:12" x14ac:dyDescent="0.2">
      <c r="D731" s="4"/>
    </row>
    <row r="732" spans="4:12" x14ac:dyDescent="0.2">
      <c r="D732" s="4"/>
    </row>
    <row r="733" spans="4:12" x14ac:dyDescent="0.2">
      <c r="D733" s="4"/>
      <c r="J733" s="6"/>
      <c r="L733" s="6"/>
    </row>
    <row r="734" spans="4:12" x14ac:dyDescent="0.2">
      <c r="D734" s="4"/>
    </row>
    <row r="735" spans="4:12" x14ac:dyDescent="0.2">
      <c r="D735" s="4"/>
    </row>
    <row r="736" spans="4:12" x14ac:dyDescent="0.2">
      <c r="D736" s="4"/>
    </row>
    <row r="737" spans="4:12" x14ac:dyDescent="0.2">
      <c r="D737" s="4"/>
    </row>
    <row r="738" spans="4:12" x14ac:dyDescent="0.2">
      <c r="D738" s="4"/>
      <c r="J738" s="6"/>
      <c r="L738" s="6"/>
    </row>
    <row r="739" spans="4:12" x14ac:dyDescent="0.2">
      <c r="D739" s="4"/>
    </row>
    <row r="740" spans="4:12" x14ac:dyDescent="0.2">
      <c r="D740" s="4"/>
    </row>
    <row r="741" spans="4:12" x14ac:dyDescent="0.2">
      <c r="D741" s="4"/>
    </row>
    <row r="742" spans="4:12" x14ac:dyDescent="0.2">
      <c r="D742" s="4"/>
    </row>
    <row r="743" spans="4:12" x14ac:dyDescent="0.2">
      <c r="D743" s="4"/>
    </row>
    <row r="744" spans="4:12" x14ac:dyDescent="0.2">
      <c r="D744" s="4"/>
      <c r="J744" s="6"/>
      <c r="L744" s="6"/>
    </row>
    <row r="745" spans="4:12" x14ac:dyDescent="0.2">
      <c r="D745" s="4"/>
    </row>
    <row r="746" spans="4:12" x14ac:dyDescent="0.2">
      <c r="D746" s="4"/>
      <c r="J746" s="6"/>
      <c r="L746" s="6"/>
    </row>
    <row r="747" spans="4:12" x14ac:dyDescent="0.2">
      <c r="D747" s="4"/>
    </row>
    <row r="748" spans="4:12" x14ac:dyDescent="0.2">
      <c r="D748" s="4"/>
    </row>
    <row r="749" spans="4:12" x14ac:dyDescent="0.2">
      <c r="D749" s="4"/>
    </row>
    <row r="750" spans="4:12" x14ac:dyDescent="0.2">
      <c r="D750" s="4"/>
    </row>
    <row r="751" spans="4:12" x14ac:dyDescent="0.2">
      <c r="D751" s="4"/>
    </row>
    <row r="752" spans="4:12" x14ac:dyDescent="0.2">
      <c r="D752" s="4"/>
    </row>
    <row r="756" spans="10:12" x14ac:dyDescent="0.2">
      <c r="J756" s="6"/>
      <c r="L756" s="6"/>
    </row>
    <row r="763" spans="10:12" x14ac:dyDescent="0.2">
      <c r="J763" s="6"/>
      <c r="L763" s="6"/>
    </row>
    <row r="765" spans="10:12" x14ac:dyDescent="0.2">
      <c r="J765" s="6"/>
      <c r="L765" s="6"/>
    </row>
    <row r="766" spans="10:12" x14ac:dyDescent="0.2">
      <c r="J766" s="6"/>
      <c r="L766" s="6"/>
    </row>
    <row r="774" spans="10:12" x14ac:dyDescent="0.2">
      <c r="J774" s="6"/>
      <c r="L774" s="6"/>
    </row>
    <row r="775" spans="10:12" x14ac:dyDescent="0.2">
      <c r="J775" s="6"/>
      <c r="L775" s="6"/>
    </row>
    <row r="777" spans="10:12" x14ac:dyDescent="0.2">
      <c r="J777" s="6"/>
      <c r="L777" s="6"/>
    </row>
    <row r="782" spans="10:12" x14ac:dyDescent="0.2">
      <c r="J782" s="6"/>
      <c r="L782" s="6"/>
    </row>
    <row r="784" spans="10:12" x14ac:dyDescent="0.2">
      <c r="J784" s="6"/>
      <c r="L784" s="6"/>
    </row>
    <row r="785" spans="10:12" x14ac:dyDescent="0.2">
      <c r="J785" s="6"/>
      <c r="L785" s="6"/>
    </row>
    <row r="786" spans="10:12" x14ac:dyDescent="0.2">
      <c r="J786" s="6"/>
      <c r="L786" s="6"/>
    </row>
    <row r="803" spans="10:12" x14ac:dyDescent="0.2">
      <c r="J803" s="6"/>
      <c r="L803" s="6"/>
    </row>
    <row r="804" spans="10:12" x14ac:dyDescent="0.2">
      <c r="J804" s="6"/>
      <c r="L804" s="6"/>
    </row>
    <row r="805" spans="10:12" x14ac:dyDescent="0.2">
      <c r="J805" s="6"/>
      <c r="L805" s="6"/>
    </row>
    <row r="806" spans="10:12" x14ac:dyDescent="0.2">
      <c r="J806" s="6"/>
      <c r="L806" s="6"/>
    </row>
    <row r="807" spans="10:12" x14ac:dyDescent="0.2">
      <c r="J807" s="6"/>
      <c r="L807" s="6"/>
    </row>
    <row r="808" spans="10:12" x14ac:dyDescent="0.2">
      <c r="J808" s="6"/>
      <c r="L808" s="6"/>
    </row>
    <row r="809" spans="10:12" x14ac:dyDescent="0.2">
      <c r="J809" s="6"/>
      <c r="L809" s="6"/>
    </row>
    <row r="810" spans="10:12" x14ac:dyDescent="0.2">
      <c r="J810" s="6"/>
      <c r="L810" s="6"/>
    </row>
    <row r="811" spans="10:12" x14ac:dyDescent="0.2">
      <c r="J811" s="6"/>
      <c r="L811" s="6"/>
    </row>
    <row r="812" spans="10:12" x14ac:dyDescent="0.2">
      <c r="J812" s="6"/>
      <c r="L812" s="6"/>
    </row>
    <row r="813" spans="10:12" x14ac:dyDescent="0.2">
      <c r="J813" s="6"/>
      <c r="L813" s="6"/>
    </row>
    <row r="814" spans="10:12" x14ac:dyDescent="0.2">
      <c r="J814" s="6"/>
      <c r="L814" s="6"/>
    </row>
    <row r="817" spans="10:12" x14ac:dyDescent="0.2">
      <c r="J817" s="6"/>
      <c r="L817" s="6"/>
    </row>
    <row r="818" spans="10:12" x14ac:dyDescent="0.2">
      <c r="J818" s="6"/>
      <c r="L818" s="6"/>
    </row>
    <row r="819" spans="10:12" x14ac:dyDescent="0.2">
      <c r="J819" s="6"/>
      <c r="L819" s="6"/>
    </row>
    <row r="820" spans="10:12" x14ac:dyDescent="0.2">
      <c r="J820" s="6"/>
      <c r="L820" s="6"/>
    </row>
    <row r="829" spans="10:12" x14ac:dyDescent="0.2">
      <c r="J829" s="6"/>
      <c r="L829" s="6"/>
    </row>
    <row r="830" spans="10:12" x14ac:dyDescent="0.2">
      <c r="J830" s="6"/>
      <c r="L830" s="6"/>
    </row>
    <row r="831" spans="10:12" x14ac:dyDescent="0.2">
      <c r="J831" s="6"/>
      <c r="L831" s="6"/>
    </row>
    <row r="832" spans="10:12" x14ac:dyDescent="0.2">
      <c r="J832" s="6"/>
      <c r="L832" s="6"/>
    </row>
    <row r="833" spans="10:12" x14ac:dyDescent="0.2">
      <c r="J833" s="6"/>
      <c r="L833" s="6"/>
    </row>
    <row r="834" spans="10:12" x14ac:dyDescent="0.2">
      <c r="J834" s="6"/>
      <c r="L834" s="6"/>
    </row>
    <row r="837" spans="10:12" x14ac:dyDescent="0.2">
      <c r="J837" s="6"/>
      <c r="L837" s="6"/>
    </row>
    <row r="847" spans="10:12" x14ac:dyDescent="0.2">
      <c r="J847" s="6"/>
      <c r="L847" s="6"/>
    </row>
    <row r="849" spans="10:12" x14ac:dyDescent="0.2">
      <c r="J849" s="6"/>
      <c r="L849" s="6"/>
    </row>
    <row r="851" spans="10:12" x14ac:dyDescent="0.2">
      <c r="J851" s="6"/>
      <c r="L851" s="6"/>
    </row>
    <row r="852" spans="10:12" x14ac:dyDescent="0.2">
      <c r="J852" s="6"/>
      <c r="L852" s="6"/>
    </row>
    <row r="861" spans="10:12" x14ac:dyDescent="0.2">
      <c r="J861" s="6"/>
      <c r="L861" s="6"/>
    </row>
    <row r="863" spans="10:12" x14ac:dyDescent="0.2">
      <c r="J863" s="6"/>
      <c r="L863" s="6"/>
    </row>
    <row r="866" spans="10:12" x14ac:dyDescent="0.2">
      <c r="J866" s="6"/>
      <c r="L866" s="6"/>
    </row>
    <row r="867" spans="10:12" x14ac:dyDescent="0.2">
      <c r="J867" s="6"/>
      <c r="L867" s="6"/>
    </row>
    <row r="872" spans="10:12" x14ac:dyDescent="0.2">
      <c r="J872" s="6"/>
      <c r="L872" s="6"/>
    </row>
    <row r="877" spans="10:12" x14ac:dyDescent="0.2">
      <c r="J877" s="6"/>
      <c r="L877" s="6"/>
    </row>
    <row r="878" spans="10:12" x14ac:dyDescent="0.2">
      <c r="J878" s="6"/>
      <c r="L878" s="6"/>
    </row>
    <row r="881" spans="10:12" x14ac:dyDescent="0.2">
      <c r="J881" s="6"/>
      <c r="L881" s="6"/>
    </row>
    <row r="884" spans="10:12" x14ac:dyDescent="0.2">
      <c r="J884" s="6"/>
      <c r="L884" s="6"/>
    </row>
    <row r="885" spans="10:12" x14ac:dyDescent="0.2">
      <c r="J885" s="6"/>
      <c r="L885" s="6"/>
    </row>
    <row r="886" spans="10:12" x14ac:dyDescent="0.2">
      <c r="J886" s="6"/>
      <c r="L886" s="6"/>
    </row>
    <row r="888" spans="10:12" x14ac:dyDescent="0.2">
      <c r="J888" s="6"/>
      <c r="L888" s="6"/>
    </row>
    <row r="895" spans="10:12" x14ac:dyDescent="0.2">
      <c r="J895" s="6"/>
      <c r="L895" s="6"/>
    </row>
    <row r="896" spans="10:12" x14ac:dyDescent="0.2">
      <c r="J896" s="6"/>
      <c r="L896" s="6"/>
    </row>
    <row r="900" spans="1:20" s="18" customFormat="1" x14ac:dyDescent="0.2">
      <c r="A900"/>
      <c r="B900" s="25"/>
      <c r="C900" s="4"/>
      <c r="D900"/>
      <c r="E900"/>
      <c r="F900"/>
      <c r="G900" s="4"/>
      <c r="H900"/>
      <c r="I900"/>
      <c r="J900" s="6"/>
      <c r="L900" s="6"/>
      <c r="N900"/>
      <c r="O900"/>
      <c r="P900" s="4"/>
      <c r="Q900"/>
      <c r="R900"/>
      <c r="S900"/>
      <c r="T900"/>
    </row>
    <row r="901" spans="1:20" s="18" customFormat="1" x14ac:dyDescent="0.2">
      <c r="A901"/>
      <c r="B901" s="25"/>
      <c r="C901" s="4"/>
      <c r="D901"/>
      <c r="E901"/>
      <c r="F901"/>
      <c r="G901" s="4"/>
      <c r="H901"/>
      <c r="I901"/>
      <c r="J901" s="6"/>
      <c r="L901" s="6"/>
      <c r="N901"/>
      <c r="O901"/>
      <c r="P901" s="4"/>
      <c r="Q901"/>
      <c r="R901"/>
      <c r="S901"/>
      <c r="T901"/>
    </row>
    <row r="902" spans="1:20" s="18" customFormat="1" x14ac:dyDescent="0.2">
      <c r="A902"/>
      <c r="B902" s="25"/>
      <c r="C902" s="4"/>
      <c r="D902"/>
      <c r="E902"/>
      <c r="F902"/>
      <c r="G902" s="4"/>
      <c r="H902"/>
      <c r="I902"/>
      <c r="J902" s="6"/>
      <c r="L902" s="6"/>
      <c r="N902"/>
      <c r="O902"/>
      <c r="P902" s="4"/>
      <c r="Q902"/>
      <c r="R902"/>
      <c r="S902"/>
      <c r="T902"/>
    </row>
    <row r="903" spans="1:20" s="18" customFormat="1" x14ac:dyDescent="0.2">
      <c r="A903"/>
      <c r="B903" s="25"/>
      <c r="C903" s="4"/>
      <c r="D903"/>
      <c r="E903"/>
      <c r="F903"/>
      <c r="G903" s="4"/>
      <c r="H903"/>
      <c r="I903"/>
      <c r="J903"/>
      <c r="L903"/>
      <c r="N903"/>
      <c r="O903"/>
      <c r="P903" s="4"/>
      <c r="Q903"/>
      <c r="R903"/>
      <c r="S903"/>
      <c r="T903"/>
    </row>
    <row r="904" spans="1:20" s="18" customFormat="1" x14ac:dyDescent="0.2">
      <c r="A904"/>
      <c r="B904" s="25"/>
      <c r="C904" s="4"/>
      <c r="D904"/>
      <c r="E904"/>
      <c r="F904"/>
      <c r="G904" s="4"/>
      <c r="H904"/>
      <c r="I904"/>
      <c r="J904"/>
      <c r="L904"/>
      <c r="N904"/>
      <c r="O904"/>
      <c r="P904" s="4"/>
      <c r="Q904"/>
      <c r="R904"/>
      <c r="S904"/>
      <c r="T904"/>
    </row>
    <row r="905" spans="1:20" s="18" customFormat="1" x14ac:dyDescent="0.2">
      <c r="A905"/>
      <c r="B905" s="25"/>
      <c r="C905" s="4"/>
      <c r="D905"/>
      <c r="E905"/>
      <c r="F905"/>
      <c r="G905" s="4"/>
      <c r="H905"/>
      <c r="I905"/>
      <c r="J905"/>
      <c r="L905"/>
      <c r="N905"/>
      <c r="O905"/>
      <c r="P905" s="4"/>
      <c r="Q905"/>
      <c r="R905"/>
      <c r="S905"/>
      <c r="T905"/>
    </row>
    <row r="906" spans="1:20" s="18" customFormat="1" x14ac:dyDescent="0.2">
      <c r="A906"/>
      <c r="B906" s="25"/>
      <c r="C906" s="4"/>
      <c r="D906"/>
      <c r="E906"/>
      <c r="F906"/>
      <c r="G906" s="4"/>
      <c r="H906"/>
      <c r="I906"/>
      <c r="J906" s="6"/>
      <c r="L906" s="6"/>
      <c r="N906"/>
      <c r="O906"/>
      <c r="P906" s="4"/>
      <c r="Q906"/>
      <c r="R906"/>
      <c r="S906"/>
      <c r="T906"/>
    </row>
    <row r="907" spans="1:20" s="18" customFormat="1" x14ac:dyDescent="0.2">
      <c r="A907"/>
      <c r="B907" s="25"/>
      <c r="C907" s="4"/>
      <c r="D907"/>
      <c r="E907"/>
      <c r="F907"/>
      <c r="G907" s="4"/>
      <c r="H907"/>
      <c r="I907"/>
      <c r="J907" s="6"/>
      <c r="L907" s="6"/>
      <c r="N907"/>
      <c r="O907"/>
      <c r="P907" s="4"/>
      <c r="Q907"/>
      <c r="R907"/>
      <c r="S907"/>
      <c r="T907"/>
    </row>
    <row r="908" spans="1:20" x14ac:dyDescent="0.2">
      <c r="C908" s="10"/>
    </row>
    <row r="909" spans="1:20" x14ac:dyDescent="0.2">
      <c r="C909" s="10"/>
    </row>
    <row r="910" spans="1:20" x14ac:dyDescent="0.2">
      <c r="C910" s="10"/>
      <c r="J910" s="6"/>
      <c r="L910" s="6"/>
    </row>
    <row r="911" spans="1:20" x14ac:dyDescent="0.2">
      <c r="C911" s="10"/>
    </row>
    <row r="912" spans="1:20" x14ac:dyDescent="0.2">
      <c r="C912" s="10"/>
    </row>
    <row r="913" spans="3:12" x14ac:dyDescent="0.2">
      <c r="C913" s="10"/>
    </row>
    <row r="914" spans="3:12" x14ac:dyDescent="0.2">
      <c r="C914" s="10"/>
    </row>
    <row r="915" spans="3:12" x14ac:dyDescent="0.2">
      <c r="C915" s="10"/>
    </row>
    <row r="916" spans="3:12" x14ac:dyDescent="0.2">
      <c r="C916" s="10"/>
      <c r="J916" s="6"/>
      <c r="L916" s="6"/>
    </row>
    <row r="917" spans="3:12" x14ac:dyDescent="0.2">
      <c r="C917" s="10"/>
    </row>
    <row r="919" spans="3:12" x14ac:dyDescent="0.2">
      <c r="J919" s="6"/>
      <c r="L919" s="6"/>
    </row>
    <row r="920" spans="3:12" x14ac:dyDescent="0.2">
      <c r="J920" s="6"/>
      <c r="L920" s="6"/>
    </row>
    <row r="922" spans="3:12" x14ac:dyDescent="0.2">
      <c r="J922" s="6"/>
      <c r="L922" s="6"/>
    </row>
    <row r="923" spans="3:12" x14ac:dyDescent="0.2">
      <c r="J923" s="6"/>
      <c r="L923" s="6"/>
    </row>
    <row r="926" spans="3:12" x14ac:dyDescent="0.2">
      <c r="J926" s="6"/>
      <c r="L926" s="6"/>
    </row>
    <row r="931" spans="10:12" x14ac:dyDescent="0.2">
      <c r="J931" s="6"/>
      <c r="L931" s="6"/>
    </row>
    <row r="932" spans="10:12" x14ac:dyDescent="0.2">
      <c r="J932" s="6"/>
      <c r="L932" s="6"/>
    </row>
    <row r="937" spans="10:12" x14ac:dyDescent="0.2">
      <c r="J937" s="6"/>
      <c r="L937" s="6"/>
    </row>
    <row r="938" spans="10:12" x14ac:dyDescent="0.2">
      <c r="J938" s="6"/>
      <c r="L938" s="6"/>
    </row>
    <row r="945" spans="10:12" x14ac:dyDescent="0.2">
      <c r="J945" s="6"/>
      <c r="L945" s="6"/>
    </row>
    <row r="946" spans="10:12" x14ac:dyDescent="0.2">
      <c r="J946" s="6"/>
      <c r="L946" s="6"/>
    </row>
    <row r="947" spans="10:12" x14ac:dyDescent="0.2">
      <c r="J947" s="6"/>
      <c r="L947" s="6"/>
    </row>
    <row r="948" spans="10:12" x14ac:dyDescent="0.2">
      <c r="J948" s="6"/>
      <c r="L948" s="6"/>
    </row>
    <row r="949" spans="10:12" x14ac:dyDescent="0.2">
      <c r="J949" s="6"/>
      <c r="L949" s="6"/>
    </row>
    <row r="950" spans="10:12" x14ac:dyDescent="0.2">
      <c r="J950" s="6"/>
      <c r="L950" s="6"/>
    </row>
    <row r="954" spans="10:12" x14ac:dyDescent="0.2">
      <c r="J954" s="6"/>
      <c r="L954" s="6"/>
    </row>
    <row r="955" spans="10:12" x14ac:dyDescent="0.2">
      <c r="J955" s="6"/>
      <c r="L955" s="6"/>
    </row>
    <row r="957" spans="10:12" x14ac:dyDescent="0.2">
      <c r="J957" s="6"/>
      <c r="L957" s="6"/>
    </row>
    <row r="958" spans="10:12" x14ac:dyDescent="0.2">
      <c r="J958" s="6"/>
      <c r="L958" s="6"/>
    </row>
    <row r="959" spans="10:12" x14ac:dyDescent="0.2">
      <c r="J959" s="6"/>
      <c r="L959" s="6"/>
    </row>
    <row r="960" spans="10:12" x14ac:dyDescent="0.2">
      <c r="J960" s="6"/>
      <c r="L960" s="6"/>
    </row>
    <row r="961" spans="10:12" x14ac:dyDescent="0.2">
      <c r="J961" s="6"/>
      <c r="L961" s="6"/>
    </row>
    <row r="963" spans="10:12" x14ac:dyDescent="0.2">
      <c r="J963" s="6"/>
      <c r="L963" s="6"/>
    </row>
    <row r="964" spans="10:12" x14ac:dyDescent="0.2">
      <c r="J964" s="6"/>
      <c r="L964" s="6"/>
    </row>
    <row r="965" spans="10:12" x14ac:dyDescent="0.2">
      <c r="J965" s="6"/>
      <c r="L965" s="6"/>
    </row>
    <row r="966" spans="10:12" x14ac:dyDescent="0.2">
      <c r="J966" s="6"/>
      <c r="L966" s="6"/>
    </row>
    <row r="967" spans="10:12" x14ac:dyDescent="0.2">
      <c r="J967" s="6"/>
      <c r="L967" s="6"/>
    </row>
    <row r="968" spans="10:12" x14ac:dyDescent="0.2">
      <c r="J968" s="6"/>
      <c r="L968" s="6"/>
    </row>
    <row r="969" spans="10:12" x14ac:dyDescent="0.2">
      <c r="J969" s="6"/>
      <c r="L969" s="6"/>
    </row>
    <row r="970" spans="10:12" x14ac:dyDescent="0.2">
      <c r="J970" s="6"/>
      <c r="L970" s="6"/>
    </row>
    <row r="971" spans="10:12" x14ac:dyDescent="0.2">
      <c r="J971" s="6"/>
      <c r="L971" s="6"/>
    </row>
    <row r="972" spans="10:12" x14ac:dyDescent="0.2">
      <c r="J972" s="6"/>
      <c r="L972" s="6"/>
    </row>
    <row r="973" spans="10:12" x14ac:dyDescent="0.2">
      <c r="J973" s="6"/>
      <c r="L973" s="6"/>
    </row>
    <row r="974" spans="10:12" x14ac:dyDescent="0.2">
      <c r="J974" s="6"/>
      <c r="L974" s="6"/>
    </row>
    <row r="975" spans="10:12" x14ac:dyDescent="0.2">
      <c r="J975" s="6"/>
      <c r="L975" s="6"/>
    </row>
    <row r="976" spans="10:12" x14ac:dyDescent="0.2">
      <c r="J976" s="6"/>
      <c r="L976" s="6"/>
    </row>
    <row r="977" spans="10:12" x14ac:dyDescent="0.2">
      <c r="J977" s="6"/>
      <c r="L977" s="6"/>
    </row>
    <row r="978" spans="10:12" x14ac:dyDescent="0.2">
      <c r="J978" s="6"/>
      <c r="L978" s="6"/>
    </row>
    <row r="979" spans="10:12" x14ac:dyDescent="0.2">
      <c r="J979" s="6"/>
      <c r="L979" s="6"/>
    </row>
    <row r="980" spans="10:12" x14ac:dyDescent="0.2">
      <c r="J980" s="6"/>
      <c r="L980" s="6"/>
    </row>
    <row r="989" spans="10:12" x14ac:dyDescent="0.2">
      <c r="J989" s="6"/>
      <c r="L989" s="6"/>
    </row>
    <row r="994" spans="10:12" x14ac:dyDescent="0.2">
      <c r="J994" s="6"/>
      <c r="L994" s="6"/>
    </row>
    <row r="1003" spans="10:12" x14ac:dyDescent="0.2">
      <c r="J1003" s="6"/>
      <c r="L1003" s="6"/>
    </row>
    <row r="1011" spans="10:12" x14ac:dyDescent="0.2">
      <c r="J1011" s="6"/>
      <c r="L1011" s="6"/>
    </row>
    <row r="1018" spans="10:12" x14ac:dyDescent="0.2">
      <c r="J1018" s="6"/>
      <c r="L1018" s="6"/>
    </row>
    <row r="1019" spans="10:12" x14ac:dyDescent="0.2">
      <c r="J1019" s="6"/>
      <c r="L1019" s="6"/>
    </row>
    <row r="1020" spans="10:12" x14ac:dyDescent="0.2">
      <c r="J1020" s="6"/>
      <c r="L1020" s="6"/>
    </row>
    <row r="1021" spans="10:12" x14ac:dyDescent="0.2">
      <c r="J1021" s="6"/>
      <c r="L1021" s="6"/>
    </row>
    <row r="1026" spans="10:12" x14ac:dyDescent="0.2">
      <c r="J1026" s="6"/>
      <c r="L1026" s="6"/>
    </row>
    <row r="1031" spans="10:12" x14ac:dyDescent="0.2">
      <c r="J1031" s="6"/>
      <c r="L1031" s="6"/>
    </row>
    <row r="1036" spans="10:12" x14ac:dyDescent="0.2">
      <c r="J1036" s="6"/>
      <c r="L1036" s="6"/>
    </row>
    <row r="1041" spans="10:12" x14ac:dyDescent="0.2">
      <c r="J1041" s="6"/>
      <c r="L1041" s="6"/>
    </row>
    <row r="1046" spans="10:12" x14ac:dyDescent="0.2">
      <c r="J1046" s="6"/>
      <c r="L1046" s="6"/>
    </row>
    <row r="1075" spans="10:12" x14ac:dyDescent="0.2">
      <c r="J1075" s="6"/>
      <c r="L1075" s="6"/>
    </row>
    <row r="1076" spans="10:12" x14ac:dyDescent="0.2">
      <c r="J1076" s="6"/>
      <c r="L1076" s="6"/>
    </row>
    <row r="1077" spans="10:12" x14ac:dyDescent="0.2">
      <c r="J1077" s="6"/>
      <c r="L1077" s="6"/>
    </row>
    <row r="1080" spans="10:12" x14ac:dyDescent="0.2">
      <c r="J1080" s="6"/>
      <c r="L1080" s="6"/>
    </row>
    <row r="1083" spans="10:12" x14ac:dyDescent="0.2">
      <c r="J1083" s="6"/>
      <c r="L1083" s="6"/>
    </row>
    <row r="1086" spans="10:12" x14ac:dyDescent="0.2">
      <c r="J1086" s="6"/>
      <c r="L1086" s="6"/>
    </row>
    <row r="1094" spans="10:12" x14ac:dyDescent="0.2">
      <c r="J1094" s="6"/>
      <c r="L1094" s="6"/>
    </row>
    <row r="1097" spans="10:12" x14ac:dyDescent="0.2">
      <c r="J1097" s="6"/>
      <c r="L1097" s="6"/>
    </row>
    <row r="1098" spans="10:12" x14ac:dyDescent="0.2">
      <c r="J1098" s="6"/>
      <c r="L1098" s="6"/>
    </row>
    <row r="1106" spans="10:12" x14ac:dyDescent="0.2">
      <c r="J1106" s="6"/>
      <c r="L1106" s="6"/>
    </row>
  </sheetData>
  <sortState xmlns:xlrd2="http://schemas.microsoft.com/office/spreadsheetml/2017/richdata2" ref="N2:S188">
    <sortCondition ref="N2:N188"/>
    <sortCondition ref="O2:O188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27423-3626-45FB-B400-98C2F6A11496}">
  <sheetPr codeName="Sheet8"/>
  <dimension ref="A1:AB1106"/>
  <sheetViews>
    <sheetView zoomScaleNormal="100" workbookViewId="0">
      <pane ySplit="1" topLeftCell="A2" activePane="bottomLeft" state="frozen"/>
      <selection pane="bottomLeft" activeCell="M1" sqref="M1"/>
    </sheetView>
  </sheetViews>
  <sheetFormatPr baseColWidth="10" defaultColWidth="8.83203125" defaultRowHeight="15" x14ac:dyDescent="0.2"/>
  <cols>
    <col min="2" max="2" width="17.1640625" customWidth="1"/>
    <col min="3" max="4" width="13.5" customWidth="1"/>
    <col min="5" max="5" width="11.83203125" customWidth="1"/>
    <col min="6" max="6" width="16.5" customWidth="1"/>
    <col min="7" max="7" width="22.5" customWidth="1"/>
    <col min="8" max="8" width="16.1640625" style="13" customWidth="1"/>
    <col min="9" max="9" width="17.1640625" customWidth="1"/>
    <col min="10" max="10" width="16.6640625" customWidth="1"/>
    <col min="11" max="11" width="17.1640625" customWidth="1"/>
    <col min="12" max="12" width="21.5" style="4" customWidth="1"/>
    <col min="13" max="13" width="17.6640625" style="4" customWidth="1"/>
    <col min="14" max="14" width="20.33203125" customWidth="1"/>
    <col min="15" max="15" width="19.33203125" customWidth="1"/>
    <col min="16" max="16" width="17.5" customWidth="1"/>
    <col min="17" max="17" width="24.6640625" style="4" customWidth="1"/>
  </cols>
  <sheetData>
    <row r="1" spans="1:17" ht="42" customHeight="1" x14ac:dyDescent="0.35">
      <c r="A1" s="1" t="s">
        <v>22</v>
      </c>
      <c r="B1" s="1" t="s">
        <v>56</v>
      </c>
      <c r="C1" s="1" t="s">
        <v>57</v>
      </c>
      <c r="D1" s="1" t="s">
        <v>52</v>
      </c>
      <c r="E1" s="1" t="s">
        <v>48</v>
      </c>
      <c r="F1" s="1" t="s">
        <v>49</v>
      </c>
      <c r="G1" s="1" t="s">
        <v>58</v>
      </c>
      <c r="H1" s="30" t="s">
        <v>42</v>
      </c>
      <c r="I1" s="1" t="s">
        <v>50</v>
      </c>
      <c r="J1" s="1" t="s">
        <v>43</v>
      </c>
      <c r="K1" s="1" t="s">
        <v>53</v>
      </c>
      <c r="L1" s="17" t="s">
        <v>54</v>
      </c>
      <c r="M1" s="17" t="s">
        <v>55</v>
      </c>
      <c r="N1" s="17" t="s">
        <v>35</v>
      </c>
      <c r="O1" s="17" t="s">
        <v>36</v>
      </c>
      <c r="P1" s="12" t="s">
        <v>37</v>
      </c>
      <c r="Q1" s="5" t="s">
        <v>38</v>
      </c>
    </row>
    <row r="2" spans="1:17" x14ac:dyDescent="0.2">
      <c r="A2" t="s">
        <v>9</v>
      </c>
      <c r="B2" s="25">
        <v>115.44050900000039</v>
      </c>
      <c r="C2">
        <v>-0.55154379613028681</v>
      </c>
      <c r="D2">
        <v>1.1729367790170317</v>
      </c>
      <c r="E2">
        <v>3.6548722223418282</v>
      </c>
      <c r="F2">
        <v>0.82584246885025381</v>
      </c>
      <c r="G2">
        <f>C2-E2</f>
        <v>-4.2064160184721153</v>
      </c>
      <c r="H2" s="13">
        <v>-9.2049803145864795E-5</v>
      </c>
      <c r="I2" s="6">
        <v>8.1186773532731878E-5</v>
      </c>
      <c r="J2">
        <v>-6.0726091037926805E-5</v>
      </c>
      <c r="K2">
        <v>7.3988587727613048E-5</v>
      </c>
      <c r="L2" s="4">
        <v>1528.2</v>
      </c>
      <c r="M2" s="4">
        <v>1501.7</v>
      </c>
      <c r="N2">
        <v>18.32</v>
      </c>
      <c r="O2">
        <v>11.11</v>
      </c>
    </row>
    <row r="3" spans="1:17" x14ac:dyDescent="0.2">
      <c r="A3" t="s">
        <v>9</v>
      </c>
      <c r="B3" s="25">
        <v>115.54450200000028</v>
      </c>
      <c r="C3">
        <v>7.061918694014338E-2</v>
      </c>
      <c r="D3">
        <v>1.1826369678757578</v>
      </c>
      <c r="E3">
        <v>3.467100165088552</v>
      </c>
      <c r="F3">
        <v>0.57271732211453552</v>
      </c>
      <c r="G3">
        <f t="shared" ref="G3:G66" si="0">C3-E3</f>
        <v>-3.3964809781484084</v>
      </c>
      <c r="H3" s="13">
        <v>-3.3824724101699465E-5</v>
      </c>
      <c r="I3" s="6">
        <v>1.0047408383551661E-4</v>
      </c>
      <c r="J3">
        <v>-6.5357568771029912E-5</v>
      </c>
      <c r="K3">
        <v>5.7266864844650745E-5</v>
      </c>
      <c r="L3" s="4">
        <v>1794.2</v>
      </c>
      <c r="M3" s="4">
        <v>1761.7</v>
      </c>
      <c r="N3">
        <v>16.96</v>
      </c>
      <c r="O3">
        <v>16.670000000000002</v>
      </c>
    </row>
    <row r="4" spans="1:17" x14ac:dyDescent="0.2">
      <c r="A4" t="s">
        <v>9</v>
      </c>
      <c r="B4" s="25">
        <v>119.43518550000007</v>
      </c>
      <c r="C4">
        <v>-1.03492594465239</v>
      </c>
      <c r="D4">
        <v>1.5571883805789664</v>
      </c>
      <c r="E4">
        <v>2.4777204923292877</v>
      </c>
      <c r="F4">
        <v>0.80920167462666492</v>
      </c>
      <c r="G4">
        <f t="shared" si="0"/>
        <v>-3.5126464369816777</v>
      </c>
      <c r="H4" s="13">
        <v>1.2494753506583019E-5</v>
      </c>
      <c r="I4" s="6">
        <v>4.4655290033386907E-5</v>
      </c>
      <c r="J4">
        <v>5.860395734866657E-5</v>
      </c>
      <c r="K4">
        <v>5.6315422820087548E-5</v>
      </c>
      <c r="L4" s="4">
        <v>1373.2</v>
      </c>
      <c r="M4" s="4">
        <v>1405.2</v>
      </c>
      <c r="N4">
        <v>23.240000000000002</v>
      </c>
      <c r="O4">
        <v>7.7799999999999994</v>
      </c>
    </row>
    <row r="5" spans="1:17" x14ac:dyDescent="0.2">
      <c r="A5" t="s">
        <v>9</v>
      </c>
      <c r="B5" s="25">
        <v>119.53871550000002</v>
      </c>
      <c r="C5">
        <v>-0.89409954484235266</v>
      </c>
      <c r="D5">
        <v>1.2512621181005061</v>
      </c>
      <c r="E5">
        <v>3.4564744720157963</v>
      </c>
      <c r="F5">
        <v>0.52699136055751428</v>
      </c>
      <c r="G5">
        <f t="shared" si="0"/>
        <v>-4.3505740168581486</v>
      </c>
      <c r="H5" s="13">
        <v>3.4290882653508055E-5</v>
      </c>
      <c r="I5" s="6">
        <v>3.4018800569232643E-5</v>
      </c>
      <c r="J5">
        <v>6.7141031724084432E-5</v>
      </c>
      <c r="K5">
        <v>1.2034944926464751E-4</v>
      </c>
      <c r="L5" s="4">
        <v>1626.7</v>
      </c>
      <c r="M5" s="4">
        <v>1759.2</v>
      </c>
      <c r="N5">
        <v>23.700000000000003</v>
      </c>
      <c r="O5">
        <v>13.330000000000002</v>
      </c>
    </row>
    <row r="6" spans="1:17" x14ac:dyDescent="0.2">
      <c r="A6" t="s">
        <v>9</v>
      </c>
      <c r="B6" s="25">
        <v>141.52436300000045</v>
      </c>
      <c r="C6">
        <v>-11.193472090381066</v>
      </c>
      <c r="D6">
        <v>1.8611231043666145</v>
      </c>
      <c r="E6">
        <v>6.4432504002125786</v>
      </c>
      <c r="F6">
        <v>1.7025328387921541</v>
      </c>
      <c r="G6">
        <f t="shared" si="0"/>
        <v>-17.636722490593645</v>
      </c>
      <c r="H6" s="13">
        <v>-8.9737275874191192E-5</v>
      </c>
      <c r="I6" s="6">
        <v>1.2633130969818136E-4</v>
      </c>
      <c r="J6">
        <v>9.1541641016297629E-5</v>
      </c>
      <c r="K6">
        <v>9.8571875980326323E-5</v>
      </c>
      <c r="L6" s="4">
        <v>1903.2</v>
      </c>
      <c r="M6" s="4">
        <v>1899.2</v>
      </c>
      <c r="N6">
        <v>22.18</v>
      </c>
      <c r="O6">
        <v>18.89</v>
      </c>
    </row>
    <row r="7" spans="1:17" x14ac:dyDescent="0.2">
      <c r="A7" t="s">
        <v>9</v>
      </c>
      <c r="B7" s="25">
        <v>144.46886549999982</v>
      </c>
      <c r="C7">
        <v>-14.701454053565422</v>
      </c>
      <c r="D7">
        <v>3.7484846962178628</v>
      </c>
      <c r="E7">
        <v>8.1142853351682849</v>
      </c>
      <c r="F7">
        <v>3.4491170443699062</v>
      </c>
      <c r="G7">
        <f t="shared" si="0"/>
        <v>-22.815739388733707</v>
      </c>
      <c r="H7" s="13">
        <v>-8.2149743657085594E-5</v>
      </c>
      <c r="I7" s="6">
        <v>4.4940767734401977E-4</v>
      </c>
      <c r="J7">
        <v>6.1212350379984815E-5</v>
      </c>
      <c r="K7">
        <v>4.2527085823872618E-4</v>
      </c>
      <c r="L7" s="4">
        <v>1845.7</v>
      </c>
      <c r="M7" s="4">
        <v>1393.7</v>
      </c>
      <c r="N7">
        <v>17.04</v>
      </c>
      <c r="O7">
        <v>17.22</v>
      </c>
    </row>
    <row r="8" spans="1:17" x14ac:dyDescent="0.2">
      <c r="A8" t="s">
        <v>9</v>
      </c>
      <c r="B8" s="25">
        <v>144.54039299999965</v>
      </c>
      <c r="C8">
        <v>-13.916306477304897</v>
      </c>
      <c r="D8">
        <v>3.2795120970347273</v>
      </c>
      <c r="E8">
        <v>8.1454183591217486</v>
      </c>
      <c r="F8">
        <v>3.0660351466688458</v>
      </c>
      <c r="G8">
        <f t="shared" si="0"/>
        <v>-22.061724836426645</v>
      </c>
      <c r="H8" s="13">
        <v>1.1445503954050161E-4</v>
      </c>
      <c r="I8" s="6">
        <v>3.24061292099792E-4</v>
      </c>
      <c r="J8">
        <v>-2.9506034870323359E-4</v>
      </c>
      <c r="K8">
        <v>1.8607048186448417E-4</v>
      </c>
      <c r="L8" s="4">
        <v>1736.7</v>
      </c>
      <c r="M8" s="4">
        <v>1864.7</v>
      </c>
      <c r="N8">
        <v>17.400000000000002</v>
      </c>
      <c r="O8">
        <v>18.329999999999998</v>
      </c>
    </row>
    <row r="9" spans="1:17" x14ac:dyDescent="0.2">
      <c r="A9" t="s">
        <v>9</v>
      </c>
      <c r="B9" s="25">
        <v>155.46192100000042</v>
      </c>
      <c r="C9">
        <v>-13.458042213567158</v>
      </c>
      <c r="D9">
        <v>3.8763494055294552</v>
      </c>
      <c r="E9">
        <v>6.7578653093858119</v>
      </c>
      <c r="F9">
        <v>1.1592881354935471</v>
      </c>
      <c r="G9">
        <f t="shared" si="0"/>
        <v>-20.215907522952968</v>
      </c>
      <c r="H9" s="13">
        <v>-1.3725840647112883E-6</v>
      </c>
      <c r="I9" s="6">
        <v>2.3722088888809734E-7</v>
      </c>
      <c r="J9">
        <v>2.886770445710918E-6</v>
      </c>
      <c r="K9">
        <v>8.2923234772376071E-7</v>
      </c>
      <c r="L9" s="4">
        <v>1359.7</v>
      </c>
      <c r="M9" s="4">
        <v>1380.6999999999998</v>
      </c>
      <c r="N9">
        <v>11.24</v>
      </c>
      <c r="O9">
        <v>17.78</v>
      </c>
    </row>
    <row r="10" spans="1:17" x14ac:dyDescent="0.2">
      <c r="A10" t="s">
        <v>9</v>
      </c>
      <c r="B10" s="25">
        <v>155.54256950000018</v>
      </c>
      <c r="C10">
        <v>-12.373088393052161</v>
      </c>
      <c r="D10">
        <v>1.7466585461366639</v>
      </c>
      <c r="E10">
        <v>7.9960950503362245</v>
      </c>
      <c r="F10">
        <v>1.4252142821514229</v>
      </c>
      <c r="G10">
        <f t="shared" si="0"/>
        <v>-20.369183443388387</v>
      </c>
      <c r="H10" s="13">
        <v>-1.439861446607652E-6</v>
      </c>
      <c r="I10" s="6">
        <v>2.4062070705608413E-7</v>
      </c>
      <c r="J10">
        <v>2.3807821768493842E-6</v>
      </c>
      <c r="K10">
        <v>3.0559047125205582E-7</v>
      </c>
      <c r="L10" s="4">
        <v>1910.2</v>
      </c>
      <c r="M10" s="4">
        <v>1758.7</v>
      </c>
      <c r="N10">
        <v>8.64</v>
      </c>
      <c r="O10">
        <v>19.440000000000001</v>
      </c>
    </row>
    <row r="11" spans="1:17" x14ac:dyDescent="0.2">
      <c r="A11" s="29" t="s">
        <v>9</v>
      </c>
      <c r="B11" s="25">
        <v>175.51122699999979</v>
      </c>
      <c r="C11">
        <v>-10.618798168960661</v>
      </c>
      <c r="D11">
        <v>1.6210347146880602</v>
      </c>
      <c r="E11">
        <v>7.4562541120106136</v>
      </c>
      <c r="F11">
        <v>1.9344824077930989</v>
      </c>
      <c r="G11">
        <f t="shared" si="0"/>
        <v>-18.075052280971274</v>
      </c>
      <c r="H11" s="13">
        <v>-9.2934561688741601E-7</v>
      </c>
      <c r="I11" s="6" t="e">
        <v>#DIV/0!</v>
      </c>
      <c r="J11">
        <v>2.2400889118901089E-3</v>
      </c>
      <c r="K11">
        <v>3.1672360324819892E-3</v>
      </c>
      <c r="L11" s="4">
        <v>1390.7</v>
      </c>
      <c r="M11" s="4">
        <v>1850.7</v>
      </c>
      <c r="N11">
        <v>7.6200000000000019</v>
      </c>
      <c r="O11">
        <v>25</v>
      </c>
    </row>
    <row r="12" spans="1:17" x14ac:dyDescent="0.2">
      <c r="A12" s="29" t="s">
        <v>9</v>
      </c>
      <c r="B12" s="25">
        <v>175.63275500000054</v>
      </c>
      <c r="C12">
        <v>-8.6637820657546758</v>
      </c>
      <c r="D12">
        <v>2.0720461196564348</v>
      </c>
      <c r="E12">
        <v>8.1445894843883</v>
      </c>
      <c r="F12">
        <v>0.55155054165607376</v>
      </c>
      <c r="G12">
        <f t="shared" si="0"/>
        <v>-16.808371550142976</v>
      </c>
      <c r="H12" s="13">
        <v>1.3155437666666667E-2</v>
      </c>
      <c r="I12" s="6">
        <v>1.1432096108061736E-2</v>
      </c>
      <c r="J12">
        <v>2.1063488000000002E-2</v>
      </c>
      <c r="K12">
        <v>1.561083650245418E-2</v>
      </c>
      <c r="L12" s="33">
        <v>1049.5333333333335</v>
      </c>
      <c r="M12" s="33">
        <v>990.36666666666679</v>
      </c>
      <c r="N12" s="29">
        <v>7.0999999999999988</v>
      </c>
      <c r="O12" s="29">
        <v>30</v>
      </c>
      <c r="P12" s="29"/>
      <c r="Q12" s="33"/>
    </row>
    <row r="13" spans="1:17" x14ac:dyDescent="0.2">
      <c r="A13" s="29" t="s">
        <v>9</v>
      </c>
      <c r="B13" s="25">
        <v>192.34872700000017</v>
      </c>
      <c r="C13">
        <v>-1.8718905877997063</v>
      </c>
      <c r="D13">
        <v>1.6186537890809429</v>
      </c>
      <c r="E13">
        <v>5.7758611097323049</v>
      </c>
      <c r="F13">
        <v>4.1377382534688758</v>
      </c>
      <c r="G13">
        <f t="shared" si="0"/>
        <v>-7.6477516975320112</v>
      </c>
      <c r="H13" s="13">
        <v>2.8994464041804001E-3</v>
      </c>
      <c r="I13" s="6">
        <v>6.6305403500978057E-3</v>
      </c>
      <c r="J13">
        <v>2.5373696821003218E-5</v>
      </c>
      <c r="K13">
        <v>3.6535295802402595E-3</v>
      </c>
      <c r="L13" s="4">
        <v>752.7</v>
      </c>
      <c r="M13" s="4">
        <v>721.2</v>
      </c>
      <c r="N13">
        <v>5.7399999999999993</v>
      </c>
      <c r="O13">
        <v>28.889999999999997</v>
      </c>
    </row>
    <row r="14" spans="1:17" x14ac:dyDescent="0.2">
      <c r="A14" t="s">
        <v>9</v>
      </c>
      <c r="B14" s="25">
        <v>192.61556750000017</v>
      </c>
      <c r="C14">
        <v>-3.3621080303802997</v>
      </c>
      <c r="D14">
        <v>1.5469586263757766</v>
      </c>
      <c r="E14">
        <v>1.8740682580671226</v>
      </c>
      <c r="F14">
        <v>2.1756810691162607</v>
      </c>
      <c r="G14">
        <f t="shared" si="0"/>
        <v>-5.2361762884474228</v>
      </c>
      <c r="H14" s="13">
        <v>-4.8328117682152511E-5</v>
      </c>
      <c r="I14" s="6">
        <v>2.2191852478914531E-4</v>
      </c>
      <c r="J14">
        <v>-5.0376537079996971E-4</v>
      </c>
      <c r="K14">
        <v>1.592792105604307E-3</v>
      </c>
      <c r="L14" s="4">
        <v>931.7</v>
      </c>
      <c r="M14" s="4">
        <v>882.2</v>
      </c>
      <c r="N14">
        <v>4.0199999999999996</v>
      </c>
      <c r="O14">
        <v>28.889999999999997</v>
      </c>
    </row>
    <row r="15" spans="1:17" x14ac:dyDescent="0.2">
      <c r="A15" t="s">
        <v>9</v>
      </c>
      <c r="B15" s="25">
        <v>214.6419205000002</v>
      </c>
      <c r="C15">
        <v>-3.5531220114476945</v>
      </c>
      <c r="D15">
        <v>3.3736097928137458</v>
      </c>
      <c r="E15">
        <v>9.3872956681341719</v>
      </c>
      <c r="F15">
        <v>1.5917516941918466</v>
      </c>
      <c r="G15">
        <f t="shared" si="0"/>
        <v>-12.940417679581866</v>
      </c>
      <c r="H15" s="13">
        <v>-1.6320222556860135E-4</v>
      </c>
      <c r="I15" s="6">
        <v>2.2283707519164399E-4</v>
      </c>
      <c r="J15">
        <v>1.0563066879189127E-4</v>
      </c>
      <c r="K15">
        <v>3.8943809762044919E-4</v>
      </c>
      <c r="L15" s="4">
        <v>1514.7</v>
      </c>
      <c r="M15" s="4">
        <v>1547.7</v>
      </c>
      <c r="N15">
        <v>8.5</v>
      </c>
      <c r="O15">
        <v>30</v>
      </c>
      <c r="P15">
        <v>40</v>
      </c>
      <c r="Q15" s="4">
        <v>0.57999999999999996</v>
      </c>
    </row>
    <row r="16" spans="1:17" x14ac:dyDescent="0.2">
      <c r="A16" t="s">
        <v>9</v>
      </c>
      <c r="B16" s="25">
        <v>221.51672450000078</v>
      </c>
      <c r="C16">
        <v>-1.7187328099294656</v>
      </c>
      <c r="D16">
        <v>0.96308513666899465</v>
      </c>
      <c r="E16">
        <v>0.60159296796374073</v>
      </c>
      <c r="F16">
        <v>0.67846528471122769</v>
      </c>
      <c r="G16">
        <f t="shared" si="0"/>
        <v>-2.3203257778932063</v>
      </c>
      <c r="H16" s="13">
        <v>5.013415409704493E-5</v>
      </c>
      <c r="I16" s="6">
        <v>2.3829621276039633E-4</v>
      </c>
      <c r="J16">
        <v>-1.702672955509916E-4</v>
      </c>
      <c r="K16">
        <v>2.0343846105163232E-4</v>
      </c>
      <c r="L16" s="4">
        <v>921.7</v>
      </c>
      <c r="M16" s="4">
        <v>1405.2</v>
      </c>
      <c r="N16">
        <v>13.180000000000001</v>
      </c>
      <c r="O16">
        <v>25.56</v>
      </c>
      <c r="P16">
        <v>42.1</v>
      </c>
      <c r="Q16" s="4">
        <v>0.74</v>
      </c>
    </row>
    <row r="17" spans="1:17" x14ac:dyDescent="0.2">
      <c r="A17" t="s">
        <v>9</v>
      </c>
      <c r="B17" s="25">
        <v>221.6314759999994</v>
      </c>
      <c r="C17">
        <v>-1.8678276401932059</v>
      </c>
      <c r="D17">
        <v>2.3678509340531049</v>
      </c>
      <c r="E17">
        <v>2.1844332627588474</v>
      </c>
      <c r="F17">
        <v>3.5729433049250732</v>
      </c>
      <c r="G17">
        <f t="shared" si="0"/>
        <v>-4.0522609029520531</v>
      </c>
      <c r="H17" s="13">
        <v>-1.453922863616308E-5</v>
      </c>
      <c r="I17" s="6">
        <v>2.2513621763386215E-4</v>
      </c>
      <c r="J17">
        <v>9.4523500474889371E-5</v>
      </c>
      <c r="K17">
        <v>2.172933886308183E-4</v>
      </c>
      <c r="L17" s="4">
        <v>1623.2</v>
      </c>
      <c r="M17" s="4">
        <v>1489.2</v>
      </c>
      <c r="N17">
        <v>13.98</v>
      </c>
      <c r="O17">
        <v>27.78</v>
      </c>
      <c r="P17">
        <v>41.98</v>
      </c>
      <c r="Q17" s="4">
        <v>0.71</v>
      </c>
    </row>
    <row r="18" spans="1:17" x14ac:dyDescent="0.2">
      <c r="A18" t="s">
        <v>9</v>
      </c>
      <c r="B18" s="25">
        <v>226.54240200000021</v>
      </c>
      <c r="C18">
        <v>-8.6107347165270323</v>
      </c>
      <c r="D18">
        <v>5.8914513482815369</v>
      </c>
      <c r="E18">
        <v>11.628930542677031</v>
      </c>
      <c r="F18">
        <v>2.6152330479896695</v>
      </c>
      <c r="G18">
        <f t="shared" si="0"/>
        <v>-20.239665259204063</v>
      </c>
      <c r="H18" s="13">
        <v>-4.82902447190275E-4</v>
      </c>
      <c r="I18" s="6">
        <v>1.5054663107035227E-4</v>
      </c>
      <c r="J18">
        <v>-4.2407039600070816E-4</v>
      </c>
      <c r="K18">
        <v>1.3135625624244795E-4</v>
      </c>
      <c r="L18" s="4">
        <v>1350.7</v>
      </c>
      <c r="M18" s="4">
        <v>1161.7</v>
      </c>
      <c r="N18">
        <v>5.0600000000000005</v>
      </c>
      <c r="O18">
        <v>23.107999999999997</v>
      </c>
      <c r="P18">
        <v>39.200000000000003</v>
      </c>
      <c r="Q18" s="4">
        <v>0.70600000000000007</v>
      </c>
    </row>
    <row r="19" spans="1:17" x14ac:dyDescent="0.2">
      <c r="A19" t="s">
        <v>9</v>
      </c>
      <c r="B19" s="25">
        <v>226.6284945000003</v>
      </c>
      <c r="C19">
        <v>-3.4659218337445616</v>
      </c>
      <c r="D19">
        <v>4.4768828349320771</v>
      </c>
      <c r="E19">
        <v>9.9674713975591072</v>
      </c>
      <c r="F19">
        <v>6.4943447328121549</v>
      </c>
      <c r="G19">
        <f t="shared" si="0"/>
        <v>-13.433393231303668</v>
      </c>
      <c r="H19" s="13">
        <v>-3.1185120526100799E-4</v>
      </c>
      <c r="I19" s="6">
        <v>1.5359533176039733E-4</v>
      </c>
      <c r="J19">
        <v>-2.8658553862304336E-4</v>
      </c>
      <c r="K19">
        <v>2.085563952588275E-4</v>
      </c>
      <c r="L19" s="4">
        <v>1552.7</v>
      </c>
      <c r="M19" s="4">
        <v>1606.7</v>
      </c>
      <c r="N19">
        <v>4.78</v>
      </c>
      <c r="O19">
        <v>27.222000000000001</v>
      </c>
      <c r="P19">
        <v>37.44</v>
      </c>
      <c r="Q19" s="4">
        <v>0.67000000000000015</v>
      </c>
    </row>
    <row r="20" spans="1:17" x14ac:dyDescent="0.2">
      <c r="A20" t="s">
        <v>9</v>
      </c>
      <c r="B20" s="25">
        <v>234.51454300000006</v>
      </c>
      <c r="C20">
        <v>-8.116927266630011</v>
      </c>
      <c r="D20">
        <v>3.9223801975577359</v>
      </c>
      <c r="E20">
        <v>21.441492198383521</v>
      </c>
      <c r="F20">
        <v>3.5294646490594199</v>
      </c>
      <c r="G20">
        <f t="shared" si="0"/>
        <v>-29.558419465013532</v>
      </c>
      <c r="H20" s="13">
        <v>-1.6605147944006053E-4</v>
      </c>
      <c r="I20" s="6">
        <v>1.2600015438289931E-4</v>
      </c>
      <c r="J20">
        <v>-7.3114221608332615E-5</v>
      </c>
      <c r="K20">
        <v>9.7099899484901438E-5</v>
      </c>
      <c r="L20" s="4">
        <v>1699.7</v>
      </c>
      <c r="M20" s="4">
        <v>1498.7</v>
      </c>
      <c r="N20">
        <v>19.260000000000002</v>
      </c>
      <c r="O20">
        <v>28.329999999999995</v>
      </c>
      <c r="P20">
        <v>39.72</v>
      </c>
      <c r="Q20" s="4">
        <v>0.79200000000000004</v>
      </c>
    </row>
    <row r="21" spans="1:17" x14ac:dyDescent="0.2">
      <c r="A21" t="s">
        <v>9</v>
      </c>
      <c r="B21" s="25">
        <v>234.60799149999986</v>
      </c>
      <c r="C21">
        <v>2.6738922372147145</v>
      </c>
      <c r="D21">
        <v>7.9263293081733179</v>
      </c>
      <c r="E21">
        <v>18.834465293704163</v>
      </c>
      <c r="F21">
        <v>2.4683821441201559</v>
      </c>
      <c r="G21">
        <f t="shared" si="0"/>
        <v>-16.160573056489447</v>
      </c>
      <c r="H21" s="13">
        <v>-1.655074286044631E-4</v>
      </c>
      <c r="I21" s="6">
        <v>8.8820643789669015E-5</v>
      </c>
      <c r="J21">
        <v>-1.3126168675747814E-4</v>
      </c>
      <c r="K21">
        <v>6.5588219972673211E-5</v>
      </c>
      <c r="L21" s="4">
        <v>363.20000000000005</v>
      </c>
      <c r="M21" s="4">
        <v>453.2</v>
      </c>
      <c r="N21">
        <v>17.52</v>
      </c>
      <c r="O21">
        <v>27.446000000000005</v>
      </c>
      <c r="P21">
        <v>40.119999999999997</v>
      </c>
      <c r="Q21" s="4">
        <v>0.80999999999999994</v>
      </c>
    </row>
    <row r="22" spans="1:17" x14ac:dyDescent="0.2">
      <c r="A22" t="s">
        <v>9</v>
      </c>
      <c r="B22" s="25">
        <v>238.48901000000006</v>
      </c>
      <c r="C22">
        <v>-8.4403276203708604</v>
      </c>
      <c r="D22">
        <v>11.738419070612759</v>
      </c>
      <c r="E22">
        <v>11.9893198680937</v>
      </c>
      <c r="F22">
        <v>0.64723928960141286</v>
      </c>
      <c r="G22">
        <f t="shared" si="0"/>
        <v>-20.42964748846456</v>
      </c>
      <c r="H22" s="13">
        <v>-1.7797547821377679E-4</v>
      </c>
      <c r="I22" s="6">
        <v>5.834975571624229E-5</v>
      </c>
      <c r="J22">
        <v>-1.6516535885276916E-4</v>
      </c>
      <c r="K22">
        <v>5.3531813158067885E-5</v>
      </c>
      <c r="L22" s="4">
        <v>1677.7</v>
      </c>
      <c r="M22" s="4">
        <v>1657.7</v>
      </c>
      <c r="N22">
        <v>13.74</v>
      </c>
      <c r="O22">
        <v>21.222000000000001</v>
      </c>
      <c r="P22">
        <v>37.739999999999995</v>
      </c>
      <c r="Q22" s="4">
        <v>0.79800000000000004</v>
      </c>
    </row>
    <row r="23" spans="1:17" x14ac:dyDescent="0.2">
      <c r="A23" t="s">
        <v>9</v>
      </c>
      <c r="B23" s="25">
        <v>238.58664350000038</v>
      </c>
      <c r="C23">
        <v>-8.4645658042666891</v>
      </c>
      <c r="D23">
        <v>2.2493534293132296</v>
      </c>
      <c r="E23">
        <v>13.124320399141819</v>
      </c>
      <c r="F23">
        <v>1.7363271339064847</v>
      </c>
      <c r="G23">
        <f t="shared" si="0"/>
        <v>-21.588886203408507</v>
      </c>
      <c r="H23" s="13">
        <v>-2.1460330953063873E-4</v>
      </c>
      <c r="I23" s="6">
        <v>9.0199805885640848E-5</v>
      </c>
      <c r="J23">
        <v>-2.0241724033390773E-4</v>
      </c>
      <c r="K23">
        <v>9.5278718636040275E-5</v>
      </c>
      <c r="L23" s="4">
        <v>1665.2</v>
      </c>
      <c r="M23" s="4">
        <v>1683.7</v>
      </c>
      <c r="N23">
        <v>13.1</v>
      </c>
      <c r="O23">
        <v>23.777999999999999</v>
      </c>
      <c r="P23">
        <v>40.520000000000003</v>
      </c>
      <c r="Q23" s="4">
        <v>0.79399999999999993</v>
      </c>
    </row>
    <row r="24" spans="1:17" x14ac:dyDescent="0.2">
      <c r="A24" t="s">
        <v>9</v>
      </c>
      <c r="B24" s="25">
        <v>246.45329000000021</v>
      </c>
      <c r="C24">
        <v>-10.741094896013045</v>
      </c>
      <c r="D24">
        <v>4.4111982391267821</v>
      </c>
      <c r="E24">
        <v>11.219151529730651</v>
      </c>
      <c r="F24">
        <v>2.5586247980846286</v>
      </c>
      <c r="G24">
        <f t="shared" si="0"/>
        <v>-21.960246425743698</v>
      </c>
      <c r="H24" s="13">
        <v>-1.8291739419578056E-4</v>
      </c>
      <c r="I24" s="6">
        <v>9.8281758480328854E-5</v>
      </c>
      <c r="J24">
        <v>-1.8118574580919944E-4</v>
      </c>
      <c r="K24">
        <v>1.1165317830818397E-4</v>
      </c>
      <c r="L24" s="4">
        <v>1475.2</v>
      </c>
      <c r="M24" s="4">
        <v>1430.2</v>
      </c>
      <c r="N24">
        <v>10.66</v>
      </c>
      <c r="O24">
        <v>22.22</v>
      </c>
      <c r="P24">
        <v>46.72</v>
      </c>
      <c r="Q24" s="4">
        <v>0.82799999999999996</v>
      </c>
    </row>
    <row r="25" spans="1:17" x14ac:dyDescent="0.2">
      <c r="A25" t="s">
        <v>9</v>
      </c>
      <c r="B25" s="25">
        <v>246.53614549999983</v>
      </c>
      <c r="C25">
        <v>-8.0762317133997978</v>
      </c>
      <c r="D25">
        <v>4.3766972894488969</v>
      </c>
      <c r="E25">
        <v>14.840793573654178</v>
      </c>
      <c r="F25">
        <v>2.3147246703860875</v>
      </c>
      <c r="G25">
        <f t="shared" si="0"/>
        <v>-22.917025287053974</v>
      </c>
      <c r="H25" s="13">
        <v>-3.037151972560228E-4</v>
      </c>
      <c r="I25" s="6">
        <v>9.7719562061413529E-5</v>
      </c>
      <c r="J25">
        <v>-1.9828326570241534E-4</v>
      </c>
      <c r="K25">
        <v>1.2180910859276465E-4</v>
      </c>
      <c r="L25" s="4">
        <v>1161.7</v>
      </c>
      <c r="M25" s="4">
        <v>1200.2</v>
      </c>
      <c r="N25">
        <v>9.5</v>
      </c>
      <c r="O25">
        <v>22.887999999999998</v>
      </c>
      <c r="P25">
        <v>44.86</v>
      </c>
      <c r="Q25" s="4">
        <v>0.84000000000000008</v>
      </c>
    </row>
    <row r="26" spans="1:17" x14ac:dyDescent="0.2">
      <c r="A26" t="s">
        <v>9</v>
      </c>
      <c r="B26" s="25">
        <v>255.43195050000065</v>
      </c>
      <c r="C26">
        <v>-7.2481996652663723</v>
      </c>
      <c r="D26">
        <v>4.1179161927185204</v>
      </c>
      <c r="E26">
        <v>10.341932542722573</v>
      </c>
      <c r="F26">
        <v>1.3017126479954757</v>
      </c>
      <c r="G26">
        <f t="shared" si="0"/>
        <v>-17.590132207988944</v>
      </c>
      <c r="H26" s="13">
        <v>-2.7343306565838699E-4</v>
      </c>
      <c r="I26" s="6">
        <v>5.6385442966372882E-5</v>
      </c>
      <c r="J26">
        <v>-1.9537519846334078E-4</v>
      </c>
      <c r="K26">
        <v>1.3420250367749567E-4</v>
      </c>
      <c r="L26" s="4">
        <v>487.7</v>
      </c>
      <c r="M26" s="4">
        <v>487.7</v>
      </c>
      <c r="N26">
        <v>13.959999999999999</v>
      </c>
      <c r="O26">
        <v>18.89</v>
      </c>
      <c r="P26">
        <v>49.74</v>
      </c>
      <c r="Q26" s="4">
        <v>0.85199999999999998</v>
      </c>
    </row>
    <row r="27" spans="1:17" x14ac:dyDescent="0.2">
      <c r="A27" t="s">
        <v>9</v>
      </c>
      <c r="B27" s="25">
        <v>255.52330499999988</v>
      </c>
      <c r="C27">
        <v>1.2583608905740349</v>
      </c>
      <c r="D27">
        <v>0.874484272710633</v>
      </c>
      <c r="E27">
        <v>9.3309566795339141</v>
      </c>
      <c r="F27">
        <v>0.98512555757996567</v>
      </c>
      <c r="G27">
        <f t="shared" si="0"/>
        <v>-8.0725957889598785</v>
      </c>
      <c r="H27" s="13">
        <v>-3.1536816728216919E-4</v>
      </c>
      <c r="I27" s="6">
        <v>7.1471572785779535E-5</v>
      </c>
      <c r="J27">
        <v>-2.8478025055186522E-4</v>
      </c>
      <c r="K27">
        <v>4.4458381926764371E-5</v>
      </c>
      <c r="L27" s="4">
        <v>203.2</v>
      </c>
      <c r="M27" s="4">
        <v>181.2</v>
      </c>
      <c r="N27">
        <v>12.959999999999999</v>
      </c>
      <c r="O27">
        <v>15.443999999999999</v>
      </c>
      <c r="P27">
        <v>51</v>
      </c>
      <c r="Q27" s="4">
        <v>0.85199999999999998</v>
      </c>
    </row>
    <row r="28" spans="1:17" x14ac:dyDescent="0.2">
      <c r="A28" t="s">
        <v>9</v>
      </c>
      <c r="B28" s="25">
        <v>263.47355949999951</v>
      </c>
      <c r="C28">
        <v>-4.3504473053461048</v>
      </c>
      <c r="D28">
        <v>4.4716279425848837</v>
      </c>
      <c r="E28">
        <v>8.8192992229738287</v>
      </c>
      <c r="F28">
        <v>1.3405431580636598</v>
      </c>
      <c r="G28">
        <f t="shared" si="0"/>
        <v>-13.169746528319934</v>
      </c>
      <c r="H28" s="13">
        <v>-4.4200943963147141E-4</v>
      </c>
      <c r="I28" s="6">
        <v>7.3521992226241196E-5</v>
      </c>
      <c r="J28">
        <v>-4.0103218600615021E-4</v>
      </c>
      <c r="K28">
        <v>7.8292847320327253E-5</v>
      </c>
      <c r="L28" s="4">
        <v>1290.7</v>
      </c>
      <c r="M28" s="4">
        <v>1367.2</v>
      </c>
      <c r="N28">
        <v>4.5599999999999996</v>
      </c>
      <c r="O28">
        <v>16.446000000000002</v>
      </c>
      <c r="P28">
        <v>49.019999999999996</v>
      </c>
      <c r="Q28" s="4">
        <v>0.78200000000000003</v>
      </c>
    </row>
    <row r="29" spans="1:17" x14ac:dyDescent="0.2">
      <c r="A29" t="s">
        <v>9</v>
      </c>
      <c r="B29" s="25">
        <v>277.5910764999997</v>
      </c>
      <c r="C29">
        <v>-3.1226388379830659</v>
      </c>
      <c r="D29">
        <v>0.90208687187918146</v>
      </c>
      <c r="E29">
        <v>4.8636707307292077</v>
      </c>
      <c r="F29">
        <v>0.75728077558402829</v>
      </c>
      <c r="G29">
        <f t="shared" si="0"/>
        <v>-7.986309568712274</v>
      </c>
      <c r="H29" s="13">
        <v>-2.8168016266901159E-4</v>
      </c>
      <c r="I29" s="6">
        <v>7.3765237197981521E-5</v>
      </c>
      <c r="J29">
        <v>-3.4519916602333562E-4</v>
      </c>
      <c r="K29">
        <v>1.0953086978644129E-4</v>
      </c>
      <c r="L29" s="4">
        <v>475.7</v>
      </c>
      <c r="M29" s="4">
        <v>573.70000000000005</v>
      </c>
      <c r="N29">
        <v>13.420000000000002</v>
      </c>
      <c r="O29">
        <v>11.891999999999999</v>
      </c>
      <c r="P29">
        <v>46.5</v>
      </c>
      <c r="Q29" s="4">
        <v>0.77600000000000002</v>
      </c>
    </row>
    <row r="30" spans="1:17" x14ac:dyDescent="0.2">
      <c r="A30" t="s">
        <v>9</v>
      </c>
      <c r="B30" s="25">
        <v>277.67144050000059</v>
      </c>
      <c r="C30">
        <v>-3.4711828906749056</v>
      </c>
      <c r="D30">
        <v>4.1734538935702448</v>
      </c>
      <c r="E30">
        <v>5.6302927734341779</v>
      </c>
      <c r="F30">
        <v>0.95592208798858858</v>
      </c>
      <c r="G30">
        <f t="shared" si="0"/>
        <v>-9.101475664109083</v>
      </c>
      <c r="H30" s="13">
        <v>-2.8402435836031919E-4</v>
      </c>
      <c r="I30" s="6">
        <v>5.7364062800234436E-5</v>
      </c>
      <c r="J30">
        <v>-2.8360036162071044E-4</v>
      </c>
      <c r="K30">
        <v>8.2840552960972339E-5</v>
      </c>
      <c r="L30" s="4">
        <v>356.20000000000005</v>
      </c>
      <c r="M30" s="4">
        <v>465.19999999999993</v>
      </c>
      <c r="N30">
        <v>11.959999999999999</v>
      </c>
      <c r="O30">
        <v>13.001999999999999</v>
      </c>
      <c r="P30">
        <v>55.3</v>
      </c>
      <c r="Q30" s="4">
        <v>0.76800000000000002</v>
      </c>
    </row>
    <row r="31" spans="1:17" x14ac:dyDescent="0.2">
      <c r="A31" t="s">
        <v>9</v>
      </c>
      <c r="B31" s="25">
        <v>283.47487249999978</v>
      </c>
      <c r="C31">
        <v>-5.7789287404171814</v>
      </c>
      <c r="D31">
        <v>2.4318186141273501</v>
      </c>
      <c r="E31">
        <v>7.0472194808858344</v>
      </c>
      <c r="F31">
        <v>1.0898615781749352</v>
      </c>
      <c r="G31">
        <f t="shared" si="0"/>
        <v>-12.826148221303015</v>
      </c>
      <c r="H31" s="13">
        <v>-1.8303110136657676E-4</v>
      </c>
      <c r="I31" s="6">
        <v>8.9170562670005859E-5</v>
      </c>
      <c r="J31">
        <v>-1.5977799963054837E-4</v>
      </c>
      <c r="K31">
        <v>1.2168122324286124E-4</v>
      </c>
      <c r="L31" s="4">
        <v>1262.7</v>
      </c>
      <c r="M31" s="4">
        <v>1243.7</v>
      </c>
      <c r="N31">
        <v>15.62</v>
      </c>
      <c r="O31">
        <v>15.778</v>
      </c>
      <c r="P31">
        <v>46.059999999999988</v>
      </c>
      <c r="Q31" s="4">
        <v>0.76</v>
      </c>
    </row>
    <row r="32" spans="1:17" x14ac:dyDescent="0.2">
      <c r="A32" t="s">
        <v>9</v>
      </c>
      <c r="B32" s="25">
        <v>283.57719900000012</v>
      </c>
      <c r="C32">
        <v>-3.7755114711565922</v>
      </c>
      <c r="D32">
        <v>1.9596786426027275</v>
      </c>
      <c r="E32">
        <v>7.9617907173561848</v>
      </c>
      <c r="F32">
        <v>1.327849922467059</v>
      </c>
      <c r="G32">
        <f t="shared" si="0"/>
        <v>-11.737302188512777</v>
      </c>
      <c r="H32" s="13">
        <v>-9.2876046251248555E-5</v>
      </c>
      <c r="I32" s="6">
        <v>6.4109345237949481E-5</v>
      </c>
      <c r="J32">
        <v>-8.3164137270099156E-5</v>
      </c>
      <c r="K32">
        <v>7.7554352651099521E-5</v>
      </c>
      <c r="L32" s="4">
        <v>1299.2</v>
      </c>
      <c r="M32" s="4">
        <v>1314.2</v>
      </c>
      <c r="N32">
        <v>14.940000000000001</v>
      </c>
      <c r="O32">
        <v>19.776</v>
      </c>
      <c r="P32">
        <v>43.36</v>
      </c>
      <c r="Q32" s="4">
        <v>0.77200000000000002</v>
      </c>
    </row>
    <row r="33" spans="1:17" x14ac:dyDescent="0.2">
      <c r="A33" t="s">
        <v>9</v>
      </c>
      <c r="B33" s="25">
        <v>295.4533684999999</v>
      </c>
      <c r="C33">
        <v>-5.7342561010127593</v>
      </c>
      <c r="D33">
        <v>3.931733538526065</v>
      </c>
      <c r="E33">
        <v>4.7905634941205824</v>
      </c>
      <c r="F33">
        <v>0.45187995204894676</v>
      </c>
      <c r="G33">
        <f t="shared" si="0"/>
        <v>-10.524819595133341</v>
      </c>
      <c r="H33" s="13">
        <v>-2.1035798177827382E-4</v>
      </c>
      <c r="I33" s="6">
        <v>6.4519067616107398E-5</v>
      </c>
      <c r="J33">
        <v>-1.6740281600656484E-4</v>
      </c>
      <c r="K33">
        <v>7.8712361668189037E-5</v>
      </c>
      <c r="L33" s="4">
        <v>516.20000000000005</v>
      </c>
      <c r="M33" s="4">
        <v>607.20000000000005</v>
      </c>
      <c r="N33">
        <v>15.425000000000001</v>
      </c>
      <c r="O33">
        <v>11.556000000000001</v>
      </c>
      <c r="P33">
        <v>45.300000000000004</v>
      </c>
      <c r="Q33" s="4">
        <v>0.77750000000000008</v>
      </c>
    </row>
    <row r="34" spans="1:17" x14ac:dyDescent="0.2">
      <c r="A34" t="s">
        <v>9</v>
      </c>
      <c r="B34" s="25">
        <v>301.44900999999959</v>
      </c>
      <c r="C34">
        <v>-5.1091583346886056</v>
      </c>
      <c r="D34">
        <v>3.4784446052580695</v>
      </c>
      <c r="E34">
        <v>5.1234171141556581</v>
      </c>
      <c r="F34">
        <v>0.43037036829176029</v>
      </c>
      <c r="G34">
        <f t="shared" si="0"/>
        <v>-10.232575448844264</v>
      </c>
      <c r="H34" s="13">
        <v>-1.7398073389173442E-4</v>
      </c>
      <c r="I34" s="6">
        <v>4.064091806740355E-5</v>
      </c>
      <c r="J34">
        <v>-1.3198902303989638E-4</v>
      </c>
      <c r="K34">
        <v>3.2026297881415607E-5</v>
      </c>
      <c r="L34" s="4">
        <v>537.70000000000005</v>
      </c>
      <c r="M34" s="4">
        <v>472.2</v>
      </c>
      <c r="N34">
        <v>20.74</v>
      </c>
      <c r="O34">
        <v>13.778</v>
      </c>
      <c r="P34">
        <v>48.839999999999996</v>
      </c>
      <c r="Q34" s="4">
        <v>0.79</v>
      </c>
    </row>
    <row r="35" spans="1:17" x14ac:dyDescent="0.2">
      <c r="A35" t="s">
        <v>9</v>
      </c>
      <c r="B35" s="25">
        <v>301.56262100000026</v>
      </c>
      <c r="C35">
        <v>-6.3982826647394502</v>
      </c>
      <c r="D35">
        <v>2.4533097780140625</v>
      </c>
      <c r="E35">
        <v>5.8310312648331353</v>
      </c>
      <c r="F35">
        <v>0.71947422732116162</v>
      </c>
      <c r="G35">
        <f t="shared" si="0"/>
        <v>-12.229313929572585</v>
      </c>
      <c r="H35" s="13">
        <v>-1.2316592406270312E-4</v>
      </c>
      <c r="I35" s="6">
        <v>7.8648058857793446E-5</v>
      </c>
      <c r="J35">
        <v>-1.1690124772013581E-4</v>
      </c>
      <c r="K35">
        <v>3.3174755686244555E-5</v>
      </c>
      <c r="L35" s="4">
        <v>506.7</v>
      </c>
      <c r="M35" s="4">
        <v>511.2</v>
      </c>
      <c r="N35">
        <v>19.799999999999997</v>
      </c>
      <c r="O35">
        <v>15.669999999999998</v>
      </c>
      <c r="P35">
        <v>49.46</v>
      </c>
      <c r="Q35" s="4">
        <v>0.78</v>
      </c>
    </row>
    <row r="36" spans="1:17" x14ac:dyDescent="0.2">
      <c r="A36" t="s">
        <v>9</v>
      </c>
      <c r="B36" s="25">
        <v>308.43756900000005</v>
      </c>
      <c r="C36">
        <v>-5.629339686179585</v>
      </c>
      <c r="D36">
        <v>2.1632010182909576</v>
      </c>
      <c r="E36">
        <v>3.1536211882997938</v>
      </c>
      <c r="F36">
        <v>0.66002102692900122</v>
      </c>
      <c r="G36">
        <f t="shared" si="0"/>
        <v>-8.7829608744793788</v>
      </c>
      <c r="H36" s="13">
        <v>-1.3692691002842265E-4</v>
      </c>
      <c r="I36" s="6">
        <v>5.9022480789341646E-5</v>
      </c>
      <c r="J36">
        <v>-1.0639688089511147E-4</v>
      </c>
      <c r="K36">
        <v>4.398723238943148E-5</v>
      </c>
      <c r="L36" s="4">
        <v>957.7</v>
      </c>
      <c r="M36" s="4">
        <v>863.2</v>
      </c>
      <c r="N36">
        <v>16.14</v>
      </c>
      <c r="O36">
        <v>10</v>
      </c>
      <c r="P36">
        <v>48.08</v>
      </c>
      <c r="Q36" s="4">
        <v>0.72200000000000009</v>
      </c>
    </row>
    <row r="37" spans="1:17" x14ac:dyDescent="0.2">
      <c r="A37" t="s">
        <v>9</v>
      </c>
      <c r="B37" s="25">
        <v>308.60267399999975</v>
      </c>
      <c r="C37">
        <v>-2.5825386843966878</v>
      </c>
      <c r="D37">
        <v>1.0404235392509178</v>
      </c>
      <c r="E37">
        <v>2.7698499026658583</v>
      </c>
      <c r="F37">
        <v>0.45322202263078831</v>
      </c>
      <c r="G37">
        <f t="shared" si="0"/>
        <v>-5.3523885870625456</v>
      </c>
      <c r="H37" s="13">
        <v>-1.4539332938804766E-4</v>
      </c>
      <c r="I37" s="6">
        <v>4.3413744091143518E-5</v>
      </c>
      <c r="J37">
        <v>-1.681110419088216E-4</v>
      </c>
      <c r="K37">
        <v>1.6907537029652663E-5</v>
      </c>
      <c r="L37" s="4">
        <v>292.2</v>
      </c>
      <c r="M37" s="4">
        <v>295.7</v>
      </c>
      <c r="N37">
        <v>15.339999999999998</v>
      </c>
      <c r="O37">
        <v>11.11</v>
      </c>
      <c r="P37">
        <v>46.08</v>
      </c>
      <c r="Q37" s="4">
        <v>0.74199999999999999</v>
      </c>
    </row>
    <row r="38" spans="1:17" x14ac:dyDescent="0.2">
      <c r="A38" t="s">
        <v>9</v>
      </c>
      <c r="B38" s="25">
        <v>315.46510449999948</v>
      </c>
      <c r="C38">
        <v>-3.8019243580092379</v>
      </c>
      <c r="D38">
        <v>1.2667102822053751</v>
      </c>
      <c r="E38">
        <v>2.1861678571731624</v>
      </c>
      <c r="F38">
        <v>0.43165873041661307</v>
      </c>
      <c r="G38">
        <f t="shared" si="0"/>
        <v>-5.9880922151823999</v>
      </c>
      <c r="H38" s="13">
        <v>-1.6394587637971929E-4</v>
      </c>
      <c r="I38" s="6">
        <v>1.3037274248791871E-4</v>
      </c>
      <c r="J38">
        <v>-1.5475370233427357E-4</v>
      </c>
      <c r="K38">
        <v>5.2101132573251234E-5</v>
      </c>
      <c r="L38" s="4">
        <v>601.20000000000005</v>
      </c>
      <c r="M38" s="4">
        <v>523.70000000000005</v>
      </c>
      <c r="N38">
        <v>17.725000000000001</v>
      </c>
      <c r="O38">
        <v>7.444</v>
      </c>
      <c r="P38">
        <v>39.449999999999996</v>
      </c>
      <c r="Q38" s="4">
        <v>0.65500000000000003</v>
      </c>
    </row>
    <row r="39" spans="1:17" x14ac:dyDescent="0.2">
      <c r="A39" t="s">
        <v>9</v>
      </c>
      <c r="B39" s="25">
        <v>315.57378549999959</v>
      </c>
      <c r="C39">
        <v>-3.5189141529657819</v>
      </c>
      <c r="D39">
        <v>1.4664787385449809</v>
      </c>
      <c r="E39">
        <v>2.091154688750704</v>
      </c>
      <c r="F39">
        <v>0.41027325140184645</v>
      </c>
      <c r="G39">
        <f t="shared" si="0"/>
        <v>-5.6100688417164859</v>
      </c>
      <c r="H39" s="13">
        <v>-1.7912018070037787E-4</v>
      </c>
      <c r="I39" s="6">
        <v>6.9076652045230811E-5</v>
      </c>
      <c r="J39">
        <v>-1.7814713403962139E-4</v>
      </c>
      <c r="K39">
        <v>4.5558637613944553E-5</v>
      </c>
      <c r="L39" s="4">
        <v>493.2</v>
      </c>
      <c r="M39" s="4">
        <v>506.2</v>
      </c>
      <c r="N39">
        <v>16.959999999999997</v>
      </c>
      <c r="O39">
        <v>5.6639999999999997</v>
      </c>
      <c r="P39">
        <v>43.5</v>
      </c>
      <c r="Q39" s="4">
        <v>0.64600000000000013</v>
      </c>
    </row>
    <row r="40" spans="1:17" x14ac:dyDescent="0.2">
      <c r="A40" t="s">
        <v>7</v>
      </c>
      <c r="B40" s="25">
        <v>106.45777777777776</v>
      </c>
      <c r="C40">
        <v>-1.2759471341326647</v>
      </c>
      <c r="D40">
        <v>0.7712849014303389</v>
      </c>
      <c r="E40">
        <v>1.4924509987308621</v>
      </c>
      <c r="F40">
        <v>0.55665031300701306</v>
      </c>
      <c r="G40">
        <f t="shared" si="0"/>
        <v>-2.7683981328635268</v>
      </c>
      <c r="H40" s="13">
        <v>1.2699769032006088E-4</v>
      </c>
      <c r="I40" s="6">
        <v>5.1430344519678825E-5</v>
      </c>
      <c r="J40">
        <v>2.0160939532125978E-4</v>
      </c>
      <c r="K40">
        <v>4.2717068935476459E-5</v>
      </c>
      <c r="L40" s="4">
        <v>1542.7</v>
      </c>
      <c r="M40" s="4">
        <v>1484.7</v>
      </c>
      <c r="N40">
        <v>26.8</v>
      </c>
      <c r="O40">
        <v>7.5539999999999994</v>
      </c>
      <c r="P40" t="e">
        <v>#DIV/0!</v>
      </c>
      <c r="Q40" s="4" t="e">
        <v>#DIV/0!</v>
      </c>
    </row>
    <row r="41" spans="1:17" x14ac:dyDescent="0.2">
      <c r="A41" t="s">
        <v>7</v>
      </c>
      <c r="B41" s="25">
        <v>106.57013888888889</v>
      </c>
      <c r="C41">
        <v>1.4402042164267681</v>
      </c>
      <c r="D41">
        <v>1.2186909763244052</v>
      </c>
      <c r="E41">
        <v>-0.33747289257215829</v>
      </c>
      <c r="F41">
        <v>1.4653055562274573</v>
      </c>
      <c r="G41">
        <f t="shared" si="0"/>
        <v>1.7776771089989265</v>
      </c>
      <c r="H41" s="13">
        <v>1.033598E-4</v>
      </c>
      <c r="I41" s="6">
        <v>9.9678693195687514E-5</v>
      </c>
      <c r="J41">
        <v>-1.4921839999999998E-4</v>
      </c>
      <c r="K41">
        <v>3.4279457164138402E-4</v>
      </c>
      <c r="L41" s="4">
        <v>1731.7</v>
      </c>
      <c r="M41" s="4">
        <v>1739.2</v>
      </c>
      <c r="N41">
        <v>24.560000000000002</v>
      </c>
      <c r="O41">
        <v>8.89</v>
      </c>
      <c r="P41" t="e">
        <v>#DIV/0!</v>
      </c>
      <c r="Q41" s="4" t="e">
        <v>#DIV/0!</v>
      </c>
    </row>
    <row r="42" spans="1:17" x14ac:dyDescent="0.2">
      <c r="A42" t="s">
        <v>7</v>
      </c>
      <c r="B42" s="25">
        <v>112.40202546296297</v>
      </c>
      <c r="C42">
        <v>-1.8775895322997456</v>
      </c>
      <c r="D42">
        <v>0.8885601076573425</v>
      </c>
      <c r="E42">
        <v>1.1171643957983122</v>
      </c>
      <c r="F42">
        <v>0.18512382714101372</v>
      </c>
      <c r="G42">
        <f t="shared" si="0"/>
        <v>-2.9947539280980577</v>
      </c>
      <c r="H42" s="13">
        <v>-3.7836665789320541E-5</v>
      </c>
      <c r="I42" s="6">
        <v>7.361571300458504E-5</v>
      </c>
      <c r="J42">
        <v>6.5273381702854623E-5</v>
      </c>
      <c r="K42">
        <v>6.1295716957724528E-5</v>
      </c>
      <c r="L42" s="4">
        <v>528.70000000000005</v>
      </c>
      <c r="M42" s="4">
        <v>516.20000000000005</v>
      </c>
      <c r="N42">
        <v>24.119999999999997</v>
      </c>
      <c r="O42">
        <v>13.668000000000001</v>
      </c>
      <c r="P42" t="e">
        <v>#DIV/0!</v>
      </c>
      <c r="Q42" s="4" t="e">
        <v>#DIV/0!</v>
      </c>
    </row>
    <row r="43" spans="1:17" x14ac:dyDescent="0.2">
      <c r="A43" t="s">
        <v>7</v>
      </c>
      <c r="B43" s="25">
        <v>112.53819444444446</v>
      </c>
      <c r="C43">
        <v>-2.4597138994668457</v>
      </c>
      <c r="D43">
        <v>1.6334777015860198</v>
      </c>
      <c r="E43">
        <v>2.7015440531028658</v>
      </c>
      <c r="F43">
        <v>0.82468543313710674</v>
      </c>
      <c r="G43">
        <f t="shared" si="0"/>
        <v>-5.1612579525697111</v>
      </c>
      <c r="H43" s="13">
        <v>8.6771119870253738E-5</v>
      </c>
      <c r="I43" s="6">
        <v>6.9924613090380686E-5</v>
      </c>
      <c r="J43">
        <v>5.0734689730338428E-5</v>
      </c>
      <c r="K43">
        <v>1.6695039284166948E-4</v>
      </c>
      <c r="L43" s="4">
        <v>1446.7</v>
      </c>
      <c r="M43" s="4">
        <v>1416.2</v>
      </c>
      <c r="N43">
        <v>23.660000000000004</v>
      </c>
      <c r="O43">
        <v>17.22</v>
      </c>
      <c r="P43" t="e">
        <v>#DIV/0!</v>
      </c>
      <c r="Q43" s="4" t="e">
        <v>#DIV/0!</v>
      </c>
    </row>
    <row r="44" spans="1:17" x14ac:dyDescent="0.2">
      <c r="A44" t="s">
        <v>7</v>
      </c>
      <c r="B44" s="25">
        <v>120.42280092592594</v>
      </c>
      <c r="C44">
        <v>-0.80649625600796515</v>
      </c>
      <c r="D44">
        <v>0.91471073583047413</v>
      </c>
      <c r="E44">
        <v>1.4414528086832221</v>
      </c>
      <c r="F44">
        <v>0.43785081378429985</v>
      </c>
      <c r="G44">
        <f t="shared" si="0"/>
        <v>-2.2479490646911873</v>
      </c>
      <c r="H44" s="13">
        <v>-2.7076041859687177E-5</v>
      </c>
      <c r="I44" s="6">
        <v>4.7763327885303601E-5</v>
      </c>
      <c r="J44">
        <v>7.2945418395091592E-6</v>
      </c>
      <c r="K44">
        <v>4.4877749888624501E-5</v>
      </c>
      <c r="L44" s="4">
        <v>250.7</v>
      </c>
      <c r="M44" s="4">
        <v>260.2</v>
      </c>
      <c r="N44">
        <v>27.52</v>
      </c>
      <c r="O44">
        <v>13.89</v>
      </c>
      <c r="P44" t="e">
        <v>#DIV/0!</v>
      </c>
      <c r="Q44" s="4" t="e">
        <v>#DIV/0!</v>
      </c>
    </row>
    <row r="45" spans="1:17" x14ac:dyDescent="0.2">
      <c r="A45" t="s">
        <v>7</v>
      </c>
      <c r="B45" s="25">
        <v>120.5269675925926</v>
      </c>
      <c r="C45">
        <v>-1.7142270501109949</v>
      </c>
      <c r="D45">
        <v>1.5555029673257794</v>
      </c>
      <c r="E45">
        <v>1.3702319986821281</v>
      </c>
      <c r="F45">
        <v>0.29892663109705137</v>
      </c>
      <c r="G45">
        <f t="shared" si="0"/>
        <v>-3.0844590487931232</v>
      </c>
      <c r="H45" s="13">
        <v>5.8663336177432591E-6</v>
      </c>
      <c r="I45" s="6">
        <v>3.1613808099618319E-5</v>
      </c>
      <c r="J45">
        <v>-2.5158237365133451E-5</v>
      </c>
      <c r="K45">
        <v>4.6423236058673842E-5</v>
      </c>
      <c r="L45" s="4">
        <v>377.2</v>
      </c>
      <c r="M45" s="4">
        <v>354.7</v>
      </c>
      <c r="N45">
        <v>26.660000000000004</v>
      </c>
      <c r="O45">
        <v>11.11</v>
      </c>
      <c r="P45" t="e">
        <v>#DIV/0!</v>
      </c>
      <c r="Q45" s="4" t="e">
        <v>#DIV/0!</v>
      </c>
    </row>
    <row r="46" spans="1:17" x14ac:dyDescent="0.2">
      <c r="A46" t="s">
        <v>7</v>
      </c>
      <c r="B46" s="25">
        <v>136.43108796296298</v>
      </c>
      <c r="C46">
        <v>0.39748788151926256</v>
      </c>
      <c r="D46">
        <v>0.78752046805428177</v>
      </c>
      <c r="E46">
        <v>-0.5521121057109154</v>
      </c>
      <c r="F46">
        <v>0.92891700200075888</v>
      </c>
      <c r="G46">
        <f t="shared" si="0"/>
        <v>0.94959998723017791</v>
      </c>
      <c r="H46" s="13">
        <v>-1.1663535707809577E-4</v>
      </c>
      <c r="I46" s="6">
        <v>3.1391365401428015E-4</v>
      </c>
      <c r="J46">
        <v>-1.1712858104617766E-4</v>
      </c>
      <c r="K46">
        <v>3.056698090824453E-4</v>
      </c>
      <c r="L46" s="4">
        <v>922.2</v>
      </c>
      <c r="M46" s="4">
        <v>1171.2</v>
      </c>
      <c r="N46">
        <v>26.880000000000003</v>
      </c>
      <c r="O46">
        <v>15.559999999999999</v>
      </c>
      <c r="P46" t="e">
        <v>#DIV/0!</v>
      </c>
      <c r="Q46" s="4" t="e">
        <v>#DIV/0!</v>
      </c>
    </row>
    <row r="47" spans="1:17" x14ac:dyDescent="0.2">
      <c r="A47" t="s">
        <v>7</v>
      </c>
      <c r="B47" s="25">
        <v>136.53421296296295</v>
      </c>
      <c r="C47">
        <v>0.24746926823244592</v>
      </c>
      <c r="D47">
        <v>0.95039444771725234</v>
      </c>
      <c r="E47">
        <v>0.25247294684875798</v>
      </c>
      <c r="F47">
        <v>0.73001915558068808</v>
      </c>
      <c r="G47">
        <f t="shared" si="0"/>
        <v>-5.0036786163120683E-3</v>
      </c>
      <c r="H47" s="13">
        <v>1.5073982577449538E-4</v>
      </c>
      <c r="I47" s="6">
        <v>3.7290043260171978E-5</v>
      </c>
      <c r="J47">
        <v>1.312642052413116E-4</v>
      </c>
      <c r="K47">
        <v>1.4108033717915398E-5</v>
      </c>
      <c r="L47" s="4">
        <v>1448.2</v>
      </c>
      <c r="M47" s="4">
        <v>1482.7</v>
      </c>
      <c r="N47" s="4">
        <v>24.86</v>
      </c>
      <c r="O47">
        <v>16.670000000000002</v>
      </c>
      <c r="P47" t="e">
        <v>#DIV/0!</v>
      </c>
      <c r="Q47" s="4" t="e">
        <v>#DIV/0!</v>
      </c>
    </row>
    <row r="48" spans="1:17" x14ac:dyDescent="0.2">
      <c r="A48" s="29" t="s">
        <v>7</v>
      </c>
      <c r="B48" s="25">
        <v>143.40625</v>
      </c>
      <c r="C48">
        <v>8.1346073486868425E-2</v>
      </c>
      <c r="D48">
        <v>2.6983739422634212</v>
      </c>
      <c r="E48">
        <v>1.4880208288086783</v>
      </c>
      <c r="F48">
        <v>1.7728309577287471</v>
      </c>
      <c r="G48">
        <f t="shared" si="0"/>
        <v>-1.4066747553218097</v>
      </c>
      <c r="H48" s="13">
        <v>-1.2762873151446569E-4</v>
      </c>
      <c r="I48" s="6">
        <v>4.1439094770768468E-4</v>
      </c>
      <c r="J48">
        <v>-2.0777272718035907E-6</v>
      </c>
      <c r="K48">
        <v>5.9265657587501163E-4</v>
      </c>
      <c r="L48" s="4">
        <v>1357.2</v>
      </c>
      <c r="M48" s="4">
        <v>1349.2</v>
      </c>
      <c r="N48">
        <v>16.540000000000003</v>
      </c>
      <c r="O48">
        <v>16.11</v>
      </c>
      <c r="P48" t="e">
        <v>#DIV/0!</v>
      </c>
      <c r="Q48" s="4" t="e">
        <v>#DIV/0!</v>
      </c>
    </row>
    <row r="49" spans="1:28" x14ac:dyDescent="0.2">
      <c r="A49" s="29" t="s">
        <v>7</v>
      </c>
      <c r="B49" s="25">
        <v>143.56944444444446</v>
      </c>
      <c r="C49">
        <v>-0.3643049359747953</v>
      </c>
      <c r="D49">
        <v>1.9794195292315688</v>
      </c>
      <c r="E49">
        <v>0.82270341205623643</v>
      </c>
      <c r="F49">
        <v>1.0419796687841991</v>
      </c>
      <c r="G49">
        <f t="shared" si="0"/>
        <v>-1.1870083480310316</v>
      </c>
      <c r="H49" s="13">
        <v>2.7875249380987215E-5</v>
      </c>
      <c r="I49" s="6">
        <v>2.8046926220832026E-4</v>
      </c>
      <c r="J49">
        <v>-4.2848369057200695E-3</v>
      </c>
      <c r="K49">
        <v>8.7207873813180126E-3</v>
      </c>
      <c r="L49" s="4">
        <v>676.2</v>
      </c>
      <c r="M49" s="4">
        <v>756.2</v>
      </c>
      <c r="N49" s="4">
        <v>17.2</v>
      </c>
      <c r="O49" s="4">
        <v>18.329999999999998</v>
      </c>
      <c r="P49" t="e">
        <v>#DIV/0!</v>
      </c>
      <c r="Q49" s="4" t="e">
        <v>#DIV/0!</v>
      </c>
    </row>
    <row r="50" spans="1:28" x14ac:dyDescent="0.2">
      <c r="A50" s="29" t="s">
        <v>7</v>
      </c>
      <c r="B50" s="25">
        <v>149.44375000000002</v>
      </c>
      <c r="C50">
        <v>2.4263965713835303</v>
      </c>
      <c r="D50">
        <v>1.1317462991542542</v>
      </c>
      <c r="E50">
        <v>4.0869975551487681</v>
      </c>
      <c r="F50">
        <v>0.75306191426405644</v>
      </c>
      <c r="G50">
        <f t="shared" si="0"/>
        <v>-1.6606009837652378</v>
      </c>
      <c r="H50" s="13">
        <v>-3.0066798641058276E-3</v>
      </c>
      <c r="I50" s="6">
        <v>9.7045047769255266E-3</v>
      </c>
      <c r="J50">
        <v>-8.7886976270940831E-2</v>
      </c>
      <c r="K50">
        <v>0.12647690620460914</v>
      </c>
      <c r="L50" s="4">
        <v>1158.2</v>
      </c>
      <c r="M50" s="4">
        <v>1398.7</v>
      </c>
      <c r="N50" s="4">
        <v>23.5</v>
      </c>
      <c r="O50" s="4">
        <v>17.22</v>
      </c>
    </row>
    <row r="51" spans="1:28" x14ac:dyDescent="0.2">
      <c r="A51" t="s">
        <v>7</v>
      </c>
      <c r="B51" s="25">
        <v>149.54166666666663</v>
      </c>
      <c r="C51">
        <v>3.9988774434157994</v>
      </c>
      <c r="D51">
        <v>2.7220648270753065</v>
      </c>
      <c r="E51">
        <v>4.8109888197166324</v>
      </c>
      <c r="F51">
        <v>1.4880348675512587</v>
      </c>
      <c r="G51">
        <f t="shared" si="0"/>
        <v>-0.81211137630083297</v>
      </c>
      <c r="H51" s="13">
        <v>-2.0366289532283598E-2</v>
      </c>
      <c r="I51" s="6" t="e">
        <v>#DIV/0!</v>
      </c>
      <c r="J51">
        <v>5.7178267781731395E-4</v>
      </c>
      <c r="K51" t="e">
        <v>#DIV/0!</v>
      </c>
      <c r="L51" s="4">
        <v>1275.7</v>
      </c>
      <c r="M51" s="4">
        <v>1246.7</v>
      </c>
      <c r="N51" s="4">
        <v>21.5</v>
      </c>
      <c r="O51" s="4">
        <v>20.56</v>
      </c>
    </row>
    <row r="52" spans="1:28" s="18" customFormat="1" x14ac:dyDescent="0.2">
      <c r="A52" t="s">
        <v>7</v>
      </c>
      <c r="B52" s="25">
        <v>151.46527777777777</v>
      </c>
      <c r="C52">
        <v>1.9923505072233172</v>
      </c>
      <c r="D52">
        <v>1.4970907520137138</v>
      </c>
      <c r="E52">
        <v>4.7069611187525577</v>
      </c>
      <c r="F52">
        <v>0.60369949850369964</v>
      </c>
      <c r="G52">
        <f t="shared" si="0"/>
        <v>-2.7146106115292405</v>
      </c>
      <c r="H52" s="13"/>
      <c r="I52" s="6" t="e">
        <v>#DIV/0!</v>
      </c>
      <c r="J52"/>
      <c r="K52" t="e">
        <v>#DIV/0!</v>
      </c>
      <c r="L52" s="4">
        <v>1514.2</v>
      </c>
      <c r="M52" s="4">
        <v>1469.7</v>
      </c>
      <c r="N52" s="4">
        <v>19.439999999999998</v>
      </c>
      <c r="O52" s="4">
        <v>23.89</v>
      </c>
      <c r="P52"/>
      <c r="Q52" s="4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</row>
    <row r="53" spans="1:28" s="18" customFormat="1" x14ac:dyDescent="0.2">
      <c r="A53" t="s">
        <v>7</v>
      </c>
      <c r="B53" s="25">
        <v>151.55069444444445</v>
      </c>
      <c r="C53">
        <v>1.5592327030940987</v>
      </c>
      <c r="D53">
        <v>1.2231044614410687</v>
      </c>
      <c r="E53">
        <v>4.8064004189496039</v>
      </c>
      <c r="F53">
        <v>0.50963340616697028</v>
      </c>
      <c r="G53">
        <f t="shared" si="0"/>
        <v>-3.2471677158555052</v>
      </c>
      <c r="H53" s="13"/>
      <c r="I53" s="6" t="e">
        <v>#DIV/0!</v>
      </c>
      <c r="J53"/>
      <c r="K53" t="e">
        <v>#DIV/0!</v>
      </c>
      <c r="L53" s="4">
        <v>1236.2</v>
      </c>
      <c r="M53" s="4">
        <v>1961.7</v>
      </c>
      <c r="N53" s="4">
        <v>19.240000000000002</v>
      </c>
      <c r="O53" s="4">
        <v>23.89</v>
      </c>
      <c r="P53"/>
      <c r="Q53" s="4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</row>
    <row r="54" spans="1:28" s="18" customFormat="1" x14ac:dyDescent="0.2">
      <c r="A54" t="s">
        <v>7</v>
      </c>
      <c r="B54" s="25">
        <v>161.44999999999999</v>
      </c>
      <c r="C54" s="27">
        <v>-1.2272544944931365</v>
      </c>
      <c r="D54" s="27">
        <v>2.3478698107665967</v>
      </c>
      <c r="E54">
        <v>12.042442610166518</v>
      </c>
      <c r="F54">
        <v>15.490478077844301</v>
      </c>
      <c r="G54">
        <f t="shared" si="0"/>
        <v>-13.269697104659654</v>
      </c>
      <c r="H54" s="13">
        <v>1.9169455753433054E-2</v>
      </c>
      <c r="I54" s="6">
        <v>4.3398628074284511E-2</v>
      </c>
      <c r="J54" s="27">
        <v>-6.6614707138016515E-3</v>
      </c>
      <c r="K54" s="27">
        <v>1.3446069626444752E-2</v>
      </c>
      <c r="L54" s="4">
        <v>1690.7</v>
      </c>
      <c r="M54" s="4">
        <v>1539.2</v>
      </c>
      <c r="N54" s="4">
        <v>11.86</v>
      </c>
      <c r="O54" s="4">
        <v>19.440000000000001</v>
      </c>
      <c r="P54"/>
      <c r="Q54" s="4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</row>
    <row r="55" spans="1:28" x14ac:dyDescent="0.2">
      <c r="A55" t="s">
        <v>7</v>
      </c>
      <c r="B55" s="25">
        <v>161.53750000000002</v>
      </c>
      <c r="C55">
        <v>2.0890754198444127E-2</v>
      </c>
      <c r="D55">
        <v>5.9585938120914168</v>
      </c>
      <c r="E55">
        <v>7.3702615079621552</v>
      </c>
      <c r="F55">
        <v>2.6157351154503785</v>
      </c>
      <c r="G55">
        <f t="shared" si="0"/>
        <v>-7.3493707537637114</v>
      </c>
      <c r="H55" s="13">
        <v>-1.4105288799999999E-2</v>
      </c>
      <c r="I55" s="6">
        <v>3.1214538460345519E-2</v>
      </c>
      <c r="J55">
        <v>1.0493326799999999E-2</v>
      </c>
      <c r="K55">
        <v>2.7849015762169749E-2</v>
      </c>
      <c r="L55" s="4">
        <v>1584.2</v>
      </c>
      <c r="M55" s="4">
        <v>1614.6999999999998</v>
      </c>
      <c r="N55" s="4">
        <v>11.44</v>
      </c>
      <c r="O55" s="4">
        <v>25.56</v>
      </c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</row>
    <row r="56" spans="1:28" x14ac:dyDescent="0.2">
      <c r="A56" t="s">
        <v>7</v>
      </c>
      <c r="B56" s="25">
        <v>171.41597222222219</v>
      </c>
      <c r="C56">
        <v>1.9342672814674722</v>
      </c>
      <c r="D56">
        <v>0.52578635759374748</v>
      </c>
      <c r="E56">
        <v>7.1100998048121795</v>
      </c>
      <c r="F56">
        <v>1.0008166006242782</v>
      </c>
      <c r="G56">
        <f t="shared" si="0"/>
        <v>-5.1758325233447078</v>
      </c>
      <c r="H56" s="13">
        <v>-1.485492E-4</v>
      </c>
      <c r="I56" s="6">
        <v>5.9679986584281334E-5</v>
      </c>
      <c r="J56">
        <v>-1.8322649999999999E-4</v>
      </c>
      <c r="K56">
        <v>4.9019662915337688E-5</v>
      </c>
      <c r="L56" s="4">
        <v>222.2</v>
      </c>
      <c r="M56" s="4">
        <v>229.7</v>
      </c>
      <c r="N56" s="4">
        <v>17.220000000000002</v>
      </c>
      <c r="O56" s="4">
        <v>23.33</v>
      </c>
    </row>
    <row r="57" spans="1:28" x14ac:dyDescent="0.2">
      <c r="A57" t="s">
        <v>7</v>
      </c>
      <c r="B57" s="25">
        <v>171.52361111111111</v>
      </c>
      <c r="C57">
        <v>-1.5729542424385095</v>
      </c>
      <c r="D57">
        <v>5.0328606689966939</v>
      </c>
      <c r="E57">
        <v>1.3450509425910719</v>
      </c>
      <c r="F57">
        <v>11.418422088715307</v>
      </c>
      <c r="G57">
        <f t="shared" si="0"/>
        <v>-2.9180051850295814</v>
      </c>
      <c r="H57" s="13">
        <v>-3.10568E-4</v>
      </c>
      <c r="I57" s="6" t="e">
        <v>#DIV/0!</v>
      </c>
      <c r="J57">
        <v>-3.7267499999999999E-4</v>
      </c>
      <c r="K57" t="e">
        <v>#DIV/0!</v>
      </c>
      <c r="L57" s="4">
        <v>382.2</v>
      </c>
      <c r="M57" s="4">
        <v>311.7</v>
      </c>
      <c r="N57" s="4">
        <v>16.759999999999998</v>
      </c>
      <c r="O57" s="4">
        <v>23.33</v>
      </c>
    </row>
    <row r="58" spans="1:28" x14ac:dyDescent="0.2">
      <c r="A58" t="s">
        <v>7</v>
      </c>
      <c r="B58" s="25">
        <v>177.39166666666665</v>
      </c>
      <c r="C58">
        <v>-12.279898927111947</v>
      </c>
      <c r="D58">
        <v>2.5452029960113056</v>
      </c>
      <c r="E58">
        <v>7.4786743958677473</v>
      </c>
      <c r="F58">
        <v>1.612245122016603</v>
      </c>
      <c r="G58">
        <f t="shared" si="0"/>
        <v>-19.758573322979693</v>
      </c>
      <c r="H58" s="13">
        <v>1.2776954000000001E-3</v>
      </c>
      <c r="I58" s="6">
        <v>6.8771052364806806E-4</v>
      </c>
      <c r="J58">
        <v>7.5220980000000005E-4</v>
      </c>
      <c r="K58">
        <v>1.1078668133702714E-3</v>
      </c>
      <c r="L58" s="4">
        <v>1281.7</v>
      </c>
      <c r="M58" s="4">
        <v>1244.7</v>
      </c>
      <c r="N58" s="4">
        <v>19.560000000000002</v>
      </c>
      <c r="O58" s="4">
        <v>22.78</v>
      </c>
    </row>
    <row r="59" spans="1:28" x14ac:dyDescent="0.2">
      <c r="A59" t="s">
        <v>7</v>
      </c>
      <c r="B59" s="25">
        <v>177.53680555555553</v>
      </c>
      <c r="C59">
        <v>-7.823469930871136</v>
      </c>
      <c r="D59">
        <v>2.6616562718171224</v>
      </c>
      <c r="E59">
        <v>6.9144646605522011</v>
      </c>
      <c r="F59">
        <v>0.59343641440941464</v>
      </c>
      <c r="G59">
        <f t="shared" si="0"/>
        <v>-14.737934591423336</v>
      </c>
      <c r="H59" s="13">
        <v>5.6835695530396803E-3</v>
      </c>
      <c r="I59" s="6">
        <v>3.466852084434108E-3</v>
      </c>
      <c r="J59">
        <v>5.7352855573216139E-3</v>
      </c>
      <c r="K59">
        <v>9.7360526281959816E-3</v>
      </c>
      <c r="L59" s="4">
        <v>1942.2</v>
      </c>
      <c r="M59" s="4">
        <v>1935.2</v>
      </c>
      <c r="N59" s="4">
        <v>21.060000000000002</v>
      </c>
      <c r="O59" s="4">
        <v>26.670000000000005</v>
      </c>
    </row>
    <row r="60" spans="1:28" x14ac:dyDescent="0.2">
      <c r="A60" t="s">
        <v>7</v>
      </c>
      <c r="B60" s="25">
        <v>184.43541666666667</v>
      </c>
      <c r="C60">
        <v>-16.24472241022924</v>
      </c>
      <c r="D60">
        <v>2.5927622144556666</v>
      </c>
      <c r="E60">
        <v>10.877135773010927</v>
      </c>
      <c r="F60">
        <v>7.15360501366977</v>
      </c>
      <c r="G60">
        <f t="shared" si="0"/>
        <v>-27.121858183240168</v>
      </c>
      <c r="H60" s="13">
        <v>6.3102327969174804E-4</v>
      </c>
      <c r="I60" s="6">
        <v>4.1135352240540182E-3</v>
      </c>
      <c r="J60">
        <v>1.5520271390621154E-3</v>
      </c>
      <c r="K60">
        <v>3.5037305843172864E-3</v>
      </c>
      <c r="L60" s="4">
        <v>1221.2</v>
      </c>
      <c r="M60" s="4">
        <v>1357.2</v>
      </c>
      <c r="N60" s="4">
        <v>7.24</v>
      </c>
      <c r="O60" s="4">
        <v>25.56</v>
      </c>
    </row>
    <row r="61" spans="1:28" x14ac:dyDescent="0.2">
      <c r="A61" t="s">
        <v>7</v>
      </c>
      <c r="B61" s="25">
        <v>189.42916666666667</v>
      </c>
      <c r="C61">
        <v>-8.6770041595199583</v>
      </c>
      <c r="D61">
        <v>14.786490460067508</v>
      </c>
      <c r="E61">
        <v>6.888574928761086</v>
      </c>
      <c r="F61">
        <v>4.9751271309296428</v>
      </c>
      <c r="G61">
        <f t="shared" si="0"/>
        <v>-15.565579088281044</v>
      </c>
      <c r="H61" s="13">
        <v>2.4956822097202949E-3</v>
      </c>
      <c r="I61" s="6">
        <v>6.1155993423127426E-3</v>
      </c>
      <c r="J61">
        <v>5.6842577751876249E-3</v>
      </c>
      <c r="K61">
        <v>1.3081949245264905E-2</v>
      </c>
      <c r="L61" s="4">
        <v>1316.2</v>
      </c>
      <c r="M61" s="4">
        <v>1551.2</v>
      </c>
      <c r="N61" s="4">
        <v>17.52</v>
      </c>
      <c r="O61" s="4">
        <v>20</v>
      </c>
    </row>
    <row r="62" spans="1:28" x14ac:dyDescent="0.2">
      <c r="A62" t="s">
        <v>7</v>
      </c>
      <c r="B62" s="25">
        <v>189.54861111111111</v>
      </c>
      <c r="C62">
        <v>-13.016073022</v>
      </c>
      <c r="D62">
        <v>3.7778109529561883</v>
      </c>
      <c r="E62">
        <v>11.891941475399999</v>
      </c>
      <c r="F62">
        <v>3.1891739464118318</v>
      </c>
      <c r="G62">
        <f t="shared" si="0"/>
        <v>-24.9080144974</v>
      </c>
      <c r="H62" s="13">
        <v>-2.1394621104294026E-5</v>
      </c>
      <c r="I62" s="6">
        <v>1.628427026083428E-4</v>
      </c>
      <c r="J62">
        <v>-2.0286158388664338E-5</v>
      </c>
      <c r="K62">
        <v>1.3629415748254355E-4</v>
      </c>
      <c r="L62" s="4">
        <v>1606.7</v>
      </c>
      <c r="M62" s="4">
        <v>1832.7</v>
      </c>
      <c r="N62" s="4">
        <v>16.28</v>
      </c>
      <c r="O62" s="4">
        <v>25.56</v>
      </c>
    </row>
    <row r="63" spans="1:28" x14ac:dyDescent="0.2">
      <c r="A63" t="s">
        <v>7</v>
      </c>
      <c r="B63" s="25">
        <v>197.46597222222221</v>
      </c>
      <c r="C63">
        <v>-13.25956342698756</v>
      </c>
      <c r="D63">
        <v>1.7891128559043672</v>
      </c>
      <c r="E63">
        <v>10.695847529454349</v>
      </c>
      <c r="F63">
        <v>4.711260386106729</v>
      </c>
      <c r="G63">
        <f t="shared" si="0"/>
        <v>-23.955410956441909</v>
      </c>
      <c r="H63" s="13">
        <v>-1.3305155656996966E-4</v>
      </c>
      <c r="I63" s="6">
        <v>2.001536866608528E-4</v>
      </c>
      <c r="J63">
        <v>2.5785725289889973E-5</v>
      </c>
      <c r="K63">
        <v>3.4711795771277375E-4</v>
      </c>
      <c r="L63" s="4">
        <v>1516.2</v>
      </c>
      <c r="M63" s="4">
        <v>1417.2</v>
      </c>
      <c r="N63" s="4">
        <v>3.8600000000000003</v>
      </c>
      <c r="O63" s="4">
        <v>25.887999999999998</v>
      </c>
      <c r="P63">
        <v>40.019999999999996</v>
      </c>
      <c r="Q63" s="4">
        <v>0.79</v>
      </c>
    </row>
    <row r="64" spans="1:28" x14ac:dyDescent="0.2">
      <c r="A64" t="s">
        <v>7</v>
      </c>
      <c r="B64" s="25">
        <v>197.55555555555554</v>
      </c>
      <c r="C64">
        <v>-9.1874380559689666</v>
      </c>
      <c r="D64">
        <v>3.2262834898581323</v>
      </c>
      <c r="E64">
        <v>13.145832680607645</v>
      </c>
      <c r="F64">
        <v>4.4896124782539895</v>
      </c>
      <c r="G64">
        <f t="shared" si="0"/>
        <v>-22.333270736576612</v>
      </c>
      <c r="H64" s="13">
        <v>-1.6329217539404401E-4</v>
      </c>
      <c r="I64" s="6">
        <v>7.3769964361924901E-5</v>
      </c>
      <c r="J64">
        <v>1.3472922465118659E-4</v>
      </c>
      <c r="K64">
        <v>1.4745033448881087E-4</v>
      </c>
      <c r="L64" s="4">
        <v>1839.7</v>
      </c>
      <c r="M64" s="4">
        <v>1849.7</v>
      </c>
      <c r="N64" s="4">
        <v>3.66</v>
      </c>
      <c r="O64" s="4">
        <v>31.110000000000003</v>
      </c>
      <c r="P64">
        <v>42.61999999999999</v>
      </c>
      <c r="Q64" s="4">
        <v>0.77200000000000002</v>
      </c>
    </row>
    <row r="65" spans="1:17" x14ac:dyDescent="0.2">
      <c r="A65" t="s">
        <v>7</v>
      </c>
      <c r="B65" s="25">
        <v>200.48124999999999</v>
      </c>
      <c r="C65">
        <v>-16.223929714051241</v>
      </c>
      <c r="D65">
        <v>1.9773638064824703</v>
      </c>
      <c r="E65">
        <v>12.307962157899246</v>
      </c>
      <c r="F65">
        <v>4.1641863661218581</v>
      </c>
      <c r="G65">
        <f t="shared" si="0"/>
        <v>-28.531891871950485</v>
      </c>
      <c r="H65" s="13">
        <v>-3.8942950630039496E-3</v>
      </c>
      <c r="I65" s="6">
        <v>1.2610127128860671E-2</v>
      </c>
      <c r="J65">
        <v>-1.1465844773696785E-3</v>
      </c>
      <c r="K65">
        <v>2.004936977252232E-3</v>
      </c>
      <c r="L65" s="4">
        <v>1580.2</v>
      </c>
      <c r="M65" s="4">
        <v>1798.2</v>
      </c>
      <c r="N65" s="4">
        <v>5.78</v>
      </c>
      <c r="O65" s="4">
        <v>31.110000000000003</v>
      </c>
      <c r="P65">
        <v>44.64</v>
      </c>
      <c r="Q65" s="4">
        <v>0.84799999999999986</v>
      </c>
    </row>
    <row r="66" spans="1:17" x14ac:dyDescent="0.2">
      <c r="A66" t="s">
        <v>7</v>
      </c>
      <c r="B66" s="25">
        <v>200.58055555555555</v>
      </c>
      <c r="C66">
        <v>-13.801289965007701</v>
      </c>
      <c r="D66">
        <v>2.4635552447316966</v>
      </c>
      <c r="E66">
        <v>12.789020248062714</v>
      </c>
      <c r="F66">
        <v>5.5678865797625701</v>
      </c>
      <c r="G66">
        <f t="shared" si="0"/>
        <v>-26.590310213070417</v>
      </c>
      <c r="H66" s="13">
        <v>2.4545169773947296E-4</v>
      </c>
      <c r="I66" s="6">
        <v>1.9446533681229568E-3</v>
      </c>
      <c r="J66">
        <v>2.6563232455125839E-2</v>
      </c>
      <c r="K66">
        <v>5.772426128745068E-2</v>
      </c>
      <c r="L66" s="4">
        <v>1684.7</v>
      </c>
      <c r="M66" s="4">
        <v>1798.7</v>
      </c>
      <c r="N66" s="4">
        <v>5.78</v>
      </c>
      <c r="O66" s="4">
        <v>31.110000000000003</v>
      </c>
      <c r="P66">
        <v>44.64</v>
      </c>
      <c r="Q66" s="4">
        <v>0.84799999999999986</v>
      </c>
    </row>
    <row r="67" spans="1:17" x14ac:dyDescent="0.2">
      <c r="A67" t="s">
        <v>7</v>
      </c>
      <c r="B67" s="25">
        <v>210.48888888888888</v>
      </c>
      <c r="C67">
        <v>-12.459271027561645</v>
      </c>
      <c r="D67">
        <v>3.0471794558664831</v>
      </c>
      <c r="E67">
        <v>17.707960266994917</v>
      </c>
      <c r="F67">
        <v>11.293792037993255</v>
      </c>
      <c r="G67">
        <f t="shared" ref="G67:G130" si="1">C67-E67</f>
        <v>-30.167231294556561</v>
      </c>
      <c r="H67" s="13">
        <v>1.0045766083336044E-2</v>
      </c>
      <c r="I67" s="6">
        <v>2.5361114352293643E-2</v>
      </c>
      <c r="J67">
        <v>-2.4719166079907297E-4</v>
      </c>
      <c r="K67">
        <v>5.0588012180831355E-4</v>
      </c>
      <c r="L67" s="4">
        <v>1654.7</v>
      </c>
      <c r="M67" s="4">
        <v>1651.7</v>
      </c>
      <c r="N67" s="4">
        <v>10.419999999999998</v>
      </c>
      <c r="O67" s="4">
        <v>27.78</v>
      </c>
      <c r="P67">
        <v>37.319999999999993</v>
      </c>
      <c r="Q67" s="4">
        <v>0.84799999999999986</v>
      </c>
    </row>
    <row r="68" spans="1:17" x14ac:dyDescent="0.2">
      <c r="A68" t="s">
        <v>7</v>
      </c>
      <c r="B68" s="25">
        <v>210.59375</v>
      </c>
      <c r="C68">
        <v>-10.576306102207827</v>
      </c>
      <c r="D68">
        <v>2.3500472526019753</v>
      </c>
      <c r="E68">
        <v>14.338771951588956</v>
      </c>
      <c r="F68">
        <v>4.5219851621607026</v>
      </c>
      <c r="G68">
        <f t="shared" si="1"/>
        <v>-24.915078053796783</v>
      </c>
      <c r="H68" s="13">
        <v>-4.6862938103778003E-4</v>
      </c>
      <c r="I68" s="6">
        <v>1.8979635028304291E-3</v>
      </c>
      <c r="J68">
        <v>1.7904515302109715E-2</v>
      </c>
      <c r="K68">
        <v>3.5690738269239124E-2</v>
      </c>
      <c r="L68" s="4">
        <v>1658.7</v>
      </c>
      <c r="M68" s="4">
        <v>1658.7</v>
      </c>
      <c r="N68" s="4">
        <v>8.5</v>
      </c>
      <c r="O68" s="4">
        <v>31.446000000000005</v>
      </c>
      <c r="P68">
        <v>40.5</v>
      </c>
      <c r="Q68" s="4">
        <v>0.83799999999999986</v>
      </c>
    </row>
    <row r="69" spans="1:17" x14ac:dyDescent="0.2">
      <c r="A69" t="s">
        <v>7</v>
      </c>
      <c r="B69" s="25">
        <v>218.4897702546296</v>
      </c>
      <c r="C69">
        <v>-7.2187484204680512</v>
      </c>
      <c r="D69">
        <v>5.1282407432068462</v>
      </c>
      <c r="E69">
        <v>12.987212789860468</v>
      </c>
      <c r="F69">
        <v>7.4647205180457554</v>
      </c>
      <c r="G69">
        <f t="shared" si="1"/>
        <v>-20.205961210328518</v>
      </c>
      <c r="H69" s="13">
        <v>-1.3274132797035164E-4</v>
      </c>
      <c r="I69" s="6">
        <v>1.472544009386118E-4</v>
      </c>
      <c r="J69">
        <v>-1.2648819851765664E-4</v>
      </c>
      <c r="K69">
        <v>7.9197946594919142E-5</v>
      </c>
      <c r="L69" s="4">
        <v>1156.7</v>
      </c>
      <c r="M69" s="4">
        <v>1265.2</v>
      </c>
      <c r="N69" s="4">
        <v>13.720000000000002</v>
      </c>
      <c r="O69" s="4">
        <v>25.104000000000003</v>
      </c>
      <c r="P69">
        <v>39.04</v>
      </c>
      <c r="Q69" s="4">
        <v>0.83600000000000008</v>
      </c>
    </row>
    <row r="70" spans="1:17" x14ac:dyDescent="0.2">
      <c r="A70" t="s">
        <v>7</v>
      </c>
      <c r="B70" s="25">
        <v>218.68600115740739</v>
      </c>
      <c r="C70">
        <v>-4.4605251803745558</v>
      </c>
      <c r="D70">
        <v>4.6215503789368482</v>
      </c>
      <c r="E70">
        <v>17.02408716561072</v>
      </c>
      <c r="F70">
        <v>9.9285404595576772</v>
      </c>
      <c r="G70">
        <f t="shared" si="1"/>
        <v>-21.484612345985276</v>
      </c>
      <c r="H70" s="13">
        <v>-2.0318198722127679E-4</v>
      </c>
      <c r="I70" s="6">
        <v>7.3263024298804389E-5</v>
      </c>
      <c r="J70">
        <v>-2.267832659805662E-4</v>
      </c>
      <c r="K70">
        <v>6.7423695175312072E-5</v>
      </c>
      <c r="L70" s="4">
        <v>826.2</v>
      </c>
      <c r="M70" s="4">
        <v>950.7</v>
      </c>
      <c r="N70" s="4">
        <v>14.059999999999999</v>
      </c>
      <c r="O70" s="4">
        <v>25.448</v>
      </c>
      <c r="P70">
        <v>42.14</v>
      </c>
      <c r="Q70" s="4">
        <v>0.84600000000000009</v>
      </c>
    </row>
    <row r="71" spans="1:17" x14ac:dyDescent="0.2">
      <c r="A71" t="s">
        <v>7</v>
      </c>
      <c r="B71" s="25">
        <v>225.48542476851853</v>
      </c>
      <c r="C71">
        <v>-0.60373364916017425</v>
      </c>
      <c r="D71">
        <v>5.7161446614245275</v>
      </c>
      <c r="E71">
        <v>20.463591320773681</v>
      </c>
      <c r="F71">
        <v>9.6488831681494833</v>
      </c>
      <c r="G71">
        <f t="shared" si="1"/>
        <v>-21.067324969933853</v>
      </c>
      <c r="H71" s="13">
        <v>-4.2605512133083237E-4</v>
      </c>
      <c r="I71" s="6">
        <v>1.1365484147366084E-4</v>
      </c>
      <c r="J71">
        <v>-3.4081265664763824E-4</v>
      </c>
      <c r="K71">
        <v>1.4713217326220722E-4</v>
      </c>
      <c r="L71" s="4">
        <v>557.20000000000005</v>
      </c>
      <c r="M71" s="4">
        <v>523.70000000000005</v>
      </c>
      <c r="N71" s="4">
        <v>7.5200000000000005</v>
      </c>
      <c r="O71" s="4">
        <v>23.33</v>
      </c>
      <c r="P71">
        <v>42</v>
      </c>
      <c r="Q71" s="4" t="e">
        <v>#DIV/0!</v>
      </c>
    </row>
    <row r="72" spans="1:17" x14ac:dyDescent="0.2">
      <c r="A72" t="s">
        <v>7</v>
      </c>
      <c r="B72" s="25">
        <v>225.58821180555555</v>
      </c>
      <c r="C72">
        <v>-7.5014744971093323</v>
      </c>
      <c r="D72">
        <v>4.0771515433157308</v>
      </c>
      <c r="E72">
        <v>23.565753008548601</v>
      </c>
      <c r="F72">
        <v>12.675454173478093</v>
      </c>
      <c r="G72">
        <f t="shared" si="1"/>
        <v>-31.067227505657932</v>
      </c>
      <c r="H72" s="13">
        <v>-3.9057183192443281E-4</v>
      </c>
      <c r="I72" s="6">
        <v>4.830281260185468E-5</v>
      </c>
      <c r="J72">
        <v>-2.6918600149301657E-4</v>
      </c>
      <c r="K72">
        <v>2.9486756050507805E-5</v>
      </c>
      <c r="L72" s="4">
        <v>1536.6999999999998</v>
      </c>
      <c r="M72" s="4">
        <v>1151.2</v>
      </c>
      <c r="N72" s="4">
        <v>7.5399999999999991</v>
      </c>
      <c r="O72" s="4">
        <v>24.667999999999999</v>
      </c>
      <c r="P72">
        <v>42.679999999999993</v>
      </c>
      <c r="Q72" s="4" t="e">
        <v>#DIV/0!</v>
      </c>
    </row>
    <row r="73" spans="1:17" x14ac:dyDescent="0.2">
      <c r="A73" t="s">
        <v>7</v>
      </c>
      <c r="B73" s="25">
        <v>233.48004050925925</v>
      </c>
      <c r="C73">
        <v>-1.5908071575528104</v>
      </c>
      <c r="D73">
        <v>13.001178629870987</v>
      </c>
      <c r="E73">
        <v>31.197703988579718</v>
      </c>
      <c r="F73">
        <v>29.99683592207489</v>
      </c>
      <c r="G73">
        <f t="shared" si="1"/>
        <v>-32.788511146132528</v>
      </c>
      <c r="H73" s="13">
        <v>-1.7052787844992851E-4</v>
      </c>
      <c r="I73" s="6">
        <v>2.7497020629089244E-4</v>
      </c>
      <c r="J73">
        <v>1.1006816018593565E-4</v>
      </c>
      <c r="K73">
        <v>1.7946793283525164E-4</v>
      </c>
      <c r="L73" s="4">
        <v>746.2</v>
      </c>
      <c r="M73" s="4">
        <v>643.70000000000005</v>
      </c>
      <c r="N73" s="4">
        <v>20.740000000000002</v>
      </c>
      <c r="O73" s="4">
        <v>26.336000000000002</v>
      </c>
      <c r="P73">
        <v>42.7</v>
      </c>
      <c r="Q73" s="4">
        <v>0.86399999999999988</v>
      </c>
    </row>
    <row r="74" spans="1:17" x14ac:dyDescent="0.2">
      <c r="A74" t="s">
        <v>7</v>
      </c>
      <c r="B74" s="25">
        <v>233.61518518518523</v>
      </c>
      <c r="C74">
        <v>-5.4227133782000001</v>
      </c>
      <c r="D74">
        <v>7.4807540688864629</v>
      </c>
      <c r="E74">
        <v>22.609260459999998</v>
      </c>
      <c r="F74">
        <v>13.42745259657371</v>
      </c>
      <c r="G74">
        <f t="shared" si="1"/>
        <v>-28.031973838199999</v>
      </c>
      <c r="H74" s="13">
        <v>-8.9612000000000009E-5</v>
      </c>
      <c r="I74" s="6">
        <v>5.9553090033179639E-5</v>
      </c>
      <c r="J74">
        <v>-4.4602599999999999E-5</v>
      </c>
      <c r="K74">
        <v>1.0321476606474482E-4</v>
      </c>
      <c r="L74" s="4">
        <v>1489.7</v>
      </c>
      <c r="M74" s="4">
        <v>1437.2</v>
      </c>
      <c r="N74" s="4">
        <v>21.3</v>
      </c>
      <c r="O74" s="4">
        <v>27</v>
      </c>
      <c r="P74">
        <v>37.519999999999996</v>
      </c>
      <c r="Q74" s="4">
        <v>0.86199999999999988</v>
      </c>
    </row>
    <row r="75" spans="1:17" x14ac:dyDescent="0.2">
      <c r="A75" t="s">
        <v>7</v>
      </c>
      <c r="B75" s="25">
        <v>240.45721643518516</v>
      </c>
      <c r="C75">
        <v>-5.4421234417073663</v>
      </c>
      <c r="D75">
        <v>2.3796724032368268</v>
      </c>
      <c r="E75">
        <v>23.481069363080518</v>
      </c>
      <c r="F75">
        <v>21.073000487067908</v>
      </c>
      <c r="G75">
        <f t="shared" si="1"/>
        <v>-28.923192804787885</v>
      </c>
      <c r="H75" s="13">
        <v>-1.9490146325986535E-4</v>
      </c>
      <c r="I75" s="6">
        <v>1.9061315168177973E-4</v>
      </c>
      <c r="J75">
        <v>-2.265533014446786E-4</v>
      </c>
      <c r="K75">
        <v>1.6730320028614888E-4</v>
      </c>
      <c r="L75" s="4">
        <v>1497.7</v>
      </c>
      <c r="M75" s="4">
        <v>1448.7</v>
      </c>
      <c r="N75" s="4">
        <v>11.440000000000001</v>
      </c>
      <c r="O75" s="4">
        <v>23.112000000000002</v>
      </c>
      <c r="P75">
        <v>40.44</v>
      </c>
      <c r="Q75" s="4">
        <v>0.83399999999999996</v>
      </c>
    </row>
    <row r="76" spans="1:17" x14ac:dyDescent="0.2">
      <c r="A76" t="s">
        <v>7</v>
      </c>
      <c r="B76" s="25">
        <v>240.56231481481481</v>
      </c>
      <c r="C76">
        <v>-4.1622704352983728</v>
      </c>
      <c r="D76">
        <v>4.6067726290889546</v>
      </c>
      <c r="E76">
        <v>24.914901276714552</v>
      </c>
      <c r="F76">
        <v>19.801305563157847</v>
      </c>
      <c r="G76">
        <f t="shared" si="1"/>
        <v>-29.077171712012927</v>
      </c>
      <c r="H76" s="13">
        <v>-1.07953E-4</v>
      </c>
      <c r="I76" s="6">
        <v>1.1055836086881897E-4</v>
      </c>
      <c r="J76">
        <v>-1.9090539999999998E-4</v>
      </c>
      <c r="K76">
        <v>7.9156281357198687E-5</v>
      </c>
      <c r="L76" s="4">
        <v>1437.7</v>
      </c>
      <c r="M76" s="4">
        <v>1570.2</v>
      </c>
      <c r="N76" s="4">
        <v>11</v>
      </c>
      <c r="O76" s="4">
        <v>27.887999999999998</v>
      </c>
      <c r="P76">
        <v>44.3</v>
      </c>
      <c r="Q76" s="4">
        <v>0.82800000000000007</v>
      </c>
    </row>
    <row r="77" spans="1:17" x14ac:dyDescent="0.2">
      <c r="A77" t="s">
        <v>7</v>
      </c>
      <c r="B77" s="25">
        <v>247.45134217592602</v>
      </c>
      <c r="C77">
        <v>-7.7190562306000006</v>
      </c>
      <c r="D77">
        <v>8.246244643246504</v>
      </c>
      <c r="E77">
        <v>18.412677278</v>
      </c>
      <c r="F77">
        <v>7.9816933945837372</v>
      </c>
      <c r="G77">
        <f t="shared" si="1"/>
        <v>-26.1317335086</v>
      </c>
      <c r="H77" s="13">
        <v>-2.6936080000000001E-4</v>
      </c>
      <c r="I77" s="6">
        <v>1.7036068323912065E-4</v>
      </c>
      <c r="J77">
        <v>-1.6007500000000003E-4</v>
      </c>
      <c r="K77">
        <v>2.0444158156549268E-4</v>
      </c>
      <c r="L77" s="4">
        <v>647.20000000000005</v>
      </c>
      <c r="M77" s="4">
        <v>616.20000000000005</v>
      </c>
      <c r="N77" s="4">
        <v>13.26</v>
      </c>
      <c r="O77" s="4">
        <v>22.663999999999998</v>
      </c>
      <c r="P77">
        <v>41.42</v>
      </c>
      <c r="Q77" s="4">
        <v>0.81799999999999995</v>
      </c>
    </row>
    <row r="78" spans="1:17" x14ac:dyDescent="0.2">
      <c r="A78" t="s">
        <v>7</v>
      </c>
      <c r="B78" s="25">
        <v>247.54771400000027</v>
      </c>
      <c r="C78">
        <v>-17.182202202999999</v>
      </c>
      <c r="D78">
        <v>10.439813748500788</v>
      </c>
      <c r="E78">
        <v>21.534794213999998</v>
      </c>
      <c r="F78">
        <v>8.461268871381737</v>
      </c>
      <c r="G78">
        <f t="shared" si="1"/>
        <v>-38.716996416999997</v>
      </c>
      <c r="H78" s="13">
        <v>-1.504252E-4</v>
      </c>
      <c r="I78" s="6">
        <v>2.172965052530758E-4</v>
      </c>
      <c r="J78">
        <v>-1.1749840000000002E-4</v>
      </c>
      <c r="K78">
        <v>3.2647502163917532E-4</v>
      </c>
      <c r="L78" s="4">
        <v>1480.2</v>
      </c>
      <c r="M78" s="4">
        <v>1037.7</v>
      </c>
      <c r="N78" s="4">
        <v>11.46</v>
      </c>
      <c r="O78" s="4">
        <v>24.997999999999998</v>
      </c>
      <c r="P78">
        <v>38.980000000000004</v>
      </c>
      <c r="Q78" s="4">
        <v>0.81200000000000006</v>
      </c>
    </row>
    <row r="79" spans="1:17" x14ac:dyDescent="0.2">
      <c r="A79" t="s">
        <v>7</v>
      </c>
      <c r="B79" s="25">
        <v>256.45096149999995</v>
      </c>
      <c r="C79">
        <v>-5.4528283100207871</v>
      </c>
      <c r="D79">
        <v>3.7296205136634515</v>
      </c>
      <c r="E79">
        <v>12.601413887436143</v>
      </c>
      <c r="F79">
        <v>8.229200252602844</v>
      </c>
      <c r="G79">
        <f t="shared" si="1"/>
        <v>-18.054242197456929</v>
      </c>
      <c r="H79" s="13">
        <v>-1.45432E-4</v>
      </c>
      <c r="I79" s="6">
        <v>3.1847970951616369E-4</v>
      </c>
      <c r="J79">
        <v>-1.1223600000000001E-4</v>
      </c>
      <c r="K79">
        <v>2.0401348853568479E-4</v>
      </c>
      <c r="L79" s="4">
        <v>1422.2</v>
      </c>
      <c r="M79" s="4">
        <v>1349.7</v>
      </c>
      <c r="N79" s="4">
        <v>16.160000000000004</v>
      </c>
      <c r="O79" s="4">
        <v>15.666</v>
      </c>
      <c r="P79">
        <v>20.34</v>
      </c>
      <c r="Q79" s="4">
        <v>0.65600000000000003</v>
      </c>
    </row>
    <row r="80" spans="1:17" x14ac:dyDescent="0.2">
      <c r="A80" t="s">
        <v>7</v>
      </c>
      <c r="B80" s="25">
        <v>256.54988500000036</v>
      </c>
      <c r="C80">
        <v>-1.6402171379999999</v>
      </c>
      <c r="D80">
        <v>3.743939984623915</v>
      </c>
      <c r="E80">
        <v>13.398265252750001</v>
      </c>
      <c r="F80">
        <v>3.5722911248210032</v>
      </c>
      <c r="G80">
        <f t="shared" si="1"/>
        <v>-15.038482390750001</v>
      </c>
      <c r="H80" s="13">
        <v>-1.4417875E-4</v>
      </c>
      <c r="I80" s="6">
        <v>2.4606791859887653E-4</v>
      </c>
      <c r="J80">
        <v>-1.8986879999999999E-4</v>
      </c>
      <c r="K80">
        <v>5.9699015881101419E-4</v>
      </c>
      <c r="L80" s="4">
        <v>1498.1999999999998</v>
      </c>
      <c r="M80" s="4">
        <v>1155.7</v>
      </c>
      <c r="N80" s="4">
        <v>17</v>
      </c>
      <c r="O80" s="4">
        <v>19.224</v>
      </c>
      <c r="P80">
        <v>19.36</v>
      </c>
      <c r="Q80" s="4">
        <v>0.65400000000000014</v>
      </c>
    </row>
    <row r="81" spans="1:17" x14ac:dyDescent="0.2">
      <c r="A81" t="s">
        <v>7</v>
      </c>
      <c r="B81" s="25">
        <v>262.47955450000006</v>
      </c>
      <c r="C81">
        <v>3.847744446068166</v>
      </c>
      <c r="D81">
        <v>1.1720242055162688</v>
      </c>
      <c r="E81">
        <v>9.9476339024330738</v>
      </c>
      <c r="F81">
        <v>5.6866634421635043</v>
      </c>
      <c r="G81">
        <f t="shared" si="1"/>
        <v>-6.0998894563649078</v>
      </c>
      <c r="H81" s="13">
        <v>-1.6814210122629371E-4</v>
      </c>
      <c r="I81" s="6">
        <v>1.9717293507136305E-4</v>
      </c>
      <c r="J81">
        <v>-2.1983042398297244E-4</v>
      </c>
      <c r="K81">
        <v>2.7759925373013332E-4</v>
      </c>
      <c r="L81" s="4">
        <v>1538.7</v>
      </c>
      <c r="M81" s="4">
        <v>1507.7</v>
      </c>
      <c r="N81" s="4">
        <v>12.4</v>
      </c>
      <c r="O81" s="4">
        <v>13.668000000000001</v>
      </c>
      <c r="P81">
        <v>17.64</v>
      </c>
      <c r="Q81" s="4">
        <v>0.49000000000000005</v>
      </c>
    </row>
    <row r="82" spans="1:17" x14ac:dyDescent="0.2">
      <c r="A82" t="s">
        <v>7</v>
      </c>
      <c r="B82" s="25">
        <v>262.58887199999992</v>
      </c>
      <c r="C82">
        <v>4.7823822256665336</v>
      </c>
      <c r="D82">
        <v>1.356645993395506</v>
      </c>
      <c r="E82">
        <v>10.424736501459341</v>
      </c>
      <c r="F82">
        <v>5.3165389102461997</v>
      </c>
      <c r="G82">
        <f t="shared" si="1"/>
        <v>-5.6423542757928073</v>
      </c>
      <c r="H82" s="13">
        <v>-2.221038233631032E-4</v>
      </c>
      <c r="I82" s="6">
        <v>3.3528670197954845E-4</v>
      </c>
      <c r="J82">
        <v>1.0437506023562042E-5</v>
      </c>
      <c r="K82">
        <v>9.9256037522928368E-5</v>
      </c>
      <c r="L82" s="4">
        <v>1543.7</v>
      </c>
      <c r="M82" s="4">
        <v>1572.7</v>
      </c>
      <c r="N82" s="4">
        <v>11.66</v>
      </c>
      <c r="O82" s="4">
        <v>18.446000000000002</v>
      </c>
      <c r="P82">
        <v>23.359999999999996</v>
      </c>
      <c r="Q82" s="4">
        <v>0.50600000000000001</v>
      </c>
    </row>
    <row r="83" spans="1:17" x14ac:dyDescent="0.2">
      <c r="A83" s="29" t="s">
        <v>7</v>
      </c>
      <c r="B83" s="25">
        <v>269.45016250000009</v>
      </c>
      <c r="C83">
        <v>3.6825345237659461</v>
      </c>
      <c r="D83">
        <v>1.4164686494199372</v>
      </c>
      <c r="E83">
        <v>6.270658200601388</v>
      </c>
      <c r="F83">
        <v>2.8060683063305958</v>
      </c>
      <c r="G83">
        <f t="shared" si="1"/>
        <v>-2.5881236768354419</v>
      </c>
      <c r="H83" s="13">
        <v>-3.1462971725170917E-4</v>
      </c>
      <c r="I83" s="6">
        <v>2.2436807746717345E-4</v>
      </c>
      <c r="J83">
        <v>-5.0711689287382884E-5</v>
      </c>
      <c r="K83">
        <v>1.0041195269747635E-4</v>
      </c>
      <c r="L83" s="4">
        <v>1568.7</v>
      </c>
      <c r="M83" s="4">
        <v>1388.7</v>
      </c>
      <c r="N83" s="4">
        <v>8.58</v>
      </c>
      <c r="O83" s="4">
        <v>21.89</v>
      </c>
      <c r="P83">
        <v>15.120000000000001</v>
      </c>
      <c r="Q83" s="4">
        <v>0.34599999999999997</v>
      </c>
    </row>
    <row r="84" spans="1:17" x14ac:dyDescent="0.2">
      <c r="A84" s="29" t="s">
        <v>7</v>
      </c>
      <c r="B84" s="25">
        <v>269.55592166666673</v>
      </c>
      <c r="C84">
        <v>6.0427121036552025</v>
      </c>
      <c r="D84">
        <v>0.8583422410913073</v>
      </c>
      <c r="E84">
        <v>5.6178109009539146</v>
      </c>
      <c r="F84">
        <v>0.72205729714868783</v>
      </c>
      <c r="G84">
        <f t="shared" si="1"/>
        <v>0.42490120270128795</v>
      </c>
      <c r="H84" s="13">
        <v>-2.6509763646089831E-4</v>
      </c>
      <c r="I84" s="6">
        <v>1.0986090660835628E-4</v>
      </c>
      <c r="J84">
        <v>-3.6665438364634397E-4</v>
      </c>
      <c r="K84">
        <v>3.3248798865831861E-5</v>
      </c>
      <c r="L84" s="4">
        <v>87.866666666666674</v>
      </c>
      <c r="M84" s="4">
        <v>130.36666666666665</v>
      </c>
      <c r="N84" s="4">
        <v>10.866666666666667</v>
      </c>
      <c r="O84" s="4">
        <v>20.74</v>
      </c>
      <c r="P84">
        <v>15.700000000000001</v>
      </c>
      <c r="Q84" s="4">
        <v>0.34333333333333332</v>
      </c>
    </row>
    <row r="85" spans="1:17" x14ac:dyDescent="0.2">
      <c r="A85" s="29" t="s">
        <v>7</v>
      </c>
      <c r="B85" s="25">
        <v>276.44954850000033</v>
      </c>
      <c r="C85">
        <v>3.9315664637591836</v>
      </c>
      <c r="D85">
        <v>0.96577206601707044</v>
      </c>
      <c r="E85">
        <v>4.441588707119922</v>
      </c>
      <c r="F85">
        <v>0.92926128714399014</v>
      </c>
      <c r="G85">
        <f t="shared" si="1"/>
        <v>-0.51002224336073843</v>
      </c>
      <c r="H85" s="13">
        <v>-1.3005972515332118E-4</v>
      </c>
      <c r="I85" s="6">
        <v>1.0436380671888877E-4</v>
      </c>
      <c r="J85">
        <v>-1.2514561446063034E-4</v>
      </c>
      <c r="K85">
        <v>8.7769429594865438E-5</v>
      </c>
      <c r="L85" s="4">
        <v>234.7</v>
      </c>
      <c r="M85" s="4">
        <v>231.7</v>
      </c>
      <c r="N85" s="4">
        <v>19.16</v>
      </c>
      <c r="O85" s="4">
        <v>9.11</v>
      </c>
      <c r="P85">
        <v>16.82</v>
      </c>
      <c r="Q85" s="4">
        <v>0.30200000000000005</v>
      </c>
    </row>
    <row r="86" spans="1:17" x14ac:dyDescent="0.2">
      <c r="A86" t="s">
        <v>7</v>
      </c>
      <c r="B86" s="25">
        <v>276.53534750000034</v>
      </c>
      <c r="C86">
        <v>4.5100916002031699</v>
      </c>
      <c r="D86">
        <v>0.79768056490100858</v>
      </c>
      <c r="E86">
        <v>4.9142060352527235</v>
      </c>
      <c r="F86">
        <v>0.96389040315239949</v>
      </c>
      <c r="G86">
        <f t="shared" si="1"/>
        <v>-0.40411443504955358</v>
      </c>
      <c r="H86" s="13">
        <v>-1.2158500000000001E-4</v>
      </c>
      <c r="I86" s="6">
        <v>1.1244534135747912E-4</v>
      </c>
      <c r="J86">
        <v>-1.1507640000000001E-4</v>
      </c>
      <c r="K86">
        <v>7.1594467455942437E-5</v>
      </c>
      <c r="L86" s="4">
        <v>244.7</v>
      </c>
      <c r="M86" s="4">
        <v>249.7</v>
      </c>
      <c r="N86">
        <v>21.324000000000002</v>
      </c>
      <c r="O86" s="4">
        <v>9.33</v>
      </c>
      <c r="P86">
        <v>15.819999999999999</v>
      </c>
      <c r="Q86" s="4">
        <v>0.308</v>
      </c>
    </row>
    <row r="87" spans="1:17" x14ac:dyDescent="0.2">
      <c r="A87" t="s">
        <v>7</v>
      </c>
      <c r="B87" s="25">
        <v>281.45556750000031</v>
      </c>
      <c r="C87">
        <v>6.8449157126827229</v>
      </c>
      <c r="D87">
        <v>2.096655056173105</v>
      </c>
      <c r="E87">
        <v>6.3923277568016541</v>
      </c>
      <c r="F87">
        <v>2.395402795169133</v>
      </c>
      <c r="G87">
        <f t="shared" si="1"/>
        <v>0.45258795588106882</v>
      </c>
      <c r="H87" s="13">
        <v>-1.1761616179512699E-5</v>
      </c>
      <c r="I87" s="6">
        <v>6.6736091299068843E-5</v>
      </c>
      <c r="J87">
        <v>-7.2428934080213219E-6</v>
      </c>
      <c r="K87">
        <v>7.8457235385625241E-5</v>
      </c>
      <c r="L87" s="4">
        <v>1143.7</v>
      </c>
      <c r="M87" s="4">
        <v>1099.2</v>
      </c>
      <c r="N87">
        <v>23.7</v>
      </c>
      <c r="O87" s="4">
        <v>15.666</v>
      </c>
      <c r="P87" t="e">
        <v>#DIV/0!</v>
      </c>
      <c r="Q87" s="4">
        <v>0.28000000000000003</v>
      </c>
    </row>
    <row r="88" spans="1:17" x14ac:dyDescent="0.2">
      <c r="A88" t="s">
        <v>7</v>
      </c>
      <c r="B88" s="25">
        <v>281.56324049999932</v>
      </c>
      <c r="C88">
        <v>6.0958141701999997</v>
      </c>
      <c r="D88">
        <v>1.3273100215838951</v>
      </c>
      <c r="E88">
        <v>5.5326784250000003</v>
      </c>
      <c r="F88">
        <v>1.0008801128446578</v>
      </c>
      <c r="G88">
        <f t="shared" si="1"/>
        <v>0.56313574519999943</v>
      </c>
      <c r="H88" s="13">
        <v>-3.3124142646461622E-5</v>
      </c>
      <c r="I88" s="6">
        <v>1.1669047606468267E-4</v>
      </c>
      <c r="J88">
        <v>-8.0175008930871719E-5</v>
      </c>
      <c r="K88">
        <v>8.1188473129415782E-5</v>
      </c>
      <c r="L88" s="4">
        <v>1051.7</v>
      </c>
      <c r="M88" s="4">
        <v>1011.7</v>
      </c>
      <c r="N88">
        <v>22.9</v>
      </c>
      <c r="O88" s="4">
        <v>17.89</v>
      </c>
      <c r="P88" t="e">
        <v>#DIV/0!</v>
      </c>
      <c r="Q88" s="4">
        <v>0.28200000000000003</v>
      </c>
    </row>
    <row r="89" spans="1:17" x14ac:dyDescent="0.2">
      <c r="A89" t="s">
        <v>7</v>
      </c>
      <c r="B89" s="25">
        <v>288.42803349999997</v>
      </c>
      <c r="C89">
        <v>2.616546297045788</v>
      </c>
      <c r="D89">
        <v>0.43900845203418049</v>
      </c>
      <c r="E89">
        <v>2.5604521067141022</v>
      </c>
      <c r="F89">
        <v>0.69154146020842155</v>
      </c>
      <c r="G89">
        <f t="shared" si="1"/>
        <v>5.6094190331685834E-2</v>
      </c>
      <c r="H89" s="13">
        <v>-1.8433033518375225E-4</v>
      </c>
      <c r="I89" s="6">
        <v>9.5843887054636271E-5</v>
      </c>
      <c r="J89">
        <v>-1.5919330073181534E-4</v>
      </c>
      <c r="K89">
        <v>7.8545618969630692E-5</v>
      </c>
      <c r="L89" s="4">
        <v>1004.7</v>
      </c>
      <c r="M89" s="4">
        <v>957.2</v>
      </c>
      <c r="N89">
        <v>17.48</v>
      </c>
      <c r="O89" s="4">
        <v>8.5579999999999998</v>
      </c>
      <c r="P89" t="e">
        <v>#DIV/0!</v>
      </c>
      <c r="Q89" s="4">
        <v>0.22599999999999998</v>
      </c>
    </row>
    <row r="90" spans="1:17" x14ac:dyDescent="0.2">
      <c r="A90" t="s">
        <v>7</v>
      </c>
      <c r="B90" s="25">
        <v>288.52692149999962</v>
      </c>
      <c r="C90">
        <v>2.8947040179125962</v>
      </c>
      <c r="D90">
        <v>0.7387130729087783</v>
      </c>
      <c r="E90">
        <v>2.9883785497204478</v>
      </c>
      <c r="F90">
        <v>0.84818283080432089</v>
      </c>
      <c r="G90">
        <f t="shared" si="1"/>
        <v>-9.3674531807851569E-2</v>
      </c>
      <c r="H90" s="13">
        <v>-1.335062238467361E-4</v>
      </c>
      <c r="I90" s="6">
        <v>4.9026830430592334E-5</v>
      </c>
      <c r="J90">
        <v>-1.300347340430586E-4</v>
      </c>
      <c r="K90">
        <v>6.5148329029628921E-5</v>
      </c>
      <c r="L90" s="4">
        <v>1370.2</v>
      </c>
      <c r="M90" s="4">
        <v>1353.7</v>
      </c>
      <c r="N90">
        <v>16.419999999999998</v>
      </c>
      <c r="O90" s="4">
        <v>13.112</v>
      </c>
      <c r="P90" t="e">
        <v>#DIV/0!</v>
      </c>
      <c r="Q90" s="4">
        <v>0.21000000000000002</v>
      </c>
    </row>
    <row r="91" spans="1:17" x14ac:dyDescent="0.2">
      <c r="A91" t="s">
        <v>7</v>
      </c>
      <c r="B91" s="25">
        <v>297.46965300000011</v>
      </c>
      <c r="C91">
        <v>2.3321889282463162</v>
      </c>
      <c r="D91">
        <v>0.76442602891400435</v>
      </c>
      <c r="E91">
        <v>2.1818185358201942</v>
      </c>
      <c r="F91">
        <v>0.65619130494188216</v>
      </c>
      <c r="G91">
        <f t="shared" si="1"/>
        <v>0.15037039242612193</v>
      </c>
      <c r="H91" s="13">
        <v>-6.385479999999999E-5</v>
      </c>
      <c r="I91" s="6">
        <v>1.4355547665867715E-4</v>
      </c>
      <c r="J91">
        <v>-1.3041999999999988E-5</v>
      </c>
      <c r="K91">
        <v>3.8953676150332714E-4</v>
      </c>
      <c r="L91" s="4">
        <v>1076.2</v>
      </c>
      <c r="M91" s="4">
        <v>1048.7</v>
      </c>
      <c r="N91">
        <v>21.740000000000002</v>
      </c>
      <c r="O91" s="4">
        <v>13.224</v>
      </c>
      <c r="P91" t="e">
        <v>#DIV/0!</v>
      </c>
      <c r="Q91" s="4">
        <v>0.192</v>
      </c>
    </row>
    <row r="92" spans="1:17" x14ac:dyDescent="0.2">
      <c r="A92" t="s">
        <v>7</v>
      </c>
      <c r="B92" s="25">
        <v>297.54031249999935</v>
      </c>
      <c r="C92">
        <v>2.6134338791886238</v>
      </c>
      <c r="D92">
        <v>0.80864633308890688</v>
      </c>
      <c r="E92">
        <v>2.3683671986511863</v>
      </c>
      <c r="F92">
        <v>0.85799465288747012</v>
      </c>
      <c r="G92">
        <f t="shared" si="1"/>
        <v>0.24506668053743752</v>
      </c>
      <c r="H92" s="13">
        <v>2.7010489523103352E-5</v>
      </c>
      <c r="I92" s="6">
        <v>5.3164550951773815E-5</v>
      </c>
      <c r="J92">
        <v>1.2866803841941741E-4</v>
      </c>
      <c r="K92">
        <v>9.348208347928674E-5</v>
      </c>
      <c r="L92" s="4">
        <v>1235.2</v>
      </c>
      <c r="M92" s="4">
        <v>1237.2</v>
      </c>
      <c r="N92">
        <v>21.380000000000003</v>
      </c>
      <c r="O92" s="4">
        <v>15.782</v>
      </c>
      <c r="P92" t="e">
        <v>#DIV/0!</v>
      </c>
      <c r="Q92" s="4">
        <v>0.188</v>
      </c>
    </row>
    <row r="93" spans="1:17" x14ac:dyDescent="0.2">
      <c r="A93" t="s">
        <v>7</v>
      </c>
      <c r="B93" s="25">
        <v>302.46013949999974</v>
      </c>
      <c r="C93">
        <v>2.5830622485388179</v>
      </c>
      <c r="D93">
        <v>0.50541365560962936</v>
      </c>
      <c r="E93">
        <v>2.4577363578008802</v>
      </c>
      <c r="F93">
        <v>0.58946251552971951</v>
      </c>
      <c r="G93">
        <f t="shared" si="1"/>
        <v>0.12532589073793776</v>
      </c>
      <c r="H93" s="13">
        <v>-1.3762310808594121E-4</v>
      </c>
      <c r="I93" s="6">
        <v>3.0501127194258545E-5</v>
      </c>
      <c r="J93">
        <v>-1.392807444586132E-4</v>
      </c>
      <c r="K93">
        <v>3.9214572504506097E-5</v>
      </c>
      <c r="L93" s="4">
        <v>419.2</v>
      </c>
      <c r="M93" s="4">
        <v>488.7</v>
      </c>
      <c r="N93">
        <v>23.060000000000002</v>
      </c>
      <c r="O93" s="4">
        <v>14.440000000000001</v>
      </c>
      <c r="P93" t="e">
        <v>#DIV/0!</v>
      </c>
      <c r="Q93" s="4">
        <v>0.182</v>
      </c>
    </row>
    <row r="94" spans="1:17" x14ac:dyDescent="0.2">
      <c r="A94" t="s">
        <v>7</v>
      </c>
      <c r="B94" s="25">
        <v>302.56366299999974</v>
      </c>
      <c r="C94">
        <v>2.6130685755999998</v>
      </c>
      <c r="D94">
        <v>0.62177599426362418</v>
      </c>
      <c r="E94">
        <v>2.5839000270000003</v>
      </c>
      <c r="F94">
        <v>0.7242221719541444</v>
      </c>
      <c r="G94">
        <f t="shared" si="1"/>
        <v>2.9168548599999511E-2</v>
      </c>
      <c r="H94" s="13">
        <v>-9.831762965504688E-5</v>
      </c>
      <c r="I94" s="6">
        <v>4.2281921300117749E-5</v>
      </c>
      <c r="J94">
        <v>-6.2064674031288107E-5</v>
      </c>
      <c r="K94">
        <v>8.5018840531466929E-5</v>
      </c>
      <c r="L94" s="4">
        <v>561.70000000000005</v>
      </c>
      <c r="M94" s="4">
        <v>580.20000000000005</v>
      </c>
      <c r="N94">
        <v>22.400000000000002</v>
      </c>
      <c r="O94" s="4">
        <v>15.448000000000002</v>
      </c>
      <c r="P94" t="e">
        <v>#DIV/0!</v>
      </c>
      <c r="Q94" s="4">
        <v>0.184</v>
      </c>
    </row>
    <row r="95" spans="1:17" x14ac:dyDescent="0.2">
      <c r="A95" t="s">
        <v>7</v>
      </c>
      <c r="B95" s="25">
        <v>309.45376850000025</v>
      </c>
      <c r="C95">
        <v>1.6061899628765661</v>
      </c>
      <c r="D95">
        <v>0.29309566685832328</v>
      </c>
      <c r="E95">
        <v>1.438951850669312</v>
      </c>
      <c r="F95">
        <v>0.31561191477626077</v>
      </c>
      <c r="G95">
        <f t="shared" si="1"/>
        <v>0.16723811220725415</v>
      </c>
      <c r="H95" s="13">
        <v>-1.764449047863068E-4</v>
      </c>
      <c r="I95" s="6">
        <v>4.4127767184163758E-5</v>
      </c>
      <c r="J95">
        <v>-1.9018593869854679E-4</v>
      </c>
      <c r="K95">
        <v>5.6679141333898771E-5</v>
      </c>
      <c r="L95" s="4">
        <v>306.2</v>
      </c>
      <c r="M95" s="4">
        <v>350.70000000000005</v>
      </c>
      <c r="N95">
        <v>19.84</v>
      </c>
      <c r="O95" s="4">
        <v>12.78</v>
      </c>
      <c r="P95" t="e">
        <v>#DIV/0!</v>
      </c>
      <c r="Q95" s="4">
        <v>0.18</v>
      </c>
    </row>
    <row r="96" spans="1:17" x14ac:dyDescent="0.2">
      <c r="A96" t="s">
        <v>5</v>
      </c>
      <c r="B96" s="25">
        <v>107.41874999999965</v>
      </c>
      <c r="C96">
        <v>0.73288627620328051</v>
      </c>
      <c r="D96">
        <v>0.13303160108351517</v>
      </c>
      <c r="E96">
        <v>0.67193975867875666</v>
      </c>
      <c r="F96">
        <v>0.11853974954829517</v>
      </c>
      <c r="G96">
        <f t="shared" si="1"/>
        <v>6.0946517524523847E-2</v>
      </c>
      <c r="H96" s="13">
        <v>4.1477891319809121E-5</v>
      </c>
      <c r="I96" s="6">
        <v>4.2024838665211303E-5</v>
      </c>
      <c r="J96">
        <v>1.4486325997868963E-4</v>
      </c>
      <c r="K96">
        <v>7.2422378116052404E-5</v>
      </c>
      <c r="L96" s="4">
        <v>1326.2</v>
      </c>
      <c r="M96" s="4">
        <v>1293.7</v>
      </c>
      <c r="N96">
        <v>18.28</v>
      </c>
      <c r="O96" s="4">
        <v>10</v>
      </c>
      <c r="P96" t="e">
        <v>#DIV/0!</v>
      </c>
      <c r="Q96" s="4" t="e">
        <v>#DIV/0!</v>
      </c>
    </row>
    <row r="97" spans="1:17" x14ac:dyDescent="0.2">
      <c r="A97" t="s">
        <v>5</v>
      </c>
      <c r="B97" s="25">
        <v>107.66817099999972</v>
      </c>
      <c r="C97">
        <v>1.113899547047998</v>
      </c>
      <c r="D97">
        <v>7.5157353789128856E-2</v>
      </c>
      <c r="E97">
        <v>1.0076131232537731</v>
      </c>
      <c r="F97">
        <v>0.13191324336474472</v>
      </c>
      <c r="G97">
        <f t="shared" si="1"/>
        <v>0.10628642379422493</v>
      </c>
      <c r="H97" s="13">
        <v>1.9055628118247421E-4</v>
      </c>
      <c r="I97" s="6">
        <v>5.5954867725553771E-5</v>
      </c>
      <c r="J97">
        <v>3.14303331787736E-4</v>
      </c>
      <c r="K97">
        <v>7.9603671099284803E-5</v>
      </c>
      <c r="L97" s="4">
        <v>1295.7</v>
      </c>
      <c r="M97" s="4">
        <v>1292.2</v>
      </c>
      <c r="N97">
        <v>17.5</v>
      </c>
      <c r="O97" s="4">
        <v>11.11</v>
      </c>
      <c r="P97" t="e">
        <v>#DIV/0!</v>
      </c>
      <c r="Q97" s="4" t="e">
        <v>#DIV/0!</v>
      </c>
    </row>
    <row r="98" spans="1:17" x14ac:dyDescent="0.2">
      <c r="A98" t="s">
        <v>5</v>
      </c>
      <c r="B98" s="25">
        <v>113.37986099999981</v>
      </c>
      <c r="C98">
        <v>0.82582506877159667</v>
      </c>
      <c r="D98">
        <v>0.17291037200338685</v>
      </c>
      <c r="E98">
        <v>0.91337381805092765</v>
      </c>
      <c r="F98">
        <v>0.20390062936200146</v>
      </c>
      <c r="G98">
        <f t="shared" si="1"/>
        <v>-8.7548749279330984E-2</v>
      </c>
      <c r="H98" s="13">
        <v>-1.0008066538599039E-5</v>
      </c>
      <c r="I98" s="6">
        <v>4.7870226388137445E-5</v>
      </c>
      <c r="J98">
        <v>2.7158147632123777E-5</v>
      </c>
      <c r="K98">
        <v>1.0370007202683565E-4</v>
      </c>
      <c r="L98" s="4">
        <v>772.2</v>
      </c>
      <c r="M98" s="4">
        <v>962.2</v>
      </c>
      <c r="N98">
        <v>18.360000000000003</v>
      </c>
      <c r="O98" s="4">
        <v>14.440000000000001</v>
      </c>
      <c r="P98" t="e">
        <v>#DIV/0!</v>
      </c>
      <c r="Q98" s="4" t="e">
        <v>#DIV/0!</v>
      </c>
    </row>
    <row r="99" spans="1:17" x14ac:dyDescent="0.2">
      <c r="A99" t="s">
        <v>5</v>
      </c>
      <c r="B99" s="25">
        <v>113.51122699999979</v>
      </c>
      <c r="C99">
        <v>1.3874938542575979</v>
      </c>
      <c r="D99">
        <v>0.21734029841979011</v>
      </c>
      <c r="E99">
        <v>1.1850562034763021</v>
      </c>
      <c r="F99">
        <v>0.3007534781329867</v>
      </c>
      <c r="G99">
        <f t="shared" si="1"/>
        <v>0.20243765078129572</v>
      </c>
      <c r="H99" s="13">
        <v>6.9176151063464461E-5</v>
      </c>
      <c r="I99" s="6">
        <v>1.5518487545199499E-4</v>
      </c>
      <c r="J99">
        <v>2.2824872920621404E-4</v>
      </c>
      <c r="K99">
        <v>9.7321429845563859E-5</v>
      </c>
      <c r="L99" s="4">
        <v>1399.7</v>
      </c>
      <c r="M99" s="4">
        <v>1740.7</v>
      </c>
      <c r="N99">
        <v>16.78</v>
      </c>
      <c r="O99" s="4">
        <v>20.56</v>
      </c>
      <c r="P99" t="e">
        <v>#DIV/0!</v>
      </c>
      <c r="Q99" s="4" t="e">
        <v>#DIV/0!</v>
      </c>
    </row>
    <row r="100" spans="1:17" x14ac:dyDescent="0.2">
      <c r="A100" t="s">
        <v>5</v>
      </c>
      <c r="B100" s="25">
        <v>122.40138900000019</v>
      </c>
      <c r="C100">
        <v>0.68819746368986578</v>
      </c>
      <c r="D100">
        <v>0.18419977982733152</v>
      </c>
      <c r="E100">
        <v>0.83686593787670804</v>
      </c>
      <c r="F100">
        <v>0.22278162349368094</v>
      </c>
      <c r="G100">
        <f t="shared" si="1"/>
        <v>-0.14866847418684226</v>
      </c>
      <c r="H100" s="13">
        <v>-9.0392414350864964E-5</v>
      </c>
      <c r="I100" s="6">
        <v>6.2490604271259772E-5</v>
      </c>
      <c r="J100">
        <v>-2.2454898666135545E-5</v>
      </c>
      <c r="K100">
        <v>1.245495734598921E-4</v>
      </c>
      <c r="L100" s="4">
        <v>442.7</v>
      </c>
      <c r="M100" s="4">
        <v>531.70000000000005</v>
      </c>
      <c r="N100">
        <v>18.399999999999999</v>
      </c>
      <c r="O100" s="4">
        <v>12.22</v>
      </c>
      <c r="P100" t="e">
        <v>#DIV/0!</v>
      </c>
      <c r="Q100" s="4" t="e">
        <v>#DIV/0!</v>
      </c>
    </row>
    <row r="101" spans="1:17" x14ac:dyDescent="0.2">
      <c r="A101" t="s">
        <v>5</v>
      </c>
      <c r="B101" s="25">
        <v>122.51993200000034</v>
      </c>
      <c r="C101">
        <v>0.8134878288316838</v>
      </c>
      <c r="D101">
        <v>0.34635773290967325</v>
      </c>
      <c r="E101">
        <v>0.92133365534543366</v>
      </c>
      <c r="F101">
        <v>0.26360080201502128</v>
      </c>
      <c r="G101">
        <f t="shared" si="1"/>
        <v>-0.10784582651374985</v>
      </c>
      <c r="H101" s="13">
        <v>-8.6487122251913861E-5</v>
      </c>
      <c r="I101" s="6">
        <v>4.2556238427806223E-5</v>
      </c>
      <c r="J101">
        <v>-1.3434686433095181E-4</v>
      </c>
      <c r="K101">
        <v>5.9765339562441507E-5</v>
      </c>
      <c r="L101" s="4">
        <v>360.2</v>
      </c>
      <c r="M101" s="4">
        <v>492.2</v>
      </c>
      <c r="N101">
        <v>18.459999999999997</v>
      </c>
      <c r="O101" s="4">
        <v>12.78</v>
      </c>
      <c r="P101" t="e">
        <v>#DIV/0!</v>
      </c>
      <c r="Q101" s="4" t="e">
        <v>#DIV/0!</v>
      </c>
    </row>
    <row r="102" spans="1:17" x14ac:dyDescent="0.2">
      <c r="A102" t="s">
        <v>5</v>
      </c>
      <c r="B102" s="25">
        <v>142.43159799999955</v>
      </c>
      <c r="C102">
        <v>-3.3833432269590302E-4</v>
      </c>
      <c r="D102">
        <v>6.870951435539647E-4</v>
      </c>
      <c r="E102">
        <v>-9.5490680902257424E-4</v>
      </c>
      <c r="F102">
        <v>2.1160250938682896E-3</v>
      </c>
      <c r="G102">
        <f t="shared" si="1"/>
        <v>6.1657248632667123E-4</v>
      </c>
      <c r="H102" s="13">
        <v>-3.6932800000000004E-4</v>
      </c>
      <c r="I102" s="6">
        <v>5.354613631238952E-4</v>
      </c>
      <c r="J102">
        <v>-2.076038E-4</v>
      </c>
      <c r="K102">
        <v>3.6158273810872111E-4</v>
      </c>
      <c r="L102" s="4">
        <v>1512.7</v>
      </c>
      <c r="M102" s="4">
        <v>1480.7</v>
      </c>
      <c r="N102">
        <v>15.3</v>
      </c>
      <c r="O102" s="4">
        <v>18.3</v>
      </c>
      <c r="P102" t="e">
        <v>#DIV/0!</v>
      </c>
      <c r="Q102" s="4" t="e">
        <v>#DIV/0!</v>
      </c>
    </row>
    <row r="103" spans="1:17" x14ac:dyDescent="0.2">
      <c r="A103" t="s">
        <v>5</v>
      </c>
      <c r="B103" s="25">
        <v>142.53333300000014</v>
      </c>
      <c r="C103">
        <v>1.2052892480429775</v>
      </c>
      <c r="D103">
        <v>0.56175236940860562</v>
      </c>
      <c r="E103">
        <v>-0.60301398875238521</v>
      </c>
      <c r="F103">
        <v>1.590278395815242</v>
      </c>
      <c r="G103">
        <f t="shared" si="1"/>
        <v>1.8083032367953629</v>
      </c>
      <c r="H103" s="13">
        <v>-9.5490680902257424E-4</v>
      </c>
      <c r="I103" s="6">
        <v>2.1160250938682896E-3</v>
      </c>
      <c r="J103">
        <v>-3.3833432269590302E-4</v>
      </c>
      <c r="K103">
        <v>6.870951435539647E-4</v>
      </c>
      <c r="L103" s="4">
        <v>1830.7</v>
      </c>
      <c r="M103" s="4">
        <v>1835.2</v>
      </c>
      <c r="N103">
        <v>14.76</v>
      </c>
      <c r="O103" s="4">
        <v>21.67</v>
      </c>
      <c r="P103" t="e">
        <v>#DIV/0!</v>
      </c>
      <c r="Q103" s="4" t="e">
        <v>#DIV/0!</v>
      </c>
    </row>
    <row r="104" spans="1:17" x14ac:dyDescent="0.2">
      <c r="A104" t="s">
        <v>5</v>
      </c>
      <c r="B104" s="25">
        <v>150.47777800000003</v>
      </c>
      <c r="C104">
        <v>1.39368579730978</v>
      </c>
      <c r="D104">
        <v>0.52394323294662237</v>
      </c>
      <c r="E104">
        <v>1.5864105172071259</v>
      </c>
      <c r="F104">
        <v>0.16432791760487531</v>
      </c>
      <c r="G104">
        <f t="shared" si="1"/>
        <v>-0.19272471989734585</v>
      </c>
      <c r="H104" s="13">
        <v>3.8096341528817283E-4</v>
      </c>
      <c r="I104" s="6">
        <v>7.7920690914414019E-5</v>
      </c>
      <c r="J104">
        <v>4.9545040703721939E-4</v>
      </c>
      <c r="K104">
        <v>1.8464274114184996E-4</v>
      </c>
      <c r="L104" s="4">
        <v>580.70000000000005</v>
      </c>
      <c r="M104" s="4">
        <v>680.2</v>
      </c>
      <c r="N104">
        <v>23.479999999999997</v>
      </c>
      <c r="O104" s="4">
        <v>20</v>
      </c>
      <c r="P104" t="e">
        <v>#DIV/0!</v>
      </c>
      <c r="Q104" s="4" t="e">
        <v>#DIV/0!</v>
      </c>
    </row>
    <row r="105" spans="1:17" x14ac:dyDescent="0.2">
      <c r="A105" t="s">
        <v>5</v>
      </c>
      <c r="B105" s="25">
        <v>150.54444450000011</v>
      </c>
      <c r="C105">
        <v>1.429745869116168</v>
      </c>
      <c r="D105">
        <v>0.44145495465459111</v>
      </c>
      <c r="E105">
        <v>1.2138918963394485</v>
      </c>
      <c r="F105">
        <v>0.60954994826864872</v>
      </c>
      <c r="G105">
        <f t="shared" si="1"/>
        <v>0.21585397277671947</v>
      </c>
      <c r="H105" s="13">
        <v>1.3979371134418419E-4</v>
      </c>
      <c r="I105" s="6">
        <v>2.145968392803983E-4</v>
      </c>
      <c r="J105">
        <v>4.4948395970583702E-4</v>
      </c>
      <c r="K105">
        <v>2.1250687123479592E-4</v>
      </c>
      <c r="L105" s="4">
        <v>423.7</v>
      </c>
      <c r="M105" s="4">
        <v>444.7</v>
      </c>
      <c r="N105">
        <v>20.04</v>
      </c>
      <c r="O105" s="4">
        <v>20.56</v>
      </c>
      <c r="P105" t="e">
        <v>#DIV/0!</v>
      </c>
      <c r="Q105" s="4" t="e">
        <v>#DIV/0!</v>
      </c>
    </row>
    <row r="106" spans="1:17" x14ac:dyDescent="0.2">
      <c r="A106" t="s">
        <v>5</v>
      </c>
      <c r="B106" s="25">
        <v>154.42708299999975</v>
      </c>
      <c r="C106">
        <v>1.0090806210457219</v>
      </c>
      <c r="D106">
        <v>0.7778406681436203</v>
      </c>
      <c r="E106">
        <v>1.5159770543329221</v>
      </c>
      <c r="F106">
        <v>0.10430387337859574</v>
      </c>
      <c r="G106">
        <f t="shared" si="1"/>
        <v>-0.50689643328720013</v>
      </c>
      <c r="H106" s="13">
        <v>-3.5937675291858262E-7</v>
      </c>
      <c r="I106" s="6">
        <v>3.8222991631011724E-8</v>
      </c>
      <c r="J106">
        <v>-2.6415202451781933E-7</v>
      </c>
      <c r="K106">
        <v>1.9240878516253678E-7</v>
      </c>
      <c r="L106" s="4">
        <v>1614.7</v>
      </c>
      <c r="M106" s="4">
        <v>1597.7</v>
      </c>
      <c r="N106">
        <v>13.3</v>
      </c>
      <c r="O106" s="4">
        <v>19.666</v>
      </c>
      <c r="P106" t="e">
        <v>#DIV/0!</v>
      </c>
      <c r="Q106" s="4" t="e">
        <v>#DIV/0!</v>
      </c>
    </row>
    <row r="107" spans="1:17" x14ac:dyDescent="0.2">
      <c r="A107" t="s">
        <v>5</v>
      </c>
      <c r="B107" s="25">
        <v>154.52777799999967</v>
      </c>
      <c r="C107">
        <v>2.1191124467983884</v>
      </c>
      <c r="D107">
        <v>0.95823035212296481</v>
      </c>
      <c r="E107">
        <v>2.0264111651942782</v>
      </c>
      <c r="F107">
        <v>0.74582170770184053</v>
      </c>
      <c r="G107">
        <f t="shared" si="1"/>
        <v>9.2701281604110175E-2</v>
      </c>
      <c r="H107" s="13">
        <v>-3.8846452646717539E-7</v>
      </c>
      <c r="I107" s="6">
        <v>1.3591798484114973E-7</v>
      </c>
      <c r="J107">
        <v>-4.5746581736151107E-7</v>
      </c>
      <c r="K107">
        <v>2.0585387646382792E-7</v>
      </c>
      <c r="L107" s="4">
        <v>1915.2</v>
      </c>
      <c r="M107" s="4">
        <v>1916.2</v>
      </c>
      <c r="N107">
        <v>10.16</v>
      </c>
      <c r="O107" s="4">
        <v>23.89</v>
      </c>
      <c r="P107" t="e">
        <v>#DIV/0!</v>
      </c>
      <c r="Q107" s="4" t="e">
        <v>#DIV/0!</v>
      </c>
    </row>
    <row r="108" spans="1:17" x14ac:dyDescent="0.2">
      <c r="A108" t="s">
        <v>5</v>
      </c>
      <c r="B108" s="25">
        <v>163.45486099999982</v>
      </c>
      <c r="C108">
        <v>1.845944140075888</v>
      </c>
      <c r="D108">
        <v>1.7146303280839943</v>
      </c>
      <c r="E108">
        <v>2.8285226044283318</v>
      </c>
      <c r="F108">
        <v>0.36678843269443001</v>
      </c>
      <c r="G108">
        <f t="shared" si="1"/>
        <v>-0.98257846435244378</v>
      </c>
      <c r="H108" s="13">
        <v>-3.0713293162756577E-6</v>
      </c>
      <c r="I108" s="6">
        <v>1.2727356063543352E-4</v>
      </c>
      <c r="J108">
        <v>1.2344939125114956E-4</v>
      </c>
      <c r="K108">
        <v>1.1542657192431118E-4</v>
      </c>
      <c r="L108" s="4">
        <v>1771.7</v>
      </c>
      <c r="M108" s="4">
        <v>1764.7</v>
      </c>
      <c r="N108">
        <v>15.919999999999998</v>
      </c>
      <c r="O108" s="4">
        <v>20.56</v>
      </c>
      <c r="P108" t="e">
        <v>#DIV/0!</v>
      </c>
      <c r="Q108" s="4" t="e">
        <v>#DIV/0!</v>
      </c>
    </row>
    <row r="109" spans="1:17" x14ac:dyDescent="0.2">
      <c r="A109" t="s">
        <v>5</v>
      </c>
      <c r="B109" s="25">
        <v>163.53819450000009</v>
      </c>
      <c r="C109">
        <v>2.2501757583948105</v>
      </c>
      <c r="D109">
        <v>1.780035228537332</v>
      </c>
      <c r="E109">
        <v>3.146295586346072</v>
      </c>
      <c r="F109">
        <v>0.37543764694250165</v>
      </c>
      <c r="G109">
        <f t="shared" si="1"/>
        <v>-0.89611982795126144</v>
      </c>
      <c r="H109" s="13">
        <v>2.7315452853356782E-5</v>
      </c>
      <c r="I109" s="6">
        <v>2.8026293290111289E-4</v>
      </c>
      <c r="J109">
        <v>1.5090394319471225E-4</v>
      </c>
      <c r="K109">
        <v>2.3985275439054277E-4</v>
      </c>
      <c r="L109" s="4">
        <v>1875.7</v>
      </c>
      <c r="M109" s="4">
        <v>1946.2</v>
      </c>
      <c r="N109">
        <v>15.440000000000001</v>
      </c>
      <c r="O109" s="4">
        <v>23.33</v>
      </c>
      <c r="P109" t="e">
        <v>#DIV/0!</v>
      </c>
      <c r="Q109" s="4" t="e">
        <v>#DIV/0!</v>
      </c>
    </row>
    <row r="110" spans="1:17" x14ac:dyDescent="0.2">
      <c r="A110" t="s">
        <v>5</v>
      </c>
      <c r="B110" s="25">
        <v>175.43888899999945</v>
      </c>
      <c r="C110">
        <v>-0.39274260629807262</v>
      </c>
      <c r="D110">
        <v>4.1423870309035085</v>
      </c>
      <c r="E110">
        <v>2.3462210847193838</v>
      </c>
      <c r="F110">
        <v>0.95876231057326333</v>
      </c>
      <c r="G110">
        <f t="shared" si="1"/>
        <v>-2.7389636910174566</v>
      </c>
      <c r="H110" s="13">
        <v>9.7842185041158315E-3</v>
      </c>
      <c r="I110" s="6">
        <v>5.0105781557333202E-3</v>
      </c>
      <c r="J110">
        <v>1.8938238788173977E-2</v>
      </c>
      <c r="K110">
        <v>4.8268214395885663E-3</v>
      </c>
      <c r="L110" s="4">
        <v>1281.2</v>
      </c>
      <c r="M110" s="4">
        <v>1674.7</v>
      </c>
      <c r="N110">
        <v>13.540000000000001</v>
      </c>
      <c r="O110" s="4">
        <v>21.67</v>
      </c>
      <c r="P110" t="e">
        <v>#DIV/0!</v>
      </c>
      <c r="Q110" s="4" t="e">
        <v>#DIV/0!</v>
      </c>
    </row>
    <row r="111" spans="1:17" x14ac:dyDescent="0.2">
      <c r="A111" t="s">
        <v>5</v>
      </c>
      <c r="B111" s="25">
        <v>175.57222199999995</v>
      </c>
      <c r="C111">
        <v>0.52951140205690805</v>
      </c>
      <c r="D111">
        <v>3.793541558854717</v>
      </c>
      <c r="E111">
        <v>3.358356912499918</v>
      </c>
      <c r="F111">
        <v>0.99919107916341798</v>
      </c>
      <c r="G111">
        <f t="shared" si="1"/>
        <v>-2.8288455104430099</v>
      </c>
      <c r="H111" s="13">
        <v>-3.4439199999999995E-6</v>
      </c>
      <c r="I111" s="6">
        <v>7.6345738343407218E-6</v>
      </c>
      <c r="J111">
        <v>1.4045584400000002E-3</v>
      </c>
      <c r="K111">
        <v>3.1406500266337768E-3</v>
      </c>
      <c r="L111" s="4">
        <v>1514.2</v>
      </c>
      <c r="M111" s="4">
        <v>1481.1999999999998</v>
      </c>
      <c r="N111">
        <v>12.08</v>
      </c>
      <c r="O111" s="4">
        <v>27.78</v>
      </c>
      <c r="P111" t="e">
        <v>#DIV/0!</v>
      </c>
      <c r="Q111" s="4" t="e">
        <v>#DIV/0!</v>
      </c>
    </row>
    <row r="112" spans="1:17" x14ac:dyDescent="0.2">
      <c r="A112" t="s">
        <v>5</v>
      </c>
      <c r="B112" s="25">
        <v>190.50416700000022</v>
      </c>
      <c r="C112">
        <v>-1.0950814971108158</v>
      </c>
      <c r="D112">
        <v>8.4603735022814686</v>
      </c>
      <c r="E112">
        <v>9.617221272328548</v>
      </c>
      <c r="F112">
        <v>6.8737340086897802</v>
      </c>
      <c r="G112">
        <f t="shared" si="1"/>
        <v>-10.712302769439363</v>
      </c>
      <c r="H112" s="13">
        <v>-1.1201796503398157E-4</v>
      </c>
      <c r="I112" s="6">
        <v>2.6383345145651496E-4</v>
      </c>
      <c r="J112">
        <v>-2.1468227934284388E-5</v>
      </c>
      <c r="K112">
        <v>1.8697021986089182E-4</v>
      </c>
      <c r="L112" s="4">
        <v>1862.2</v>
      </c>
      <c r="M112" s="4">
        <v>1852.2</v>
      </c>
      <c r="N112">
        <v>8.3000000000000007</v>
      </c>
      <c r="O112" s="4">
        <v>23.89</v>
      </c>
      <c r="P112" t="e">
        <v>#DIV/0!</v>
      </c>
      <c r="Q112" s="4" t="e">
        <v>#DIV/0!</v>
      </c>
    </row>
    <row r="113" spans="1:17" x14ac:dyDescent="0.2">
      <c r="A113" t="s">
        <v>5</v>
      </c>
      <c r="B113" s="25">
        <v>190.59583300000014</v>
      </c>
      <c r="C113">
        <v>-1.0332014950805639</v>
      </c>
      <c r="D113">
        <v>7.0779844093086171</v>
      </c>
      <c r="E113">
        <v>6.8005312325197638</v>
      </c>
      <c r="F113">
        <v>5.8449524498856906</v>
      </c>
      <c r="G113">
        <f t="shared" si="1"/>
        <v>-7.8337327276003279</v>
      </c>
      <c r="H113" s="13">
        <v>1.5864134902919514E-4</v>
      </c>
      <c r="I113" s="6">
        <v>1.7225701912643832E-4</v>
      </c>
      <c r="J113">
        <v>2.7333120437856103E-4</v>
      </c>
      <c r="K113">
        <v>2.8417751158424034E-4</v>
      </c>
      <c r="L113" s="4">
        <v>1819.2</v>
      </c>
      <c r="M113" s="4">
        <v>1814.7</v>
      </c>
      <c r="N113">
        <v>7.68</v>
      </c>
      <c r="O113" s="4">
        <v>28.329999999999995</v>
      </c>
      <c r="P113" t="e">
        <v>#DIV/0!</v>
      </c>
      <c r="Q113" s="4" t="e">
        <v>#DIV/0!</v>
      </c>
    </row>
    <row r="114" spans="1:17" x14ac:dyDescent="0.2">
      <c r="A114" t="s">
        <v>5</v>
      </c>
      <c r="B114" s="25">
        <v>207.46553149999966</v>
      </c>
      <c r="C114">
        <v>-13.391855166816438</v>
      </c>
      <c r="D114">
        <v>8.8432641045012588</v>
      </c>
      <c r="E114">
        <v>14.525559096930627</v>
      </c>
      <c r="F114">
        <v>7.2131949524232084</v>
      </c>
      <c r="G114">
        <f t="shared" si="1"/>
        <v>-27.917414263747062</v>
      </c>
      <c r="H114" s="13">
        <v>4.1055403886220401E-6</v>
      </c>
      <c r="I114" s="6">
        <v>2.4639286803347865E-4</v>
      </c>
      <c r="J114">
        <v>1.1694309707320731E-5</v>
      </c>
      <c r="K114">
        <v>3.434635348375195E-4</v>
      </c>
      <c r="L114" s="4">
        <v>1696.7</v>
      </c>
      <c r="M114" s="4">
        <v>1671.7</v>
      </c>
      <c r="N114">
        <v>12.36</v>
      </c>
      <c r="O114" s="4">
        <v>26.110000000000003</v>
      </c>
      <c r="P114" t="e">
        <v>#DIV/0!</v>
      </c>
      <c r="Q114" s="4" t="e">
        <v>#DIV/0!</v>
      </c>
    </row>
    <row r="115" spans="1:17" x14ac:dyDescent="0.2">
      <c r="A115" t="s">
        <v>5</v>
      </c>
      <c r="B115" s="25">
        <v>211.41597199999995</v>
      </c>
      <c r="C115">
        <v>-12.244474507782794</v>
      </c>
      <c r="D115">
        <v>2.1012368094175526</v>
      </c>
      <c r="E115">
        <v>11.846710263130523</v>
      </c>
      <c r="F115">
        <v>11.59118334331375</v>
      </c>
      <c r="G115">
        <f t="shared" si="1"/>
        <v>-24.091184770913316</v>
      </c>
      <c r="H115" s="13">
        <v>1.0737926000000001E-3</v>
      </c>
      <c r="I115" s="6">
        <v>1.365385631422786E-3</v>
      </c>
      <c r="J115">
        <v>-1.9023660000000003E-4</v>
      </c>
      <c r="K115">
        <v>3.1159556056657803E-4</v>
      </c>
      <c r="L115" s="4">
        <v>1411.2</v>
      </c>
      <c r="M115" s="4">
        <v>1379.2</v>
      </c>
      <c r="N115">
        <v>4</v>
      </c>
      <c r="O115" s="4">
        <v>28.329999999999995</v>
      </c>
      <c r="P115">
        <v>36.940000000000005</v>
      </c>
      <c r="Q115" s="4">
        <v>0.82200000000000006</v>
      </c>
    </row>
    <row r="116" spans="1:17" x14ac:dyDescent="0.2">
      <c r="A116" t="s">
        <v>5</v>
      </c>
      <c r="B116" s="25">
        <v>211.61597199999997</v>
      </c>
      <c r="C116">
        <v>-7.8375982734717979</v>
      </c>
      <c r="D116">
        <v>5.3592669176992533</v>
      </c>
      <c r="E116">
        <v>14.466362833495543</v>
      </c>
      <c r="F116">
        <v>6.7528582823186847</v>
      </c>
      <c r="G116">
        <f t="shared" si="1"/>
        <v>-22.303961106967343</v>
      </c>
      <c r="H116" s="13">
        <v>8.0186712000000007E-3</v>
      </c>
      <c r="I116" s="6">
        <v>1.6005943107388242E-2</v>
      </c>
      <c r="J116">
        <v>7.7012779999999996E-4</v>
      </c>
      <c r="K116">
        <v>1.4624648943238603E-3</v>
      </c>
      <c r="L116" s="4">
        <v>1664.2</v>
      </c>
      <c r="M116" s="4">
        <v>1685.2</v>
      </c>
      <c r="N116">
        <v>2.2600000000000002</v>
      </c>
      <c r="O116" s="4">
        <v>32.78</v>
      </c>
      <c r="P116">
        <v>37.6</v>
      </c>
      <c r="Q116" s="4">
        <v>0.77799999999999991</v>
      </c>
    </row>
    <row r="117" spans="1:17" x14ac:dyDescent="0.2">
      <c r="A117" t="s">
        <v>5</v>
      </c>
      <c r="B117" s="25">
        <v>219.46515599999947</v>
      </c>
      <c r="C117">
        <v>-8.0188032802000002</v>
      </c>
      <c r="D117">
        <v>2.9795402715792059</v>
      </c>
      <c r="E117">
        <v>31.283106289999999</v>
      </c>
      <c r="F117">
        <v>12.342846861157199</v>
      </c>
      <c r="G117">
        <f t="shared" si="1"/>
        <v>-39.301909570199996</v>
      </c>
      <c r="H117" s="13">
        <v>-3.1417011683405102E-4</v>
      </c>
      <c r="I117" s="6">
        <v>1.3988608916711215E-4</v>
      </c>
      <c r="J117">
        <v>-2.398638791460159E-4</v>
      </c>
      <c r="K117">
        <v>1.7360192310279812E-4</v>
      </c>
      <c r="L117" s="4">
        <v>1542.7</v>
      </c>
      <c r="M117" s="4">
        <v>1353.7</v>
      </c>
      <c r="N117">
        <v>4.8600000000000003</v>
      </c>
      <c r="O117" s="4">
        <v>25.782</v>
      </c>
      <c r="P117">
        <v>39.700000000000003</v>
      </c>
      <c r="Q117" s="4">
        <v>0.83200000000000007</v>
      </c>
    </row>
    <row r="118" spans="1:17" x14ac:dyDescent="0.2">
      <c r="A118" t="s">
        <v>5</v>
      </c>
      <c r="B118" s="25">
        <v>219.58591000000052</v>
      </c>
      <c r="C118">
        <v>-5.6948073219345963</v>
      </c>
      <c r="D118">
        <v>1.4637662412583308</v>
      </c>
      <c r="E118">
        <v>28.23394911029078</v>
      </c>
      <c r="F118">
        <v>8.870551405387781</v>
      </c>
      <c r="G118">
        <f t="shared" si="1"/>
        <v>-33.928756432225377</v>
      </c>
      <c r="H118" s="13">
        <v>1.35245468E-3</v>
      </c>
      <c r="I118" s="6">
        <v>3.1876817045957727E-3</v>
      </c>
      <c r="J118">
        <v>-6.1433807999999998E-4</v>
      </c>
      <c r="K118">
        <v>1.2474240473736014E-3</v>
      </c>
      <c r="L118" s="4">
        <v>1697.7</v>
      </c>
      <c r="M118" s="4">
        <v>1347.2</v>
      </c>
      <c r="N118">
        <v>3.4199999999999995</v>
      </c>
      <c r="O118" s="4">
        <v>28.224</v>
      </c>
      <c r="P118">
        <v>42.760000000000005</v>
      </c>
      <c r="Q118" s="4">
        <v>0.77600000000000002</v>
      </c>
    </row>
    <row r="119" spans="1:17" x14ac:dyDescent="0.2">
      <c r="A119" t="s">
        <v>5</v>
      </c>
      <c r="B119" s="25">
        <v>224.47447899999935</v>
      </c>
      <c r="C119">
        <v>4.237572613337834</v>
      </c>
      <c r="D119">
        <v>3.3058915462686396</v>
      </c>
      <c r="E119">
        <v>27.958890848209318</v>
      </c>
      <c r="F119">
        <v>15.336574990901495</v>
      </c>
      <c r="G119">
        <f t="shared" si="1"/>
        <v>-23.721318234871482</v>
      </c>
      <c r="H119" s="13">
        <v>-2.3745659999999997E-4</v>
      </c>
      <c r="I119" s="6">
        <v>7.3524173329592781E-5</v>
      </c>
      <c r="J119">
        <v>-1.989828E-4</v>
      </c>
      <c r="K119">
        <v>1.2037234943166972E-4</v>
      </c>
      <c r="L119" s="4">
        <v>1650.2</v>
      </c>
      <c r="M119" s="4">
        <v>1623.2</v>
      </c>
      <c r="N119">
        <v>2</v>
      </c>
      <c r="O119" s="4">
        <v>24.553999999999998</v>
      </c>
      <c r="P119">
        <v>38.96</v>
      </c>
      <c r="Q119" s="4">
        <v>0.72200000000000009</v>
      </c>
    </row>
    <row r="120" spans="1:17" x14ac:dyDescent="0.2">
      <c r="A120" t="s">
        <v>5</v>
      </c>
      <c r="B120" s="25">
        <v>224.60324750000075</v>
      </c>
      <c r="C120">
        <v>5.2434470161999993</v>
      </c>
      <c r="D120">
        <v>4.6448630084134432</v>
      </c>
      <c r="E120">
        <v>28.105277282000003</v>
      </c>
      <c r="F120">
        <v>16.506494815727635</v>
      </c>
      <c r="G120">
        <f t="shared" si="1"/>
        <v>-22.861830265800002</v>
      </c>
      <c r="H120" s="13">
        <v>-2.6775380000000002E-4</v>
      </c>
      <c r="I120" s="6">
        <v>1.034745372867161E-4</v>
      </c>
      <c r="J120">
        <v>-1.8762060000000001E-4</v>
      </c>
      <c r="K120">
        <v>1.1327587912172654E-4</v>
      </c>
      <c r="L120" s="4">
        <v>1302.7</v>
      </c>
      <c r="M120" s="4">
        <v>1616.2</v>
      </c>
      <c r="N120">
        <v>2.4</v>
      </c>
      <c r="O120" s="4">
        <v>28.995999999999999</v>
      </c>
      <c r="P120">
        <v>39.14</v>
      </c>
      <c r="Q120" s="4">
        <v>0.71599999999999997</v>
      </c>
    </row>
    <row r="121" spans="1:17" x14ac:dyDescent="0.2">
      <c r="A121" t="s">
        <v>5</v>
      </c>
      <c r="B121" s="25">
        <v>228.55109399999964</v>
      </c>
      <c r="C121">
        <v>0.17074605404362311</v>
      </c>
      <c r="D121">
        <v>2.6655919010225375</v>
      </c>
      <c r="E121">
        <v>23.537530751497819</v>
      </c>
      <c r="F121">
        <v>11.299649688253036</v>
      </c>
      <c r="G121">
        <f t="shared" si="1"/>
        <v>-23.366784697454197</v>
      </c>
      <c r="H121" s="13">
        <v>-1.5010562135803058E-4</v>
      </c>
      <c r="I121" s="6">
        <v>1.8447386614948812E-4</v>
      </c>
      <c r="J121">
        <v>-1.081744144392752E-4</v>
      </c>
      <c r="K121">
        <v>1.9819074691683258E-4</v>
      </c>
      <c r="L121" s="4">
        <v>1593.7</v>
      </c>
      <c r="M121" s="4">
        <v>1824.2</v>
      </c>
      <c r="N121">
        <v>2.9200000000000004</v>
      </c>
      <c r="O121" s="4">
        <v>25.222000000000001</v>
      </c>
      <c r="P121">
        <v>42.84</v>
      </c>
      <c r="Q121" s="4">
        <v>0.72199999999999998</v>
      </c>
    </row>
    <row r="122" spans="1:17" x14ac:dyDescent="0.2">
      <c r="A122" t="s">
        <v>5</v>
      </c>
      <c r="B122" s="25">
        <v>228.64228449999939</v>
      </c>
      <c r="C122">
        <v>-0.42502651112679113</v>
      </c>
      <c r="D122">
        <v>2.4478949745082548</v>
      </c>
      <c r="E122">
        <v>17.268798684002942</v>
      </c>
      <c r="F122">
        <v>7.0728501666480739</v>
      </c>
      <c r="G122">
        <f t="shared" si="1"/>
        <v>-17.693825195129733</v>
      </c>
      <c r="H122" s="13">
        <v>-3.1792433994549963E-5</v>
      </c>
      <c r="I122" s="6">
        <v>9.8035768184710604E-5</v>
      </c>
      <c r="J122">
        <v>-6.0078252628387674E-5</v>
      </c>
      <c r="K122">
        <v>1.0693774564067671E-4</v>
      </c>
      <c r="L122" s="4">
        <v>1453.2</v>
      </c>
      <c r="M122" s="4">
        <v>1486.7</v>
      </c>
      <c r="N122">
        <v>3.9</v>
      </c>
      <c r="O122" s="4">
        <v>27.113999999999997</v>
      </c>
      <c r="P122">
        <v>42.4</v>
      </c>
      <c r="Q122" s="4">
        <v>0.73799999999999999</v>
      </c>
    </row>
    <row r="123" spans="1:17" x14ac:dyDescent="0.2">
      <c r="A123" t="s">
        <v>5</v>
      </c>
      <c r="B123" s="25">
        <v>231.53040499999989</v>
      </c>
      <c r="C123">
        <v>-7.4402917681034895</v>
      </c>
      <c r="D123">
        <v>2.7493941857774935</v>
      </c>
      <c r="E123">
        <v>33.111584290203744</v>
      </c>
      <c r="F123">
        <v>13.591936651704337</v>
      </c>
      <c r="G123">
        <f t="shared" si="1"/>
        <v>-40.551876058307236</v>
      </c>
      <c r="H123" s="13">
        <v>-7.5929115939197693E-5</v>
      </c>
      <c r="I123" s="6">
        <v>1.0450208204395477E-4</v>
      </c>
      <c r="J123">
        <v>-1.4432818701027282E-5</v>
      </c>
      <c r="K123">
        <v>1.3065997561609788E-4</v>
      </c>
      <c r="L123" s="4">
        <v>1449.2</v>
      </c>
      <c r="M123" s="4">
        <v>1489.7</v>
      </c>
      <c r="N123">
        <v>15.86</v>
      </c>
      <c r="O123" s="4">
        <v>28.552</v>
      </c>
      <c r="P123">
        <v>41.739999999999995</v>
      </c>
      <c r="Q123" s="4">
        <v>0.81799999999999995</v>
      </c>
    </row>
    <row r="124" spans="1:17" x14ac:dyDescent="0.2">
      <c r="A124" t="s">
        <v>5</v>
      </c>
      <c r="B124" s="25">
        <v>231.64165500000018</v>
      </c>
      <c r="C124">
        <v>-5.569463532114634</v>
      </c>
      <c r="D124">
        <v>2.7076528319184834</v>
      </c>
      <c r="E124">
        <v>27.064509878413666</v>
      </c>
      <c r="F124">
        <v>11.448317081623031</v>
      </c>
      <c r="G124">
        <f t="shared" si="1"/>
        <v>-32.633973410528299</v>
      </c>
      <c r="H124" s="13">
        <v>-1.0855351359530779E-5</v>
      </c>
      <c r="I124" s="6">
        <v>1.3650476855330297E-4</v>
      </c>
      <c r="J124">
        <v>-1.3590595540323596E-4</v>
      </c>
      <c r="K124">
        <v>1.0625478554959804E-4</v>
      </c>
      <c r="L124" s="4">
        <v>1099.7</v>
      </c>
      <c r="M124" s="4">
        <v>1490.2</v>
      </c>
      <c r="N124">
        <v>17.5</v>
      </c>
      <c r="O124" s="4">
        <v>30.559999999999995</v>
      </c>
      <c r="P124">
        <v>41.459999999999994</v>
      </c>
      <c r="Q124" s="4">
        <v>0.85600000000000009</v>
      </c>
    </row>
    <row r="125" spans="1:17" x14ac:dyDescent="0.2">
      <c r="A125" t="s">
        <v>5</v>
      </c>
      <c r="B125" s="25">
        <v>242.40884699999987</v>
      </c>
      <c r="C125">
        <v>-9.9861707472883303</v>
      </c>
      <c r="D125">
        <v>3.3830602543422894</v>
      </c>
      <c r="E125">
        <v>22.123689619229459</v>
      </c>
      <c r="F125">
        <v>7.3071867539733857</v>
      </c>
      <c r="G125">
        <f t="shared" si="1"/>
        <v>-32.109860366517793</v>
      </c>
      <c r="H125" s="13">
        <v>-1.5665231326468667E-4</v>
      </c>
      <c r="I125" s="6">
        <v>9.8112554842013587E-5</v>
      </c>
      <c r="J125">
        <v>-1.5210715746658668E-4</v>
      </c>
      <c r="K125">
        <v>1.7733476371078213E-4</v>
      </c>
      <c r="L125" s="4">
        <v>1168.7</v>
      </c>
      <c r="M125" s="4">
        <v>1113.7</v>
      </c>
      <c r="N125">
        <v>4.72</v>
      </c>
      <c r="O125" s="4">
        <v>22.558</v>
      </c>
      <c r="P125">
        <v>39.96</v>
      </c>
      <c r="Q125" s="4">
        <v>0.81600000000000006</v>
      </c>
    </row>
    <row r="126" spans="1:17" x14ac:dyDescent="0.2">
      <c r="A126" t="s">
        <v>5</v>
      </c>
      <c r="B126" s="25">
        <v>242.53487649999988</v>
      </c>
      <c r="C126">
        <v>-2.1455504289341283</v>
      </c>
      <c r="D126">
        <v>3.6141510359957558</v>
      </c>
      <c r="E126">
        <v>26.239161893260654</v>
      </c>
      <c r="F126">
        <v>10.514040723547369</v>
      </c>
      <c r="G126">
        <f t="shared" si="1"/>
        <v>-28.384712322194783</v>
      </c>
      <c r="H126" s="13">
        <v>-5.9737908770197075E-5</v>
      </c>
      <c r="I126" s="6">
        <v>1.9225420454566704E-4</v>
      </c>
      <c r="J126">
        <v>-7.3778614042784065E-5</v>
      </c>
      <c r="K126">
        <v>1.2015370075013012E-4</v>
      </c>
      <c r="L126" s="4">
        <v>1073.7</v>
      </c>
      <c r="M126" s="4">
        <v>1513.2</v>
      </c>
      <c r="N126">
        <v>5.0600000000000005</v>
      </c>
      <c r="O126" s="4">
        <v>25.892000000000003</v>
      </c>
      <c r="P126">
        <v>41.08</v>
      </c>
      <c r="Q126" s="4">
        <v>0.73799999999999999</v>
      </c>
    </row>
    <row r="127" spans="1:17" x14ac:dyDescent="0.2">
      <c r="A127" t="s">
        <v>5</v>
      </c>
      <c r="B127" s="25">
        <v>248.4568000000003</v>
      </c>
      <c r="C127">
        <v>-21.907187797536704</v>
      </c>
      <c r="D127">
        <v>7.1731888785025477</v>
      </c>
      <c r="E127">
        <v>18.059551801942639</v>
      </c>
      <c r="F127">
        <v>4.0972381156988948</v>
      </c>
      <c r="G127">
        <f t="shared" si="1"/>
        <v>-39.96673959947934</v>
      </c>
      <c r="H127" s="13">
        <v>-9.477584853785699E-5</v>
      </c>
      <c r="I127" s="6">
        <v>1.1936063322265244E-4</v>
      </c>
      <c r="J127">
        <v>-4.394596354098835E-5</v>
      </c>
      <c r="K127">
        <v>2.8744970004206431E-4</v>
      </c>
      <c r="L127" s="4" t="e">
        <v>#DIV/0!</v>
      </c>
      <c r="M127" s="4" t="e">
        <v>#DIV/0!</v>
      </c>
      <c r="N127">
        <v>5.6199999999999992</v>
      </c>
      <c r="O127" s="4">
        <v>18.002000000000002</v>
      </c>
      <c r="P127">
        <v>44.04</v>
      </c>
      <c r="Q127" s="4">
        <v>0.78</v>
      </c>
    </row>
    <row r="128" spans="1:17" x14ac:dyDescent="0.2">
      <c r="A128" t="s">
        <v>5</v>
      </c>
      <c r="B128" s="25">
        <v>248.55019099999993</v>
      </c>
      <c r="C128">
        <v>-18.855897136058935</v>
      </c>
      <c r="D128">
        <v>8.2274152955986875</v>
      </c>
      <c r="E128">
        <v>22.195550005830743</v>
      </c>
      <c r="F128">
        <v>3.0995605516329494</v>
      </c>
      <c r="G128">
        <f t="shared" si="1"/>
        <v>-41.051447141889682</v>
      </c>
      <c r="H128" s="13">
        <v>-1.8029514432964778E-4</v>
      </c>
      <c r="I128" s="6">
        <v>1.4888081123654528E-4</v>
      </c>
      <c r="J128">
        <v>-9.6588648964368861E-5</v>
      </c>
      <c r="K128">
        <v>2.512021744898134E-4</v>
      </c>
      <c r="L128" s="4" t="e">
        <v>#DIV/0!</v>
      </c>
      <c r="M128" s="4" t="e">
        <v>#DIV/0!</v>
      </c>
      <c r="N128">
        <v>4.4799999999999995</v>
      </c>
      <c r="O128" s="4">
        <v>19.886000000000003</v>
      </c>
      <c r="P128">
        <v>43.78</v>
      </c>
      <c r="Q128" s="4">
        <v>0.73199999999999998</v>
      </c>
    </row>
    <row r="129" spans="1:17" x14ac:dyDescent="0.2">
      <c r="A129" t="s">
        <v>5</v>
      </c>
      <c r="B129" s="25">
        <v>259.42110649999961</v>
      </c>
      <c r="C129">
        <v>-4.7444096696002163</v>
      </c>
      <c r="D129">
        <v>4.7280570243620481</v>
      </c>
      <c r="E129">
        <v>10.825652909290692</v>
      </c>
      <c r="F129">
        <v>1.5848500860875137</v>
      </c>
      <c r="G129">
        <f t="shared" si="1"/>
        <v>-15.570062578890909</v>
      </c>
      <c r="H129" s="13">
        <v>-4.8997629446107113E-5</v>
      </c>
      <c r="I129" s="6">
        <v>5.9681076560041069E-5</v>
      </c>
      <c r="J129">
        <v>6.1612685614027471E-5</v>
      </c>
      <c r="K129">
        <v>1.7905224922488459E-4</v>
      </c>
      <c r="L129" s="4">
        <v>423.7</v>
      </c>
      <c r="M129" s="4">
        <v>345.2</v>
      </c>
      <c r="N129">
        <v>8.66</v>
      </c>
      <c r="O129" s="4">
        <v>16.004000000000001</v>
      </c>
      <c r="P129">
        <v>16.82</v>
      </c>
      <c r="Q129" s="4">
        <v>0.65400000000000003</v>
      </c>
    </row>
    <row r="130" spans="1:17" x14ac:dyDescent="0.2">
      <c r="A130" t="s">
        <v>5</v>
      </c>
      <c r="B130" s="25">
        <v>259.50284200000021</v>
      </c>
      <c r="C130">
        <v>-7.7843608406458262</v>
      </c>
      <c r="D130">
        <v>7.480936447419082</v>
      </c>
      <c r="E130">
        <v>21.34420328174912</v>
      </c>
      <c r="F130">
        <v>4.2550622513424328</v>
      </c>
      <c r="G130">
        <f t="shared" si="1"/>
        <v>-29.128564122394948</v>
      </c>
      <c r="H130" s="13">
        <v>-6.6046781945033799E-5</v>
      </c>
      <c r="I130" s="6">
        <v>1.5910776992179032E-4</v>
      </c>
      <c r="J130">
        <v>-1.650468506730339E-4</v>
      </c>
      <c r="K130">
        <v>1.441260093836853E-4</v>
      </c>
      <c r="L130" s="4">
        <v>1062.7</v>
      </c>
      <c r="M130" s="4">
        <v>1355.2</v>
      </c>
      <c r="N130">
        <v>8.8000000000000007</v>
      </c>
      <c r="O130" s="4">
        <v>19.224</v>
      </c>
      <c r="P130">
        <v>17.16</v>
      </c>
      <c r="Q130" s="4">
        <v>0.59800000000000009</v>
      </c>
    </row>
    <row r="131" spans="1:17" x14ac:dyDescent="0.2">
      <c r="A131" t="s">
        <v>5</v>
      </c>
      <c r="B131" s="25">
        <v>270.43201299999964</v>
      </c>
      <c r="C131">
        <v>7.6701009655844272</v>
      </c>
      <c r="D131">
        <v>1.843109563250857</v>
      </c>
      <c r="E131">
        <v>7.8446075913906936</v>
      </c>
      <c r="F131">
        <v>1.3841557529024311</v>
      </c>
      <c r="G131">
        <f t="shared" ref="G131:G188" si="2">C131-E131</f>
        <v>-0.17450662580626641</v>
      </c>
      <c r="H131" s="13">
        <v>-2.2649145880311851E-4</v>
      </c>
      <c r="I131" s="6">
        <v>1.6447383180318226E-4</v>
      </c>
      <c r="J131">
        <v>-2.003691190263069E-4</v>
      </c>
      <c r="K131">
        <v>1.5930350654302718E-4</v>
      </c>
      <c r="L131" s="4">
        <v>1108.2</v>
      </c>
      <c r="M131" s="4">
        <v>1059.7</v>
      </c>
      <c r="N131">
        <v>9.7200000000000006</v>
      </c>
      <c r="O131" s="4">
        <v>16.553999999999998</v>
      </c>
      <c r="P131">
        <v>8.42</v>
      </c>
      <c r="Q131" s="4">
        <v>0.246</v>
      </c>
    </row>
    <row r="132" spans="1:17" x14ac:dyDescent="0.2">
      <c r="A132" t="s">
        <v>5</v>
      </c>
      <c r="B132" s="25">
        <v>270.52986049999964</v>
      </c>
      <c r="C132">
        <v>8.3573613207850972</v>
      </c>
      <c r="D132">
        <v>1.6622464206611383</v>
      </c>
      <c r="E132">
        <v>8.8574705655554062</v>
      </c>
      <c r="F132">
        <v>1.3803164900994638</v>
      </c>
      <c r="G132">
        <f t="shared" si="2"/>
        <v>-0.50010924477030905</v>
      </c>
      <c r="H132" s="13">
        <v>-1.4217654160397298E-4</v>
      </c>
      <c r="I132" s="6">
        <v>5.8513543781076117E-5</v>
      </c>
      <c r="J132">
        <v>-1.7180347668486372E-4</v>
      </c>
      <c r="K132">
        <v>7.0138391844224709E-5</v>
      </c>
      <c r="L132" s="4">
        <v>1442.7</v>
      </c>
      <c r="M132" s="4">
        <v>1441.2</v>
      </c>
      <c r="N132">
        <v>8.7800000000000011</v>
      </c>
      <c r="O132" s="4">
        <v>19.224</v>
      </c>
      <c r="P132">
        <v>10.080000000000002</v>
      </c>
      <c r="Q132" s="4">
        <v>0.248</v>
      </c>
    </row>
    <row r="133" spans="1:17" x14ac:dyDescent="0.2">
      <c r="A133" t="s">
        <v>5</v>
      </c>
      <c r="B133" s="25">
        <v>275.57566000000008</v>
      </c>
      <c r="C133">
        <v>4.9856202701782024</v>
      </c>
      <c r="D133">
        <v>1.1866699221348638</v>
      </c>
      <c r="E133">
        <v>3.9944001984104252</v>
      </c>
      <c r="F133">
        <v>0.20954690435621909</v>
      </c>
      <c r="G133">
        <f t="shared" si="2"/>
        <v>0.99122007176777727</v>
      </c>
      <c r="H133" s="13">
        <v>-2.1244943051748463E-5</v>
      </c>
      <c r="I133" s="6">
        <v>8.6274063792677312E-5</v>
      </c>
      <c r="J133">
        <v>5.0724658649824261E-5</v>
      </c>
      <c r="K133">
        <v>2.0280271173537298E-4</v>
      </c>
      <c r="L133" s="4">
        <v>666.2</v>
      </c>
      <c r="M133" s="4">
        <v>708.2</v>
      </c>
      <c r="N133">
        <v>9.5800000000000018</v>
      </c>
      <c r="O133" s="4">
        <v>24.442</v>
      </c>
      <c r="P133">
        <v>8.7200000000000006</v>
      </c>
      <c r="Q133" s="4">
        <v>0.21600000000000003</v>
      </c>
    </row>
    <row r="134" spans="1:17" x14ac:dyDescent="0.2">
      <c r="A134" s="32" t="s">
        <v>5</v>
      </c>
      <c r="B134" s="25">
        <v>282.49756937500115</v>
      </c>
      <c r="C134">
        <v>2.3926521959892701</v>
      </c>
      <c r="D134">
        <v>0.48711337252609588</v>
      </c>
      <c r="E134">
        <v>1.8404797649637601</v>
      </c>
      <c r="F134">
        <v>0.19779689191205421</v>
      </c>
      <c r="G134">
        <f t="shared" si="2"/>
        <v>0.55217243102551006</v>
      </c>
      <c r="H134" s="13">
        <v>-7.1328092560909138E-5</v>
      </c>
      <c r="I134" s="6">
        <v>2.9753653118343219E-5</v>
      </c>
      <c r="J134">
        <v>-5.9249322682677522E-5</v>
      </c>
      <c r="K134">
        <v>1.0222866309498888E-4</v>
      </c>
      <c r="L134" s="33">
        <v>693.7</v>
      </c>
      <c r="M134" s="33">
        <v>579.70000000000005</v>
      </c>
      <c r="N134" s="29">
        <v>18.049999999999997</v>
      </c>
      <c r="O134">
        <v>13.47</v>
      </c>
      <c r="P134" t="e">
        <v>#DIV/0!</v>
      </c>
      <c r="Q134" s="4">
        <v>0.1925</v>
      </c>
    </row>
    <row r="135" spans="1:17" x14ac:dyDescent="0.2">
      <c r="A135" s="32" t="s">
        <v>5</v>
      </c>
      <c r="B135" s="25">
        <v>282.58350687499978</v>
      </c>
      <c r="C135">
        <v>2.5703508125151</v>
      </c>
      <c r="D135">
        <v>0.45080089445657046</v>
      </c>
      <c r="E135">
        <v>2.2677494438554526</v>
      </c>
      <c r="F135">
        <v>0.31590510439586089</v>
      </c>
      <c r="G135">
        <f t="shared" si="2"/>
        <v>0.30260136865964737</v>
      </c>
      <c r="H135" s="13">
        <v>1.6704865208407335E-5</v>
      </c>
      <c r="I135">
        <v>7.7516033373366619E-5</v>
      </c>
      <c r="J135">
        <v>2.8972208168680921E-5</v>
      </c>
      <c r="K135">
        <v>2.5963362269008742E-5</v>
      </c>
      <c r="L135" s="33">
        <v>500.57499999999999</v>
      </c>
      <c r="M135" s="33">
        <v>536.20000000000005</v>
      </c>
      <c r="N135" s="29">
        <v>19.375</v>
      </c>
      <c r="O135">
        <v>14.72</v>
      </c>
      <c r="Q135" s="4">
        <v>0.1925</v>
      </c>
    </row>
    <row r="136" spans="1:17" x14ac:dyDescent="0.2">
      <c r="A136" t="s">
        <v>5</v>
      </c>
      <c r="B136" s="25">
        <v>289.46881999999937</v>
      </c>
      <c r="C136">
        <v>1.6942177819725557</v>
      </c>
      <c r="D136">
        <v>0.2146650532840565</v>
      </c>
      <c r="E136">
        <v>1.4150470296050348</v>
      </c>
      <c r="F136">
        <v>0.32264913605542667</v>
      </c>
      <c r="G136">
        <f t="shared" si="2"/>
        <v>0.27917075236752087</v>
      </c>
      <c r="H136" s="13">
        <v>-1.1913539484739136E-4</v>
      </c>
      <c r="I136" s="6">
        <v>3.2267493201772691E-5</v>
      </c>
      <c r="J136">
        <v>-9.1412377111826085E-5</v>
      </c>
      <c r="K136">
        <v>6.9025054719436323E-5</v>
      </c>
      <c r="L136" s="4">
        <v>488.7</v>
      </c>
      <c r="M136" s="4">
        <v>536.20000000000005</v>
      </c>
      <c r="N136">
        <v>14.62</v>
      </c>
      <c r="O136">
        <v>12.664</v>
      </c>
      <c r="P136" t="e">
        <v>#DIV/0!</v>
      </c>
      <c r="Q136" s="4">
        <v>0.17800000000000002</v>
      </c>
    </row>
    <row r="137" spans="1:17" x14ac:dyDescent="0.2">
      <c r="A137" t="s">
        <v>5</v>
      </c>
      <c r="B137" s="25">
        <v>289.55524350000013</v>
      </c>
      <c r="C137">
        <v>1.41725762618958</v>
      </c>
      <c r="D137">
        <v>0.22369780417345023</v>
      </c>
      <c r="E137">
        <v>1.3284992722896578</v>
      </c>
      <c r="F137">
        <v>0.24871720797057925</v>
      </c>
      <c r="G137">
        <f t="shared" si="2"/>
        <v>8.8758353899922149E-2</v>
      </c>
      <c r="H137" s="13">
        <v>-8.9241334802715318E-5</v>
      </c>
      <c r="I137" s="6">
        <v>2.3553434790244159E-5</v>
      </c>
      <c r="J137">
        <v>-7.8320803201613735E-5</v>
      </c>
      <c r="K137">
        <v>3.7936770623754355E-5</v>
      </c>
      <c r="L137" s="4">
        <v>355.7</v>
      </c>
      <c r="M137" s="4">
        <v>293.7</v>
      </c>
      <c r="N137">
        <v>14.1</v>
      </c>
      <c r="O137">
        <v>19.887999999999998</v>
      </c>
      <c r="P137" t="e">
        <v>#DIV/0!</v>
      </c>
      <c r="Q137" s="4">
        <v>0.16600000000000001</v>
      </c>
    </row>
    <row r="138" spans="1:17" x14ac:dyDescent="0.2">
      <c r="A138" t="s">
        <v>5</v>
      </c>
      <c r="B138" s="25">
        <v>297.65975800000052</v>
      </c>
      <c r="C138">
        <v>1.9092202544742662</v>
      </c>
      <c r="D138">
        <v>0.44345250636888156</v>
      </c>
      <c r="E138">
        <v>1.7084981898601881</v>
      </c>
      <c r="F138">
        <v>0.32211404768171187</v>
      </c>
      <c r="G138">
        <f t="shared" si="2"/>
        <v>0.20072206461407816</v>
      </c>
      <c r="H138" s="13">
        <v>-4.7360000000000001E-5</v>
      </c>
      <c r="I138" s="6">
        <v>2.587659173848055E-5</v>
      </c>
      <c r="J138">
        <v>3.6119599999999999E-5</v>
      </c>
      <c r="K138">
        <v>7.1564112659907954E-5</v>
      </c>
      <c r="L138" s="4">
        <v>620.70000000000005</v>
      </c>
      <c r="M138" s="4">
        <v>660.2</v>
      </c>
      <c r="N138">
        <v>18.7</v>
      </c>
      <c r="O138">
        <v>20.448</v>
      </c>
      <c r="P138" t="e">
        <v>#DIV/0!</v>
      </c>
      <c r="Q138" s="4">
        <v>0.17399999999999999</v>
      </c>
    </row>
    <row r="139" spans="1:17" x14ac:dyDescent="0.2">
      <c r="A139" t="s">
        <v>5</v>
      </c>
      <c r="B139" s="25">
        <v>297.72681250000062</v>
      </c>
      <c r="C139">
        <v>1.5066204087410622</v>
      </c>
      <c r="D139">
        <v>0.37974586255460685</v>
      </c>
      <c r="E139">
        <v>1.425114641924434</v>
      </c>
      <c r="F139">
        <v>0.22776220974350617</v>
      </c>
      <c r="G139">
        <f t="shared" si="2"/>
        <v>8.1505766816628133E-2</v>
      </c>
      <c r="H139" s="13">
        <v>3.7291372648841898E-7</v>
      </c>
      <c r="I139" s="6">
        <v>2.6847071826368247E-5</v>
      </c>
      <c r="J139">
        <v>2.3322937750308664E-6</v>
      </c>
      <c r="K139">
        <v>4.1700928085575782E-5</v>
      </c>
      <c r="L139" s="4">
        <v>114.20000000000002</v>
      </c>
      <c r="M139" s="4">
        <v>147.69999999999999</v>
      </c>
      <c r="N139">
        <v>18.14</v>
      </c>
      <c r="O139">
        <v>19.887999999999998</v>
      </c>
      <c r="P139" t="e">
        <v>#DIV/0!</v>
      </c>
      <c r="Q139" s="4">
        <v>0.16200000000000001</v>
      </c>
    </row>
    <row r="140" spans="1:17" x14ac:dyDescent="0.2">
      <c r="A140" t="s">
        <v>5</v>
      </c>
      <c r="B140" s="25">
        <v>303.42732049999972</v>
      </c>
      <c r="C140">
        <v>1.8846900431578539</v>
      </c>
      <c r="D140">
        <v>0.37094947406891032</v>
      </c>
      <c r="E140">
        <v>1.6131498686477102</v>
      </c>
      <c r="F140">
        <v>0.35901632483340612</v>
      </c>
      <c r="G140">
        <f t="shared" si="2"/>
        <v>0.27154017451014378</v>
      </c>
      <c r="H140" s="13">
        <v>-4.4009870602644113E-5</v>
      </c>
      <c r="I140" s="6">
        <v>3.3363797871291997E-5</v>
      </c>
      <c r="J140">
        <v>-1.4326851085996219E-5</v>
      </c>
      <c r="K140">
        <v>4.7099148894178688E-5</v>
      </c>
      <c r="L140" s="4">
        <v>419.7</v>
      </c>
      <c r="M140" s="4">
        <v>404.2</v>
      </c>
      <c r="N140">
        <v>20.440000000000001</v>
      </c>
      <c r="O140">
        <v>14.224</v>
      </c>
      <c r="P140" t="e">
        <v>#DIV/0!</v>
      </c>
      <c r="Q140" s="4">
        <v>0.16600000000000001</v>
      </c>
    </row>
    <row r="141" spans="1:17" x14ac:dyDescent="0.2">
      <c r="A141" t="s">
        <v>5</v>
      </c>
      <c r="B141" s="25">
        <v>303.50607549999984</v>
      </c>
      <c r="C141">
        <v>1.8027917492613881</v>
      </c>
      <c r="D141">
        <v>0.40816071068543575</v>
      </c>
      <c r="E141">
        <v>1.7305381346852537</v>
      </c>
      <c r="F141">
        <v>0.56051835049466625</v>
      </c>
      <c r="G141">
        <f t="shared" si="2"/>
        <v>7.2253614576134328E-2</v>
      </c>
      <c r="H141" s="13">
        <v>-1.977821579311844E-5</v>
      </c>
      <c r="I141" s="6">
        <v>8.1428722180679468E-5</v>
      </c>
      <c r="J141">
        <v>1.1172119407506077E-5</v>
      </c>
      <c r="K141">
        <v>5.2059728296924725E-5</v>
      </c>
      <c r="L141" s="4">
        <v>433.7</v>
      </c>
      <c r="M141" s="4">
        <v>434.2</v>
      </c>
      <c r="N141">
        <v>20.919999999999998</v>
      </c>
      <c r="O141">
        <v>15.559999999999999</v>
      </c>
      <c r="P141" t="e">
        <v>#DIV/0!</v>
      </c>
      <c r="Q141" s="4">
        <v>0.16000000000000003</v>
      </c>
    </row>
    <row r="142" spans="1:17" x14ac:dyDescent="0.2">
      <c r="A142" t="s">
        <v>8</v>
      </c>
      <c r="B142" s="25">
        <v>107.49384200000058</v>
      </c>
      <c r="C142">
        <v>-0.61738437990854023</v>
      </c>
      <c r="D142">
        <v>4.5324709993336487</v>
      </c>
      <c r="E142">
        <v>1.9731230813804905</v>
      </c>
      <c r="F142">
        <v>1.1331774285690761</v>
      </c>
      <c r="G142">
        <f t="shared" si="2"/>
        <v>-2.5905074612890306</v>
      </c>
      <c r="H142" s="13">
        <v>3.7758226186507986E-5</v>
      </c>
      <c r="I142" s="6">
        <v>2.5509884428726184E-4</v>
      </c>
      <c r="J142">
        <v>4.5365760549506901E-4</v>
      </c>
      <c r="K142">
        <v>6.1318253594549652E-4</v>
      </c>
      <c r="L142" s="4">
        <v>1693.7</v>
      </c>
      <c r="M142" s="4">
        <v>1678.2</v>
      </c>
      <c r="N142">
        <v>15.319999999999999</v>
      </c>
      <c r="O142">
        <v>11.66</v>
      </c>
      <c r="P142" t="e">
        <v>#DIV/0!</v>
      </c>
      <c r="Q142" s="4" t="e">
        <v>#DIV/0!</v>
      </c>
    </row>
    <row r="143" spans="1:17" x14ac:dyDescent="0.2">
      <c r="A143" t="s">
        <v>8</v>
      </c>
      <c r="B143" s="25">
        <v>113.44542800000053</v>
      </c>
      <c r="C143">
        <v>-2.6634665192174749</v>
      </c>
      <c r="D143">
        <v>8.2083583632991761</v>
      </c>
      <c r="E143">
        <v>4.1938830273357457</v>
      </c>
      <c r="F143">
        <v>2.3791249804818402</v>
      </c>
      <c r="G143">
        <f t="shared" si="2"/>
        <v>-6.8573495465532206</v>
      </c>
      <c r="H143" s="13">
        <v>-8.3495522837116482E-5</v>
      </c>
      <c r="I143" s="6">
        <v>1.1499225389717874E-4</v>
      </c>
      <c r="J143">
        <v>-2.722527104134136E-5</v>
      </c>
      <c r="K143">
        <v>5.6006930174555577E-5</v>
      </c>
      <c r="L143" s="4">
        <v>1512.2</v>
      </c>
      <c r="M143" s="4">
        <v>1483.2</v>
      </c>
      <c r="N143">
        <v>14.52</v>
      </c>
      <c r="O143">
        <v>18.329999999999998</v>
      </c>
      <c r="P143" t="e">
        <v>#DIV/0!</v>
      </c>
      <c r="Q143" s="4" t="e">
        <v>#DIV/0!</v>
      </c>
    </row>
    <row r="144" spans="1:17" x14ac:dyDescent="0.2">
      <c r="A144" t="s">
        <v>8</v>
      </c>
      <c r="B144" s="25">
        <v>113.56990650000007</v>
      </c>
      <c r="C144">
        <v>-1.5959143907016089</v>
      </c>
      <c r="D144">
        <v>7.3800770737096801</v>
      </c>
      <c r="E144">
        <v>5.9101049761654521</v>
      </c>
      <c r="F144">
        <v>4.3715304983629961</v>
      </c>
      <c r="G144">
        <f t="shared" si="2"/>
        <v>-7.5060193668670614</v>
      </c>
      <c r="H144" s="13">
        <v>-8.2943473449748206E-5</v>
      </c>
      <c r="I144" s="6">
        <v>1.4307989245215119E-4</v>
      </c>
      <c r="J144">
        <v>1.3483099334172426E-4</v>
      </c>
      <c r="K144">
        <v>1.5380810370836654E-4</v>
      </c>
      <c r="L144" s="4">
        <v>1078.7</v>
      </c>
      <c r="M144" s="4">
        <v>1424.2</v>
      </c>
      <c r="N144">
        <v>12.819999999999999</v>
      </c>
      <c r="O144">
        <v>21.67</v>
      </c>
      <c r="P144" t="e">
        <v>#DIV/0!</v>
      </c>
      <c r="Q144" s="4" t="e">
        <v>#DIV/0!</v>
      </c>
    </row>
    <row r="145" spans="1:17" x14ac:dyDescent="0.2">
      <c r="A145" t="s">
        <v>8</v>
      </c>
      <c r="B145" s="25">
        <v>121.43468799999974</v>
      </c>
      <c r="C145">
        <v>0.52971294851724371</v>
      </c>
      <c r="D145">
        <v>0.24923142228013967</v>
      </c>
      <c r="E145">
        <v>0.40300016306669717</v>
      </c>
      <c r="F145">
        <v>1.1830597487386068</v>
      </c>
      <c r="G145">
        <f t="shared" si="2"/>
        <v>0.12671278545054654</v>
      </c>
      <c r="H145" s="13">
        <v>-2.1839212013313801E-5</v>
      </c>
      <c r="I145" s="6">
        <v>2.5700210376470857E-4</v>
      </c>
      <c r="J145">
        <v>-1.2613771342919968E-4</v>
      </c>
      <c r="K145">
        <v>2.0054470635807626E-4</v>
      </c>
      <c r="L145" s="4">
        <v>370.2</v>
      </c>
      <c r="M145" s="4">
        <v>327.2</v>
      </c>
      <c r="N145">
        <v>15.6</v>
      </c>
      <c r="O145">
        <v>10</v>
      </c>
      <c r="P145" t="e">
        <v>#DIV/0!</v>
      </c>
      <c r="Q145" s="4" t="e">
        <v>#DIV/0!</v>
      </c>
    </row>
    <row r="146" spans="1:17" x14ac:dyDescent="0.2">
      <c r="A146" t="s">
        <v>8</v>
      </c>
      <c r="B146" s="25">
        <v>121.53245300000017</v>
      </c>
      <c r="C146">
        <v>-3.1993458243486108</v>
      </c>
      <c r="D146">
        <v>6.4501243477698633</v>
      </c>
      <c r="E146">
        <v>2.4644014830815566</v>
      </c>
      <c r="F146">
        <v>0.86634689809528398</v>
      </c>
      <c r="G146">
        <f t="shared" si="2"/>
        <v>-5.6637473074301674</v>
      </c>
      <c r="H146" s="13">
        <v>-1.2990920000000001E-4</v>
      </c>
      <c r="I146" s="6">
        <v>9.9613367090968256E-5</v>
      </c>
      <c r="J146">
        <v>-9.3354399999999988E-5</v>
      </c>
      <c r="K146">
        <v>1.9356885261658188E-4</v>
      </c>
      <c r="L146" s="4">
        <v>758.7</v>
      </c>
      <c r="M146" s="4">
        <v>786.2</v>
      </c>
      <c r="N146">
        <v>16.639999999999997</v>
      </c>
      <c r="O146">
        <v>13.330000000000002</v>
      </c>
      <c r="P146" t="e">
        <v>#DIV/0!</v>
      </c>
      <c r="Q146" s="4" t="e">
        <v>#DIV/0!</v>
      </c>
    </row>
    <row r="147" spans="1:17" x14ac:dyDescent="0.2">
      <c r="A147" t="s">
        <v>8</v>
      </c>
      <c r="B147" s="25">
        <v>135.40717549999971</v>
      </c>
      <c r="C147">
        <v>-6.4736663694032162</v>
      </c>
      <c r="D147">
        <v>5.9379710838347632</v>
      </c>
      <c r="E147">
        <v>3.8411233295076186</v>
      </c>
      <c r="F147">
        <v>2.6964845485168452</v>
      </c>
      <c r="G147">
        <f t="shared" si="2"/>
        <v>-10.314789698910834</v>
      </c>
      <c r="H147" s="13" t="e">
        <v>#DIV/0!</v>
      </c>
      <c r="I147" s="6" t="e">
        <v>#DIV/0!</v>
      </c>
      <c r="J147" t="e">
        <v>#DIV/0!</v>
      </c>
      <c r="K147" t="e">
        <v>#DIV/0!</v>
      </c>
      <c r="L147" s="4">
        <v>941.2</v>
      </c>
      <c r="M147" s="4">
        <v>1181.7</v>
      </c>
      <c r="N147">
        <v>19.64</v>
      </c>
      <c r="O147">
        <v>10</v>
      </c>
      <c r="P147" t="e">
        <v>#DIV/0!</v>
      </c>
      <c r="Q147" s="4" t="e">
        <v>#DIV/0!</v>
      </c>
    </row>
    <row r="148" spans="1:17" x14ac:dyDescent="0.2">
      <c r="A148" t="s">
        <v>8</v>
      </c>
      <c r="B148" s="25">
        <v>135.52532450000001</v>
      </c>
      <c r="C148">
        <v>-7.6520059906658489</v>
      </c>
      <c r="D148">
        <v>6.1309329356498017</v>
      </c>
      <c r="E148">
        <v>5.429604229620554</v>
      </c>
      <c r="F148">
        <v>3.3373888767944959</v>
      </c>
      <c r="G148">
        <f t="shared" si="2"/>
        <v>-13.081610220286404</v>
      </c>
      <c r="H148" s="13">
        <v>1.1478039127975326E-5</v>
      </c>
      <c r="I148" s="6">
        <v>4.4435492387245716E-4</v>
      </c>
      <c r="J148">
        <v>-1.1282756446962727E-4</v>
      </c>
      <c r="K148">
        <v>4.0087406734349803E-4</v>
      </c>
      <c r="L148" s="4">
        <v>1599.2</v>
      </c>
      <c r="M148" s="4">
        <v>1673.2</v>
      </c>
      <c r="N148">
        <v>17.800000000000004</v>
      </c>
      <c r="O148">
        <v>15.559999999999999</v>
      </c>
      <c r="P148" t="e">
        <v>#DIV/0!</v>
      </c>
      <c r="Q148" s="4" t="e">
        <v>#DIV/0!</v>
      </c>
    </row>
    <row r="149" spans="1:17" x14ac:dyDescent="0.2">
      <c r="A149" t="s">
        <v>8</v>
      </c>
      <c r="B149" s="25">
        <v>162.44791700000025</v>
      </c>
      <c r="C149">
        <v>-4.3687511489517279</v>
      </c>
      <c r="D149">
        <v>3.7010304955067688</v>
      </c>
      <c r="E149">
        <v>10.291437892023682</v>
      </c>
      <c r="F149">
        <v>2.5583689053129204</v>
      </c>
      <c r="G149">
        <f t="shared" si="2"/>
        <v>-14.660189040975411</v>
      </c>
      <c r="H149" s="13">
        <v>-3.6296762091210115E-4</v>
      </c>
      <c r="I149" s="6">
        <v>3.0752390593166159E-3</v>
      </c>
      <c r="J149">
        <v>4.0260317873390162E-4</v>
      </c>
      <c r="K149">
        <v>8.9150281020542437E-3</v>
      </c>
      <c r="L149" s="4">
        <v>69.754400000000004</v>
      </c>
      <c r="M149" s="4">
        <v>69.617199999999997</v>
      </c>
      <c r="N149">
        <v>7.6799999999999979</v>
      </c>
      <c r="O149">
        <v>18.88</v>
      </c>
      <c r="P149" t="e">
        <v>#DIV/0!</v>
      </c>
      <c r="Q149" s="4" t="e">
        <v>#DIV/0!</v>
      </c>
    </row>
    <row r="150" spans="1:17" x14ac:dyDescent="0.2">
      <c r="A150" t="s">
        <v>8</v>
      </c>
      <c r="B150" s="25">
        <v>162.55833299999978</v>
      </c>
      <c r="C150" s="27">
        <v>-3.3107800592292476</v>
      </c>
      <c r="D150">
        <v>2.443495731110009</v>
      </c>
      <c r="E150" s="27">
        <v>10.0704204355706</v>
      </c>
      <c r="F150">
        <v>2.346057432802672</v>
      </c>
      <c r="G150">
        <f t="shared" si="2"/>
        <v>-13.381200494799849</v>
      </c>
      <c r="H150" s="31">
        <v>4.9053729320711245E-5</v>
      </c>
      <c r="I150" s="6">
        <v>3.9920253230085284E-4</v>
      </c>
      <c r="J150" s="27">
        <v>-5.4841318847477635E-4</v>
      </c>
      <c r="K150">
        <v>2.4777916780008069E-4</v>
      </c>
      <c r="L150" s="4">
        <v>1069.6999999999998</v>
      </c>
      <c r="M150" s="4">
        <v>1123.2</v>
      </c>
      <c r="N150">
        <v>5.2200000000000006</v>
      </c>
      <c r="O150">
        <v>18.88</v>
      </c>
      <c r="P150" t="e">
        <v>#DIV/0!</v>
      </c>
      <c r="Q150" s="4" t="e">
        <v>#DIV/0!</v>
      </c>
    </row>
    <row r="151" spans="1:17" x14ac:dyDescent="0.2">
      <c r="A151" t="s">
        <v>8</v>
      </c>
      <c r="B151" s="25">
        <v>170.45555549999989</v>
      </c>
      <c r="C151" s="27">
        <v>1.0922378565274948</v>
      </c>
      <c r="D151">
        <v>1.9706048155208304</v>
      </c>
      <c r="E151" s="27">
        <v>8.247437460648591</v>
      </c>
      <c r="F151">
        <v>1.451356322694207</v>
      </c>
      <c r="G151">
        <f t="shared" si="2"/>
        <v>-7.1551996041210959</v>
      </c>
      <c r="H151" s="31">
        <v>-7.2853967316488053E-3</v>
      </c>
      <c r="I151" s="6">
        <v>3.8889418548586983E-2</v>
      </c>
      <c r="J151" s="27">
        <v>-1.9627774020117689E-2</v>
      </c>
      <c r="K151">
        <v>3.5745615289027713E-2</v>
      </c>
      <c r="L151" s="4">
        <v>1048.7</v>
      </c>
      <c r="M151" s="4">
        <v>845.7</v>
      </c>
      <c r="N151">
        <v>10.7</v>
      </c>
      <c r="O151">
        <v>21.67</v>
      </c>
      <c r="P151" t="e">
        <v>#DIV/0!</v>
      </c>
      <c r="Q151" s="4" t="e">
        <v>#DIV/0!</v>
      </c>
    </row>
    <row r="152" spans="1:17" x14ac:dyDescent="0.2">
      <c r="A152" t="s">
        <v>8</v>
      </c>
      <c r="B152" s="25">
        <v>170.54166700000025</v>
      </c>
      <c r="C152">
        <v>2.2388543809443933</v>
      </c>
      <c r="D152">
        <v>2.310216795826515</v>
      </c>
      <c r="E152">
        <v>6.9495278289331655</v>
      </c>
      <c r="F152">
        <v>4.4351252818196771</v>
      </c>
      <c r="G152">
        <f t="shared" si="2"/>
        <v>-4.7106734479887722</v>
      </c>
      <c r="H152" s="13">
        <v>-4.0565016743781202E-5</v>
      </c>
      <c r="I152" s="6" t="e">
        <v>#DIV/0!</v>
      </c>
      <c r="J152">
        <v>-2.4778194052395421E-5</v>
      </c>
      <c r="K152">
        <v>3.6170916953267745E-5</v>
      </c>
      <c r="L152" s="4">
        <v>1375.7</v>
      </c>
      <c r="M152" s="4">
        <v>1394.2</v>
      </c>
      <c r="N152">
        <v>9.6000000000000014</v>
      </c>
      <c r="O152">
        <v>22.78</v>
      </c>
      <c r="P152" t="e">
        <v>#DIV/0!</v>
      </c>
      <c r="Q152" s="4" t="e">
        <v>#DIV/0!</v>
      </c>
    </row>
    <row r="153" spans="1:17" x14ac:dyDescent="0.2">
      <c r="A153" t="s">
        <v>8</v>
      </c>
      <c r="B153" s="25">
        <v>182.45347199999958</v>
      </c>
      <c r="C153">
        <v>-7.010559996717066</v>
      </c>
      <c r="D153">
        <v>1.1968461251120339</v>
      </c>
      <c r="E153">
        <v>8.1771943603685848</v>
      </c>
      <c r="F153">
        <v>0.59083578731055797</v>
      </c>
      <c r="G153">
        <f t="shared" si="2"/>
        <v>-15.187754357085652</v>
      </c>
      <c r="H153" s="13">
        <v>6.2767747227843922E-4</v>
      </c>
      <c r="I153" s="6">
        <v>4.0385113325967727E-4</v>
      </c>
      <c r="J153">
        <v>8.8015555169423194E-4</v>
      </c>
      <c r="K153">
        <v>5.1298679640772666E-4</v>
      </c>
      <c r="L153" s="4">
        <v>1691.7</v>
      </c>
      <c r="M153" s="4">
        <v>1666.7</v>
      </c>
      <c r="N153">
        <v>5.0200000000000005</v>
      </c>
      <c r="O153">
        <v>21.67</v>
      </c>
      <c r="P153" t="e">
        <v>#DIV/0!</v>
      </c>
      <c r="Q153" s="4" t="e">
        <v>#DIV/0!</v>
      </c>
    </row>
    <row r="154" spans="1:17" x14ac:dyDescent="0.2">
      <c r="A154" t="s">
        <v>8</v>
      </c>
      <c r="B154" s="25">
        <v>182.54166700000025</v>
      </c>
      <c r="C154">
        <v>-4.4616661625608725</v>
      </c>
      <c r="D154">
        <v>1.4075943994166928</v>
      </c>
      <c r="E154">
        <v>8.3897293688705226</v>
      </c>
      <c r="F154">
        <v>1.3836383297142441</v>
      </c>
      <c r="G154">
        <f t="shared" si="2"/>
        <v>-12.851395531431395</v>
      </c>
      <c r="H154" s="13">
        <v>9.678823175988373E-4</v>
      </c>
      <c r="I154" s="6">
        <v>5.8638346337157765E-4</v>
      </c>
      <c r="J154">
        <v>5.6072012932682964E-4</v>
      </c>
      <c r="K154">
        <v>7.9349245453726853E-4</v>
      </c>
      <c r="L154" s="4">
        <v>1931.2</v>
      </c>
      <c r="M154" s="4">
        <v>1925.2</v>
      </c>
      <c r="N154">
        <v>4.74</v>
      </c>
      <c r="O154">
        <v>26.110000000000003</v>
      </c>
      <c r="P154" t="e">
        <v>#DIV/0!</v>
      </c>
      <c r="Q154" s="4" t="e">
        <v>#DIV/0!</v>
      </c>
    </row>
    <row r="155" spans="1:17" x14ac:dyDescent="0.2">
      <c r="A155" t="s">
        <v>8</v>
      </c>
      <c r="B155" s="25">
        <v>184.37430550000028</v>
      </c>
      <c r="C155">
        <v>-8.9543985366211167</v>
      </c>
      <c r="D155">
        <v>0.96903023762523322</v>
      </c>
      <c r="E155">
        <v>5.5728907779371557</v>
      </c>
      <c r="F155">
        <v>0.80577149294262718</v>
      </c>
      <c r="G155">
        <f t="shared" si="2"/>
        <v>-14.527289314558272</v>
      </c>
      <c r="H155" s="13">
        <v>2.3800342283571379E-4</v>
      </c>
      <c r="I155" s="6">
        <v>8.351254878148852E-4</v>
      </c>
      <c r="J155">
        <v>1.8895781478801932E-3</v>
      </c>
      <c r="K155">
        <v>1.6476547364100327E-3</v>
      </c>
      <c r="L155" s="4">
        <v>984.7</v>
      </c>
      <c r="M155" s="4">
        <v>963.2</v>
      </c>
      <c r="N155">
        <v>2</v>
      </c>
      <c r="O155">
        <v>26.670000000000005</v>
      </c>
      <c r="P155" t="e">
        <v>#DIV/0!</v>
      </c>
      <c r="Q155" s="4" t="e">
        <v>#DIV/0!</v>
      </c>
    </row>
    <row r="156" spans="1:17" x14ac:dyDescent="0.2">
      <c r="A156" t="s">
        <v>8</v>
      </c>
      <c r="B156" s="25">
        <v>184.49652799999967</v>
      </c>
      <c r="C156">
        <v>-4.5237235237053426</v>
      </c>
      <c r="D156">
        <v>1.6418575294607733</v>
      </c>
      <c r="E156">
        <v>7.2591276193890293</v>
      </c>
      <c r="F156">
        <v>1.3245247919442855</v>
      </c>
      <c r="G156">
        <f t="shared" si="2"/>
        <v>-11.782851143094373</v>
      </c>
      <c r="H156" s="13">
        <v>-8.9606339978158035E-4</v>
      </c>
      <c r="I156" s="6">
        <v>1.9303288424952665E-3</v>
      </c>
      <c r="J156">
        <v>-7.2009976046086532E-5</v>
      </c>
      <c r="K156">
        <v>9.2531719187896697E-4</v>
      </c>
      <c r="L156" s="4">
        <v>1910.2</v>
      </c>
      <c r="M156" s="4">
        <v>1876.7</v>
      </c>
      <c r="N156">
        <v>4.38</v>
      </c>
      <c r="O156">
        <v>27.22</v>
      </c>
      <c r="P156" t="e">
        <v>#DIV/0!</v>
      </c>
      <c r="Q156" s="4" t="e">
        <v>#DIV/0!</v>
      </c>
    </row>
    <row r="157" spans="1:17" x14ac:dyDescent="0.2">
      <c r="A157" t="s">
        <v>8</v>
      </c>
      <c r="B157" s="25">
        <v>191.45208300000013</v>
      </c>
      <c r="C157">
        <v>-8.5989543803838018</v>
      </c>
      <c r="D157">
        <v>1.7167142465882896</v>
      </c>
      <c r="E157">
        <v>9.0810525219629348</v>
      </c>
      <c r="F157">
        <v>0.71197046681167808</v>
      </c>
      <c r="G157">
        <f t="shared" si="2"/>
        <v>-17.680006902346737</v>
      </c>
      <c r="H157" s="13">
        <v>-2.9628266948607946E-4</v>
      </c>
      <c r="I157" s="6">
        <v>1.6654971982219948E-4</v>
      </c>
      <c r="J157">
        <v>-3.8481599104749303E-4</v>
      </c>
      <c r="K157">
        <v>1.3385906702046945E-4</v>
      </c>
      <c r="L157" s="4">
        <v>1616.7</v>
      </c>
      <c r="M157" s="4">
        <v>1603.7</v>
      </c>
      <c r="N157">
        <v>3.34</v>
      </c>
      <c r="O157">
        <v>23.33</v>
      </c>
      <c r="P157" t="e">
        <v>#DIV/0!</v>
      </c>
      <c r="Q157" s="4" t="e">
        <v>#DIV/0!</v>
      </c>
    </row>
    <row r="158" spans="1:17" x14ac:dyDescent="0.2">
      <c r="A158" t="s">
        <v>8</v>
      </c>
      <c r="B158" s="25">
        <v>191.54861099999982</v>
      </c>
      <c r="C158">
        <v>-2.6949274580944502</v>
      </c>
      <c r="D158">
        <v>4.7621491075921494</v>
      </c>
      <c r="E158">
        <v>9.756972760857213</v>
      </c>
      <c r="F158">
        <v>0.91620441368455174</v>
      </c>
      <c r="G158">
        <f t="shared" si="2"/>
        <v>-12.451900218951664</v>
      </c>
      <c r="H158" s="13">
        <v>-4.0282441118188078E-4</v>
      </c>
      <c r="I158" s="6">
        <v>8.6446894919801952E-5</v>
      </c>
      <c r="J158">
        <v>8.3727260128562478E-3</v>
      </c>
      <c r="K158">
        <v>1.9377993805861197E-2</v>
      </c>
      <c r="L158" s="4">
        <v>1669.7</v>
      </c>
      <c r="M158" s="4">
        <v>1789.7</v>
      </c>
      <c r="N158">
        <v>4.7200000000000006</v>
      </c>
      <c r="O158">
        <v>29.440000000000005</v>
      </c>
      <c r="P158" t="e">
        <v>#DIV/0!</v>
      </c>
      <c r="Q158" s="4" t="e">
        <v>#DIV/0!</v>
      </c>
    </row>
    <row r="159" spans="1:17" x14ac:dyDescent="0.2">
      <c r="A159" t="s">
        <v>8</v>
      </c>
      <c r="B159" s="25">
        <v>193.47917799999993</v>
      </c>
      <c r="C159">
        <v>-14.793983658374884</v>
      </c>
      <c r="D159">
        <v>7.3594880563486917</v>
      </c>
      <c r="E159">
        <v>12.550170163011478</v>
      </c>
      <c r="F159">
        <v>3.2027351095520165</v>
      </c>
      <c r="G159">
        <f t="shared" si="2"/>
        <v>-27.344153821386364</v>
      </c>
      <c r="H159" s="13">
        <v>7.5622254720001296E-3</v>
      </c>
      <c r="I159" s="6">
        <v>1.2969461601825513E-2</v>
      </c>
      <c r="J159">
        <v>-7.3791649230221991E-5</v>
      </c>
      <c r="K159">
        <v>4.8481625547328099E-4</v>
      </c>
      <c r="L159" s="4">
        <v>1659.7</v>
      </c>
      <c r="M159" s="4">
        <v>1494.2</v>
      </c>
      <c r="N159">
        <v>5.9799999999999995</v>
      </c>
      <c r="O159">
        <v>26.670000000000005</v>
      </c>
      <c r="P159" t="e">
        <v>#DIV/0!</v>
      </c>
      <c r="Q159" s="4" t="e">
        <v>#DIV/0!</v>
      </c>
    </row>
    <row r="160" spans="1:17" x14ac:dyDescent="0.2">
      <c r="A160" t="s">
        <v>8</v>
      </c>
      <c r="B160" s="25">
        <v>193.6041666666697</v>
      </c>
      <c r="C160">
        <v>-11.421976872775673</v>
      </c>
      <c r="D160">
        <v>4.6934103251453214</v>
      </c>
      <c r="E160">
        <v>11.775331821285766</v>
      </c>
      <c r="F160">
        <v>4.55119884690723</v>
      </c>
      <c r="G160">
        <f t="shared" si="2"/>
        <v>-23.197308694061441</v>
      </c>
      <c r="H160" s="13">
        <v>-7.8742951439965143E-5</v>
      </c>
      <c r="I160" s="6">
        <v>3.9989226723204846E-5</v>
      </c>
      <c r="J160">
        <v>-1.9728619898802E-5</v>
      </c>
      <c r="K160">
        <v>8.4843884002364705E-5</v>
      </c>
      <c r="L160" s="4">
        <v>1440.7</v>
      </c>
      <c r="M160" s="4">
        <v>1457.2</v>
      </c>
      <c r="N160">
        <v>4.9400000000000004</v>
      </c>
      <c r="O160">
        <v>26.670000000000005</v>
      </c>
      <c r="P160" t="e">
        <v>#DIV/0!</v>
      </c>
      <c r="Q160" s="4" t="e">
        <v>#DIV/0!</v>
      </c>
    </row>
    <row r="161" spans="1:17" x14ac:dyDescent="0.2">
      <c r="A161" t="s">
        <v>8</v>
      </c>
      <c r="B161" s="25">
        <v>196.49166699999989</v>
      </c>
      <c r="C161">
        <v>-1.7128230402439972</v>
      </c>
      <c r="D161">
        <v>2.1504058235989429</v>
      </c>
      <c r="E161">
        <v>7.5608394596207349</v>
      </c>
      <c r="F161">
        <v>1.0881686167680729</v>
      </c>
      <c r="G161">
        <f t="shared" si="2"/>
        <v>-9.2736624998647326</v>
      </c>
      <c r="H161" s="13">
        <v>-3.1885060901830819E-4</v>
      </c>
      <c r="I161" s="6">
        <v>2.531478000979367E-4</v>
      </c>
      <c r="J161">
        <v>-6.0211878470901186E-4</v>
      </c>
      <c r="K161">
        <v>6.9886609128252703E-4</v>
      </c>
      <c r="L161" s="4">
        <v>1854.2</v>
      </c>
      <c r="M161" s="4">
        <v>1868.2</v>
      </c>
      <c r="N161">
        <v>2.2600000000000002</v>
      </c>
      <c r="O161">
        <v>28.329999999999995</v>
      </c>
      <c r="P161">
        <v>29.48</v>
      </c>
      <c r="Q161" s="4">
        <v>0.53</v>
      </c>
    </row>
    <row r="162" spans="1:17" x14ac:dyDescent="0.2">
      <c r="A162" t="s">
        <v>8</v>
      </c>
      <c r="B162" s="25">
        <v>206.4888890000002</v>
      </c>
      <c r="C162">
        <v>-3.0842341847831598</v>
      </c>
      <c r="D162">
        <v>1.6826969243869958</v>
      </c>
      <c r="E162">
        <v>3.841371320982224</v>
      </c>
      <c r="F162">
        <v>0.94484474344115832</v>
      </c>
      <c r="G162">
        <f t="shared" si="2"/>
        <v>-6.9256055057653843</v>
      </c>
      <c r="H162" s="13">
        <v>-2.5342624813772858E-4</v>
      </c>
      <c r="I162" s="6">
        <v>3.0661058715159164E-4</v>
      </c>
      <c r="J162">
        <v>-2.278024509540971E-4</v>
      </c>
      <c r="K162">
        <v>1.057888645493042E-4</v>
      </c>
      <c r="L162" s="4">
        <v>1799.7</v>
      </c>
      <c r="M162" s="4">
        <v>1785.2</v>
      </c>
      <c r="N162">
        <v>6.82</v>
      </c>
      <c r="O162">
        <v>24.777999999999999</v>
      </c>
      <c r="P162">
        <v>30.78</v>
      </c>
      <c r="Q162" s="4">
        <v>0.55400000000000005</v>
      </c>
    </row>
    <row r="163" spans="1:17" x14ac:dyDescent="0.2">
      <c r="A163" t="s">
        <v>8</v>
      </c>
      <c r="B163" s="25">
        <v>206.59444449999972</v>
      </c>
      <c r="C163">
        <v>-2.0116428681132343</v>
      </c>
      <c r="D163">
        <v>0.96080599884024509</v>
      </c>
      <c r="E163">
        <v>2.3965141339189286</v>
      </c>
      <c r="F163">
        <v>1.715401527415308</v>
      </c>
      <c r="G163">
        <f t="shared" si="2"/>
        <v>-4.408157002032163</v>
      </c>
      <c r="H163" s="13">
        <v>-1.074871736508698E-5</v>
      </c>
      <c r="I163" s="6">
        <v>1.6773817186304456E-4</v>
      </c>
      <c r="J163">
        <v>6.4510208937151818E-5</v>
      </c>
      <c r="K163">
        <v>1.8694546202204862E-4</v>
      </c>
      <c r="L163" s="4">
        <v>1783.2</v>
      </c>
      <c r="M163" s="4">
        <v>1693.2</v>
      </c>
      <c r="N163">
        <v>7.5600000000000005</v>
      </c>
      <c r="O163">
        <v>27.78</v>
      </c>
      <c r="P163">
        <v>31.080000000000002</v>
      </c>
      <c r="Q163" s="4">
        <v>0.56999999999999995</v>
      </c>
    </row>
    <row r="164" spans="1:17" x14ac:dyDescent="0.2">
      <c r="A164" t="s">
        <v>8</v>
      </c>
      <c r="B164" s="25">
        <v>212.47638899999981</v>
      </c>
      <c r="C164">
        <v>-2.8157514876263599</v>
      </c>
      <c r="D164">
        <v>5.1643060279653126</v>
      </c>
      <c r="E164">
        <v>5.9529379228798307</v>
      </c>
      <c r="F164">
        <v>6.5308968458451666</v>
      </c>
      <c r="G164">
        <f t="shared" si="2"/>
        <v>-8.768689410506191</v>
      </c>
      <c r="H164" s="13">
        <v>1.1153284601529063E-3</v>
      </c>
      <c r="I164" s="6">
        <v>3.3656136653531896E-3</v>
      </c>
      <c r="J164">
        <v>-1.8420830763672498E-4</v>
      </c>
      <c r="K164">
        <v>5.4471628350861512E-4</v>
      </c>
      <c r="L164" s="4">
        <v>450.2</v>
      </c>
      <c r="M164" s="4">
        <v>551.70000000000005</v>
      </c>
      <c r="N164">
        <v>2.96</v>
      </c>
      <c r="O164">
        <v>24.221999999999998</v>
      </c>
      <c r="P164">
        <v>38.72</v>
      </c>
      <c r="Q164" s="4">
        <v>0.55800000000000005</v>
      </c>
    </row>
    <row r="165" spans="1:17" x14ac:dyDescent="0.2">
      <c r="A165" t="s">
        <v>8</v>
      </c>
      <c r="B165" s="25">
        <v>212.73194444444442</v>
      </c>
      <c r="C165">
        <v>-2.3008580439450323</v>
      </c>
      <c r="D165">
        <v>2.2231639785944317</v>
      </c>
      <c r="E165">
        <v>9.7573001291674437</v>
      </c>
      <c r="F165">
        <v>1.4716351260309686</v>
      </c>
      <c r="G165">
        <f t="shared" si="2"/>
        <v>-12.058158173112476</v>
      </c>
      <c r="H165" s="13">
        <v>2.5566515922770742E-3</v>
      </c>
      <c r="I165" s="6">
        <v>4.555476148364072E-3</v>
      </c>
      <c r="J165">
        <v>-6.976615796987645E-4</v>
      </c>
      <c r="K165">
        <v>1.2073211625284891E-3</v>
      </c>
      <c r="L165" s="4">
        <v>498.7</v>
      </c>
      <c r="M165" s="4">
        <v>549.20000000000005</v>
      </c>
      <c r="N165">
        <v>4.8400000000000007</v>
      </c>
      <c r="O165">
        <v>26.670000000000005</v>
      </c>
      <c r="P165">
        <v>43.62</v>
      </c>
      <c r="Q165" s="4">
        <v>0.57999999999999985</v>
      </c>
    </row>
    <row r="166" spans="1:17" x14ac:dyDescent="0.2">
      <c r="A166" t="s">
        <v>8</v>
      </c>
      <c r="B166" s="25">
        <v>220.48843099999976</v>
      </c>
      <c r="C166">
        <v>-0.9239851995193733</v>
      </c>
      <c r="D166">
        <v>1.0512183848593133</v>
      </c>
      <c r="E166">
        <v>0.22353030274526195</v>
      </c>
      <c r="F166">
        <v>0.31270836046805955</v>
      </c>
      <c r="G166">
        <f t="shared" si="2"/>
        <v>-1.1475155022646353</v>
      </c>
      <c r="H166" s="13">
        <v>-4.7453389263812538E-4</v>
      </c>
      <c r="I166" s="6">
        <v>9.6133301996343204E-4</v>
      </c>
      <c r="J166">
        <v>-1.3565541179865034E-3</v>
      </c>
      <c r="K166">
        <v>2.3887174901500254E-3</v>
      </c>
      <c r="L166" s="4">
        <v>1728.2</v>
      </c>
      <c r="M166" s="4">
        <v>1684.2</v>
      </c>
      <c r="N166">
        <v>2.6599999999999997</v>
      </c>
      <c r="O166">
        <v>23.89</v>
      </c>
      <c r="P166">
        <v>34.339999999999996</v>
      </c>
      <c r="Q166" s="4">
        <v>0.60399999999999998</v>
      </c>
    </row>
    <row r="167" spans="1:17" x14ac:dyDescent="0.2">
      <c r="A167" t="s">
        <v>8</v>
      </c>
      <c r="B167" s="25">
        <v>220.60812550000045</v>
      </c>
      <c r="C167">
        <v>-0.91004569132614699</v>
      </c>
      <c r="D167">
        <v>0.21251457547515162</v>
      </c>
      <c r="E167">
        <v>-0.35041623337678457</v>
      </c>
      <c r="F167">
        <v>0.92228016270690782</v>
      </c>
      <c r="G167">
        <f t="shared" si="2"/>
        <v>-0.55962945794936236</v>
      </c>
      <c r="H167" s="13">
        <v>9.0718626074227517E-5</v>
      </c>
      <c r="I167" s="6">
        <v>5.4329088205418319E-5</v>
      </c>
      <c r="J167">
        <v>8.0890896313877793E-5</v>
      </c>
      <c r="K167">
        <v>2.0611411355378654E-4</v>
      </c>
      <c r="L167" s="4">
        <v>1495.1999999999998</v>
      </c>
      <c r="M167" s="4">
        <v>1516.7</v>
      </c>
      <c r="N167">
        <v>2.46</v>
      </c>
      <c r="O167">
        <v>28.329999999999995</v>
      </c>
      <c r="P167">
        <v>39.96</v>
      </c>
      <c r="Q167" s="4">
        <v>0.57800000000000007</v>
      </c>
    </row>
    <row r="168" spans="1:17" x14ac:dyDescent="0.2">
      <c r="A168" t="s">
        <v>8</v>
      </c>
      <c r="B168" s="25">
        <v>227.51146950000003</v>
      </c>
      <c r="C168">
        <v>2.0444004459026308</v>
      </c>
      <c r="D168">
        <v>0.86503563088609625</v>
      </c>
      <c r="E168">
        <v>5.2906181119964657</v>
      </c>
      <c r="F168">
        <v>1.3043510189339158</v>
      </c>
      <c r="G168">
        <f t="shared" si="2"/>
        <v>-3.2462176660938349</v>
      </c>
      <c r="H168" s="13">
        <v>-5.9144677158194637E-4</v>
      </c>
      <c r="I168" s="6">
        <v>1.3275231020408115E-4</v>
      </c>
      <c r="J168">
        <v>-3.3837880587599952E-4</v>
      </c>
      <c r="K168">
        <v>2.7061096506953287E-4</v>
      </c>
      <c r="L168" s="4">
        <v>1816.7</v>
      </c>
      <c r="M168" s="4">
        <v>1808.2</v>
      </c>
      <c r="N168">
        <v>2.54</v>
      </c>
      <c r="O168">
        <v>24.224</v>
      </c>
      <c r="P168">
        <v>45.519999999999996</v>
      </c>
      <c r="Q168" s="4">
        <v>0.40400000000000003</v>
      </c>
    </row>
    <row r="169" spans="1:17" x14ac:dyDescent="0.2">
      <c r="A169" t="s">
        <v>8</v>
      </c>
      <c r="B169" s="25">
        <v>227.5798069999997</v>
      </c>
      <c r="C169">
        <v>2.5503832313915651</v>
      </c>
      <c r="D169">
        <v>1.312862436426145</v>
      </c>
      <c r="E169">
        <v>5.7911671401569809</v>
      </c>
      <c r="F169">
        <v>1.111005980595051</v>
      </c>
      <c r="G169">
        <f t="shared" si="2"/>
        <v>-3.2407839087654158</v>
      </c>
      <c r="H169" s="13">
        <v>-4.0834032307409605E-4</v>
      </c>
      <c r="I169" s="6">
        <v>2.1749082477383664E-4</v>
      </c>
      <c r="J169">
        <v>-1.0278356981260472E-4</v>
      </c>
      <c r="K169">
        <v>5.481518546888703E-5</v>
      </c>
      <c r="L169" s="4">
        <v>1864.2</v>
      </c>
      <c r="M169" s="4">
        <v>1588.7</v>
      </c>
      <c r="N169">
        <v>2.0800000000000005</v>
      </c>
      <c r="O169">
        <v>27.334000000000003</v>
      </c>
      <c r="P169">
        <v>51.160000000000004</v>
      </c>
      <c r="Q169" s="4">
        <v>0.39800000000000002</v>
      </c>
    </row>
    <row r="170" spans="1:17" x14ac:dyDescent="0.2">
      <c r="A170" t="s">
        <v>8</v>
      </c>
      <c r="B170" s="25">
        <v>235.518721</v>
      </c>
      <c r="C170">
        <v>-0.1091597374</v>
      </c>
      <c r="D170">
        <v>0.12149441681747526</v>
      </c>
      <c r="E170">
        <v>2.6826212645999998</v>
      </c>
      <c r="F170">
        <v>2.3806405292708299</v>
      </c>
      <c r="G170">
        <f t="shared" si="2"/>
        <v>-2.791781002</v>
      </c>
      <c r="H170" s="13">
        <v>6.4209294432126881E-5</v>
      </c>
      <c r="I170" s="6">
        <v>2.7779539497173517E-4</v>
      </c>
      <c r="J170">
        <v>1.7227953214490354E-4</v>
      </c>
      <c r="K170">
        <v>5.3363822309129003E-4</v>
      </c>
      <c r="L170" s="4">
        <v>1572.1999999999998</v>
      </c>
      <c r="M170" s="4">
        <v>1094.7</v>
      </c>
      <c r="N170">
        <v>13.819999999999999</v>
      </c>
      <c r="O170">
        <v>22.553999999999998</v>
      </c>
      <c r="P170">
        <v>40.980000000000004</v>
      </c>
      <c r="Q170" s="4">
        <v>0.47199999999999998</v>
      </c>
    </row>
    <row r="171" spans="1:17" x14ac:dyDescent="0.2">
      <c r="A171" t="s">
        <v>8</v>
      </c>
      <c r="B171" s="25">
        <v>235.64202650000078</v>
      </c>
      <c r="C171">
        <v>0.34692890198021864</v>
      </c>
      <c r="D171">
        <v>1.2055668705653324</v>
      </c>
      <c r="E171">
        <v>3.8694685604754619</v>
      </c>
      <c r="F171">
        <v>0.94573349642224602</v>
      </c>
      <c r="G171">
        <f t="shared" si="2"/>
        <v>-3.5225396584952433</v>
      </c>
      <c r="H171" s="13">
        <v>2.2103749039489154E-4</v>
      </c>
      <c r="I171" s="6">
        <v>5.155968534823087E-4</v>
      </c>
      <c r="J171">
        <v>-9.4972805797766794E-5</v>
      </c>
      <c r="K171">
        <v>4.3206691511259144E-4</v>
      </c>
      <c r="L171" s="4">
        <v>632.70000000000005</v>
      </c>
      <c r="M171" s="4">
        <v>743.2</v>
      </c>
      <c r="N171">
        <v>14.16</v>
      </c>
      <c r="O171">
        <v>23.777999999999999</v>
      </c>
      <c r="P171">
        <v>40.9</v>
      </c>
      <c r="Q171" s="4">
        <v>0.45400000000000001</v>
      </c>
    </row>
    <row r="172" spans="1:17" x14ac:dyDescent="0.2">
      <c r="A172" t="s">
        <v>8</v>
      </c>
      <c r="B172" s="25">
        <v>241.49991499999959</v>
      </c>
      <c r="C172">
        <v>-1.1015381931277024</v>
      </c>
      <c r="D172">
        <v>4.0572102280373148</v>
      </c>
      <c r="E172">
        <v>11.611272416676105</v>
      </c>
      <c r="F172">
        <v>1.8579613133917507</v>
      </c>
      <c r="G172">
        <f t="shared" si="2"/>
        <v>-12.712810609803807</v>
      </c>
      <c r="H172" s="13">
        <v>-5.2633432491387103E-4</v>
      </c>
      <c r="I172" s="6">
        <v>1.4436534073665255E-4</v>
      </c>
      <c r="J172">
        <v>-3.8956422938473876E-4</v>
      </c>
      <c r="K172">
        <v>6.6284629535027438E-5</v>
      </c>
      <c r="L172" s="4">
        <v>1416.2</v>
      </c>
      <c r="M172" s="4">
        <v>1117.7</v>
      </c>
      <c r="N172">
        <v>7.9799999999999995</v>
      </c>
      <c r="O172">
        <v>23.885999999999999</v>
      </c>
      <c r="P172">
        <v>41.86</v>
      </c>
      <c r="Q172" s="4">
        <v>0.56799999999999995</v>
      </c>
    </row>
    <row r="173" spans="1:17" x14ac:dyDescent="0.2">
      <c r="A173" t="s">
        <v>8</v>
      </c>
      <c r="B173" s="25">
        <v>241.65895849999941</v>
      </c>
      <c r="C173">
        <v>0.96124656808482667</v>
      </c>
      <c r="D173">
        <v>3.4897941650883411</v>
      </c>
      <c r="E173">
        <v>10.023614428382206</v>
      </c>
      <c r="F173">
        <v>1.6588267281756599</v>
      </c>
      <c r="G173">
        <f t="shared" si="2"/>
        <v>-9.0623678602973801</v>
      </c>
      <c r="H173" s="13">
        <v>-5.3266474392178861E-4</v>
      </c>
      <c r="I173" s="6">
        <v>1.2793043273033578E-4</v>
      </c>
      <c r="J173">
        <v>-3.7575311228174216E-4</v>
      </c>
      <c r="K173">
        <v>1.0721881756234422E-4</v>
      </c>
      <c r="L173" s="4">
        <v>643.70000000000005</v>
      </c>
      <c r="M173" s="4">
        <v>594.70000000000005</v>
      </c>
      <c r="N173">
        <v>8.26</v>
      </c>
      <c r="O173">
        <v>26.110000000000003</v>
      </c>
      <c r="P173">
        <v>38.36</v>
      </c>
      <c r="Q173" s="4">
        <v>0.55400000000000005</v>
      </c>
    </row>
    <row r="174" spans="1:17" x14ac:dyDescent="0.2">
      <c r="A174" t="s">
        <v>8</v>
      </c>
      <c r="B174" s="25">
        <v>254.43026049999972</v>
      </c>
      <c r="C174">
        <v>-3.1483415694303405</v>
      </c>
      <c r="D174">
        <v>2.1110759517754953</v>
      </c>
      <c r="E174">
        <v>7.3217510223021565</v>
      </c>
      <c r="F174">
        <v>1.0549630073321332</v>
      </c>
      <c r="G174">
        <f t="shared" si="2"/>
        <v>-10.470092591732497</v>
      </c>
      <c r="H174" s="13">
        <v>-4.3746934736558514E-4</v>
      </c>
      <c r="I174" s="6">
        <v>2.5257925550716714E-4</v>
      </c>
      <c r="J174">
        <v>-4.7089685615778562E-4</v>
      </c>
      <c r="K174">
        <v>4.1160653308337889E-4</v>
      </c>
      <c r="L174" s="4">
        <v>1227.7</v>
      </c>
      <c r="M174" s="4">
        <v>1145.7</v>
      </c>
      <c r="N174">
        <v>8.26</v>
      </c>
      <c r="O174">
        <v>23</v>
      </c>
      <c r="P174">
        <v>40.299999999999997</v>
      </c>
      <c r="Q174" s="4">
        <v>0.6359999999999999</v>
      </c>
    </row>
    <row r="175" spans="1:17" x14ac:dyDescent="0.2">
      <c r="A175" t="s">
        <v>8</v>
      </c>
      <c r="B175" s="25">
        <v>254.51493049999954</v>
      </c>
      <c r="C175">
        <v>-2.3877254135961636</v>
      </c>
      <c r="D175">
        <v>2.0892056030414197</v>
      </c>
      <c r="E175">
        <v>8.8117750077471086</v>
      </c>
      <c r="F175">
        <v>1.3976570120196121</v>
      </c>
      <c r="G175">
        <f t="shared" si="2"/>
        <v>-11.199500421343272</v>
      </c>
      <c r="H175" s="13">
        <v>-3.3410997483907938E-4</v>
      </c>
      <c r="I175" s="6">
        <v>5.6019100882220926E-5</v>
      </c>
      <c r="J175">
        <v>-3.5267431710226841E-4</v>
      </c>
      <c r="K175">
        <v>2.0408157328817098E-4</v>
      </c>
      <c r="L175" s="4">
        <v>1503.2</v>
      </c>
      <c r="M175" s="4">
        <v>1508.2</v>
      </c>
      <c r="N175">
        <v>9.5399999999999991</v>
      </c>
      <c r="O175">
        <v>26.224</v>
      </c>
      <c r="P175">
        <v>41.620000000000005</v>
      </c>
      <c r="Q175" s="4">
        <v>0.63</v>
      </c>
    </row>
    <row r="176" spans="1:17" x14ac:dyDescent="0.2">
      <c r="A176" t="s">
        <v>8</v>
      </c>
      <c r="B176" s="25">
        <v>261.64571849999993</v>
      </c>
      <c r="C176">
        <v>-1.4742676780043347</v>
      </c>
      <c r="D176">
        <v>2.7740660349343145</v>
      </c>
      <c r="E176">
        <v>7.9222578171034446</v>
      </c>
      <c r="F176">
        <v>3.0307226665534439</v>
      </c>
      <c r="G176">
        <f t="shared" si="2"/>
        <v>-9.3965254951077792</v>
      </c>
      <c r="H176" s="13">
        <v>-4.3349251671060839E-4</v>
      </c>
      <c r="I176" s="6">
        <v>2.620834745551972E-4</v>
      </c>
      <c r="J176">
        <v>-5.4127329891559659E-4</v>
      </c>
      <c r="K176">
        <v>1.9372013185183431E-4</v>
      </c>
      <c r="L176" s="4">
        <v>957.7</v>
      </c>
      <c r="M176" s="4">
        <v>1033.2</v>
      </c>
      <c r="N176">
        <v>8.0599999999999987</v>
      </c>
      <c r="O176">
        <v>20.112000000000002</v>
      </c>
      <c r="P176">
        <v>41.720000000000006</v>
      </c>
      <c r="Q176" s="4">
        <v>62.4</v>
      </c>
    </row>
    <row r="177" spans="1:17" x14ac:dyDescent="0.2">
      <c r="A177" t="s">
        <v>8</v>
      </c>
      <c r="B177" s="25">
        <v>268.46967599999988</v>
      </c>
      <c r="C177">
        <v>-2.3065814887971365</v>
      </c>
      <c r="D177">
        <v>2.9717310763982812</v>
      </c>
      <c r="E177">
        <v>6.9115628123434716</v>
      </c>
      <c r="F177">
        <v>0.88529322946769118</v>
      </c>
      <c r="G177">
        <f t="shared" si="2"/>
        <v>-9.2181443011406081</v>
      </c>
      <c r="H177" s="13">
        <v>-6.2027218708514669E-4</v>
      </c>
      <c r="I177" s="6">
        <v>1.8464666700088278E-4</v>
      </c>
      <c r="J177">
        <v>-5.1626504741865463E-4</v>
      </c>
      <c r="K177">
        <v>6.7106594834706953E-5</v>
      </c>
      <c r="L177" s="4">
        <v>1472.7</v>
      </c>
      <c r="M177" s="4">
        <v>1338.7</v>
      </c>
      <c r="N177">
        <v>5.0199999999999996</v>
      </c>
      <c r="O177">
        <v>17.558</v>
      </c>
      <c r="P177">
        <v>36.020000000000003</v>
      </c>
      <c r="Q177" s="4" t="e">
        <v>#DIV/0!</v>
      </c>
    </row>
    <row r="178" spans="1:17" x14ac:dyDescent="0.2">
      <c r="A178" t="s">
        <v>8</v>
      </c>
      <c r="B178" s="25">
        <v>268.56627399999996</v>
      </c>
      <c r="C178">
        <v>-0.34945563422860343</v>
      </c>
      <c r="D178">
        <v>2.5554633814045595</v>
      </c>
      <c r="E178">
        <v>7.7319420033458242</v>
      </c>
      <c r="F178">
        <v>1.3203531762041896</v>
      </c>
      <c r="G178">
        <f t="shared" si="2"/>
        <v>-8.0813976375744279</v>
      </c>
      <c r="H178" s="13">
        <v>-6.6460221368318218E-4</v>
      </c>
      <c r="I178" s="6">
        <v>9.22681255094451E-5</v>
      </c>
      <c r="J178">
        <v>-5.4929071902602169E-4</v>
      </c>
      <c r="K178">
        <v>1.0759541420106302E-4</v>
      </c>
      <c r="L178" s="4">
        <v>1496.2</v>
      </c>
      <c r="M178" s="4">
        <v>1525.2</v>
      </c>
      <c r="N178">
        <v>4.5599999999999996</v>
      </c>
      <c r="O178">
        <v>21.443999999999999</v>
      </c>
      <c r="P178">
        <v>40.96</v>
      </c>
      <c r="Q178" s="4" t="e">
        <v>#DIV/0!</v>
      </c>
    </row>
    <row r="179" spans="1:17" x14ac:dyDescent="0.2">
      <c r="A179" t="s">
        <v>8</v>
      </c>
      <c r="B179" s="25">
        <v>273.45837999999969</v>
      </c>
      <c r="C179">
        <v>-3.8870259051329166</v>
      </c>
      <c r="D179">
        <v>3.2154630993628834</v>
      </c>
      <c r="E179">
        <v>5.4415188050388066</v>
      </c>
      <c r="F179">
        <v>0.85082388326339131</v>
      </c>
      <c r="G179">
        <f t="shared" si="2"/>
        <v>-9.3285447101717232</v>
      </c>
      <c r="H179" s="13">
        <v>-4.4077145526933277E-4</v>
      </c>
      <c r="I179" s="6">
        <v>1.0878068211403165E-4</v>
      </c>
      <c r="J179">
        <v>-4.5393693005878796E-4</v>
      </c>
      <c r="K179">
        <v>1.4011262871240708E-4</v>
      </c>
      <c r="L179" s="4">
        <v>1313.2</v>
      </c>
      <c r="M179" s="4">
        <v>1141.2</v>
      </c>
      <c r="N179">
        <v>6.38</v>
      </c>
      <c r="O179">
        <v>14.556000000000001</v>
      </c>
      <c r="P179">
        <v>41</v>
      </c>
      <c r="Q179" s="4">
        <v>0.64400000000000002</v>
      </c>
    </row>
    <row r="180" spans="1:17" x14ac:dyDescent="0.2">
      <c r="A180" t="s">
        <v>8</v>
      </c>
      <c r="B180" s="25">
        <v>273.57027749999975</v>
      </c>
      <c r="C180">
        <v>-2.6578875593686639</v>
      </c>
      <c r="D180">
        <v>2.3183490560045681</v>
      </c>
      <c r="E180">
        <v>5.2483105763229361</v>
      </c>
      <c r="F180">
        <v>1.6320225646018793</v>
      </c>
      <c r="G180">
        <f t="shared" si="2"/>
        <v>-7.9061981356916</v>
      </c>
      <c r="H180" s="13">
        <v>-4.7094240757344225E-4</v>
      </c>
      <c r="I180" s="6">
        <v>1.1588061208926123E-4</v>
      </c>
      <c r="J180">
        <v>-4.2313394980493697E-4</v>
      </c>
      <c r="K180">
        <v>7.116433815767955E-5</v>
      </c>
      <c r="L180" s="4">
        <v>889.2</v>
      </c>
      <c r="M180" s="4">
        <v>893.2</v>
      </c>
      <c r="N180">
        <v>6.7</v>
      </c>
      <c r="O180">
        <v>17.663999999999998</v>
      </c>
      <c r="P180">
        <v>45.279999999999994</v>
      </c>
      <c r="Q180" s="4">
        <v>0.69199999999999995</v>
      </c>
    </row>
    <row r="181" spans="1:17" x14ac:dyDescent="0.2">
      <c r="A181" t="s">
        <v>8</v>
      </c>
      <c r="B181" s="25">
        <v>284.41531149999935</v>
      </c>
      <c r="C181">
        <v>-5.4977662539282814</v>
      </c>
      <c r="D181">
        <v>3.8741698701087905</v>
      </c>
      <c r="E181">
        <v>4.8946848226706337</v>
      </c>
      <c r="F181">
        <v>0.89109076601579562</v>
      </c>
      <c r="G181">
        <f t="shared" si="2"/>
        <v>-10.392451076598915</v>
      </c>
      <c r="H181" s="13">
        <v>-4.2366897433075961E-4</v>
      </c>
      <c r="I181" s="6">
        <v>2.367458363007035E-4</v>
      </c>
      <c r="J181">
        <v>-1.4996117959490698E-4</v>
      </c>
      <c r="K181">
        <v>9.5129829609320955E-5</v>
      </c>
      <c r="L181" s="4">
        <v>942.7</v>
      </c>
      <c r="M181" s="4">
        <v>1114.7</v>
      </c>
      <c r="N181">
        <v>15.360000000000003</v>
      </c>
      <c r="O181">
        <v>10.888</v>
      </c>
      <c r="P181">
        <v>38.160000000000004</v>
      </c>
      <c r="Q181" s="4">
        <v>0.66800000000000004</v>
      </c>
    </row>
    <row r="182" spans="1:17" x14ac:dyDescent="0.2">
      <c r="A182" s="29" t="s">
        <v>8</v>
      </c>
      <c r="B182" s="25">
        <v>284.51114550000023</v>
      </c>
      <c r="C182">
        <v>-8.1780032275068137</v>
      </c>
      <c r="D182">
        <v>2.210517536710876</v>
      </c>
      <c r="E182">
        <v>6.1120991563910145</v>
      </c>
      <c r="F182">
        <v>1.3411231291866053</v>
      </c>
      <c r="G182">
        <f t="shared" si="2"/>
        <v>-14.290102383897828</v>
      </c>
      <c r="H182" s="13">
        <v>-4.5265583315190499E-4</v>
      </c>
      <c r="I182" s="6">
        <v>4.0593248791282387E-4</v>
      </c>
      <c r="J182">
        <v>-2.028961543539945E-4</v>
      </c>
      <c r="K182">
        <v>1.7356411972430371E-4</v>
      </c>
      <c r="L182" s="4">
        <v>1041.2</v>
      </c>
      <c r="M182" s="4">
        <v>945.2</v>
      </c>
      <c r="N182">
        <v>16.259999999999998</v>
      </c>
      <c r="O182">
        <v>14.774000000000001</v>
      </c>
      <c r="P182">
        <v>39.08</v>
      </c>
      <c r="Q182" s="4">
        <v>0.65</v>
      </c>
    </row>
    <row r="183" spans="1:17" x14ac:dyDescent="0.2">
      <c r="A183" s="29" t="s">
        <v>8</v>
      </c>
      <c r="B183" s="25">
        <v>296.56323812500023</v>
      </c>
      <c r="C183">
        <v>-4.6317599439213497</v>
      </c>
      <c r="D183">
        <v>0.73330412454954186</v>
      </c>
      <c r="E183">
        <v>5.5175206466503326</v>
      </c>
      <c r="F183">
        <v>1.5493420812952701</v>
      </c>
      <c r="G183">
        <f t="shared" si="2"/>
        <v>-10.149280590571681</v>
      </c>
      <c r="H183" s="13">
        <v>-1.0091878396416889E-4</v>
      </c>
      <c r="I183" s="6">
        <v>5.6623716288536354E-5</v>
      </c>
      <c r="J183">
        <v>-9.3533389318319052E-5</v>
      </c>
      <c r="K183">
        <v>9.9711224864266213E-5</v>
      </c>
      <c r="L183" s="4">
        <v>586.82499999999993</v>
      </c>
      <c r="M183" s="4">
        <v>919.95</v>
      </c>
      <c r="N183">
        <v>15.475</v>
      </c>
      <c r="O183">
        <v>17.497499999999999</v>
      </c>
      <c r="P183">
        <v>35.424999999999997</v>
      </c>
      <c r="Q183" s="4">
        <v>0.64250000000000007</v>
      </c>
    </row>
    <row r="184" spans="1:17" x14ac:dyDescent="0.2">
      <c r="A184" s="29" t="s">
        <v>8</v>
      </c>
      <c r="B184" s="25">
        <v>296.64630999999963</v>
      </c>
      <c r="C184">
        <v>-2.9479795524174</v>
      </c>
      <c r="D184">
        <v>1.0417501042252513</v>
      </c>
      <c r="E184">
        <v>5.5938056430539547</v>
      </c>
      <c r="F184">
        <v>0.87444731667627928</v>
      </c>
      <c r="G184">
        <f t="shared" si="2"/>
        <v>-8.5417851954713555</v>
      </c>
      <c r="H184" s="13">
        <v>-5.9743772126596994E-4</v>
      </c>
      <c r="I184" s="6">
        <v>8.1819606277495113E-4</v>
      </c>
      <c r="J184">
        <v>7.3528119158950873E-5</v>
      </c>
      <c r="K184">
        <v>3.9512678061353273E-4</v>
      </c>
      <c r="L184" s="33">
        <v>835.57500000000005</v>
      </c>
      <c r="M184" s="33">
        <v>880.57500000000005</v>
      </c>
      <c r="N184" s="29">
        <v>16.95</v>
      </c>
      <c r="O184">
        <v>18.329999999999998</v>
      </c>
      <c r="P184">
        <v>41.524999999999999</v>
      </c>
      <c r="Q184" s="4">
        <v>0.64749999999999996</v>
      </c>
    </row>
    <row r="185" spans="1:17" x14ac:dyDescent="0.2">
      <c r="A185" s="29" t="s">
        <v>8</v>
      </c>
      <c r="B185" s="25">
        <v>303.61006299999934</v>
      </c>
      <c r="C185">
        <v>-0.97187433223006647</v>
      </c>
      <c r="D185">
        <v>1.2496641470432053</v>
      </c>
      <c r="E185">
        <v>5.6569553719708781</v>
      </c>
      <c r="F185">
        <v>1.4608317851035311</v>
      </c>
      <c r="G185">
        <f t="shared" si="2"/>
        <v>-6.6288297042009443</v>
      </c>
      <c r="H185" s="13">
        <v>-1.2107999903620059E-4</v>
      </c>
      <c r="I185" s="6">
        <v>9.686929843119074E-5</v>
      </c>
      <c r="J185">
        <v>-1.281194129123007E-4</v>
      </c>
      <c r="K185">
        <v>7.4465558672869223E-5</v>
      </c>
      <c r="L185" s="4">
        <v>356.20000000000005</v>
      </c>
      <c r="M185" s="4">
        <v>381.70000000000005</v>
      </c>
      <c r="N185">
        <v>16</v>
      </c>
      <c r="O185">
        <v>18.22</v>
      </c>
      <c r="P185">
        <v>39.28</v>
      </c>
      <c r="Q185" s="4">
        <v>0.43200000000000005</v>
      </c>
    </row>
    <row r="186" spans="1:17" x14ac:dyDescent="0.2">
      <c r="A186" t="s">
        <v>8</v>
      </c>
      <c r="B186" s="25">
        <v>303.70489600000076</v>
      </c>
      <c r="C186">
        <v>4.8259378891632236</v>
      </c>
      <c r="D186">
        <v>1.8164914537504506</v>
      </c>
      <c r="E186">
        <v>5.5670496821843596</v>
      </c>
      <c r="F186">
        <v>1.3634369776493185</v>
      </c>
      <c r="G186">
        <f t="shared" si="2"/>
        <v>-0.74111179302113595</v>
      </c>
      <c r="H186" s="13">
        <v>-2.0272231898411371E-4</v>
      </c>
      <c r="I186" s="6">
        <v>7.6213696114944317E-5</v>
      </c>
      <c r="J186">
        <v>-1.5019162225374854E-4</v>
      </c>
      <c r="K186">
        <v>6.2235703909133513E-5</v>
      </c>
      <c r="L186" s="4">
        <v>36.200000000000003</v>
      </c>
      <c r="M186" s="4">
        <v>41.2</v>
      </c>
      <c r="N186">
        <v>15.280000000000001</v>
      </c>
      <c r="O186">
        <v>17.558</v>
      </c>
      <c r="P186">
        <v>36.679999999999993</v>
      </c>
      <c r="Q186" s="4">
        <v>0.45</v>
      </c>
    </row>
    <row r="187" spans="1:17" x14ac:dyDescent="0.2">
      <c r="A187" t="s">
        <v>8</v>
      </c>
      <c r="B187" s="25">
        <v>310.46126150000021</v>
      </c>
      <c r="C187">
        <v>-4.093930116854354</v>
      </c>
      <c r="D187">
        <v>1.5505395569446523</v>
      </c>
      <c r="E187">
        <v>2.6362425355068559</v>
      </c>
      <c r="F187">
        <v>0.63172156213756081</v>
      </c>
      <c r="G187">
        <f t="shared" si="2"/>
        <v>-6.73017265236121</v>
      </c>
      <c r="H187" s="13">
        <v>-1.3199971229077537E-4</v>
      </c>
      <c r="I187" s="6">
        <v>1.027755287831281E-4</v>
      </c>
      <c r="J187">
        <v>-1.2825328394855805E-4</v>
      </c>
      <c r="K187">
        <v>9.8670583038883099E-5</v>
      </c>
      <c r="L187" s="4">
        <v>1135.7</v>
      </c>
      <c r="M187" s="4">
        <v>1112.7</v>
      </c>
      <c r="N187">
        <v>10.42</v>
      </c>
      <c r="O187">
        <v>8.668000000000001</v>
      </c>
      <c r="P187">
        <v>34.04</v>
      </c>
      <c r="Q187" s="4">
        <v>0.42599999999999999</v>
      </c>
    </row>
    <row r="188" spans="1:17" x14ac:dyDescent="0.2">
      <c r="A188" t="s">
        <v>8</v>
      </c>
      <c r="B188" s="25">
        <v>310.54367100000019</v>
      </c>
      <c r="C188">
        <v>-3.4332186941465084</v>
      </c>
      <c r="D188">
        <v>1.5033690896654359</v>
      </c>
      <c r="E188">
        <v>2.7872932654278104</v>
      </c>
      <c r="F188">
        <v>0.68507550069363787</v>
      </c>
      <c r="G188">
        <f t="shared" si="2"/>
        <v>-6.2205119595743188</v>
      </c>
      <c r="H188" s="13">
        <v>-2.6144948414671011E-4</v>
      </c>
      <c r="I188" s="6">
        <v>9.8144681496402348E-5</v>
      </c>
      <c r="J188">
        <v>-3.2612309614590959E-4</v>
      </c>
      <c r="K188">
        <v>1.5570504916951786E-4</v>
      </c>
      <c r="L188" s="4">
        <v>980.7</v>
      </c>
      <c r="M188" s="4">
        <v>1025.2</v>
      </c>
      <c r="N188">
        <v>12.820000000000002</v>
      </c>
      <c r="O188">
        <v>11.67</v>
      </c>
      <c r="P188">
        <v>30.82</v>
      </c>
      <c r="Q188" s="4">
        <v>0.40400000000000003</v>
      </c>
    </row>
    <row r="189" spans="1:17" x14ac:dyDescent="0.2">
      <c r="N189" s="4"/>
      <c r="O189" s="4"/>
    </row>
    <row r="190" spans="1:17" x14ac:dyDescent="0.2">
      <c r="N190" s="4"/>
      <c r="O190" s="4"/>
    </row>
    <row r="191" spans="1:17" x14ac:dyDescent="0.2">
      <c r="N191" s="4"/>
      <c r="O191" s="4"/>
    </row>
    <row r="192" spans="1:17" x14ac:dyDescent="0.2">
      <c r="N192" s="4"/>
      <c r="O192" s="4"/>
    </row>
    <row r="193" spans="9:15" x14ac:dyDescent="0.2">
      <c r="N193" s="4"/>
      <c r="O193" s="4"/>
    </row>
    <row r="194" spans="9:15" x14ac:dyDescent="0.2">
      <c r="N194" s="4"/>
      <c r="O194" s="4"/>
    </row>
    <row r="195" spans="9:15" x14ac:dyDescent="0.2">
      <c r="N195" s="4"/>
      <c r="O195" s="4"/>
    </row>
    <row r="196" spans="9:15" x14ac:dyDescent="0.2">
      <c r="I196" s="6"/>
      <c r="N196" s="4"/>
      <c r="O196" s="4"/>
    </row>
    <row r="197" spans="9:15" x14ac:dyDescent="0.2">
      <c r="I197" s="6"/>
      <c r="N197" s="4"/>
      <c r="O197" s="4"/>
    </row>
    <row r="198" spans="9:15" x14ac:dyDescent="0.2">
      <c r="N198" s="4"/>
      <c r="O198" s="4"/>
    </row>
    <row r="199" spans="9:15" x14ac:dyDescent="0.2">
      <c r="N199" s="4"/>
      <c r="O199" s="4"/>
    </row>
    <row r="200" spans="9:15" x14ac:dyDescent="0.2">
      <c r="N200" s="4"/>
      <c r="O200" s="4"/>
    </row>
    <row r="201" spans="9:15" x14ac:dyDescent="0.2">
      <c r="N201" s="4"/>
      <c r="O201" s="4"/>
    </row>
    <row r="202" spans="9:15" x14ac:dyDescent="0.2">
      <c r="N202" s="4"/>
      <c r="O202" s="4"/>
    </row>
    <row r="203" spans="9:15" x14ac:dyDescent="0.2">
      <c r="N203" s="4"/>
      <c r="O203" s="4"/>
    </row>
    <row r="204" spans="9:15" x14ac:dyDescent="0.2">
      <c r="N204" s="4"/>
      <c r="O204" s="4"/>
    </row>
    <row r="205" spans="9:15" x14ac:dyDescent="0.2">
      <c r="N205" s="4"/>
      <c r="O205" s="4"/>
    </row>
    <row r="206" spans="9:15" x14ac:dyDescent="0.2">
      <c r="N206" s="4"/>
      <c r="O206" s="4"/>
    </row>
    <row r="207" spans="9:15" x14ac:dyDescent="0.2">
      <c r="N207" s="4"/>
      <c r="O207" s="4"/>
    </row>
    <row r="208" spans="9:15" x14ac:dyDescent="0.2">
      <c r="N208" s="4"/>
      <c r="O208" s="4"/>
    </row>
    <row r="209" spans="14:15" x14ac:dyDescent="0.2">
      <c r="N209" s="4"/>
      <c r="O209" s="4"/>
    </row>
    <row r="210" spans="14:15" x14ac:dyDescent="0.2">
      <c r="N210" s="4"/>
      <c r="O210" s="4"/>
    </row>
    <row r="211" spans="14:15" x14ac:dyDescent="0.2">
      <c r="N211" s="4"/>
      <c r="O211" s="4"/>
    </row>
    <row r="212" spans="14:15" x14ac:dyDescent="0.2">
      <c r="N212" s="4"/>
      <c r="O212" s="4"/>
    </row>
    <row r="213" spans="14:15" x14ac:dyDescent="0.2">
      <c r="N213" s="4"/>
      <c r="O213" s="4"/>
    </row>
    <row r="214" spans="14:15" x14ac:dyDescent="0.2">
      <c r="N214" s="4"/>
      <c r="O214" s="4"/>
    </row>
    <row r="215" spans="14:15" x14ac:dyDescent="0.2">
      <c r="N215" s="4"/>
      <c r="O215" s="4"/>
    </row>
    <row r="216" spans="14:15" x14ac:dyDescent="0.2">
      <c r="N216" s="4"/>
      <c r="O216" s="4"/>
    </row>
    <row r="217" spans="14:15" x14ac:dyDescent="0.2">
      <c r="N217" s="4"/>
      <c r="O217" s="4"/>
    </row>
    <row r="218" spans="14:15" x14ac:dyDescent="0.2">
      <c r="N218" s="4"/>
      <c r="O218" s="4"/>
    </row>
    <row r="219" spans="14:15" x14ac:dyDescent="0.2">
      <c r="N219" s="4"/>
      <c r="O219" s="4"/>
    </row>
    <row r="220" spans="14:15" x14ac:dyDescent="0.2">
      <c r="N220" s="4"/>
      <c r="O220" s="4"/>
    </row>
    <row r="221" spans="14:15" x14ac:dyDescent="0.2">
      <c r="N221" s="4"/>
      <c r="O221" s="4"/>
    </row>
    <row r="222" spans="14:15" x14ac:dyDescent="0.2">
      <c r="N222" s="4"/>
      <c r="O222" s="4"/>
    </row>
    <row r="223" spans="14:15" x14ac:dyDescent="0.2">
      <c r="N223" s="4"/>
      <c r="O223" s="4"/>
    </row>
    <row r="224" spans="14:15" x14ac:dyDescent="0.2">
      <c r="N224" s="4"/>
      <c r="O224" s="4"/>
    </row>
    <row r="225" spans="1:17" x14ac:dyDescent="0.2">
      <c r="N225" s="4"/>
      <c r="O225" s="4"/>
    </row>
    <row r="226" spans="1:17" x14ac:dyDescent="0.2">
      <c r="N226" s="4"/>
      <c r="O226" s="4"/>
    </row>
    <row r="227" spans="1:17" x14ac:dyDescent="0.2">
      <c r="N227" s="4"/>
      <c r="O227" s="4"/>
    </row>
    <row r="228" spans="1:17" x14ac:dyDescent="0.2">
      <c r="N228" s="4"/>
      <c r="O228" s="4"/>
    </row>
    <row r="229" spans="1:17" x14ac:dyDescent="0.2">
      <c r="N229" s="4"/>
      <c r="O229" s="4"/>
    </row>
    <row r="230" spans="1:17" x14ac:dyDescent="0.2">
      <c r="N230" s="4"/>
      <c r="O230" s="4"/>
    </row>
    <row r="231" spans="1:17" x14ac:dyDescent="0.2">
      <c r="N231" s="4"/>
      <c r="O231" s="4"/>
    </row>
    <row r="232" spans="1:17" x14ac:dyDescent="0.2">
      <c r="N232" s="4"/>
      <c r="O232" s="4"/>
    </row>
    <row r="233" spans="1:17" x14ac:dyDescent="0.2">
      <c r="N233" s="4"/>
      <c r="O233" s="4"/>
    </row>
    <row r="234" spans="1:17" x14ac:dyDescent="0.2">
      <c r="N234" s="4"/>
      <c r="O234" s="4"/>
    </row>
    <row r="235" spans="1:17" s="18" customFormat="1" x14ac:dyDescent="0.2">
      <c r="A235"/>
      <c r="B235"/>
      <c r="C235"/>
      <c r="D235"/>
      <c r="E235"/>
      <c r="F235"/>
      <c r="G235"/>
      <c r="H235" s="13"/>
      <c r="I235"/>
      <c r="J235"/>
      <c r="K235"/>
      <c r="L235" s="4"/>
      <c r="M235" s="4"/>
      <c r="N235" s="4"/>
      <c r="O235" s="4"/>
      <c r="P235"/>
      <c r="Q235" s="4"/>
    </row>
    <row r="236" spans="1:17" s="18" customFormat="1" x14ac:dyDescent="0.2">
      <c r="A236"/>
      <c r="B236"/>
      <c r="C236"/>
      <c r="D236"/>
      <c r="E236"/>
      <c r="F236"/>
      <c r="G236"/>
      <c r="H236" s="13"/>
      <c r="I236"/>
      <c r="J236"/>
      <c r="K236"/>
      <c r="L236" s="4"/>
      <c r="M236" s="4"/>
      <c r="N236" s="4"/>
      <c r="O236" s="4"/>
      <c r="P236"/>
      <c r="Q236" s="4"/>
    </row>
    <row r="237" spans="1:17" s="18" customFormat="1" x14ac:dyDescent="0.2">
      <c r="A237"/>
      <c r="B237"/>
      <c r="C237"/>
      <c r="D237"/>
      <c r="E237"/>
      <c r="F237"/>
      <c r="G237"/>
      <c r="H237" s="13"/>
      <c r="I237"/>
      <c r="J237"/>
      <c r="K237"/>
      <c r="L237" s="4"/>
      <c r="M237" s="4"/>
      <c r="N237" s="4"/>
      <c r="O237" s="4"/>
      <c r="P237"/>
      <c r="Q237" s="4"/>
    </row>
    <row r="238" spans="1:17" s="18" customFormat="1" x14ac:dyDescent="0.2">
      <c r="A238"/>
      <c r="B238"/>
      <c r="C238"/>
      <c r="D238"/>
      <c r="E238"/>
      <c r="F238"/>
      <c r="G238"/>
      <c r="H238" s="13"/>
      <c r="I238"/>
      <c r="J238"/>
      <c r="K238"/>
      <c r="L238" s="4"/>
      <c r="M238" s="4"/>
      <c r="N238" s="4"/>
      <c r="O238" s="4"/>
      <c r="P238"/>
      <c r="Q238" s="4"/>
    </row>
    <row r="239" spans="1:17" x14ac:dyDescent="0.2">
      <c r="N239" s="4"/>
      <c r="O239" s="4"/>
    </row>
    <row r="240" spans="1:17" x14ac:dyDescent="0.2">
      <c r="N240" s="4"/>
      <c r="O240" s="4"/>
    </row>
    <row r="241" spans="14:15" x14ac:dyDescent="0.2">
      <c r="N241" s="4"/>
      <c r="O241" s="4"/>
    </row>
    <row r="242" spans="14:15" x14ac:dyDescent="0.2">
      <c r="N242" s="4"/>
      <c r="O242" s="4"/>
    </row>
    <row r="243" spans="14:15" x14ac:dyDescent="0.2">
      <c r="N243" s="4"/>
      <c r="O243" s="4"/>
    </row>
    <row r="244" spans="14:15" x14ac:dyDescent="0.2">
      <c r="N244" s="4"/>
      <c r="O244" s="4"/>
    </row>
    <row r="245" spans="14:15" x14ac:dyDescent="0.2">
      <c r="N245" s="4"/>
      <c r="O245" s="4"/>
    </row>
    <row r="246" spans="14:15" x14ac:dyDescent="0.2">
      <c r="N246" s="4"/>
      <c r="O246" s="4"/>
    </row>
    <row r="247" spans="14:15" x14ac:dyDescent="0.2">
      <c r="N247" s="4"/>
      <c r="O247" s="4"/>
    </row>
    <row r="248" spans="14:15" x14ac:dyDescent="0.2">
      <c r="N248" s="4"/>
      <c r="O248" s="4"/>
    </row>
    <row r="249" spans="14:15" x14ac:dyDescent="0.2">
      <c r="N249" s="4"/>
      <c r="O249" s="4"/>
    </row>
    <row r="250" spans="14:15" x14ac:dyDescent="0.2">
      <c r="N250" s="4"/>
      <c r="O250" s="4"/>
    </row>
    <row r="251" spans="14:15" x14ac:dyDescent="0.2">
      <c r="N251" s="4"/>
      <c r="O251" s="4"/>
    </row>
    <row r="252" spans="14:15" x14ac:dyDescent="0.2">
      <c r="N252" s="4"/>
      <c r="O252" s="4"/>
    </row>
    <row r="253" spans="14:15" x14ac:dyDescent="0.2">
      <c r="N253" s="4"/>
      <c r="O253" s="4"/>
    </row>
    <row r="254" spans="14:15" x14ac:dyDescent="0.2">
      <c r="N254" s="4"/>
      <c r="O254" s="4"/>
    </row>
    <row r="255" spans="14:15" x14ac:dyDescent="0.2">
      <c r="N255" s="4"/>
      <c r="O255" s="4"/>
    </row>
    <row r="256" spans="14:15" x14ac:dyDescent="0.2">
      <c r="N256" s="4"/>
      <c r="O256" s="4"/>
    </row>
    <row r="257" spans="9:15" x14ac:dyDescent="0.2">
      <c r="I257" s="6"/>
      <c r="N257" s="4"/>
      <c r="O257" s="4"/>
    </row>
    <row r="258" spans="9:15" x14ac:dyDescent="0.2">
      <c r="N258" s="4"/>
      <c r="O258" s="4"/>
    </row>
    <row r="259" spans="9:15" x14ac:dyDescent="0.2">
      <c r="N259" s="4"/>
      <c r="O259" s="4"/>
    </row>
    <row r="260" spans="9:15" x14ac:dyDescent="0.2">
      <c r="N260" s="4"/>
      <c r="O260" s="4"/>
    </row>
    <row r="261" spans="9:15" x14ac:dyDescent="0.2">
      <c r="N261" s="4"/>
      <c r="O261" s="4"/>
    </row>
    <row r="262" spans="9:15" x14ac:dyDescent="0.2">
      <c r="N262" s="4"/>
      <c r="O262" s="4"/>
    </row>
    <row r="263" spans="9:15" x14ac:dyDescent="0.2">
      <c r="N263" s="4"/>
      <c r="O263" s="4"/>
    </row>
    <row r="264" spans="9:15" x14ac:dyDescent="0.2">
      <c r="N264" s="4"/>
      <c r="O264" s="4"/>
    </row>
    <row r="265" spans="9:15" x14ac:dyDescent="0.2">
      <c r="N265" s="4"/>
      <c r="O265" s="4"/>
    </row>
    <row r="266" spans="9:15" x14ac:dyDescent="0.2">
      <c r="N266" s="4"/>
      <c r="O266" s="4"/>
    </row>
    <row r="267" spans="9:15" x14ac:dyDescent="0.2">
      <c r="N267" s="4"/>
      <c r="O267" s="4"/>
    </row>
    <row r="268" spans="9:15" x14ac:dyDescent="0.2">
      <c r="N268" s="4"/>
      <c r="O268" s="4"/>
    </row>
    <row r="269" spans="9:15" x14ac:dyDescent="0.2">
      <c r="N269" s="4"/>
      <c r="O269" s="4"/>
    </row>
    <row r="270" spans="9:15" x14ac:dyDescent="0.2">
      <c r="N270" s="4"/>
      <c r="O270" s="4"/>
    </row>
    <row r="271" spans="9:15" x14ac:dyDescent="0.2">
      <c r="N271" s="4"/>
      <c r="O271" s="4"/>
    </row>
    <row r="272" spans="9:15" x14ac:dyDescent="0.2">
      <c r="I272" s="6"/>
      <c r="N272" s="4"/>
      <c r="O272" s="4"/>
    </row>
    <row r="273" spans="14:15" x14ac:dyDescent="0.2">
      <c r="N273" s="4"/>
      <c r="O273" s="4"/>
    </row>
    <row r="274" spans="14:15" x14ac:dyDescent="0.2">
      <c r="N274" s="4"/>
      <c r="O274" s="4"/>
    </row>
    <row r="275" spans="14:15" x14ac:dyDescent="0.2">
      <c r="N275" s="4"/>
      <c r="O275" s="4"/>
    </row>
    <row r="276" spans="14:15" x14ac:dyDescent="0.2">
      <c r="N276" s="4"/>
      <c r="O276" s="4"/>
    </row>
    <row r="277" spans="14:15" x14ac:dyDescent="0.2">
      <c r="N277" s="4"/>
      <c r="O277" s="4"/>
    </row>
    <row r="278" spans="14:15" x14ac:dyDescent="0.2">
      <c r="N278" s="4"/>
      <c r="O278" s="4"/>
    </row>
    <row r="279" spans="14:15" x14ac:dyDescent="0.2">
      <c r="N279" s="4"/>
      <c r="O279" s="4"/>
    </row>
    <row r="280" spans="14:15" x14ac:dyDescent="0.2">
      <c r="N280" s="4"/>
      <c r="O280" s="4"/>
    </row>
    <row r="281" spans="14:15" x14ac:dyDescent="0.2">
      <c r="N281" s="4"/>
      <c r="O281" s="4"/>
    </row>
    <row r="282" spans="14:15" x14ac:dyDescent="0.2">
      <c r="N282" s="4"/>
      <c r="O282" s="4"/>
    </row>
    <row r="283" spans="14:15" x14ac:dyDescent="0.2">
      <c r="N283" s="4"/>
      <c r="O283" s="4"/>
    </row>
    <row r="284" spans="14:15" x14ac:dyDescent="0.2">
      <c r="N284" s="4"/>
      <c r="O284" s="4"/>
    </row>
    <row r="285" spans="14:15" x14ac:dyDescent="0.2">
      <c r="N285" s="4"/>
      <c r="O285" s="4"/>
    </row>
    <row r="286" spans="14:15" x14ac:dyDescent="0.2">
      <c r="N286" s="4"/>
      <c r="O286" s="4"/>
    </row>
    <row r="287" spans="14:15" x14ac:dyDescent="0.2">
      <c r="N287" s="4"/>
      <c r="O287" s="4"/>
    </row>
    <row r="288" spans="14:15" x14ac:dyDescent="0.2">
      <c r="N288" s="4"/>
      <c r="O288" s="4"/>
    </row>
    <row r="289" spans="14:15" x14ac:dyDescent="0.2">
      <c r="N289" s="4"/>
      <c r="O289" s="4"/>
    </row>
    <row r="290" spans="14:15" x14ac:dyDescent="0.2">
      <c r="N290" s="4"/>
      <c r="O290" s="4"/>
    </row>
    <row r="291" spans="14:15" x14ac:dyDescent="0.2">
      <c r="N291" s="4"/>
      <c r="O291" s="4"/>
    </row>
    <row r="292" spans="14:15" x14ac:dyDescent="0.2">
      <c r="N292" s="4"/>
      <c r="O292" s="4"/>
    </row>
    <row r="293" spans="14:15" x14ac:dyDescent="0.2">
      <c r="N293" s="4"/>
      <c r="O293" s="4"/>
    </row>
    <row r="294" spans="14:15" x14ac:dyDescent="0.2">
      <c r="N294" s="4"/>
      <c r="O294" s="4"/>
    </row>
    <row r="295" spans="14:15" x14ac:dyDescent="0.2">
      <c r="N295" s="4"/>
      <c r="O295" s="4"/>
    </row>
    <row r="296" spans="14:15" x14ac:dyDescent="0.2">
      <c r="N296" s="4"/>
      <c r="O296" s="4"/>
    </row>
    <row r="297" spans="14:15" x14ac:dyDescent="0.2">
      <c r="N297" s="4"/>
      <c r="O297" s="4"/>
    </row>
    <row r="298" spans="14:15" x14ac:dyDescent="0.2">
      <c r="N298" s="4"/>
      <c r="O298" s="4"/>
    </row>
    <row r="299" spans="14:15" x14ac:dyDescent="0.2">
      <c r="N299" s="4"/>
      <c r="O299" s="4"/>
    </row>
    <row r="300" spans="14:15" x14ac:dyDescent="0.2">
      <c r="N300" s="4"/>
      <c r="O300" s="4"/>
    </row>
    <row r="301" spans="14:15" x14ac:dyDescent="0.2">
      <c r="N301" s="4"/>
      <c r="O301" s="4"/>
    </row>
    <row r="302" spans="14:15" x14ac:dyDescent="0.2">
      <c r="N302" s="4"/>
      <c r="O302" s="4"/>
    </row>
    <row r="303" spans="14:15" x14ac:dyDescent="0.2">
      <c r="N303" s="4"/>
      <c r="O303" s="4"/>
    </row>
    <row r="304" spans="14:15" x14ac:dyDescent="0.2">
      <c r="N304" s="4"/>
      <c r="O304" s="4"/>
    </row>
    <row r="305" spans="14:15" x14ac:dyDescent="0.2">
      <c r="N305" s="4"/>
      <c r="O305" s="4"/>
    </row>
    <row r="306" spans="14:15" x14ac:dyDescent="0.2">
      <c r="N306" s="4"/>
      <c r="O306" s="4"/>
    </row>
    <row r="307" spans="14:15" x14ac:dyDescent="0.2">
      <c r="N307" s="4"/>
      <c r="O307" s="4"/>
    </row>
    <row r="308" spans="14:15" x14ac:dyDescent="0.2">
      <c r="N308" s="4"/>
      <c r="O308" s="4"/>
    </row>
    <row r="309" spans="14:15" x14ac:dyDescent="0.2">
      <c r="N309" s="4"/>
      <c r="O309" s="4"/>
    </row>
    <row r="310" spans="14:15" x14ac:dyDescent="0.2">
      <c r="N310" s="4"/>
      <c r="O310" s="4"/>
    </row>
    <row r="311" spans="14:15" x14ac:dyDescent="0.2">
      <c r="N311" s="4"/>
      <c r="O311" s="4"/>
    </row>
    <row r="312" spans="14:15" x14ac:dyDescent="0.2">
      <c r="N312" s="4"/>
      <c r="O312" s="4"/>
    </row>
    <row r="313" spans="14:15" x14ac:dyDescent="0.2">
      <c r="N313" s="4"/>
      <c r="O313" s="4"/>
    </row>
    <row r="314" spans="14:15" x14ac:dyDescent="0.2">
      <c r="N314" s="4"/>
      <c r="O314" s="4"/>
    </row>
    <row r="315" spans="14:15" x14ac:dyDescent="0.2">
      <c r="N315" s="4"/>
      <c r="O315" s="4"/>
    </row>
    <row r="316" spans="14:15" x14ac:dyDescent="0.2">
      <c r="N316" s="4"/>
      <c r="O316" s="4"/>
    </row>
    <row r="317" spans="14:15" x14ac:dyDescent="0.2">
      <c r="N317" s="4"/>
      <c r="O317" s="4"/>
    </row>
    <row r="318" spans="14:15" x14ac:dyDescent="0.2">
      <c r="N318" s="4"/>
      <c r="O318" s="4"/>
    </row>
    <row r="319" spans="14:15" x14ac:dyDescent="0.2">
      <c r="N319" s="4"/>
      <c r="O319" s="4"/>
    </row>
    <row r="320" spans="14:15" x14ac:dyDescent="0.2">
      <c r="N320" s="4"/>
      <c r="O320" s="4"/>
    </row>
    <row r="321" spans="14:15" x14ac:dyDescent="0.2">
      <c r="N321" s="4"/>
      <c r="O321" s="4"/>
    </row>
    <row r="322" spans="14:15" x14ac:dyDescent="0.2">
      <c r="N322" s="4"/>
      <c r="O322" s="4"/>
    </row>
    <row r="323" spans="14:15" x14ac:dyDescent="0.2">
      <c r="N323" s="4"/>
      <c r="O323" s="4"/>
    </row>
    <row r="324" spans="14:15" x14ac:dyDescent="0.2">
      <c r="N324" s="4"/>
      <c r="O324" s="4"/>
    </row>
    <row r="325" spans="14:15" x14ac:dyDescent="0.2">
      <c r="N325" s="4"/>
      <c r="O325" s="4"/>
    </row>
    <row r="326" spans="14:15" x14ac:dyDescent="0.2">
      <c r="N326" s="4"/>
      <c r="O326" s="4"/>
    </row>
    <row r="327" spans="14:15" x14ac:dyDescent="0.2">
      <c r="N327" s="4"/>
      <c r="O327" s="4"/>
    </row>
    <row r="328" spans="14:15" x14ac:dyDescent="0.2">
      <c r="N328" s="4"/>
      <c r="O328" s="4"/>
    </row>
    <row r="329" spans="14:15" x14ac:dyDescent="0.2">
      <c r="N329" s="4"/>
      <c r="O329" s="4"/>
    </row>
    <row r="330" spans="14:15" x14ac:dyDescent="0.2">
      <c r="N330" s="4"/>
      <c r="O330" s="4"/>
    </row>
    <row r="331" spans="14:15" x14ac:dyDescent="0.2">
      <c r="N331" s="4"/>
      <c r="O331" s="4"/>
    </row>
    <row r="332" spans="14:15" x14ac:dyDescent="0.2">
      <c r="N332" s="4"/>
      <c r="O332" s="4"/>
    </row>
    <row r="333" spans="14:15" x14ac:dyDescent="0.2">
      <c r="N333" s="4"/>
      <c r="O333" s="4"/>
    </row>
    <row r="334" spans="14:15" x14ac:dyDescent="0.2">
      <c r="N334" s="4"/>
      <c r="O334" s="4"/>
    </row>
    <row r="335" spans="14:15" x14ac:dyDescent="0.2">
      <c r="N335" s="4"/>
      <c r="O335" s="4"/>
    </row>
    <row r="336" spans="14:15" x14ac:dyDescent="0.2">
      <c r="N336" s="4"/>
      <c r="O336" s="4"/>
    </row>
    <row r="337" spans="9:15" x14ac:dyDescent="0.2">
      <c r="N337" s="4"/>
      <c r="O337" s="4"/>
    </row>
    <row r="338" spans="9:15" x14ac:dyDescent="0.2">
      <c r="N338" s="4"/>
      <c r="O338" s="4"/>
    </row>
    <row r="339" spans="9:15" x14ac:dyDescent="0.2">
      <c r="N339" s="4"/>
      <c r="O339" s="4"/>
    </row>
    <row r="340" spans="9:15" x14ac:dyDescent="0.2">
      <c r="N340" s="4"/>
      <c r="O340" s="4"/>
    </row>
    <row r="341" spans="9:15" x14ac:dyDescent="0.2">
      <c r="N341" s="4"/>
      <c r="O341" s="4"/>
    </row>
    <row r="342" spans="9:15" x14ac:dyDescent="0.2">
      <c r="N342" s="4"/>
      <c r="O342" s="4"/>
    </row>
    <row r="343" spans="9:15" x14ac:dyDescent="0.2">
      <c r="I343" s="6"/>
      <c r="N343" s="4"/>
      <c r="O343" s="4"/>
    </row>
    <row r="344" spans="9:15" x14ac:dyDescent="0.2">
      <c r="N344" s="4"/>
      <c r="O344" s="4"/>
    </row>
    <row r="345" spans="9:15" x14ac:dyDescent="0.2">
      <c r="I345" s="6"/>
      <c r="N345" s="4"/>
      <c r="O345" s="4"/>
    </row>
    <row r="346" spans="9:15" x14ac:dyDescent="0.2">
      <c r="I346" s="6"/>
      <c r="N346" s="4"/>
      <c r="O346" s="4"/>
    </row>
    <row r="347" spans="9:15" x14ac:dyDescent="0.2">
      <c r="N347" s="4"/>
      <c r="O347" s="4"/>
    </row>
    <row r="354" spans="9:9" x14ac:dyDescent="0.2">
      <c r="I354" s="6"/>
    </row>
    <row r="355" spans="9:9" x14ac:dyDescent="0.2">
      <c r="I355" s="6"/>
    </row>
    <row r="356" spans="9:9" x14ac:dyDescent="0.2">
      <c r="I356" s="6"/>
    </row>
    <row r="357" spans="9:9" x14ac:dyDescent="0.2">
      <c r="I357" s="6"/>
    </row>
    <row r="361" spans="9:9" x14ac:dyDescent="0.2">
      <c r="I361" s="6"/>
    </row>
    <row r="362" spans="9:9" x14ac:dyDescent="0.2">
      <c r="I362" s="6"/>
    </row>
    <row r="370" spans="9:9" x14ac:dyDescent="0.2">
      <c r="I370" s="6"/>
    </row>
    <row r="379" spans="9:9" x14ac:dyDescent="0.2">
      <c r="I379" s="6"/>
    </row>
    <row r="382" spans="9:9" x14ac:dyDescent="0.2">
      <c r="I382" s="6"/>
    </row>
    <row r="384" spans="9:9" x14ac:dyDescent="0.2">
      <c r="I384" s="6"/>
    </row>
    <row r="396" spans="9:9" x14ac:dyDescent="0.2">
      <c r="I396" s="6"/>
    </row>
    <row r="398" spans="9:9" x14ac:dyDescent="0.2">
      <c r="I398" s="6"/>
    </row>
    <row r="399" spans="9:9" x14ac:dyDescent="0.2">
      <c r="I399" s="6"/>
    </row>
    <row r="409" spans="1:17" s="18" customFormat="1" x14ac:dyDescent="0.2">
      <c r="A409"/>
      <c r="B409"/>
      <c r="C409"/>
      <c r="D409"/>
      <c r="E409"/>
      <c r="F409"/>
      <c r="G409"/>
      <c r="H409" s="13"/>
      <c r="I409"/>
      <c r="J409"/>
      <c r="K409"/>
      <c r="L409" s="4"/>
      <c r="M409" s="4"/>
      <c r="N409"/>
      <c r="O409"/>
      <c r="P409"/>
      <c r="Q409" s="4"/>
    </row>
    <row r="410" spans="1:17" s="18" customFormat="1" x14ac:dyDescent="0.2">
      <c r="A410"/>
      <c r="B410"/>
      <c r="C410"/>
      <c r="D410"/>
      <c r="E410"/>
      <c r="F410"/>
      <c r="G410"/>
      <c r="H410" s="13"/>
      <c r="I410"/>
      <c r="J410"/>
      <c r="K410"/>
      <c r="L410" s="4"/>
      <c r="M410" s="4"/>
      <c r="N410"/>
      <c r="O410"/>
      <c r="P410"/>
      <c r="Q410" s="4"/>
    </row>
    <row r="411" spans="1:17" s="18" customFormat="1" x14ac:dyDescent="0.2">
      <c r="A411"/>
      <c r="B411"/>
      <c r="C411"/>
      <c r="D411"/>
      <c r="E411"/>
      <c r="F411"/>
      <c r="G411"/>
      <c r="H411" s="13"/>
      <c r="I411"/>
      <c r="J411"/>
      <c r="K411"/>
      <c r="L411" s="4"/>
      <c r="M411" s="4"/>
      <c r="N411"/>
      <c r="O411"/>
      <c r="P411"/>
      <c r="Q411" s="4"/>
    </row>
    <row r="421" spans="9:9" x14ac:dyDescent="0.2">
      <c r="I421" s="6"/>
    </row>
    <row r="439" spans="9:9" x14ac:dyDescent="0.2">
      <c r="I439" s="6"/>
    </row>
    <row r="440" spans="9:9" x14ac:dyDescent="0.2">
      <c r="I440" s="6"/>
    </row>
    <row r="441" spans="9:9" x14ac:dyDescent="0.2">
      <c r="I441" s="6"/>
    </row>
    <row r="442" spans="9:9" x14ac:dyDescent="0.2">
      <c r="I442" s="6"/>
    </row>
    <row r="449" spans="9:9" x14ac:dyDescent="0.2">
      <c r="I449" s="6"/>
    </row>
    <row r="454" spans="9:9" x14ac:dyDescent="0.2">
      <c r="I454" s="6"/>
    </row>
    <row r="455" spans="9:9" x14ac:dyDescent="0.2">
      <c r="I455" s="6"/>
    </row>
    <row r="470" spans="9:9" x14ac:dyDescent="0.2">
      <c r="I470" s="6"/>
    </row>
    <row r="471" spans="9:9" x14ac:dyDescent="0.2">
      <c r="I471" s="6"/>
    </row>
    <row r="481" spans="9:9" x14ac:dyDescent="0.2">
      <c r="I481" s="6"/>
    </row>
    <row r="482" spans="9:9" x14ac:dyDescent="0.2">
      <c r="I482" s="6"/>
    </row>
    <row r="484" spans="9:9" x14ac:dyDescent="0.2">
      <c r="I484" s="6"/>
    </row>
    <row r="485" spans="9:9" x14ac:dyDescent="0.2">
      <c r="I485" s="6"/>
    </row>
    <row r="490" spans="9:9" x14ac:dyDescent="0.2">
      <c r="I490" s="6"/>
    </row>
    <row r="517" spans="9:9" x14ac:dyDescent="0.2">
      <c r="I517" s="6"/>
    </row>
    <row r="543" spans="9:9" x14ac:dyDescent="0.2">
      <c r="I543" s="6"/>
    </row>
    <row r="549" spans="9:9" x14ac:dyDescent="0.2">
      <c r="I549" s="6"/>
    </row>
    <row r="550" spans="9:9" x14ac:dyDescent="0.2">
      <c r="I550" s="6"/>
    </row>
    <row r="555" spans="9:9" x14ac:dyDescent="0.2">
      <c r="I555" s="6"/>
    </row>
    <row r="556" spans="9:9" x14ac:dyDescent="0.2">
      <c r="I556" s="6"/>
    </row>
    <row r="558" spans="9:9" x14ac:dyDescent="0.2">
      <c r="I558" s="6"/>
    </row>
    <row r="560" spans="9:9" x14ac:dyDescent="0.2">
      <c r="I560" s="6"/>
    </row>
    <row r="561" spans="9:9" x14ac:dyDescent="0.2">
      <c r="I561" s="6"/>
    </row>
    <row r="562" spans="9:9" x14ac:dyDescent="0.2">
      <c r="I562" s="6"/>
    </row>
    <row r="569" spans="9:9" x14ac:dyDescent="0.2">
      <c r="I569" s="6"/>
    </row>
    <row r="571" spans="9:9" x14ac:dyDescent="0.2">
      <c r="I571" s="6"/>
    </row>
    <row r="572" spans="9:9" x14ac:dyDescent="0.2">
      <c r="I572" s="6"/>
    </row>
    <row r="574" spans="9:9" x14ac:dyDescent="0.2">
      <c r="I574" s="6"/>
    </row>
    <row r="575" spans="9:9" x14ac:dyDescent="0.2">
      <c r="I575" s="6"/>
    </row>
    <row r="581" spans="9:9" x14ac:dyDescent="0.2">
      <c r="I581" s="6"/>
    </row>
    <row r="582" spans="9:9" x14ac:dyDescent="0.2">
      <c r="I582" s="6"/>
    </row>
    <row r="583" spans="9:9" x14ac:dyDescent="0.2">
      <c r="I583" s="6"/>
    </row>
    <row r="584" spans="9:9" x14ac:dyDescent="0.2">
      <c r="I584" s="6"/>
    </row>
    <row r="586" spans="9:9" x14ac:dyDescent="0.2">
      <c r="I586" s="6"/>
    </row>
    <row r="588" spans="9:9" x14ac:dyDescent="0.2">
      <c r="I588" s="6"/>
    </row>
    <row r="589" spans="9:9" x14ac:dyDescent="0.2">
      <c r="I589" s="6"/>
    </row>
    <row r="592" spans="9:9" x14ac:dyDescent="0.2">
      <c r="I592" s="6"/>
    </row>
    <row r="593" spans="9:9" x14ac:dyDescent="0.2">
      <c r="I593" s="6"/>
    </row>
    <row r="594" spans="9:9" x14ac:dyDescent="0.2">
      <c r="I594" s="6"/>
    </row>
    <row r="595" spans="9:9" x14ac:dyDescent="0.2">
      <c r="I595" s="6"/>
    </row>
    <row r="599" spans="9:9" x14ac:dyDescent="0.2">
      <c r="I599" s="6"/>
    </row>
    <row r="600" spans="9:9" x14ac:dyDescent="0.2">
      <c r="I600" s="6"/>
    </row>
    <row r="603" spans="9:9" x14ac:dyDescent="0.2">
      <c r="I603" s="6"/>
    </row>
    <row r="604" spans="9:9" x14ac:dyDescent="0.2">
      <c r="I604" s="6"/>
    </row>
    <row r="605" spans="9:9" x14ac:dyDescent="0.2">
      <c r="I605" s="6"/>
    </row>
    <row r="609" spans="9:9" x14ac:dyDescent="0.2">
      <c r="I609" s="6"/>
    </row>
    <row r="611" spans="9:9" x14ac:dyDescent="0.2">
      <c r="I611" s="6"/>
    </row>
    <row r="616" spans="9:9" x14ac:dyDescent="0.2">
      <c r="I616" s="6"/>
    </row>
    <row r="617" spans="9:9" x14ac:dyDescent="0.2">
      <c r="I617" s="6"/>
    </row>
    <row r="618" spans="9:9" x14ac:dyDescent="0.2">
      <c r="I618" s="6"/>
    </row>
    <row r="619" spans="9:9" x14ac:dyDescent="0.2">
      <c r="I619" s="6"/>
    </row>
    <row r="620" spans="9:9" x14ac:dyDescent="0.2">
      <c r="I620" s="6"/>
    </row>
    <row r="621" spans="9:9" x14ac:dyDescent="0.2">
      <c r="I621" s="6"/>
    </row>
    <row r="622" spans="9:9" x14ac:dyDescent="0.2">
      <c r="I622" s="6"/>
    </row>
    <row r="623" spans="9:9" x14ac:dyDescent="0.2">
      <c r="I623" s="6"/>
    </row>
    <row r="624" spans="9:9" x14ac:dyDescent="0.2">
      <c r="I624" s="6"/>
    </row>
    <row r="625" spans="9:15" x14ac:dyDescent="0.2">
      <c r="I625" s="6"/>
    </row>
    <row r="627" spans="9:15" x14ac:dyDescent="0.2">
      <c r="I627" s="6"/>
    </row>
    <row r="635" spans="9:15" x14ac:dyDescent="0.2">
      <c r="N635" s="4"/>
      <c r="O635" s="4"/>
    </row>
    <row r="636" spans="9:15" x14ac:dyDescent="0.2">
      <c r="N636" s="4"/>
      <c r="O636" s="4"/>
    </row>
    <row r="637" spans="9:15" x14ac:dyDescent="0.2">
      <c r="N637" s="4"/>
      <c r="O637" s="4"/>
    </row>
    <row r="638" spans="9:15" x14ac:dyDescent="0.2">
      <c r="N638" s="4"/>
      <c r="O638" s="4"/>
    </row>
    <row r="639" spans="9:15" x14ac:dyDescent="0.2">
      <c r="N639" s="4"/>
      <c r="O639" s="4"/>
    </row>
    <row r="640" spans="9:15" x14ac:dyDescent="0.2">
      <c r="N640" s="4"/>
      <c r="O640" s="4"/>
    </row>
    <row r="641" spans="14:15" x14ac:dyDescent="0.2">
      <c r="N641" s="4"/>
      <c r="O641" s="4"/>
    </row>
    <row r="642" spans="14:15" x14ac:dyDescent="0.2">
      <c r="N642" s="4"/>
      <c r="O642" s="4"/>
    </row>
    <row r="643" spans="14:15" x14ac:dyDescent="0.2">
      <c r="N643" s="4"/>
      <c r="O643" s="4"/>
    </row>
    <row r="644" spans="14:15" x14ac:dyDescent="0.2">
      <c r="N644" s="4"/>
      <c r="O644" s="4"/>
    </row>
    <row r="645" spans="14:15" x14ac:dyDescent="0.2">
      <c r="N645" s="4"/>
      <c r="O645" s="4"/>
    </row>
    <row r="646" spans="14:15" x14ac:dyDescent="0.2">
      <c r="N646" s="4"/>
      <c r="O646" s="4"/>
    </row>
    <row r="647" spans="14:15" x14ac:dyDescent="0.2">
      <c r="N647" s="4"/>
      <c r="O647" s="4"/>
    </row>
    <row r="648" spans="14:15" x14ac:dyDescent="0.2">
      <c r="N648" s="4"/>
      <c r="O648" s="4"/>
    </row>
    <row r="649" spans="14:15" x14ac:dyDescent="0.2">
      <c r="N649" s="4"/>
      <c r="O649" s="4"/>
    </row>
    <row r="650" spans="14:15" x14ac:dyDescent="0.2">
      <c r="N650" s="4"/>
    </row>
    <row r="651" spans="14:15" x14ac:dyDescent="0.2">
      <c r="N651" s="4"/>
    </row>
    <row r="652" spans="14:15" x14ac:dyDescent="0.2">
      <c r="N652" s="4"/>
    </row>
    <row r="653" spans="14:15" x14ac:dyDescent="0.2">
      <c r="N653" s="4"/>
    </row>
    <row r="654" spans="14:15" x14ac:dyDescent="0.2">
      <c r="N654" s="4"/>
    </row>
    <row r="655" spans="14:15" x14ac:dyDescent="0.2">
      <c r="N655" s="4"/>
    </row>
    <row r="656" spans="14:15" x14ac:dyDescent="0.2">
      <c r="N656" s="4"/>
    </row>
    <row r="657" spans="1:17" s="18" customFormat="1" x14ac:dyDescent="0.2">
      <c r="A657"/>
      <c r="B657"/>
      <c r="C657"/>
      <c r="D657"/>
      <c r="E657"/>
      <c r="F657"/>
      <c r="G657"/>
      <c r="H657" s="13"/>
      <c r="I657"/>
      <c r="J657"/>
      <c r="K657"/>
      <c r="L657" s="4"/>
      <c r="M657" s="4"/>
      <c r="N657" s="4"/>
      <c r="O657"/>
      <c r="P657"/>
      <c r="Q657" s="4"/>
    </row>
    <row r="658" spans="1:17" s="18" customFormat="1" x14ac:dyDescent="0.2">
      <c r="A658"/>
      <c r="B658"/>
      <c r="C658"/>
      <c r="D658"/>
      <c r="E658"/>
      <c r="F658"/>
      <c r="G658"/>
      <c r="H658" s="13"/>
      <c r="I658"/>
      <c r="J658"/>
      <c r="K658"/>
      <c r="L658" s="4"/>
      <c r="M658" s="4"/>
      <c r="N658" s="4"/>
      <c r="O658"/>
      <c r="P658"/>
      <c r="Q658" s="4"/>
    </row>
    <row r="659" spans="1:17" s="18" customFormat="1" x14ac:dyDescent="0.2">
      <c r="A659"/>
      <c r="B659"/>
      <c r="C659"/>
      <c r="D659"/>
      <c r="E659"/>
      <c r="F659"/>
      <c r="G659"/>
      <c r="H659" s="13"/>
      <c r="I659"/>
      <c r="J659"/>
      <c r="K659"/>
      <c r="L659" s="4"/>
      <c r="M659" s="4"/>
      <c r="N659" s="4"/>
      <c r="O659"/>
      <c r="P659"/>
      <c r="Q659" s="4"/>
    </row>
    <row r="660" spans="1:17" s="18" customFormat="1" x14ac:dyDescent="0.2">
      <c r="A660"/>
      <c r="B660"/>
      <c r="C660"/>
      <c r="D660"/>
      <c r="E660"/>
      <c r="F660"/>
      <c r="G660"/>
      <c r="H660" s="13"/>
      <c r="I660" s="6"/>
      <c r="J660"/>
      <c r="K660"/>
      <c r="L660" s="4"/>
      <c r="M660" s="4"/>
      <c r="N660" s="4"/>
      <c r="O660" s="4"/>
      <c r="P660"/>
      <c r="Q660" s="4"/>
    </row>
    <row r="661" spans="1:17" s="18" customFormat="1" x14ac:dyDescent="0.2">
      <c r="A661"/>
      <c r="B661"/>
      <c r="C661"/>
      <c r="D661"/>
      <c r="E661"/>
      <c r="F661"/>
      <c r="G661"/>
      <c r="H661" s="13"/>
      <c r="I661" s="6"/>
      <c r="J661"/>
      <c r="K661"/>
      <c r="L661" s="4"/>
      <c r="M661" s="4"/>
      <c r="N661" s="4"/>
      <c r="O661" s="4"/>
      <c r="P661"/>
      <c r="Q661" s="4"/>
    </row>
    <row r="662" spans="1:17" s="18" customFormat="1" x14ac:dyDescent="0.2">
      <c r="A662"/>
      <c r="B662"/>
      <c r="C662"/>
      <c r="D662"/>
      <c r="E662"/>
      <c r="F662"/>
      <c r="G662"/>
      <c r="H662" s="13"/>
      <c r="I662"/>
      <c r="J662"/>
      <c r="K662"/>
      <c r="L662" s="4"/>
      <c r="M662" s="4"/>
      <c r="N662" s="4"/>
      <c r="O662" s="4"/>
      <c r="P662"/>
      <c r="Q662" s="4"/>
    </row>
    <row r="663" spans="1:17" s="18" customFormat="1" x14ac:dyDescent="0.2">
      <c r="A663"/>
      <c r="B663"/>
      <c r="C663"/>
      <c r="D663"/>
      <c r="E663"/>
      <c r="F663"/>
      <c r="G663"/>
      <c r="H663" s="13"/>
      <c r="I663"/>
      <c r="J663"/>
      <c r="K663"/>
      <c r="L663" s="4"/>
      <c r="M663" s="4"/>
      <c r="N663" s="4"/>
      <c r="O663" s="4"/>
      <c r="P663"/>
      <c r="Q663" s="4"/>
    </row>
    <row r="664" spans="1:17" s="18" customFormat="1" x14ac:dyDescent="0.2">
      <c r="A664"/>
      <c r="B664"/>
      <c r="C664"/>
      <c r="D664"/>
      <c r="E664"/>
      <c r="F664"/>
      <c r="G664"/>
      <c r="H664" s="13"/>
      <c r="I664"/>
      <c r="J664"/>
      <c r="K664"/>
      <c r="L664" s="4"/>
      <c r="M664" s="4"/>
      <c r="N664" s="4"/>
      <c r="O664" s="4"/>
      <c r="P664"/>
      <c r="Q664" s="4"/>
    </row>
    <row r="665" spans="1:17" x14ac:dyDescent="0.2">
      <c r="N665" s="4"/>
      <c r="O665" s="4"/>
    </row>
    <row r="666" spans="1:17" x14ac:dyDescent="0.2">
      <c r="I666" s="6"/>
      <c r="N666" s="4"/>
      <c r="O666" s="4"/>
    </row>
    <row r="667" spans="1:17" x14ac:dyDescent="0.2">
      <c r="N667" s="4"/>
      <c r="O667" s="4"/>
    </row>
    <row r="668" spans="1:17" x14ac:dyDescent="0.2">
      <c r="N668" s="4"/>
      <c r="O668" s="4"/>
    </row>
    <row r="669" spans="1:17" x14ac:dyDescent="0.2">
      <c r="I669" s="6"/>
      <c r="N669" s="4"/>
      <c r="O669" s="4"/>
    </row>
    <row r="670" spans="1:17" x14ac:dyDescent="0.2">
      <c r="N670" s="4"/>
      <c r="O670" s="4"/>
    </row>
    <row r="671" spans="1:17" x14ac:dyDescent="0.2">
      <c r="N671" s="4"/>
      <c r="O671" s="4"/>
    </row>
    <row r="672" spans="1:17" x14ac:dyDescent="0.2">
      <c r="I672" s="6"/>
      <c r="N672" s="4"/>
      <c r="O672" s="4"/>
    </row>
    <row r="673" spans="9:15" x14ac:dyDescent="0.2">
      <c r="N673" s="4"/>
      <c r="O673" s="4"/>
    </row>
    <row r="674" spans="9:15" x14ac:dyDescent="0.2">
      <c r="I674" s="6"/>
      <c r="N674" s="4"/>
      <c r="O674" s="4"/>
    </row>
    <row r="675" spans="9:15" x14ac:dyDescent="0.2">
      <c r="N675" s="4"/>
      <c r="O675" s="4"/>
    </row>
    <row r="676" spans="9:15" x14ac:dyDescent="0.2">
      <c r="N676" s="4"/>
      <c r="O676" s="4"/>
    </row>
    <row r="677" spans="9:15" x14ac:dyDescent="0.2">
      <c r="I677" s="6"/>
      <c r="N677" s="4"/>
      <c r="O677" s="4"/>
    </row>
    <row r="678" spans="9:15" x14ac:dyDescent="0.2">
      <c r="I678" s="6"/>
      <c r="N678" s="4"/>
      <c r="O678" s="4"/>
    </row>
    <row r="679" spans="9:15" x14ac:dyDescent="0.2">
      <c r="I679" s="6"/>
      <c r="N679" s="4"/>
      <c r="O679" s="4"/>
    </row>
    <row r="680" spans="9:15" x14ac:dyDescent="0.2">
      <c r="I680" s="6"/>
      <c r="N680" s="4"/>
    </row>
    <row r="681" spans="9:15" x14ac:dyDescent="0.2">
      <c r="N681" s="4"/>
    </row>
    <row r="682" spans="9:15" x14ac:dyDescent="0.2">
      <c r="N682" s="4"/>
    </row>
    <row r="683" spans="9:15" x14ac:dyDescent="0.2">
      <c r="I683" s="6"/>
      <c r="N683" s="4"/>
    </row>
    <row r="684" spans="9:15" x14ac:dyDescent="0.2">
      <c r="N684" s="4"/>
    </row>
    <row r="685" spans="9:15" x14ac:dyDescent="0.2">
      <c r="I685" s="6"/>
      <c r="N685" s="4"/>
    </row>
    <row r="686" spans="9:15" x14ac:dyDescent="0.2">
      <c r="I686" s="6"/>
      <c r="N686" s="4"/>
    </row>
    <row r="687" spans="9:15" x14ac:dyDescent="0.2">
      <c r="I687" s="6"/>
      <c r="N687" s="4"/>
    </row>
    <row r="688" spans="9:15" x14ac:dyDescent="0.2">
      <c r="N688" s="4"/>
    </row>
    <row r="689" spans="9:15" x14ac:dyDescent="0.2">
      <c r="I689" s="6"/>
      <c r="N689" s="4"/>
    </row>
    <row r="690" spans="9:15" x14ac:dyDescent="0.2">
      <c r="N690" s="4"/>
    </row>
    <row r="691" spans="9:15" x14ac:dyDescent="0.2">
      <c r="N691" s="4"/>
    </row>
    <row r="692" spans="9:15" x14ac:dyDescent="0.2">
      <c r="N692" s="4"/>
    </row>
    <row r="693" spans="9:15" x14ac:dyDescent="0.2">
      <c r="N693" s="4"/>
    </row>
    <row r="694" spans="9:15" x14ac:dyDescent="0.2">
      <c r="N694" s="4"/>
    </row>
    <row r="695" spans="9:15" x14ac:dyDescent="0.2">
      <c r="N695" s="4"/>
      <c r="O695" s="4"/>
    </row>
    <row r="696" spans="9:15" x14ac:dyDescent="0.2">
      <c r="N696" s="4"/>
      <c r="O696" s="4"/>
    </row>
    <row r="697" spans="9:15" x14ac:dyDescent="0.2">
      <c r="N697" s="4"/>
      <c r="O697" s="4"/>
    </row>
    <row r="698" spans="9:15" x14ac:dyDescent="0.2">
      <c r="N698" s="4"/>
      <c r="O698" s="4"/>
    </row>
    <row r="699" spans="9:15" x14ac:dyDescent="0.2">
      <c r="N699" s="4"/>
      <c r="O699" s="4"/>
    </row>
    <row r="700" spans="9:15" x14ac:dyDescent="0.2">
      <c r="N700" s="4"/>
      <c r="O700" s="4"/>
    </row>
    <row r="701" spans="9:15" x14ac:dyDescent="0.2">
      <c r="N701" s="4"/>
      <c r="O701" s="4"/>
    </row>
    <row r="702" spans="9:15" x14ac:dyDescent="0.2">
      <c r="N702" s="4"/>
      <c r="O702" s="4"/>
    </row>
    <row r="703" spans="9:15" x14ac:dyDescent="0.2">
      <c r="I703" s="6"/>
      <c r="N703" s="4"/>
    </row>
    <row r="704" spans="9:15" x14ac:dyDescent="0.2">
      <c r="I704" s="6"/>
      <c r="N704" s="4"/>
    </row>
    <row r="705" spans="9:14" x14ac:dyDescent="0.2">
      <c r="N705" s="4"/>
    </row>
    <row r="706" spans="9:14" x14ac:dyDescent="0.2">
      <c r="N706" s="4"/>
    </row>
    <row r="707" spans="9:14" x14ac:dyDescent="0.2">
      <c r="N707" s="4"/>
    </row>
    <row r="708" spans="9:14" x14ac:dyDescent="0.2">
      <c r="N708" s="4"/>
    </row>
    <row r="709" spans="9:14" x14ac:dyDescent="0.2">
      <c r="I709" s="6"/>
      <c r="N709" s="4"/>
    </row>
    <row r="710" spans="9:14" x14ac:dyDescent="0.2">
      <c r="I710" s="6"/>
      <c r="N710" s="4"/>
    </row>
    <row r="711" spans="9:14" x14ac:dyDescent="0.2">
      <c r="I711" s="6"/>
      <c r="N711" s="4"/>
    </row>
    <row r="712" spans="9:14" x14ac:dyDescent="0.2">
      <c r="I712" s="6"/>
      <c r="N712" s="4"/>
    </row>
    <row r="713" spans="9:14" x14ac:dyDescent="0.2">
      <c r="I713" s="6"/>
      <c r="N713" s="4"/>
    </row>
    <row r="714" spans="9:14" x14ac:dyDescent="0.2">
      <c r="I714" s="6"/>
      <c r="N714" s="4"/>
    </row>
    <row r="715" spans="9:14" x14ac:dyDescent="0.2">
      <c r="N715" s="4"/>
    </row>
    <row r="716" spans="9:14" x14ac:dyDescent="0.2">
      <c r="N716" s="4"/>
    </row>
    <row r="717" spans="9:14" x14ac:dyDescent="0.2">
      <c r="N717" s="4"/>
    </row>
    <row r="718" spans="9:14" x14ac:dyDescent="0.2">
      <c r="N718" s="4"/>
    </row>
    <row r="719" spans="9:14" x14ac:dyDescent="0.2">
      <c r="N719" s="4"/>
    </row>
    <row r="720" spans="9:14" x14ac:dyDescent="0.2">
      <c r="N720" s="4"/>
    </row>
    <row r="721" spans="9:14" x14ac:dyDescent="0.2">
      <c r="I721" s="6"/>
      <c r="N721" s="4"/>
    </row>
    <row r="722" spans="9:14" x14ac:dyDescent="0.2">
      <c r="N722" s="4"/>
    </row>
    <row r="723" spans="9:14" x14ac:dyDescent="0.2">
      <c r="N723" s="4"/>
    </row>
    <row r="724" spans="9:14" x14ac:dyDescent="0.2">
      <c r="I724" s="6"/>
      <c r="N724" s="4"/>
    </row>
    <row r="725" spans="9:14" x14ac:dyDescent="0.2">
      <c r="N725" s="4"/>
    </row>
    <row r="726" spans="9:14" x14ac:dyDescent="0.2">
      <c r="N726" s="4"/>
    </row>
    <row r="727" spans="9:14" x14ac:dyDescent="0.2">
      <c r="N727" s="4"/>
    </row>
    <row r="728" spans="9:14" x14ac:dyDescent="0.2">
      <c r="N728" s="4"/>
    </row>
    <row r="729" spans="9:14" x14ac:dyDescent="0.2">
      <c r="N729" s="4"/>
    </row>
    <row r="730" spans="9:14" x14ac:dyDescent="0.2">
      <c r="N730" s="4"/>
    </row>
    <row r="731" spans="9:14" x14ac:dyDescent="0.2">
      <c r="N731" s="4"/>
    </row>
    <row r="732" spans="9:14" x14ac:dyDescent="0.2">
      <c r="N732" s="4"/>
    </row>
    <row r="733" spans="9:14" x14ac:dyDescent="0.2">
      <c r="I733" s="6"/>
      <c r="N733" s="4"/>
    </row>
    <row r="734" spans="9:14" x14ac:dyDescent="0.2">
      <c r="N734" s="4"/>
    </row>
    <row r="735" spans="9:14" x14ac:dyDescent="0.2">
      <c r="N735" s="4"/>
    </row>
    <row r="736" spans="9:14" x14ac:dyDescent="0.2">
      <c r="N736" s="4"/>
    </row>
    <row r="737" spans="9:14" x14ac:dyDescent="0.2">
      <c r="N737" s="4"/>
    </row>
    <row r="738" spans="9:14" x14ac:dyDescent="0.2">
      <c r="I738" s="6"/>
      <c r="N738" s="4"/>
    </row>
    <row r="739" spans="9:14" x14ac:dyDescent="0.2">
      <c r="N739" s="4"/>
    </row>
    <row r="740" spans="9:14" x14ac:dyDescent="0.2">
      <c r="N740" s="4"/>
    </row>
    <row r="741" spans="9:14" x14ac:dyDescent="0.2">
      <c r="N741" s="4"/>
    </row>
    <row r="742" spans="9:14" x14ac:dyDescent="0.2">
      <c r="N742" s="4"/>
    </row>
    <row r="743" spans="9:14" x14ac:dyDescent="0.2">
      <c r="N743" s="4"/>
    </row>
    <row r="744" spans="9:14" x14ac:dyDescent="0.2">
      <c r="I744" s="6"/>
      <c r="N744" s="4"/>
    </row>
    <row r="745" spans="9:14" x14ac:dyDescent="0.2">
      <c r="N745" s="4"/>
    </row>
    <row r="746" spans="9:14" x14ac:dyDescent="0.2">
      <c r="I746" s="6"/>
      <c r="N746" s="4"/>
    </row>
    <row r="747" spans="9:14" x14ac:dyDescent="0.2">
      <c r="N747" s="4"/>
    </row>
    <row r="748" spans="9:14" x14ac:dyDescent="0.2">
      <c r="N748" s="4"/>
    </row>
    <row r="749" spans="9:14" x14ac:dyDescent="0.2">
      <c r="N749" s="4"/>
    </row>
    <row r="750" spans="9:14" x14ac:dyDescent="0.2">
      <c r="N750" s="4"/>
    </row>
    <row r="751" spans="9:14" x14ac:dyDescent="0.2">
      <c r="N751" s="4"/>
    </row>
    <row r="752" spans="9:14" x14ac:dyDescent="0.2">
      <c r="N752" s="4"/>
    </row>
    <row r="756" spans="9:9" x14ac:dyDescent="0.2">
      <c r="I756" s="6"/>
    </row>
    <row r="763" spans="9:9" x14ac:dyDescent="0.2">
      <c r="I763" s="6"/>
    </row>
    <row r="765" spans="9:9" x14ac:dyDescent="0.2">
      <c r="I765" s="6"/>
    </row>
    <row r="766" spans="9:9" x14ac:dyDescent="0.2">
      <c r="I766" s="6"/>
    </row>
    <row r="774" spans="9:9" x14ac:dyDescent="0.2">
      <c r="I774" s="6"/>
    </row>
    <row r="775" spans="9:9" x14ac:dyDescent="0.2">
      <c r="I775" s="6"/>
    </row>
    <row r="777" spans="9:9" x14ac:dyDescent="0.2">
      <c r="I777" s="6"/>
    </row>
    <row r="782" spans="9:9" x14ac:dyDescent="0.2">
      <c r="I782" s="6"/>
    </row>
    <row r="784" spans="9:9" x14ac:dyDescent="0.2">
      <c r="I784" s="6"/>
    </row>
    <row r="785" spans="9:9" x14ac:dyDescent="0.2">
      <c r="I785" s="6"/>
    </row>
    <row r="786" spans="9:9" x14ac:dyDescent="0.2">
      <c r="I786" s="6"/>
    </row>
    <row r="803" spans="9:9" x14ac:dyDescent="0.2">
      <c r="I803" s="6"/>
    </row>
    <row r="804" spans="9:9" x14ac:dyDescent="0.2">
      <c r="I804" s="6"/>
    </row>
    <row r="805" spans="9:9" x14ac:dyDescent="0.2">
      <c r="I805" s="6"/>
    </row>
    <row r="806" spans="9:9" x14ac:dyDescent="0.2">
      <c r="I806" s="6"/>
    </row>
    <row r="807" spans="9:9" x14ac:dyDescent="0.2">
      <c r="I807" s="6"/>
    </row>
    <row r="808" spans="9:9" x14ac:dyDescent="0.2">
      <c r="I808" s="6"/>
    </row>
    <row r="809" spans="9:9" x14ac:dyDescent="0.2">
      <c r="I809" s="6"/>
    </row>
    <row r="810" spans="9:9" x14ac:dyDescent="0.2">
      <c r="I810" s="6"/>
    </row>
    <row r="811" spans="9:9" x14ac:dyDescent="0.2">
      <c r="I811" s="6"/>
    </row>
    <row r="812" spans="9:9" x14ac:dyDescent="0.2">
      <c r="I812" s="6"/>
    </row>
    <row r="813" spans="9:9" x14ac:dyDescent="0.2">
      <c r="I813" s="6"/>
    </row>
    <row r="814" spans="9:9" x14ac:dyDescent="0.2">
      <c r="I814" s="6"/>
    </row>
    <row r="817" spans="9:9" x14ac:dyDescent="0.2">
      <c r="I817" s="6"/>
    </row>
    <row r="818" spans="9:9" x14ac:dyDescent="0.2">
      <c r="I818" s="6"/>
    </row>
    <row r="819" spans="9:9" x14ac:dyDescent="0.2">
      <c r="I819" s="6"/>
    </row>
    <row r="820" spans="9:9" x14ac:dyDescent="0.2">
      <c r="I820" s="6"/>
    </row>
    <row r="829" spans="9:9" x14ac:dyDescent="0.2">
      <c r="I829" s="6"/>
    </row>
    <row r="830" spans="9:9" x14ac:dyDescent="0.2">
      <c r="I830" s="6"/>
    </row>
    <row r="831" spans="9:9" x14ac:dyDescent="0.2">
      <c r="I831" s="6"/>
    </row>
    <row r="832" spans="9:9" x14ac:dyDescent="0.2">
      <c r="I832" s="6"/>
    </row>
    <row r="833" spans="9:9" x14ac:dyDescent="0.2">
      <c r="I833" s="6"/>
    </row>
    <row r="834" spans="9:9" x14ac:dyDescent="0.2">
      <c r="I834" s="6"/>
    </row>
    <row r="837" spans="9:9" x14ac:dyDescent="0.2">
      <c r="I837" s="6"/>
    </row>
    <row r="847" spans="9:9" x14ac:dyDescent="0.2">
      <c r="I847" s="6"/>
    </row>
    <row r="849" spans="9:9" x14ac:dyDescent="0.2">
      <c r="I849" s="6"/>
    </row>
    <row r="851" spans="9:9" x14ac:dyDescent="0.2">
      <c r="I851" s="6"/>
    </row>
    <row r="852" spans="9:9" x14ac:dyDescent="0.2">
      <c r="I852" s="6"/>
    </row>
    <row r="861" spans="9:9" x14ac:dyDescent="0.2">
      <c r="I861" s="6"/>
    </row>
    <row r="863" spans="9:9" x14ac:dyDescent="0.2">
      <c r="I863" s="6"/>
    </row>
    <row r="866" spans="9:9" x14ac:dyDescent="0.2">
      <c r="I866" s="6"/>
    </row>
    <row r="867" spans="9:9" x14ac:dyDescent="0.2">
      <c r="I867" s="6"/>
    </row>
    <row r="872" spans="9:9" x14ac:dyDescent="0.2">
      <c r="I872" s="6"/>
    </row>
    <row r="877" spans="9:9" x14ac:dyDescent="0.2">
      <c r="I877" s="6"/>
    </row>
    <row r="878" spans="9:9" x14ac:dyDescent="0.2">
      <c r="I878" s="6"/>
    </row>
    <row r="881" spans="9:9" x14ac:dyDescent="0.2">
      <c r="I881" s="6"/>
    </row>
    <row r="884" spans="9:9" x14ac:dyDescent="0.2">
      <c r="I884" s="6"/>
    </row>
    <row r="885" spans="9:9" x14ac:dyDescent="0.2">
      <c r="I885" s="6"/>
    </row>
    <row r="886" spans="9:9" x14ac:dyDescent="0.2">
      <c r="I886" s="6"/>
    </row>
    <row r="888" spans="9:9" x14ac:dyDescent="0.2">
      <c r="I888" s="6"/>
    </row>
    <row r="895" spans="9:9" x14ac:dyDescent="0.2">
      <c r="I895" s="6"/>
    </row>
    <row r="896" spans="9:9" x14ac:dyDescent="0.2">
      <c r="I896" s="6"/>
    </row>
    <row r="900" spans="1:17" s="18" customFormat="1" x14ac:dyDescent="0.2">
      <c r="A900"/>
      <c r="B900"/>
      <c r="C900"/>
      <c r="D900"/>
      <c r="E900"/>
      <c r="F900"/>
      <c r="G900"/>
      <c r="H900" s="13"/>
      <c r="I900" s="6"/>
      <c r="J900"/>
      <c r="K900"/>
      <c r="L900" s="4"/>
      <c r="M900" s="4"/>
      <c r="N900"/>
      <c r="O900"/>
      <c r="P900"/>
      <c r="Q900" s="4"/>
    </row>
    <row r="901" spans="1:17" s="18" customFormat="1" x14ac:dyDescent="0.2">
      <c r="A901"/>
      <c r="B901"/>
      <c r="C901"/>
      <c r="D901"/>
      <c r="E901"/>
      <c r="F901"/>
      <c r="G901"/>
      <c r="H901" s="13"/>
      <c r="I901" s="6"/>
      <c r="J901"/>
      <c r="K901"/>
      <c r="L901" s="4"/>
      <c r="M901" s="4"/>
      <c r="N901"/>
      <c r="O901"/>
      <c r="P901"/>
      <c r="Q901" s="4"/>
    </row>
    <row r="902" spans="1:17" s="18" customFormat="1" x14ac:dyDescent="0.2">
      <c r="A902"/>
      <c r="B902"/>
      <c r="C902"/>
      <c r="D902"/>
      <c r="E902"/>
      <c r="F902"/>
      <c r="G902"/>
      <c r="H902" s="13"/>
      <c r="I902" s="6"/>
      <c r="J902"/>
      <c r="K902"/>
      <c r="L902" s="4"/>
      <c r="M902" s="4"/>
      <c r="N902"/>
      <c r="O902"/>
      <c r="P902"/>
      <c r="Q902" s="4"/>
    </row>
    <row r="903" spans="1:17" s="18" customFormat="1" x14ac:dyDescent="0.2">
      <c r="A903"/>
      <c r="B903"/>
      <c r="C903"/>
      <c r="D903"/>
      <c r="E903"/>
      <c r="F903"/>
      <c r="G903"/>
      <c r="H903" s="13"/>
      <c r="I903"/>
      <c r="J903"/>
      <c r="K903"/>
      <c r="L903" s="4"/>
      <c r="M903" s="4"/>
      <c r="N903"/>
      <c r="O903"/>
      <c r="P903"/>
      <c r="Q903" s="4"/>
    </row>
    <row r="904" spans="1:17" s="18" customFormat="1" x14ac:dyDescent="0.2">
      <c r="A904"/>
      <c r="B904"/>
      <c r="C904"/>
      <c r="D904"/>
      <c r="E904"/>
      <c r="F904"/>
      <c r="G904"/>
      <c r="H904" s="13"/>
      <c r="I904"/>
      <c r="J904"/>
      <c r="K904"/>
      <c r="L904" s="4"/>
      <c r="M904" s="4"/>
      <c r="N904"/>
      <c r="O904"/>
      <c r="P904"/>
      <c r="Q904" s="4"/>
    </row>
    <row r="905" spans="1:17" s="18" customFormat="1" x14ac:dyDescent="0.2">
      <c r="A905"/>
      <c r="B905"/>
      <c r="C905"/>
      <c r="D905"/>
      <c r="E905"/>
      <c r="F905"/>
      <c r="G905"/>
      <c r="H905" s="13"/>
      <c r="I905"/>
      <c r="J905"/>
      <c r="K905"/>
      <c r="L905" s="4"/>
      <c r="M905" s="4"/>
      <c r="N905"/>
      <c r="O905"/>
      <c r="P905"/>
      <c r="Q905" s="4"/>
    </row>
    <row r="906" spans="1:17" s="18" customFormat="1" x14ac:dyDescent="0.2">
      <c r="A906"/>
      <c r="B906"/>
      <c r="C906"/>
      <c r="D906"/>
      <c r="E906"/>
      <c r="F906"/>
      <c r="G906"/>
      <c r="H906" s="13"/>
      <c r="I906" s="6"/>
      <c r="J906"/>
      <c r="K906"/>
      <c r="L906" s="4"/>
      <c r="M906" s="4"/>
      <c r="N906"/>
      <c r="O906"/>
      <c r="P906"/>
      <c r="Q906" s="4"/>
    </row>
    <row r="907" spans="1:17" s="18" customFormat="1" x14ac:dyDescent="0.2">
      <c r="A907"/>
      <c r="B907"/>
      <c r="C907"/>
      <c r="D907"/>
      <c r="E907"/>
      <c r="F907"/>
      <c r="G907"/>
      <c r="H907" s="13"/>
      <c r="I907" s="6"/>
      <c r="J907"/>
      <c r="K907"/>
      <c r="L907" s="4"/>
      <c r="M907" s="4"/>
      <c r="N907"/>
      <c r="O907"/>
      <c r="P907"/>
      <c r="Q907" s="4"/>
    </row>
    <row r="908" spans="1:17" x14ac:dyDescent="0.2">
      <c r="L908" s="10"/>
    </row>
    <row r="909" spans="1:17" x14ac:dyDescent="0.2">
      <c r="L909" s="10"/>
    </row>
    <row r="910" spans="1:17" x14ac:dyDescent="0.2">
      <c r="I910" s="6"/>
      <c r="L910" s="10"/>
    </row>
    <row r="911" spans="1:17" x14ac:dyDescent="0.2">
      <c r="L911" s="10"/>
    </row>
    <row r="912" spans="1:17" x14ac:dyDescent="0.2">
      <c r="L912" s="10"/>
    </row>
    <row r="913" spans="9:12" x14ac:dyDescent="0.2">
      <c r="L913" s="10"/>
    </row>
    <row r="914" spans="9:12" x14ac:dyDescent="0.2">
      <c r="L914" s="10"/>
    </row>
    <row r="915" spans="9:12" x14ac:dyDescent="0.2">
      <c r="L915" s="10"/>
    </row>
    <row r="916" spans="9:12" x14ac:dyDescent="0.2">
      <c r="I916" s="6"/>
      <c r="L916" s="10"/>
    </row>
    <row r="917" spans="9:12" x14ac:dyDescent="0.2">
      <c r="L917" s="10"/>
    </row>
    <row r="919" spans="9:12" x14ac:dyDescent="0.2">
      <c r="I919" s="6"/>
    </row>
    <row r="920" spans="9:12" x14ac:dyDescent="0.2">
      <c r="I920" s="6"/>
    </row>
    <row r="922" spans="9:12" x14ac:dyDescent="0.2">
      <c r="I922" s="6"/>
    </row>
    <row r="923" spans="9:12" x14ac:dyDescent="0.2">
      <c r="I923" s="6"/>
    </row>
    <row r="926" spans="9:12" x14ac:dyDescent="0.2">
      <c r="I926" s="6"/>
    </row>
    <row r="931" spans="9:9" x14ac:dyDescent="0.2">
      <c r="I931" s="6"/>
    </row>
    <row r="932" spans="9:9" x14ac:dyDescent="0.2">
      <c r="I932" s="6"/>
    </row>
    <row r="937" spans="9:9" x14ac:dyDescent="0.2">
      <c r="I937" s="6"/>
    </row>
    <row r="938" spans="9:9" x14ac:dyDescent="0.2">
      <c r="I938" s="6"/>
    </row>
    <row r="945" spans="9:9" x14ac:dyDescent="0.2">
      <c r="I945" s="6"/>
    </row>
    <row r="946" spans="9:9" x14ac:dyDescent="0.2">
      <c r="I946" s="6"/>
    </row>
    <row r="947" spans="9:9" x14ac:dyDescent="0.2">
      <c r="I947" s="6"/>
    </row>
    <row r="948" spans="9:9" x14ac:dyDescent="0.2">
      <c r="I948" s="6"/>
    </row>
    <row r="949" spans="9:9" x14ac:dyDescent="0.2">
      <c r="I949" s="6"/>
    </row>
    <row r="950" spans="9:9" x14ac:dyDescent="0.2">
      <c r="I950" s="6"/>
    </row>
    <row r="954" spans="9:9" x14ac:dyDescent="0.2">
      <c r="I954" s="6"/>
    </row>
    <row r="955" spans="9:9" x14ac:dyDescent="0.2">
      <c r="I955" s="6"/>
    </row>
    <row r="957" spans="9:9" x14ac:dyDescent="0.2">
      <c r="I957" s="6"/>
    </row>
    <row r="958" spans="9:9" x14ac:dyDescent="0.2">
      <c r="I958" s="6"/>
    </row>
    <row r="959" spans="9:9" x14ac:dyDescent="0.2">
      <c r="I959" s="6"/>
    </row>
    <row r="960" spans="9:9" x14ac:dyDescent="0.2">
      <c r="I960" s="6"/>
    </row>
    <row r="961" spans="9:9" x14ac:dyDescent="0.2">
      <c r="I961" s="6"/>
    </row>
    <row r="963" spans="9:9" x14ac:dyDescent="0.2">
      <c r="I963" s="6"/>
    </row>
    <row r="964" spans="9:9" x14ac:dyDescent="0.2">
      <c r="I964" s="6"/>
    </row>
    <row r="965" spans="9:9" x14ac:dyDescent="0.2">
      <c r="I965" s="6"/>
    </row>
    <row r="966" spans="9:9" x14ac:dyDescent="0.2">
      <c r="I966" s="6"/>
    </row>
    <row r="967" spans="9:9" x14ac:dyDescent="0.2">
      <c r="I967" s="6"/>
    </row>
    <row r="968" spans="9:9" x14ac:dyDescent="0.2">
      <c r="I968" s="6"/>
    </row>
    <row r="969" spans="9:9" x14ac:dyDescent="0.2">
      <c r="I969" s="6"/>
    </row>
    <row r="970" spans="9:9" x14ac:dyDescent="0.2">
      <c r="I970" s="6"/>
    </row>
    <row r="971" spans="9:9" x14ac:dyDescent="0.2">
      <c r="I971" s="6"/>
    </row>
    <row r="972" spans="9:9" x14ac:dyDescent="0.2">
      <c r="I972" s="6"/>
    </row>
    <row r="973" spans="9:9" x14ac:dyDescent="0.2">
      <c r="I973" s="6"/>
    </row>
    <row r="974" spans="9:9" x14ac:dyDescent="0.2">
      <c r="I974" s="6"/>
    </row>
    <row r="975" spans="9:9" x14ac:dyDescent="0.2">
      <c r="I975" s="6"/>
    </row>
    <row r="976" spans="9:9" x14ac:dyDescent="0.2">
      <c r="I976" s="6"/>
    </row>
    <row r="977" spans="9:9" x14ac:dyDescent="0.2">
      <c r="I977" s="6"/>
    </row>
    <row r="978" spans="9:9" x14ac:dyDescent="0.2">
      <c r="I978" s="6"/>
    </row>
    <row r="979" spans="9:9" x14ac:dyDescent="0.2">
      <c r="I979" s="6"/>
    </row>
    <row r="980" spans="9:9" x14ac:dyDescent="0.2">
      <c r="I980" s="6"/>
    </row>
    <row r="989" spans="9:9" x14ac:dyDescent="0.2">
      <c r="I989" s="6"/>
    </row>
    <row r="994" spans="9:9" x14ac:dyDescent="0.2">
      <c r="I994" s="6"/>
    </row>
    <row r="1003" spans="9:9" x14ac:dyDescent="0.2">
      <c r="I1003" s="6"/>
    </row>
    <row r="1011" spans="9:9" x14ac:dyDescent="0.2">
      <c r="I1011" s="6"/>
    </row>
    <row r="1018" spans="9:9" x14ac:dyDescent="0.2">
      <c r="I1018" s="6"/>
    </row>
    <row r="1019" spans="9:9" x14ac:dyDescent="0.2">
      <c r="I1019" s="6"/>
    </row>
    <row r="1020" spans="9:9" x14ac:dyDescent="0.2">
      <c r="I1020" s="6"/>
    </row>
    <row r="1021" spans="9:9" x14ac:dyDescent="0.2">
      <c r="I1021" s="6"/>
    </row>
    <row r="1026" spans="9:9" x14ac:dyDescent="0.2">
      <c r="I1026" s="6"/>
    </row>
    <row r="1031" spans="9:9" x14ac:dyDescent="0.2">
      <c r="I1031" s="6"/>
    </row>
    <row r="1036" spans="9:9" x14ac:dyDescent="0.2">
      <c r="I1036" s="6"/>
    </row>
    <row r="1041" spans="9:9" x14ac:dyDescent="0.2">
      <c r="I1041" s="6"/>
    </row>
    <row r="1046" spans="9:9" x14ac:dyDescent="0.2">
      <c r="I1046" s="6"/>
    </row>
    <row r="1075" spans="9:9" x14ac:dyDescent="0.2">
      <c r="I1075" s="6"/>
    </row>
    <row r="1076" spans="9:9" x14ac:dyDescent="0.2">
      <c r="I1076" s="6"/>
    </row>
    <row r="1077" spans="9:9" x14ac:dyDescent="0.2">
      <c r="I1077" s="6"/>
    </row>
    <row r="1080" spans="9:9" x14ac:dyDescent="0.2">
      <c r="I1080" s="6"/>
    </row>
    <row r="1083" spans="9:9" x14ac:dyDescent="0.2">
      <c r="I1083" s="6"/>
    </row>
    <row r="1086" spans="9:9" x14ac:dyDescent="0.2">
      <c r="I1086" s="6"/>
    </row>
    <row r="1094" spans="9:9" x14ac:dyDescent="0.2">
      <c r="I1094" s="6"/>
    </row>
    <row r="1097" spans="9:9" x14ac:dyDescent="0.2">
      <c r="I1097" s="6"/>
    </row>
    <row r="1098" spans="9:9" x14ac:dyDescent="0.2">
      <c r="I1098" s="6"/>
    </row>
    <row r="1106" spans="9:9" x14ac:dyDescent="0.2">
      <c r="I1106" s="6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5EEE7-07A8-45D7-8C35-3D307640D420}">
  <sheetPr codeName="Sheet9"/>
  <dimension ref="A1"/>
  <sheetViews>
    <sheetView topLeftCell="G1" workbookViewId="0">
      <selection activeCell="AB22" sqref="AB14:AH22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ef01</vt:lpstr>
      <vt:lpstr>ef02</vt:lpstr>
      <vt:lpstr>ef03</vt:lpstr>
      <vt:lpstr>cs04</vt:lpstr>
      <vt:lpstr>all</vt:lpstr>
      <vt:lpstr>all with means</vt:lpstr>
      <vt:lpstr>only means</vt:lpstr>
      <vt:lpstr>Clean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Mom</dc:creator>
  <cp:lastModifiedBy>Microsoft Office User</cp:lastModifiedBy>
  <dcterms:created xsi:type="dcterms:W3CDTF">2015-06-05T18:17:20Z</dcterms:created>
  <dcterms:modified xsi:type="dcterms:W3CDTF">2020-06-29T16:27:37Z</dcterms:modified>
</cp:coreProperties>
</file>