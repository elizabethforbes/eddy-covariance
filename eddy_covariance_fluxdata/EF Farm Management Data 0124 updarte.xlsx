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13_ncr:1_{749E5808-7AB3-E848-BB83-7A5A7B675493}" xr6:coauthVersionLast="47" xr6:coauthVersionMax="47" xr10:uidLastSave="{00000000-0000-0000-0000-000000000000}"/>
  <bookViews>
    <workbookView xWindow="-19100" yWindow="-100" windowWidth="18940" windowHeight="20780" xr2:uid="{00000000-000D-0000-FFFF-FFFF00000000}"/>
  </bookViews>
  <sheets>
    <sheet name="EF01" sheetId="1" r:id="rId1"/>
    <sheet name="EF02" sheetId="2" r:id="rId2"/>
    <sheet name="EF0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fHcKGA6u3w4/5NyIrFmqoXGFKYVvL2uonz7ETeFc="/>
    </ext>
  </extLst>
</workbook>
</file>

<file path=xl/calcChain.xml><?xml version="1.0" encoding="utf-8"?>
<calcChain xmlns="http://schemas.openxmlformats.org/spreadsheetml/2006/main">
  <c r="H43" i="1" l="1"/>
  <c r="H42" i="1"/>
  <c r="J41" i="1"/>
  <c r="J40" i="1"/>
  <c r="J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8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======
ID#AAABE7ZcD4Q
hikem    (2024-01-24 20:21:08)
rarely used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hOb4KULvU28lcx5LFA/zsbBaqQ=="/>
    </ext>
  </extLst>
</comments>
</file>

<file path=xl/sharedStrings.xml><?xml version="1.0" encoding="utf-8"?>
<sst xmlns="http://schemas.openxmlformats.org/spreadsheetml/2006/main" count="586" uniqueCount="251">
  <si>
    <t>TILLAGE</t>
  </si>
  <si>
    <t>Date</t>
  </si>
  <si>
    <t>Field</t>
  </si>
  <si>
    <t>Split</t>
  </si>
  <si>
    <t>Tractor</t>
  </si>
  <si>
    <t>Tool</t>
  </si>
  <si>
    <t>Depth</t>
  </si>
  <si>
    <t>Tillage Type</t>
  </si>
  <si>
    <t>HF 12</t>
  </si>
  <si>
    <t>Whole Field</t>
  </si>
  <si>
    <t>Case IH puma</t>
  </si>
  <si>
    <t>brillion folding pulvi mulcher</t>
  </si>
  <si>
    <t>2.00 "</t>
  </si>
  <si>
    <t>Minimum Till</t>
  </si>
  <si>
    <t>Case 290</t>
  </si>
  <si>
    <t>Landoll</t>
  </si>
  <si>
    <t>Conventional</t>
  </si>
  <si>
    <t>John Deere 7810</t>
  </si>
  <si>
    <t>12 Row Rotary Hoe</t>
  </si>
  <si>
    <t>1.00 "</t>
  </si>
  <si>
    <t>Krause field cultivator</t>
  </si>
  <si>
    <t>Case 185 Puma</t>
  </si>
  <si>
    <t>12 Row Crop Cultivator</t>
  </si>
  <si>
    <t>Case 250</t>
  </si>
  <si>
    <t>10-bottom Kverneland Plow</t>
  </si>
  <si>
    <t>10.00 "</t>
  </si>
  <si>
    <t>PLANTING</t>
  </si>
  <si>
    <t>End Date</t>
  </si>
  <si>
    <t>Area</t>
  </si>
  <si>
    <t>Crop</t>
  </si>
  <si>
    <t>Variety</t>
  </si>
  <si>
    <t>Population</t>
  </si>
  <si>
    <t>NPK Material</t>
  </si>
  <si>
    <t>Code</t>
  </si>
  <si>
    <t>LEFT BARE?</t>
  </si>
  <si>
    <t>Notes</t>
  </si>
  <si>
    <t>Perrenial Status</t>
  </si>
  <si>
    <t>Score</t>
  </si>
  <si>
    <t>Altered</t>
  </si>
  <si>
    <t>Date Extension</t>
  </si>
  <si>
    <t>CODE</t>
  </si>
  <si>
    <t>DESCRIPTION</t>
  </si>
  <si>
    <t>RANK</t>
  </si>
  <si>
    <t>Turbo Till &amp; Turbo Seeder</t>
  </si>
  <si>
    <t>Rye(RYE)</t>
  </si>
  <si>
    <t>SHF Field Run - Rows</t>
  </si>
  <si>
    <t>120 Lbs/Ac</t>
  </si>
  <si>
    <t>_____</t>
  </si>
  <si>
    <t>CCF</t>
  </si>
  <si>
    <t>N</t>
  </si>
  <si>
    <t>Cover Crop</t>
  </si>
  <si>
    <t>Y</t>
  </si>
  <si>
    <t>Kinze No Till Planter</t>
  </si>
  <si>
    <t>Corn, Field(FLDCRN)</t>
  </si>
  <si>
    <t>Organic Viking 035-99N 0 Bags</t>
  </si>
  <si>
    <t>34000 /Ac</t>
  </si>
  <si>
    <t>2015 Liquid Corn Blend (Fish, Humates, StressX, Compost Tea) 15.00 Gal</t>
  </si>
  <si>
    <t>WA</t>
  </si>
  <si>
    <t xml:space="preserve">Viking 053-03UP 0 </t>
  </si>
  <si>
    <t xml:space="preserve">34000 </t>
  </si>
  <si>
    <t/>
  </si>
  <si>
    <t>2018 Liquid Corn Starter 15.00 Gal</t>
  </si>
  <si>
    <t>SHF Field Run 0 Bags</t>
  </si>
  <si>
    <t>150 Lbs/Ac</t>
  </si>
  <si>
    <t>Soybeans (YSB)</t>
  </si>
  <si>
    <t xml:space="preserve">Viking 2219 0 </t>
  </si>
  <si>
    <t>WAL</t>
  </si>
  <si>
    <t>Barley(BARL)</t>
  </si>
  <si>
    <t>150 /Ac</t>
  </si>
  <si>
    <t>SGS</t>
  </si>
  <si>
    <t>Carovail Spreader Truck</t>
  </si>
  <si>
    <t>Brome, Fleet - Rows
Orchard Grass, Otello - Rows
Alfalfa, Viking 372HD - Units</t>
  </si>
  <si>
    <t>11.50 Lbs/Ac</t>
  </si>
  <si>
    <t>CCP</t>
  </si>
  <si>
    <t>B</t>
  </si>
  <si>
    <t>JD 1590 Drill</t>
  </si>
  <si>
    <t>Grass (GRASS)</t>
  </si>
  <si>
    <t xml:space="preserve">orchard 0 </t>
  </si>
  <si>
    <t>6 Lbs/Ac</t>
  </si>
  <si>
    <t>NPK</t>
  </si>
  <si>
    <t>Action</t>
  </si>
  <si>
    <t>Fertilize</t>
  </si>
  <si>
    <t>Material</t>
  </si>
  <si>
    <t>rate</t>
  </si>
  <si>
    <t>Composted Poultry Litter</t>
  </si>
  <si>
    <t>1.5 ton/ac</t>
  </si>
  <si>
    <t>High Calcium Limestone (22%)</t>
  </si>
  <si>
    <t>1 ton/ac</t>
  </si>
  <si>
    <t>Composted poultry litter</t>
  </si>
  <si>
    <t>Compost tea starter: barrel compost, compost tea catalyst, fish emulsion, humates, SeaCrop, Stress-X, Molasses</t>
  </si>
  <si>
    <t>15 gal/ac</t>
  </si>
  <si>
    <t>HARVEST</t>
  </si>
  <si>
    <t>Hay type</t>
  </si>
  <si>
    <t>% Moisture</t>
  </si>
  <si>
    <t>Yeild</t>
  </si>
  <si>
    <t>Unit</t>
  </si>
  <si>
    <t>Yeild-per-acre</t>
  </si>
  <si>
    <t>Bu</t>
  </si>
  <si>
    <t>Hay</t>
  </si>
  <si>
    <t>ton</t>
  </si>
  <si>
    <t>Potash</t>
  </si>
  <si>
    <t>60 lbs/ac</t>
  </si>
  <si>
    <t>Tillage</t>
  </si>
  <si>
    <t>Implement</t>
  </si>
  <si>
    <t>Late apr-erly may</t>
  </si>
  <si>
    <t>IH 875 disc ripper</t>
  </si>
  <si>
    <t>9”</t>
  </si>
  <si>
    <t>Turbo till </t>
  </si>
  <si>
    <t>2”</t>
  </si>
  <si>
    <t>Plant</t>
  </si>
  <si>
    <t>Corn</t>
  </si>
  <si>
    <t>Dekalb 49-94</t>
  </si>
  <si>
    <t>32000 SDS/AC</t>
  </si>
  <si>
    <t>Herbicide</t>
  </si>
  <si>
    <t>5/12/18 (?)</t>
  </si>
  <si>
    <t>Instigate</t>
  </si>
  <si>
    <t>6 oz/ac</t>
  </si>
  <si>
    <t>Pre-emergence</t>
  </si>
  <si>
    <t>DuPont Cinch</t>
  </si>
  <si>
    <t>48 oz/ac</t>
  </si>
  <si>
    <t>6/27/18 (?)</t>
  </si>
  <si>
    <t>UAN</t>
  </si>
  <si>
    <t>180 lbs/ac</t>
  </si>
  <si>
    <t>liquid</t>
  </si>
  <si>
    <t>6/28/18 (?)</t>
  </si>
  <si>
    <t>Phosphorus</t>
  </si>
  <si>
    <t>20 lbs/ac</t>
  </si>
  <si>
    <t>Harvest</t>
  </si>
  <si>
    <t>Yield</t>
  </si>
  <si>
    <t>194 bu/ac</t>
  </si>
  <si>
    <t>Lime</t>
  </si>
  <si>
    <t>2 tons/ac</t>
  </si>
  <si>
    <t>Confirm </t>
  </si>
  <si>
    <t>Check West and McBride 2005 for CO2 release from lime (0.059 t C / t lime applied) but at what time scale?</t>
  </si>
  <si>
    <t>but some fraction likely takes up CO2</t>
  </si>
  <si>
    <t>initial uptake during dissolution, then release over several months</t>
  </si>
  <si>
    <t>Early spring</t>
  </si>
  <si>
    <t>Chicken litter</t>
  </si>
  <si>
    <t>1.5 t/ac</t>
  </si>
  <si>
    <t>June</t>
  </si>
  <si>
    <t>soybeans</t>
  </si>
  <si>
    <t>150,000 sds/ac</t>
  </si>
  <si>
    <t>October</t>
  </si>
  <si>
    <t>56 bu/ac</t>
  </si>
  <si>
    <t>53 ac</t>
  </si>
  <si>
    <t>October (Post Harvest)</t>
  </si>
  <si>
    <t>Cereal Rye Cover</t>
  </si>
  <si>
    <t>~120 lbs/ac</t>
  </si>
  <si>
    <t>April</t>
  </si>
  <si>
    <t>Turbo-Till</t>
  </si>
  <si>
    <t>4-5"</t>
  </si>
  <si>
    <t>Barley</t>
  </si>
  <si>
    <t>100 lbs/ac</t>
  </si>
  <si>
    <t>July</t>
  </si>
  <si>
    <t>43 bu/ac</t>
  </si>
  <si>
    <t>42.5 ac</t>
  </si>
  <si>
    <t>Turbo Till</t>
  </si>
  <si>
    <t>Rye Cover</t>
  </si>
  <si>
    <t>120 lbs/ac</t>
  </si>
  <si>
    <t>early spring (April?)</t>
  </si>
  <si>
    <t>Soybeans (no-till)</t>
  </si>
  <si>
    <t>Soybeans</t>
  </si>
  <si>
    <t>77 bu/ac</t>
  </si>
  <si>
    <t>61.7 ac</t>
  </si>
  <si>
    <t>DATE</t>
  </si>
  <si>
    <t xml:space="preserve">EVENT </t>
  </si>
  <si>
    <t>DETAILS</t>
  </si>
  <si>
    <t>FIELD</t>
  </si>
  <si>
    <t>CATTLE BEGIN 1st GRAZING</t>
  </si>
  <si>
    <t>30 head (avg 900lbs)/ acre/ day</t>
  </si>
  <si>
    <t>S1-2</t>
  </si>
  <si>
    <t>CATTLE BEGIN 2ND GRAZING</t>
  </si>
  <si>
    <t>30 head (avg 940lbs)/ acre/ day</t>
  </si>
  <si>
    <t>CATTLE END 2ND GRAZING</t>
  </si>
  <si>
    <t>30 head (avg 980lbs)/ acre/ day</t>
  </si>
  <si>
    <t>MOW</t>
  </si>
  <si>
    <t>6 ACRES</t>
  </si>
  <si>
    <t>S3</t>
  </si>
  <si>
    <t>BALE AND WRAP (BALEAGE)</t>
  </si>
  <si>
    <t>28 LARGE BALES (APPROX. 1600LBS EACH)</t>
  </si>
  <si>
    <t>16 ACRES</t>
  </si>
  <si>
    <t>S3-4</t>
  </si>
  <si>
    <t>BALE (DRY HAY)</t>
  </si>
  <si>
    <t>58 LARGE ROUND BALES (APPROX 700LBS EACH)</t>
  </si>
  <si>
    <t>650 SMALL SQURE BALES (AVG 45 LBS EACH)</t>
  </si>
  <si>
    <t>SPRAY</t>
  </si>
  <si>
    <t>APLLIED HORN SILICA PREP 501 AT 5 GAL/ACRE</t>
  </si>
  <si>
    <t>S1-4</t>
  </si>
  <si>
    <t>23 ACRES</t>
  </si>
  <si>
    <t>1100 SMALL SQUARE BALES (AVG 55 LBS)</t>
  </si>
  <si>
    <t>CATTLE BEGIN GRAZING</t>
  </si>
  <si>
    <t>26 head (avg700lbs)/0.75 acre/ day</t>
  </si>
  <si>
    <t>S1</t>
  </si>
  <si>
    <t>Churchtown Dairy Hudson Carbon Log 2019</t>
  </si>
  <si>
    <t>Research Station is located in field S2</t>
  </si>
  <si>
    <t>Machine</t>
  </si>
  <si>
    <t>5/1-5/14</t>
  </si>
  <si>
    <t>Grazing</t>
  </si>
  <si>
    <t>40 beef (@600 lbs)</t>
  </si>
  <si>
    <t>S2,S3</t>
  </si>
  <si>
    <t>Note:  Beef alternated between</t>
  </si>
  <si>
    <t>5/15-5/19</t>
  </si>
  <si>
    <t>S4</t>
  </si>
  <si>
    <t>6/8-6/19</t>
  </si>
  <si>
    <t>S3 &amp; S2 each day, proceeding north to south</t>
  </si>
  <si>
    <t>5/20-6/4</t>
  </si>
  <si>
    <t>6/5 - 6/9</t>
  </si>
  <si>
    <t>6/10-6/23</t>
  </si>
  <si>
    <t>6/24- 6/30</t>
  </si>
  <si>
    <t>7/1 - 7/15</t>
  </si>
  <si>
    <t>S2,3</t>
  </si>
  <si>
    <t>8/20-8/30</t>
  </si>
  <si>
    <t>30 Dairy + calves</t>
  </si>
  <si>
    <t>8/31-9/9</t>
  </si>
  <si>
    <t>S2</t>
  </si>
  <si>
    <t>South of Research Station</t>
  </si>
  <si>
    <t>10/18-11/5</t>
  </si>
  <si>
    <t>mowed</t>
  </si>
  <si>
    <t>110 HP tractor</t>
  </si>
  <si>
    <t>baled</t>
  </si>
  <si>
    <t>S2 2nd Half of Field</t>
  </si>
  <si>
    <t>spread compost</t>
  </si>
  <si>
    <t>89 HP tractor</t>
  </si>
  <si>
    <t>S3, S4</t>
  </si>
  <si>
    <t>S1, S3</t>
  </si>
  <si>
    <t>tedded</t>
  </si>
  <si>
    <t>raked &amp; baled</t>
  </si>
  <si>
    <t>89 &amp; 110 HP tractor</t>
  </si>
  <si>
    <t>10/18-11/5 2019</t>
  </si>
  <si>
    <t>Approx 10/25</t>
  </si>
  <si>
    <t>Spraying BD 500</t>
  </si>
  <si>
    <t>S1,S3, S4</t>
  </si>
  <si>
    <t>Spraying Whey</t>
  </si>
  <si>
    <t>89 HP Tractor</t>
  </si>
  <si>
    <t>Churchtown Dairy Hudson Carbon Log 2020</t>
  </si>
  <si>
    <t>(Research station is in field S2)</t>
  </si>
  <si>
    <t>frost seeded</t>
  </si>
  <si>
    <t>24 HP Mule</t>
  </si>
  <si>
    <t>raked and baled</t>
  </si>
  <si>
    <t>mowed s1 &amp; very northern edge of S1-S3</t>
  </si>
  <si>
    <t>S1 &amp; Parking</t>
  </si>
  <si>
    <t>raked, baled</t>
  </si>
  <si>
    <t>marked bales in field</t>
  </si>
  <si>
    <t>S1,S2,S4</t>
  </si>
  <si>
    <t>bales moved from field</t>
  </si>
  <si>
    <t>mowed S1, S2, S4</t>
  </si>
  <si>
    <t>raked &amp; baled in S1, S2, S4</t>
  </si>
  <si>
    <t>89 &amp; 100 HP tractor</t>
  </si>
  <si>
    <t>mowed S3</t>
  </si>
  <si>
    <t>raked &amp; baled in S3</t>
  </si>
  <si>
    <t>No Cow Grazing on fields S1-S4 thusfar in 2020 8/1/2020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</si>
</sst>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General"/>
    <numFmt numFmtId="165" formatCode="[$-1010409]m/dd/yy"/>
  </numFmts>
  <fonts count="17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8"/>
      <color rgb="FF666699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0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Helvetica Neue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Helvetica Neue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left" vertical="center" wrapText="1" readingOrder="1"/>
    </xf>
    <xf numFmtId="165" fontId="3" fillId="3" borderId="3" xfId="0" applyNumberFormat="1" applyFont="1" applyFill="1" applyBorder="1" applyAlignment="1">
      <alignment horizontal="center" vertical="center" wrapText="1" readingOrder="1"/>
    </xf>
    <xf numFmtId="164" fontId="3" fillId="3" borderId="3" xfId="0" applyNumberFormat="1" applyFont="1" applyFill="1" applyBorder="1" applyAlignment="1">
      <alignment horizontal="left" vertical="center" wrapText="1" readingOrder="1"/>
    </xf>
    <xf numFmtId="164" fontId="3" fillId="3" borderId="3" xfId="0" applyNumberFormat="1" applyFont="1" applyFill="1" applyBorder="1" applyAlignment="1">
      <alignment horizontal="center" vertical="center" wrapText="1" readingOrder="1"/>
    </xf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4" xfId="0" applyFont="1" applyBorder="1"/>
    <xf numFmtId="0" fontId="7" fillId="0" borderId="5" xfId="0" applyFont="1" applyBorder="1"/>
    <xf numFmtId="0" fontId="8" fillId="0" borderId="6" xfId="0" applyFont="1" applyBorder="1"/>
    <xf numFmtId="0" fontId="9" fillId="0" borderId="0" xfId="0" applyFont="1" applyAlignment="1">
      <alignment wrapText="1"/>
    </xf>
    <xf numFmtId="0" fontId="8" fillId="0" borderId="0" xfId="0" applyFont="1"/>
    <xf numFmtId="14" fontId="8" fillId="0" borderId="0" xfId="0" applyNumberFormat="1" applyFont="1"/>
    <xf numFmtId="0" fontId="10" fillId="0" borderId="0" xfId="0" applyFont="1"/>
    <xf numFmtId="0" fontId="11" fillId="0" borderId="0" xfId="0" applyFont="1"/>
    <xf numFmtId="14" fontId="10" fillId="0" borderId="0" xfId="0" applyNumberFormat="1" applyFont="1"/>
    <xf numFmtId="0" fontId="12" fillId="0" borderId="0" xfId="0" applyFont="1"/>
    <xf numFmtId="14" fontId="13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14" fontId="4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4" fontId="9" fillId="0" borderId="0" xfId="0" applyNumberFormat="1" applyFont="1"/>
    <xf numFmtId="0" fontId="14" fillId="0" borderId="0" xfId="0" applyFont="1"/>
    <xf numFmtId="14" fontId="11" fillId="0" borderId="0" xfId="0" applyNumberFormat="1" applyFont="1"/>
    <xf numFmtId="0" fontId="15" fillId="0" borderId="0" xfId="0" applyFont="1"/>
    <xf numFmtId="0" fontId="12" fillId="0" borderId="0" xfId="0" applyFont="1" applyAlignment="1">
      <alignment horizontal="left"/>
    </xf>
    <xf numFmtId="3" fontId="10" fillId="0" borderId="0" xfId="0" applyNumberFormat="1" applyFont="1"/>
    <xf numFmtId="0" fontId="1" fillId="4" borderId="3" xfId="0" applyFont="1" applyFill="1" applyBorder="1"/>
    <xf numFmtId="0" fontId="9" fillId="5" borderId="3" xfId="0" applyFont="1" applyFill="1" applyBorder="1"/>
    <xf numFmtId="0" fontId="16" fillId="0" borderId="0" xfId="0" applyFont="1"/>
    <xf numFmtId="0" fontId="9" fillId="4" borderId="3" xfId="0" applyFont="1" applyFill="1" applyBorder="1"/>
    <xf numFmtId="14" fontId="9" fillId="6" borderId="0" xfId="0" applyNumberFormat="1" applyFont="1" applyFill="1"/>
    <xf numFmtId="0" fontId="14" fillId="6" borderId="0" xfId="0" applyFont="1" applyFill="1"/>
    <xf numFmtId="0" fontId="0" fillId="6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44</xdr:row>
      <xdr:rowOff>0</xdr:rowOff>
    </xdr:from>
    <xdr:ext cx="4943475" cy="1524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79025" y="3018000"/>
          <a:ext cx="4933950" cy="15240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Notes on Hay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Hay yields are on a DM basis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Yields are conservative estimates based on historic averages.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Harvest dates are aproximate.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Hay was undersown just after barley  planting, and filled out post barley harvest, late summer-fall 2020, with some extra seeding of orchard grass in September (see last mgmt record above.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590550</xdr:colOff>
      <xdr:row>43</xdr:row>
      <xdr:rowOff>66675</xdr:rowOff>
    </xdr:from>
    <xdr:ext cx="190500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</xdr:colOff>
      <xdr:row>43</xdr:row>
      <xdr:rowOff>19050</xdr:rowOff>
    </xdr:from>
    <xdr:ext cx="2495550" cy="6286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098225" y="3470438"/>
          <a:ext cx="2495550" cy="6191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Back 20 acres were planted in corn in 2020, but this should be outside the footprint of the tower.</a:t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5</xdr:row>
      <xdr:rowOff>180975</xdr:rowOff>
    </xdr:from>
    <xdr:ext cx="5181600" cy="1457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759963" y="3056100"/>
          <a:ext cx="5172075" cy="1447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refer to the field south of Route 12 as the South Field. It is divided into 4 strips S1-S4 (numbered fro east to west. S1-3 are approx. 15 acres each. S4 is approx. 8 acres. Your test sites and tower sit in S2. Cattle when grazing are moved 2 times per day. The round of grazing that began 10/24/18 will go on as long as the weather permits. We hope to graze all of S1-S4 before we move to the barn. I will update when we end grazing. 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workbookViewId="0">
      <selection activeCell="A39" sqref="A39"/>
    </sheetView>
  </sheetViews>
  <sheetFormatPr baseColWidth="10" defaultColWidth="11.1640625" defaultRowHeight="15" customHeight="1" x14ac:dyDescent="0.2"/>
  <cols>
    <col min="1" max="5" width="10.83203125" customWidth="1"/>
    <col min="6" max="6" width="21.33203125" customWidth="1"/>
    <col min="7" max="7" width="15.5" customWidth="1"/>
    <col min="8" max="8" width="25.5" customWidth="1"/>
    <col min="9" max="9" width="10.83203125" customWidth="1"/>
    <col min="10" max="10" width="20.83203125" customWidth="1"/>
    <col min="11" max="26" width="10.83203125" customWidth="1"/>
  </cols>
  <sheetData>
    <row r="1" spans="1:26" ht="16" x14ac:dyDescent="0.2">
      <c r="A1" s="1" t="s">
        <v>0</v>
      </c>
    </row>
    <row r="2" spans="1:26" ht="16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 t="s">
        <v>7</v>
      </c>
    </row>
    <row r="3" spans="1:26" ht="24" x14ac:dyDescent="0.2">
      <c r="A3" s="4">
        <v>43919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</row>
    <row r="4" spans="1:26" ht="16" x14ac:dyDescent="0.2">
      <c r="A4" s="4">
        <v>43917.579212962963</v>
      </c>
      <c r="B4" s="5" t="s">
        <v>8</v>
      </c>
      <c r="C4" s="5" t="s">
        <v>9</v>
      </c>
      <c r="D4" s="5" t="s">
        <v>14</v>
      </c>
      <c r="E4" s="5" t="s">
        <v>15</v>
      </c>
      <c r="F4" s="5"/>
      <c r="G4" s="6" t="s">
        <v>16</v>
      </c>
    </row>
    <row r="5" spans="1:26" ht="24" x14ac:dyDescent="0.2">
      <c r="A5" s="4">
        <v>43594</v>
      </c>
      <c r="B5" s="5" t="s">
        <v>8</v>
      </c>
      <c r="C5" s="5" t="s">
        <v>9</v>
      </c>
      <c r="D5" s="5" t="s">
        <v>17</v>
      </c>
      <c r="E5" s="5" t="s">
        <v>18</v>
      </c>
      <c r="F5" s="5" t="s">
        <v>19</v>
      </c>
      <c r="G5" s="6" t="s">
        <v>16</v>
      </c>
    </row>
    <row r="6" spans="1:26" ht="24" x14ac:dyDescent="0.2">
      <c r="A6" s="4">
        <v>43593.416666666664</v>
      </c>
      <c r="B6" s="5" t="s">
        <v>8</v>
      </c>
      <c r="C6" s="5" t="s">
        <v>9</v>
      </c>
      <c r="D6" s="5" t="s">
        <v>14</v>
      </c>
      <c r="E6" s="5" t="s">
        <v>20</v>
      </c>
      <c r="F6" s="5"/>
      <c r="G6" s="6" t="s">
        <v>16</v>
      </c>
    </row>
    <row r="7" spans="1:26" ht="24" x14ac:dyDescent="0.2">
      <c r="A7" s="4">
        <v>43265.527777777774</v>
      </c>
      <c r="B7" s="5" t="s">
        <v>8</v>
      </c>
      <c r="C7" s="5" t="s">
        <v>9</v>
      </c>
      <c r="D7" s="5" t="s">
        <v>21</v>
      </c>
      <c r="E7" s="5" t="s">
        <v>22</v>
      </c>
      <c r="F7" s="5"/>
      <c r="G7" s="6"/>
    </row>
    <row r="8" spans="1:26" ht="24" x14ac:dyDescent="0.2">
      <c r="A8" s="4">
        <v>43247.559583333328</v>
      </c>
      <c r="B8" s="5" t="s">
        <v>8</v>
      </c>
      <c r="C8" s="5" t="s">
        <v>9</v>
      </c>
      <c r="D8" s="5" t="s">
        <v>17</v>
      </c>
      <c r="E8" s="5" t="s">
        <v>18</v>
      </c>
      <c r="F8" s="5"/>
      <c r="G8" s="6"/>
    </row>
    <row r="9" spans="1:26" ht="24" x14ac:dyDescent="0.2">
      <c r="A9" s="4">
        <v>43235.303761574076</v>
      </c>
      <c r="B9" s="5" t="s">
        <v>8</v>
      </c>
      <c r="C9" s="5" t="s">
        <v>9</v>
      </c>
      <c r="D9" s="5" t="s">
        <v>23</v>
      </c>
      <c r="E9" s="5" t="s">
        <v>20</v>
      </c>
      <c r="F9" s="5"/>
      <c r="G9" s="6"/>
    </row>
    <row r="10" spans="1:26" ht="24" x14ac:dyDescent="0.2">
      <c r="A10" s="4">
        <v>43228.468124999999</v>
      </c>
      <c r="B10" s="5" t="s">
        <v>8</v>
      </c>
      <c r="C10" s="5" t="s">
        <v>9</v>
      </c>
      <c r="D10" s="5" t="s">
        <v>14</v>
      </c>
      <c r="E10" s="5" t="s">
        <v>24</v>
      </c>
      <c r="F10" s="5" t="s">
        <v>25</v>
      </c>
      <c r="G10" s="6" t="s">
        <v>16</v>
      </c>
    </row>
    <row r="11" spans="1:26" ht="16" x14ac:dyDescent="0.2"/>
    <row r="12" spans="1:26" ht="16" x14ac:dyDescent="0.2">
      <c r="A12" s="1" t="s">
        <v>26</v>
      </c>
    </row>
    <row r="13" spans="1:26" ht="12" customHeight="1" x14ac:dyDescent="0.2">
      <c r="A13" s="7" t="s">
        <v>1</v>
      </c>
      <c r="B13" s="8" t="s">
        <v>27</v>
      </c>
      <c r="C13" s="8" t="s">
        <v>2</v>
      </c>
      <c r="D13" s="8" t="s">
        <v>3</v>
      </c>
      <c r="E13" s="8" t="s">
        <v>28</v>
      </c>
      <c r="F13" s="8" t="s">
        <v>5</v>
      </c>
      <c r="G13" s="8" t="s">
        <v>29</v>
      </c>
      <c r="H13" s="8" t="s">
        <v>30</v>
      </c>
      <c r="I13" s="8" t="s">
        <v>31</v>
      </c>
      <c r="J13" s="8" t="s">
        <v>32</v>
      </c>
      <c r="K13" s="8" t="s">
        <v>33</v>
      </c>
      <c r="L13" s="8" t="s">
        <v>34</v>
      </c>
      <c r="M13" s="8" t="s">
        <v>35</v>
      </c>
      <c r="N13" s="8" t="s">
        <v>36</v>
      </c>
      <c r="O13" s="8" t="s">
        <v>37</v>
      </c>
      <c r="P13" s="9" t="s">
        <v>38</v>
      </c>
      <c r="Q13" s="9" t="s">
        <v>39</v>
      </c>
      <c r="R13" s="10" t="s">
        <v>40</v>
      </c>
      <c r="S13" s="11" t="s">
        <v>41</v>
      </c>
      <c r="T13" s="11" t="s">
        <v>42</v>
      </c>
      <c r="U13" s="12"/>
      <c r="V13" s="13"/>
      <c r="W13" s="13"/>
      <c r="X13" s="13"/>
      <c r="Y13" s="13"/>
      <c r="Z13" s="13"/>
    </row>
    <row r="14" spans="1:26" ht="12" customHeight="1" x14ac:dyDescent="0.2">
      <c r="A14" s="7">
        <v>43054.886111111111</v>
      </c>
      <c r="B14" s="7">
        <v>43221</v>
      </c>
      <c r="C14" s="14" t="s">
        <v>8</v>
      </c>
      <c r="D14" s="14" t="s">
        <v>9</v>
      </c>
      <c r="E14" s="14">
        <v>26.48</v>
      </c>
      <c r="F14" s="14" t="s">
        <v>43</v>
      </c>
      <c r="G14" s="14" t="s">
        <v>44</v>
      </c>
      <c r="H14" s="14" t="s">
        <v>45</v>
      </c>
      <c r="I14" s="14" t="s">
        <v>46</v>
      </c>
      <c r="J14" s="14" t="s">
        <v>47</v>
      </c>
      <c r="K14" s="14" t="s">
        <v>48</v>
      </c>
      <c r="L14" s="14"/>
      <c r="M14" s="14"/>
      <c r="N14" s="14"/>
      <c r="O14" s="14">
        <v>6</v>
      </c>
      <c r="P14" s="14" t="s">
        <v>49</v>
      </c>
      <c r="Q14" s="14"/>
      <c r="R14" s="14"/>
      <c r="S14" s="14"/>
      <c r="T14" s="14"/>
      <c r="U14" s="14"/>
      <c r="V14" s="13"/>
      <c r="W14" s="13"/>
      <c r="X14" s="13"/>
      <c r="Y14" s="13"/>
      <c r="Z14" s="13"/>
    </row>
    <row r="15" spans="1:26" ht="12" customHeight="1" x14ac:dyDescent="0.2">
      <c r="A15" s="7">
        <v>43221</v>
      </c>
      <c r="B15" s="7">
        <v>43240</v>
      </c>
      <c r="C15" s="14" t="s">
        <v>8</v>
      </c>
      <c r="D15" s="14"/>
      <c r="E15" s="14"/>
      <c r="F15" s="14"/>
      <c r="G15" s="14" t="s">
        <v>50</v>
      </c>
      <c r="H15" s="14"/>
      <c r="I15" s="14"/>
      <c r="J15" s="14"/>
      <c r="K15" s="14" t="s">
        <v>48</v>
      </c>
      <c r="L15" s="14"/>
      <c r="M15" s="14"/>
      <c r="N15" s="14"/>
      <c r="O15" s="14">
        <v>3</v>
      </c>
      <c r="P15" s="14" t="s">
        <v>51</v>
      </c>
      <c r="Q15" s="14"/>
      <c r="R15" s="14"/>
      <c r="S15" s="14"/>
      <c r="T15" s="14"/>
      <c r="U15" s="14"/>
      <c r="V15" s="13"/>
      <c r="W15" s="13"/>
      <c r="X15" s="13"/>
      <c r="Y15" s="13"/>
      <c r="Z15" s="13"/>
    </row>
    <row r="16" spans="1:26" ht="12" customHeight="1" x14ac:dyDescent="0.2">
      <c r="A16" s="7">
        <v>43240</v>
      </c>
      <c r="B16" s="7">
        <v>43247.546840277777</v>
      </c>
      <c r="C16" s="14" t="s">
        <v>8</v>
      </c>
      <c r="D16" s="14" t="s">
        <v>9</v>
      </c>
      <c r="E16" s="14">
        <v>26.48</v>
      </c>
      <c r="F16" s="14" t="s">
        <v>52</v>
      </c>
      <c r="G16" s="14" t="s">
        <v>53</v>
      </c>
      <c r="H16" s="14" t="s">
        <v>54</v>
      </c>
      <c r="I16" s="14" t="s">
        <v>55</v>
      </c>
      <c r="J16" s="14" t="s">
        <v>56</v>
      </c>
      <c r="K16" s="14" t="s">
        <v>57</v>
      </c>
      <c r="L16" s="14"/>
      <c r="M16" s="14"/>
      <c r="N16" s="14"/>
      <c r="O16" s="14">
        <v>4</v>
      </c>
      <c r="P16" s="14" t="s">
        <v>49</v>
      </c>
      <c r="Q16" s="14"/>
      <c r="R16" s="14"/>
      <c r="S16" s="14"/>
      <c r="T16" s="14"/>
      <c r="U16" s="14"/>
      <c r="V16" s="13"/>
      <c r="W16" s="13"/>
      <c r="X16" s="13"/>
      <c r="Y16" s="13"/>
      <c r="Z16" s="13"/>
    </row>
    <row r="17" spans="1:26" ht="12" customHeight="1" x14ac:dyDescent="0.2">
      <c r="A17" s="7">
        <v>43247.546840277777</v>
      </c>
      <c r="B17" s="7">
        <v>43250</v>
      </c>
      <c r="C17" s="14" t="s">
        <v>8</v>
      </c>
      <c r="D17" s="14" t="s">
        <v>9</v>
      </c>
      <c r="E17" s="14">
        <v>26.48</v>
      </c>
      <c r="F17" s="14" t="s">
        <v>52</v>
      </c>
      <c r="G17" s="14" t="s">
        <v>53</v>
      </c>
      <c r="H17" s="14" t="s">
        <v>58</v>
      </c>
      <c r="I17" s="14" t="s">
        <v>59</v>
      </c>
      <c r="J17" s="14" t="s">
        <v>47</v>
      </c>
      <c r="K17" s="14" t="s">
        <v>57</v>
      </c>
      <c r="L17" s="14"/>
      <c r="M17" s="14"/>
      <c r="N17" s="14"/>
      <c r="O17" s="14">
        <v>4</v>
      </c>
      <c r="P17" s="14" t="s">
        <v>49</v>
      </c>
      <c r="Q17" s="14"/>
      <c r="R17" s="14"/>
      <c r="S17" s="14"/>
      <c r="T17" s="14"/>
      <c r="U17" s="14"/>
      <c r="V17" s="13"/>
      <c r="W17" s="13"/>
      <c r="X17" s="13"/>
      <c r="Y17" s="13"/>
      <c r="Z17" s="13"/>
    </row>
    <row r="18" spans="1:26" ht="12" customHeight="1" x14ac:dyDescent="0.2">
      <c r="A18" s="7">
        <v>43250</v>
      </c>
      <c r="B18" s="7">
        <v>43400.802083333328</v>
      </c>
      <c r="C18" s="14" t="s">
        <v>8</v>
      </c>
      <c r="D18" s="14" t="s">
        <v>9</v>
      </c>
      <c r="E18" s="14">
        <v>26.48</v>
      </c>
      <c r="F18" s="14" t="s">
        <v>52</v>
      </c>
      <c r="G18" s="14" t="s">
        <v>53</v>
      </c>
      <c r="H18" s="14" t="s">
        <v>60</v>
      </c>
      <c r="I18" s="14" t="s">
        <v>55</v>
      </c>
      <c r="J18" s="14" t="s">
        <v>61</v>
      </c>
      <c r="K18" s="14" t="s">
        <v>57</v>
      </c>
      <c r="L18" s="14"/>
      <c r="M18" s="14"/>
      <c r="N18" s="14"/>
      <c r="O18" s="14">
        <v>4</v>
      </c>
      <c r="P18" s="14" t="s">
        <v>49</v>
      </c>
      <c r="Q18" s="14"/>
      <c r="R18" s="14"/>
      <c r="S18" s="14"/>
      <c r="T18" s="14"/>
      <c r="U18" s="14"/>
      <c r="V18" s="13"/>
      <c r="W18" s="13"/>
      <c r="X18" s="13"/>
      <c r="Y18" s="13"/>
      <c r="Z18" s="13"/>
    </row>
    <row r="19" spans="1:26" ht="12" customHeight="1" x14ac:dyDescent="0.2">
      <c r="A19" s="7">
        <v>43400.802083333328</v>
      </c>
      <c r="B19" s="7">
        <v>43594.770972222221</v>
      </c>
      <c r="C19" s="14" t="s">
        <v>8</v>
      </c>
      <c r="D19" s="14" t="s">
        <v>9</v>
      </c>
      <c r="E19" s="14">
        <v>26.48</v>
      </c>
      <c r="F19" s="14" t="s">
        <v>43</v>
      </c>
      <c r="G19" s="14" t="s">
        <v>44</v>
      </c>
      <c r="H19" s="14" t="s">
        <v>62</v>
      </c>
      <c r="I19" s="14" t="s">
        <v>63</v>
      </c>
      <c r="J19" s="14" t="s">
        <v>47</v>
      </c>
      <c r="K19" s="14" t="s">
        <v>48</v>
      </c>
      <c r="L19" s="14"/>
      <c r="M19" s="14"/>
      <c r="N19" s="14"/>
      <c r="O19" s="14">
        <v>6</v>
      </c>
      <c r="P19" s="14" t="s">
        <v>49</v>
      </c>
      <c r="Q19" s="14"/>
      <c r="R19" s="14"/>
      <c r="S19" s="14"/>
      <c r="T19" s="14"/>
      <c r="U19" s="14"/>
      <c r="V19" s="13"/>
      <c r="W19" s="13"/>
      <c r="X19" s="13"/>
      <c r="Y19" s="13"/>
      <c r="Z19" s="13"/>
    </row>
    <row r="20" spans="1:26" ht="12" customHeight="1" x14ac:dyDescent="0.2">
      <c r="A20" s="7">
        <v>43594.770972222221</v>
      </c>
      <c r="B20" s="7">
        <v>43780.440844907404</v>
      </c>
      <c r="C20" s="14" t="s">
        <v>8</v>
      </c>
      <c r="D20" s="14" t="s">
        <v>9</v>
      </c>
      <c r="E20" s="14">
        <v>26.48</v>
      </c>
      <c r="F20" s="14" t="s">
        <v>43</v>
      </c>
      <c r="G20" s="14" t="s">
        <v>64</v>
      </c>
      <c r="H20" s="14" t="s">
        <v>65</v>
      </c>
      <c r="I20" s="14" t="s">
        <v>63</v>
      </c>
      <c r="J20" s="14" t="s">
        <v>47</v>
      </c>
      <c r="K20" s="14" t="s">
        <v>66</v>
      </c>
      <c r="L20" s="14"/>
      <c r="M20" s="14"/>
      <c r="N20" s="14"/>
      <c r="O20" s="14">
        <v>7</v>
      </c>
      <c r="P20" s="14" t="s">
        <v>49</v>
      </c>
      <c r="Q20" s="14"/>
      <c r="R20" s="14"/>
      <c r="S20" s="14"/>
      <c r="T20" s="14"/>
      <c r="U20" s="14"/>
      <c r="V20" s="13"/>
      <c r="W20" s="13"/>
      <c r="X20" s="13"/>
      <c r="Y20" s="13"/>
      <c r="Z20" s="13"/>
    </row>
    <row r="21" spans="1:26" ht="12" customHeight="1" x14ac:dyDescent="0.2">
      <c r="A21" s="7">
        <v>43780.440844907404</v>
      </c>
      <c r="B21" s="7">
        <v>43919</v>
      </c>
      <c r="C21" s="14" t="s">
        <v>8</v>
      </c>
      <c r="D21" s="14" t="s">
        <v>9</v>
      </c>
      <c r="E21" s="14">
        <v>26.48</v>
      </c>
      <c r="F21" s="14" t="s">
        <v>43</v>
      </c>
      <c r="G21" s="14" t="s">
        <v>44</v>
      </c>
      <c r="H21" s="14" t="s">
        <v>60</v>
      </c>
      <c r="I21" s="14" t="s">
        <v>46</v>
      </c>
      <c r="J21" s="14" t="s">
        <v>47</v>
      </c>
      <c r="K21" s="14" t="s">
        <v>48</v>
      </c>
      <c r="L21" s="14"/>
      <c r="M21" s="14"/>
      <c r="N21" s="14"/>
      <c r="O21" s="14">
        <v>6</v>
      </c>
      <c r="P21" s="14" t="s">
        <v>49</v>
      </c>
      <c r="Q21" s="14"/>
      <c r="R21" s="14"/>
      <c r="S21" s="14"/>
      <c r="T21" s="14"/>
      <c r="U21" s="14"/>
      <c r="V21" s="13"/>
      <c r="W21" s="13"/>
      <c r="X21" s="13"/>
      <c r="Y21" s="13"/>
      <c r="Z21" s="13"/>
    </row>
    <row r="22" spans="1:26" ht="12" customHeight="1" x14ac:dyDescent="0.2">
      <c r="A22" s="7">
        <v>43919</v>
      </c>
      <c r="B22" s="7">
        <v>43938.337500000001</v>
      </c>
      <c r="C22" s="14" t="s">
        <v>8</v>
      </c>
      <c r="D22" s="14" t="s">
        <v>9</v>
      </c>
      <c r="E22" s="14">
        <v>26.48</v>
      </c>
      <c r="F22" s="14" t="s">
        <v>43</v>
      </c>
      <c r="G22" s="14" t="s">
        <v>67</v>
      </c>
      <c r="H22" s="14" t="s">
        <v>60</v>
      </c>
      <c r="I22" s="14" t="s">
        <v>68</v>
      </c>
      <c r="J22" s="14" t="s">
        <v>47</v>
      </c>
      <c r="K22" s="14" t="s">
        <v>69</v>
      </c>
      <c r="L22" s="14"/>
      <c r="M22" s="14"/>
      <c r="N22" s="14"/>
      <c r="O22" s="14">
        <v>5</v>
      </c>
      <c r="P22" s="14" t="s">
        <v>49</v>
      </c>
      <c r="Q22" s="14"/>
      <c r="R22" s="14"/>
      <c r="S22" s="14"/>
      <c r="T22" s="14"/>
      <c r="U22" s="14"/>
      <c r="V22" s="13"/>
      <c r="W22" s="13"/>
      <c r="X22" s="13"/>
      <c r="Y22" s="13"/>
      <c r="Z22" s="13"/>
    </row>
    <row r="23" spans="1:26" ht="12" customHeight="1" x14ac:dyDescent="0.2">
      <c r="A23" s="7">
        <v>43938.337500000001</v>
      </c>
      <c r="B23" s="7">
        <v>44090.355752314812</v>
      </c>
      <c r="C23" s="14" t="s">
        <v>8</v>
      </c>
      <c r="D23" s="14" t="s">
        <v>9</v>
      </c>
      <c r="E23" s="14">
        <v>26.48</v>
      </c>
      <c r="F23" s="14" t="s">
        <v>70</v>
      </c>
      <c r="G23" s="14" t="s">
        <v>50</v>
      </c>
      <c r="H23" s="14" t="s">
        <v>71</v>
      </c>
      <c r="I23" s="14" t="s">
        <v>72</v>
      </c>
      <c r="J23" s="14" t="s">
        <v>47</v>
      </c>
      <c r="K23" s="14" t="s">
        <v>73</v>
      </c>
      <c r="L23" s="14"/>
      <c r="M23" s="14"/>
      <c r="N23" s="14" t="s">
        <v>74</v>
      </c>
      <c r="O23" s="14">
        <v>1</v>
      </c>
      <c r="P23" s="14" t="s">
        <v>49</v>
      </c>
      <c r="Q23" s="14"/>
      <c r="R23" s="14"/>
      <c r="S23" s="14"/>
      <c r="T23" s="14"/>
      <c r="U23" s="14"/>
      <c r="V23" s="13"/>
      <c r="W23" s="13"/>
      <c r="X23" s="13"/>
      <c r="Y23" s="13"/>
      <c r="Z23" s="13"/>
    </row>
    <row r="24" spans="1:26" ht="12" customHeight="1" x14ac:dyDescent="0.2">
      <c r="A24" s="7">
        <v>44090.355752314812</v>
      </c>
      <c r="B24" s="15">
        <v>44561</v>
      </c>
      <c r="C24" s="14" t="s">
        <v>8</v>
      </c>
      <c r="D24" s="14" t="s">
        <v>9</v>
      </c>
      <c r="E24" s="14">
        <v>26.48</v>
      </c>
      <c r="F24" s="14" t="s">
        <v>75</v>
      </c>
      <c r="G24" s="14" t="s">
        <v>76</v>
      </c>
      <c r="H24" s="14" t="s">
        <v>77</v>
      </c>
      <c r="I24" s="14" t="s">
        <v>78</v>
      </c>
      <c r="J24" s="14" t="s">
        <v>47</v>
      </c>
      <c r="K24" s="14" t="s">
        <v>73</v>
      </c>
      <c r="L24" s="14"/>
      <c r="M24" s="14"/>
      <c r="N24" s="14"/>
      <c r="O24" s="14">
        <v>1</v>
      </c>
      <c r="P24" s="14" t="s">
        <v>49</v>
      </c>
      <c r="Q24" s="14"/>
      <c r="R24" s="14"/>
      <c r="S24" s="14"/>
      <c r="T24" s="14"/>
      <c r="U24" s="14"/>
      <c r="V24" s="13"/>
      <c r="W24" s="13"/>
      <c r="X24" s="13"/>
      <c r="Y24" s="13"/>
      <c r="Z24" s="13"/>
    </row>
    <row r="26" spans="1:26" ht="16" x14ac:dyDescent="0.2">
      <c r="A26" s="1" t="s">
        <v>79</v>
      </c>
    </row>
    <row r="27" spans="1:26" ht="16" x14ac:dyDescent="0.2">
      <c r="A27" s="16" t="s">
        <v>1</v>
      </c>
      <c r="B27" s="16" t="s">
        <v>80</v>
      </c>
      <c r="C27" s="17"/>
      <c r="D27" s="17"/>
      <c r="E27" s="17"/>
      <c r="F27" s="16" t="s">
        <v>35</v>
      </c>
    </row>
    <row r="28" spans="1:26" ht="16" x14ac:dyDescent="0.2">
      <c r="A28" s="18">
        <v>43028</v>
      </c>
      <c r="B28" s="19" t="s">
        <v>81</v>
      </c>
      <c r="C28" s="19" t="s">
        <v>82</v>
      </c>
      <c r="D28" s="19" t="s">
        <v>83</v>
      </c>
      <c r="E28" s="17"/>
      <c r="F28" s="17"/>
    </row>
    <row r="29" spans="1:26" ht="16" x14ac:dyDescent="0.2">
      <c r="A29" s="17"/>
      <c r="B29" s="17"/>
      <c r="C29" s="16" t="s">
        <v>84</v>
      </c>
      <c r="D29" s="16" t="s">
        <v>85</v>
      </c>
      <c r="E29" s="17"/>
      <c r="F29" s="17"/>
    </row>
    <row r="30" spans="1:26" ht="16" x14ac:dyDescent="0.2">
      <c r="A30" s="18">
        <v>43084</v>
      </c>
      <c r="B30" s="19" t="s">
        <v>81</v>
      </c>
      <c r="C30" s="19" t="s">
        <v>82</v>
      </c>
      <c r="D30" s="19" t="s">
        <v>83</v>
      </c>
      <c r="E30" s="19"/>
      <c r="F30" s="17"/>
    </row>
    <row r="31" spans="1:26" ht="16" x14ac:dyDescent="0.2">
      <c r="A31" s="17"/>
      <c r="B31" s="17"/>
      <c r="C31" s="16" t="s">
        <v>86</v>
      </c>
      <c r="D31" s="16" t="s">
        <v>87</v>
      </c>
      <c r="E31" s="16"/>
      <c r="F31" s="17"/>
    </row>
    <row r="32" spans="1:26" ht="16" x14ac:dyDescent="0.2">
      <c r="A32" s="18">
        <v>43222</v>
      </c>
      <c r="B32" s="19" t="s">
        <v>81</v>
      </c>
      <c r="C32" s="19" t="s">
        <v>82</v>
      </c>
      <c r="D32" s="19" t="s">
        <v>83</v>
      </c>
      <c r="E32" s="17"/>
      <c r="F32" s="17"/>
    </row>
    <row r="33" spans="1:26" ht="16" x14ac:dyDescent="0.2">
      <c r="A33" s="17"/>
      <c r="B33" s="17"/>
      <c r="C33" s="16" t="s">
        <v>88</v>
      </c>
      <c r="D33" s="16" t="s">
        <v>87</v>
      </c>
      <c r="E33" s="17"/>
      <c r="F33" s="17"/>
    </row>
    <row r="34" spans="1:26" ht="16" x14ac:dyDescent="0.2">
      <c r="A34" s="18">
        <v>43240</v>
      </c>
      <c r="B34" s="19" t="s">
        <v>81</v>
      </c>
      <c r="C34" s="19" t="s">
        <v>82</v>
      </c>
      <c r="D34" s="19" t="s">
        <v>83</v>
      </c>
      <c r="E34" s="17"/>
      <c r="F34" s="17"/>
    </row>
    <row r="35" spans="1:26" ht="16" x14ac:dyDescent="0.2">
      <c r="A35" s="17"/>
      <c r="B35" s="17"/>
      <c r="C35" s="16" t="s">
        <v>89</v>
      </c>
      <c r="D35" s="16" t="s">
        <v>90</v>
      </c>
      <c r="E35" s="17"/>
      <c r="F35" s="17"/>
    </row>
    <row r="36" spans="1:26" ht="16" x14ac:dyDescent="0.2">
      <c r="E36" s="17"/>
      <c r="F36" s="17"/>
    </row>
    <row r="37" spans="1:26" ht="16" x14ac:dyDescent="0.2">
      <c r="A37" s="1" t="s">
        <v>91</v>
      </c>
      <c r="E37" s="17"/>
      <c r="F37" s="17"/>
    </row>
    <row r="38" spans="1:26" ht="16" x14ac:dyDescent="0.2">
      <c r="A38" s="20" t="s">
        <v>1</v>
      </c>
      <c r="B38" s="21" t="s">
        <v>2</v>
      </c>
      <c r="C38" s="21" t="s">
        <v>3</v>
      </c>
      <c r="D38" s="21" t="s">
        <v>28</v>
      </c>
      <c r="E38" s="21" t="s">
        <v>92</v>
      </c>
      <c r="F38" s="21" t="s">
        <v>29</v>
      </c>
      <c r="G38" s="21" t="s">
        <v>93</v>
      </c>
      <c r="H38" s="21" t="s">
        <v>94</v>
      </c>
      <c r="I38" s="21" t="s">
        <v>95</v>
      </c>
      <c r="J38" s="21" t="s">
        <v>96</v>
      </c>
    </row>
    <row r="39" spans="1:26" ht="15" customHeight="1" x14ac:dyDescent="0.2">
      <c r="A39" s="22">
        <v>43399</v>
      </c>
      <c r="B39" s="23" t="s">
        <v>8</v>
      </c>
      <c r="C39" s="23" t="s">
        <v>9</v>
      </c>
      <c r="D39" s="23">
        <v>26.48</v>
      </c>
      <c r="E39" s="23" t="s">
        <v>47</v>
      </c>
      <c r="F39" s="23" t="s">
        <v>53</v>
      </c>
      <c r="G39" s="23" t="s">
        <v>47</v>
      </c>
      <c r="H39" s="24">
        <v>2421.4</v>
      </c>
      <c r="I39" s="25" t="s">
        <v>97</v>
      </c>
      <c r="J39" s="23">
        <f t="shared" ref="J39:J41" si="0">H39/D39</f>
        <v>91.442598187311177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" customHeight="1" x14ac:dyDescent="0.2">
      <c r="A40" s="22">
        <v>43775</v>
      </c>
      <c r="B40" s="23" t="s">
        <v>8</v>
      </c>
      <c r="C40" s="23" t="s">
        <v>9</v>
      </c>
      <c r="D40" s="23">
        <v>26.48</v>
      </c>
      <c r="E40" s="23" t="s">
        <v>47</v>
      </c>
      <c r="F40" s="23" t="s">
        <v>64</v>
      </c>
      <c r="G40" s="23" t="s">
        <v>47</v>
      </c>
      <c r="H40" s="23">
        <v>707.33</v>
      </c>
      <c r="I40" s="25" t="s">
        <v>97</v>
      </c>
      <c r="J40" s="23">
        <f t="shared" si="0"/>
        <v>26.711858006042299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" customHeight="1" x14ac:dyDescent="0.2">
      <c r="A41" s="22">
        <v>44021</v>
      </c>
      <c r="B41" s="23" t="s">
        <v>8</v>
      </c>
      <c r="C41" s="23" t="s">
        <v>9</v>
      </c>
      <c r="D41" s="23">
        <v>26.48</v>
      </c>
      <c r="E41" s="23" t="s">
        <v>47</v>
      </c>
      <c r="F41" s="23" t="s">
        <v>67</v>
      </c>
      <c r="G41" s="23" t="s">
        <v>47</v>
      </c>
      <c r="H41" s="24">
        <v>1440.7</v>
      </c>
      <c r="I41" s="25" t="s">
        <v>97</v>
      </c>
      <c r="J41" s="23">
        <f t="shared" si="0"/>
        <v>54.407099697885194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6" x14ac:dyDescent="0.2">
      <c r="A42" s="26">
        <v>44352</v>
      </c>
      <c r="B42" s="17" t="s">
        <v>8</v>
      </c>
      <c r="C42" s="16"/>
      <c r="D42" s="23">
        <v>26.48</v>
      </c>
      <c r="E42" s="16"/>
      <c r="F42" s="16" t="s">
        <v>98</v>
      </c>
      <c r="H42" s="27">
        <f t="shared" ref="H42:H43" si="1">J42*D42</f>
        <v>26.48</v>
      </c>
      <c r="I42" s="25" t="s">
        <v>99</v>
      </c>
      <c r="J42" s="27">
        <v>1</v>
      </c>
    </row>
    <row r="43" spans="1:26" ht="16" x14ac:dyDescent="0.2">
      <c r="A43" s="28">
        <v>44418</v>
      </c>
      <c r="B43" s="23" t="s">
        <v>8</v>
      </c>
      <c r="D43" s="23">
        <v>26.48</v>
      </c>
      <c r="E43" s="17"/>
      <c r="F43" s="17" t="s">
        <v>98</v>
      </c>
      <c r="H43" s="27">
        <f t="shared" si="1"/>
        <v>26.48</v>
      </c>
      <c r="I43" s="25" t="s">
        <v>99</v>
      </c>
      <c r="J43" s="27">
        <v>1</v>
      </c>
    </row>
    <row r="44" spans="1:26" ht="16" x14ac:dyDescent="0.2">
      <c r="E44" s="17"/>
      <c r="F44" s="17"/>
    </row>
    <row r="45" spans="1:26" ht="16" x14ac:dyDescent="0.2">
      <c r="E45" s="19"/>
      <c r="F45" s="17"/>
    </row>
    <row r="46" spans="1:26" ht="16" x14ac:dyDescent="0.2">
      <c r="A46" s="17"/>
      <c r="B46" s="17"/>
      <c r="C46" s="16"/>
      <c r="D46" s="16"/>
      <c r="E46" s="16"/>
      <c r="F46" s="16"/>
    </row>
  </sheetData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baseColWidth="10" defaultColWidth="11.1640625" defaultRowHeight="15" customHeight="1" x14ac:dyDescent="0.2"/>
  <cols>
    <col min="1" max="1" width="21.83203125" customWidth="1"/>
    <col min="2" max="2" width="10.83203125" customWidth="1"/>
    <col min="3" max="3" width="22.1640625" customWidth="1"/>
    <col min="4" max="4" width="17" customWidth="1"/>
    <col min="5" max="5" width="15.5" customWidth="1"/>
    <col min="6" max="26" width="10.83203125" customWidth="1"/>
  </cols>
  <sheetData>
    <row r="1" spans="1:6" x14ac:dyDescent="0.2">
      <c r="A1" s="19" t="s">
        <v>1</v>
      </c>
      <c r="B1" s="19" t="s">
        <v>80</v>
      </c>
      <c r="C1" s="29"/>
      <c r="D1" s="29"/>
      <c r="E1" s="29"/>
      <c r="F1" s="19" t="s">
        <v>35</v>
      </c>
    </row>
    <row r="2" spans="1:6" x14ac:dyDescent="0.2">
      <c r="A2" s="19"/>
      <c r="C2" s="29"/>
      <c r="D2" s="29"/>
      <c r="E2" s="29"/>
      <c r="F2" s="19"/>
    </row>
    <row r="3" spans="1:6" x14ac:dyDescent="0.2">
      <c r="A3" s="30">
        <v>2018</v>
      </c>
      <c r="B3" s="16"/>
      <c r="C3" s="17"/>
      <c r="D3" s="17"/>
      <c r="E3" s="17"/>
      <c r="F3" s="16"/>
    </row>
    <row r="4" spans="1:6" x14ac:dyDescent="0.2">
      <c r="B4" s="19" t="s">
        <v>81</v>
      </c>
      <c r="C4" s="19" t="s">
        <v>82</v>
      </c>
      <c r="D4" s="19" t="s">
        <v>83</v>
      </c>
      <c r="E4" s="17"/>
      <c r="F4" s="17"/>
    </row>
    <row r="5" spans="1:6" x14ac:dyDescent="0.2">
      <c r="A5" s="18">
        <v>43179</v>
      </c>
      <c r="B5" s="17"/>
      <c r="C5" s="16" t="s">
        <v>100</v>
      </c>
      <c r="D5" s="16" t="s">
        <v>101</v>
      </c>
      <c r="E5" s="17"/>
      <c r="F5" s="17"/>
    </row>
    <row r="6" spans="1:6" x14ac:dyDescent="0.2">
      <c r="B6" s="19" t="s">
        <v>102</v>
      </c>
      <c r="C6" s="19" t="s">
        <v>103</v>
      </c>
      <c r="D6" s="19" t="s">
        <v>6</v>
      </c>
      <c r="E6" s="17"/>
    </row>
    <row r="7" spans="1:6" x14ac:dyDescent="0.2">
      <c r="A7" s="16" t="s">
        <v>104</v>
      </c>
      <c r="B7" s="17"/>
      <c r="C7" s="16" t="s">
        <v>105</v>
      </c>
      <c r="D7" s="16" t="s">
        <v>106</v>
      </c>
      <c r="E7" s="17"/>
      <c r="F7" s="17"/>
    </row>
    <row r="8" spans="1:6" x14ac:dyDescent="0.2">
      <c r="B8" s="19" t="s">
        <v>102</v>
      </c>
      <c r="C8" s="19" t="s">
        <v>103</v>
      </c>
      <c r="D8" s="19" t="s">
        <v>6</v>
      </c>
      <c r="E8" s="17"/>
      <c r="F8" s="17"/>
    </row>
    <row r="9" spans="1:6" x14ac:dyDescent="0.2">
      <c r="A9" s="16" t="s">
        <v>104</v>
      </c>
      <c r="B9" s="17"/>
      <c r="C9" s="16" t="s">
        <v>107</v>
      </c>
      <c r="D9" s="16" t="s">
        <v>108</v>
      </c>
      <c r="E9" s="17"/>
      <c r="F9" s="17"/>
    </row>
    <row r="10" spans="1:6" x14ac:dyDescent="0.2">
      <c r="B10" s="19" t="s">
        <v>109</v>
      </c>
      <c r="C10" s="19" t="s">
        <v>29</v>
      </c>
      <c r="D10" s="19" t="s">
        <v>30</v>
      </c>
      <c r="E10" s="19" t="s">
        <v>83</v>
      </c>
      <c r="F10" s="17"/>
    </row>
    <row r="11" spans="1:6" x14ac:dyDescent="0.2">
      <c r="A11" s="18">
        <v>43230</v>
      </c>
      <c r="B11" s="17"/>
      <c r="C11" s="16" t="s">
        <v>110</v>
      </c>
      <c r="D11" s="16" t="s">
        <v>111</v>
      </c>
      <c r="E11" s="31" t="s">
        <v>112</v>
      </c>
      <c r="F11" s="17"/>
    </row>
    <row r="12" spans="1:6" x14ac:dyDescent="0.2">
      <c r="B12" s="19" t="s">
        <v>113</v>
      </c>
      <c r="C12" s="19" t="s">
        <v>82</v>
      </c>
      <c r="D12" s="19" t="s">
        <v>83</v>
      </c>
      <c r="E12" s="17"/>
      <c r="F12" s="17"/>
    </row>
    <row r="13" spans="1:6" x14ac:dyDescent="0.2">
      <c r="A13" s="16" t="s">
        <v>114</v>
      </c>
      <c r="B13" s="17"/>
      <c r="C13" s="16" t="s">
        <v>115</v>
      </c>
      <c r="D13" s="16" t="s">
        <v>116</v>
      </c>
      <c r="E13" s="17"/>
      <c r="F13" s="16" t="s">
        <v>117</v>
      </c>
    </row>
    <row r="14" spans="1:6" x14ac:dyDescent="0.2">
      <c r="B14" s="19" t="s">
        <v>113</v>
      </c>
      <c r="C14" s="19" t="s">
        <v>82</v>
      </c>
      <c r="D14" s="19" t="s">
        <v>83</v>
      </c>
      <c r="E14" s="17"/>
      <c r="F14" s="17"/>
    </row>
    <row r="15" spans="1:6" x14ac:dyDescent="0.2">
      <c r="A15" s="16" t="s">
        <v>114</v>
      </c>
      <c r="B15" s="17"/>
      <c r="C15" s="16" t="s">
        <v>118</v>
      </c>
      <c r="D15" s="16" t="s">
        <v>119</v>
      </c>
      <c r="E15" s="17"/>
      <c r="F15" s="16" t="s">
        <v>117</v>
      </c>
    </row>
    <row r="16" spans="1:6" x14ac:dyDescent="0.2">
      <c r="B16" s="19" t="s">
        <v>81</v>
      </c>
      <c r="C16" s="19" t="s">
        <v>82</v>
      </c>
      <c r="D16" s="19" t="s">
        <v>83</v>
      </c>
      <c r="E16" s="17"/>
      <c r="F16" s="17"/>
    </row>
    <row r="17" spans="1:8" x14ac:dyDescent="0.2">
      <c r="A17" s="16" t="s">
        <v>120</v>
      </c>
      <c r="B17" s="17"/>
      <c r="C17" s="16" t="s">
        <v>121</v>
      </c>
      <c r="D17" s="16" t="s">
        <v>122</v>
      </c>
      <c r="E17" s="17"/>
      <c r="F17" s="16" t="s">
        <v>123</v>
      </c>
    </row>
    <row r="18" spans="1:8" x14ac:dyDescent="0.2">
      <c r="B18" s="19" t="s">
        <v>81</v>
      </c>
      <c r="C18" s="19" t="s">
        <v>82</v>
      </c>
      <c r="D18" s="19" t="s">
        <v>83</v>
      </c>
      <c r="E18" s="17"/>
      <c r="F18" s="17"/>
    </row>
    <row r="19" spans="1:8" x14ac:dyDescent="0.2">
      <c r="A19" s="16" t="s">
        <v>124</v>
      </c>
      <c r="B19" s="17"/>
      <c r="C19" s="16" t="s">
        <v>125</v>
      </c>
      <c r="D19" s="16" t="s">
        <v>126</v>
      </c>
      <c r="E19" s="17"/>
      <c r="F19" s="17"/>
    </row>
    <row r="20" spans="1:8" x14ac:dyDescent="0.2">
      <c r="A20" s="18">
        <v>43377</v>
      </c>
      <c r="B20" s="19" t="s">
        <v>127</v>
      </c>
      <c r="C20" s="19" t="s">
        <v>29</v>
      </c>
      <c r="D20" s="19" t="s">
        <v>128</v>
      </c>
      <c r="E20" s="17"/>
      <c r="F20" s="17"/>
    </row>
    <row r="21" spans="1:8" x14ac:dyDescent="0.2">
      <c r="A21" s="17"/>
      <c r="B21" s="17"/>
      <c r="C21" s="16" t="s">
        <v>110</v>
      </c>
      <c r="D21" s="16" t="s">
        <v>129</v>
      </c>
      <c r="E21" s="17"/>
      <c r="F21" s="17"/>
    </row>
    <row r="22" spans="1:8" x14ac:dyDescent="0.2">
      <c r="A22" s="18">
        <v>43559</v>
      </c>
      <c r="B22" s="19" t="s">
        <v>81</v>
      </c>
      <c r="C22" s="19" t="s">
        <v>82</v>
      </c>
      <c r="D22" s="19" t="s">
        <v>83</v>
      </c>
      <c r="E22" s="17"/>
      <c r="F22" s="17"/>
    </row>
    <row r="23" spans="1:8" x14ac:dyDescent="0.2">
      <c r="A23" s="17"/>
      <c r="B23" s="17"/>
      <c r="C23" s="16" t="s">
        <v>130</v>
      </c>
      <c r="D23" s="16" t="s">
        <v>131</v>
      </c>
      <c r="E23" s="17"/>
      <c r="F23" s="16" t="s">
        <v>132</v>
      </c>
      <c r="H23" s="16" t="s">
        <v>133</v>
      </c>
    </row>
    <row r="24" spans="1:8" x14ac:dyDescent="0.2">
      <c r="A24" s="17"/>
      <c r="B24" s="17"/>
      <c r="C24" s="17"/>
      <c r="D24" s="17"/>
      <c r="E24" s="17"/>
      <c r="F24" s="17"/>
      <c r="H24" s="27">
        <v>0.216</v>
      </c>
    </row>
    <row r="25" spans="1:8" x14ac:dyDescent="0.2">
      <c r="A25" s="32">
        <v>2019</v>
      </c>
      <c r="H25" s="27" t="s">
        <v>134</v>
      </c>
    </row>
    <row r="26" spans="1:8" x14ac:dyDescent="0.2">
      <c r="H26" s="27" t="s">
        <v>135</v>
      </c>
    </row>
    <row r="27" spans="1:8" x14ac:dyDescent="0.2">
      <c r="B27" s="19" t="s">
        <v>81</v>
      </c>
      <c r="C27" s="19" t="s">
        <v>82</v>
      </c>
      <c r="D27" s="19" t="s">
        <v>83</v>
      </c>
    </row>
    <row r="28" spans="1:8" x14ac:dyDescent="0.2">
      <c r="A28" s="27" t="s">
        <v>136</v>
      </c>
      <c r="C28" s="27" t="s">
        <v>137</v>
      </c>
      <c r="D28" s="27" t="s">
        <v>138</v>
      </c>
    </row>
    <row r="30" spans="1:8" x14ac:dyDescent="0.2">
      <c r="B30" s="19" t="s">
        <v>109</v>
      </c>
      <c r="C30" s="19" t="s">
        <v>29</v>
      </c>
      <c r="D30" s="19" t="s">
        <v>30</v>
      </c>
      <c r="E30" s="19" t="s">
        <v>83</v>
      </c>
    </row>
    <row r="31" spans="1:8" x14ac:dyDescent="0.2">
      <c r="A31" s="27" t="s">
        <v>139</v>
      </c>
      <c r="C31" s="27" t="s">
        <v>140</v>
      </c>
      <c r="E31" s="27" t="s">
        <v>141</v>
      </c>
    </row>
    <row r="33" spans="1:6" x14ac:dyDescent="0.2">
      <c r="B33" s="19" t="s">
        <v>127</v>
      </c>
      <c r="C33" s="19" t="s">
        <v>29</v>
      </c>
      <c r="D33" s="19" t="s">
        <v>128</v>
      </c>
      <c r="E33" s="19" t="s">
        <v>28</v>
      </c>
    </row>
    <row r="34" spans="1:6" x14ac:dyDescent="0.2">
      <c r="A34" s="27" t="s">
        <v>142</v>
      </c>
      <c r="C34" s="27" t="s">
        <v>140</v>
      </c>
      <c r="D34" s="27" t="s">
        <v>143</v>
      </c>
      <c r="E34" s="27" t="s">
        <v>144</v>
      </c>
    </row>
    <row r="36" spans="1:6" x14ac:dyDescent="0.2">
      <c r="B36" s="19" t="s">
        <v>109</v>
      </c>
      <c r="C36" s="19" t="s">
        <v>29</v>
      </c>
      <c r="D36" s="19" t="s">
        <v>30</v>
      </c>
      <c r="E36" s="19" t="s">
        <v>83</v>
      </c>
    </row>
    <row r="37" spans="1:6" x14ac:dyDescent="0.2">
      <c r="A37" s="27" t="s">
        <v>145</v>
      </c>
      <c r="C37" s="27" t="s">
        <v>146</v>
      </c>
      <c r="E37" s="27" t="s">
        <v>147</v>
      </c>
    </row>
    <row r="39" spans="1:6" x14ac:dyDescent="0.2">
      <c r="A39" s="32">
        <v>2020</v>
      </c>
    </row>
    <row r="41" spans="1:6" x14ac:dyDescent="0.2">
      <c r="B41" s="19" t="s">
        <v>102</v>
      </c>
      <c r="C41" s="19" t="s">
        <v>103</v>
      </c>
      <c r="D41" s="19" t="s">
        <v>6</v>
      </c>
    </row>
    <row r="42" spans="1:6" x14ac:dyDescent="0.2">
      <c r="A42" s="27" t="s">
        <v>148</v>
      </c>
      <c r="C42" s="27" t="s">
        <v>149</v>
      </c>
      <c r="D42" s="27" t="s">
        <v>150</v>
      </c>
    </row>
    <row r="44" spans="1:6" x14ac:dyDescent="0.2">
      <c r="B44" s="19" t="s">
        <v>109</v>
      </c>
      <c r="C44" s="19" t="s">
        <v>29</v>
      </c>
      <c r="D44" s="19" t="s">
        <v>30</v>
      </c>
      <c r="E44" s="19" t="s">
        <v>83</v>
      </c>
      <c r="F44" s="19"/>
    </row>
    <row r="45" spans="1:6" x14ac:dyDescent="0.2">
      <c r="A45" s="27" t="s">
        <v>148</v>
      </c>
      <c r="C45" s="27" t="s">
        <v>151</v>
      </c>
      <c r="E45" s="27" t="s">
        <v>152</v>
      </c>
    </row>
    <row r="47" spans="1:6" x14ac:dyDescent="0.2">
      <c r="B47" s="19" t="s">
        <v>127</v>
      </c>
      <c r="C47" s="19" t="s">
        <v>29</v>
      </c>
      <c r="D47" s="19" t="s">
        <v>128</v>
      </c>
      <c r="E47" s="19" t="s">
        <v>28</v>
      </c>
    </row>
    <row r="48" spans="1:6" x14ac:dyDescent="0.2">
      <c r="A48" s="27" t="s">
        <v>153</v>
      </c>
      <c r="C48" s="27" t="s">
        <v>151</v>
      </c>
      <c r="D48" s="27" t="s">
        <v>154</v>
      </c>
      <c r="E48" s="27" t="s">
        <v>155</v>
      </c>
    </row>
    <row r="50" spans="1:5" x14ac:dyDescent="0.2">
      <c r="B50" s="19" t="s">
        <v>102</v>
      </c>
      <c r="C50" s="19" t="s">
        <v>103</v>
      </c>
      <c r="D50" s="19" t="s">
        <v>6</v>
      </c>
    </row>
    <row r="51" spans="1:5" x14ac:dyDescent="0.2">
      <c r="A51" s="27" t="s">
        <v>153</v>
      </c>
      <c r="C51" s="27" t="s">
        <v>156</v>
      </c>
      <c r="D51" s="27" t="s">
        <v>150</v>
      </c>
    </row>
    <row r="53" spans="1:5" x14ac:dyDescent="0.2">
      <c r="B53" s="19" t="s">
        <v>109</v>
      </c>
      <c r="C53" s="19" t="s">
        <v>29</v>
      </c>
      <c r="D53" s="19" t="s">
        <v>30</v>
      </c>
      <c r="E53" s="19" t="s">
        <v>83</v>
      </c>
    </row>
    <row r="54" spans="1:5" x14ac:dyDescent="0.2">
      <c r="A54" s="27" t="s">
        <v>153</v>
      </c>
      <c r="C54" s="27" t="s">
        <v>157</v>
      </c>
      <c r="E54" s="27" t="s">
        <v>158</v>
      </c>
    </row>
    <row r="56" spans="1:5" x14ac:dyDescent="0.2">
      <c r="A56" s="32">
        <v>2021</v>
      </c>
    </row>
    <row r="58" spans="1:5" x14ac:dyDescent="0.2">
      <c r="A58" s="1"/>
      <c r="B58" s="19" t="s">
        <v>81</v>
      </c>
      <c r="C58" s="19" t="s">
        <v>82</v>
      </c>
      <c r="D58" s="19" t="s">
        <v>83</v>
      </c>
    </row>
    <row r="59" spans="1:5" x14ac:dyDescent="0.2">
      <c r="A59" s="27" t="s">
        <v>159</v>
      </c>
      <c r="C59" s="27" t="s">
        <v>137</v>
      </c>
      <c r="D59" s="27" t="s">
        <v>138</v>
      </c>
    </row>
    <row r="61" spans="1:5" x14ac:dyDescent="0.2">
      <c r="A61" s="1"/>
      <c r="B61" s="19" t="s">
        <v>109</v>
      </c>
      <c r="C61" s="19" t="s">
        <v>29</v>
      </c>
      <c r="D61" s="19" t="s">
        <v>30</v>
      </c>
      <c r="E61" s="19" t="s">
        <v>83</v>
      </c>
    </row>
    <row r="62" spans="1:5" x14ac:dyDescent="0.2">
      <c r="A62" s="27" t="s">
        <v>139</v>
      </c>
      <c r="C62" s="27" t="s">
        <v>160</v>
      </c>
      <c r="E62" s="27" t="s">
        <v>141</v>
      </c>
    </row>
    <row r="64" spans="1:5" x14ac:dyDescent="0.2">
      <c r="A64" s="1"/>
      <c r="B64" s="19" t="s">
        <v>127</v>
      </c>
      <c r="C64" s="19" t="s">
        <v>29</v>
      </c>
      <c r="D64" s="19" t="s">
        <v>128</v>
      </c>
      <c r="E64" s="19" t="s">
        <v>28</v>
      </c>
    </row>
    <row r="65" spans="1:5" x14ac:dyDescent="0.2">
      <c r="A65" s="27" t="s">
        <v>142</v>
      </c>
      <c r="C65" s="27" t="s">
        <v>161</v>
      </c>
      <c r="D65" s="27" t="s">
        <v>162</v>
      </c>
      <c r="E65" s="27" t="s">
        <v>163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topLeftCell="A44" workbookViewId="0">
      <selection activeCell="E82" sqref="E82"/>
    </sheetView>
  </sheetViews>
  <sheetFormatPr baseColWidth="10" defaultColWidth="11.1640625" defaultRowHeight="15" customHeight="1" x14ac:dyDescent="0.2"/>
  <cols>
    <col min="1" max="1" width="10.83203125" customWidth="1"/>
    <col min="2" max="2" width="22.6640625" customWidth="1"/>
    <col min="3" max="3" width="10.83203125" customWidth="1"/>
    <col min="4" max="4" width="36.83203125" customWidth="1"/>
    <col min="5" max="5" width="19.5" customWidth="1"/>
    <col min="6" max="6" width="14" customWidth="1"/>
    <col min="7" max="26" width="10.83203125" customWidth="1"/>
  </cols>
  <sheetData>
    <row r="1" spans="1:26" ht="16" x14ac:dyDescent="0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" customHeight="1" x14ac:dyDescent="0.25">
      <c r="A2" s="34">
        <v>2018</v>
      </c>
    </row>
    <row r="3" spans="1:26" ht="16" x14ac:dyDescent="0.2"/>
    <row r="4" spans="1:26" ht="16" x14ac:dyDescent="0.2"/>
    <row r="5" spans="1:26" ht="16" x14ac:dyDescent="0.2"/>
    <row r="6" spans="1:26" ht="16" x14ac:dyDescent="0.2">
      <c r="A6" s="27" t="s">
        <v>164</v>
      </c>
      <c r="B6" s="27" t="s">
        <v>165</v>
      </c>
      <c r="D6" s="27" t="s">
        <v>166</v>
      </c>
      <c r="G6" s="27" t="s">
        <v>167</v>
      </c>
    </row>
    <row r="7" spans="1:26" ht="16" x14ac:dyDescent="0.2">
      <c r="A7" s="36">
        <v>43237</v>
      </c>
      <c r="B7" s="37" t="s">
        <v>168</v>
      </c>
      <c r="C7" s="38"/>
      <c r="D7" s="37" t="s">
        <v>169</v>
      </c>
      <c r="E7" s="38"/>
      <c r="F7" s="38"/>
      <c r="G7" s="37" t="s">
        <v>170</v>
      </c>
    </row>
    <row r="8" spans="1:26" ht="16" x14ac:dyDescent="0.2">
      <c r="A8" s="36">
        <v>43258</v>
      </c>
      <c r="B8" s="37" t="s">
        <v>171</v>
      </c>
      <c r="C8" s="38"/>
      <c r="D8" s="37" t="s">
        <v>172</v>
      </c>
      <c r="E8" s="38"/>
      <c r="F8" s="38"/>
      <c r="G8" s="37" t="s">
        <v>170</v>
      </c>
    </row>
    <row r="9" spans="1:26" ht="16" x14ac:dyDescent="0.2">
      <c r="A9" s="36">
        <v>43278</v>
      </c>
      <c r="B9" s="37" t="s">
        <v>173</v>
      </c>
      <c r="C9" s="38"/>
      <c r="D9" s="37" t="s">
        <v>174</v>
      </c>
      <c r="E9" s="38"/>
      <c r="F9" s="38"/>
      <c r="G9" s="37" t="s">
        <v>170</v>
      </c>
    </row>
    <row r="10" spans="1:26" ht="16" x14ac:dyDescent="0.2">
      <c r="A10" s="26">
        <v>43261</v>
      </c>
      <c r="B10" s="27" t="s">
        <v>175</v>
      </c>
      <c r="D10" s="27" t="s">
        <v>176</v>
      </c>
      <c r="G10" s="27" t="s">
        <v>177</v>
      </c>
    </row>
    <row r="11" spans="1:26" ht="16" x14ac:dyDescent="0.2">
      <c r="A11" s="26">
        <v>43262</v>
      </c>
      <c r="B11" s="27" t="s">
        <v>178</v>
      </c>
      <c r="D11" s="27" t="s">
        <v>179</v>
      </c>
      <c r="G11" s="27" t="s">
        <v>177</v>
      </c>
    </row>
    <row r="12" spans="1:26" ht="16" x14ac:dyDescent="0.2">
      <c r="A12" s="26">
        <v>43265</v>
      </c>
      <c r="B12" s="27" t="s">
        <v>175</v>
      </c>
      <c r="D12" s="27" t="s">
        <v>180</v>
      </c>
      <c r="G12" s="27" t="s">
        <v>181</v>
      </c>
    </row>
    <row r="13" spans="1:26" ht="16" x14ac:dyDescent="0.2">
      <c r="A13" s="26">
        <v>43269</v>
      </c>
      <c r="B13" s="27" t="s">
        <v>182</v>
      </c>
      <c r="D13" s="27" t="s">
        <v>183</v>
      </c>
      <c r="G13" s="27" t="s">
        <v>181</v>
      </c>
    </row>
    <row r="14" spans="1:26" ht="16" x14ac:dyDescent="0.2">
      <c r="A14" s="26">
        <v>43269</v>
      </c>
      <c r="B14" s="27" t="s">
        <v>182</v>
      </c>
      <c r="D14" s="27" t="s">
        <v>184</v>
      </c>
      <c r="G14" s="27" t="s">
        <v>181</v>
      </c>
    </row>
    <row r="15" spans="1:26" ht="16" x14ac:dyDescent="0.2">
      <c r="A15" s="26">
        <v>43333</v>
      </c>
      <c r="B15" s="27" t="s">
        <v>185</v>
      </c>
      <c r="D15" s="27" t="s">
        <v>186</v>
      </c>
      <c r="G15" s="27" t="s">
        <v>187</v>
      </c>
    </row>
    <row r="16" spans="1:26" ht="16" x14ac:dyDescent="0.2">
      <c r="A16" s="26">
        <v>43336</v>
      </c>
      <c r="B16" s="27" t="s">
        <v>175</v>
      </c>
      <c r="D16" s="27" t="s">
        <v>188</v>
      </c>
      <c r="G16" s="27" t="s">
        <v>181</v>
      </c>
    </row>
    <row r="17" spans="1:26" ht="16" x14ac:dyDescent="0.2">
      <c r="A17" s="26">
        <v>43340</v>
      </c>
      <c r="B17" s="27" t="s">
        <v>182</v>
      </c>
      <c r="D17" s="27" t="s">
        <v>189</v>
      </c>
      <c r="G17" s="27" t="s">
        <v>181</v>
      </c>
    </row>
    <row r="18" spans="1:26" ht="16" x14ac:dyDescent="0.2">
      <c r="A18" s="26">
        <v>43397</v>
      </c>
      <c r="B18" s="27" t="s">
        <v>190</v>
      </c>
      <c r="D18" s="27" t="s">
        <v>191</v>
      </c>
      <c r="G18" s="27" t="s">
        <v>192</v>
      </c>
    </row>
    <row r="19" spans="1:26" ht="16" x14ac:dyDescent="0.2"/>
    <row r="20" spans="1:26" ht="16" x14ac:dyDescent="0.2"/>
    <row r="24" spans="1:26" ht="16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" customHeight="1" x14ac:dyDescent="0.25">
      <c r="A25" s="34">
        <v>2019</v>
      </c>
    </row>
    <row r="26" spans="1:26" ht="16" x14ac:dyDescent="0.2">
      <c r="C26" s="32" t="s">
        <v>193</v>
      </c>
      <c r="D26" s="35"/>
      <c r="F26" s="32" t="s">
        <v>194</v>
      </c>
      <c r="G26" s="35"/>
      <c r="H26" s="35"/>
    </row>
    <row r="28" spans="1:26" ht="16" x14ac:dyDescent="0.2">
      <c r="B28" s="1" t="s">
        <v>1</v>
      </c>
      <c r="C28" s="1" t="s">
        <v>80</v>
      </c>
      <c r="D28" s="1"/>
      <c r="E28" s="1" t="s">
        <v>195</v>
      </c>
      <c r="F28" s="1" t="s">
        <v>103</v>
      </c>
      <c r="G28" s="1" t="s">
        <v>2</v>
      </c>
    </row>
    <row r="29" spans="1:26" ht="16" x14ac:dyDescent="0.2">
      <c r="B29" s="1"/>
      <c r="C29" s="1"/>
      <c r="D29" s="1"/>
      <c r="E29" s="1"/>
      <c r="F29" s="1"/>
      <c r="G29" s="1"/>
    </row>
    <row r="31" spans="1:26" ht="16" x14ac:dyDescent="0.2">
      <c r="B31" s="36" t="s">
        <v>196</v>
      </c>
      <c r="C31" s="39" t="s">
        <v>197</v>
      </c>
      <c r="D31" s="38"/>
      <c r="E31" s="37" t="s">
        <v>198</v>
      </c>
      <c r="F31" s="38"/>
      <c r="G31" s="37" t="s">
        <v>199</v>
      </c>
      <c r="H31" s="27" t="s">
        <v>200</v>
      </c>
    </row>
    <row r="32" spans="1:26" ht="16" x14ac:dyDescent="0.2">
      <c r="B32" s="26" t="s">
        <v>201</v>
      </c>
      <c r="C32" s="1" t="s">
        <v>197</v>
      </c>
      <c r="E32" s="27" t="s">
        <v>198</v>
      </c>
      <c r="G32" s="27" t="s">
        <v>202</v>
      </c>
    </row>
    <row r="33" spans="2:8" ht="16" x14ac:dyDescent="0.2">
      <c r="B33" s="26" t="s">
        <v>203</v>
      </c>
      <c r="C33" s="1" t="s">
        <v>197</v>
      </c>
      <c r="E33" s="27" t="s">
        <v>198</v>
      </c>
      <c r="G33" s="27" t="s">
        <v>202</v>
      </c>
      <c r="H33" s="27" t="s">
        <v>204</v>
      </c>
    </row>
    <row r="34" spans="2:8" ht="16" x14ac:dyDescent="0.2">
      <c r="B34" s="36" t="s">
        <v>205</v>
      </c>
      <c r="C34" s="39" t="s">
        <v>197</v>
      </c>
      <c r="D34" s="38"/>
      <c r="E34" s="37" t="s">
        <v>198</v>
      </c>
      <c r="F34" s="38"/>
      <c r="G34" s="37" t="s">
        <v>199</v>
      </c>
    </row>
    <row r="35" spans="2:8" ht="16" x14ac:dyDescent="0.2">
      <c r="B35" s="26" t="s">
        <v>206</v>
      </c>
      <c r="C35" s="1" t="s">
        <v>197</v>
      </c>
      <c r="E35" s="27" t="s">
        <v>198</v>
      </c>
      <c r="G35" s="27" t="s">
        <v>202</v>
      </c>
    </row>
    <row r="36" spans="2:8" ht="16" x14ac:dyDescent="0.2">
      <c r="B36" s="36" t="s">
        <v>207</v>
      </c>
      <c r="C36" s="39" t="s">
        <v>197</v>
      </c>
      <c r="D36" s="38"/>
      <c r="E36" s="37" t="s">
        <v>198</v>
      </c>
      <c r="F36" s="38"/>
      <c r="G36" s="37" t="s">
        <v>199</v>
      </c>
    </row>
    <row r="37" spans="2:8" ht="16" x14ac:dyDescent="0.2">
      <c r="B37" s="26" t="s">
        <v>208</v>
      </c>
      <c r="C37" s="1" t="s">
        <v>197</v>
      </c>
      <c r="E37" s="27" t="s">
        <v>198</v>
      </c>
      <c r="G37" s="27" t="s">
        <v>202</v>
      </c>
    </row>
    <row r="38" spans="2:8" ht="16" x14ac:dyDescent="0.2">
      <c r="B38" s="36" t="s">
        <v>209</v>
      </c>
      <c r="C38" s="39" t="s">
        <v>197</v>
      </c>
      <c r="D38" s="38"/>
      <c r="E38" s="37" t="s">
        <v>198</v>
      </c>
      <c r="F38" s="38"/>
      <c r="G38" s="37" t="s">
        <v>210</v>
      </c>
    </row>
    <row r="39" spans="2:8" ht="16" x14ac:dyDescent="0.2">
      <c r="B39" s="26" t="s">
        <v>211</v>
      </c>
      <c r="C39" s="1" t="s">
        <v>197</v>
      </c>
      <c r="E39" s="27" t="s">
        <v>212</v>
      </c>
      <c r="G39" s="27" t="s">
        <v>192</v>
      </c>
    </row>
    <row r="40" spans="2:8" ht="16" x14ac:dyDescent="0.2">
      <c r="B40" s="36" t="s">
        <v>213</v>
      </c>
      <c r="C40" s="39" t="s">
        <v>197</v>
      </c>
      <c r="D40" s="38"/>
      <c r="E40" s="37" t="s">
        <v>212</v>
      </c>
      <c r="F40" s="38"/>
      <c r="G40" s="37" t="s">
        <v>214</v>
      </c>
      <c r="H40" s="27" t="s">
        <v>215</v>
      </c>
    </row>
    <row r="41" spans="2:8" ht="16" x14ac:dyDescent="0.2">
      <c r="B41" s="36" t="s">
        <v>216</v>
      </c>
      <c r="C41" s="39" t="s">
        <v>197</v>
      </c>
      <c r="D41" s="38"/>
      <c r="E41" s="37" t="s">
        <v>198</v>
      </c>
      <c r="F41" s="38"/>
      <c r="G41" s="37" t="s">
        <v>214</v>
      </c>
    </row>
    <row r="42" spans="2:8" ht="16" x14ac:dyDescent="0.2">
      <c r="B42" s="26">
        <v>43616</v>
      </c>
      <c r="C42" s="27" t="s">
        <v>217</v>
      </c>
      <c r="E42" s="27" t="s">
        <v>218</v>
      </c>
      <c r="G42" s="27" t="s">
        <v>192</v>
      </c>
    </row>
    <row r="43" spans="2:8" ht="16" x14ac:dyDescent="0.2">
      <c r="B43" s="26">
        <v>43617</v>
      </c>
      <c r="C43" s="27" t="s">
        <v>219</v>
      </c>
      <c r="E43" s="27" t="s">
        <v>218</v>
      </c>
      <c r="G43" s="27" t="s">
        <v>192</v>
      </c>
    </row>
    <row r="44" spans="2:8" ht="16" x14ac:dyDescent="0.2">
      <c r="B44" s="26">
        <v>43619</v>
      </c>
      <c r="C44" s="27" t="s">
        <v>217</v>
      </c>
      <c r="E44" s="27" t="s">
        <v>218</v>
      </c>
      <c r="G44" s="27" t="s">
        <v>192</v>
      </c>
    </row>
    <row r="45" spans="2:8" ht="16" x14ac:dyDescent="0.2">
      <c r="B45" s="26">
        <v>43620</v>
      </c>
      <c r="C45" s="27" t="s">
        <v>219</v>
      </c>
      <c r="E45" s="27" t="s">
        <v>218</v>
      </c>
      <c r="G45" s="27" t="s">
        <v>192</v>
      </c>
    </row>
    <row r="46" spans="2:8" ht="16" x14ac:dyDescent="0.2">
      <c r="B46" s="26">
        <v>43622</v>
      </c>
      <c r="C46" s="27" t="s">
        <v>217</v>
      </c>
      <c r="E46" s="27" t="s">
        <v>218</v>
      </c>
      <c r="G46" s="27" t="s">
        <v>192</v>
      </c>
    </row>
    <row r="47" spans="2:8" ht="16" x14ac:dyDescent="0.2">
      <c r="B47" s="26">
        <v>43623</v>
      </c>
      <c r="C47" s="27" t="s">
        <v>219</v>
      </c>
      <c r="E47" s="27" t="s">
        <v>218</v>
      </c>
      <c r="G47" s="27" t="s">
        <v>192</v>
      </c>
    </row>
    <row r="48" spans="2:8" ht="16" x14ac:dyDescent="0.2">
      <c r="B48" s="36">
        <v>43627</v>
      </c>
      <c r="C48" s="37" t="s">
        <v>217</v>
      </c>
      <c r="D48" s="38"/>
      <c r="E48" s="37" t="s">
        <v>218</v>
      </c>
      <c r="F48" s="38"/>
      <c r="G48" s="37" t="s">
        <v>220</v>
      </c>
    </row>
    <row r="49" spans="1:26" ht="16" x14ac:dyDescent="0.2">
      <c r="B49" s="36">
        <v>43628</v>
      </c>
      <c r="C49" s="37" t="s">
        <v>219</v>
      </c>
      <c r="D49" s="38"/>
      <c r="E49" s="37" t="s">
        <v>218</v>
      </c>
      <c r="F49" s="38"/>
      <c r="G49" s="37" t="s">
        <v>220</v>
      </c>
    </row>
    <row r="50" spans="1:26" ht="16" x14ac:dyDescent="0.2">
      <c r="B50" s="26">
        <v>43714</v>
      </c>
      <c r="C50" s="27" t="s">
        <v>221</v>
      </c>
      <c r="E50" s="27" t="s">
        <v>222</v>
      </c>
      <c r="G50" s="27" t="s">
        <v>223</v>
      </c>
    </row>
    <row r="51" spans="1:26" ht="16" x14ac:dyDescent="0.2">
      <c r="B51" s="26">
        <v>43717</v>
      </c>
      <c r="C51" s="27" t="s">
        <v>221</v>
      </c>
      <c r="E51" s="27" t="s">
        <v>222</v>
      </c>
      <c r="G51" s="27" t="s">
        <v>224</v>
      </c>
    </row>
    <row r="52" spans="1:26" ht="16" x14ac:dyDescent="0.2">
      <c r="B52" s="26">
        <v>43726</v>
      </c>
      <c r="C52" s="27" t="s">
        <v>217</v>
      </c>
      <c r="E52" s="27" t="s">
        <v>218</v>
      </c>
      <c r="G52" s="27" t="s">
        <v>177</v>
      </c>
    </row>
    <row r="53" spans="1:26" ht="16" x14ac:dyDescent="0.2">
      <c r="B53" s="26">
        <v>43727</v>
      </c>
      <c r="C53" s="27" t="s">
        <v>225</v>
      </c>
      <c r="E53" s="27" t="s">
        <v>222</v>
      </c>
      <c r="G53" s="27" t="s">
        <v>177</v>
      </c>
    </row>
    <row r="54" spans="1:26" ht="16" x14ac:dyDescent="0.2">
      <c r="B54" s="26">
        <v>43728</v>
      </c>
      <c r="C54" s="27" t="s">
        <v>226</v>
      </c>
      <c r="E54" s="27" t="s">
        <v>227</v>
      </c>
      <c r="G54" s="27" t="s">
        <v>177</v>
      </c>
    </row>
    <row r="55" spans="1:26" ht="16" x14ac:dyDescent="0.2">
      <c r="B55" s="36" t="s">
        <v>228</v>
      </c>
      <c r="C55" s="37" t="s">
        <v>197</v>
      </c>
      <c r="D55" s="38"/>
      <c r="E55" s="37" t="s">
        <v>198</v>
      </c>
      <c r="F55" s="38"/>
      <c r="G55" s="37" t="s">
        <v>214</v>
      </c>
    </row>
    <row r="56" spans="1:26" ht="16" x14ac:dyDescent="0.2">
      <c r="B56" s="27" t="s">
        <v>229</v>
      </c>
      <c r="C56" s="27" t="s">
        <v>230</v>
      </c>
      <c r="E56" s="27" t="s">
        <v>222</v>
      </c>
      <c r="G56" s="27" t="s">
        <v>231</v>
      </c>
    </row>
    <row r="57" spans="1:26" ht="16" x14ac:dyDescent="0.2">
      <c r="B57" s="26">
        <v>43772</v>
      </c>
      <c r="C57" s="27" t="s">
        <v>232</v>
      </c>
      <c r="E57" s="27" t="s">
        <v>233</v>
      </c>
      <c r="G57" s="27" t="s">
        <v>202</v>
      </c>
    </row>
    <row r="59" spans="1:26" ht="16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21" x14ac:dyDescent="0.25">
      <c r="A60" s="34">
        <v>2020</v>
      </c>
    </row>
    <row r="61" spans="1:26" ht="16" x14ac:dyDescent="0.2">
      <c r="C61" s="1" t="s">
        <v>234</v>
      </c>
    </row>
    <row r="62" spans="1:26" ht="16" x14ac:dyDescent="0.2">
      <c r="C62" s="35" t="s">
        <v>235</v>
      </c>
      <c r="D62" s="35"/>
    </row>
    <row r="64" spans="1:26" ht="16" x14ac:dyDescent="0.2">
      <c r="B64" s="1" t="s">
        <v>1</v>
      </c>
      <c r="C64" s="1" t="s">
        <v>80</v>
      </c>
      <c r="D64" s="1"/>
      <c r="E64" s="1" t="s">
        <v>195</v>
      </c>
      <c r="F64" s="1" t="s">
        <v>103</v>
      </c>
      <c r="G64" s="1" t="s">
        <v>2</v>
      </c>
    </row>
    <row r="65" spans="2:7" ht="16" x14ac:dyDescent="0.2">
      <c r="B65" s="1"/>
      <c r="C65" s="1"/>
      <c r="D65" s="1"/>
      <c r="E65" s="1"/>
      <c r="F65" s="1"/>
      <c r="G65" s="1"/>
    </row>
    <row r="66" spans="2:7" ht="16" x14ac:dyDescent="0.2">
      <c r="B66" s="36">
        <v>43929</v>
      </c>
      <c r="C66" s="37" t="s">
        <v>221</v>
      </c>
      <c r="D66" s="38"/>
      <c r="E66" s="37" t="s">
        <v>222</v>
      </c>
      <c r="F66" s="38"/>
      <c r="G66" s="37" t="s">
        <v>187</v>
      </c>
    </row>
    <row r="67" spans="2:7" ht="16" x14ac:dyDescent="0.2">
      <c r="B67" s="36">
        <v>43930</v>
      </c>
      <c r="C67" s="37" t="s">
        <v>221</v>
      </c>
      <c r="D67" s="38"/>
      <c r="E67" s="37" t="s">
        <v>222</v>
      </c>
      <c r="F67" s="38"/>
      <c r="G67" s="37" t="s">
        <v>187</v>
      </c>
    </row>
    <row r="68" spans="2:7" ht="16" x14ac:dyDescent="0.2">
      <c r="B68" s="36">
        <v>43912</v>
      </c>
      <c r="C68" s="37" t="s">
        <v>236</v>
      </c>
      <c r="D68" s="38"/>
      <c r="E68" s="37" t="s">
        <v>237</v>
      </c>
      <c r="F68" s="38"/>
      <c r="G68" s="37" t="s">
        <v>187</v>
      </c>
    </row>
    <row r="69" spans="2:7" ht="16" x14ac:dyDescent="0.2">
      <c r="B69" s="36">
        <v>43913</v>
      </c>
      <c r="C69" s="37" t="s">
        <v>236</v>
      </c>
      <c r="D69" s="38"/>
      <c r="E69" s="37" t="s">
        <v>237</v>
      </c>
      <c r="F69" s="38"/>
      <c r="G69" s="37" t="s">
        <v>187</v>
      </c>
    </row>
    <row r="70" spans="2:7" ht="16" x14ac:dyDescent="0.2">
      <c r="B70" s="36">
        <v>43971</v>
      </c>
      <c r="C70" s="37" t="s">
        <v>217</v>
      </c>
      <c r="D70" s="38"/>
      <c r="E70" s="37" t="s">
        <v>222</v>
      </c>
      <c r="F70" s="38"/>
      <c r="G70" s="37" t="s">
        <v>214</v>
      </c>
    </row>
    <row r="71" spans="2:7" ht="16" x14ac:dyDescent="0.2">
      <c r="B71" s="36">
        <v>43972</v>
      </c>
      <c r="C71" s="37" t="s">
        <v>238</v>
      </c>
      <c r="D71" s="38"/>
      <c r="E71" s="37" t="s">
        <v>218</v>
      </c>
      <c r="F71" s="38"/>
      <c r="G71" s="37" t="s">
        <v>214</v>
      </c>
    </row>
    <row r="72" spans="2:7" ht="16" x14ac:dyDescent="0.2">
      <c r="B72" s="26">
        <v>43972</v>
      </c>
      <c r="C72" s="27" t="s">
        <v>217</v>
      </c>
      <c r="E72" s="27" t="s">
        <v>222</v>
      </c>
      <c r="G72" s="27" t="s">
        <v>202</v>
      </c>
    </row>
    <row r="73" spans="2:7" ht="16" x14ac:dyDescent="0.2">
      <c r="B73" s="26">
        <v>43973</v>
      </c>
      <c r="C73" s="27" t="s">
        <v>238</v>
      </c>
      <c r="E73" s="27" t="s">
        <v>227</v>
      </c>
      <c r="G73" s="27" t="s">
        <v>202</v>
      </c>
    </row>
    <row r="74" spans="2:7" ht="16" x14ac:dyDescent="0.2">
      <c r="B74" s="26">
        <v>43975</v>
      </c>
      <c r="C74" s="27" t="s">
        <v>239</v>
      </c>
      <c r="E74" s="27" t="s">
        <v>222</v>
      </c>
      <c r="G74" s="27" t="s">
        <v>240</v>
      </c>
    </row>
    <row r="75" spans="2:7" ht="16" x14ac:dyDescent="0.2">
      <c r="B75" s="26">
        <v>43976</v>
      </c>
      <c r="C75" s="27" t="s">
        <v>241</v>
      </c>
      <c r="E75" s="27" t="s">
        <v>227</v>
      </c>
      <c r="G75" s="27" t="s">
        <v>240</v>
      </c>
    </row>
    <row r="76" spans="2:7" ht="16" x14ac:dyDescent="0.2">
      <c r="B76" s="36">
        <v>43977</v>
      </c>
      <c r="C76" s="37" t="s">
        <v>242</v>
      </c>
      <c r="D76" s="38"/>
      <c r="E76" s="37" t="s">
        <v>237</v>
      </c>
      <c r="F76" s="38"/>
      <c r="G76" s="37" t="s">
        <v>243</v>
      </c>
    </row>
    <row r="77" spans="2:7" ht="16" x14ac:dyDescent="0.2">
      <c r="B77" s="26">
        <v>43977</v>
      </c>
      <c r="C77" s="27" t="s">
        <v>217</v>
      </c>
      <c r="E77" s="27" t="s">
        <v>222</v>
      </c>
      <c r="G77" s="27" t="s">
        <v>177</v>
      </c>
    </row>
    <row r="78" spans="2:7" ht="16" x14ac:dyDescent="0.2">
      <c r="B78" s="26">
        <v>43978</v>
      </c>
      <c r="C78" s="27" t="s">
        <v>226</v>
      </c>
      <c r="E78" s="27" t="s">
        <v>218</v>
      </c>
      <c r="G78" s="27" t="s">
        <v>177</v>
      </c>
    </row>
    <row r="79" spans="2:7" ht="16" x14ac:dyDescent="0.2">
      <c r="B79" s="36">
        <v>43980</v>
      </c>
      <c r="C79" s="37" t="s">
        <v>244</v>
      </c>
      <c r="D79" s="38"/>
      <c r="E79" s="37" t="s">
        <v>222</v>
      </c>
      <c r="F79" s="38"/>
      <c r="G79" s="37" t="s">
        <v>187</v>
      </c>
    </row>
    <row r="80" spans="2:7" ht="16" x14ac:dyDescent="0.2">
      <c r="B80" s="36">
        <v>43981</v>
      </c>
      <c r="C80" s="37" t="s">
        <v>244</v>
      </c>
      <c r="D80" s="38"/>
      <c r="E80" s="37" t="s">
        <v>222</v>
      </c>
      <c r="F80" s="38"/>
      <c r="G80" s="37" t="s">
        <v>187</v>
      </c>
    </row>
    <row r="81" spans="2:7" ht="16" x14ac:dyDescent="0.2">
      <c r="B81" s="36">
        <v>43982</v>
      </c>
      <c r="C81" s="37" t="s">
        <v>244</v>
      </c>
      <c r="D81" s="38"/>
      <c r="E81" s="37" t="s">
        <v>222</v>
      </c>
      <c r="F81" s="38"/>
      <c r="G81" s="37" t="s">
        <v>187</v>
      </c>
    </row>
    <row r="82" spans="2:7" ht="16" x14ac:dyDescent="0.2">
      <c r="B82" s="36">
        <v>44026</v>
      </c>
      <c r="C82" s="37" t="s">
        <v>245</v>
      </c>
      <c r="D82" s="38"/>
      <c r="E82" s="37" t="s">
        <v>222</v>
      </c>
      <c r="F82" s="38"/>
      <c r="G82" s="37" t="s">
        <v>243</v>
      </c>
    </row>
    <row r="83" spans="2:7" ht="16" x14ac:dyDescent="0.2">
      <c r="B83" s="36">
        <v>44028</v>
      </c>
      <c r="C83" s="37" t="s">
        <v>246</v>
      </c>
      <c r="D83" s="38"/>
      <c r="E83" s="37" t="s">
        <v>247</v>
      </c>
      <c r="F83" s="38"/>
      <c r="G83" s="37" t="s">
        <v>243</v>
      </c>
    </row>
    <row r="84" spans="2:7" ht="16" x14ac:dyDescent="0.2">
      <c r="B84" s="26">
        <v>44037</v>
      </c>
      <c r="C84" s="27" t="s">
        <v>248</v>
      </c>
      <c r="E84" s="27" t="s">
        <v>222</v>
      </c>
      <c r="G84" s="27" t="s">
        <v>177</v>
      </c>
    </row>
    <row r="85" spans="2:7" ht="16" x14ac:dyDescent="0.2">
      <c r="B85" s="26">
        <v>44038</v>
      </c>
      <c r="C85" s="27" t="s">
        <v>249</v>
      </c>
      <c r="E85" s="27" t="s">
        <v>247</v>
      </c>
      <c r="G85" s="27" t="s">
        <v>177</v>
      </c>
    </row>
    <row r="87" spans="2:7" ht="16" x14ac:dyDescent="0.2">
      <c r="B87" s="1" t="s">
        <v>250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EF01</vt:lpstr>
      <vt:lpstr>EF02</vt:lpstr>
      <vt:lpstr>EF03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Forbes</cp:lastModifiedBy>
  <dcterms:created xsi:type="dcterms:W3CDTF">2023-08-07T16:50:07Z</dcterms:created>
  <dcterms:modified xsi:type="dcterms:W3CDTF">2025-07-02T18:03:17Z</dcterms:modified>
</cp:coreProperties>
</file>