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13_ncr:1_{21D54B5B-6F51-FC46-A707-8AE8C120A1AA}" xr6:coauthVersionLast="47" xr6:coauthVersionMax="47" xr10:uidLastSave="{00000000-0000-0000-0000-000000000000}"/>
  <bookViews>
    <workbookView xWindow="-38400" yWindow="-1460" windowWidth="38400" windowHeight="21100" activeTab="1" xr2:uid="{00000000-000D-0000-FFFF-FFFF00000000}"/>
  </bookViews>
  <sheets>
    <sheet name="Sheet1" sheetId="1" r:id="rId1"/>
    <sheet name="ESF_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2" i="2"/>
  <c r="L3" i="2"/>
  <c r="M3" i="2" s="1"/>
  <c r="N3" i="2" s="1"/>
  <c r="L4" i="2"/>
  <c r="M4" i="2" s="1"/>
  <c r="N4" i="2" s="1"/>
  <c r="L5" i="2"/>
  <c r="M5" i="2" s="1"/>
  <c r="N5" i="2" s="1"/>
  <c r="L6" i="2"/>
  <c r="M6" i="2" s="1"/>
  <c r="N6" i="2" s="1"/>
  <c r="L7" i="2"/>
  <c r="M7" i="2" s="1"/>
  <c r="N7" i="2" s="1"/>
  <c r="L8" i="2"/>
  <c r="M8" i="2" s="1"/>
  <c r="N8" i="2" s="1"/>
  <c r="L9" i="2"/>
  <c r="M9" i="2" s="1"/>
  <c r="N9" i="2" s="1"/>
  <c r="L10" i="2"/>
  <c r="M10" i="2" s="1"/>
  <c r="N10" i="2" s="1"/>
  <c r="L11" i="2"/>
  <c r="M11" i="2" s="1"/>
  <c r="N11" i="2" s="1"/>
  <c r="L12" i="2"/>
  <c r="M12" i="2" s="1"/>
  <c r="N12" i="2" s="1"/>
  <c r="L13" i="2"/>
  <c r="M13" i="2" s="1"/>
  <c r="N13" i="2" s="1"/>
  <c r="L14" i="2"/>
  <c r="M14" i="2" s="1"/>
  <c r="N14" i="2" s="1"/>
  <c r="L15" i="2"/>
  <c r="M15" i="2" s="1"/>
  <c r="N15" i="2" s="1"/>
  <c r="L16" i="2"/>
  <c r="M16" i="2" s="1"/>
  <c r="N16" i="2" s="1"/>
  <c r="L17" i="2"/>
  <c r="M17" i="2" s="1"/>
  <c r="N17" i="2" s="1"/>
  <c r="L18" i="2"/>
  <c r="M18" i="2" s="1"/>
  <c r="N18" i="2" s="1"/>
  <c r="L19" i="2"/>
  <c r="M19" i="2" s="1"/>
  <c r="N19" i="2" s="1"/>
  <c r="L20" i="2"/>
  <c r="M20" i="2" s="1"/>
  <c r="N20" i="2" s="1"/>
  <c r="L21" i="2"/>
  <c r="M21" i="2" s="1"/>
  <c r="N21" i="2" s="1"/>
  <c r="L22" i="2"/>
  <c r="M22" i="2" s="1"/>
  <c r="N22" i="2" s="1"/>
  <c r="L23" i="2"/>
  <c r="M23" i="2" s="1"/>
  <c r="N23" i="2" s="1"/>
  <c r="L24" i="2"/>
  <c r="M24" i="2" s="1"/>
  <c r="N24" i="2" s="1"/>
  <c r="L25" i="2"/>
  <c r="M25" i="2" s="1"/>
  <c r="N25" i="2" s="1"/>
  <c r="L26" i="2"/>
  <c r="M26" i="2" s="1"/>
  <c r="N26" i="2" s="1"/>
  <c r="L27" i="2"/>
  <c r="M27" i="2" s="1"/>
  <c r="N27" i="2" s="1"/>
  <c r="L28" i="2"/>
  <c r="M28" i="2" s="1"/>
  <c r="N28" i="2" s="1"/>
  <c r="L29" i="2"/>
  <c r="M29" i="2" s="1"/>
  <c r="N29" i="2" s="1"/>
  <c r="L30" i="2"/>
  <c r="M30" i="2" s="1"/>
  <c r="N30" i="2" s="1"/>
  <c r="L31" i="2"/>
  <c r="M31" i="2" s="1"/>
  <c r="N31" i="2" s="1"/>
  <c r="L32" i="2"/>
  <c r="M32" i="2" s="1"/>
  <c r="N32" i="2" s="1"/>
  <c r="L33" i="2"/>
  <c r="M33" i="2" s="1"/>
  <c r="N33" i="2" s="1"/>
  <c r="L34" i="2"/>
  <c r="M34" i="2" s="1"/>
  <c r="N34" i="2" s="1"/>
  <c r="L35" i="2"/>
  <c r="M35" i="2" s="1"/>
  <c r="N35" i="2" s="1"/>
  <c r="L36" i="2"/>
  <c r="M36" i="2" s="1"/>
  <c r="N36" i="2" s="1"/>
  <c r="L37" i="2"/>
  <c r="M37" i="2" s="1"/>
  <c r="N37" i="2" s="1"/>
  <c r="L38" i="2"/>
  <c r="M38" i="2" s="1"/>
  <c r="N38" i="2" s="1"/>
  <c r="L39" i="2"/>
  <c r="M39" i="2" s="1"/>
  <c r="N39" i="2" s="1"/>
  <c r="L40" i="2"/>
  <c r="M40" i="2" s="1"/>
  <c r="N40" i="2" s="1"/>
  <c r="L41" i="2"/>
  <c r="M41" i="2" s="1"/>
  <c r="N41" i="2" s="1"/>
  <c r="L42" i="2"/>
  <c r="M42" i="2" s="1"/>
  <c r="N42" i="2" s="1"/>
  <c r="L43" i="2"/>
  <c r="M43" i="2" s="1"/>
  <c r="N43" i="2" s="1"/>
  <c r="L44" i="2"/>
  <c r="M44" i="2" s="1"/>
  <c r="N44" i="2" s="1"/>
  <c r="L45" i="2"/>
  <c r="M45" i="2" s="1"/>
  <c r="N45" i="2" s="1"/>
  <c r="L46" i="2"/>
  <c r="M46" i="2" s="1"/>
  <c r="N46" i="2" s="1"/>
  <c r="L47" i="2"/>
  <c r="M47" i="2" s="1"/>
  <c r="N47" i="2" s="1"/>
  <c r="L48" i="2"/>
  <c r="M48" i="2" s="1"/>
  <c r="N48" i="2" s="1"/>
  <c r="L49" i="2"/>
  <c r="M49" i="2" s="1"/>
  <c r="N49" i="2" s="1"/>
  <c r="L50" i="2"/>
  <c r="M50" i="2" s="1"/>
  <c r="N50" i="2" s="1"/>
  <c r="L51" i="2"/>
  <c r="M51" i="2" s="1"/>
  <c r="N51" i="2" s="1"/>
  <c r="L52" i="2"/>
  <c r="M52" i="2" s="1"/>
  <c r="N52" i="2" s="1"/>
  <c r="L53" i="2"/>
  <c r="M53" i="2" s="1"/>
  <c r="N53" i="2" s="1"/>
  <c r="L54" i="2"/>
  <c r="M54" i="2" s="1"/>
  <c r="N54" i="2" s="1"/>
  <c r="L55" i="2"/>
  <c r="M55" i="2" s="1"/>
  <c r="N55" i="2" s="1"/>
  <c r="L56" i="2"/>
  <c r="M56" i="2" s="1"/>
  <c r="N56" i="2" s="1"/>
  <c r="L57" i="2"/>
  <c r="M57" i="2" s="1"/>
  <c r="N57" i="2" s="1"/>
  <c r="L58" i="2"/>
  <c r="M58" i="2" s="1"/>
  <c r="N58" i="2" s="1"/>
  <c r="L59" i="2"/>
  <c r="M59" i="2" s="1"/>
  <c r="N59" i="2" s="1"/>
  <c r="L60" i="2"/>
  <c r="M60" i="2" s="1"/>
  <c r="N60" i="2" s="1"/>
  <c r="L61" i="2"/>
  <c r="M61" i="2" s="1"/>
  <c r="N61" i="2" s="1"/>
  <c r="L62" i="2"/>
  <c r="M62" i="2" s="1"/>
  <c r="N62" i="2" s="1"/>
  <c r="L63" i="2"/>
  <c r="M63" i="2" s="1"/>
  <c r="N63" i="2" s="1"/>
  <c r="L64" i="2"/>
  <c r="M64" i="2" s="1"/>
  <c r="N64" i="2" s="1"/>
  <c r="L65" i="2"/>
  <c r="M65" i="2" s="1"/>
  <c r="N65" i="2" s="1"/>
  <c r="L66" i="2"/>
  <c r="M66" i="2" s="1"/>
  <c r="N66" i="2" s="1"/>
  <c r="L67" i="2"/>
  <c r="M67" i="2" s="1"/>
  <c r="N67" i="2" s="1"/>
  <c r="L68" i="2"/>
  <c r="M68" i="2" s="1"/>
  <c r="N68" i="2" s="1"/>
  <c r="L69" i="2"/>
  <c r="M69" i="2" s="1"/>
  <c r="N69" i="2" s="1"/>
  <c r="L70" i="2"/>
  <c r="M70" i="2" s="1"/>
  <c r="N70" i="2" s="1"/>
  <c r="L71" i="2"/>
  <c r="M71" i="2" s="1"/>
  <c r="N71" i="2" s="1"/>
  <c r="L72" i="2"/>
  <c r="M72" i="2" s="1"/>
  <c r="N72" i="2" s="1"/>
  <c r="L73" i="2"/>
  <c r="M73" i="2" s="1"/>
  <c r="N73" i="2" s="1"/>
  <c r="L74" i="2"/>
  <c r="M74" i="2" s="1"/>
  <c r="N74" i="2" s="1"/>
  <c r="L75" i="2"/>
  <c r="M75" i="2" s="1"/>
  <c r="N75" i="2" s="1"/>
  <c r="L76" i="2"/>
  <c r="M76" i="2" s="1"/>
  <c r="N76" i="2" s="1"/>
  <c r="L77" i="2"/>
  <c r="M77" i="2" s="1"/>
  <c r="N77" i="2" s="1"/>
  <c r="L78" i="2"/>
  <c r="M78" i="2" s="1"/>
  <c r="N78" i="2" s="1"/>
  <c r="L79" i="2"/>
  <c r="M79" i="2" s="1"/>
  <c r="N79" i="2" s="1"/>
  <c r="L80" i="2"/>
  <c r="M80" i="2" s="1"/>
  <c r="N80" i="2" s="1"/>
  <c r="L81" i="2"/>
  <c r="M81" i="2" s="1"/>
  <c r="N81" i="2" s="1"/>
  <c r="L82" i="2"/>
  <c r="M82" i="2" s="1"/>
  <c r="N82" i="2" s="1"/>
  <c r="L83" i="2"/>
  <c r="M83" i="2" s="1"/>
  <c r="N83" i="2" s="1"/>
  <c r="L84" i="2"/>
  <c r="M84" i="2" s="1"/>
  <c r="N84" i="2" s="1"/>
  <c r="L85" i="2"/>
  <c r="M85" i="2" s="1"/>
  <c r="N85" i="2" s="1"/>
  <c r="L86" i="2"/>
  <c r="M86" i="2" s="1"/>
  <c r="N86" i="2" s="1"/>
  <c r="L87" i="2"/>
  <c r="M87" i="2" s="1"/>
  <c r="N87" i="2" s="1"/>
  <c r="L88" i="2"/>
  <c r="M88" i="2" s="1"/>
  <c r="N88" i="2" s="1"/>
  <c r="L89" i="2"/>
  <c r="M89" i="2" s="1"/>
  <c r="N89" i="2" s="1"/>
  <c r="L90" i="2"/>
  <c r="M90" i="2" s="1"/>
  <c r="N90" i="2" s="1"/>
  <c r="L91" i="2"/>
  <c r="M91" i="2" s="1"/>
  <c r="N91" i="2" s="1"/>
  <c r="L92" i="2"/>
  <c r="M92" i="2" s="1"/>
  <c r="N92" i="2" s="1"/>
  <c r="L93" i="2"/>
  <c r="M93" i="2" s="1"/>
  <c r="N93" i="2" s="1"/>
  <c r="L94" i="2"/>
  <c r="M94" i="2" s="1"/>
  <c r="N94" i="2" s="1"/>
  <c r="L95" i="2"/>
  <c r="M95" i="2" s="1"/>
  <c r="N95" i="2" s="1"/>
  <c r="L96" i="2"/>
  <c r="M96" i="2" s="1"/>
  <c r="N96" i="2" s="1"/>
  <c r="L97" i="2"/>
  <c r="M97" i="2" s="1"/>
  <c r="N97" i="2" s="1"/>
  <c r="L98" i="2"/>
  <c r="M98" i="2" s="1"/>
  <c r="N98" i="2" s="1"/>
  <c r="L99" i="2"/>
  <c r="M99" i="2" s="1"/>
  <c r="N99" i="2" s="1"/>
  <c r="L100" i="2"/>
  <c r="M100" i="2" s="1"/>
  <c r="N100" i="2" s="1"/>
  <c r="L101" i="2"/>
  <c r="M101" i="2" s="1"/>
  <c r="N101" i="2" s="1"/>
  <c r="L102" i="2"/>
  <c r="M102" i="2" s="1"/>
  <c r="N102" i="2" s="1"/>
  <c r="L103" i="2"/>
  <c r="M103" i="2" s="1"/>
  <c r="N103" i="2" s="1"/>
  <c r="L104" i="2"/>
  <c r="M104" i="2" s="1"/>
  <c r="N104" i="2" s="1"/>
  <c r="L105" i="2"/>
  <c r="M105" i="2" s="1"/>
  <c r="N105" i="2" s="1"/>
  <c r="L106" i="2"/>
  <c r="M106" i="2" s="1"/>
  <c r="N106" i="2" s="1"/>
  <c r="L107" i="2"/>
  <c r="M107" i="2" s="1"/>
  <c r="N107" i="2" s="1"/>
  <c r="L108" i="2"/>
  <c r="M108" i="2" s="1"/>
  <c r="N108" i="2" s="1"/>
  <c r="L109" i="2"/>
  <c r="M109" i="2" s="1"/>
  <c r="N109" i="2" s="1"/>
  <c r="L110" i="2"/>
  <c r="M110" i="2" s="1"/>
  <c r="N110" i="2" s="1"/>
  <c r="L111" i="2"/>
  <c r="M111" i="2" s="1"/>
  <c r="N111" i="2" s="1"/>
  <c r="L112" i="2"/>
  <c r="M112" i="2" s="1"/>
  <c r="N112" i="2" s="1"/>
  <c r="L113" i="2"/>
  <c r="M113" i="2" s="1"/>
  <c r="N113" i="2" s="1"/>
  <c r="L114" i="2"/>
  <c r="M114" i="2" s="1"/>
  <c r="N114" i="2" s="1"/>
  <c r="L115" i="2"/>
  <c r="M115" i="2" s="1"/>
  <c r="N115" i="2" s="1"/>
  <c r="L116" i="2"/>
  <c r="M116" i="2" s="1"/>
  <c r="N116" i="2" s="1"/>
  <c r="L117" i="2"/>
  <c r="M117" i="2" s="1"/>
  <c r="N117" i="2" s="1"/>
  <c r="L118" i="2"/>
  <c r="M118" i="2" s="1"/>
  <c r="N118" i="2" s="1"/>
  <c r="L119" i="2"/>
  <c r="M119" i="2" s="1"/>
  <c r="N119" i="2" s="1"/>
  <c r="L120" i="2"/>
  <c r="M120" i="2" s="1"/>
  <c r="N120" i="2" s="1"/>
  <c r="L121" i="2"/>
  <c r="M121" i="2" s="1"/>
  <c r="N121" i="2" s="1"/>
  <c r="L122" i="2"/>
  <c r="M122" i="2" s="1"/>
  <c r="N122" i="2" s="1"/>
  <c r="L123" i="2"/>
  <c r="M123" i="2" s="1"/>
  <c r="N123" i="2" s="1"/>
  <c r="L124" i="2"/>
  <c r="M124" i="2" s="1"/>
  <c r="N124" i="2" s="1"/>
  <c r="L125" i="2"/>
  <c r="M125" i="2" s="1"/>
  <c r="N125" i="2" s="1"/>
  <c r="L126" i="2"/>
  <c r="M126" i="2" s="1"/>
  <c r="N126" i="2" s="1"/>
  <c r="L127" i="2"/>
  <c r="M127" i="2" s="1"/>
  <c r="N127" i="2" s="1"/>
  <c r="L128" i="2"/>
  <c r="M128" i="2" s="1"/>
  <c r="N128" i="2" s="1"/>
  <c r="L129" i="2"/>
  <c r="M129" i="2" s="1"/>
  <c r="N129" i="2" s="1"/>
  <c r="L130" i="2"/>
  <c r="M130" i="2" s="1"/>
  <c r="N130" i="2" s="1"/>
  <c r="L131" i="2"/>
  <c r="M131" i="2" s="1"/>
  <c r="N131" i="2" s="1"/>
  <c r="L132" i="2"/>
  <c r="M132" i="2" s="1"/>
  <c r="N132" i="2" s="1"/>
  <c r="L133" i="2"/>
  <c r="M133" i="2" s="1"/>
  <c r="N133" i="2" s="1"/>
  <c r="L134" i="2"/>
  <c r="M134" i="2" s="1"/>
  <c r="N134" i="2" s="1"/>
  <c r="L135" i="2"/>
  <c r="M135" i="2" s="1"/>
  <c r="N135" i="2" s="1"/>
  <c r="L136" i="2"/>
  <c r="M136" i="2" s="1"/>
  <c r="N136" i="2" s="1"/>
  <c r="L137" i="2"/>
  <c r="M137" i="2" s="1"/>
  <c r="N137" i="2" s="1"/>
  <c r="L138" i="2"/>
  <c r="M138" i="2" s="1"/>
  <c r="N138" i="2" s="1"/>
  <c r="L139" i="2"/>
  <c r="M139" i="2" s="1"/>
  <c r="N139" i="2" s="1"/>
  <c r="L140" i="2"/>
  <c r="M140" i="2" s="1"/>
  <c r="N140" i="2" s="1"/>
  <c r="L141" i="2"/>
  <c r="M141" i="2" s="1"/>
  <c r="N141" i="2" s="1"/>
  <c r="L142" i="2"/>
  <c r="M142" i="2" s="1"/>
  <c r="N142" i="2" s="1"/>
  <c r="L143" i="2"/>
  <c r="M143" i="2" s="1"/>
  <c r="N143" i="2" s="1"/>
  <c r="L144" i="2"/>
  <c r="M144" i="2" s="1"/>
  <c r="N144" i="2" s="1"/>
  <c r="L145" i="2"/>
  <c r="M145" i="2" s="1"/>
  <c r="N145" i="2" s="1"/>
  <c r="L146" i="2"/>
  <c r="M146" i="2" s="1"/>
  <c r="N146" i="2" s="1"/>
  <c r="L147" i="2"/>
  <c r="M147" i="2" s="1"/>
  <c r="N147" i="2" s="1"/>
  <c r="L148" i="2"/>
  <c r="M148" i="2" s="1"/>
  <c r="N148" i="2" s="1"/>
  <c r="L149" i="2"/>
  <c r="M149" i="2" s="1"/>
  <c r="N149" i="2" s="1"/>
  <c r="L150" i="2"/>
  <c r="M150" i="2" s="1"/>
  <c r="N150" i="2" s="1"/>
  <c r="L151" i="2"/>
  <c r="M151" i="2" s="1"/>
  <c r="N151" i="2" s="1"/>
  <c r="L152" i="2"/>
  <c r="M152" i="2" s="1"/>
  <c r="N152" i="2" s="1"/>
  <c r="L153" i="2"/>
  <c r="M153" i="2" s="1"/>
  <c r="N153" i="2" s="1"/>
  <c r="L154" i="2"/>
  <c r="M154" i="2" s="1"/>
  <c r="N154" i="2" s="1"/>
  <c r="L155" i="2"/>
  <c r="M155" i="2" s="1"/>
  <c r="N155" i="2" s="1"/>
  <c r="L156" i="2"/>
  <c r="M156" i="2" s="1"/>
  <c r="N156" i="2" s="1"/>
  <c r="L157" i="2"/>
  <c r="M157" i="2" s="1"/>
  <c r="N157" i="2" s="1"/>
  <c r="L158" i="2"/>
  <c r="M158" i="2" s="1"/>
  <c r="N158" i="2" s="1"/>
  <c r="L159" i="2"/>
  <c r="M159" i="2" s="1"/>
  <c r="N159" i="2" s="1"/>
  <c r="L160" i="2"/>
  <c r="M160" i="2" s="1"/>
  <c r="N160" i="2" s="1"/>
  <c r="L161" i="2"/>
  <c r="M161" i="2" s="1"/>
  <c r="N161" i="2" s="1"/>
  <c r="L162" i="2"/>
  <c r="M162" i="2" s="1"/>
  <c r="N162" i="2" s="1"/>
  <c r="L163" i="2"/>
  <c r="M163" i="2" s="1"/>
  <c r="N163" i="2" s="1"/>
  <c r="L164" i="2"/>
  <c r="M164" i="2" s="1"/>
  <c r="N164" i="2" s="1"/>
  <c r="L165" i="2"/>
  <c r="M165" i="2" s="1"/>
  <c r="N165" i="2" s="1"/>
  <c r="L166" i="2"/>
  <c r="M166" i="2" s="1"/>
  <c r="N166" i="2" s="1"/>
  <c r="L167" i="2"/>
  <c r="M167" i="2" s="1"/>
  <c r="N167" i="2" s="1"/>
  <c r="L168" i="2"/>
  <c r="M168" i="2" s="1"/>
  <c r="N168" i="2" s="1"/>
  <c r="L169" i="2"/>
  <c r="M169" i="2" s="1"/>
  <c r="N169" i="2" s="1"/>
  <c r="L170" i="2"/>
  <c r="M170" i="2" s="1"/>
  <c r="N170" i="2" s="1"/>
  <c r="L171" i="2"/>
  <c r="M171" i="2" s="1"/>
  <c r="N171" i="2" s="1"/>
  <c r="L172" i="2"/>
  <c r="M172" i="2" s="1"/>
  <c r="N172" i="2" s="1"/>
  <c r="L173" i="2"/>
  <c r="M173" i="2" s="1"/>
  <c r="N173" i="2" s="1"/>
  <c r="L174" i="2"/>
  <c r="M174" i="2" s="1"/>
  <c r="N174" i="2" s="1"/>
  <c r="L175" i="2"/>
  <c r="M175" i="2" s="1"/>
  <c r="N175" i="2" s="1"/>
  <c r="L176" i="2"/>
  <c r="M176" i="2" s="1"/>
  <c r="N176" i="2" s="1"/>
  <c r="L177" i="2"/>
  <c r="M177" i="2" s="1"/>
  <c r="N177" i="2" s="1"/>
  <c r="L178" i="2"/>
  <c r="M178" i="2" s="1"/>
  <c r="N178" i="2" s="1"/>
  <c r="L179" i="2"/>
  <c r="M179" i="2" s="1"/>
  <c r="N179" i="2" s="1"/>
  <c r="L180" i="2"/>
  <c r="M180" i="2" s="1"/>
  <c r="N180" i="2" s="1"/>
  <c r="L181" i="2"/>
  <c r="M181" i="2" s="1"/>
  <c r="N181" i="2" s="1"/>
  <c r="L182" i="2"/>
  <c r="M182" i="2" s="1"/>
  <c r="N182" i="2" s="1"/>
  <c r="L183" i="2"/>
  <c r="M183" i="2" s="1"/>
  <c r="N183" i="2" s="1"/>
  <c r="L184" i="2"/>
  <c r="M184" i="2" s="1"/>
  <c r="N184" i="2" s="1"/>
  <c r="L185" i="2"/>
  <c r="M185" i="2" s="1"/>
  <c r="N185" i="2" s="1"/>
  <c r="L186" i="2"/>
  <c r="M186" i="2" s="1"/>
  <c r="N186" i="2" s="1"/>
  <c r="L187" i="2"/>
  <c r="M187" i="2" s="1"/>
  <c r="N187" i="2" s="1"/>
  <c r="L188" i="2"/>
  <c r="M188" i="2" s="1"/>
  <c r="N188" i="2" s="1"/>
  <c r="L189" i="2"/>
  <c r="M189" i="2" s="1"/>
  <c r="N189" i="2" s="1"/>
  <c r="L190" i="2"/>
  <c r="M190" i="2" s="1"/>
  <c r="N190" i="2" s="1"/>
  <c r="L191" i="2"/>
  <c r="M191" i="2" s="1"/>
  <c r="N191" i="2" s="1"/>
  <c r="L192" i="2"/>
  <c r="M192" i="2" s="1"/>
  <c r="N192" i="2" s="1"/>
  <c r="L193" i="2"/>
  <c r="M193" i="2" s="1"/>
  <c r="N193" i="2" s="1"/>
  <c r="L194" i="2"/>
  <c r="M194" i="2" s="1"/>
  <c r="N194" i="2" s="1"/>
  <c r="L195" i="2"/>
  <c r="M195" i="2" s="1"/>
  <c r="N195" i="2" s="1"/>
  <c r="L196" i="2"/>
  <c r="M196" i="2" s="1"/>
  <c r="N196" i="2" s="1"/>
  <c r="L197" i="2"/>
  <c r="M197" i="2" s="1"/>
  <c r="N197" i="2" s="1"/>
  <c r="L198" i="2"/>
  <c r="M198" i="2" s="1"/>
  <c r="N198" i="2" s="1"/>
  <c r="L199" i="2"/>
  <c r="M199" i="2" s="1"/>
  <c r="N199" i="2" s="1"/>
  <c r="L200" i="2"/>
  <c r="M200" i="2" s="1"/>
  <c r="N200" i="2" s="1"/>
  <c r="L201" i="2"/>
  <c r="M201" i="2" s="1"/>
  <c r="N201" i="2" s="1"/>
  <c r="L202" i="2"/>
  <c r="M202" i="2" s="1"/>
  <c r="N202" i="2" s="1"/>
  <c r="L203" i="2"/>
  <c r="M203" i="2" s="1"/>
  <c r="N203" i="2" s="1"/>
  <c r="L204" i="2"/>
  <c r="M204" i="2" s="1"/>
  <c r="N204" i="2" s="1"/>
  <c r="L205" i="2"/>
  <c r="M205" i="2" s="1"/>
  <c r="N205" i="2" s="1"/>
  <c r="L206" i="2"/>
  <c r="M206" i="2" s="1"/>
  <c r="N206" i="2" s="1"/>
  <c r="L207" i="2"/>
  <c r="M207" i="2" s="1"/>
  <c r="N207" i="2" s="1"/>
  <c r="L208" i="2"/>
  <c r="M208" i="2" s="1"/>
  <c r="N208" i="2" s="1"/>
  <c r="L209" i="2"/>
  <c r="M209" i="2" s="1"/>
  <c r="N209" i="2" s="1"/>
  <c r="L210" i="2"/>
  <c r="M210" i="2" s="1"/>
  <c r="N210" i="2" s="1"/>
  <c r="L211" i="2"/>
  <c r="M211" i="2" s="1"/>
  <c r="N211" i="2" s="1"/>
  <c r="L212" i="2"/>
  <c r="M212" i="2" s="1"/>
  <c r="N212" i="2" s="1"/>
  <c r="L213" i="2"/>
  <c r="M213" i="2" s="1"/>
  <c r="N213" i="2" s="1"/>
  <c r="L214" i="2"/>
  <c r="M214" i="2" s="1"/>
  <c r="N214" i="2" s="1"/>
  <c r="L215" i="2"/>
  <c r="M215" i="2" s="1"/>
  <c r="N215" i="2" s="1"/>
  <c r="L216" i="2"/>
  <c r="M216" i="2" s="1"/>
  <c r="N216" i="2" s="1"/>
  <c r="L217" i="2"/>
  <c r="M217" i="2" s="1"/>
  <c r="N217" i="2" s="1"/>
  <c r="L218" i="2"/>
  <c r="M218" i="2" s="1"/>
  <c r="N218" i="2" s="1"/>
  <c r="L219" i="2"/>
  <c r="M219" i="2" s="1"/>
  <c r="N219" i="2" s="1"/>
  <c r="L220" i="2"/>
  <c r="M220" i="2" s="1"/>
  <c r="N220" i="2" s="1"/>
  <c r="L221" i="2"/>
  <c r="M221" i="2" s="1"/>
  <c r="N221" i="2" s="1"/>
  <c r="L222" i="2"/>
  <c r="M222" i="2" s="1"/>
  <c r="N222" i="2" s="1"/>
  <c r="L223" i="2"/>
  <c r="M223" i="2" s="1"/>
  <c r="N223" i="2" s="1"/>
  <c r="L224" i="2"/>
  <c r="M224" i="2" s="1"/>
  <c r="N224" i="2" s="1"/>
  <c r="L225" i="2"/>
  <c r="M225" i="2" s="1"/>
  <c r="N225" i="2" s="1"/>
  <c r="L226" i="2"/>
  <c r="M226" i="2" s="1"/>
  <c r="N226" i="2" s="1"/>
  <c r="L227" i="2"/>
  <c r="M227" i="2" s="1"/>
  <c r="N227" i="2" s="1"/>
  <c r="L228" i="2"/>
  <c r="M228" i="2" s="1"/>
  <c r="N228" i="2" s="1"/>
  <c r="L229" i="2"/>
  <c r="M229" i="2" s="1"/>
  <c r="N229" i="2" s="1"/>
  <c r="L230" i="2"/>
  <c r="M230" i="2" s="1"/>
  <c r="N230" i="2" s="1"/>
  <c r="L231" i="2"/>
  <c r="M231" i="2" s="1"/>
  <c r="N231" i="2" s="1"/>
  <c r="L232" i="2"/>
  <c r="M232" i="2" s="1"/>
  <c r="N232" i="2" s="1"/>
  <c r="L233" i="2"/>
  <c r="M233" i="2" s="1"/>
  <c r="N233" i="2" s="1"/>
  <c r="L234" i="2"/>
  <c r="M234" i="2" s="1"/>
  <c r="N234" i="2" s="1"/>
  <c r="L235" i="2"/>
  <c r="M235" i="2" s="1"/>
  <c r="N235" i="2" s="1"/>
  <c r="L236" i="2"/>
  <c r="M236" i="2" s="1"/>
  <c r="N236" i="2" s="1"/>
  <c r="L237" i="2"/>
  <c r="M237" i="2" s="1"/>
  <c r="N237" i="2" s="1"/>
  <c r="L238" i="2"/>
  <c r="M238" i="2" s="1"/>
  <c r="N238" i="2" s="1"/>
  <c r="L239" i="2"/>
  <c r="M239" i="2" s="1"/>
  <c r="N239" i="2" s="1"/>
  <c r="L240" i="2"/>
  <c r="M240" i="2" s="1"/>
  <c r="N240" i="2" s="1"/>
  <c r="L241" i="2"/>
  <c r="M241" i="2" s="1"/>
  <c r="N241" i="2" s="1"/>
  <c r="L242" i="2"/>
  <c r="M242" i="2" s="1"/>
  <c r="N242" i="2" s="1"/>
  <c r="L243" i="2"/>
  <c r="M243" i="2" s="1"/>
  <c r="N243" i="2" s="1"/>
  <c r="L244" i="2"/>
  <c r="M244" i="2" s="1"/>
  <c r="N244" i="2" s="1"/>
  <c r="L245" i="2"/>
  <c r="M245" i="2" s="1"/>
  <c r="N245" i="2" s="1"/>
  <c r="L246" i="2"/>
  <c r="M246" i="2" s="1"/>
  <c r="N246" i="2" s="1"/>
  <c r="L247" i="2"/>
  <c r="M247" i="2" s="1"/>
  <c r="N247" i="2" s="1"/>
  <c r="L248" i="2"/>
  <c r="M248" i="2" s="1"/>
  <c r="N248" i="2" s="1"/>
  <c r="L249" i="2"/>
  <c r="M249" i="2" s="1"/>
  <c r="N249" i="2" s="1"/>
  <c r="L250" i="2"/>
  <c r="M250" i="2" s="1"/>
  <c r="N250" i="2" s="1"/>
  <c r="L251" i="2"/>
  <c r="M251" i="2" s="1"/>
  <c r="N251" i="2" s="1"/>
  <c r="L252" i="2"/>
  <c r="M252" i="2" s="1"/>
  <c r="N252" i="2" s="1"/>
  <c r="L253" i="2"/>
  <c r="M253" i="2" s="1"/>
  <c r="N253" i="2" s="1"/>
  <c r="L254" i="2"/>
  <c r="M254" i="2" s="1"/>
  <c r="N254" i="2" s="1"/>
  <c r="L255" i="2"/>
  <c r="M255" i="2" s="1"/>
  <c r="N255" i="2" s="1"/>
  <c r="L256" i="2"/>
  <c r="M256" i="2" s="1"/>
  <c r="N256" i="2" s="1"/>
  <c r="L257" i="2"/>
  <c r="M257" i="2" s="1"/>
  <c r="N257" i="2" s="1"/>
  <c r="L258" i="2"/>
  <c r="M258" i="2" s="1"/>
  <c r="N258" i="2" s="1"/>
  <c r="L259" i="2"/>
  <c r="M259" i="2" s="1"/>
  <c r="N259" i="2" s="1"/>
  <c r="L260" i="2"/>
  <c r="M260" i="2" s="1"/>
  <c r="N260" i="2" s="1"/>
  <c r="L261" i="2"/>
  <c r="M261" i="2" s="1"/>
  <c r="N261" i="2" s="1"/>
  <c r="L262" i="2"/>
  <c r="M262" i="2" s="1"/>
  <c r="N262" i="2" s="1"/>
  <c r="L263" i="2"/>
  <c r="M263" i="2" s="1"/>
  <c r="N263" i="2" s="1"/>
  <c r="L264" i="2"/>
  <c r="M264" i="2" s="1"/>
  <c r="N264" i="2" s="1"/>
  <c r="L265" i="2"/>
  <c r="M265" i="2" s="1"/>
  <c r="N265" i="2" s="1"/>
  <c r="L266" i="2"/>
  <c r="M266" i="2" s="1"/>
  <c r="N266" i="2" s="1"/>
  <c r="L267" i="2"/>
  <c r="M267" i="2" s="1"/>
  <c r="N267" i="2" s="1"/>
  <c r="L268" i="2"/>
  <c r="M268" i="2" s="1"/>
  <c r="N268" i="2" s="1"/>
  <c r="L269" i="2"/>
  <c r="M269" i="2" s="1"/>
  <c r="N269" i="2" s="1"/>
  <c r="L270" i="2"/>
  <c r="M270" i="2" s="1"/>
  <c r="N270" i="2" s="1"/>
  <c r="L271" i="2"/>
  <c r="M271" i="2" s="1"/>
  <c r="N271" i="2" s="1"/>
  <c r="L272" i="2"/>
  <c r="M272" i="2" s="1"/>
  <c r="N272" i="2" s="1"/>
  <c r="L273" i="2"/>
  <c r="M273" i="2" s="1"/>
  <c r="N273" i="2" s="1"/>
  <c r="L274" i="2"/>
  <c r="M274" i="2" s="1"/>
  <c r="N274" i="2" s="1"/>
  <c r="L275" i="2"/>
  <c r="M275" i="2" s="1"/>
  <c r="N275" i="2" s="1"/>
  <c r="L276" i="2"/>
  <c r="M276" i="2" s="1"/>
  <c r="N276" i="2" s="1"/>
  <c r="L277" i="2"/>
  <c r="M277" i="2" s="1"/>
  <c r="N277" i="2" s="1"/>
  <c r="L278" i="2"/>
  <c r="M278" i="2" s="1"/>
  <c r="N278" i="2" s="1"/>
  <c r="L279" i="2"/>
  <c r="M279" i="2" s="1"/>
  <c r="N279" i="2" s="1"/>
  <c r="L280" i="2"/>
  <c r="M280" i="2" s="1"/>
  <c r="N280" i="2" s="1"/>
  <c r="L281" i="2"/>
  <c r="M281" i="2" s="1"/>
  <c r="N281" i="2" s="1"/>
  <c r="L282" i="2"/>
  <c r="M282" i="2" s="1"/>
  <c r="N282" i="2" s="1"/>
  <c r="L283" i="2"/>
  <c r="M283" i="2" s="1"/>
  <c r="N283" i="2" s="1"/>
  <c r="L284" i="2"/>
  <c r="M284" i="2" s="1"/>
  <c r="N284" i="2" s="1"/>
  <c r="L285" i="2"/>
  <c r="M285" i="2" s="1"/>
  <c r="N285" i="2" s="1"/>
  <c r="L286" i="2"/>
  <c r="M286" i="2" s="1"/>
  <c r="N286" i="2" s="1"/>
  <c r="L287" i="2"/>
  <c r="M287" i="2" s="1"/>
  <c r="N287" i="2" s="1"/>
  <c r="L288" i="2"/>
  <c r="M288" i="2" s="1"/>
  <c r="N288" i="2" s="1"/>
  <c r="L289" i="2"/>
  <c r="M289" i="2" s="1"/>
  <c r="N289" i="2" s="1"/>
  <c r="L290" i="2"/>
  <c r="M290" i="2" s="1"/>
  <c r="N290" i="2" s="1"/>
  <c r="L291" i="2"/>
  <c r="M291" i="2" s="1"/>
  <c r="N291" i="2" s="1"/>
  <c r="L292" i="2"/>
  <c r="M292" i="2" s="1"/>
  <c r="N292" i="2" s="1"/>
  <c r="L293" i="2"/>
  <c r="M293" i="2" s="1"/>
  <c r="N293" i="2" s="1"/>
  <c r="L294" i="2"/>
  <c r="M294" i="2" s="1"/>
  <c r="N294" i="2" s="1"/>
  <c r="L295" i="2"/>
  <c r="M295" i="2" s="1"/>
  <c r="N295" i="2" s="1"/>
  <c r="L296" i="2"/>
  <c r="M296" i="2" s="1"/>
  <c r="N296" i="2" s="1"/>
  <c r="L297" i="2"/>
  <c r="M297" i="2" s="1"/>
  <c r="N297" i="2" s="1"/>
  <c r="L298" i="2"/>
  <c r="M298" i="2" s="1"/>
  <c r="N298" i="2" s="1"/>
  <c r="L299" i="2"/>
  <c r="M299" i="2" s="1"/>
  <c r="N299" i="2" s="1"/>
  <c r="L300" i="2"/>
  <c r="M300" i="2" s="1"/>
  <c r="N300" i="2" s="1"/>
  <c r="L301" i="2"/>
  <c r="M301" i="2" s="1"/>
  <c r="N301" i="2" s="1"/>
  <c r="L302" i="2"/>
  <c r="M302" i="2" s="1"/>
  <c r="N302" i="2" s="1"/>
  <c r="L303" i="2"/>
  <c r="M303" i="2" s="1"/>
  <c r="N303" i="2" s="1"/>
  <c r="L304" i="2"/>
  <c r="M304" i="2" s="1"/>
  <c r="N304" i="2" s="1"/>
  <c r="L305" i="2"/>
  <c r="M305" i="2" s="1"/>
  <c r="N305" i="2" s="1"/>
  <c r="L306" i="2"/>
  <c r="M306" i="2" s="1"/>
  <c r="N306" i="2" s="1"/>
  <c r="L307" i="2"/>
  <c r="M307" i="2" s="1"/>
  <c r="N307" i="2" s="1"/>
  <c r="L308" i="2"/>
  <c r="M308" i="2" s="1"/>
  <c r="N308" i="2" s="1"/>
  <c r="L309" i="2"/>
  <c r="M309" i="2" s="1"/>
  <c r="N309" i="2" s="1"/>
  <c r="L310" i="2"/>
  <c r="M310" i="2" s="1"/>
  <c r="N310" i="2" s="1"/>
  <c r="L311" i="2"/>
  <c r="M311" i="2" s="1"/>
  <c r="N311" i="2" s="1"/>
  <c r="L312" i="2"/>
  <c r="M312" i="2" s="1"/>
  <c r="N312" i="2" s="1"/>
  <c r="L313" i="2"/>
  <c r="M313" i="2" s="1"/>
  <c r="N313" i="2" s="1"/>
  <c r="L314" i="2"/>
  <c r="M314" i="2" s="1"/>
  <c r="N314" i="2" s="1"/>
  <c r="L315" i="2"/>
  <c r="M315" i="2" s="1"/>
  <c r="N315" i="2" s="1"/>
  <c r="L316" i="2"/>
  <c r="M316" i="2" s="1"/>
  <c r="N316" i="2" s="1"/>
  <c r="L317" i="2"/>
  <c r="M317" i="2" s="1"/>
  <c r="N317" i="2" s="1"/>
  <c r="L318" i="2"/>
  <c r="M318" i="2" s="1"/>
  <c r="N318" i="2" s="1"/>
  <c r="L319" i="2"/>
  <c r="M319" i="2" s="1"/>
  <c r="N319" i="2" s="1"/>
  <c r="L320" i="2"/>
  <c r="M320" i="2" s="1"/>
  <c r="N320" i="2" s="1"/>
  <c r="L321" i="2"/>
  <c r="M321" i="2" s="1"/>
  <c r="N321" i="2" s="1"/>
  <c r="L322" i="2"/>
  <c r="M322" i="2" s="1"/>
  <c r="N322" i="2" s="1"/>
  <c r="L323" i="2"/>
  <c r="M323" i="2" s="1"/>
  <c r="N323" i="2" s="1"/>
  <c r="L324" i="2"/>
  <c r="M324" i="2" s="1"/>
  <c r="N324" i="2" s="1"/>
  <c r="L325" i="2"/>
  <c r="M325" i="2" s="1"/>
  <c r="N325" i="2" s="1"/>
  <c r="L326" i="2"/>
  <c r="M326" i="2" s="1"/>
  <c r="N326" i="2" s="1"/>
  <c r="L327" i="2"/>
  <c r="M327" i="2" s="1"/>
  <c r="N327" i="2" s="1"/>
  <c r="L328" i="2"/>
  <c r="M328" i="2" s="1"/>
  <c r="N328" i="2" s="1"/>
  <c r="L329" i="2"/>
  <c r="M329" i="2" s="1"/>
  <c r="N329" i="2" s="1"/>
  <c r="L330" i="2"/>
  <c r="M330" i="2" s="1"/>
  <c r="N330" i="2" s="1"/>
  <c r="L331" i="2"/>
  <c r="M331" i="2" s="1"/>
  <c r="N331" i="2" s="1"/>
  <c r="L332" i="2"/>
  <c r="M332" i="2" s="1"/>
  <c r="N332" i="2" s="1"/>
  <c r="L333" i="2"/>
  <c r="M333" i="2" s="1"/>
  <c r="N333" i="2" s="1"/>
  <c r="L334" i="2"/>
  <c r="M334" i="2" s="1"/>
  <c r="N334" i="2" s="1"/>
  <c r="L335" i="2"/>
  <c r="M335" i="2" s="1"/>
  <c r="N335" i="2" s="1"/>
  <c r="L336" i="2"/>
  <c r="M336" i="2" s="1"/>
  <c r="N336" i="2" s="1"/>
  <c r="L337" i="2"/>
  <c r="M337" i="2" s="1"/>
  <c r="N337" i="2" s="1"/>
  <c r="L338" i="2"/>
  <c r="M338" i="2" s="1"/>
  <c r="N338" i="2" s="1"/>
  <c r="L339" i="2"/>
  <c r="M339" i="2" s="1"/>
  <c r="N339" i="2" s="1"/>
  <c r="L340" i="2"/>
  <c r="M340" i="2" s="1"/>
  <c r="N340" i="2" s="1"/>
  <c r="L341" i="2"/>
  <c r="M341" i="2" s="1"/>
  <c r="N341" i="2" s="1"/>
  <c r="L342" i="2"/>
  <c r="M342" i="2" s="1"/>
  <c r="N342" i="2" s="1"/>
  <c r="L343" i="2"/>
  <c r="M343" i="2" s="1"/>
  <c r="N343" i="2" s="1"/>
  <c r="L344" i="2"/>
  <c r="M344" i="2" s="1"/>
  <c r="N344" i="2" s="1"/>
  <c r="L345" i="2"/>
  <c r="M345" i="2" s="1"/>
  <c r="N345" i="2" s="1"/>
  <c r="L346" i="2"/>
  <c r="M346" i="2" s="1"/>
  <c r="N346" i="2" s="1"/>
  <c r="L347" i="2"/>
  <c r="M347" i="2" s="1"/>
  <c r="N347" i="2" s="1"/>
  <c r="L348" i="2"/>
  <c r="M348" i="2" s="1"/>
  <c r="N348" i="2" s="1"/>
  <c r="L349" i="2"/>
  <c r="M349" i="2" s="1"/>
  <c r="N349" i="2" s="1"/>
  <c r="L350" i="2"/>
  <c r="M350" i="2" s="1"/>
  <c r="N350" i="2" s="1"/>
  <c r="L351" i="2"/>
  <c r="M351" i="2" s="1"/>
  <c r="N351" i="2" s="1"/>
  <c r="L352" i="2"/>
  <c r="M352" i="2" s="1"/>
  <c r="N352" i="2" s="1"/>
  <c r="L353" i="2"/>
  <c r="M353" i="2" s="1"/>
  <c r="N353" i="2" s="1"/>
  <c r="L354" i="2"/>
  <c r="M354" i="2" s="1"/>
  <c r="N354" i="2" s="1"/>
  <c r="L355" i="2"/>
  <c r="M355" i="2" s="1"/>
  <c r="N355" i="2" s="1"/>
  <c r="L356" i="2"/>
  <c r="M356" i="2" s="1"/>
  <c r="N356" i="2" s="1"/>
  <c r="L357" i="2"/>
  <c r="M357" i="2" s="1"/>
  <c r="N357" i="2" s="1"/>
  <c r="L358" i="2"/>
  <c r="M358" i="2" s="1"/>
  <c r="N358" i="2" s="1"/>
  <c r="L359" i="2"/>
  <c r="M359" i="2" s="1"/>
  <c r="N359" i="2" s="1"/>
  <c r="L360" i="2"/>
  <c r="M360" i="2" s="1"/>
  <c r="N360" i="2" s="1"/>
  <c r="L361" i="2"/>
  <c r="M361" i="2" s="1"/>
  <c r="N361" i="2" s="1"/>
  <c r="L362" i="2"/>
  <c r="M362" i="2" s="1"/>
  <c r="N362" i="2" s="1"/>
  <c r="L363" i="2"/>
  <c r="M363" i="2" s="1"/>
  <c r="N363" i="2" s="1"/>
  <c r="L364" i="2"/>
  <c r="M364" i="2" s="1"/>
  <c r="N364" i="2" s="1"/>
  <c r="L365" i="2"/>
  <c r="M365" i="2" s="1"/>
  <c r="N365" i="2" s="1"/>
  <c r="L366" i="2"/>
  <c r="M366" i="2" s="1"/>
  <c r="N366" i="2" s="1"/>
  <c r="L367" i="2"/>
  <c r="M367" i="2" s="1"/>
  <c r="N367" i="2" s="1"/>
  <c r="L368" i="2"/>
  <c r="M368" i="2" s="1"/>
  <c r="N368" i="2" s="1"/>
  <c r="L369" i="2"/>
  <c r="M369" i="2" s="1"/>
  <c r="N369" i="2" s="1"/>
  <c r="L370" i="2"/>
  <c r="M370" i="2" s="1"/>
  <c r="N370" i="2" s="1"/>
  <c r="L371" i="2"/>
  <c r="M371" i="2" s="1"/>
  <c r="N371" i="2" s="1"/>
  <c r="L372" i="2"/>
  <c r="M372" i="2" s="1"/>
  <c r="N372" i="2" s="1"/>
  <c r="L373" i="2"/>
  <c r="M373" i="2" s="1"/>
  <c r="N373" i="2" s="1"/>
  <c r="L374" i="2"/>
  <c r="M374" i="2" s="1"/>
  <c r="N374" i="2" s="1"/>
  <c r="L375" i="2"/>
  <c r="M375" i="2" s="1"/>
  <c r="N375" i="2" s="1"/>
  <c r="L376" i="2"/>
  <c r="M376" i="2" s="1"/>
  <c r="N376" i="2" s="1"/>
  <c r="L377" i="2"/>
  <c r="M377" i="2" s="1"/>
  <c r="N377" i="2" s="1"/>
  <c r="L378" i="2"/>
  <c r="M378" i="2" s="1"/>
  <c r="N378" i="2" s="1"/>
  <c r="L379" i="2"/>
  <c r="M379" i="2" s="1"/>
  <c r="N379" i="2" s="1"/>
  <c r="L380" i="2"/>
  <c r="M380" i="2" s="1"/>
  <c r="N380" i="2" s="1"/>
  <c r="L381" i="2"/>
  <c r="M381" i="2" s="1"/>
  <c r="N381" i="2" s="1"/>
  <c r="L382" i="2"/>
  <c r="M382" i="2" s="1"/>
  <c r="N382" i="2" s="1"/>
  <c r="L383" i="2"/>
  <c r="M383" i="2" s="1"/>
  <c r="N383" i="2" s="1"/>
  <c r="L384" i="2"/>
  <c r="M384" i="2" s="1"/>
  <c r="N384" i="2" s="1"/>
  <c r="L385" i="2"/>
  <c r="M385" i="2" s="1"/>
  <c r="N385" i="2" s="1"/>
  <c r="L386" i="2"/>
  <c r="M386" i="2" s="1"/>
  <c r="N386" i="2" s="1"/>
  <c r="L387" i="2"/>
  <c r="M387" i="2" s="1"/>
  <c r="N387" i="2" s="1"/>
  <c r="L388" i="2"/>
  <c r="M388" i="2" s="1"/>
  <c r="N388" i="2" s="1"/>
  <c r="L389" i="2"/>
  <c r="M389" i="2" s="1"/>
  <c r="N389" i="2" s="1"/>
  <c r="L390" i="2"/>
  <c r="M390" i="2" s="1"/>
  <c r="N390" i="2" s="1"/>
  <c r="L391" i="2"/>
  <c r="M391" i="2" s="1"/>
  <c r="N391" i="2" s="1"/>
  <c r="L392" i="2"/>
  <c r="M392" i="2" s="1"/>
  <c r="N392" i="2" s="1"/>
  <c r="L393" i="2"/>
  <c r="M393" i="2" s="1"/>
  <c r="N393" i="2" s="1"/>
  <c r="L394" i="2"/>
  <c r="M394" i="2" s="1"/>
  <c r="N394" i="2" s="1"/>
  <c r="L395" i="2"/>
  <c r="M395" i="2" s="1"/>
  <c r="N395" i="2" s="1"/>
  <c r="L396" i="2"/>
  <c r="M396" i="2" s="1"/>
  <c r="N396" i="2" s="1"/>
  <c r="L397" i="2"/>
  <c r="M397" i="2" s="1"/>
  <c r="N397" i="2" s="1"/>
  <c r="L398" i="2"/>
  <c r="M398" i="2" s="1"/>
  <c r="N398" i="2" s="1"/>
  <c r="L399" i="2"/>
  <c r="M399" i="2" s="1"/>
  <c r="N399" i="2" s="1"/>
  <c r="L400" i="2"/>
  <c r="M400" i="2" s="1"/>
  <c r="N400" i="2" s="1"/>
  <c r="L401" i="2"/>
  <c r="M401" i="2" s="1"/>
  <c r="N401" i="2" s="1"/>
  <c r="L402" i="2"/>
  <c r="M402" i="2" s="1"/>
  <c r="N402" i="2" s="1"/>
  <c r="L403" i="2"/>
  <c r="M403" i="2" s="1"/>
  <c r="N403" i="2" s="1"/>
  <c r="L404" i="2"/>
  <c r="M404" i="2" s="1"/>
  <c r="N404" i="2" s="1"/>
  <c r="L405" i="2"/>
  <c r="M405" i="2" s="1"/>
  <c r="N405" i="2" s="1"/>
  <c r="L406" i="2"/>
  <c r="M406" i="2" s="1"/>
  <c r="N406" i="2" s="1"/>
  <c r="L407" i="2"/>
  <c r="M407" i="2" s="1"/>
  <c r="N407" i="2" s="1"/>
  <c r="L408" i="2"/>
  <c r="M408" i="2" s="1"/>
  <c r="N408" i="2" s="1"/>
  <c r="L409" i="2"/>
  <c r="M409" i="2" s="1"/>
  <c r="N409" i="2" s="1"/>
  <c r="L410" i="2"/>
  <c r="M410" i="2" s="1"/>
  <c r="N410" i="2" s="1"/>
  <c r="L411" i="2"/>
  <c r="M411" i="2" s="1"/>
  <c r="N411" i="2" s="1"/>
  <c r="L412" i="2"/>
  <c r="M412" i="2" s="1"/>
  <c r="N412" i="2" s="1"/>
  <c r="L413" i="2"/>
  <c r="M413" i="2" s="1"/>
  <c r="N413" i="2" s="1"/>
  <c r="L414" i="2"/>
  <c r="M414" i="2" s="1"/>
  <c r="N414" i="2" s="1"/>
  <c r="L415" i="2"/>
  <c r="M415" i="2" s="1"/>
  <c r="N415" i="2" s="1"/>
  <c r="L416" i="2"/>
  <c r="M416" i="2" s="1"/>
  <c r="N416" i="2" s="1"/>
  <c r="L417" i="2"/>
  <c r="M417" i="2" s="1"/>
  <c r="N417" i="2" s="1"/>
  <c r="L418" i="2"/>
  <c r="M418" i="2" s="1"/>
  <c r="N418" i="2" s="1"/>
  <c r="L419" i="2"/>
  <c r="M419" i="2" s="1"/>
  <c r="N419" i="2" s="1"/>
  <c r="L420" i="2"/>
  <c r="M420" i="2" s="1"/>
  <c r="N420" i="2" s="1"/>
  <c r="L421" i="2"/>
  <c r="M421" i="2" s="1"/>
  <c r="N421" i="2" s="1"/>
  <c r="L422" i="2"/>
  <c r="M422" i="2" s="1"/>
  <c r="N422" i="2" s="1"/>
  <c r="L423" i="2"/>
  <c r="M423" i="2" s="1"/>
  <c r="N423" i="2" s="1"/>
  <c r="L424" i="2"/>
  <c r="M424" i="2" s="1"/>
  <c r="N424" i="2" s="1"/>
  <c r="L425" i="2"/>
  <c r="M425" i="2" s="1"/>
  <c r="N425" i="2" s="1"/>
  <c r="L426" i="2"/>
  <c r="M426" i="2" s="1"/>
  <c r="N426" i="2" s="1"/>
  <c r="L427" i="2"/>
  <c r="M427" i="2" s="1"/>
  <c r="N427" i="2" s="1"/>
  <c r="L428" i="2"/>
  <c r="M428" i="2" s="1"/>
  <c r="N428" i="2" s="1"/>
  <c r="L429" i="2"/>
  <c r="M429" i="2" s="1"/>
  <c r="N429" i="2" s="1"/>
  <c r="L430" i="2"/>
  <c r="M430" i="2" s="1"/>
  <c r="N430" i="2" s="1"/>
  <c r="L431" i="2"/>
  <c r="M431" i="2" s="1"/>
  <c r="N431" i="2" s="1"/>
  <c r="L432" i="2"/>
  <c r="M432" i="2" s="1"/>
  <c r="N432" i="2" s="1"/>
  <c r="L433" i="2"/>
  <c r="M433" i="2" s="1"/>
  <c r="N433" i="2" s="1"/>
  <c r="L434" i="2"/>
  <c r="M434" i="2" s="1"/>
  <c r="N434" i="2" s="1"/>
  <c r="L435" i="2"/>
  <c r="M435" i="2" s="1"/>
  <c r="N435" i="2" s="1"/>
  <c r="L436" i="2"/>
  <c r="M436" i="2" s="1"/>
  <c r="N436" i="2" s="1"/>
  <c r="L437" i="2"/>
  <c r="M437" i="2" s="1"/>
  <c r="N437" i="2" s="1"/>
  <c r="L438" i="2"/>
  <c r="M438" i="2" s="1"/>
  <c r="N438" i="2" s="1"/>
  <c r="L439" i="2"/>
  <c r="M439" i="2" s="1"/>
  <c r="N439" i="2" s="1"/>
  <c r="L440" i="2"/>
  <c r="M440" i="2" s="1"/>
  <c r="N440" i="2" s="1"/>
  <c r="L441" i="2"/>
  <c r="M441" i="2" s="1"/>
  <c r="N441" i="2" s="1"/>
  <c r="L442" i="2"/>
  <c r="M442" i="2" s="1"/>
  <c r="N442" i="2" s="1"/>
  <c r="L443" i="2"/>
  <c r="M443" i="2" s="1"/>
  <c r="N443" i="2" s="1"/>
  <c r="L444" i="2"/>
  <c r="M444" i="2" s="1"/>
  <c r="N444" i="2" s="1"/>
  <c r="L445" i="2"/>
  <c r="M445" i="2" s="1"/>
  <c r="N445" i="2" s="1"/>
  <c r="L446" i="2"/>
  <c r="M446" i="2" s="1"/>
  <c r="N446" i="2" s="1"/>
  <c r="L447" i="2"/>
  <c r="M447" i="2" s="1"/>
  <c r="N447" i="2" s="1"/>
  <c r="L448" i="2"/>
  <c r="M448" i="2" s="1"/>
  <c r="N448" i="2" s="1"/>
  <c r="L449" i="2"/>
  <c r="M449" i="2" s="1"/>
  <c r="N449" i="2" s="1"/>
  <c r="L450" i="2"/>
  <c r="M450" i="2" s="1"/>
  <c r="N450" i="2" s="1"/>
  <c r="L451" i="2"/>
  <c r="M451" i="2" s="1"/>
  <c r="N451" i="2" s="1"/>
  <c r="L452" i="2"/>
  <c r="M452" i="2" s="1"/>
  <c r="N452" i="2" s="1"/>
  <c r="L453" i="2"/>
  <c r="M453" i="2" s="1"/>
  <c r="N453" i="2" s="1"/>
  <c r="L454" i="2"/>
  <c r="M454" i="2" s="1"/>
  <c r="N454" i="2" s="1"/>
  <c r="L455" i="2"/>
  <c r="M455" i="2" s="1"/>
  <c r="N455" i="2" s="1"/>
  <c r="L456" i="2"/>
  <c r="M456" i="2" s="1"/>
  <c r="N456" i="2" s="1"/>
  <c r="L457" i="2"/>
  <c r="M457" i="2" s="1"/>
  <c r="N457" i="2" s="1"/>
  <c r="L458" i="2"/>
  <c r="M458" i="2" s="1"/>
  <c r="N458" i="2" s="1"/>
  <c r="L459" i="2"/>
  <c r="M459" i="2" s="1"/>
  <c r="N459" i="2" s="1"/>
  <c r="L460" i="2"/>
  <c r="M460" i="2" s="1"/>
  <c r="N460" i="2" s="1"/>
  <c r="L461" i="2"/>
  <c r="M461" i="2" s="1"/>
  <c r="N461" i="2" s="1"/>
  <c r="L462" i="2"/>
  <c r="M462" i="2" s="1"/>
  <c r="N462" i="2" s="1"/>
  <c r="L463" i="2"/>
  <c r="M463" i="2" s="1"/>
  <c r="N463" i="2" s="1"/>
  <c r="L464" i="2"/>
  <c r="M464" i="2" s="1"/>
  <c r="N464" i="2" s="1"/>
  <c r="L465" i="2"/>
  <c r="M465" i="2" s="1"/>
  <c r="N465" i="2" s="1"/>
  <c r="L466" i="2"/>
  <c r="M466" i="2" s="1"/>
  <c r="N466" i="2" s="1"/>
  <c r="L467" i="2"/>
  <c r="M467" i="2" s="1"/>
  <c r="N467" i="2" s="1"/>
  <c r="L468" i="2"/>
  <c r="M468" i="2" s="1"/>
  <c r="N468" i="2" s="1"/>
  <c r="L469" i="2"/>
  <c r="M469" i="2" s="1"/>
  <c r="N469" i="2" s="1"/>
  <c r="L470" i="2"/>
  <c r="M470" i="2" s="1"/>
  <c r="N470" i="2" s="1"/>
  <c r="L471" i="2"/>
  <c r="M471" i="2" s="1"/>
  <c r="N471" i="2" s="1"/>
  <c r="L472" i="2"/>
  <c r="M472" i="2" s="1"/>
  <c r="N472" i="2" s="1"/>
  <c r="L473" i="2"/>
  <c r="M473" i="2" s="1"/>
  <c r="N473" i="2" s="1"/>
  <c r="L474" i="2"/>
  <c r="M474" i="2" s="1"/>
  <c r="N474" i="2" s="1"/>
  <c r="L475" i="2"/>
  <c r="M475" i="2" s="1"/>
  <c r="N475" i="2" s="1"/>
  <c r="L476" i="2"/>
  <c r="M476" i="2" s="1"/>
  <c r="N476" i="2" s="1"/>
  <c r="L477" i="2"/>
  <c r="M477" i="2" s="1"/>
  <c r="N477" i="2" s="1"/>
  <c r="L478" i="2"/>
  <c r="M478" i="2" s="1"/>
  <c r="N478" i="2" s="1"/>
  <c r="L479" i="2"/>
  <c r="M479" i="2" s="1"/>
  <c r="N479" i="2" s="1"/>
  <c r="L480" i="2"/>
  <c r="M480" i="2" s="1"/>
  <c r="N480" i="2" s="1"/>
  <c r="L481" i="2"/>
  <c r="M481" i="2" s="1"/>
  <c r="N481" i="2" s="1"/>
  <c r="L482" i="2"/>
  <c r="M482" i="2" s="1"/>
  <c r="N482" i="2" s="1"/>
  <c r="L483" i="2"/>
  <c r="M483" i="2" s="1"/>
  <c r="N483" i="2" s="1"/>
  <c r="L484" i="2"/>
  <c r="M484" i="2" s="1"/>
  <c r="N484" i="2" s="1"/>
  <c r="L485" i="2"/>
  <c r="M485" i="2" s="1"/>
  <c r="N485" i="2" s="1"/>
  <c r="L2" i="2"/>
  <c r="M2" i="2" s="1"/>
</calcChain>
</file>

<file path=xl/sharedStrings.xml><?xml version="1.0" encoding="utf-8"?>
<sst xmlns="http://schemas.openxmlformats.org/spreadsheetml/2006/main" count="2443" uniqueCount="52">
  <si>
    <t>Sample ID</t>
  </si>
  <si>
    <t>Date of runs</t>
  </si>
  <si>
    <t>Crucible #</t>
  </si>
  <si>
    <t>S</t>
  </si>
  <si>
    <t>Replicate</t>
  </si>
  <si>
    <t>Crucible Weight (g)</t>
  </si>
  <si>
    <t>Initial Soil Weight (g)</t>
  </si>
  <si>
    <t>Weight After LOI (g)</t>
  </si>
  <si>
    <t>20329.EF01.18.E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</si>
  <si>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</si>
  <si>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</si>
  <si>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</si>
  <si>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</si>
  <si>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</si>
  <si>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</si>
  <si>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</si>
  <si>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</si>
  <si>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</si>
  <si>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</si>
  <si>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</si>
  <si>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20329.EF01.18.W</t>
  </si>
  <si>
    <t>20329.EF01.19.N</t>
  </si>
  <si>
    <t>20329.EF01.19.E</t>
  </si>
  <si>
    <t>20329.EF01.19.W</t>
  </si>
  <si>
    <t>20329.EF02.18.N</t>
  </si>
  <si>
    <t>20329.EF02.18.E</t>
  </si>
  <si>
    <t>20329.EF02.18.W</t>
  </si>
  <si>
    <t>20327.EF02.19.N</t>
  </si>
  <si>
    <t>20327.EF02.19.E</t>
  </si>
  <si>
    <t>20327.EF02.19.W</t>
  </si>
  <si>
    <t>20329.EF01.18.N</t>
  </si>
  <si>
    <t>crucible_g</t>
  </si>
  <si>
    <t>initial_soil_g</t>
  </si>
  <si>
    <t>total_after_LOI_g</t>
  </si>
  <si>
    <t>soil_after_LOI_g</t>
  </si>
  <si>
    <t>OM_perc</t>
  </si>
  <si>
    <t>OM_loss_g</t>
  </si>
  <si>
    <t>sample_depth_cm</t>
  </si>
  <si>
    <t>management</t>
  </si>
  <si>
    <t>organic</t>
  </si>
  <si>
    <t>conventional</t>
  </si>
  <si>
    <t>julian_date</t>
  </si>
  <si>
    <t>EF01</t>
  </si>
  <si>
    <t>N</t>
  </si>
  <si>
    <t>sample_location</t>
  </si>
  <si>
    <t>EF02</t>
  </si>
  <si>
    <t>E</t>
  </si>
  <si>
    <t>W</t>
  </si>
  <si>
    <t>field_id</t>
  </si>
  <si>
    <t>field_replicate</t>
  </si>
  <si>
    <t>sample_replicate</t>
  </si>
  <si>
    <t>calendar_date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</si>
</sst>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1" fillId="0" borderId="0" xfId="0" applyFont="1"/>
    <xf numFmtId="164" fontId="0" fillId="0" borderId="16" xfId="0" applyNumberFormat="1" applyBorder="1"/>
    <xf numFmtId="164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6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15.33203125" bestFit="1" customWidth="1"/>
    <col min="5" max="5" width="21.83203125" customWidth="1"/>
    <col min="6" max="6" width="19.6640625" customWidth="1"/>
    <col min="7" max="7" width="20.6640625" customWidth="1"/>
  </cols>
  <sheetData>
    <row r="1" spans="1:20" ht="16" thickBot="1" x14ac:dyDescent="0.25">
      <c r="A1" s="7" t="s">
        <v>0</v>
      </c>
      <c r="B1" s="8"/>
      <c r="C1" s="8"/>
      <c r="D1" s="8"/>
      <c r="E1" s="8" t="s">
        <v>1</v>
      </c>
      <c r="F1" s="8"/>
      <c r="G1" s="9"/>
    </row>
    <row r="2" spans="1:20" ht="15" customHeight="1" thickBot="1" x14ac:dyDescent="0.25">
      <c r="A2" s="10" t="s">
        <v>0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2" t="s">
        <v>7</v>
      </c>
      <c r="L2" s="19"/>
      <c r="M2" s="19"/>
      <c r="N2" s="19"/>
      <c r="O2" s="19"/>
      <c r="P2" s="19"/>
      <c r="Q2" s="19"/>
      <c r="R2" s="19"/>
      <c r="S2" s="19"/>
      <c r="T2" s="19"/>
    </row>
    <row r="3" spans="1:20" x14ac:dyDescent="0.2">
      <c r="A3" s="2" t="s">
        <v>30</v>
      </c>
      <c r="B3" s="3">
        <v>4</v>
      </c>
      <c r="C3" s="3" t="s">
        <v>9</v>
      </c>
      <c r="D3" s="3">
        <v>1</v>
      </c>
      <c r="E3" s="13">
        <v>63.805</v>
      </c>
      <c r="F3" s="13">
        <v>5.008</v>
      </c>
      <c r="G3" s="14">
        <v>68.682000000000002</v>
      </c>
      <c r="L3" s="19"/>
      <c r="M3" s="19"/>
      <c r="N3" s="19"/>
      <c r="O3" s="19"/>
      <c r="P3" s="19"/>
      <c r="Q3" s="19"/>
      <c r="R3" s="19"/>
      <c r="S3" s="19"/>
      <c r="T3" s="19"/>
    </row>
    <row r="4" spans="1:20" x14ac:dyDescent="0.2">
      <c r="A4" s="4" t="s">
        <v>30</v>
      </c>
      <c r="B4" s="1">
        <v>6</v>
      </c>
      <c r="C4" s="1" t="s">
        <v>9</v>
      </c>
      <c r="D4" s="1">
        <v>2</v>
      </c>
      <c r="E4" s="15">
        <v>68.066999999999993</v>
      </c>
      <c r="F4" s="15">
        <v>5.0220000000000002</v>
      </c>
      <c r="G4" s="16">
        <v>72.959000000000003</v>
      </c>
      <c r="L4" s="19"/>
      <c r="M4" s="19"/>
      <c r="N4" s="19"/>
      <c r="O4" s="19"/>
      <c r="P4" s="19"/>
      <c r="Q4" s="19"/>
      <c r="R4" s="19"/>
      <c r="S4" s="19"/>
      <c r="T4" s="19"/>
    </row>
    <row r="5" spans="1:20" x14ac:dyDescent="0.2">
      <c r="A5" s="4" t="s">
        <v>30</v>
      </c>
      <c r="B5" s="1">
        <v>15</v>
      </c>
      <c r="C5" s="1" t="s">
        <v>9</v>
      </c>
      <c r="D5" s="1">
        <v>3</v>
      </c>
      <c r="E5" s="15">
        <v>62.734999999999999</v>
      </c>
      <c r="F5" s="15">
        <v>5.1959999999999997</v>
      </c>
      <c r="G5" s="16">
        <v>67.796000000000006</v>
      </c>
      <c r="L5" s="19"/>
      <c r="M5" s="19"/>
      <c r="N5" s="19"/>
      <c r="O5" s="19"/>
      <c r="P5" s="19"/>
      <c r="Q5" s="19"/>
      <c r="R5" s="19"/>
      <c r="S5" s="19"/>
      <c r="T5" s="19"/>
    </row>
    <row r="6" spans="1:20" ht="16" thickBot="1" x14ac:dyDescent="0.25">
      <c r="A6" s="5" t="s">
        <v>30</v>
      </c>
      <c r="B6" s="6">
        <v>2</v>
      </c>
      <c r="C6" s="6" t="s">
        <v>9</v>
      </c>
      <c r="D6" s="6">
        <v>4</v>
      </c>
      <c r="E6" s="17">
        <v>64.484999999999999</v>
      </c>
      <c r="F6" s="17">
        <v>5.0110000000000001</v>
      </c>
      <c r="G6" s="18">
        <v>69.366</v>
      </c>
      <c r="L6" s="19"/>
      <c r="M6" s="19"/>
      <c r="N6" s="19"/>
      <c r="O6" s="19"/>
      <c r="P6" s="19"/>
      <c r="Q6" s="19"/>
      <c r="R6" s="19"/>
      <c r="S6" s="19"/>
      <c r="T6" s="19"/>
    </row>
    <row r="7" spans="1:20" x14ac:dyDescent="0.2">
      <c r="A7" s="2" t="s">
        <v>30</v>
      </c>
      <c r="B7" s="3">
        <v>7</v>
      </c>
      <c r="C7" s="3" t="s">
        <v>10</v>
      </c>
      <c r="D7" s="3">
        <v>1</v>
      </c>
      <c r="E7" s="13">
        <v>64.873000000000005</v>
      </c>
      <c r="F7" s="13">
        <v>5.01</v>
      </c>
      <c r="G7" s="14">
        <v>69.775000000000006</v>
      </c>
      <c r="L7" s="19"/>
      <c r="M7" s="19"/>
      <c r="N7" s="19"/>
      <c r="O7" s="19"/>
      <c r="P7" s="19"/>
      <c r="Q7" s="19"/>
      <c r="R7" s="19"/>
      <c r="S7" s="19"/>
      <c r="T7" s="19"/>
    </row>
    <row r="8" spans="1:20" x14ac:dyDescent="0.2">
      <c r="A8" s="4" t="s">
        <v>30</v>
      </c>
      <c r="B8" s="1">
        <v>1</v>
      </c>
      <c r="C8" s="1" t="s">
        <v>10</v>
      </c>
      <c r="D8" s="1">
        <v>2</v>
      </c>
      <c r="E8" s="15">
        <v>63.082999999999998</v>
      </c>
      <c r="F8" s="15">
        <v>5.09</v>
      </c>
      <c r="G8" s="16">
        <v>68.067999999999998</v>
      </c>
      <c r="L8" s="19"/>
      <c r="M8" s="19"/>
      <c r="N8" s="19"/>
      <c r="O8" s="19"/>
      <c r="P8" s="19"/>
      <c r="Q8" s="19"/>
      <c r="R8" s="19"/>
      <c r="S8" s="19"/>
      <c r="T8" s="19"/>
    </row>
    <row r="9" spans="1:20" x14ac:dyDescent="0.2">
      <c r="A9" s="4" t="s">
        <v>30</v>
      </c>
      <c r="B9" s="1">
        <v>10</v>
      </c>
      <c r="C9" s="1" t="s">
        <v>10</v>
      </c>
      <c r="D9" s="1">
        <v>3</v>
      </c>
      <c r="E9" s="15">
        <v>58.268999999999998</v>
      </c>
      <c r="F9" s="15">
        <v>5.0670000000000002</v>
      </c>
      <c r="G9" s="16">
        <v>63.225000000000001</v>
      </c>
      <c r="L9" s="19"/>
      <c r="M9" s="19"/>
      <c r="N9" s="19"/>
      <c r="O9" s="19"/>
      <c r="P9" s="19"/>
      <c r="Q9" s="19"/>
      <c r="R9" s="19"/>
      <c r="S9" s="19"/>
      <c r="T9" s="19"/>
    </row>
    <row r="10" spans="1:20" ht="16" thickBot="1" x14ac:dyDescent="0.25">
      <c r="A10" s="5" t="s">
        <v>30</v>
      </c>
      <c r="B10" s="6">
        <v>3</v>
      </c>
      <c r="C10" s="6" t="s">
        <v>10</v>
      </c>
      <c r="D10" s="6">
        <v>4</v>
      </c>
      <c r="E10" s="17">
        <v>65.751000000000005</v>
      </c>
      <c r="F10" s="17">
        <v>5</v>
      </c>
      <c r="G10" s="18">
        <v>70.646000000000001</v>
      </c>
      <c r="L10" s="19"/>
      <c r="M10" s="19"/>
      <c r="N10" s="19"/>
      <c r="O10" s="19"/>
      <c r="P10" s="19"/>
      <c r="Q10" s="19"/>
      <c r="R10" s="19"/>
      <c r="S10" s="19"/>
      <c r="T10" s="19"/>
    </row>
    <row r="11" spans="1:20" x14ac:dyDescent="0.2">
      <c r="A11" s="2" t="s">
        <v>30</v>
      </c>
      <c r="B11" s="3">
        <v>4</v>
      </c>
      <c r="C11" s="3" t="s">
        <v>11</v>
      </c>
      <c r="D11" s="3">
        <v>1</v>
      </c>
      <c r="E11" s="13">
        <v>63.802999999999997</v>
      </c>
      <c r="F11" s="13">
        <v>5.0339999999999998</v>
      </c>
      <c r="G11" s="14">
        <v>68.734999999999999</v>
      </c>
      <c r="L11" s="19"/>
      <c r="M11" s="19"/>
      <c r="N11" s="19"/>
      <c r="O11" s="19"/>
      <c r="P11" s="19"/>
      <c r="Q11" s="19"/>
      <c r="R11" s="19"/>
      <c r="S11" s="19"/>
      <c r="T11" s="19"/>
    </row>
    <row r="12" spans="1:20" x14ac:dyDescent="0.2">
      <c r="A12" s="4" t="s">
        <v>30</v>
      </c>
      <c r="B12" s="1">
        <v>2</v>
      </c>
      <c r="C12" s="1" t="s">
        <v>11</v>
      </c>
      <c r="D12" s="1">
        <v>2</v>
      </c>
      <c r="E12" s="15">
        <v>64.484999999999999</v>
      </c>
      <c r="F12" s="15">
        <v>5.1950000000000003</v>
      </c>
      <c r="G12" s="16">
        <v>69.572999999999993</v>
      </c>
      <c r="L12" s="19"/>
      <c r="M12" s="19"/>
      <c r="N12" s="19"/>
      <c r="O12" s="19"/>
      <c r="P12" s="19"/>
      <c r="Q12" s="19"/>
      <c r="R12" s="19"/>
      <c r="S12" s="19"/>
      <c r="T12" s="19"/>
    </row>
    <row r="13" spans="1:20" x14ac:dyDescent="0.2">
      <c r="A13" s="4" t="s">
        <v>30</v>
      </c>
      <c r="B13" s="1">
        <v>5</v>
      </c>
      <c r="C13" s="1" t="s">
        <v>11</v>
      </c>
      <c r="D13" s="1">
        <v>3</v>
      </c>
      <c r="E13" s="15">
        <v>62.198999999999998</v>
      </c>
      <c r="F13" s="15">
        <v>5.0570000000000004</v>
      </c>
      <c r="G13" s="16">
        <v>67.147000000000006</v>
      </c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6" thickBot="1" x14ac:dyDescent="0.25">
      <c r="A14" s="5" t="s">
        <v>30</v>
      </c>
      <c r="B14" s="6">
        <v>13</v>
      </c>
      <c r="C14" s="6" t="s">
        <v>11</v>
      </c>
      <c r="D14" s="6">
        <v>4</v>
      </c>
      <c r="E14" s="17">
        <v>63.933</v>
      </c>
      <c r="F14" s="17">
        <v>5.0750000000000002</v>
      </c>
      <c r="G14" s="18">
        <v>68.894000000000005</v>
      </c>
      <c r="L14" s="19"/>
      <c r="M14" s="19"/>
      <c r="N14" s="19"/>
      <c r="O14" s="19"/>
      <c r="P14" s="19"/>
      <c r="Q14" s="19"/>
      <c r="R14" s="19"/>
      <c r="S14" s="19"/>
      <c r="T14" s="19"/>
    </row>
    <row r="15" spans="1:20" x14ac:dyDescent="0.2">
      <c r="A15" s="2" t="s">
        <v>30</v>
      </c>
      <c r="B15" s="3">
        <v>15</v>
      </c>
      <c r="C15" s="3" t="s">
        <v>12</v>
      </c>
      <c r="D15" s="3">
        <v>1</v>
      </c>
      <c r="E15" s="13">
        <v>62.734000000000002</v>
      </c>
      <c r="F15" s="13">
        <v>5.085</v>
      </c>
      <c r="G15" s="14">
        <v>67.736999999999995</v>
      </c>
      <c r="L15" s="19"/>
      <c r="M15" s="19"/>
      <c r="N15" s="19"/>
      <c r="O15" s="19"/>
      <c r="P15" s="19"/>
      <c r="Q15" s="19"/>
      <c r="R15" s="19"/>
      <c r="S15" s="19"/>
      <c r="T15" s="19"/>
    </row>
    <row r="16" spans="1:20" x14ac:dyDescent="0.2">
      <c r="A16" s="4" t="s">
        <v>30</v>
      </c>
      <c r="B16" s="1">
        <v>1</v>
      </c>
      <c r="C16" s="1" t="s">
        <v>12</v>
      </c>
      <c r="D16" s="1">
        <v>2</v>
      </c>
      <c r="E16" s="15">
        <v>63.082999999999998</v>
      </c>
      <c r="F16" s="15">
        <v>5.0060000000000002</v>
      </c>
      <c r="G16" s="16">
        <v>68.010999999999996</v>
      </c>
      <c r="L16" s="19"/>
      <c r="M16" s="19"/>
      <c r="N16" s="19"/>
      <c r="O16" s="19"/>
      <c r="P16" s="19"/>
      <c r="Q16" s="19"/>
      <c r="R16" s="19"/>
      <c r="S16" s="19"/>
      <c r="T16" s="19"/>
    </row>
    <row r="17" spans="1:20" x14ac:dyDescent="0.2">
      <c r="A17" s="4" t="s">
        <v>30</v>
      </c>
      <c r="B17" s="1">
        <v>14</v>
      </c>
      <c r="C17" s="1" t="s">
        <v>12</v>
      </c>
      <c r="D17" s="1">
        <v>3</v>
      </c>
      <c r="E17" s="15">
        <v>59.811</v>
      </c>
      <c r="F17" s="15">
        <v>5.008</v>
      </c>
      <c r="G17" s="16">
        <v>64.733999999999995</v>
      </c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6" thickBot="1" x14ac:dyDescent="0.25">
      <c r="A18" s="5" t="s">
        <v>30</v>
      </c>
      <c r="B18" s="6">
        <v>3</v>
      </c>
      <c r="C18" s="6" t="s">
        <v>12</v>
      </c>
      <c r="D18" s="6">
        <v>4</v>
      </c>
      <c r="E18" s="17">
        <v>65.75</v>
      </c>
      <c r="F18" s="17">
        <v>5.0289999999999999</v>
      </c>
      <c r="G18" s="18">
        <v>70.692999999999998</v>
      </c>
      <c r="L18" s="19"/>
      <c r="M18" s="19"/>
      <c r="N18" s="19"/>
      <c r="O18" s="19"/>
      <c r="P18" s="19"/>
      <c r="Q18" s="19"/>
      <c r="R18" s="19"/>
      <c r="S18" s="19"/>
      <c r="T18" s="19"/>
    </row>
    <row r="19" spans="1:20" x14ac:dyDescent="0.2">
      <c r="A19" s="2" t="s">
        <v>30</v>
      </c>
      <c r="B19" s="3">
        <v>6</v>
      </c>
      <c r="C19" s="3" t="s">
        <v>13</v>
      </c>
      <c r="D19" s="3">
        <v>1</v>
      </c>
      <c r="E19" s="13">
        <v>68.066999999999993</v>
      </c>
      <c r="F19" s="13">
        <v>5.0279999999999996</v>
      </c>
      <c r="G19" s="14">
        <v>73.031999999999996</v>
      </c>
      <c r="L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2">
      <c r="A20" s="4" t="s">
        <v>30</v>
      </c>
      <c r="B20" s="1">
        <v>8</v>
      </c>
      <c r="C20" s="1" t="s">
        <v>13</v>
      </c>
      <c r="D20" s="1">
        <v>2</v>
      </c>
      <c r="E20" s="15">
        <v>65.317999999999998</v>
      </c>
      <c r="F20" s="15">
        <v>5.0170000000000003</v>
      </c>
      <c r="G20" s="16">
        <v>70.266000000000005</v>
      </c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2">
      <c r="A21" s="4" t="s">
        <v>30</v>
      </c>
      <c r="B21" s="1">
        <v>7</v>
      </c>
      <c r="C21" s="1" t="s">
        <v>13</v>
      </c>
      <c r="D21" s="1">
        <v>3</v>
      </c>
      <c r="E21" s="15">
        <v>64.873000000000005</v>
      </c>
      <c r="F21" s="15">
        <v>5.0789999999999997</v>
      </c>
      <c r="G21" s="16">
        <v>69.879000000000005</v>
      </c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6" thickBot="1" x14ac:dyDescent="0.25">
      <c r="A22" s="5" t="s">
        <v>30</v>
      </c>
      <c r="B22" s="6">
        <v>10</v>
      </c>
      <c r="C22" s="6" t="s">
        <v>13</v>
      </c>
      <c r="D22" s="6">
        <v>4</v>
      </c>
      <c r="E22" s="17">
        <v>58.268999999999998</v>
      </c>
      <c r="F22" s="17">
        <v>5.0449999999999999</v>
      </c>
      <c r="G22" s="18">
        <v>63.24</v>
      </c>
      <c r="L22" s="19"/>
      <c r="M22" s="19"/>
      <c r="N22" s="19"/>
      <c r="O22" s="19"/>
      <c r="P22" s="19"/>
      <c r="Q22" s="19"/>
      <c r="R22" s="19"/>
      <c r="S22" s="19"/>
      <c r="T22" s="19"/>
    </row>
    <row r="23" spans="1:20" x14ac:dyDescent="0.2">
      <c r="A23" s="2" t="s">
        <v>30</v>
      </c>
      <c r="B23" s="3">
        <v>13</v>
      </c>
      <c r="C23" s="3" t="s">
        <v>14</v>
      </c>
      <c r="D23" s="3">
        <v>1</v>
      </c>
      <c r="E23" s="20">
        <v>63.932000000000002</v>
      </c>
      <c r="F23" s="13">
        <v>5.0460000000000003</v>
      </c>
      <c r="G23" s="14">
        <v>68.924000000000007</v>
      </c>
      <c r="L23" s="19"/>
      <c r="M23" s="19"/>
      <c r="N23" s="19"/>
      <c r="O23" s="19"/>
      <c r="P23" s="19"/>
      <c r="Q23" s="19"/>
      <c r="R23" s="19"/>
      <c r="S23" s="19"/>
      <c r="T23" s="19"/>
    </row>
    <row r="24" spans="1:20" x14ac:dyDescent="0.2">
      <c r="A24" s="4" t="s">
        <v>30</v>
      </c>
      <c r="B24" s="1">
        <v>2</v>
      </c>
      <c r="C24" s="1" t="s">
        <v>14</v>
      </c>
      <c r="D24" s="1">
        <v>2</v>
      </c>
      <c r="E24" s="20">
        <v>64.484999999999999</v>
      </c>
      <c r="F24" s="15">
        <v>5.0279999999999996</v>
      </c>
      <c r="G24" s="16">
        <v>69.457999999999998</v>
      </c>
      <c r="L24" s="19"/>
      <c r="M24" s="19"/>
      <c r="N24" s="19"/>
      <c r="O24" s="19"/>
      <c r="P24" s="19"/>
      <c r="Q24" s="19"/>
      <c r="R24" s="19"/>
      <c r="S24" s="19"/>
      <c r="T24" s="19"/>
    </row>
    <row r="25" spans="1:20" x14ac:dyDescent="0.2">
      <c r="A25" s="4" t="s">
        <v>30</v>
      </c>
      <c r="B25" s="1">
        <v>5</v>
      </c>
      <c r="C25" s="1" t="s">
        <v>14</v>
      </c>
      <c r="D25" s="1">
        <v>3</v>
      </c>
      <c r="E25" s="20">
        <v>62.198</v>
      </c>
      <c r="F25" s="15">
        <v>5.0819999999999999</v>
      </c>
      <c r="G25" s="16">
        <v>67.221999999999994</v>
      </c>
      <c r="L25" s="19"/>
      <c r="M25" s="19"/>
      <c r="N25" s="19"/>
      <c r="O25" s="19"/>
      <c r="P25" s="19"/>
      <c r="Q25" s="19"/>
      <c r="R25" s="19"/>
      <c r="S25" s="19"/>
      <c r="T25" s="19"/>
    </row>
    <row r="26" spans="1:20" ht="16" thickBot="1" x14ac:dyDescent="0.25">
      <c r="A26" s="5" t="s">
        <v>30</v>
      </c>
      <c r="B26" s="6">
        <v>10</v>
      </c>
      <c r="C26" s="6" t="s">
        <v>14</v>
      </c>
      <c r="D26" s="6">
        <v>4</v>
      </c>
      <c r="E26" s="20">
        <v>58.268999999999998</v>
      </c>
      <c r="F26" s="17">
        <v>5.0250000000000004</v>
      </c>
      <c r="G26" s="18">
        <v>63.234000000000002</v>
      </c>
      <c r="L26" s="19"/>
      <c r="M26" s="19"/>
      <c r="N26" s="19"/>
      <c r="O26" s="19"/>
      <c r="P26" s="19"/>
      <c r="Q26" s="19"/>
      <c r="R26" s="19"/>
      <c r="S26" s="19"/>
      <c r="T26" s="19"/>
    </row>
    <row r="27" spans="1:20" x14ac:dyDescent="0.2">
      <c r="A27" s="2" t="s">
        <v>30</v>
      </c>
      <c r="B27" s="3">
        <v>1</v>
      </c>
      <c r="C27" s="3" t="s">
        <v>15</v>
      </c>
      <c r="D27" s="3">
        <v>1</v>
      </c>
      <c r="E27" s="13">
        <v>63.082999999999998</v>
      </c>
      <c r="F27" s="13">
        <v>5.0609999999999999</v>
      </c>
      <c r="G27" s="14">
        <v>68.093000000000004</v>
      </c>
      <c r="L27" s="19"/>
      <c r="M27" s="19"/>
      <c r="N27" s="19"/>
      <c r="O27" s="19"/>
      <c r="P27" s="19"/>
      <c r="Q27" s="19"/>
      <c r="R27" s="19"/>
      <c r="S27" s="19"/>
      <c r="T27" s="19"/>
    </row>
    <row r="28" spans="1:20" x14ac:dyDescent="0.2">
      <c r="A28" s="4" t="s">
        <v>30</v>
      </c>
      <c r="B28" s="1">
        <v>14</v>
      </c>
      <c r="C28" s="1" t="s">
        <v>15</v>
      </c>
      <c r="D28" s="1">
        <v>2</v>
      </c>
      <c r="E28" s="15">
        <v>59.811</v>
      </c>
      <c r="F28" s="15">
        <v>5.0170000000000003</v>
      </c>
      <c r="G28" s="16">
        <v>64.775000000000006</v>
      </c>
      <c r="L28" s="19"/>
      <c r="M28" s="19"/>
      <c r="N28" s="19"/>
      <c r="O28" s="19"/>
      <c r="P28" s="19"/>
      <c r="Q28" s="19"/>
      <c r="R28" s="19"/>
      <c r="S28" s="19"/>
      <c r="T28" s="19"/>
    </row>
    <row r="29" spans="1:20" x14ac:dyDescent="0.2">
      <c r="A29" s="4" t="s">
        <v>30</v>
      </c>
      <c r="B29" s="1">
        <v>4</v>
      </c>
      <c r="C29" s="1" t="s">
        <v>15</v>
      </c>
      <c r="D29" s="1">
        <v>3</v>
      </c>
      <c r="E29" s="15">
        <v>63.802999999999997</v>
      </c>
      <c r="F29" s="15">
        <v>5.048</v>
      </c>
      <c r="G29" s="16">
        <v>68.798000000000002</v>
      </c>
      <c r="L29" s="19"/>
      <c r="M29" s="19"/>
      <c r="N29" s="19"/>
      <c r="O29" s="19"/>
      <c r="P29" s="19"/>
      <c r="Q29" s="19"/>
      <c r="R29" s="19"/>
      <c r="S29" s="19"/>
      <c r="T29" s="19"/>
    </row>
    <row r="30" spans="1:20" ht="16" thickBot="1" x14ac:dyDescent="0.25">
      <c r="A30" s="5" t="s">
        <v>30</v>
      </c>
      <c r="B30" s="6">
        <v>3</v>
      </c>
      <c r="C30" s="6" t="s">
        <v>15</v>
      </c>
      <c r="D30" s="6">
        <v>4</v>
      </c>
      <c r="E30" s="17">
        <v>65.748999999999995</v>
      </c>
      <c r="F30" s="17">
        <v>5.0199999999999996</v>
      </c>
      <c r="G30" s="18">
        <v>70.713999999999999</v>
      </c>
      <c r="L30" s="19"/>
      <c r="M30" s="19"/>
      <c r="N30" s="19"/>
      <c r="O30" s="19"/>
      <c r="P30" s="19"/>
      <c r="Q30" s="19"/>
      <c r="R30" s="19"/>
      <c r="S30" s="19"/>
      <c r="T30" s="19"/>
    </row>
    <row r="31" spans="1:20" x14ac:dyDescent="0.2">
      <c r="A31" s="2" t="s">
        <v>30</v>
      </c>
      <c r="B31" s="3">
        <v>8</v>
      </c>
      <c r="C31" s="3" t="s">
        <v>16</v>
      </c>
      <c r="D31" s="3">
        <v>1</v>
      </c>
      <c r="E31" s="13">
        <v>65.316999999999993</v>
      </c>
      <c r="F31" s="13">
        <v>5.0460000000000003</v>
      </c>
      <c r="G31" s="14">
        <v>70.311000000000007</v>
      </c>
      <c r="L31" s="19"/>
      <c r="M31" s="19"/>
      <c r="N31" s="19"/>
      <c r="O31" s="19"/>
      <c r="P31" s="19"/>
      <c r="Q31" s="19"/>
      <c r="R31" s="19"/>
      <c r="S31" s="19"/>
      <c r="T31" s="19"/>
    </row>
    <row r="32" spans="1:20" x14ac:dyDescent="0.2">
      <c r="A32" s="4" t="s">
        <v>30</v>
      </c>
      <c r="B32" s="1">
        <v>7</v>
      </c>
      <c r="C32" s="1" t="s">
        <v>16</v>
      </c>
      <c r="D32" s="1">
        <v>2</v>
      </c>
      <c r="E32" s="15">
        <v>64.870999999999995</v>
      </c>
      <c r="F32" s="15">
        <v>5.1589999999999998</v>
      </c>
      <c r="G32" s="16">
        <v>69.977000000000004</v>
      </c>
      <c r="L32" s="19"/>
      <c r="M32" s="19"/>
      <c r="N32" s="19"/>
      <c r="O32" s="19"/>
      <c r="P32" s="19"/>
      <c r="Q32" s="19"/>
      <c r="R32" s="19"/>
      <c r="S32" s="19"/>
      <c r="T32" s="19"/>
    </row>
    <row r="33" spans="1:20" x14ac:dyDescent="0.2">
      <c r="A33" s="4" t="s">
        <v>30</v>
      </c>
      <c r="B33" s="1">
        <v>15</v>
      </c>
      <c r="C33" s="1" t="s">
        <v>16</v>
      </c>
      <c r="D33" s="1">
        <v>3</v>
      </c>
      <c r="E33" s="15">
        <v>62.734000000000002</v>
      </c>
      <c r="F33" s="15">
        <v>5.0149999999999997</v>
      </c>
      <c r="G33" s="16">
        <v>67.695999999999998</v>
      </c>
      <c r="L33" s="19"/>
      <c r="M33" s="19"/>
      <c r="N33" s="19"/>
      <c r="O33" s="19"/>
      <c r="P33" s="19"/>
      <c r="Q33" s="19"/>
      <c r="R33" s="19"/>
      <c r="S33" s="19"/>
      <c r="T33" s="19"/>
    </row>
    <row r="34" spans="1:20" ht="16" thickBot="1" x14ac:dyDescent="0.25">
      <c r="A34" s="5" t="s">
        <v>30</v>
      </c>
      <c r="B34" s="6">
        <v>6</v>
      </c>
      <c r="C34" s="6" t="s">
        <v>16</v>
      </c>
      <c r="D34" s="6">
        <v>4</v>
      </c>
      <c r="E34" s="17">
        <v>68.066000000000003</v>
      </c>
      <c r="F34" s="17">
        <v>5.048</v>
      </c>
      <c r="G34" s="18">
        <v>73.058000000000007</v>
      </c>
      <c r="L34" s="19"/>
      <c r="M34" s="19"/>
      <c r="N34" s="19"/>
      <c r="O34" s="19"/>
      <c r="P34" s="19"/>
      <c r="Q34" s="19"/>
      <c r="R34" s="19"/>
      <c r="S34" s="19"/>
      <c r="T34" s="19"/>
    </row>
    <row r="35" spans="1:20" x14ac:dyDescent="0.2">
      <c r="A35" s="2" t="s">
        <v>30</v>
      </c>
      <c r="B35" s="3">
        <v>1</v>
      </c>
      <c r="C35" s="3" t="s">
        <v>17</v>
      </c>
      <c r="D35" s="3">
        <v>1</v>
      </c>
      <c r="E35" s="13">
        <v>63.082999999999998</v>
      </c>
      <c r="F35" s="13">
        <v>5.0449999999999999</v>
      </c>
      <c r="G35" s="14">
        <v>68.081999999999994</v>
      </c>
      <c r="L35" s="19"/>
      <c r="M35" s="19"/>
      <c r="N35" s="19"/>
      <c r="O35" s="19"/>
      <c r="P35" s="19"/>
      <c r="Q35" s="19"/>
      <c r="R35" s="19"/>
      <c r="S35" s="19"/>
      <c r="T35" s="19"/>
    </row>
    <row r="36" spans="1:20" x14ac:dyDescent="0.2">
      <c r="A36" s="4" t="s">
        <v>30</v>
      </c>
      <c r="B36" s="1">
        <v>2</v>
      </c>
      <c r="C36" s="1" t="s">
        <v>17</v>
      </c>
      <c r="D36" s="1">
        <v>2</v>
      </c>
      <c r="E36" s="15">
        <v>64.483999999999995</v>
      </c>
      <c r="F36" s="15">
        <v>5.0179999999999998</v>
      </c>
      <c r="G36" s="16">
        <v>69.456999999999994</v>
      </c>
      <c r="L36" s="19"/>
      <c r="M36" s="19"/>
      <c r="N36" s="19"/>
      <c r="O36" s="19"/>
      <c r="P36" s="19"/>
      <c r="Q36" s="19"/>
      <c r="R36" s="19"/>
      <c r="S36" s="19"/>
      <c r="T36" s="19"/>
    </row>
    <row r="37" spans="1:20" x14ac:dyDescent="0.2">
      <c r="A37" s="4" t="s">
        <v>30</v>
      </c>
      <c r="B37" s="1">
        <v>3</v>
      </c>
      <c r="C37" s="1" t="s">
        <v>17</v>
      </c>
      <c r="D37" s="1">
        <v>3</v>
      </c>
      <c r="E37" s="15">
        <v>65.748999999999995</v>
      </c>
      <c r="F37" s="15">
        <v>5.0350000000000001</v>
      </c>
      <c r="G37" s="16">
        <v>70.739000000000004</v>
      </c>
      <c r="L37" s="19"/>
      <c r="M37" s="19"/>
      <c r="N37" s="19"/>
      <c r="O37" s="19"/>
      <c r="P37" s="19"/>
      <c r="Q37" s="19"/>
      <c r="R37" s="19"/>
      <c r="S37" s="19"/>
      <c r="T37" s="19"/>
    </row>
    <row r="38" spans="1:20" ht="16" thickBot="1" x14ac:dyDescent="0.25">
      <c r="A38" s="5" t="s">
        <v>30</v>
      </c>
      <c r="B38" s="6">
        <v>8</v>
      </c>
      <c r="C38" s="6" t="s">
        <v>17</v>
      </c>
      <c r="D38" s="6">
        <v>4</v>
      </c>
      <c r="E38" s="17">
        <v>65.317999999999998</v>
      </c>
      <c r="F38" s="17">
        <v>5.0069999999999997</v>
      </c>
      <c r="G38" s="18">
        <v>70.278999999999996</v>
      </c>
      <c r="L38" s="19"/>
      <c r="M38" s="19"/>
      <c r="N38" s="19"/>
      <c r="O38" s="19"/>
      <c r="P38" s="19"/>
      <c r="Q38" s="19"/>
      <c r="R38" s="19"/>
      <c r="S38" s="19"/>
      <c r="T38" s="19"/>
    </row>
    <row r="39" spans="1:20" x14ac:dyDescent="0.2">
      <c r="A39" s="2" t="s">
        <v>30</v>
      </c>
      <c r="B39" s="3">
        <v>6</v>
      </c>
      <c r="C39" s="3" t="s">
        <v>18</v>
      </c>
      <c r="D39" s="3">
        <v>1</v>
      </c>
      <c r="E39" s="13">
        <v>68.067999999999998</v>
      </c>
      <c r="F39" s="13">
        <v>5.1319999999999997</v>
      </c>
      <c r="G39" s="14">
        <v>73.158000000000001</v>
      </c>
      <c r="L39" s="19"/>
      <c r="M39" s="19"/>
      <c r="N39" s="19"/>
      <c r="O39" s="19"/>
      <c r="P39" s="19"/>
      <c r="Q39" s="19"/>
      <c r="R39" s="19"/>
      <c r="S39" s="19"/>
      <c r="T39" s="19"/>
    </row>
    <row r="40" spans="1:20" x14ac:dyDescent="0.2">
      <c r="A40" s="4" t="s">
        <v>30</v>
      </c>
      <c r="B40" s="1">
        <v>5</v>
      </c>
      <c r="C40" s="1" t="s">
        <v>18</v>
      </c>
      <c r="D40" s="1">
        <v>2</v>
      </c>
      <c r="E40" s="15">
        <v>62.198999999999998</v>
      </c>
      <c r="F40" s="15">
        <v>5.0970000000000004</v>
      </c>
      <c r="G40" s="16">
        <v>67.248999999999995</v>
      </c>
      <c r="L40" s="19"/>
      <c r="M40" s="19"/>
      <c r="N40" s="19"/>
      <c r="O40" s="19"/>
      <c r="P40" s="19"/>
      <c r="Q40" s="19"/>
      <c r="R40" s="19"/>
      <c r="S40" s="19"/>
      <c r="T40" s="19"/>
    </row>
    <row r="41" spans="1:20" x14ac:dyDescent="0.2">
      <c r="A41" s="4" t="s">
        <v>30</v>
      </c>
      <c r="B41" s="1">
        <v>10</v>
      </c>
      <c r="C41" s="1" t="s">
        <v>18</v>
      </c>
      <c r="D41" s="1">
        <v>3</v>
      </c>
      <c r="E41" s="15">
        <v>58.267000000000003</v>
      </c>
      <c r="F41" s="15">
        <v>5.1890000000000001</v>
      </c>
      <c r="G41" s="16">
        <v>63.414999999999999</v>
      </c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16" thickBot="1" x14ac:dyDescent="0.25">
      <c r="A42" s="5" t="s">
        <v>30</v>
      </c>
      <c r="B42" s="6">
        <v>7</v>
      </c>
      <c r="C42" s="6" t="s">
        <v>18</v>
      </c>
      <c r="D42" s="6">
        <v>4</v>
      </c>
      <c r="E42" s="17">
        <v>64.873000000000005</v>
      </c>
      <c r="F42" s="17">
        <v>5.157</v>
      </c>
      <c r="G42" s="18">
        <v>69.977999999999994</v>
      </c>
      <c r="L42" s="19"/>
      <c r="M42" s="19"/>
      <c r="N42" s="19"/>
      <c r="O42" s="19"/>
      <c r="P42" s="19"/>
      <c r="Q42" s="19"/>
      <c r="R42" s="19"/>
      <c r="S42" s="19"/>
      <c r="T42" s="19"/>
    </row>
    <row r="43" spans="1:20" x14ac:dyDescent="0.2">
      <c r="A43" s="2" t="s">
        <v>8</v>
      </c>
      <c r="B43" s="3">
        <v>4</v>
      </c>
      <c r="C43" s="3" t="s">
        <v>9</v>
      </c>
      <c r="D43" s="3">
        <v>1</v>
      </c>
      <c r="E43" s="13">
        <v>63.805</v>
      </c>
      <c r="F43" s="13">
        <v>5.0069999999999997</v>
      </c>
      <c r="G43" s="14">
        <v>68.665999999999997</v>
      </c>
      <c r="L43" s="19"/>
      <c r="M43" s="19"/>
      <c r="N43" s="19"/>
      <c r="O43" s="19"/>
      <c r="P43" s="19"/>
      <c r="Q43" s="19"/>
      <c r="R43" s="19"/>
      <c r="S43" s="19"/>
      <c r="T43" s="19"/>
    </row>
    <row r="44" spans="1:20" x14ac:dyDescent="0.2">
      <c r="A44" s="4" t="s">
        <v>8</v>
      </c>
      <c r="B44" s="1">
        <v>13</v>
      </c>
      <c r="C44" s="1" t="s">
        <v>9</v>
      </c>
      <c r="D44" s="1">
        <v>2</v>
      </c>
      <c r="E44" s="15">
        <v>63.932000000000002</v>
      </c>
      <c r="F44" s="15">
        <v>5.0289999999999999</v>
      </c>
      <c r="G44" s="16">
        <v>68.805000000000007</v>
      </c>
      <c r="L44" s="19"/>
      <c r="M44" s="19"/>
      <c r="N44" s="19"/>
      <c r="O44" s="19"/>
      <c r="P44" s="19"/>
      <c r="Q44" s="19"/>
      <c r="R44" s="19"/>
      <c r="S44" s="19"/>
      <c r="T44" s="19"/>
    </row>
    <row r="45" spans="1:20" x14ac:dyDescent="0.2">
      <c r="A45" s="4" t="s">
        <v>8</v>
      </c>
      <c r="B45" s="1">
        <v>14</v>
      </c>
      <c r="C45" s="1" t="s">
        <v>9</v>
      </c>
      <c r="D45" s="1">
        <v>3</v>
      </c>
      <c r="E45" s="15">
        <v>59.811</v>
      </c>
      <c r="F45" s="15">
        <v>5.1109999999999998</v>
      </c>
      <c r="G45" s="16">
        <v>64.762</v>
      </c>
    </row>
    <row r="46" spans="1:20" ht="16" thickBot="1" x14ac:dyDescent="0.25">
      <c r="A46" s="5" t="s">
        <v>8</v>
      </c>
      <c r="B46" s="6">
        <v>15</v>
      </c>
      <c r="C46" s="6" t="s">
        <v>9</v>
      </c>
      <c r="D46" s="6">
        <v>4</v>
      </c>
      <c r="E46" s="17">
        <v>62.732999999999997</v>
      </c>
      <c r="F46" s="17">
        <v>5.1479999999999997</v>
      </c>
      <c r="G46" s="18">
        <v>67.715999999999994</v>
      </c>
    </row>
    <row r="47" spans="1:20" x14ac:dyDescent="0.2">
      <c r="A47" s="2" t="s">
        <v>8</v>
      </c>
      <c r="B47" s="3">
        <v>5</v>
      </c>
      <c r="C47" s="3" t="s">
        <v>10</v>
      </c>
      <c r="D47" s="3">
        <v>1</v>
      </c>
      <c r="E47" s="13">
        <v>62.198</v>
      </c>
      <c r="F47" s="13">
        <v>5.0129999999999999</v>
      </c>
      <c r="G47" s="14">
        <v>67.046000000000006</v>
      </c>
    </row>
    <row r="48" spans="1:20" x14ac:dyDescent="0.2">
      <c r="A48" s="4" t="s">
        <v>8</v>
      </c>
      <c r="B48" s="1">
        <v>7</v>
      </c>
      <c r="C48" s="1" t="s">
        <v>10</v>
      </c>
      <c r="D48" s="1">
        <v>2</v>
      </c>
      <c r="E48" s="15">
        <v>64.872</v>
      </c>
      <c r="F48" s="15">
        <v>5.085</v>
      </c>
      <c r="G48" s="16">
        <v>69.787999999999997</v>
      </c>
    </row>
    <row r="49" spans="1:7" x14ac:dyDescent="0.2">
      <c r="A49" s="4" t="s">
        <v>8</v>
      </c>
      <c r="B49" s="1">
        <v>4</v>
      </c>
      <c r="C49" s="1" t="s">
        <v>10</v>
      </c>
      <c r="D49" s="1">
        <v>3</v>
      </c>
      <c r="E49" s="15">
        <v>63.804000000000002</v>
      </c>
      <c r="F49" s="15">
        <v>5.1280000000000001</v>
      </c>
      <c r="G49" s="16">
        <v>68.760000000000005</v>
      </c>
    </row>
    <row r="50" spans="1:7" ht="16" thickBot="1" x14ac:dyDescent="0.25">
      <c r="A50" s="5" t="s">
        <v>8</v>
      </c>
      <c r="B50" s="6">
        <v>15</v>
      </c>
      <c r="C50" s="6" t="s">
        <v>10</v>
      </c>
      <c r="D50" s="6">
        <v>4</v>
      </c>
      <c r="E50" s="17">
        <v>62.734000000000002</v>
      </c>
      <c r="F50" s="17">
        <v>5.0380000000000003</v>
      </c>
      <c r="G50" s="18">
        <v>67.599999999999994</v>
      </c>
    </row>
    <row r="51" spans="1:7" x14ac:dyDescent="0.2">
      <c r="A51" s="2" t="s">
        <v>8</v>
      </c>
      <c r="B51" s="3">
        <v>14</v>
      </c>
      <c r="C51" s="3" t="s">
        <v>11</v>
      </c>
      <c r="D51" s="3">
        <v>1</v>
      </c>
      <c r="E51" s="13">
        <v>59.811</v>
      </c>
      <c r="F51" s="13">
        <v>5.0620000000000003</v>
      </c>
      <c r="G51" s="14">
        <v>64.745999999999995</v>
      </c>
    </row>
    <row r="52" spans="1:7" x14ac:dyDescent="0.2">
      <c r="A52" s="4" t="s">
        <v>8</v>
      </c>
      <c r="B52" s="1">
        <v>6</v>
      </c>
      <c r="C52" s="1" t="s">
        <v>11</v>
      </c>
      <c r="D52" s="1">
        <v>2</v>
      </c>
      <c r="E52" s="15">
        <v>68.066000000000003</v>
      </c>
      <c r="F52" s="15">
        <v>5.0590000000000002</v>
      </c>
      <c r="G52" s="16">
        <v>72.995999999999995</v>
      </c>
    </row>
    <row r="53" spans="1:7" x14ac:dyDescent="0.2">
      <c r="A53" s="4" t="s">
        <v>8</v>
      </c>
      <c r="B53" s="1">
        <v>8</v>
      </c>
      <c r="C53" s="1" t="s">
        <v>11</v>
      </c>
      <c r="D53" s="1">
        <v>3</v>
      </c>
      <c r="E53" s="15">
        <v>65.319000000000003</v>
      </c>
      <c r="F53" s="15">
        <v>5.0599999999999996</v>
      </c>
      <c r="G53" s="16">
        <v>70.248999999999995</v>
      </c>
    </row>
    <row r="54" spans="1:7" ht="16" thickBot="1" x14ac:dyDescent="0.25">
      <c r="A54" s="5" t="s">
        <v>8</v>
      </c>
      <c r="B54" s="6">
        <v>1</v>
      </c>
      <c r="C54" s="6" t="s">
        <v>11</v>
      </c>
      <c r="D54" s="6">
        <v>4</v>
      </c>
      <c r="E54" s="17">
        <v>63.082999999999998</v>
      </c>
      <c r="F54" s="17">
        <v>5.1539999999999999</v>
      </c>
      <c r="G54" s="18">
        <v>68.097999999999999</v>
      </c>
    </row>
    <row r="55" spans="1:7" x14ac:dyDescent="0.2">
      <c r="A55" s="2" t="s">
        <v>8</v>
      </c>
      <c r="B55" s="3">
        <v>3</v>
      </c>
      <c r="C55" s="3" t="s">
        <v>12</v>
      </c>
      <c r="D55" s="3">
        <v>1</v>
      </c>
      <c r="E55" s="13">
        <v>65.75</v>
      </c>
      <c r="F55" s="13">
        <v>5.032</v>
      </c>
      <c r="G55" s="14">
        <v>70.697000000000003</v>
      </c>
    </row>
    <row r="56" spans="1:7" x14ac:dyDescent="0.2">
      <c r="A56" s="4" t="s">
        <v>8</v>
      </c>
      <c r="B56" s="1">
        <v>2</v>
      </c>
      <c r="C56" s="1" t="s">
        <v>12</v>
      </c>
      <c r="D56" s="1">
        <v>2</v>
      </c>
      <c r="E56" s="15">
        <v>64.483999999999995</v>
      </c>
      <c r="F56" s="15">
        <v>5.1130000000000004</v>
      </c>
      <c r="G56" s="16">
        <v>69.513999999999996</v>
      </c>
    </row>
    <row r="57" spans="1:7" x14ac:dyDescent="0.2">
      <c r="A57" s="4" t="s">
        <v>8</v>
      </c>
      <c r="B57" s="1">
        <v>10</v>
      </c>
      <c r="C57" s="1" t="s">
        <v>12</v>
      </c>
      <c r="D57" s="1">
        <v>3</v>
      </c>
      <c r="E57" s="15">
        <v>58.268000000000001</v>
      </c>
      <c r="F57" s="15">
        <v>5.1029999999999998</v>
      </c>
      <c r="G57" s="16">
        <v>63.279000000000003</v>
      </c>
    </row>
    <row r="58" spans="1:7" ht="16" thickBot="1" x14ac:dyDescent="0.25">
      <c r="A58" s="5" t="s">
        <v>8</v>
      </c>
      <c r="B58" s="6">
        <v>13</v>
      </c>
      <c r="C58" s="6" t="s">
        <v>12</v>
      </c>
      <c r="D58" s="6">
        <v>4</v>
      </c>
      <c r="E58" s="17">
        <v>63.933</v>
      </c>
      <c r="F58" s="17">
        <v>5.008</v>
      </c>
      <c r="G58" s="18">
        <v>68.850999999999999</v>
      </c>
    </row>
    <row r="59" spans="1:7" x14ac:dyDescent="0.2">
      <c r="A59" s="2" t="s">
        <v>8</v>
      </c>
      <c r="B59" s="3">
        <v>7</v>
      </c>
      <c r="C59" s="3" t="s">
        <v>13</v>
      </c>
      <c r="D59" s="3">
        <v>1</v>
      </c>
      <c r="E59" s="13">
        <v>64.873000000000005</v>
      </c>
      <c r="F59" s="13">
        <v>5.0279999999999996</v>
      </c>
      <c r="G59" s="14">
        <v>69.828000000000003</v>
      </c>
    </row>
    <row r="60" spans="1:7" x14ac:dyDescent="0.2">
      <c r="A60" s="4" t="s">
        <v>8</v>
      </c>
      <c r="B60" s="1">
        <v>14</v>
      </c>
      <c r="C60" s="1" t="s">
        <v>13</v>
      </c>
      <c r="D60" s="1">
        <v>2</v>
      </c>
      <c r="E60" s="15">
        <v>59.811</v>
      </c>
      <c r="F60" s="15">
        <v>5.0250000000000004</v>
      </c>
      <c r="G60" s="16">
        <v>64.763000000000005</v>
      </c>
    </row>
    <row r="61" spans="1:7" x14ac:dyDescent="0.2">
      <c r="A61" s="4" t="s">
        <v>8</v>
      </c>
      <c r="B61" s="1">
        <v>6</v>
      </c>
      <c r="C61" s="1" t="s">
        <v>13</v>
      </c>
      <c r="D61" s="1">
        <v>3</v>
      </c>
      <c r="E61" s="15">
        <v>68.066999999999993</v>
      </c>
      <c r="F61" s="15">
        <v>5.0179999999999998</v>
      </c>
      <c r="G61" s="16">
        <v>73.004999999999995</v>
      </c>
    </row>
    <row r="62" spans="1:7" ht="16" thickBot="1" x14ac:dyDescent="0.25">
      <c r="A62" s="5" t="s">
        <v>8</v>
      </c>
      <c r="B62" s="6">
        <v>5</v>
      </c>
      <c r="C62" s="6" t="s">
        <v>13</v>
      </c>
      <c r="D62" s="6">
        <v>4</v>
      </c>
      <c r="E62" s="17">
        <v>62.198</v>
      </c>
      <c r="F62" s="17">
        <v>5.0990000000000002</v>
      </c>
      <c r="G62" s="18">
        <v>67.22</v>
      </c>
    </row>
    <row r="63" spans="1:7" x14ac:dyDescent="0.2">
      <c r="A63" s="2" t="s">
        <v>8</v>
      </c>
      <c r="B63" s="3">
        <v>15</v>
      </c>
      <c r="C63" s="3" t="s">
        <v>14</v>
      </c>
      <c r="D63" s="3">
        <v>1</v>
      </c>
      <c r="E63" s="13">
        <v>62.732999999999997</v>
      </c>
      <c r="F63" s="13">
        <v>5.0369999999999999</v>
      </c>
      <c r="G63" s="14">
        <v>67.703999999999994</v>
      </c>
    </row>
    <row r="64" spans="1:7" x14ac:dyDescent="0.2">
      <c r="A64" s="4" t="s">
        <v>8</v>
      </c>
      <c r="B64" s="1">
        <v>2</v>
      </c>
      <c r="C64" s="1" t="s">
        <v>14</v>
      </c>
      <c r="D64" s="1">
        <v>2</v>
      </c>
      <c r="E64" s="15">
        <v>64.483999999999995</v>
      </c>
      <c r="F64" s="15">
        <v>5.05</v>
      </c>
      <c r="G64" s="16">
        <v>69.466999999999999</v>
      </c>
    </row>
    <row r="65" spans="1:7" x14ac:dyDescent="0.2">
      <c r="A65" s="4" t="s">
        <v>8</v>
      </c>
      <c r="B65" s="1">
        <v>1</v>
      </c>
      <c r="C65" s="1" t="s">
        <v>14</v>
      </c>
      <c r="D65" s="1">
        <v>3</v>
      </c>
      <c r="E65" s="15">
        <v>63.082999999999998</v>
      </c>
      <c r="F65" s="15">
        <v>5.1159999999999997</v>
      </c>
      <c r="G65" s="16">
        <v>68.123999999999995</v>
      </c>
    </row>
    <row r="66" spans="1:7" ht="16" thickBot="1" x14ac:dyDescent="0.25">
      <c r="A66" s="5" t="s">
        <v>8</v>
      </c>
      <c r="B66" s="6">
        <v>13</v>
      </c>
      <c r="C66" s="6" t="s">
        <v>14</v>
      </c>
      <c r="D66" s="6">
        <v>4</v>
      </c>
      <c r="E66" s="17">
        <v>63.932000000000002</v>
      </c>
      <c r="F66" s="17">
        <v>5.0140000000000002</v>
      </c>
      <c r="G66" s="18">
        <v>68.873999999999995</v>
      </c>
    </row>
    <row r="67" spans="1:7" x14ac:dyDescent="0.2">
      <c r="A67" s="2" t="s">
        <v>8</v>
      </c>
      <c r="B67" s="3">
        <v>8</v>
      </c>
      <c r="C67" s="3" t="s">
        <v>15</v>
      </c>
      <c r="D67" s="3">
        <v>1</v>
      </c>
      <c r="E67" s="13">
        <v>65.317999999999998</v>
      </c>
      <c r="F67" s="13">
        <v>5.077</v>
      </c>
      <c r="G67" s="14">
        <v>70.331000000000003</v>
      </c>
    </row>
    <row r="68" spans="1:7" x14ac:dyDescent="0.2">
      <c r="A68" s="4" t="s">
        <v>8</v>
      </c>
      <c r="B68" s="1">
        <v>4</v>
      </c>
      <c r="C68" s="1" t="s">
        <v>15</v>
      </c>
      <c r="D68" s="1">
        <v>2</v>
      </c>
      <c r="E68" s="15">
        <v>63.804000000000002</v>
      </c>
      <c r="F68" s="15">
        <v>5.056</v>
      </c>
      <c r="G68" s="16">
        <v>68.793000000000006</v>
      </c>
    </row>
    <row r="69" spans="1:7" x14ac:dyDescent="0.2">
      <c r="A69" s="4" t="s">
        <v>8</v>
      </c>
      <c r="B69" s="1">
        <v>3</v>
      </c>
      <c r="C69" s="1" t="s">
        <v>15</v>
      </c>
      <c r="D69" s="1">
        <v>3</v>
      </c>
      <c r="E69" s="15">
        <v>65.748000000000005</v>
      </c>
      <c r="F69" s="15">
        <v>5.1260000000000003</v>
      </c>
      <c r="G69" s="16">
        <v>70.805000000000007</v>
      </c>
    </row>
    <row r="70" spans="1:7" ht="16" thickBot="1" x14ac:dyDescent="0.25">
      <c r="A70" s="5" t="s">
        <v>8</v>
      </c>
      <c r="B70" s="6">
        <v>10</v>
      </c>
      <c r="C70" s="6" t="s">
        <v>15</v>
      </c>
      <c r="D70" s="6">
        <v>4</v>
      </c>
      <c r="E70" s="17">
        <v>58.267000000000003</v>
      </c>
      <c r="F70" s="17">
        <v>5.1150000000000002</v>
      </c>
      <c r="G70" s="18">
        <v>63.311999999999998</v>
      </c>
    </row>
    <row r="71" spans="1:7" x14ac:dyDescent="0.2">
      <c r="A71" s="2" t="s">
        <v>8</v>
      </c>
      <c r="B71" s="3">
        <v>1</v>
      </c>
      <c r="C71" s="3" t="s">
        <v>16</v>
      </c>
      <c r="D71" s="3">
        <v>1</v>
      </c>
      <c r="E71" s="13">
        <v>63.084000000000003</v>
      </c>
      <c r="F71" s="13">
        <v>5.0149999999999997</v>
      </c>
      <c r="G71" s="14">
        <v>68.054000000000002</v>
      </c>
    </row>
    <row r="72" spans="1:7" x14ac:dyDescent="0.2">
      <c r="A72" s="4" t="s">
        <v>8</v>
      </c>
      <c r="B72" s="1">
        <v>5</v>
      </c>
      <c r="C72" s="1" t="s">
        <v>16</v>
      </c>
      <c r="D72" s="1">
        <v>2</v>
      </c>
      <c r="E72" s="15">
        <v>62.198999999999998</v>
      </c>
      <c r="F72" s="15">
        <v>5.0179999999999998</v>
      </c>
      <c r="G72" s="16">
        <v>67.171000000000006</v>
      </c>
    </row>
    <row r="73" spans="1:7" x14ac:dyDescent="0.2">
      <c r="A73" s="4" t="s">
        <v>8</v>
      </c>
      <c r="B73" s="1">
        <v>4</v>
      </c>
      <c r="C73" s="1" t="s">
        <v>16</v>
      </c>
      <c r="D73" s="1">
        <v>3</v>
      </c>
      <c r="E73" s="15">
        <v>63.802999999999997</v>
      </c>
      <c r="F73" s="15">
        <v>5.0339999999999998</v>
      </c>
      <c r="G73" s="16">
        <v>68.790000000000006</v>
      </c>
    </row>
    <row r="74" spans="1:7" ht="16" thickBot="1" x14ac:dyDescent="0.25">
      <c r="A74" s="5" t="s">
        <v>8</v>
      </c>
      <c r="B74" s="6">
        <v>7</v>
      </c>
      <c r="C74" s="6" t="s">
        <v>16</v>
      </c>
      <c r="D74" s="6">
        <v>4</v>
      </c>
      <c r="E74" s="17">
        <v>64.873000000000005</v>
      </c>
      <c r="F74" s="17">
        <v>5.133</v>
      </c>
      <c r="G74" s="18">
        <v>69.954999999999998</v>
      </c>
    </row>
    <row r="75" spans="1:7" x14ac:dyDescent="0.2">
      <c r="A75" s="2" t="s">
        <v>8</v>
      </c>
      <c r="B75" s="3">
        <v>3</v>
      </c>
      <c r="C75" s="3" t="s">
        <v>17</v>
      </c>
      <c r="D75" s="3">
        <v>1</v>
      </c>
      <c r="E75" s="13">
        <v>65.75</v>
      </c>
      <c r="F75" s="13">
        <v>5.0170000000000003</v>
      </c>
      <c r="G75" s="14">
        <v>70.731999999999999</v>
      </c>
    </row>
    <row r="76" spans="1:7" x14ac:dyDescent="0.2">
      <c r="A76" s="4" t="s">
        <v>8</v>
      </c>
      <c r="B76" s="1">
        <v>8</v>
      </c>
      <c r="C76" s="1" t="s">
        <v>17</v>
      </c>
      <c r="D76" s="1">
        <v>2</v>
      </c>
      <c r="E76" s="15">
        <v>65.317999999999998</v>
      </c>
      <c r="F76" s="15">
        <v>5.0410000000000004</v>
      </c>
      <c r="G76" s="16">
        <v>70.322999999999993</v>
      </c>
    </row>
    <row r="77" spans="1:7" x14ac:dyDescent="0.2">
      <c r="A77" s="4" t="s">
        <v>8</v>
      </c>
      <c r="B77" s="1">
        <v>13</v>
      </c>
      <c r="C77" s="1" t="s">
        <v>17</v>
      </c>
      <c r="D77" s="1">
        <v>3</v>
      </c>
      <c r="E77" s="15">
        <v>63.932000000000002</v>
      </c>
      <c r="F77" s="15">
        <v>5</v>
      </c>
      <c r="G77" s="16">
        <v>68.897000000000006</v>
      </c>
    </row>
    <row r="78" spans="1:7" ht="16" thickBot="1" x14ac:dyDescent="0.25">
      <c r="A78" s="5" t="s">
        <v>8</v>
      </c>
      <c r="B78" s="6">
        <v>10</v>
      </c>
      <c r="C78" s="6" t="s">
        <v>17</v>
      </c>
      <c r="D78" s="6">
        <v>4</v>
      </c>
      <c r="E78" s="17">
        <v>58.268000000000001</v>
      </c>
      <c r="F78" s="17">
        <v>5.085</v>
      </c>
      <c r="G78" s="18">
        <v>63.314</v>
      </c>
    </row>
    <row r="79" spans="1:7" x14ac:dyDescent="0.2">
      <c r="A79" s="2" t="s">
        <v>8</v>
      </c>
      <c r="B79" s="3">
        <v>6</v>
      </c>
      <c r="C79" s="3" t="s">
        <v>18</v>
      </c>
      <c r="D79" s="3">
        <v>1</v>
      </c>
      <c r="E79" s="13">
        <v>68.066999999999993</v>
      </c>
      <c r="F79" s="13">
        <v>5.0419999999999998</v>
      </c>
      <c r="G79" s="14">
        <v>73.073999999999998</v>
      </c>
    </row>
    <row r="80" spans="1:7" x14ac:dyDescent="0.2">
      <c r="A80" s="4" t="s">
        <v>8</v>
      </c>
      <c r="B80" s="1">
        <v>2</v>
      </c>
      <c r="C80" s="1" t="s">
        <v>18</v>
      </c>
      <c r="D80" s="1">
        <v>2</v>
      </c>
      <c r="E80" s="15">
        <v>64.483999999999995</v>
      </c>
      <c r="F80" s="15">
        <v>5.016</v>
      </c>
      <c r="G80" s="16">
        <v>69.468000000000004</v>
      </c>
    </row>
    <row r="81" spans="1:7" x14ac:dyDescent="0.2">
      <c r="A81" s="4" t="s">
        <v>8</v>
      </c>
      <c r="B81" s="1">
        <v>14</v>
      </c>
      <c r="C81" s="1" t="s">
        <v>18</v>
      </c>
      <c r="D81" s="1">
        <v>3</v>
      </c>
      <c r="E81" s="15">
        <v>59.811</v>
      </c>
      <c r="F81" s="15">
        <v>5.024</v>
      </c>
      <c r="G81" s="16">
        <v>64.798000000000002</v>
      </c>
    </row>
    <row r="82" spans="1:7" ht="16" thickBot="1" x14ac:dyDescent="0.25">
      <c r="A82" s="5" t="s">
        <v>8</v>
      </c>
      <c r="B82" s="6">
        <v>15</v>
      </c>
      <c r="C82" s="6" t="s">
        <v>18</v>
      </c>
      <c r="D82" s="6">
        <v>4</v>
      </c>
      <c r="E82" s="17">
        <v>62.734000000000002</v>
      </c>
      <c r="F82" s="17">
        <v>5.0830000000000002</v>
      </c>
      <c r="G82" s="18">
        <v>67.775999999999996</v>
      </c>
    </row>
    <row r="83" spans="1:7" x14ac:dyDescent="0.2">
      <c r="A83" s="2" t="s">
        <v>8</v>
      </c>
      <c r="B83" s="3">
        <v>1</v>
      </c>
      <c r="C83" s="3" t="s">
        <v>19</v>
      </c>
      <c r="D83" s="3">
        <v>1</v>
      </c>
      <c r="E83" s="13">
        <v>63.082999999999998</v>
      </c>
      <c r="F83" s="13">
        <v>5.0919999999999996</v>
      </c>
      <c r="G83" s="14">
        <v>68.14</v>
      </c>
    </row>
    <row r="84" spans="1:7" x14ac:dyDescent="0.2">
      <c r="A84" s="4" t="s">
        <v>8</v>
      </c>
      <c r="B84" s="1">
        <v>7</v>
      </c>
      <c r="C84" s="1" t="s">
        <v>19</v>
      </c>
      <c r="D84" s="1">
        <v>2</v>
      </c>
      <c r="E84" s="15">
        <v>64.873999999999995</v>
      </c>
      <c r="F84" s="15">
        <v>5.0339999999999998</v>
      </c>
      <c r="G84" s="16">
        <v>69.872</v>
      </c>
    </row>
    <row r="85" spans="1:7" x14ac:dyDescent="0.2">
      <c r="A85" s="4" t="s">
        <v>8</v>
      </c>
      <c r="B85" s="1">
        <v>10</v>
      </c>
      <c r="C85" s="1" t="s">
        <v>19</v>
      </c>
      <c r="D85" s="1">
        <v>3</v>
      </c>
      <c r="E85" s="15">
        <v>58.264000000000003</v>
      </c>
      <c r="F85" s="15">
        <v>5.0369999999999999</v>
      </c>
      <c r="G85" s="16">
        <v>63.267000000000003</v>
      </c>
    </row>
    <row r="86" spans="1:7" ht="16" thickBot="1" x14ac:dyDescent="0.25">
      <c r="A86" s="5" t="s">
        <v>8</v>
      </c>
      <c r="B86" s="6">
        <v>14</v>
      </c>
      <c r="C86" s="6" t="s">
        <v>19</v>
      </c>
      <c r="D86" s="6">
        <v>4</v>
      </c>
      <c r="E86" s="17">
        <v>59.81</v>
      </c>
      <c r="F86" s="17">
        <v>5.0350000000000001</v>
      </c>
      <c r="G86" s="18">
        <v>64.808999999999997</v>
      </c>
    </row>
    <row r="87" spans="1:7" x14ac:dyDescent="0.2">
      <c r="A87" s="8" t="s">
        <v>20</v>
      </c>
      <c r="B87" s="3">
        <v>14</v>
      </c>
      <c r="C87" s="3" t="s">
        <v>9</v>
      </c>
      <c r="D87" s="3">
        <v>1</v>
      </c>
      <c r="E87" s="13">
        <v>59.811</v>
      </c>
      <c r="F87" s="13">
        <v>5.0490000000000004</v>
      </c>
      <c r="G87" s="14">
        <v>64.742000000000004</v>
      </c>
    </row>
    <row r="88" spans="1:7" x14ac:dyDescent="0.2">
      <c r="A88" s="4" t="s">
        <v>20</v>
      </c>
      <c r="B88" s="1">
        <v>1</v>
      </c>
      <c r="C88" s="1" t="s">
        <v>9</v>
      </c>
      <c r="D88" s="1">
        <v>2</v>
      </c>
      <c r="E88" s="15">
        <v>63.082999999999998</v>
      </c>
      <c r="F88" s="15">
        <v>5.0599999999999996</v>
      </c>
      <c r="G88" s="16">
        <v>68.024000000000001</v>
      </c>
    </row>
    <row r="89" spans="1:7" x14ac:dyDescent="0.2">
      <c r="A89" s="4" t="s">
        <v>20</v>
      </c>
      <c r="B89" s="1">
        <v>3</v>
      </c>
      <c r="C89" s="1" t="s">
        <v>9</v>
      </c>
      <c r="D89" s="1">
        <v>3</v>
      </c>
      <c r="E89" s="15">
        <v>65.748999999999995</v>
      </c>
      <c r="F89" s="15">
        <v>5.0750000000000002</v>
      </c>
      <c r="G89" s="16">
        <v>70.700999999999993</v>
      </c>
    </row>
    <row r="90" spans="1:7" ht="16" thickBot="1" x14ac:dyDescent="0.25">
      <c r="A90" s="5" t="s">
        <v>20</v>
      </c>
      <c r="B90" s="6">
        <v>10</v>
      </c>
      <c r="C90" s="6" t="s">
        <v>9</v>
      </c>
      <c r="D90" s="6">
        <v>4</v>
      </c>
      <c r="E90" s="17">
        <v>58.268000000000001</v>
      </c>
      <c r="F90" s="17">
        <v>5.0519999999999996</v>
      </c>
      <c r="G90" s="18">
        <v>63.191000000000003</v>
      </c>
    </row>
    <row r="91" spans="1:7" x14ac:dyDescent="0.2">
      <c r="A91" s="2" t="s">
        <v>20</v>
      </c>
      <c r="B91" s="3">
        <v>15</v>
      </c>
      <c r="C91" s="3" t="s">
        <v>10</v>
      </c>
      <c r="D91" s="3">
        <v>1</v>
      </c>
      <c r="E91" s="13">
        <v>62.734000000000002</v>
      </c>
      <c r="F91" s="13">
        <v>5.0019999999999998</v>
      </c>
      <c r="G91" s="14">
        <v>67.620999999999995</v>
      </c>
    </row>
    <row r="92" spans="1:7" x14ac:dyDescent="0.2">
      <c r="A92" s="4" t="s">
        <v>20</v>
      </c>
      <c r="B92" s="1">
        <v>13</v>
      </c>
      <c r="C92" s="1" t="s">
        <v>10</v>
      </c>
      <c r="D92" s="1">
        <v>2</v>
      </c>
      <c r="E92" s="15">
        <v>63.933</v>
      </c>
      <c r="F92" s="15">
        <v>5.0250000000000004</v>
      </c>
      <c r="G92" s="16">
        <v>68.832999999999998</v>
      </c>
    </row>
    <row r="93" spans="1:7" x14ac:dyDescent="0.2">
      <c r="A93" s="4" t="s">
        <v>20</v>
      </c>
      <c r="B93" s="1">
        <v>7</v>
      </c>
      <c r="C93" s="1" t="s">
        <v>10</v>
      </c>
      <c r="D93" s="1">
        <v>3</v>
      </c>
      <c r="E93" s="15">
        <v>64.872</v>
      </c>
      <c r="F93" s="15">
        <v>5.0460000000000003</v>
      </c>
      <c r="G93" s="16">
        <v>69.798000000000002</v>
      </c>
    </row>
    <row r="94" spans="1:7" ht="16" thickBot="1" x14ac:dyDescent="0.25">
      <c r="A94" s="5" t="s">
        <v>20</v>
      </c>
      <c r="B94" s="6">
        <v>4</v>
      </c>
      <c r="C94" s="6" t="s">
        <v>10</v>
      </c>
      <c r="D94" s="6">
        <v>4</v>
      </c>
      <c r="E94" s="17">
        <v>63.804000000000002</v>
      </c>
      <c r="F94" s="17">
        <v>5.1609999999999996</v>
      </c>
      <c r="G94" s="18">
        <v>68.834999999999994</v>
      </c>
    </row>
    <row r="95" spans="1:7" x14ac:dyDescent="0.2">
      <c r="A95" s="2" t="s">
        <v>20</v>
      </c>
      <c r="B95" s="3">
        <v>2</v>
      </c>
      <c r="C95" s="3" t="s">
        <v>11</v>
      </c>
      <c r="D95" s="3">
        <v>1</v>
      </c>
      <c r="E95" s="13">
        <v>64.483999999999995</v>
      </c>
      <c r="F95" s="13">
        <v>5.0869999999999997</v>
      </c>
      <c r="G95" s="14">
        <v>69.478999999999999</v>
      </c>
    </row>
    <row r="96" spans="1:7" x14ac:dyDescent="0.2">
      <c r="A96" s="4" t="s">
        <v>20</v>
      </c>
      <c r="B96" s="1">
        <v>6</v>
      </c>
      <c r="C96" s="1" t="s">
        <v>11</v>
      </c>
      <c r="D96" s="1">
        <v>2</v>
      </c>
      <c r="E96" s="15">
        <v>68.066999999999993</v>
      </c>
      <c r="F96" s="15">
        <v>5.0220000000000002</v>
      </c>
      <c r="G96" s="16">
        <v>72.992000000000004</v>
      </c>
    </row>
    <row r="97" spans="1:7" x14ac:dyDescent="0.2">
      <c r="A97" s="4" t="s">
        <v>20</v>
      </c>
      <c r="B97" s="1">
        <v>8</v>
      </c>
      <c r="C97" s="1" t="s">
        <v>11</v>
      </c>
      <c r="D97" s="1">
        <v>3</v>
      </c>
      <c r="E97" s="15">
        <v>65.316999999999993</v>
      </c>
      <c r="F97" s="15">
        <v>5.0970000000000004</v>
      </c>
      <c r="G97" s="16">
        <v>70.308000000000007</v>
      </c>
    </row>
    <row r="98" spans="1:7" ht="16" thickBot="1" x14ac:dyDescent="0.25">
      <c r="A98" s="5" t="s">
        <v>20</v>
      </c>
      <c r="B98" s="6">
        <v>5</v>
      </c>
      <c r="C98" s="6" t="s">
        <v>11</v>
      </c>
      <c r="D98" s="6">
        <v>4</v>
      </c>
      <c r="E98" s="17">
        <v>62.198999999999998</v>
      </c>
      <c r="F98" s="17">
        <v>5.0209999999999999</v>
      </c>
      <c r="G98" s="18">
        <v>67.111000000000004</v>
      </c>
    </row>
    <row r="99" spans="1:7" x14ac:dyDescent="0.2">
      <c r="A99" s="2" t="s">
        <v>20</v>
      </c>
      <c r="B99" s="3">
        <v>6</v>
      </c>
      <c r="C99" s="3" t="s">
        <v>12</v>
      </c>
      <c r="D99" s="3">
        <v>1</v>
      </c>
      <c r="E99" s="13">
        <v>68.066000000000003</v>
      </c>
      <c r="F99" s="13">
        <v>5.016</v>
      </c>
      <c r="G99" s="14">
        <v>72.989999999999995</v>
      </c>
    </row>
    <row r="100" spans="1:7" x14ac:dyDescent="0.2">
      <c r="A100" s="4" t="s">
        <v>20</v>
      </c>
      <c r="B100" s="1">
        <v>3</v>
      </c>
      <c r="C100" s="1" t="s">
        <v>12</v>
      </c>
      <c r="D100" s="1">
        <v>2</v>
      </c>
      <c r="E100" s="15">
        <v>65.75</v>
      </c>
      <c r="F100" s="15">
        <v>5.0259999999999998</v>
      </c>
      <c r="G100" s="16">
        <v>70.679000000000002</v>
      </c>
    </row>
    <row r="101" spans="1:7" x14ac:dyDescent="0.2">
      <c r="A101" s="4" t="s">
        <v>20</v>
      </c>
      <c r="B101" s="1">
        <v>13</v>
      </c>
      <c r="C101" s="1" t="s">
        <v>12</v>
      </c>
      <c r="D101" s="1">
        <v>3</v>
      </c>
      <c r="E101" s="15">
        <v>63.932000000000002</v>
      </c>
      <c r="F101" s="15">
        <v>5.0190000000000001</v>
      </c>
      <c r="G101" s="16">
        <v>68.853999999999999</v>
      </c>
    </row>
    <row r="102" spans="1:7" ht="16" thickBot="1" x14ac:dyDescent="0.25">
      <c r="A102" s="5" t="s">
        <v>20</v>
      </c>
      <c r="B102" s="6">
        <v>2</v>
      </c>
      <c r="C102" s="6" t="s">
        <v>12</v>
      </c>
      <c r="D102" s="6">
        <v>4</v>
      </c>
      <c r="E102" s="17">
        <v>64.483999999999995</v>
      </c>
      <c r="F102" s="17">
        <v>5.0549999999999997</v>
      </c>
      <c r="G102" s="18">
        <v>69.438999999999993</v>
      </c>
    </row>
    <row r="103" spans="1:7" x14ac:dyDescent="0.2">
      <c r="A103" s="2" t="s">
        <v>20</v>
      </c>
      <c r="B103" s="3">
        <v>4</v>
      </c>
      <c r="C103" s="3" t="s">
        <v>13</v>
      </c>
      <c r="D103" s="3">
        <v>1</v>
      </c>
      <c r="E103" s="13">
        <v>63.802999999999997</v>
      </c>
      <c r="F103" s="13">
        <v>5.016</v>
      </c>
      <c r="G103" s="14">
        <v>68.733999999999995</v>
      </c>
    </row>
    <row r="104" spans="1:7" x14ac:dyDescent="0.2">
      <c r="A104" s="4" t="s">
        <v>20</v>
      </c>
      <c r="B104" s="1">
        <v>15</v>
      </c>
      <c r="C104" s="1" t="s">
        <v>13</v>
      </c>
      <c r="D104" s="1">
        <v>2</v>
      </c>
      <c r="E104" s="15">
        <v>62.734000000000002</v>
      </c>
      <c r="F104" s="15">
        <v>5.0149999999999997</v>
      </c>
      <c r="G104" s="16">
        <v>67.661000000000001</v>
      </c>
    </row>
    <row r="105" spans="1:7" x14ac:dyDescent="0.2">
      <c r="A105" s="4" t="s">
        <v>20</v>
      </c>
      <c r="B105" s="1">
        <v>8</v>
      </c>
      <c r="C105" s="1" t="s">
        <v>13</v>
      </c>
      <c r="D105" s="1">
        <v>3</v>
      </c>
      <c r="E105" s="15">
        <v>65.317999999999998</v>
      </c>
      <c r="F105" s="15">
        <v>5.0410000000000004</v>
      </c>
      <c r="G105" s="16">
        <v>70.271000000000001</v>
      </c>
    </row>
    <row r="106" spans="1:7" ht="16" thickBot="1" x14ac:dyDescent="0.25">
      <c r="A106" s="5" t="s">
        <v>20</v>
      </c>
      <c r="B106" s="6">
        <v>5</v>
      </c>
      <c r="C106" s="6" t="s">
        <v>13</v>
      </c>
      <c r="D106" s="6">
        <v>4</v>
      </c>
      <c r="E106" s="17">
        <v>62.198</v>
      </c>
      <c r="F106" s="17">
        <v>5.0039999999999996</v>
      </c>
      <c r="G106" s="18">
        <v>67.111999999999995</v>
      </c>
    </row>
    <row r="107" spans="1:7" x14ac:dyDescent="0.2">
      <c r="A107" s="2" t="s">
        <v>20</v>
      </c>
      <c r="B107" s="3">
        <v>15</v>
      </c>
      <c r="C107" s="3" t="s">
        <v>14</v>
      </c>
      <c r="D107" s="3">
        <v>1</v>
      </c>
      <c r="E107" s="13">
        <v>62.732999999999997</v>
      </c>
      <c r="F107" s="13">
        <v>5.0209999999999999</v>
      </c>
      <c r="G107" s="14">
        <v>67.673000000000002</v>
      </c>
    </row>
    <row r="108" spans="1:7" x14ac:dyDescent="0.2">
      <c r="A108" s="4" t="s">
        <v>20</v>
      </c>
      <c r="B108" s="1">
        <v>6</v>
      </c>
      <c r="C108" s="1" t="s">
        <v>14</v>
      </c>
      <c r="D108" s="1">
        <v>2</v>
      </c>
      <c r="E108" s="15">
        <v>68.066000000000003</v>
      </c>
      <c r="F108" s="15">
        <v>5.0199999999999996</v>
      </c>
      <c r="G108" s="16">
        <v>73.006</v>
      </c>
    </row>
    <row r="109" spans="1:7" x14ac:dyDescent="0.2">
      <c r="A109" s="4" t="s">
        <v>20</v>
      </c>
      <c r="B109" s="1">
        <v>5</v>
      </c>
      <c r="C109" s="1" t="s">
        <v>14</v>
      </c>
      <c r="D109" s="1">
        <v>3</v>
      </c>
      <c r="E109" s="15">
        <v>62.198</v>
      </c>
      <c r="F109" s="15">
        <v>5.0209999999999999</v>
      </c>
      <c r="G109" s="16">
        <v>67.135999999999996</v>
      </c>
    </row>
    <row r="110" spans="1:7" ht="16" thickBot="1" x14ac:dyDescent="0.25">
      <c r="A110" s="5" t="s">
        <v>20</v>
      </c>
      <c r="B110" s="6">
        <v>10</v>
      </c>
      <c r="C110" s="6" t="s">
        <v>14</v>
      </c>
      <c r="D110" s="6">
        <v>4</v>
      </c>
      <c r="E110" s="17">
        <v>58.267000000000003</v>
      </c>
      <c r="F110" s="17">
        <v>5.0129999999999999</v>
      </c>
      <c r="G110" s="18">
        <v>63.197000000000003</v>
      </c>
    </row>
    <row r="111" spans="1:7" x14ac:dyDescent="0.2">
      <c r="A111" s="2" t="s">
        <v>20</v>
      </c>
      <c r="B111" s="3">
        <v>13</v>
      </c>
      <c r="C111" s="3" t="s">
        <v>15</v>
      </c>
      <c r="D111" s="3">
        <v>1</v>
      </c>
      <c r="E111" s="13">
        <v>63.932000000000002</v>
      </c>
      <c r="F111" s="13">
        <v>5.0039999999999996</v>
      </c>
      <c r="G111" s="14">
        <v>68.867999999999995</v>
      </c>
    </row>
    <row r="112" spans="1:7" x14ac:dyDescent="0.2">
      <c r="A112" s="4" t="s">
        <v>20</v>
      </c>
      <c r="B112" s="1">
        <v>4</v>
      </c>
      <c r="C112" s="1" t="s">
        <v>15</v>
      </c>
      <c r="D112" s="1">
        <v>2</v>
      </c>
      <c r="E112" s="15">
        <v>63.802999999999997</v>
      </c>
      <c r="F112" s="15">
        <v>5.0529999999999999</v>
      </c>
      <c r="G112" s="16">
        <v>68.790999999999997</v>
      </c>
    </row>
    <row r="113" spans="1:7" x14ac:dyDescent="0.2">
      <c r="A113" s="4" t="s">
        <v>20</v>
      </c>
      <c r="B113" s="1">
        <v>8</v>
      </c>
      <c r="C113" s="1" t="s">
        <v>15</v>
      </c>
      <c r="D113" s="1">
        <v>3</v>
      </c>
      <c r="E113" s="15">
        <v>65.316999999999993</v>
      </c>
      <c r="F113" s="15">
        <v>5.05</v>
      </c>
      <c r="G113" s="16">
        <v>70.299000000000007</v>
      </c>
    </row>
    <row r="114" spans="1:7" ht="16" thickBot="1" x14ac:dyDescent="0.25">
      <c r="A114" s="5" t="s">
        <v>20</v>
      </c>
      <c r="B114" s="6">
        <v>2</v>
      </c>
      <c r="C114" s="6" t="s">
        <v>15</v>
      </c>
      <c r="D114" s="6">
        <v>4</v>
      </c>
      <c r="E114" s="17">
        <v>64.483999999999995</v>
      </c>
      <c r="F114" s="17">
        <v>5.0339999999999998</v>
      </c>
      <c r="G114" s="18">
        <v>69.45</v>
      </c>
    </row>
    <row r="115" spans="1:7" x14ac:dyDescent="0.2">
      <c r="A115" s="2" t="s">
        <v>20</v>
      </c>
      <c r="B115" s="3">
        <v>1</v>
      </c>
      <c r="C115" s="3" t="s">
        <v>16</v>
      </c>
      <c r="D115" s="3">
        <v>1</v>
      </c>
      <c r="E115" s="13">
        <v>63.081000000000003</v>
      </c>
      <c r="F115" s="13">
        <v>5.0060000000000002</v>
      </c>
      <c r="G115" s="14">
        <v>68.031000000000006</v>
      </c>
    </row>
    <row r="116" spans="1:7" x14ac:dyDescent="0.2">
      <c r="A116" s="4" t="s">
        <v>20</v>
      </c>
      <c r="B116" s="1">
        <v>14</v>
      </c>
      <c r="C116" s="1" t="s">
        <v>16</v>
      </c>
      <c r="D116" s="1">
        <v>2</v>
      </c>
      <c r="E116" s="15">
        <v>59.81</v>
      </c>
      <c r="F116" s="15">
        <v>5.0220000000000002</v>
      </c>
      <c r="G116" s="16">
        <v>64.771000000000001</v>
      </c>
    </row>
    <row r="117" spans="1:7" x14ac:dyDescent="0.2">
      <c r="A117" s="4" t="s">
        <v>20</v>
      </c>
      <c r="B117" s="1">
        <v>3</v>
      </c>
      <c r="C117" s="1" t="s">
        <v>16</v>
      </c>
      <c r="D117" s="1">
        <v>3</v>
      </c>
      <c r="E117" s="15">
        <v>65.748999999999995</v>
      </c>
      <c r="F117" s="15">
        <v>5.0229999999999997</v>
      </c>
      <c r="G117" s="16">
        <v>70.710999999999999</v>
      </c>
    </row>
    <row r="118" spans="1:7" ht="16" thickBot="1" x14ac:dyDescent="0.25">
      <c r="A118" s="5" t="s">
        <v>20</v>
      </c>
      <c r="B118" s="6">
        <v>7</v>
      </c>
      <c r="C118" s="6" t="s">
        <v>16</v>
      </c>
      <c r="D118" s="6">
        <v>4</v>
      </c>
      <c r="E118" s="17">
        <v>64.872</v>
      </c>
      <c r="F118" s="17">
        <v>5.0670000000000002</v>
      </c>
      <c r="G118" s="18">
        <v>69.873000000000005</v>
      </c>
    </row>
    <row r="119" spans="1:7" x14ac:dyDescent="0.2">
      <c r="A119" s="2" t="s">
        <v>20</v>
      </c>
      <c r="B119" s="3">
        <v>13</v>
      </c>
      <c r="C119" s="3" t="s">
        <v>17</v>
      </c>
      <c r="D119" s="3">
        <v>1</v>
      </c>
      <c r="E119" s="13">
        <v>63.933</v>
      </c>
      <c r="F119" s="13">
        <v>5.0880000000000001</v>
      </c>
      <c r="G119" s="14">
        <v>68.968000000000004</v>
      </c>
    </row>
    <row r="120" spans="1:7" x14ac:dyDescent="0.2">
      <c r="A120" s="4" t="s">
        <v>20</v>
      </c>
      <c r="B120" s="1">
        <v>8</v>
      </c>
      <c r="C120" s="1" t="s">
        <v>17</v>
      </c>
      <c r="D120" s="1">
        <v>2</v>
      </c>
      <c r="E120" s="15">
        <v>65.317999999999998</v>
      </c>
      <c r="F120" s="15">
        <v>5.0149999999999997</v>
      </c>
      <c r="G120" s="16">
        <v>70.278999999999996</v>
      </c>
    </row>
    <row r="121" spans="1:7" x14ac:dyDescent="0.2">
      <c r="A121" s="4" t="s">
        <v>20</v>
      </c>
      <c r="B121" s="1">
        <v>15</v>
      </c>
      <c r="C121" s="1" t="s">
        <v>17</v>
      </c>
      <c r="D121" s="1">
        <v>3</v>
      </c>
      <c r="E121" s="15">
        <v>62.734000000000002</v>
      </c>
      <c r="F121" s="15">
        <v>5.0789999999999997</v>
      </c>
      <c r="G121" s="16">
        <v>67.762</v>
      </c>
    </row>
    <row r="122" spans="1:7" ht="16" thickBot="1" x14ac:dyDescent="0.25">
      <c r="A122" s="5" t="s">
        <v>20</v>
      </c>
      <c r="B122" s="6">
        <v>7</v>
      </c>
      <c r="C122" s="6" t="s">
        <v>17</v>
      </c>
      <c r="D122" s="6">
        <v>4</v>
      </c>
      <c r="E122" s="17">
        <v>64.872</v>
      </c>
      <c r="F122" s="17">
        <v>5.0609999999999999</v>
      </c>
      <c r="G122" s="18">
        <v>69.876999999999995</v>
      </c>
    </row>
    <row r="123" spans="1:7" x14ac:dyDescent="0.2">
      <c r="A123" s="2" t="s">
        <v>20</v>
      </c>
      <c r="B123" s="3">
        <v>6</v>
      </c>
      <c r="C123" s="3" t="s">
        <v>18</v>
      </c>
      <c r="D123" s="3">
        <v>1</v>
      </c>
      <c r="E123" s="13">
        <v>68.066000000000003</v>
      </c>
      <c r="F123" s="13">
        <v>5.0869999999999997</v>
      </c>
      <c r="G123" s="14">
        <v>73.102999999999994</v>
      </c>
    </row>
    <row r="124" spans="1:7" x14ac:dyDescent="0.2">
      <c r="A124" s="4" t="s">
        <v>20</v>
      </c>
      <c r="B124" s="1">
        <v>4</v>
      </c>
      <c r="C124" s="1" t="s">
        <v>18</v>
      </c>
      <c r="D124" s="1">
        <v>2</v>
      </c>
      <c r="E124" s="15">
        <v>63.802999999999997</v>
      </c>
      <c r="F124" s="15">
        <v>5.0179999999999998</v>
      </c>
      <c r="G124" s="16">
        <v>68.771000000000001</v>
      </c>
    </row>
    <row r="125" spans="1:7" x14ac:dyDescent="0.2">
      <c r="A125" s="4" t="s">
        <v>20</v>
      </c>
      <c r="B125" s="1">
        <v>2</v>
      </c>
      <c r="C125" s="1" t="s">
        <v>18</v>
      </c>
      <c r="D125" s="1">
        <v>3</v>
      </c>
      <c r="E125" s="15">
        <v>64.483999999999995</v>
      </c>
      <c r="F125" s="15">
        <v>5.0350000000000001</v>
      </c>
      <c r="G125" s="16">
        <v>69.474000000000004</v>
      </c>
    </row>
    <row r="126" spans="1:7" ht="16" thickBot="1" x14ac:dyDescent="0.25">
      <c r="A126" s="5" t="s">
        <v>20</v>
      </c>
      <c r="B126" s="6">
        <v>1</v>
      </c>
      <c r="C126" s="6" t="s">
        <v>18</v>
      </c>
      <c r="D126" s="6">
        <v>4</v>
      </c>
      <c r="E126" s="17">
        <v>63.082000000000001</v>
      </c>
      <c r="F126" s="17">
        <v>5.04</v>
      </c>
      <c r="G126" s="18">
        <v>68.075999999999993</v>
      </c>
    </row>
    <row r="127" spans="1:7" x14ac:dyDescent="0.2">
      <c r="A127" s="2" t="s">
        <v>20</v>
      </c>
      <c r="B127" s="3">
        <v>5</v>
      </c>
      <c r="C127" s="3" t="s">
        <v>19</v>
      </c>
      <c r="D127" s="3">
        <v>1</v>
      </c>
      <c r="E127" s="13">
        <v>62.198</v>
      </c>
      <c r="F127" s="13">
        <v>5.0460000000000003</v>
      </c>
      <c r="G127" s="14">
        <v>67.203000000000003</v>
      </c>
    </row>
    <row r="128" spans="1:7" x14ac:dyDescent="0.2">
      <c r="A128" s="4" t="s">
        <v>20</v>
      </c>
      <c r="B128" s="1">
        <v>3</v>
      </c>
      <c r="C128" s="1" t="s">
        <v>19</v>
      </c>
      <c r="D128" s="1">
        <v>2</v>
      </c>
      <c r="E128" s="15">
        <v>65.748999999999995</v>
      </c>
      <c r="F128" s="15">
        <v>5.0149999999999997</v>
      </c>
      <c r="G128" s="16">
        <v>70.722999999999999</v>
      </c>
    </row>
    <row r="129" spans="1:7" x14ac:dyDescent="0.2">
      <c r="A129" s="4" t="s">
        <v>20</v>
      </c>
      <c r="B129" s="1">
        <v>10</v>
      </c>
      <c r="C129" s="1" t="s">
        <v>19</v>
      </c>
      <c r="D129" s="1">
        <v>3</v>
      </c>
      <c r="E129" s="15">
        <v>58.268000000000001</v>
      </c>
      <c r="F129" s="15">
        <v>5.0590000000000002</v>
      </c>
      <c r="G129" s="16">
        <v>63.283000000000001</v>
      </c>
    </row>
    <row r="130" spans="1:7" ht="16" thickBot="1" x14ac:dyDescent="0.25">
      <c r="A130" s="5" t="s">
        <v>20</v>
      </c>
      <c r="B130" s="6">
        <v>14</v>
      </c>
      <c r="C130" s="6" t="s">
        <v>19</v>
      </c>
      <c r="D130" s="6">
        <v>4</v>
      </c>
      <c r="E130" s="17">
        <v>59.811</v>
      </c>
      <c r="F130" s="17">
        <v>5.0449999999999999</v>
      </c>
      <c r="G130" s="18">
        <v>64.811999999999998</v>
      </c>
    </row>
    <row r="131" spans="1:7" x14ac:dyDescent="0.2">
      <c r="A131" s="8" t="s">
        <v>21</v>
      </c>
      <c r="B131" s="3">
        <v>7</v>
      </c>
      <c r="C131" s="3" t="s">
        <v>9</v>
      </c>
      <c r="D131" s="3">
        <v>1</v>
      </c>
      <c r="E131" s="13">
        <v>64.872</v>
      </c>
      <c r="F131" s="13">
        <v>5.0890000000000004</v>
      </c>
      <c r="G131" s="14">
        <v>69.849999999999994</v>
      </c>
    </row>
    <row r="132" spans="1:7" x14ac:dyDescent="0.2">
      <c r="A132" s="4" t="s">
        <v>21</v>
      </c>
      <c r="B132" s="1">
        <v>3</v>
      </c>
      <c r="C132" s="1" t="s">
        <v>9</v>
      </c>
      <c r="D132" s="1">
        <v>2</v>
      </c>
      <c r="E132" s="15">
        <v>65.748999999999995</v>
      </c>
      <c r="F132" s="15">
        <v>5.024</v>
      </c>
      <c r="G132" s="16">
        <v>70.66</v>
      </c>
    </row>
    <row r="133" spans="1:7" x14ac:dyDescent="0.2">
      <c r="A133" s="4" t="s">
        <v>21</v>
      </c>
      <c r="B133" s="1">
        <v>2</v>
      </c>
      <c r="C133" s="1" t="s">
        <v>9</v>
      </c>
      <c r="D133" s="1">
        <v>3</v>
      </c>
      <c r="E133" s="15">
        <v>64.483999999999995</v>
      </c>
      <c r="F133" s="15">
        <v>5.0590000000000002</v>
      </c>
      <c r="G133" s="16">
        <v>69.432000000000002</v>
      </c>
    </row>
    <row r="134" spans="1:7" ht="16" thickBot="1" x14ac:dyDescent="0.25">
      <c r="A134" s="5" t="s">
        <v>21</v>
      </c>
      <c r="B134" s="6">
        <v>6</v>
      </c>
      <c r="C134" s="6" t="s">
        <v>9</v>
      </c>
      <c r="D134" s="6">
        <v>4</v>
      </c>
      <c r="E134" s="17">
        <v>68.066000000000003</v>
      </c>
      <c r="F134" s="17">
        <v>5.0570000000000004</v>
      </c>
      <c r="G134" s="18">
        <v>73.05</v>
      </c>
    </row>
    <row r="135" spans="1:7" x14ac:dyDescent="0.2">
      <c r="A135" s="2" t="s">
        <v>21</v>
      </c>
      <c r="B135" s="3">
        <v>8</v>
      </c>
      <c r="C135" s="3" t="s">
        <v>10</v>
      </c>
      <c r="D135" s="3">
        <v>1</v>
      </c>
      <c r="E135" s="13">
        <v>65.317999999999998</v>
      </c>
      <c r="F135" s="13">
        <v>5.0940000000000003</v>
      </c>
      <c r="G135" s="14">
        <v>70.307000000000002</v>
      </c>
    </row>
    <row r="136" spans="1:7" x14ac:dyDescent="0.2">
      <c r="A136" s="4" t="s">
        <v>21</v>
      </c>
      <c r="B136" s="1">
        <v>13</v>
      </c>
      <c r="C136" s="1" t="s">
        <v>10</v>
      </c>
      <c r="D136" s="1">
        <v>2</v>
      </c>
      <c r="E136" s="15">
        <v>63.932000000000002</v>
      </c>
      <c r="F136" s="15">
        <v>5.0330000000000004</v>
      </c>
      <c r="G136" s="16">
        <v>68.864000000000004</v>
      </c>
    </row>
    <row r="137" spans="1:7" x14ac:dyDescent="0.2">
      <c r="A137" s="4" t="s">
        <v>21</v>
      </c>
      <c r="B137" s="1">
        <v>10</v>
      </c>
      <c r="C137" s="1" t="s">
        <v>10</v>
      </c>
      <c r="D137" s="1">
        <v>3</v>
      </c>
      <c r="E137" s="15">
        <v>58.267000000000003</v>
      </c>
      <c r="F137" s="15">
        <v>5.0609999999999999</v>
      </c>
      <c r="G137" s="16">
        <v>63.225000000000001</v>
      </c>
    </row>
    <row r="138" spans="1:7" ht="16" thickBot="1" x14ac:dyDescent="0.25">
      <c r="A138" s="5" t="s">
        <v>21</v>
      </c>
      <c r="B138" s="6">
        <v>1</v>
      </c>
      <c r="C138" s="6" t="s">
        <v>10</v>
      </c>
      <c r="D138" s="6">
        <v>4</v>
      </c>
      <c r="E138" s="17">
        <v>63.082000000000001</v>
      </c>
      <c r="F138" s="17">
        <v>5.0229999999999997</v>
      </c>
      <c r="G138" s="18">
        <v>68.004999999999995</v>
      </c>
    </row>
    <row r="139" spans="1:7" x14ac:dyDescent="0.2">
      <c r="A139" s="2" t="s">
        <v>21</v>
      </c>
      <c r="B139" s="3">
        <v>14</v>
      </c>
      <c r="C139" s="3" t="s">
        <v>11</v>
      </c>
      <c r="D139" s="3">
        <v>1</v>
      </c>
      <c r="E139" s="13">
        <v>59.81</v>
      </c>
      <c r="F139" s="13">
        <v>5.0250000000000004</v>
      </c>
      <c r="G139" s="14">
        <v>64.744</v>
      </c>
    </row>
    <row r="140" spans="1:7" x14ac:dyDescent="0.2">
      <c r="A140" s="4" t="s">
        <v>21</v>
      </c>
      <c r="B140" s="1">
        <v>15</v>
      </c>
      <c r="C140" s="1" t="s">
        <v>11</v>
      </c>
      <c r="D140" s="1">
        <v>2</v>
      </c>
      <c r="E140" s="15">
        <v>62.732999999999997</v>
      </c>
      <c r="F140" s="15">
        <v>5.0039999999999996</v>
      </c>
      <c r="G140" s="16">
        <v>67.647000000000006</v>
      </c>
    </row>
    <row r="141" spans="1:7" x14ac:dyDescent="0.2">
      <c r="A141" s="4" t="s">
        <v>21</v>
      </c>
      <c r="B141" s="1">
        <v>5</v>
      </c>
      <c r="C141" s="1" t="s">
        <v>11</v>
      </c>
      <c r="D141" s="1">
        <v>3</v>
      </c>
      <c r="E141" s="15">
        <v>62.198</v>
      </c>
      <c r="F141" s="15">
        <v>5.0110000000000001</v>
      </c>
      <c r="G141" s="16">
        <v>67.117000000000004</v>
      </c>
    </row>
    <row r="142" spans="1:7" ht="16" thickBot="1" x14ac:dyDescent="0.25">
      <c r="A142" s="5" t="s">
        <v>21</v>
      </c>
      <c r="B142" s="6">
        <v>4</v>
      </c>
      <c r="C142" s="6" t="s">
        <v>11</v>
      </c>
      <c r="D142" s="6">
        <v>4</v>
      </c>
      <c r="E142" s="17">
        <v>63.802</v>
      </c>
      <c r="F142" s="17">
        <v>5.077</v>
      </c>
      <c r="G142" s="18">
        <v>68.789000000000001</v>
      </c>
    </row>
    <row r="143" spans="1:7" x14ac:dyDescent="0.2">
      <c r="A143" s="2" t="s">
        <v>21</v>
      </c>
      <c r="B143" s="3">
        <v>7</v>
      </c>
      <c r="C143" s="3" t="s">
        <v>12</v>
      </c>
      <c r="D143" s="3">
        <v>1</v>
      </c>
      <c r="E143" s="13">
        <v>64.872</v>
      </c>
      <c r="F143" s="13">
        <v>5.101</v>
      </c>
      <c r="G143" s="14">
        <v>69.906999999999996</v>
      </c>
    </row>
    <row r="144" spans="1:7" x14ac:dyDescent="0.2">
      <c r="A144" s="4" t="s">
        <v>21</v>
      </c>
      <c r="B144" s="1">
        <v>13</v>
      </c>
      <c r="C144" s="1" t="s">
        <v>12</v>
      </c>
      <c r="D144" s="1">
        <v>2</v>
      </c>
      <c r="E144" s="15">
        <v>63.932000000000002</v>
      </c>
      <c r="F144" s="15">
        <v>5.024</v>
      </c>
      <c r="G144" s="16">
        <v>68.888999999999996</v>
      </c>
    </row>
    <row r="145" spans="1:7" x14ac:dyDescent="0.2">
      <c r="A145" s="4" t="s">
        <v>21</v>
      </c>
      <c r="B145" s="1">
        <v>4</v>
      </c>
      <c r="C145" s="1" t="s">
        <v>12</v>
      </c>
      <c r="D145" s="1">
        <v>3</v>
      </c>
      <c r="E145" s="15">
        <v>63.802999999999997</v>
      </c>
      <c r="F145" s="15">
        <v>5.0810000000000004</v>
      </c>
      <c r="G145" s="16">
        <v>68.817999999999998</v>
      </c>
    </row>
    <row r="146" spans="1:7" ht="16" thickBot="1" x14ac:dyDescent="0.25">
      <c r="A146" s="5" t="s">
        <v>21</v>
      </c>
      <c r="B146" s="6">
        <v>8</v>
      </c>
      <c r="C146" s="6" t="s">
        <v>12</v>
      </c>
      <c r="D146" s="6">
        <v>4</v>
      </c>
      <c r="E146" s="17">
        <v>65.317999999999998</v>
      </c>
      <c r="F146" s="17">
        <v>5.024</v>
      </c>
      <c r="G146" s="18">
        <v>70.274000000000001</v>
      </c>
    </row>
    <row r="147" spans="1:7" x14ac:dyDescent="0.2">
      <c r="A147" s="2" t="s">
        <v>21</v>
      </c>
      <c r="B147" s="3">
        <v>3</v>
      </c>
      <c r="C147" s="3" t="s">
        <v>13</v>
      </c>
      <c r="D147" s="3">
        <v>1</v>
      </c>
      <c r="E147" s="13">
        <v>65.748999999999995</v>
      </c>
      <c r="F147" s="13">
        <v>5.0540000000000003</v>
      </c>
      <c r="G147" s="14">
        <v>70.747</v>
      </c>
    </row>
    <row r="148" spans="1:7" x14ac:dyDescent="0.2">
      <c r="A148" s="4" t="s">
        <v>21</v>
      </c>
      <c r="B148" s="1">
        <v>15</v>
      </c>
      <c r="C148" s="1" t="s">
        <v>13</v>
      </c>
      <c r="D148" s="1">
        <v>2</v>
      </c>
      <c r="E148" s="15">
        <v>62.732999999999997</v>
      </c>
      <c r="F148" s="15">
        <v>5.09</v>
      </c>
      <c r="G148" s="16">
        <v>67.765000000000001</v>
      </c>
    </row>
    <row r="149" spans="1:7" x14ac:dyDescent="0.2">
      <c r="A149" s="4" t="s">
        <v>21</v>
      </c>
      <c r="B149" s="1">
        <v>10</v>
      </c>
      <c r="C149" s="1" t="s">
        <v>13</v>
      </c>
      <c r="D149" s="1">
        <v>3</v>
      </c>
      <c r="E149" s="15">
        <v>58.267000000000003</v>
      </c>
      <c r="F149" s="15">
        <v>5.0129999999999999</v>
      </c>
      <c r="G149" s="16">
        <v>63.22</v>
      </c>
    </row>
    <row r="150" spans="1:7" ht="16" thickBot="1" x14ac:dyDescent="0.25">
      <c r="A150" s="5" t="s">
        <v>21</v>
      </c>
      <c r="B150" s="6">
        <v>5</v>
      </c>
      <c r="C150" s="6" t="s">
        <v>13</v>
      </c>
      <c r="D150" s="6">
        <v>4</v>
      </c>
      <c r="E150" s="17">
        <v>62.198</v>
      </c>
      <c r="F150" s="17">
        <v>5.048</v>
      </c>
      <c r="G150" s="18">
        <v>67.185000000000002</v>
      </c>
    </row>
    <row r="151" spans="1:7" x14ac:dyDescent="0.2">
      <c r="A151" s="2" t="s">
        <v>21</v>
      </c>
      <c r="B151" s="3">
        <v>14</v>
      </c>
      <c r="C151" s="3" t="s">
        <v>14</v>
      </c>
      <c r="D151" s="3">
        <v>1</v>
      </c>
      <c r="E151" s="13">
        <v>59.811</v>
      </c>
      <c r="F151" s="13">
        <v>5.0979999999999999</v>
      </c>
      <c r="G151" s="14">
        <v>64.846999999999994</v>
      </c>
    </row>
    <row r="152" spans="1:7" x14ac:dyDescent="0.2">
      <c r="A152" s="4" t="s">
        <v>21</v>
      </c>
      <c r="B152" s="1">
        <v>2</v>
      </c>
      <c r="C152" s="1" t="s">
        <v>14</v>
      </c>
      <c r="D152" s="1">
        <v>2</v>
      </c>
      <c r="E152" s="15">
        <v>64.483000000000004</v>
      </c>
      <c r="F152" s="15">
        <v>5.008</v>
      </c>
      <c r="G152" s="16">
        <v>69.436000000000007</v>
      </c>
    </row>
    <row r="153" spans="1:7" x14ac:dyDescent="0.2">
      <c r="A153" s="4" t="s">
        <v>21</v>
      </c>
      <c r="B153" s="1">
        <v>6</v>
      </c>
      <c r="C153" s="1" t="s">
        <v>14</v>
      </c>
      <c r="D153" s="1">
        <v>3</v>
      </c>
      <c r="E153" s="15">
        <v>68.066000000000003</v>
      </c>
      <c r="F153" s="15">
        <v>5.0830000000000002</v>
      </c>
      <c r="G153" s="16">
        <v>73.093000000000004</v>
      </c>
    </row>
    <row r="154" spans="1:7" ht="16" thickBot="1" x14ac:dyDescent="0.25">
      <c r="A154" s="5" t="s">
        <v>21</v>
      </c>
      <c r="B154" s="6">
        <v>1</v>
      </c>
      <c r="C154" s="6" t="s">
        <v>14</v>
      </c>
      <c r="D154" s="6">
        <v>4</v>
      </c>
      <c r="E154" s="17">
        <v>63.082000000000001</v>
      </c>
      <c r="F154" s="17">
        <v>5.0039999999999996</v>
      </c>
      <c r="G154" s="18">
        <v>68.025999999999996</v>
      </c>
    </row>
    <row r="155" spans="1:7" x14ac:dyDescent="0.2">
      <c r="A155" s="2" t="s">
        <v>21</v>
      </c>
      <c r="B155" s="3">
        <v>5</v>
      </c>
      <c r="C155" s="3" t="s">
        <v>15</v>
      </c>
      <c r="D155" s="3">
        <v>1</v>
      </c>
      <c r="E155" s="13">
        <v>62.197000000000003</v>
      </c>
      <c r="F155" s="13">
        <v>5.0679999999999996</v>
      </c>
      <c r="G155" s="14">
        <v>67.209000000000003</v>
      </c>
    </row>
    <row r="156" spans="1:7" x14ac:dyDescent="0.2">
      <c r="A156" s="4" t="s">
        <v>21</v>
      </c>
      <c r="B156" s="1">
        <v>15</v>
      </c>
      <c r="C156" s="1" t="s">
        <v>15</v>
      </c>
      <c r="D156" s="1">
        <v>2</v>
      </c>
      <c r="E156" s="15">
        <v>62.732999999999997</v>
      </c>
      <c r="F156" s="15">
        <v>5.0739999999999998</v>
      </c>
      <c r="G156" s="16">
        <v>67.748000000000005</v>
      </c>
    </row>
    <row r="157" spans="1:7" x14ac:dyDescent="0.2">
      <c r="A157" s="4" t="s">
        <v>21</v>
      </c>
      <c r="B157" s="1">
        <v>13</v>
      </c>
      <c r="C157" s="1" t="s">
        <v>15</v>
      </c>
      <c r="D157" s="1">
        <v>3</v>
      </c>
      <c r="E157" s="15">
        <v>63.932000000000002</v>
      </c>
      <c r="F157" s="15">
        <v>5.0199999999999996</v>
      </c>
      <c r="G157" s="16">
        <v>68.893000000000001</v>
      </c>
    </row>
    <row r="158" spans="1:7" ht="16" thickBot="1" x14ac:dyDescent="0.25">
      <c r="A158" s="5" t="s">
        <v>21</v>
      </c>
      <c r="B158" s="6">
        <v>8</v>
      </c>
      <c r="C158" s="6" t="s">
        <v>15</v>
      </c>
      <c r="D158" s="6">
        <v>4</v>
      </c>
      <c r="E158" s="17">
        <v>65.316999999999993</v>
      </c>
      <c r="F158" s="17">
        <v>5.048</v>
      </c>
      <c r="G158" s="18">
        <v>70.308000000000007</v>
      </c>
    </row>
    <row r="159" spans="1:7" x14ac:dyDescent="0.2">
      <c r="A159" s="2" t="s">
        <v>21</v>
      </c>
      <c r="B159" s="3">
        <v>3</v>
      </c>
      <c r="C159" s="3" t="s">
        <v>16</v>
      </c>
      <c r="D159" s="3">
        <v>1</v>
      </c>
      <c r="E159" s="13">
        <v>65.748999999999995</v>
      </c>
      <c r="F159" s="13">
        <v>5.0259999999999998</v>
      </c>
      <c r="G159" s="14">
        <v>70.721999999999994</v>
      </c>
    </row>
    <row r="160" spans="1:7" x14ac:dyDescent="0.2">
      <c r="A160" s="4" t="s">
        <v>21</v>
      </c>
      <c r="B160" s="1">
        <v>10</v>
      </c>
      <c r="C160" s="1" t="s">
        <v>16</v>
      </c>
      <c r="D160" s="1">
        <v>2</v>
      </c>
      <c r="E160" s="15">
        <v>58.265999999999998</v>
      </c>
      <c r="F160" s="15">
        <v>5.024</v>
      </c>
      <c r="G160" s="16">
        <v>63.235999999999997</v>
      </c>
    </row>
    <row r="161" spans="1:7" x14ac:dyDescent="0.2">
      <c r="A161" s="4" t="s">
        <v>21</v>
      </c>
      <c r="B161" s="1">
        <v>2</v>
      </c>
      <c r="C161" s="1" t="s">
        <v>16</v>
      </c>
      <c r="D161" s="1">
        <v>3</v>
      </c>
      <c r="E161" s="15">
        <v>64.483000000000004</v>
      </c>
      <c r="F161" s="15">
        <v>5.0030000000000001</v>
      </c>
      <c r="G161" s="16">
        <v>69.433999999999997</v>
      </c>
    </row>
    <row r="162" spans="1:7" ht="16" thickBot="1" x14ac:dyDescent="0.25">
      <c r="A162" s="5" t="s">
        <v>21</v>
      </c>
      <c r="B162" s="6">
        <v>6</v>
      </c>
      <c r="C162" s="6" t="s">
        <v>16</v>
      </c>
      <c r="D162" s="6">
        <v>4</v>
      </c>
      <c r="E162" s="17">
        <v>68.064999999999998</v>
      </c>
      <c r="F162" s="17">
        <v>5.056</v>
      </c>
      <c r="G162" s="18">
        <v>73.063999999999993</v>
      </c>
    </row>
    <row r="163" spans="1:7" x14ac:dyDescent="0.2">
      <c r="A163" s="2" t="s">
        <v>21</v>
      </c>
      <c r="B163" s="3">
        <v>1</v>
      </c>
      <c r="C163" s="3" t="s">
        <v>17</v>
      </c>
      <c r="D163" s="3">
        <v>1</v>
      </c>
      <c r="E163" s="13">
        <v>63.081000000000003</v>
      </c>
      <c r="F163" s="13">
        <v>5.0679999999999996</v>
      </c>
      <c r="G163" s="14">
        <v>68.099000000000004</v>
      </c>
    </row>
    <row r="164" spans="1:7" x14ac:dyDescent="0.2">
      <c r="A164" s="4" t="s">
        <v>21</v>
      </c>
      <c r="B164" s="1">
        <v>4</v>
      </c>
      <c r="C164" s="1" t="s">
        <v>17</v>
      </c>
      <c r="D164" s="1">
        <v>2</v>
      </c>
      <c r="E164" s="15">
        <v>63.802999999999997</v>
      </c>
      <c r="F164" s="15">
        <v>5.077</v>
      </c>
      <c r="G164" s="16">
        <v>68.825999999999993</v>
      </c>
    </row>
    <row r="165" spans="1:7" x14ac:dyDescent="0.2">
      <c r="A165" s="4" t="s">
        <v>21</v>
      </c>
      <c r="B165" s="1">
        <v>14</v>
      </c>
      <c r="C165" s="1" t="s">
        <v>17</v>
      </c>
      <c r="D165" s="1">
        <v>3</v>
      </c>
      <c r="E165" s="15">
        <v>59.81</v>
      </c>
      <c r="F165" s="15">
        <v>5.048</v>
      </c>
      <c r="G165" s="16">
        <v>64.805000000000007</v>
      </c>
    </row>
    <row r="166" spans="1:7" ht="16" thickBot="1" x14ac:dyDescent="0.25">
      <c r="A166" s="5" t="s">
        <v>21</v>
      </c>
      <c r="B166" s="6">
        <v>7</v>
      </c>
      <c r="C166" s="6" t="s">
        <v>17</v>
      </c>
      <c r="D166" s="6">
        <v>4</v>
      </c>
      <c r="E166" s="17">
        <v>64.870999999999995</v>
      </c>
      <c r="F166" s="17">
        <v>5.0060000000000002</v>
      </c>
      <c r="G166" s="18">
        <v>69.822999999999993</v>
      </c>
    </row>
    <row r="167" spans="1:7" x14ac:dyDescent="0.2">
      <c r="A167" s="2" t="s">
        <v>21</v>
      </c>
      <c r="B167" s="3">
        <v>13</v>
      </c>
      <c r="C167" s="3" t="s">
        <v>18</v>
      </c>
      <c r="D167" s="3">
        <v>1</v>
      </c>
      <c r="E167" s="13">
        <v>63.932000000000002</v>
      </c>
      <c r="F167" s="13">
        <v>5.0650000000000004</v>
      </c>
      <c r="G167" s="14">
        <v>68.944000000000003</v>
      </c>
    </row>
    <row r="168" spans="1:7" x14ac:dyDescent="0.2">
      <c r="A168" s="4" t="s">
        <v>21</v>
      </c>
      <c r="B168" s="1">
        <v>15</v>
      </c>
      <c r="C168" s="1" t="s">
        <v>18</v>
      </c>
      <c r="D168" s="1">
        <v>2</v>
      </c>
      <c r="E168" s="15">
        <v>62.732999999999997</v>
      </c>
      <c r="F168" s="15">
        <v>5.0670000000000002</v>
      </c>
      <c r="G168" s="16">
        <v>67.748000000000005</v>
      </c>
    </row>
    <row r="169" spans="1:7" x14ac:dyDescent="0.2">
      <c r="A169" s="4" t="s">
        <v>21</v>
      </c>
      <c r="B169" s="1">
        <v>10</v>
      </c>
      <c r="C169" s="1" t="s">
        <v>18</v>
      </c>
      <c r="D169" s="1">
        <v>3</v>
      </c>
      <c r="E169" s="15">
        <v>58.267000000000003</v>
      </c>
      <c r="F169" s="15">
        <v>5.05</v>
      </c>
      <c r="G169" s="16">
        <v>63.267000000000003</v>
      </c>
    </row>
    <row r="170" spans="1:7" ht="16" thickBot="1" x14ac:dyDescent="0.25">
      <c r="A170" s="5" t="s">
        <v>21</v>
      </c>
      <c r="B170" s="6">
        <v>4</v>
      </c>
      <c r="C170" s="6" t="s">
        <v>18</v>
      </c>
      <c r="D170" s="6">
        <v>4</v>
      </c>
      <c r="E170" s="17">
        <v>63.802999999999997</v>
      </c>
      <c r="F170" s="17">
        <v>5.0129999999999999</v>
      </c>
      <c r="G170" s="18">
        <v>68.763999999999996</v>
      </c>
    </row>
    <row r="171" spans="1:7" x14ac:dyDescent="0.2">
      <c r="A171" s="8" t="s">
        <v>22</v>
      </c>
      <c r="B171" s="3">
        <v>6</v>
      </c>
      <c r="C171" s="3" t="s">
        <v>9</v>
      </c>
      <c r="D171" s="3">
        <v>1</v>
      </c>
      <c r="E171" s="13">
        <v>68.066000000000003</v>
      </c>
      <c r="F171" s="13">
        <v>5.05</v>
      </c>
      <c r="G171" s="14">
        <v>72.947000000000003</v>
      </c>
    </row>
    <row r="172" spans="1:7" x14ac:dyDescent="0.2">
      <c r="A172" s="4" t="s">
        <v>22</v>
      </c>
      <c r="B172" s="1">
        <v>1</v>
      </c>
      <c r="C172" s="1" t="s">
        <v>9</v>
      </c>
      <c r="D172" s="1">
        <v>2</v>
      </c>
      <c r="E172" s="15">
        <v>63.081000000000003</v>
      </c>
      <c r="F172" s="15">
        <v>5.01</v>
      </c>
      <c r="G172" s="16">
        <v>67.926000000000002</v>
      </c>
    </row>
    <row r="173" spans="1:7" x14ac:dyDescent="0.2">
      <c r="A173" s="4" t="s">
        <v>22</v>
      </c>
      <c r="B173" s="1">
        <v>8</v>
      </c>
      <c r="C173" s="1" t="s">
        <v>9</v>
      </c>
      <c r="D173" s="1">
        <v>3</v>
      </c>
      <c r="E173" s="15">
        <v>65.316999999999993</v>
      </c>
      <c r="F173" s="15">
        <v>5.0119999999999996</v>
      </c>
      <c r="G173" s="16">
        <v>70.153999999999996</v>
      </c>
    </row>
    <row r="174" spans="1:7" ht="16" thickBot="1" x14ac:dyDescent="0.25">
      <c r="A174" s="5" t="s">
        <v>22</v>
      </c>
      <c r="B174" s="6">
        <v>2</v>
      </c>
      <c r="C174" s="6" t="s">
        <v>9</v>
      </c>
      <c r="D174" s="6">
        <v>4</v>
      </c>
      <c r="E174" s="17">
        <v>64.483999999999995</v>
      </c>
      <c r="F174" s="17">
        <v>5.0129999999999999</v>
      </c>
      <c r="G174" s="18">
        <v>69.322999999999993</v>
      </c>
    </row>
    <row r="175" spans="1:7" x14ac:dyDescent="0.2">
      <c r="A175" s="2" t="s">
        <v>22</v>
      </c>
      <c r="B175" s="3">
        <v>3</v>
      </c>
      <c r="C175" s="3" t="s">
        <v>10</v>
      </c>
      <c r="D175" s="3">
        <v>1</v>
      </c>
      <c r="E175" s="13">
        <v>65.748000000000005</v>
      </c>
      <c r="F175" s="13">
        <v>5.0449999999999999</v>
      </c>
      <c r="G175" s="14">
        <v>70.64</v>
      </c>
    </row>
    <row r="176" spans="1:7" x14ac:dyDescent="0.2">
      <c r="A176" s="4" t="s">
        <v>22</v>
      </c>
      <c r="B176" s="1">
        <v>14</v>
      </c>
      <c r="C176" s="1" t="s">
        <v>10</v>
      </c>
      <c r="D176" s="1">
        <v>2</v>
      </c>
      <c r="E176" s="15">
        <v>59.81</v>
      </c>
      <c r="F176" s="15">
        <v>5.0670000000000002</v>
      </c>
      <c r="G176" s="16">
        <v>64.718999999999994</v>
      </c>
    </row>
    <row r="177" spans="1:7" x14ac:dyDescent="0.2">
      <c r="A177" s="4" t="s">
        <v>22</v>
      </c>
      <c r="B177" s="1">
        <v>13</v>
      </c>
      <c r="C177" s="1" t="s">
        <v>10</v>
      </c>
      <c r="D177" s="1">
        <v>3</v>
      </c>
      <c r="E177" s="15">
        <v>63.932000000000002</v>
      </c>
      <c r="F177" s="15">
        <v>5.101</v>
      </c>
      <c r="G177" s="16">
        <v>68.873999999999995</v>
      </c>
    </row>
    <row r="178" spans="1:7" ht="16" thickBot="1" x14ac:dyDescent="0.25">
      <c r="A178" s="5" t="s">
        <v>22</v>
      </c>
      <c r="B178" s="6">
        <v>4</v>
      </c>
      <c r="C178" s="6" t="s">
        <v>10</v>
      </c>
      <c r="D178" s="6">
        <v>4</v>
      </c>
      <c r="E178" s="17">
        <v>63.802999999999997</v>
      </c>
      <c r="F178" s="17">
        <v>5.0419999999999998</v>
      </c>
      <c r="G178" s="18">
        <v>68.686000000000007</v>
      </c>
    </row>
    <row r="179" spans="1:7" x14ac:dyDescent="0.2">
      <c r="A179" s="2" t="s">
        <v>22</v>
      </c>
      <c r="B179" s="3">
        <v>8</v>
      </c>
      <c r="C179" s="3" t="s">
        <v>11</v>
      </c>
      <c r="D179" s="3">
        <v>1</v>
      </c>
      <c r="E179" s="13">
        <v>65.316999999999993</v>
      </c>
      <c r="F179" s="13">
        <v>5.0620000000000003</v>
      </c>
      <c r="G179" s="14">
        <v>70.423000000000002</v>
      </c>
    </row>
    <row r="180" spans="1:7" x14ac:dyDescent="0.2">
      <c r="A180" s="4" t="s">
        <v>22</v>
      </c>
      <c r="B180" s="1">
        <v>2</v>
      </c>
      <c r="C180" s="1" t="s">
        <v>11</v>
      </c>
      <c r="D180" s="1">
        <v>2</v>
      </c>
      <c r="E180" s="15">
        <v>64.483000000000004</v>
      </c>
      <c r="F180" s="15">
        <v>5.0549999999999997</v>
      </c>
      <c r="G180" s="16">
        <v>69.406000000000006</v>
      </c>
    </row>
    <row r="181" spans="1:7" x14ac:dyDescent="0.2">
      <c r="A181" s="4" t="s">
        <v>22</v>
      </c>
      <c r="B181" s="1">
        <v>1</v>
      </c>
      <c r="C181" s="1" t="s">
        <v>11</v>
      </c>
      <c r="D181" s="1">
        <v>3</v>
      </c>
      <c r="E181" s="15">
        <v>63.081000000000003</v>
      </c>
      <c r="F181" s="15">
        <v>5.0880000000000001</v>
      </c>
      <c r="G181" s="16">
        <v>68.039000000000001</v>
      </c>
    </row>
    <row r="182" spans="1:7" ht="16" thickBot="1" x14ac:dyDescent="0.25">
      <c r="A182" s="5" t="s">
        <v>22</v>
      </c>
      <c r="B182" s="6">
        <v>6</v>
      </c>
      <c r="C182" s="6" t="s">
        <v>11</v>
      </c>
      <c r="D182" s="6">
        <v>4</v>
      </c>
      <c r="E182" s="17">
        <v>68.066000000000003</v>
      </c>
      <c r="F182" s="17">
        <v>5.0190000000000001</v>
      </c>
      <c r="G182" s="18">
        <v>72.951999999999998</v>
      </c>
    </row>
    <row r="183" spans="1:7" x14ac:dyDescent="0.2">
      <c r="A183" s="2" t="s">
        <v>22</v>
      </c>
      <c r="B183" s="3">
        <v>15</v>
      </c>
      <c r="C183" s="3" t="s">
        <v>12</v>
      </c>
      <c r="D183" s="3">
        <v>1</v>
      </c>
      <c r="E183" s="13">
        <v>62.731999999999999</v>
      </c>
      <c r="F183" s="13">
        <v>5.0549999999999997</v>
      </c>
      <c r="G183" s="14">
        <v>67.674999999999997</v>
      </c>
    </row>
    <row r="184" spans="1:7" x14ac:dyDescent="0.2">
      <c r="A184" s="4" t="s">
        <v>22</v>
      </c>
      <c r="B184" s="1">
        <v>7</v>
      </c>
      <c r="C184" s="1" t="s">
        <v>12</v>
      </c>
      <c r="D184" s="1">
        <v>2</v>
      </c>
      <c r="E184" s="15">
        <v>64.872</v>
      </c>
      <c r="F184" s="15">
        <v>5.0389999999999997</v>
      </c>
      <c r="G184" s="16">
        <v>69.798000000000002</v>
      </c>
    </row>
    <row r="185" spans="1:7" x14ac:dyDescent="0.2">
      <c r="A185" s="4" t="s">
        <v>22</v>
      </c>
      <c r="B185" s="1">
        <v>10</v>
      </c>
      <c r="C185" s="1" t="s">
        <v>12</v>
      </c>
      <c r="D185" s="1">
        <v>3</v>
      </c>
      <c r="E185" s="15">
        <v>58.265999999999998</v>
      </c>
      <c r="F185" s="15">
        <v>5.0599999999999996</v>
      </c>
      <c r="G185" s="16">
        <v>63.213000000000001</v>
      </c>
    </row>
    <row r="186" spans="1:7" ht="16" thickBot="1" x14ac:dyDescent="0.25">
      <c r="A186" s="5" t="s">
        <v>22</v>
      </c>
      <c r="B186" s="6">
        <v>5</v>
      </c>
      <c r="C186" s="6" t="s">
        <v>12</v>
      </c>
      <c r="D186" s="6">
        <v>4</v>
      </c>
      <c r="E186" s="17">
        <v>62.197000000000003</v>
      </c>
      <c r="F186" s="17">
        <v>5.0830000000000002</v>
      </c>
      <c r="G186" s="18">
        <v>67.165999999999997</v>
      </c>
    </row>
    <row r="187" spans="1:7" x14ac:dyDescent="0.2">
      <c r="A187" s="2" t="s">
        <v>22</v>
      </c>
      <c r="B187" s="3">
        <v>5</v>
      </c>
      <c r="C187" s="3" t="s">
        <v>13</v>
      </c>
      <c r="D187" s="3">
        <v>1</v>
      </c>
      <c r="E187" s="13">
        <v>62.198</v>
      </c>
      <c r="F187" s="13">
        <v>5.0179999999999998</v>
      </c>
      <c r="G187" s="14">
        <v>67.141999999999996</v>
      </c>
    </row>
    <row r="188" spans="1:7" x14ac:dyDescent="0.2">
      <c r="A188" s="4" t="s">
        <v>22</v>
      </c>
      <c r="B188" s="1">
        <v>10</v>
      </c>
      <c r="C188" s="1" t="s">
        <v>13</v>
      </c>
      <c r="D188" s="1">
        <v>2</v>
      </c>
      <c r="E188" s="15">
        <v>58.265999999999998</v>
      </c>
      <c r="F188" s="15">
        <v>5.0110000000000001</v>
      </c>
      <c r="G188" s="16">
        <v>63.206000000000003</v>
      </c>
    </row>
    <row r="189" spans="1:7" x14ac:dyDescent="0.2">
      <c r="A189" s="4" t="s">
        <v>22</v>
      </c>
      <c r="B189" s="1">
        <v>1</v>
      </c>
      <c r="C189" s="1" t="s">
        <v>13</v>
      </c>
      <c r="D189" s="1">
        <v>3</v>
      </c>
      <c r="E189" s="15">
        <v>63.081000000000003</v>
      </c>
      <c r="F189" s="15">
        <v>5.0640000000000001</v>
      </c>
      <c r="G189" s="16">
        <v>68.069000000000003</v>
      </c>
    </row>
    <row r="190" spans="1:7" ht="16" thickBot="1" x14ac:dyDescent="0.25">
      <c r="A190" s="5" t="s">
        <v>22</v>
      </c>
      <c r="B190" s="6">
        <v>6</v>
      </c>
      <c r="C190" s="6" t="s">
        <v>13</v>
      </c>
      <c r="D190" s="6">
        <v>4</v>
      </c>
      <c r="E190" s="17">
        <v>68.066000000000003</v>
      </c>
      <c r="F190" s="17">
        <v>5.048</v>
      </c>
      <c r="G190" s="18">
        <v>73.036000000000001</v>
      </c>
    </row>
    <row r="191" spans="1:7" x14ac:dyDescent="0.2">
      <c r="A191" s="2" t="s">
        <v>22</v>
      </c>
      <c r="B191" s="3">
        <v>2</v>
      </c>
      <c r="C191" s="3" t="s">
        <v>14</v>
      </c>
      <c r="D191" s="3">
        <v>1</v>
      </c>
      <c r="E191" s="13">
        <v>64.483000000000004</v>
      </c>
      <c r="F191" s="13">
        <v>5.0049999999999999</v>
      </c>
      <c r="G191" s="14">
        <v>69.421999999999997</v>
      </c>
    </row>
    <row r="192" spans="1:7" x14ac:dyDescent="0.2">
      <c r="A192" s="4" t="s">
        <v>22</v>
      </c>
      <c r="B192" s="1">
        <v>3</v>
      </c>
      <c r="C192" s="1" t="s">
        <v>14</v>
      </c>
      <c r="D192" s="1">
        <v>2</v>
      </c>
      <c r="E192" s="15">
        <v>65.748000000000005</v>
      </c>
      <c r="F192" s="15">
        <v>5.09</v>
      </c>
      <c r="G192" s="16">
        <v>70.772000000000006</v>
      </c>
    </row>
    <row r="193" spans="1:7" x14ac:dyDescent="0.2">
      <c r="A193" s="4" t="s">
        <v>22</v>
      </c>
      <c r="B193" s="1">
        <v>15</v>
      </c>
      <c r="C193" s="1" t="s">
        <v>14</v>
      </c>
      <c r="D193" s="1">
        <v>3</v>
      </c>
      <c r="E193" s="15">
        <v>62.732999999999997</v>
      </c>
      <c r="F193" s="15">
        <v>5.0339999999999998</v>
      </c>
      <c r="G193" s="16">
        <v>67.697999999999993</v>
      </c>
    </row>
    <row r="194" spans="1:7" ht="16" thickBot="1" x14ac:dyDescent="0.25">
      <c r="A194" s="5" t="s">
        <v>22</v>
      </c>
      <c r="B194" s="6">
        <v>14</v>
      </c>
      <c r="C194" s="6" t="s">
        <v>14</v>
      </c>
      <c r="D194" s="6">
        <v>4</v>
      </c>
      <c r="E194" s="17">
        <v>59.808999999999997</v>
      </c>
      <c r="F194" s="17">
        <v>5.0339999999999998</v>
      </c>
      <c r="G194" s="18">
        <v>64.777000000000001</v>
      </c>
    </row>
    <row r="195" spans="1:7" x14ac:dyDescent="0.2">
      <c r="A195" s="2" t="s">
        <v>22</v>
      </c>
      <c r="B195" s="3">
        <v>8</v>
      </c>
      <c r="C195" s="3" t="s">
        <v>15</v>
      </c>
      <c r="D195" s="3">
        <v>1</v>
      </c>
      <c r="E195" s="13">
        <v>65.317999999999998</v>
      </c>
      <c r="F195" s="13">
        <v>5.0129999999999999</v>
      </c>
      <c r="G195" s="14">
        <v>70.269000000000005</v>
      </c>
    </row>
    <row r="196" spans="1:7" x14ac:dyDescent="0.2">
      <c r="A196" s="4" t="s">
        <v>22</v>
      </c>
      <c r="B196" s="1">
        <v>7</v>
      </c>
      <c r="C196" s="1" t="s">
        <v>15</v>
      </c>
      <c r="D196" s="1">
        <v>2</v>
      </c>
      <c r="E196" s="15">
        <v>64.870999999999995</v>
      </c>
      <c r="F196" s="15">
        <v>5.0449999999999999</v>
      </c>
      <c r="G196" s="16">
        <v>69.855000000000004</v>
      </c>
    </row>
    <row r="197" spans="1:7" x14ac:dyDescent="0.2">
      <c r="A197" s="4" t="s">
        <v>22</v>
      </c>
      <c r="B197" s="1">
        <v>13</v>
      </c>
      <c r="C197" s="1" t="s">
        <v>15</v>
      </c>
      <c r="D197" s="1">
        <v>3</v>
      </c>
      <c r="E197" s="15">
        <v>63.930999999999997</v>
      </c>
      <c r="F197" s="15">
        <v>5.0229999999999997</v>
      </c>
      <c r="G197" s="16">
        <v>68.894000000000005</v>
      </c>
    </row>
    <row r="198" spans="1:7" ht="16" thickBot="1" x14ac:dyDescent="0.25">
      <c r="A198" s="5" t="s">
        <v>22</v>
      </c>
      <c r="B198" s="6">
        <v>4</v>
      </c>
      <c r="C198" s="6" t="s">
        <v>15</v>
      </c>
      <c r="D198" s="6">
        <v>4</v>
      </c>
      <c r="E198" s="17">
        <v>63.802999999999997</v>
      </c>
      <c r="F198" s="17">
        <v>5.0369999999999999</v>
      </c>
      <c r="G198" s="18">
        <v>68.778999999999996</v>
      </c>
    </row>
    <row r="199" spans="1:7" x14ac:dyDescent="0.2">
      <c r="A199" s="2" t="s">
        <v>22</v>
      </c>
      <c r="B199" s="3">
        <v>7</v>
      </c>
      <c r="C199" s="3" t="s">
        <v>16</v>
      </c>
      <c r="D199" s="3">
        <v>1</v>
      </c>
      <c r="E199" s="13">
        <v>64.872</v>
      </c>
      <c r="F199" s="13">
        <v>5.04</v>
      </c>
      <c r="G199" s="14">
        <v>69.861000000000004</v>
      </c>
    </row>
    <row r="200" spans="1:7" x14ac:dyDescent="0.2">
      <c r="A200" s="4" t="s">
        <v>22</v>
      </c>
      <c r="B200" s="1">
        <v>6</v>
      </c>
      <c r="C200" s="1" t="s">
        <v>16</v>
      </c>
      <c r="D200" s="1">
        <v>2</v>
      </c>
      <c r="E200" s="15">
        <v>68.066000000000003</v>
      </c>
      <c r="F200" s="15">
        <v>5.016</v>
      </c>
      <c r="G200" s="16">
        <v>73.03</v>
      </c>
    </row>
    <row r="201" spans="1:7" x14ac:dyDescent="0.2">
      <c r="A201" s="4" t="s">
        <v>22</v>
      </c>
      <c r="B201" s="1">
        <v>10</v>
      </c>
      <c r="C201" s="1" t="s">
        <v>16</v>
      </c>
      <c r="D201" s="1">
        <v>3</v>
      </c>
      <c r="E201" s="15">
        <v>58.267000000000003</v>
      </c>
      <c r="F201" s="15">
        <v>5.0270000000000001</v>
      </c>
      <c r="G201" s="16">
        <v>63.24</v>
      </c>
    </row>
    <row r="202" spans="1:7" ht="16" thickBot="1" x14ac:dyDescent="0.25">
      <c r="A202" s="5" t="s">
        <v>22</v>
      </c>
      <c r="B202" s="6">
        <v>1</v>
      </c>
      <c r="C202" s="6" t="s">
        <v>16</v>
      </c>
      <c r="D202" s="6">
        <v>4</v>
      </c>
      <c r="E202" s="17">
        <v>63.081000000000003</v>
      </c>
      <c r="F202" s="17">
        <v>5.0720000000000001</v>
      </c>
      <c r="G202" s="18">
        <v>68.100999999999999</v>
      </c>
    </row>
    <row r="203" spans="1:7" x14ac:dyDescent="0.2">
      <c r="A203" s="8" t="s">
        <v>23</v>
      </c>
      <c r="B203" s="3">
        <v>8</v>
      </c>
      <c r="C203" s="3" t="s">
        <v>9</v>
      </c>
      <c r="D203" s="3">
        <v>1</v>
      </c>
      <c r="E203" s="13">
        <v>65.316999999999993</v>
      </c>
      <c r="F203" s="13">
        <v>5.0039999999999996</v>
      </c>
      <c r="G203" s="14">
        <v>70.150999999999996</v>
      </c>
    </row>
    <row r="204" spans="1:7" x14ac:dyDescent="0.2">
      <c r="A204" s="4" t="s">
        <v>23</v>
      </c>
      <c r="B204" s="1">
        <v>5</v>
      </c>
      <c r="C204" s="1" t="s">
        <v>9</v>
      </c>
      <c r="D204" s="1">
        <v>2</v>
      </c>
      <c r="E204" s="15">
        <v>62.197000000000003</v>
      </c>
      <c r="F204" s="15">
        <v>5.016</v>
      </c>
      <c r="G204" s="16">
        <v>67.040999999999997</v>
      </c>
    </row>
    <row r="205" spans="1:7" x14ac:dyDescent="0.2">
      <c r="A205" s="4" t="s">
        <v>23</v>
      </c>
      <c r="B205" s="1">
        <v>14</v>
      </c>
      <c r="C205" s="1" t="s">
        <v>9</v>
      </c>
      <c r="D205" s="1">
        <v>3</v>
      </c>
      <c r="E205" s="15">
        <v>59.81</v>
      </c>
      <c r="F205" s="15">
        <v>5.04</v>
      </c>
      <c r="G205" s="16">
        <v>64.677999999999997</v>
      </c>
    </row>
    <row r="206" spans="1:7" ht="16" thickBot="1" x14ac:dyDescent="0.25">
      <c r="A206" s="5" t="s">
        <v>23</v>
      </c>
      <c r="B206" s="6">
        <v>3</v>
      </c>
      <c r="C206" s="6" t="s">
        <v>9</v>
      </c>
      <c r="D206" s="6">
        <v>4</v>
      </c>
      <c r="E206" s="17">
        <v>65.748000000000005</v>
      </c>
      <c r="F206" s="17">
        <v>5.0060000000000002</v>
      </c>
      <c r="G206" s="18">
        <v>70.575999999999993</v>
      </c>
    </row>
    <row r="207" spans="1:7" x14ac:dyDescent="0.2">
      <c r="A207" s="2" t="s">
        <v>23</v>
      </c>
      <c r="B207" s="3">
        <v>14</v>
      </c>
      <c r="C207" s="3" t="s">
        <v>10</v>
      </c>
      <c r="D207" s="3">
        <v>1</v>
      </c>
      <c r="E207" s="13">
        <v>59.81</v>
      </c>
      <c r="F207" s="13">
        <v>5.0060000000000002</v>
      </c>
      <c r="G207" s="14">
        <v>64.641999999999996</v>
      </c>
    </row>
    <row r="208" spans="1:7" x14ac:dyDescent="0.2">
      <c r="A208" s="4" t="s">
        <v>23</v>
      </c>
      <c r="B208" s="1">
        <v>3</v>
      </c>
      <c r="C208" s="1" t="s">
        <v>10</v>
      </c>
      <c r="D208" s="1">
        <v>2</v>
      </c>
      <c r="E208" s="15">
        <v>65.748000000000005</v>
      </c>
      <c r="F208" s="15">
        <v>5.0890000000000004</v>
      </c>
      <c r="G208" s="16">
        <v>70.662999999999997</v>
      </c>
    </row>
    <row r="209" spans="1:7" x14ac:dyDescent="0.2">
      <c r="A209" s="4" t="s">
        <v>23</v>
      </c>
      <c r="B209" s="1">
        <v>7</v>
      </c>
      <c r="C209" s="1" t="s">
        <v>10</v>
      </c>
      <c r="D209" s="1">
        <v>3</v>
      </c>
      <c r="E209" s="15">
        <v>64.872</v>
      </c>
      <c r="F209" s="15">
        <v>5.048</v>
      </c>
      <c r="G209" s="16">
        <v>69.745999999999995</v>
      </c>
    </row>
    <row r="210" spans="1:7" ht="16" thickBot="1" x14ac:dyDescent="0.25">
      <c r="A210" s="5" t="s">
        <v>23</v>
      </c>
      <c r="B210" s="6">
        <v>5</v>
      </c>
      <c r="C210" s="6" t="s">
        <v>10</v>
      </c>
      <c r="D210" s="6">
        <v>4</v>
      </c>
      <c r="E210" s="17">
        <v>62.198</v>
      </c>
      <c r="F210" s="17">
        <v>5.0049999999999999</v>
      </c>
      <c r="G210" s="18">
        <v>67.028999999999996</v>
      </c>
    </row>
    <row r="211" spans="1:7" x14ac:dyDescent="0.2">
      <c r="A211" s="2" t="s">
        <v>23</v>
      </c>
      <c r="B211" s="3">
        <v>15</v>
      </c>
      <c r="C211" s="3" t="s">
        <v>11</v>
      </c>
      <c r="D211" s="3">
        <v>1</v>
      </c>
      <c r="E211" s="13">
        <v>62.732999999999997</v>
      </c>
      <c r="F211" s="13">
        <v>5.024</v>
      </c>
      <c r="G211" s="14">
        <v>67.605999999999995</v>
      </c>
    </row>
    <row r="212" spans="1:7" x14ac:dyDescent="0.2">
      <c r="A212" s="4" t="s">
        <v>23</v>
      </c>
      <c r="B212" s="1">
        <v>4</v>
      </c>
      <c r="C212" s="1" t="s">
        <v>11</v>
      </c>
      <c r="D212" s="1">
        <v>2</v>
      </c>
      <c r="E212" s="15">
        <v>63.802999999999997</v>
      </c>
      <c r="F212" s="15">
        <v>5.056</v>
      </c>
      <c r="G212" s="16">
        <v>68.707999999999998</v>
      </c>
    </row>
    <row r="213" spans="1:7" x14ac:dyDescent="0.2">
      <c r="A213" s="4" t="s">
        <v>23</v>
      </c>
      <c r="B213" s="1">
        <v>13</v>
      </c>
      <c r="C213" s="1" t="s">
        <v>11</v>
      </c>
      <c r="D213" s="1">
        <v>3</v>
      </c>
      <c r="E213" s="15">
        <v>63.930999999999997</v>
      </c>
      <c r="F213" s="15">
        <v>5.024</v>
      </c>
      <c r="G213" s="16">
        <v>68.801000000000002</v>
      </c>
    </row>
    <row r="214" spans="1:7" ht="16" thickBot="1" x14ac:dyDescent="0.25">
      <c r="A214" s="5" t="s">
        <v>23</v>
      </c>
      <c r="B214" s="6">
        <v>2</v>
      </c>
      <c r="C214" s="6" t="s">
        <v>11</v>
      </c>
      <c r="D214" s="6">
        <v>4</v>
      </c>
      <c r="E214" s="17">
        <v>64.483000000000004</v>
      </c>
      <c r="F214" s="17">
        <v>5.0289999999999999</v>
      </c>
      <c r="G214" s="18">
        <v>69.358999999999995</v>
      </c>
    </row>
    <row r="215" spans="1:7" x14ac:dyDescent="0.2">
      <c r="A215" s="2" t="s">
        <v>23</v>
      </c>
      <c r="B215" s="3">
        <v>15</v>
      </c>
      <c r="C215" s="3" t="s">
        <v>12</v>
      </c>
      <c r="D215" s="3">
        <v>1</v>
      </c>
      <c r="E215" s="13">
        <v>62.732999999999997</v>
      </c>
      <c r="F215" s="13">
        <v>5.0129999999999999</v>
      </c>
      <c r="G215" s="14">
        <v>67.611999999999995</v>
      </c>
    </row>
    <row r="216" spans="1:7" x14ac:dyDescent="0.2">
      <c r="A216" s="4" t="s">
        <v>23</v>
      </c>
      <c r="B216" s="1">
        <v>13</v>
      </c>
      <c r="C216" s="1" t="s">
        <v>12</v>
      </c>
      <c r="D216" s="1">
        <v>2</v>
      </c>
      <c r="E216" s="15">
        <v>63.930999999999997</v>
      </c>
      <c r="F216" s="15">
        <v>5.032</v>
      </c>
      <c r="G216" s="16">
        <v>68.831999999999994</v>
      </c>
    </row>
    <row r="217" spans="1:7" x14ac:dyDescent="0.2">
      <c r="A217" s="4" t="s">
        <v>23</v>
      </c>
      <c r="B217" s="1">
        <v>4</v>
      </c>
      <c r="C217" s="1" t="s">
        <v>12</v>
      </c>
      <c r="D217" s="1">
        <v>3</v>
      </c>
      <c r="E217" s="15">
        <v>63.802</v>
      </c>
      <c r="F217" s="15">
        <v>5.077</v>
      </c>
      <c r="G217" s="16">
        <v>68.744</v>
      </c>
    </row>
    <row r="218" spans="1:7" ht="16" thickBot="1" x14ac:dyDescent="0.25">
      <c r="A218" s="5" t="s">
        <v>23</v>
      </c>
      <c r="B218" s="6">
        <v>10</v>
      </c>
      <c r="C218" s="6" t="s">
        <v>12</v>
      </c>
      <c r="D218" s="6">
        <v>4</v>
      </c>
      <c r="E218" s="17">
        <v>58.267000000000003</v>
      </c>
      <c r="F218" s="17">
        <v>5.0190000000000001</v>
      </c>
      <c r="G218" s="18">
        <v>63.149000000000001</v>
      </c>
    </row>
    <row r="219" spans="1:7" x14ac:dyDescent="0.2">
      <c r="A219" s="2" t="s">
        <v>23</v>
      </c>
      <c r="B219" s="3">
        <v>7</v>
      </c>
      <c r="C219" s="3" t="s">
        <v>13</v>
      </c>
      <c r="D219" s="3">
        <v>1</v>
      </c>
      <c r="E219" s="13">
        <v>64.870999999999995</v>
      </c>
      <c r="F219" s="13">
        <v>5.04</v>
      </c>
      <c r="G219" s="14">
        <v>69.81</v>
      </c>
    </row>
    <row r="220" spans="1:7" x14ac:dyDescent="0.2">
      <c r="A220" s="4" t="s">
        <v>23</v>
      </c>
      <c r="B220" s="1">
        <v>14</v>
      </c>
      <c r="C220" s="1" t="s">
        <v>13</v>
      </c>
      <c r="D220" s="1">
        <v>2</v>
      </c>
      <c r="E220" s="15">
        <v>59.81</v>
      </c>
      <c r="F220" s="15">
        <v>5.0110000000000001</v>
      </c>
      <c r="G220" s="16">
        <v>64.722999999999999</v>
      </c>
    </row>
    <row r="221" spans="1:7" x14ac:dyDescent="0.2">
      <c r="A221" s="4" t="s">
        <v>23</v>
      </c>
      <c r="B221" s="1">
        <v>2</v>
      </c>
      <c r="C221" s="1" t="s">
        <v>13</v>
      </c>
      <c r="D221" s="1">
        <v>3</v>
      </c>
      <c r="E221" s="15">
        <v>64.481999999999999</v>
      </c>
      <c r="F221" s="15">
        <v>5.0309999999999997</v>
      </c>
      <c r="G221" s="16">
        <v>69.415999999999997</v>
      </c>
    </row>
    <row r="222" spans="1:7" ht="16" thickBot="1" x14ac:dyDescent="0.25">
      <c r="A222" s="5" t="s">
        <v>23</v>
      </c>
      <c r="B222" s="6">
        <v>8</v>
      </c>
      <c r="C222" s="6" t="s">
        <v>13</v>
      </c>
      <c r="D222" s="6">
        <v>4</v>
      </c>
      <c r="E222" s="17">
        <v>65.316000000000003</v>
      </c>
      <c r="F222" s="17">
        <v>5.0380000000000003</v>
      </c>
      <c r="G222" s="18">
        <v>70.253</v>
      </c>
    </row>
    <row r="223" spans="1:7" x14ac:dyDescent="0.2">
      <c r="A223" s="2" t="s">
        <v>23</v>
      </c>
      <c r="B223" s="3">
        <v>1</v>
      </c>
      <c r="C223" s="3" t="s">
        <v>14</v>
      </c>
      <c r="D223" s="3">
        <v>1</v>
      </c>
      <c r="E223" s="13">
        <v>63.08</v>
      </c>
      <c r="F223" s="13">
        <v>5.0369999999999999</v>
      </c>
      <c r="G223" s="14">
        <v>68.040000000000006</v>
      </c>
    </row>
    <row r="224" spans="1:7" x14ac:dyDescent="0.2">
      <c r="A224" s="4" t="s">
        <v>23</v>
      </c>
      <c r="B224" s="1">
        <v>5</v>
      </c>
      <c r="C224" s="1" t="s">
        <v>14</v>
      </c>
      <c r="D224" s="1">
        <v>2</v>
      </c>
      <c r="E224" s="15">
        <v>62.197000000000003</v>
      </c>
      <c r="F224" s="15">
        <v>5.0229999999999997</v>
      </c>
      <c r="G224" s="16">
        <v>67.147000000000006</v>
      </c>
    </row>
    <row r="225" spans="1:7" x14ac:dyDescent="0.2">
      <c r="A225" s="4" t="s">
        <v>23</v>
      </c>
      <c r="B225" s="1">
        <v>6</v>
      </c>
      <c r="C225" s="1" t="s">
        <v>14</v>
      </c>
      <c r="D225" s="1">
        <v>3</v>
      </c>
      <c r="E225" s="15">
        <v>68.064999999999998</v>
      </c>
      <c r="F225" s="15">
        <v>5.0209999999999999</v>
      </c>
      <c r="G225" s="16">
        <v>73.010999999999996</v>
      </c>
    </row>
    <row r="226" spans="1:7" ht="16" thickBot="1" x14ac:dyDescent="0.25">
      <c r="A226" s="5" t="s">
        <v>23</v>
      </c>
      <c r="B226" s="6">
        <v>3</v>
      </c>
      <c r="C226" s="6" t="s">
        <v>14</v>
      </c>
      <c r="D226" s="6">
        <v>4</v>
      </c>
      <c r="E226" s="17">
        <v>65.747</v>
      </c>
      <c r="F226" s="17">
        <v>5.0359999999999996</v>
      </c>
      <c r="G226" s="18">
        <v>70.710999999999999</v>
      </c>
    </row>
    <row r="227" spans="1:7" x14ac:dyDescent="0.2">
      <c r="A227" s="2" t="s">
        <v>23</v>
      </c>
      <c r="B227" s="3">
        <v>4</v>
      </c>
      <c r="C227" s="3" t="s">
        <v>15</v>
      </c>
      <c r="D227" s="3">
        <v>1</v>
      </c>
      <c r="E227" s="13">
        <v>63.802</v>
      </c>
      <c r="F227" s="13">
        <v>5.0609999999999999</v>
      </c>
      <c r="G227" s="14">
        <v>68.795000000000002</v>
      </c>
    </row>
    <row r="228" spans="1:7" x14ac:dyDescent="0.2">
      <c r="A228" s="4" t="s">
        <v>23</v>
      </c>
      <c r="B228" s="1">
        <v>14</v>
      </c>
      <c r="C228" s="1" t="s">
        <v>15</v>
      </c>
      <c r="D228" s="1">
        <v>2</v>
      </c>
      <c r="E228" s="15">
        <v>59.808999999999997</v>
      </c>
      <c r="F228" s="15">
        <v>5.069</v>
      </c>
      <c r="G228" s="16">
        <v>64.811999999999998</v>
      </c>
    </row>
    <row r="229" spans="1:7" x14ac:dyDescent="0.2">
      <c r="A229" s="4" t="s">
        <v>23</v>
      </c>
      <c r="B229" s="1">
        <v>10</v>
      </c>
      <c r="C229" s="1" t="s">
        <v>15</v>
      </c>
      <c r="D229" s="1">
        <v>3</v>
      </c>
      <c r="E229" s="15">
        <v>58.265999999999998</v>
      </c>
      <c r="F229" s="15">
        <v>5.0780000000000003</v>
      </c>
      <c r="G229" s="16">
        <v>63.277000000000001</v>
      </c>
    </row>
    <row r="230" spans="1:7" ht="16" thickBot="1" x14ac:dyDescent="0.25">
      <c r="A230" s="5" t="s">
        <v>23</v>
      </c>
      <c r="B230" s="6">
        <v>7</v>
      </c>
      <c r="C230" s="6" t="s">
        <v>15</v>
      </c>
      <c r="D230" s="6">
        <v>4</v>
      </c>
      <c r="E230" s="17">
        <v>64.870999999999995</v>
      </c>
      <c r="F230" s="17">
        <v>5.0250000000000004</v>
      </c>
      <c r="G230" s="18">
        <v>69.828000000000003</v>
      </c>
    </row>
    <row r="231" spans="1:7" x14ac:dyDescent="0.2">
      <c r="A231" s="2" t="s">
        <v>23</v>
      </c>
      <c r="B231" s="3">
        <v>1</v>
      </c>
      <c r="C231" s="3" t="s">
        <v>16</v>
      </c>
      <c r="D231" s="3">
        <v>1</v>
      </c>
      <c r="E231" s="13">
        <v>63.08</v>
      </c>
      <c r="F231" s="13">
        <v>5.01</v>
      </c>
      <c r="G231" s="14">
        <v>68.031000000000006</v>
      </c>
    </row>
    <row r="232" spans="1:7" x14ac:dyDescent="0.2">
      <c r="A232" s="4" t="s">
        <v>23</v>
      </c>
      <c r="B232" s="1">
        <v>2</v>
      </c>
      <c r="C232" s="1" t="s">
        <v>16</v>
      </c>
      <c r="D232" s="1">
        <v>2</v>
      </c>
      <c r="E232" s="15">
        <v>64.483000000000004</v>
      </c>
      <c r="F232" s="15">
        <v>5.0919999999999996</v>
      </c>
      <c r="G232" s="16">
        <v>69.510000000000005</v>
      </c>
    </row>
    <row r="233" spans="1:7" x14ac:dyDescent="0.2">
      <c r="A233" s="4" t="s">
        <v>23</v>
      </c>
      <c r="B233" s="1">
        <v>15</v>
      </c>
      <c r="C233" s="1" t="s">
        <v>16</v>
      </c>
      <c r="D233" s="1">
        <v>3</v>
      </c>
      <c r="E233" s="15">
        <v>62.731999999999999</v>
      </c>
      <c r="F233" s="15">
        <v>5.0129999999999999</v>
      </c>
      <c r="G233" s="16">
        <v>67.682000000000002</v>
      </c>
    </row>
    <row r="234" spans="1:7" ht="16" thickBot="1" x14ac:dyDescent="0.25">
      <c r="A234" s="5" t="s">
        <v>23</v>
      </c>
      <c r="B234" s="6">
        <v>5</v>
      </c>
      <c r="C234" s="6" t="s">
        <v>16</v>
      </c>
      <c r="D234" s="6">
        <v>4</v>
      </c>
      <c r="E234" s="17">
        <v>62.197000000000003</v>
      </c>
      <c r="F234" s="17">
        <v>5.0209999999999999</v>
      </c>
      <c r="G234" s="18">
        <v>67.153000000000006</v>
      </c>
    </row>
    <row r="235" spans="1:7" x14ac:dyDescent="0.2">
      <c r="A235" s="2" t="s">
        <v>23</v>
      </c>
      <c r="B235" s="3">
        <v>6</v>
      </c>
      <c r="C235" s="3" t="s">
        <v>17</v>
      </c>
      <c r="D235" s="3">
        <v>1</v>
      </c>
      <c r="E235" s="13">
        <v>68.063999999999993</v>
      </c>
      <c r="F235" s="13">
        <v>5.0179999999999998</v>
      </c>
      <c r="G235" s="14">
        <v>73.031000000000006</v>
      </c>
    </row>
    <row r="236" spans="1:7" x14ac:dyDescent="0.2">
      <c r="A236" s="4" t="s">
        <v>23</v>
      </c>
      <c r="B236" s="1">
        <v>3</v>
      </c>
      <c r="C236" s="1" t="s">
        <v>17</v>
      </c>
      <c r="D236" s="1">
        <v>2</v>
      </c>
      <c r="E236" s="15">
        <v>65.747</v>
      </c>
      <c r="F236" s="15">
        <v>5.0410000000000004</v>
      </c>
      <c r="G236" s="16">
        <v>70.738</v>
      </c>
    </row>
    <row r="237" spans="1:7" x14ac:dyDescent="0.2">
      <c r="A237" s="4" t="s">
        <v>23</v>
      </c>
      <c r="B237" s="1">
        <v>8</v>
      </c>
      <c r="C237" s="1" t="s">
        <v>17</v>
      </c>
      <c r="D237" s="1">
        <v>3</v>
      </c>
      <c r="E237" s="15">
        <v>65.316000000000003</v>
      </c>
      <c r="F237" s="15">
        <v>5.0629999999999997</v>
      </c>
      <c r="G237" s="16">
        <v>70.325000000000003</v>
      </c>
    </row>
    <row r="238" spans="1:7" ht="16" thickBot="1" x14ac:dyDescent="0.25">
      <c r="A238" s="5" t="s">
        <v>23</v>
      </c>
      <c r="B238" s="6">
        <v>13</v>
      </c>
      <c r="C238" s="6" t="s">
        <v>17</v>
      </c>
      <c r="D238" s="6">
        <v>4</v>
      </c>
      <c r="E238" s="17">
        <v>63.930999999999997</v>
      </c>
      <c r="F238" s="17">
        <v>5.0330000000000004</v>
      </c>
      <c r="G238" s="18">
        <v>68.91</v>
      </c>
    </row>
    <row r="239" spans="1:7" x14ac:dyDescent="0.2">
      <c r="A239" s="2" t="s">
        <v>23</v>
      </c>
      <c r="B239" s="3">
        <v>7</v>
      </c>
      <c r="C239" s="3" t="s">
        <v>18</v>
      </c>
      <c r="D239" s="3">
        <v>1</v>
      </c>
      <c r="E239" s="13">
        <v>64.872</v>
      </c>
      <c r="F239" s="13">
        <v>5.0209999999999999</v>
      </c>
      <c r="G239" s="14">
        <v>69.846999999999994</v>
      </c>
    </row>
    <row r="240" spans="1:7" x14ac:dyDescent="0.2">
      <c r="A240" s="4" t="s">
        <v>23</v>
      </c>
      <c r="B240" s="1">
        <v>6</v>
      </c>
      <c r="C240" s="1" t="s">
        <v>18</v>
      </c>
      <c r="D240" s="1">
        <v>2</v>
      </c>
      <c r="E240" s="15">
        <v>68.066000000000003</v>
      </c>
      <c r="F240" s="15">
        <v>5.0140000000000002</v>
      </c>
      <c r="G240" s="16">
        <v>73.037000000000006</v>
      </c>
    </row>
    <row r="241" spans="1:7" x14ac:dyDescent="0.2">
      <c r="A241" s="4" t="s">
        <v>23</v>
      </c>
      <c r="B241" s="1">
        <v>4</v>
      </c>
      <c r="C241" s="1" t="s">
        <v>18</v>
      </c>
      <c r="D241" s="1">
        <v>3</v>
      </c>
      <c r="E241" s="15">
        <v>63.802999999999997</v>
      </c>
      <c r="F241" s="15">
        <v>5.0750000000000002</v>
      </c>
      <c r="G241" s="16">
        <v>68.831000000000003</v>
      </c>
    </row>
    <row r="242" spans="1:7" ht="16" thickBot="1" x14ac:dyDescent="0.25">
      <c r="A242" s="5" t="s">
        <v>23</v>
      </c>
      <c r="B242" s="6">
        <v>10</v>
      </c>
      <c r="C242" s="6" t="s">
        <v>18</v>
      </c>
      <c r="D242" s="6">
        <v>4</v>
      </c>
      <c r="E242" s="17">
        <v>58.267000000000003</v>
      </c>
      <c r="F242" s="17">
        <v>5.05</v>
      </c>
      <c r="G242" s="18">
        <v>63.273000000000003</v>
      </c>
    </row>
    <row r="243" spans="1:7" x14ac:dyDescent="0.2">
      <c r="A243" s="2" t="s">
        <v>23</v>
      </c>
      <c r="B243" s="3">
        <v>13</v>
      </c>
      <c r="C243" s="3" t="s">
        <v>19</v>
      </c>
      <c r="D243" s="3">
        <v>1</v>
      </c>
      <c r="E243" s="13">
        <v>63.930999999999997</v>
      </c>
      <c r="F243" s="13">
        <v>5.0629999999999997</v>
      </c>
      <c r="G243" s="14">
        <v>68.951999999999998</v>
      </c>
    </row>
    <row r="244" spans="1:7" x14ac:dyDescent="0.2">
      <c r="A244" s="4" t="s">
        <v>23</v>
      </c>
      <c r="B244" s="1">
        <v>5</v>
      </c>
      <c r="C244" s="1" t="s">
        <v>19</v>
      </c>
      <c r="D244" s="1">
        <v>2</v>
      </c>
      <c r="E244" s="15">
        <v>62.198</v>
      </c>
      <c r="F244" s="15">
        <v>5.0679999999999996</v>
      </c>
      <c r="G244" s="16">
        <v>67.222999999999999</v>
      </c>
    </row>
    <row r="245" spans="1:7" x14ac:dyDescent="0.2">
      <c r="A245" s="4" t="s">
        <v>23</v>
      </c>
      <c r="B245" s="1">
        <v>2</v>
      </c>
      <c r="C245" s="1" t="s">
        <v>19</v>
      </c>
      <c r="D245" s="1">
        <v>3</v>
      </c>
      <c r="E245" s="15">
        <v>64.481999999999999</v>
      </c>
      <c r="F245" s="15">
        <v>5.0049999999999999</v>
      </c>
      <c r="G245" s="16">
        <v>69.447999999999993</v>
      </c>
    </row>
    <row r="246" spans="1:7" ht="16" thickBot="1" x14ac:dyDescent="0.25">
      <c r="A246" s="5" t="s">
        <v>23</v>
      </c>
      <c r="B246" s="6">
        <v>8</v>
      </c>
      <c r="C246" s="6" t="s">
        <v>19</v>
      </c>
      <c r="D246" s="6">
        <v>4</v>
      </c>
      <c r="E246" s="17">
        <v>65.316000000000003</v>
      </c>
      <c r="F246" s="17">
        <v>5.0659999999999998</v>
      </c>
      <c r="G246" s="18">
        <v>70.34</v>
      </c>
    </row>
    <row r="247" spans="1:7" x14ac:dyDescent="0.2">
      <c r="A247" s="8" t="s">
        <v>24</v>
      </c>
      <c r="B247" s="3">
        <v>14</v>
      </c>
      <c r="C247" s="3" t="s">
        <v>9</v>
      </c>
      <c r="D247" s="3">
        <v>1</v>
      </c>
      <c r="E247" s="13">
        <v>59.81</v>
      </c>
      <c r="F247" s="13">
        <v>5.0410000000000004</v>
      </c>
      <c r="G247" s="14">
        <v>64.713999999999999</v>
      </c>
    </row>
    <row r="248" spans="1:7" x14ac:dyDescent="0.2">
      <c r="A248" s="4" t="s">
        <v>24</v>
      </c>
      <c r="B248" s="1">
        <v>1</v>
      </c>
      <c r="C248" s="1" t="s">
        <v>9</v>
      </c>
      <c r="D248" s="1">
        <v>2</v>
      </c>
      <c r="E248" s="15">
        <v>63.081000000000003</v>
      </c>
      <c r="F248" s="15">
        <v>5.0759999999999996</v>
      </c>
      <c r="G248" s="16">
        <v>68.024000000000001</v>
      </c>
    </row>
    <row r="249" spans="1:7" x14ac:dyDescent="0.2">
      <c r="A249" s="4" t="s">
        <v>24</v>
      </c>
      <c r="B249" s="1">
        <v>15</v>
      </c>
      <c r="C249" s="1" t="s">
        <v>9</v>
      </c>
      <c r="D249" s="1">
        <v>3</v>
      </c>
      <c r="E249" s="15">
        <v>62.731999999999999</v>
      </c>
      <c r="F249" s="15">
        <v>5.0259999999999998</v>
      </c>
      <c r="G249" s="16">
        <v>67.626999999999995</v>
      </c>
    </row>
    <row r="250" spans="1:7" ht="16" thickBot="1" x14ac:dyDescent="0.25">
      <c r="A250" s="5" t="s">
        <v>24</v>
      </c>
      <c r="B250" s="6">
        <v>3</v>
      </c>
      <c r="C250" s="6" t="s">
        <v>9</v>
      </c>
      <c r="D250" s="6">
        <v>4</v>
      </c>
      <c r="E250" s="17">
        <v>65.748000000000005</v>
      </c>
      <c r="F250" s="17">
        <v>5.0019999999999998</v>
      </c>
      <c r="G250" s="18">
        <v>70.613</v>
      </c>
    </row>
    <row r="251" spans="1:7" x14ac:dyDescent="0.2">
      <c r="A251" s="2" t="s">
        <v>24</v>
      </c>
      <c r="B251" s="3">
        <v>10</v>
      </c>
      <c r="C251" s="3" t="s">
        <v>10</v>
      </c>
      <c r="D251" s="3">
        <v>1</v>
      </c>
      <c r="E251" s="13">
        <v>58.267000000000003</v>
      </c>
      <c r="F251" s="13">
        <v>5.016</v>
      </c>
      <c r="G251" s="14">
        <v>63.183999999999997</v>
      </c>
    </row>
    <row r="252" spans="1:7" x14ac:dyDescent="0.2">
      <c r="A252" s="4" t="s">
        <v>24</v>
      </c>
      <c r="B252" s="1">
        <v>15</v>
      </c>
      <c r="C252" s="1" t="s">
        <v>10</v>
      </c>
      <c r="D252" s="1">
        <v>2</v>
      </c>
      <c r="E252" s="15">
        <v>62.732999999999997</v>
      </c>
      <c r="F252" s="15">
        <v>5.0549999999999997</v>
      </c>
      <c r="G252" s="16">
        <v>67.688999999999993</v>
      </c>
    </row>
    <row r="253" spans="1:7" x14ac:dyDescent="0.2">
      <c r="A253" s="4" t="s">
        <v>24</v>
      </c>
      <c r="B253" s="1">
        <v>3</v>
      </c>
      <c r="C253" s="1" t="s">
        <v>10</v>
      </c>
      <c r="D253" s="1">
        <v>3</v>
      </c>
      <c r="E253" s="15">
        <v>65.748000000000005</v>
      </c>
      <c r="F253" s="15">
        <v>5.05</v>
      </c>
      <c r="G253" s="16">
        <v>70.701999999999998</v>
      </c>
    </row>
    <row r="254" spans="1:7" ht="16" thickBot="1" x14ac:dyDescent="0.25">
      <c r="A254" s="5" t="s">
        <v>24</v>
      </c>
      <c r="B254" s="6">
        <v>1</v>
      </c>
      <c r="C254" s="6" t="s">
        <v>10</v>
      </c>
      <c r="D254" s="6">
        <v>4</v>
      </c>
      <c r="E254" s="17">
        <v>63.081000000000003</v>
      </c>
      <c r="F254" s="17">
        <v>5.0490000000000004</v>
      </c>
      <c r="G254" s="18">
        <v>68.025999999999996</v>
      </c>
    </row>
    <row r="255" spans="1:7" x14ac:dyDescent="0.2">
      <c r="A255" s="2" t="s">
        <v>24</v>
      </c>
      <c r="B255" s="3">
        <v>5</v>
      </c>
      <c r="C255" s="3" t="s">
        <v>11</v>
      </c>
      <c r="D255" s="3">
        <v>1</v>
      </c>
      <c r="E255" s="13">
        <v>62.198</v>
      </c>
      <c r="F255" s="13">
        <v>5.0970000000000004</v>
      </c>
      <c r="G255" s="14">
        <v>67.200999999999993</v>
      </c>
    </row>
    <row r="256" spans="1:7" x14ac:dyDescent="0.2">
      <c r="A256" s="4" t="s">
        <v>24</v>
      </c>
      <c r="B256" s="1">
        <v>2</v>
      </c>
      <c r="C256" s="1" t="s">
        <v>11</v>
      </c>
      <c r="D256" s="1">
        <v>2</v>
      </c>
      <c r="E256" s="15">
        <v>64.483999999999995</v>
      </c>
      <c r="F256" s="15">
        <v>5.0220000000000002</v>
      </c>
      <c r="G256" s="16">
        <v>69.397999999999996</v>
      </c>
    </row>
    <row r="257" spans="1:7" x14ac:dyDescent="0.2">
      <c r="A257" s="4" t="s">
        <v>24</v>
      </c>
      <c r="B257" s="1">
        <v>8</v>
      </c>
      <c r="C257" s="1" t="s">
        <v>11</v>
      </c>
      <c r="D257" s="1">
        <v>3</v>
      </c>
      <c r="E257" s="15">
        <v>65.316999999999993</v>
      </c>
      <c r="F257" s="15">
        <v>5.0780000000000003</v>
      </c>
      <c r="G257" s="16">
        <v>70.304000000000002</v>
      </c>
    </row>
    <row r="258" spans="1:7" ht="16" thickBot="1" x14ac:dyDescent="0.25">
      <c r="A258" s="5" t="s">
        <v>24</v>
      </c>
      <c r="B258" s="6">
        <v>4</v>
      </c>
      <c r="C258" s="6" t="s">
        <v>11</v>
      </c>
      <c r="D258" s="6">
        <v>4</v>
      </c>
      <c r="E258" s="17">
        <v>63.804000000000002</v>
      </c>
      <c r="F258" s="17">
        <v>5.0339999999999998</v>
      </c>
      <c r="G258" s="18">
        <v>68.742999999999995</v>
      </c>
    </row>
    <row r="259" spans="1:7" x14ac:dyDescent="0.2">
      <c r="A259" s="2" t="s">
        <v>24</v>
      </c>
      <c r="B259" s="3">
        <v>6</v>
      </c>
      <c r="C259" s="3" t="s">
        <v>12</v>
      </c>
      <c r="D259" s="3">
        <v>1</v>
      </c>
      <c r="E259" s="13">
        <v>68.066000000000003</v>
      </c>
      <c r="F259" s="13">
        <v>5.0780000000000003</v>
      </c>
      <c r="G259" s="14">
        <v>73.072000000000003</v>
      </c>
    </row>
    <row r="260" spans="1:7" x14ac:dyDescent="0.2">
      <c r="A260" s="4" t="s">
        <v>24</v>
      </c>
      <c r="B260" s="1">
        <v>14</v>
      </c>
      <c r="C260" s="1" t="s">
        <v>12</v>
      </c>
      <c r="D260" s="1">
        <v>2</v>
      </c>
      <c r="E260" s="15">
        <v>59.81</v>
      </c>
      <c r="F260" s="15">
        <v>5.0170000000000003</v>
      </c>
      <c r="G260" s="16">
        <v>64.760000000000005</v>
      </c>
    </row>
    <row r="261" spans="1:7" x14ac:dyDescent="0.2">
      <c r="A261" s="4" t="s">
        <v>24</v>
      </c>
      <c r="B261" s="1">
        <v>7</v>
      </c>
      <c r="C261" s="1" t="s">
        <v>12</v>
      </c>
      <c r="D261" s="1">
        <v>3</v>
      </c>
      <c r="E261" s="15">
        <v>64.872</v>
      </c>
      <c r="F261" s="15">
        <v>5.0359999999999996</v>
      </c>
      <c r="G261" s="16">
        <v>69.837999999999994</v>
      </c>
    </row>
    <row r="262" spans="1:7" ht="16" thickBot="1" x14ac:dyDescent="0.25">
      <c r="A262" s="5" t="s">
        <v>24</v>
      </c>
      <c r="B262" s="6">
        <v>13</v>
      </c>
      <c r="C262" s="6" t="s">
        <v>12</v>
      </c>
      <c r="D262" s="6">
        <v>4</v>
      </c>
      <c r="E262" s="17">
        <v>63.932000000000002</v>
      </c>
      <c r="F262" s="17">
        <v>5.0720000000000001</v>
      </c>
      <c r="G262" s="18">
        <v>68.930000000000007</v>
      </c>
    </row>
    <row r="263" spans="1:7" x14ac:dyDescent="0.2">
      <c r="A263" s="2" t="s">
        <v>24</v>
      </c>
      <c r="B263" s="3">
        <v>13</v>
      </c>
      <c r="C263" s="3" t="s">
        <v>13</v>
      </c>
      <c r="D263" s="3">
        <v>1</v>
      </c>
      <c r="E263" s="13">
        <v>63.930999999999997</v>
      </c>
      <c r="F263" s="13">
        <v>5.0090000000000003</v>
      </c>
      <c r="G263" s="14">
        <v>68.894000000000005</v>
      </c>
    </row>
    <row r="264" spans="1:7" x14ac:dyDescent="0.2">
      <c r="A264" s="4" t="s">
        <v>24</v>
      </c>
      <c r="B264" s="1">
        <v>15</v>
      </c>
      <c r="C264" s="1" t="s">
        <v>13</v>
      </c>
      <c r="D264" s="1">
        <v>2</v>
      </c>
      <c r="E264" s="15">
        <v>62.731999999999999</v>
      </c>
      <c r="F264" s="15">
        <v>5.0759999999999996</v>
      </c>
      <c r="G264" s="16">
        <v>67.762</v>
      </c>
    </row>
    <row r="265" spans="1:7" x14ac:dyDescent="0.2">
      <c r="A265" s="4" t="s">
        <v>24</v>
      </c>
      <c r="B265" s="1">
        <v>2</v>
      </c>
      <c r="C265" s="1" t="s">
        <v>13</v>
      </c>
      <c r="D265" s="1">
        <v>3</v>
      </c>
      <c r="E265" s="15">
        <v>64.483000000000004</v>
      </c>
      <c r="F265" s="15">
        <v>5.0419999999999998</v>
      </c>
      <c r="G265" s="16">
        <v>69.477999999999994</v>
      </c>
    </row>
    <row r="266" spans="1:7" ht="16" thickBot="1" x14ac:dyDescent="0.25">
      <c r="A266" s="5" t="s">
        <v>24</v>
      </c>
      <c r="B266" s="6">
        <v>14</v>
      </c>
      <c r="C266" s="6" t="s">
        <v>13</v>
      </c>
      <c r="D266" s="6">
        <v>4</v>
      </c>
      <c r="E266" s="17">
        <v>59.81</v>
      </c>
      <c r="F266" s="17">
        <v>5.0199999999999996</v>
      </c>
      <c r="G266" s="18">
        <v>64.783000000000001</v>
      </c>
    </row>
    <row r="267" spans="1:7" x14ac:dyDescent="0.2">
      <c r="A267" s="2" t="s">
        <v>24</v>
      </c>
      <c r="B267" s="3">
        <v>6</v>
      </c>
      <c r="C267" s="3" t="s">
        <v>14</v>
      </c>
      <c r="D267" s="3">
        <v>1</v>
      </c>
      <c r="E267" s="13">
        <v>68.064999999999998</v>
      </c>
      <c r="F267" s="13">
        <v>5.024</v>
      </c>
      <c r="G267" s="14">
        <v>73.052000000000007</v>
      </c>
    </row>
    <row r="268" spans="1:7" x14ac:dyDescent="0.2">
      <c r="A268" s="4" t="s">
        <v>24</v>
      </c>
      <c r="B268" s="1">
        <v>7</v>
      </c>
      <c r="C268" s="1" t="s">
        <v>14</v>
      </c>
      <c r="D268" s="1">
        <v>2</v>
      </c>
      <c r="E268" s="15">
        <v>64.870999999999995</v>
      </c>
      <c r="F268" s="15">
        <v>5.0170000000000003</v>
      </c>
      <c r="G268" s="16">
        <v>69.852000000000004</v>
      </c>
    </row>
    <row r="269" spans="1:7" x14ac:dyDescent="0.2">
      <c r="A269" s="4" t="s">
        <v>24</v>
      </c>
      <c r="B269" s="1">
        <v>5</v>
      </c>
      <c r="C269" s="1" t="s">
        <v>14</v>
      </c>
      <c r="D269" s="1">
        <v>3</v>
      </c>
      <c r="E269" s="15">
        <v>62.197000000000003</v>
      </c>
      <c r="F269" s="15">
        <v>5.0960000000000001</v>
      </c>
      <c r="G269" s="16">
        <v>67.257000000000005</v>
      </c>
    </row>
    <row r="270" spans="1:7" ht="16" thickBot="1" x14ac:dyDescent="0.25">
      <c r="A270" s="5" t="s">
        <v>24</v>
      </c>
      <c r="B270" s="6">
        <v>1</v>
      </c>
      <c r="C270" s="6" t="s">
        <v>14</v>
      </c>
      <c r="D270" s="6">
        <v>4</v>
      </c>
      <c r="E270" s="17">
        <v>63.081000000000003</v>
      </c>
      <c r="F270" s="17">
        <v>5.0369999999999999</v>
      </c>
      <c r="G270" s="18">
        <v>68.081999999999994</v>
      </c>
    </row>
    <row r="271" spans="1:7" x14ac:dyDescent="0.2">
      <c r="A271" s="2" t="s">
        <v>24</v>
      </c>
      <c r="B271" s="3">
        <v>10</v>
      </c>
      <c r="C271" s="3" t="s">
        <v>15</v>
      </c>
      <c r="D271" s="3">
        <v>1</v>
      </c>
      <c r="E271" s="13">
        <v>58.265999999999998</v>
      </c>
      <c r="F271" s="13">
        <v>5.0060000000000002</v>
      </c>
      <c r="G271" s="14">
        <v>63.241</v>
      </c>
    </row>
    <row r="272" spans="1:7" x14ac:dyDescent="0.2">
      <c r="A272" s="4" t="s">
        <v>24</v>
      </c>
      <c r="B272" s="1">
        <v>4</v>
      </c>
      <c r="C272" s="1" t="s">
        <v>15</v>
      </c>
      <c r="D272" s="1">
        <v>2</v>
      </c>
      <c r="E272" s="15">
        <v>63.802</v>
      </c>
      <c r="F272" s="15">
        <v>5.0490000000000004</v>
      </c>
      <c r="G272" s="16">
        <v>68.819999999999993</v>
      </c>
    </row>
    <row r="273" spans="1:7" x14ac:dyDescent="0.2">
      <c r="A273" s="4" t="s">
        <v>24</v>
      </c>
      <c r="B273" s="1">
        <v>3</v>
      </c>
      <c r="C273" s="1" t="s">
        <v>15</v>
      </c>
      <c r="D273" s="1">
        <v>3</v>
      </c>
      <c r="E273" s="15">
        <v>65.747</v>
      </c>
      <c r="F273" s="15">
        <v>5.0549999999999997</v>
      </c>
      <c r="G273" s="16">
        <v>70.77</v>
      </c>
    </row>
    <row r="274" spans="1:7" ht="16" thickBot="1" x14ac:dyDescent="0.25">
      <c r="A274" s="5" t="s">
        <v>24</v>
      </c>
      <c r="B274" s="6">
        <v>8</v>
      </c>
      <c r="C274" s="6" t="s">
        <v>15</v>
      </c>
      <c r="D274" s="6">
        <v>4</v>
      </c>
      <c r="E274" s="17">
        <v>65.316000000000003</v>
      </c>
      <c r="F274" s="17">
        <v>5.0129999999999999</v>
      </c>
      <c r="G274" s="18">
        <v>70.293999999999997</v>
      </c>
    </row>
    <row r="275" spans="1:7" x14ac:dyDescent="0.2">
      <c r="A275" s="2" t="s">
        <v>24</v>
      </c>
      <c r="B275" s="3">
        <v>6</v>
      </c>
      <c r="C275" s="3" t="s">
        <v>16</v>
      </c>
      <c r="D275" s="3">
        <v>1</v>
      </c>
      <c r="E275" s="13">
        <v>68.066000000000003</v>
      </c>
      <c r="F275" s="13">
        <v>5.0599999999999996</v>
      </c>
      <c r="G275" s="14">
        <v>73.099000000000004</v>
      </c>
    </row>
    <row r="276" spans="1:7" x14ac:dyDescent="0.2">
      <c r="A276" s="4" t="s">
        <v>24</v>
      </c>
      <c r="B276" s="1">
        <v>3</v>
      </c>
      <c r="C276" s="1" t="s">
        <v>16</v>
      </c>
      <c r="D276" s="1">
        <v>2</v>
      </c>
      <c r="E276" s="15">
        <v>65.747</v>
      </c>
      <c r="F276" s="15">
        <v>5.0110000000000001</v>
      </c>
      <c r="G276" s="16">
        <v>70.733999999999995</v>
      </c>
    </row>
    <row r="277" spans="1:7" x14ac:dyDescent="0.2">
      <c r="A277" s="4" t="s">
        <v>24</v>
      </c>
      <c r="B277" s="1">
        <v>7</v>
      </c>
      <c r="C277" s="1" t="s">
        <v>16</v>
      </c>
      <c r="D277" s="1">
        <v>3</v>
      </c>
      <c r="E277" s="15">
        <v>64.870999999999995</v>
      </c>
      <c r="F277" s="15">
        <v>5.0890000000000004</v>
      </c>
      <c r="G277" s="16">
        <v>69.933000000000007</v>
      </c>
    </row>
    <row r="278" spans="1:7" ht="16" thickBot="1" x14ac:dyDescent="0.25">
      <c r="A278" s="5" t="s">
        <v>24</v>
      </c>
      <c r="B278" s="6">
        <v>2</v>
      </c>
      <c r="C278" s="6" t="s">
        <v>16</v>
      </c>
      <c r="D278" s="6">
        <v>4</v>
      </c>
      <c r="E278" s="17">
        <v>64.483000000000004</v>
      </c>
      <c r="F278" s="17">
        <v>5.0209999999999999</v>
      </c>
      <c r="G278" s="18">
        <v>69.478999999999999</v>
      </c>
    </row>
    <row r="279" spans="1:7" x14ac:dyDescent="0.2">
      <c r="A279" s="2" t="s">
        <v>24</v>
      </c>
      <c r="B279" s="3">
        <v>8</v>
      </c>
      <c r="C279" s="3" t="s">
        <v>17</v>
      </c>
      <c r="D279" s="3">
        <v>1</v>
      </c>
      <c r="E279" s="13">
        <v>65.316999999999993</v>
      </c>
      <c r="F279" s="13">
        <v>5.0890000000000004</v>
      </c>
      <c r="G279" s="14">
        <v>70.376999999999995</v>
      </c>
    </row>
    <row r="280" spans="1:7" x14ac:dyDescent="0.2">
      <c r="A280" s="4" t="s">
        <v>24</v>
      </c>
      <c r="B280" s="1">
        <v>15</v>
      </c>
      <c r="C280" s="1" t="s">
        <v>17</v>
      </c>
      <c r="D280" s="1">
        <v>2</v>
      </c>
      <c r="E280" s="15">
        <v>62.731999999999999</v>
      </c>
      <c r="F280" s="15">
        <v>5.0460000000000003</v>
      </c>
      <c r="G280" s="16">
        <v>67.75</v>
      </c>
    </row>
    <row r="281" spans="1:7" x14ac:dyDescent="0.2">
      <c r="A281" s="4" t="s">
        <v>24</v>
      </c>
      <c r="B281" s="1">
        <v>1</v>
      </c>
      <c r="C281" s="1" t="s">
        <v>17</v>
      </c>
      <c r="D281" s="1">
        <v>3</v>
      </c>
      <c r="E281" s="15">
        <v>63.081000000000003</v>
      </c>
      <c r="F281" s="15">
        <v>5.0330000000000004</v>
      </c>
      <c r="G281" s="16">
        <v>68.084999999999994</v>
      </c>
    </row>
    <row r="282" spans="1:7" ht="16" thickBot="1" x14ac:dyDescent="0.25">
      <c r="A282" s="5" t="s">
        <v>24</v>
      </c>
      <c r="B282" s="6">
        <v>13</v>
      </c>
      <c r="C282" s="6" t="s">
        <v>17</v>
      </c>
      <c r="D282" s="6">
        <v>4</v>
      </c>
      <c r="E282" s="17">
        <v>63.930999999999997</v>
      </c>
      <c r="F282" s="17">
        <v>5.077</v>
      </c>
      <c r="G282" s="18">
        <v>68.98</v>
      </c>
    </row>
    <row r="283" spans="1:7" x14ac:dyDescent="0.2">
      <c r="A283" s="2" t="s">
        <v>24</v>
      </c>
      <c r="B283" s="3">
        <v>5</v>
      </c>
      <c r="C283" s="3" t="s">
        <v>18</v>
      </c>
      <c r="D283" s="3">
        <v>1</v>
      </c>
      <c r="E283" s="13">
        <v>62.197000000000003</v>
      </c>
      <c r="F283" s="13">
        <v>5.0469999999999997</v>
      </c>
      <c r="G283" s="14">
        <v>67.210999999999999</v>
      </c>
    </row>
    <row r="284" spans="1:7" x14ac:dyDescent="0.2">
      <c r="A284" s="4" t="s">
        <v>24</v>
      </c>
      <c r="B284" s="1">
        <v>4</v>
      </c>
      <c r="C284" s="1" t="s">
        <v>18</v>
      </c>
      <c r="D284" s="1">
        <v>2</v>
      </c>
      <c r="E284" s="15">
        <v>63.802</v>
      </c>
      <c r="F284" s="15">
        <v>5.0259999999999998</v>
      </c>
      <c r="G284" s="16">
        <v>68.793999999999997</v>
      </c>
    </row>
    <row r="285" spans="1:7" x14ac:dyDescent="0.2">
      <c r="A285" s="4" t="s">
        <v>24</v>
      </c>
      <c r="B285" s="1">
        <v>10</v>
      </c>
      <c r="C285" s="1" t="s">
        <v>18</v>
      </c>
      <c r="D285" s="1">
        <v>3</v>
      </c>
      <c r="E285" s="15">
        <v>58.267000000000003</v>
      </c>
      <c r="F285" s="15">
        <v>5.0609999999999999</v>
      </c>
      <c r="G285" s="16">
        <v>63.292999999999999</v>
      </c>
    </row>
    <row r="286" spans="1:7" ht="16" thickBot="1" x14ac:dyDescent="0.25">
      <c r="A286" s="5" t="s">
        <v>24</v>
      </c>
      <c r="B286" s="6">
        <v>14</v>
      </c>
      <c r="C286" s="6" t="s">
        <v>18</v>
      </c>
      <c r="D286" s="6">
        <v>4</v>
      </c>
      <c r="E286" s="17">
        <v>59.81</v>
      </c>
      <c r="F286" s="17">
        <v>5.0170000000000003</v>
      </c>
      <c r="G286" s="18">
        <v>64.792000000000002</v>
      </c>
    </row>
    <row r="287" spans="1:7" x14ac:dyDescent="0.2">
      <c r="A287" s="8" t="s">
        <v>25</v>
      </c>
      <c r="B287" s="3">
        <v>8</v>
      </c>
      <c r="C287" s="3" t="s">
        <v>9</v>
      </c>
      <c r="D287" s="3">
        <v>1</v>
      </c>
      <c r="E287" s="13">
        <v>65.317999999999998</v>
      </c>
      <c r="F287" s="13">
        <v>5.0940000000000003</v>
      </c>
      <c r="G287" s="14">
        <v>70.266999999999996</v>
      </c>
    </row>
    <row r="288" spans="1:7" x14ac:dyDescent="0.2">
      <c r="A288" s="4" t="s">
        <v>25</v>
      </c>
      <c r="B288" s="1">
        <v>14</v>
      </c>
      <c r="C288" s="1" t="s">
        <v>9</v>
      </c>
      <c r="D288" s="1">
        <v>2</v>
      </c>
      <c r="E288" s="15">
        <v>59.811</v>
      </c>
      <c r="F288" s="15">
        <v>5.0220000000000002</v>
      </c>
      <c r="G288" s="16">
        <v>64.686000000000007</v>
      </c>
    </row>
    <row r="289" spans="1:7" x14ac:dyDescent="0.2">
      <c r="A289" s="4" t="s">
        <v>25</v>
      </c>
      <c r="B289" s="1">
        <v>6</v>
      </c>
      <c r="C289" s="1" t="s">
        <v>9</v>
      </c>
      <c r="D289" s="1">
        <v>3</v>
      </c>
      <c r="E289" s="15">
        <v>68.066000000000003</v>
      </c>
      <c r="F289" s="15">
        <v>5.0469999999999997</v>
      </c>
      <c r="G289" s="16">
        <v>72.97</v>
      </c>
    </row>
    <row r="290" spans="1:7" ht="16" thickBot="1" x14ac:dyDescent="0.25">
      <c r="A290" s="5" t="s">
        <v>25</v>
      </c>
      <c r="B290" s="6">
        <v>4</v>
      </c>
      <c r="C290" s="6" t="s">
        <v>9</v>
      </c>
      <c r="D290" s="6">
        <v>4</v>
      </c>
      <c r="E290" s="17">
        <v>63.802999999999997</v>
      </c>
      <c r="F290" s="17">
        <v>5.03</v>
      </c>
      <c r="G290" s="18">
        <v>68.680999999999997</v>
      </c>
    </row>
    <row r="291" spans="1:7" x14ac:dyDescent="0.2">
      <c r="A291" s="2" t="s">
        <v>25</v>
      </c>
      <c r="B291" s="3">
        <v>7</v>
      </c>
      <c r="C291" s="3" t="s">
        <v>10</v>
      </c>
      <c r="D291" s="3">
        <v>1</v>
      </c>
      <c r="E291" s="13">
        <v>64.872</v>
      </c>
      <c r="F291" s="13">
        <v>5.0659999999999998</v>
      </c>
      <c r="G291" s="14">
        <v>69.847999999999999</v>
      </c>
    </row>
    <row r="292" spans="1:7" x14ac:dyDescent="0.2">
      <c r="A292" s="4" t="s">
        <v>25</v>
      </c>
      <c r="B292" s="1">
        <v>13</v>
      </c>
      <c r="C292" s="1" t="s">
        <v>10</v>
      </c>
      <c r="D292" s="1">
        <v>2</v>
      </c>
      <c r="E292" s="15">
        <v>63.932000000000002</v>
      </c>
      <c r="F292" s="15">
        <v>5.0229999999999997</v>
      </c>
      <c r="G292" s="16">
        <v>68.864000000000004</v>
      </c>
    </row>
    <row r="293" spans="1:7" x14ac:dyDescent="0.2">
      <c r="A293" s="4" t="s">
        <v>25</v>
      </c>
      <c r="B293" s="1">
        <v>3</v>
      </c>
      <c r="C293" s="1" t="s">
        <v>10</v>
      </c>
      <c r="D293" s="1">
        <v>3</v>
      </c>
      <c r="E293" s="15">
        <v>65.748999999999995</v>
      </c>
      <c r="F293" s="15">
        <v>5.0140000000000002</v>
      </c>
      <c r="G293" s="16">
        <v>70.671999999999997</v>
      </c>
    </row>
    <row r="294" spans="1:7" ht="16" thickBot="1" x14ac:dyDescent="0.25">
      <c r="A294" s="5" t="s">
        <v>25</v>
      </c>
      <c r="B294" s="6">
        <v>5</v>
      </c>
      <c r="C294" s="6" t="s">
        <v>10</v>
      </c>
      <c r="D294" s="6">
        <v>4</v>
      </c>
      <c r="E294" s="17">
        <v>62.198</v>
      </c>
      <c r="F294" s="17">
        <v>5.093</v>
      </c>
      <c r="G294" s="18">
        <v>67.195999999999998</v>
      </c>
    </row>
    <row r="295" spans="1:7" x14ac:dyDescent="0.2">
      <c r="A295" s="2" t="s">
        <v>25</v>
      </c>
      <c r="B295" s="3">
        <v>1</v>
      </c>
      <c r="C295" s="3" t="s">
        <v>11</v>
      </c>
      <c r="D295" s="3">
        <v>1</v>
      </c>
      <c r="E295" s="13">
        <v>63.082000000000001</v>
      </c>
      <c r="F295" s="13">
        <v>5.0510000000000002</v>
      </c>
      <c r="G295" s="14">
        <v>68.048000000000002</v>
      </c>
    </row>
    <row r="296" spans="1:7" x14ac:dyDescent="0.2">
      <c r="A296" s="4" t="s">
        <v>25</v>
      </c>
      <c r="B296" s="1">
        <v>10</v>
      </c>
      <c r="C296" s="1" t="s">
        <v>11</v>
      </c>
      <c r="D296" s="1">
        <v>2</v>
      </c>
      <c r="E296" s="15">
        <v>58.267000000000003</v>
      </c>
      <c r="F296" s="15">
        <v>5.0140000000000002</v>
      </c>
      <c r="G296" s="16">
        <v>63.194000000000003</v>
      </c>
    </row>
    <row r="297" spans="1:7" x14ac:dyDescent="0.2">
      <c r="A297" s="4" t="s">
        <v>25</v>
      </c>
      <c r="B297" s="1">
        <v>2</v>
      </c>
      <c r="C297" s="1" t="s">
        <v>11</v>
      </c>
      <c r="D297" s="1">
        <v>3</v>
      </c>
      <c r="E297" s="15">
        <v>64.483000000000004</v>
      </c>
      <c r="F297" s="15">
        <v>5.0220000000000002</v>
      </c>
      <c r="G297" s="16">
        <v>69.415999999999997</v>
      </c>
    </row>
    <row r="298" spans="1:7" ht="16" thickBot="1" x14ac:dyDescent="0.25">
      <c r="A298" s="5" t="s">
        <v>25</v>
      </c>
      <c r="B298" s="6">
        <v>15</v>
      </c>
      <c r="C298" s="6" t="s">
        <v>11</v>
      </c>
      <c r="D298" s="6">
        <v>4</v>
      </c>
      <c r="E298" s="17">
        <v>62.732999999999997</v>
      </c>
      <c r="F298" s="17">
        <v>5.0179999999999998</v>
      </c>
      <c r="G298" s="18">
        <v>67.659000000000006</v>
      </c>
    </row>
    <row r="299" spans="1:7" x14ac:dyDescent="0.2">
      <c r="A299" s="2" t="s">
        <v>25</v>
      </c>
      <c r="B299" s="3">
        <v>14</v>
      </c>
      <c r="C299" s="3" t="s">
        <v>12</v>
      </c>
      <c r="D299" s="3">
        <v>1</v>
      </c>
      <c r="E299" s="13">
        <v>59.811</v>
      </c>
      <c r="F299" s="13">
        <v>5.0220000000000002</v>
      </c>
      <c r="G299" s="14">
        <v>64.751000000000005</v>
      </c>
    </row>
    <row r="300" spans="1:7" x14ac:dyDescent="0.2">
      <c r="A300" s="4" t="s">
        <v>25</v>
      </c>
      <c r="B300" s="1">
        <v>10</v>
      </c>
      <c r="C300" s="1" t="s">
        <v>12</v>
      </c>
      <c r="D300" s="1">
        <v>2</v>
      </c>
      <c r="E300" s="15">
        <v>58.267000000000003</v>
      </c>
      <c r="F300" s="15">
        <v>5.0860000000000003</v>
      </c>
      <c r="G300" s="16">
        <v>63.268999999999998</v>
      </c>
    </row>
    <row r="301" spans="1:7" x14ac:dyDescent="0.2">
      <c r="A301" s="4" t="s">
        <v>25</v>
      </c>
      <c r="B301" s="1">
        <v>3</v>
      </c>
      <c r="C301" s="1" t="s">
        <v>12</v>
      </c>
      <c r="D301" s="1">
        <v>3</v>
      </c>
      <c r="E301" s="15">
        <v>65.748000000000005</v>
      </c>
      <c r="F301" s="15">
        <v>5.0449999999999999</v>
      </c>
      <c r="G301" s="16">
        <v>70.709999999999994</v>
      </c>
    </row>
    <row r="302" spans="1:7" ht="16" thickBot="1" x14ac:dyDescent="0.25">
      <c r="A302" s="5" t="s">
        <v>25</v>
      </c>
      <c r="B302" s="6">
        <v>2</v>
      </c>
      <c r="C302" s="6" t="s">
        <v>12</v>
      </c>
      <c r="D302" s="6">
        <v>4</v>
      </c>
      <c r="E302" s="17">
        <v>64.483000000000004</v>
      </c>
      <c r="F302" s="17">
        <v>5.0119999999999996</v>
      </c>
      <c r="G302" s="18">
        <v>69.414000000000001</v>
      </c>
    </row>
    <row r="303" spans="1:7" x14ac:dyDescent="0.2">
      <c r="A303" s="2" t="s">
        <v>25</v>
      </c>
      <c r="B303" s="3">
        <v>4</v>
      </c>
      <c r="C303" s="3" t="s">
        <v>13</v>
      </c>
      <c r="D303" s="3">
        <v>1</v>
      </c>
      <c r="E303" s="13">
        <v>63.802</v>
      </c>
      <c r="F303" s="13">
        <v>5.03</v>
      </c>
      <c r="G303" s="14">
        <v>68.784999999999997</v>
      </c>
    </row>
    <row r="304" spans="1:7" x14ac:dyDescent="0.2">
      <c r="A304" s="4" t="s">
        <v>25</v>
      </c>
      <c r="B304" s="1">
        <v>1</v>
      </c>
      <c r="C304" s="1" t="s">
        <v>13</v>
      </c>
      <c r="D304" s="1">
        <v>2</v>
      </c>
      <c r="E304" s="15">
        <v>63.08</v>
      </c>
      <c r="F304" s="15">
        <v>5.0579999999999998</v>
      </c>
      <c r="G304" s="16">
        <v>68.093000000000004</v>
      </c>
    </row>
    <row r="305" spans="1:7" x14ac:dyDescent="0.2">
      <c r="A305" s="4" t="s">
        <v>25</v>
      </c>
      <c r="B305" s="1">
        <v>7</v>
      </c>
      <c r="C305" s="1" t="s">
        <v>13</v>
      </c>
      <c r="D305" s="1">
        <v>3</v>
      </c>
      <c r="E305" s="15">
        <v>64.872</v>
      </c>
      <c r="F305" s="15">
        <v>5.0830000000000002</v>
      </c>
      <c r="G305" s="16">
        <v>69.906999999999996</v>
      </c>
    </row>
    <row r="306" spans="1:7" ht="16" thickBot="1" x14ac:dyDescent="0.25">
      <c r="A306" s="5" t="s">
        <v>25</v>
      </c>
      <c r="B306" s="6">
        <v>13</v>
      </c>
      <c r="C306" s="6" t="s">
        <v>13</v>
      </c>
      <c r="D306" s="6">
        <v>4</v>
      </c>
      <c r="E306" s="17">
        <v>63.930999999999997</v>
      </c>
      <c r="F306" s="17">
        <v>5.0590000000000002</v>
      </c>
      <c r="G306" s="18">
        <v>68.942999999999998</v>
      </c>
    </row>
    <row r="307" spans="1:7" x14ac:dyDescent="0.2">
      <c r="A307" s="2" t="s">
        <v>25</v>
      </c>
      <c r="B307" s="3">
        <v>6</v>
      </c>
      <c r="C307" s="3" t="s">
        <v>14</v>
      </c>
      <c r="D307" s="3">
        <v>1</v>
      </c>
      <c r="E307" s="13">
        <v>68.063999999999993</v>
      </c>
      <c r="F307" s="13">
        <v>5.0250000000000004</v>
      </c>
      <c r="G307" s="14">
        <v>73.058999999999997</v>
      </c>
    </row>
    <row r="308" spans="1:7" x14ac:dyDescent="0.2">
      <c r="A308" s="4" t="s">
        <v>25</v>
      </c>
      <c r="B308" s="1">
        <v>5</v>
      </c>
      <c r="C308" s="1" t="s">
        <v>14</v>
      </c>
      <c r="D308" s="1">
        <v>2</v>
      </c>
      <c r="E308" s="15">
        <v>62.197000000000003</v>
      </c>
      <c r="F308" s="15">
        <v>5.0430000000000001</v>
      </c>
      <c r="G308" s="16">
        <v>67.207999999999998</v>
      </c>
    </row>
    <row r="309" spans="1:7" x14ac:dyDescent="0.2">
      <c r="A309" s="4" t="s">
        <v>25</v>
      </c>
      <c r="B309" s="1">
        <v>15</v>
      </c>
      <c r="C309" s="1" t="s">
        <v>14</v>
      </c>
      <c r="D309" s="1">
        <v>3</v>
      </c>
      <c r="E309" s="15">
        <v>62.731999999999999</v>
      </c>
      <c r="F309" s="15">
        <v>5.0350000000000001</v>
      </c>
      <c r="G309" s="16">
        <v>67.736000000000004</v>
      </c>
    </row>
    <row r="310" spans="1:7" ht="16" thickBot="1" x14ac:dyDescent="0.25">
      <c r="A310" s="5" t="s">
        <v>25</v>
      </c>
      <c r="B310" s="6">
        <v>8</v>
      </c>
      <c r="C310" s="6" t="s">
        <v>14</v>
      </c>
      <c r="D310" s="6">
        <v>4</v>
      </c>
      <c r="E310" s="17">
        <v>65.316999999999993</v>
      </c>
      <c r="F310" s="17">
        <v>5.0839999999999996</v>
      </c>
      <c r="G310" s="18">
        <v>70.367000000000004</v>
      </c>
    </row>
    <row r="311" spans="1:7" x14ac:dyDescent="0.2">
      <c r="A311" s="2" t="s">
        <v>25</v>
      </c>
      <c r="B311" s="3">
        <v>13</v>
      </c>
      <c r="C311" s="3" t="s">
        <v>15</v>
      </c>
      <c r="D311" s="3">
        <v>1</v>
      </c>
      <c r="E311" s="13">
        <v>63.930999999999997</v>
      </c>
      <c r="F311" s="13">
        <v>5.0350000000000001</v>
      </c>
      <c r="G311" s="14">
        <v>68.927000000000007</v>
      </c>
    </row>
    <row r="312" spans="1:7" x14ac:dyDescent="0.2">
      <c r="A312" s="4" t="s">
        <v>25</v>
      </c>
      <c r="B312" s="1">
        <v>14</v>
      </c>
      <c r="C312" s="1" t="s">
        <v>15</v>
      </c>
      <c r="D312" s="1">
        <v>2</v>
      </c>
      <c r="E312" s="15">
        <v>59.811</v>
      </c>
      <c r="F312" s="15">
        <v>5.085</v>
      </c>
      <c r="G312" s="16">
        <v>64.855000000000004</v>
      </c>
    </row>
    <row r="313" spans="1:7" x14ac:dyDescent="0.2">
      <c r="A313" s="4" t="s">
        <v>25</v>
      </c>
      <c r="B313" s="1">
        <v>1</v>
      </c>
      <c r="C313" s="1" t="s">
        <v>15</v>
      </c>
      <c r="D313" s="1">
        <v>3</v>
      </c>
      <c r="E313" s="15">
        <v>63.08</v>
      </c>
      <c r="F313" s="15">
        <v>5.0510000000000002</v>
      </c>
      <c r="G313" s="16">
        <v>68.090999999999994</v>
      </c>
    </row>
    <row r="314" spans="1:7" ht="16" thickBot="1" x14ac:dyDescent="0.25">
      <c r="A314" s="5" t="s">
        <v>25</v>
      </c>
      <c r="B314" s="6">
        <v>6</v>
      </c>
      <c r="C314" s="6" t="s">
        <v>15</v>
      </c>
      <c r="D314" s="6">
        <v>4</v>
      </c>
      <c r="E314" s="17">
        <v>68.066000000000003</v>
      </c>
      <c r="F314" s="17">
        <v>5.0259999999999998</v>
      </c>
      <c r="G314" s="18">
        <v>73.05</v>
      </c>
    </row>
    <row r="315" spans="1:7" x14ac:dyDescent="0.2">
      <c r="A315" s="2" t="s">
        <v>25</v>
      </c>
      <c r="B315" s="3">
        <v>8</v>
      </c>
      <c r="C315" s="3" t="s">
        <v>16</v>
      </c>
      <c r="D315" s="3">
        <v>1</v>
      </c>
      <c r="E315" s="13">
        <v>65.316999999999993</v>
      </c>
      <c r="F315" s="13">
        <v>5.0629999999999997</v>
      </c>
      <c r="G315" s="14">
        <v>70.346999999999994</v>
      </c>
    </row>
    <row r="316" spans="1:7" x14ac:dyDescent="0.2">
      <c r="A316" s="4" t="s">
        <v>25</v>
      </c>
      <c r="B316" s="1">
        <v>10</v>
      </c>
      <c r="C316" s="1" t="s">
        <v>16</v>
      </c>
      <c r="D316" s="1">
        <v>2</v>
      </c>
      <c r="E316" s="15">
        <v>58.267000000000003</v>
      </c>
      <c r="F316" s="15">
        <v>5.0460000000000003</v>
      </c>
      <c r="G316" s="16">
        <v>63.279000000000003</v>
      </c>
    </row>
    <row r="317" spans="1:7" x14ac:dyDescent="0.2">
      <c r="A317" s="4" t="s">
        <v>25</v>
      </c>
      <c r="B317" s="1">
        <v>4</v>
      </c>
      <c r="C317" s="1" t="s">
        <v>16</v>
      </c>
      <c r="D317" s="1">
        <v>3</v>
      </c>
      <c r="E317" s="15">
        <v>63.802999999999997</v>
      </c>
      <c r="F317" s="15">
        <v>5.0419999999999998</v>
      </c>
      <c r="G317" s="16">
        <v>68.811000000000007</v>
      </c>
    </row>
    <row r="318" spans="1:7" ht="16" thickBot="1" x14ac:dyDescent="0.25">
      <c r="A318" s="5" t="s">
        <v>25</v>
      </c>
      <c r="B318" s="6">
        <v>3</v>
      </c>
      <c r="C318" s="6" t="s">
        <v>16</v>
      </c>
      <c r="D318" s="6">
        <v>4</v>
      </c>
      <c r="E318" s="17">
        <v>65.748000000000005</v>
      </c>
      <c r="F318" s="17">
        <v>5.0839999999999996</v>
      </c>
      <c r="G318" s="18">
        <v>70.8</v>
      </c>
    </row>
    <row r="319" spans="1:7" x14ac:dyDescent="0.2">
      <c r="A319" s="2" t="s">
        <v>25</v>
      </c>
      <c r="B319" s="3">
        <v>2</v>
      </c>
      <c r="C319" s="3" t="s">
        <v>17</v>
      </c>
      <c r="D319" s="3">
        <v>1</v>
      </c>
      <c r="E319" s="13">
        <v>64.483000000000004</v>
      </c>
      <c r="F319" s="13">
        <v>5.0570000000000004</v>
      </c>
      <c r="G319" s="14">
        <v>69.503</v>
      </c>
    </row>
    <row r="320" spans="1:7" x14ac:dyDescent="0.2">
      <c r="A320" s="4" t="s">
        <v>25</v>
      </c>
      <c r="B320" s="1">
        <v>7</v>
      </c>
      <c r="C320" s="1" t="s">
        <v>17</v>
      </c>
      <c r="D320" s="1">
        <v>2</v>
      </c>
      <c r="E320" s="15">
        <v>64.870999999999995</v>
      </c>
      <c r="F320" s="15">
        <v>5.032</v>
      </c>
      <c r="G320" s="16">
        <v>69.867000000000004</v>
      </c>
    </row>
    <row r="321" spans="1:7" x14ac:dyDescent="0.2">
      <c r="A321" s="4" t="s">
        <v>25</v>
      </c>
      <c r="B321" s="1">
        <v>15</v>
      </c>
      <c r="C321" s="1" t="s">
        <v>17</v>
      </c>
      <c r="D321" s="1">
        <v>3</v>
      </c>
      <c r="E321" s="15">
        <v>62.732999999999997</v>
      </c>
      <c r="F321" s="15">
        <v>5.0549999999999997</v>
      </c>
      <c r="G321" s="16">
        <v>67.748999999999995</v>
      </c>
    </row>
    <row r="322" spans="1:7" ht="16" thickBot="1" x14ac:dyDescent="0.25">
      <c r="A322" s="5" t="s">
        <v>25</v>
      </c>
      <c r="B322" s="6">
        <v>5</v>
      </c>
      <c r="C322" s="6" t="s">
        <v>17</v>
      </c>
      <c r="D322" s="6">
        <v>4</v>
      </c>
      <c r="E322" s="17">
        <v>62.198</v>
      </c>
      <c r="F322" s="17">
        <v>5.0250000000000004</v>
      </c>
      <c r="G322" s="18">
        <v>67.185000000000002</v>
      </c>
    </row>
    <row r="323" spans="1:7" x14ac:dyDescent="0.2">
      <c r="A323" s="8" t="s">
        <v>26</v>
      </c>
      <c r="B323" s="3">
        <v>7</v>
      </c>
      <c r="C323" s="3" t="s">
        <v>9</v>
      </c>
      <c r="D323" s="3">
        <v>1</v>
      </c>
      <c r="E323" s="13">
        <v>64.872</v>
      </c>
      <c r="F323" s="13">
        <v>5</v>
      </c>
      <c r="G323" s="14">
        <v>69.748999999999995</v>
      </c>
    </row>
    <row r="324" spans="1:7" x14ac:dyDescent="0.2">
      <c r="A324" s="4" t="s">
        <v>26</v>
      </c>
      <c r="B324" s="1">
        <v>1</v>
      </c>
      <c r="C324" s="1" t="s">
        <v>9</v>
      </c>
      <c r="D324" s="1">
        <v>2</v>
      </c>
      <c r="E324" s="15">
        <v>63.081000000000003</v>
      </c>
      <c r="F324" s="15">
        <v>5.0090000000000003</v>
      </c>
      <c r="G324" s="16">
        <v>67.965000000000003</v>
      </c>
    </row>
    <row r="325" spans="1:7" x14ac:dyDescent="0.2">
      <c r="A325" s="4" t="s">
        <v>26</v>
      </c>
      <c r="B325" s="1">
        <v>8</v>
      </c>
      <c r="C325" s="1" t="s">
        <v>9</v>
      </c>
      <c r="D325" s="1">
        <v>3</v>
      </c>
      <c r="E325" s="15">
        <v>65.316000000000003</v>
      </c>
      <c r="F325" s="15">
        <v>5.0389999999999997</v>
      </c>
      <c r="G325" s="16">
        <v>70.230999999999995</v>
      </c>
    </row>
    <row r="326" spans="1:7" ht="16" thickBot="1" x14ac:dyDescent="0.25">
      <c r="A326" s="5" t="s">
        <v>26</v>
      </c>
      <c r="B326" s="6">
        <v>2</v>
      </c>
      <c r="C326" s="6" t="s">
        <v>9</v>
      </c>
      <c r="D326" s="6">
        <v>4</v>
      </c>
      <c r="E326" s="17">
        <v>64.483000000000004</v>
      </c>
      <c r="F326" s="17">
        <v>5.04</v>
      </c>
      <c r="G326" s="18">
        <v>69.396000000000001</v>
      </c>
    </row>
    <row r="327" spans="1:7" x14ac:dyDescent="0.2">
      <c r="A327" s="2" t="s">
        <v>26</v>
      </c>
      <c r="B327" s="3">
        <v>13</v>
      </c>
      <c r="C327" s="3" t="s">
        <v>10</v>
      </c>
      <c r="D327" s="3">
        <v>1</v>
      </c>
      <c r="E327" s="13">
        <v>63.930999999999997</v>
      </c>
      <c r="F327" s="13">
        <v>5.0780000000000003</v>
      </c>
      <c r="G327" s="14">
        <v>68.908000000000001</v>
      </c>
    </row>
    <row r="328" spans="1:7" x14ac:dyDescent="0.2">
      <c r="A328" s="4" t="s">
        <v>26</v>
      </c>
      <c r="B328" s="1">
        <v>4</v>
      </c>
      <c r="C328" s="1" t="s">
        <v>10</v>
      </c>
      <c r="D328" s="1">
        <v>2</v>
      </c>
      <c r="E328" s="15">
        <v>63.802</v>
      </c>
      <c r="F328" s="15">
        <v>5.0389999999999997</v>
      </c>
      <c r="G328" s="16">
        <v>68.739000000000004</v>
      </c>
    </row>
    <row r="329" spans="1:7" x14ac:dyDescent="0.2">
      <c r="A329" s="4" t="s">
        <v>26</v>
      </c>
      <c r="B329" s="1">
        <v>10</v>
      </c>
      <c r="C329" s="1" t="s">
        <v>10</v>
      </c>
      <c r="D329" s="1">
        <v>3</v>
      </c>
      <c r="E329" s="15">
        <v>58.265999999999998</v>
      </c>
      <c r="F329" s="15">
        <v>5.016</v>
      </c>
      <c r="G329" s="16">
        <v>63.183999999999997</v>
      </c>
    </row>
    <row r="330" spans="1:7" ht="16" thickBot="1" x14ac:dyDescent="0.25">
      <c r="A330" s="5" t="s">
        <v>26</v>
      </c>
      <c r="B330" s="6">
        <v>14</v>
      </c>
      <c r="C330" s="6" t="s">
        <v>10</v>
      </c>
      <c r="D330" s="6">
        <v>4</v>
      </c>
      <c r="E330" s="17">
        <v>59.81</v>
      </c>
      <c r="F330" s="17">
        <v>5.0220000000000002</v>
      </c>
      <c r="G330" s="18">
        <v>64.727999999999994</v>
      </c>
    </row>
    <row r="331" spans="1:7" x14ac:dyDescent="0.2">
      <c r="A331" s="2" t="s">
        <v>26</v>
      </c>
      <c r="B331" s="3">
        <v>5</v>
      </c>
      <c r="C331" s="3" t="s">
        <v>11</v>
      </c>
      <c r="D331" s="3">
        <v>1</v>
      </c>
      <c r="E331" s="13">
        <v>62.198</v>
      </c>
      <c r="F331" s="13">
        <v>5.0949999999999998</v>
      </c>
      <c r="G331" s="14">
        <v>67.203999999999994</v>
      </c>
    </row>
    <row r="332" spans="1:7" x14ac:dyDescent="0.2">
      <c r="A332" s="4" t="s">
        <v>26</v>
      </c>
      <c r="B332" s="1">
        <v>3</v>
      </c>
      <c r="C332" s="1" t="s">
        <v>11</v>
      </c>
      <c r="D332" s="1">
        <v>2</v>
      </c>
      <c r="E332" s="15">
        <v>65.748000000000005</v>
      </c>
      <c r="F332" s="15">
        <v>5.0490000000000004</v>
      </c>
      <c r="G332" s="16">
        <v>70.707999999999998</v>
      </c>
    </row>
    <row r="333" spans="1:7" x14ac:dyDescent="0.2">
      <c r="A333" s="4" t="s">
        <v>26</v>
      </c>
      <c r="B333" s="1">
        <v>15</v>
      </c>
      <c r="C333" s="1" t="s">
        <v>11</v>
      </c>
      <c r="D333" s="1">
        <v>3</v>
      </c>
      <c r="E333" s="15">
        <v>62.731999999999999</v>
      </c>
      <c r="F333" s="15">
        <v>5.0529999999999999</v>
      </c>
      <c r="G333" s="16">
        <v>67.697000000000003</v>
      </c>
    </row>
    <row r="334" spans="1:7" ht="16" thickBot="1" x14ac:dyDescent="0.25">
      <c r="A334" s="5" t="s">
        <v>26</v>
      </c>
      <c r="B334" s="6">
        <v>6</v>
      </c>
      <c r="C334" s="6" t="s">
        <v>11</v>
      </c>
      <c r="D334" s="6">
        <v>4</v>
      </c>
      <c r="E334" s="17">
        <v>68.066000000000003</v>
      </c>
      <c r="F334" s="17">
        <v>5.0659999999999998</v>
      </c>
      <c r="G334" s="18">
        <v>73.045000000000002</v>
      </c>
    </row>
    <row r="335" spans="1:7" x14ac:dyDescent="0.2">
      <c r="A335" s="2" t="s">
        <v>26</v>
      </c>
      <c r="B335" s="3">
        <v>15</v>
      </c>
      <c r="C335" s="3" t="s">
        <v>12</v>
      </c>
      <c r="D335" s="3">
        <v>1</v>
      </c>
      <c r="E335" s="13">
        <v>62.734999999999999</v>
      </c>
      <c r="F335" s="13">
        <v>5.09</v>
      </c>
      <c r="G335" s="14">
        <v>67.762</v>
      </c>
    </row>
    <row r="336" spans="1:7" x14ac:dyDescent="0.2">
      <c r="A336" s="4" t="s">
        <v>26</v>
      </c>
      <c r="B336" s="1">
        <v>6</v>
      </c>
      <c r="C336" s="1" t="s">
        <v>12</v>
      </c>
      <c r="D336" s="1">
        <v>2</v>
      </c>
      <c r="E336" s="15">
        <v>68.066000000000003</v>
      </c>
      <c r="F336" s="15">
        <v>5.0549999999999997</v>
      </c>
      <c r="G336" s="16">
        <v>73.057000000000002</v>
      </c>
    </row>
    <row r="337" spans="1:7" x14ac:dyDescent="0.2">
      <c r="A337" s="4" t="s">
        <v>26</v>
      </c>
      <c r="B337" s="1">
        <v>1</v>
      </c>
      <c r="C337" s="1" t="s">
        <v>12</v>
      </c>
      <c r="D337" s="1">
        <v>3</v>
      </c>
      <c r="E337" s="15">
        <v>63.08</v>
      </c>
      <c r="F337" s="15">
        <v>5.0960000000000001</v>
      </c>
      <c r="G337" s="16">
        <v>68.116</v>
      </c>
    </row>
    <row r="338" spans="1:7" ht="16" thickBot="1" x14ac:dyDescent="0.25">
      <c r="A338" s="5" t="s">
        <v>26</v>
      </c>
      <c r="B338" s="6">
        <v>2</v>
      </c>
      <c r="C338" s="6" t="s">
        <v>12</v>
      </c>
      <c r="D338" s="6">
        <v>4</v>
      </c>
      <c r="E338" s="17">
        <v>64.483000000000004</v>
      </c>
      <c r="F338" s="17">
        <v>5.0670000000000002</v>
      </c>
      <c r="G338" s="18">
        <v>69.486999999999995</v>
      </c>
    </row>
    <row r="339" spans="1:7" x14ac:dyDescent="0.2">
      <c r="A339" s="2" t="s">
        <v>26</v>
      </c>
      <c r="B339" s="3">
        <v>10</v>
      </c>
      <c r="C339" s="3" t="s">
        <v>13</v>
      </c>
      <c r="D339" s="3">
        <v>1</v>
      </c>
      <c r="E339" s="13">
        <v>58.267000000000003</v>
      </c>
      <c r="F339" s="13">
        <v>5.0019999999999998</v>
      </c>
      <c r="G339" s="14">
        <v>63.228000000000002</v>
      </c>
    </row>
    <row r="340" spans="1:7" x14ac:dyDescent="0.2">
      <c r="A340" s="4" t="s">
        <v>26</v>
      </c>
      <c r="B340" s="1">
        <v>3</v>
      </c>
      <c r="C340" s="1" t="s">
        <v>13</v>
      </c>
      <c r="D340" s="1">
        <v>2</v>
      </c>
      <c r="E340" s="15">
        <v>65.748000000000005</v>
      </c>
      <c r="F340" s="15">
        <v>5.0780000000000003</v>
      </c>
      <c r="G340" s="16">
        <v>70.787000000000006</v>
      </c>
    </row>
    <row r="341" spans="1:7" x14ac:dyDescent="0.2">
      <c r="A341" s="4" t="s">
        <v>26</v>
      </c>
      <c r="B341" s="1">
        <v>8</v>
      </c>
      <c r="C341" s="1" t="s">
        <v>13</v>
      </c>
      <c r="D341" s="1">
        <v>3</v>
      </c>
      <c r="E341" s="15">
        <v>65.316999999999993</v>
      </c>
      <c r="F341" s="15">
        <v>5.077</v>
      </c>
      <c r="G341" s="16">
        <v>70.350999999999999</v>
      </c>
    </row>
    <row r="342" spans="1:7" ht="16" thickBot="1" x14ac:dyDescent="0.25">
      <c r="A342" s="5" t="s">
        <v>26</v>
      </c>
      <c r="B342" s="6">
        <v>4</v>
      </c>
      <c r="C342" s="6" t="s">
        <v>13</v>
      </c>
      <c r="D342" s="6">
        <v>4</v>
      </c>
      <c r="E342" s="17">
        <v>63.802</v>
      </c>
      <c r="F342" s="17">
        <v>5.1059999999999999</v>
      </c>
      <c r="G342" s="18">
        <v>68.858999999999995</v>
      </c>
    </row>
    <row r="343" spans="1:7" x14ac:dyDescent="0.2">
      <c r="A343" s="2" t="s">
        <v>26</v>
      </c>
      <c r="B343" s="3">
        <v>13</v>
      </c>
      <c r="C343" s="3" t="s">
        <v>14</v>
      </c>
      <c r="D343" s="3">
        <v>1</v>
      </c>
      <c r="E343" s="13">
        <v>63.930999999999997</v>
      </c>
      <c r="F343" s="13">
        <v>5.0289999999999999</v>
      </c>
      <c r="G343" s="14">
        <v>68.921999999999997</v>
      </c>
    </row>
    <row r="344" spans="1:7" x14ac:dyDescent="0.2">
      <c r="A344" s="4" t="s">
        <v>26</v>
      </c>
      <c r="B344" s="1">
        <v>14</v>
      </c>
      <c r="C344" s="1" t="s">
        <v>14</v>
      </c>
      <c r="D344" s="1">
        <v>2</v>
      </c>
      <c r="E344" s="15">
        <v>59.890999999999998</v>
      </c>
      <c r="F344" s="15">
        <v>5.0389999999999997</v>
      </c>
      <c r="G344" s="16">
        <v>64.811000000000007</v>
      </c>
    </row>
    <row r="345" spans="1:7" x14ac:dyDescent="0.2">
      <c r="A345" s="4" t="s">
        <v>26</v>
      </c>
      <c r="B345" s="1">
        <v>5</v>
      </c>
      <c r="C345" s="1" t="s">
        <v>14</v>
      </c>
      <c r="D345" s="1">
        <v>3</v>
      </c>
      <c r="E345" s="15">
        <v>62.198</v>
      </c>
      <c r="F345" s="15">
        <v>5.0419999999999998</v>
      </c>
      <c r="G345" s="16">
        <v>67.200999999999993</v>
      </c>
    </row>
    <row r="346" spans="1:7" ht="16" thickBot="1" x14ac:dyDescent="0.25">
      <c r="A346" s="5" t="s">
        <v>26</v>
      </c>
      <c r="B346" s="6">
        <v>7</v>
      </c>
      <c r="C346" s="6" t="s">
        <v>14</v>
      </c>
      <c r="D346" s="6">
        <v>4</v>
      </c>
      <c r="E346" s="17">
        <v>64.870999999999995</v>
      </c>
      <c r="F346" s="17">
        <v>5.093</v>
      </c>
      <c r="G346" s="18">
        <v>69.924999999999997</v>
      </c>
    </row>
    <row r="347" spans="1:7" x14ac:dyDescent="0.2">
      <c r="A347" s="2" t="s">
        <v>26</v>
      </c>
      <c r="B347" s="3">
        <v>2</v>
      </c>
      <c r="C347" s="3" t="s">
        <v>15</v>
      </c>
      <c r="D347" s="3">
        <v>1</v>
      </c>
      <c r="E347" s="13">
        <v>64.481999999999999</v>
      </c>
      <c r="F347" s="13">
        <v>5.0709999999999997</v>
      </c>
      <c r="G347" s="14">
        <v>69.527000000000001</v>
      </c>
    </row>
    <row r="348" spans="1:7" x14ac:dyDescent="0.2">
      <c r="A348" s="4" t="s">
        <v>26</v>
      </c>
      <c r="B348" s="1">
        <v>13</v>
      </c>
      <c r="C348" s="1" t="s">
        <v>15</v>
      </c>
      <c r="D348" s="1">
        <v>2</v>
      </c>
      <c r="E348" s="15">
        <v>63.930999999999997</v>
      </c>
      <c r="F348" s="15">
        <v>5.0250000000000004</v>
      </c>
      <c r="G348" s="16">
        <v>68.930000000000007</v>
      </c>
    </row>
    <row r="349" spans="1:7" x14ac:dyDescent="0.2">
      <c r="A349" s="4" t="s">
        <v>26</v>
      </c>
      <c r="B349" s="1">
        <v>4</v>
      </c>
      <c r="C349" s="1" t="s">
        <v>15</v>
      </c>
      <c r="D349" s="1">
        <v>3</v>
      </c>
      <c r="E349" s="15">
        <v>63.802</v>
      </c>
      <c r="F349" s="15">
        <v>5.0359999999999996</v>
      </c>
      <c r="G349" s="16">
        <v>68.813000000000002</v>
      </c>
    </row>
    <row r="350" spans="1:7" ht="16" thickBot="1" x14ac:dyDescent="0.25">
      <c r="A350" s="5" t="s">
        <v>26</v>
      </c>
      <c r="B350" s="6">
        <v>6</v>
      </c>
      <c r="C350" s="6" t="s">
        <v>15</v>
      </c>
      <c r="D350" s="6">
        <v>4</v>
      </c>
      <c r="E350" s="17">
        <v>68.066000000000003</v>
      </c>
      <c r="F350" s="17">
        <v>5.0529999999999999</v>
      </c>
      <c r="G350" s="18">
        <v>73.090999999999994</v>
      </c>
    </row>
    <row r="351" spans="1:7" x14ac:dyDescent="0.2">
      <c r="A351" s="2" t="s">
        <v>26</v>
      </c>
      <c r="B351" s="3">
        <v>1</v>
      </c>
      <c r="C351" s="3" t="s">
        <v>16</v>
      </c>
      <c r="D351" s="3">
        <v>1</v>
      </c>
      <c r="E351" s="13">
        <v>63.081000000000003</v>
      </c>
      <c r="F351" s="13">
        <v>5.0309999999999997</v>
      </c>
      <c r="G351" s="14">
        <v>68.084000000000003</v>
      </c>
    </row>
    <row r="352" spans="1:7" x14ac:dyDescent="0.2">
      <c r="A352" s="4" t="s">
        <v>26</v>
      </c>
      <c r="B352" s="1">
        <v>8</v>
      </c>
      <c r="C352" s="1" t="s">
        <v>16</v>
      </c>
      <c r="D352" s="1">
        <v>2</v>
      </c>
      <c r="E352" s="15">
        <v>65.317999999999998</v>
      </c>
      <c r="F352" s="15">
        <v>5.0149999999999997</v>
      </c>
      <c r="G352" s="16">
        <v>70.302999999999997</v>
      </c>
    </row>
    <row r="353" spans="1:7" x14ac:dyDescent="0.2">
      <c r="A353" s="4" t="s">
        <v>26</v>
      </c>
      <c r="B353" s="1">
        <v>5</v>
      </c>
      <c r="C353" s="1" t="s">
        <v>16</v>
      </c>
      <c r="D353" s="1">
        <v>3</v>
      </c>
      <c r="E353" s="15">
        <v>62.198</v>
      </c>
      <c r="F353" s="15">
        <v>5.0890000000000004</v>
      </c>
      <c r="G353" s="16">
        <v>67.257000000000005</v>
      </c>
    </row>
    <row r="354" spans="1:7" ht="16" thickBot="1" x14ac:dyDescent="0.25">
      <c r="A354" s="5" t="s">
        <v>26</v>
      </c>
      <c r="B354" s="6">
        <v>3</v>
      </c>
      <c r="C354" s="6" t="s">
        <v>16</v>
      </c>
      <c r="D354" s="6">
        <v>4</v>
      </c>
      <c r="E354" s="17">
        <v>65.748999999999995</v>
      </c>
      <c r="F354" s="17">
        <v>5.0410000000000004</v>
      </c>
      <c r="G354" s="18">
        <v>70.762</v>
      </c>
    </row>
    <row r="355" spans="1:7" x14ac:dyDescent="0.2">
      <c r="A355" s="2" t="s">
        <v>26</v>
      </c>
      <c r="B355" s="3">
        <v>15</v>
      </c>
      <c r="C355" s="3" t="s">
        <v>17</v>
      </c>
      <c r="D355" s="3">
        <v>1</v>
      </c>
      <c r="E355" s="13">
        <v>62.731999999999999</v>
      </c>
      <c r="F355" s="13">
        <v>5.0270000000000001</v>
      </c>
      <c r="G355" s="14">
        <v>67.733999999999995</v>
      </c>
    </row>
    <row r="356" spans="1:7" x14ac:dyDescent="0.2">
      <c r="A356" s="4" t="s">
        <v>26</v>
      </c>
      <c r="B356" s="1">
        <v>7</v>
      </c>
      <c r="C356" s="1" t="s">
        <v>17</v>
      </c>
      <c r="D356" s="1">
        <v>2</v>
      </c>
      <c r="E356" s="15">
        <v>64.870999999999995</v>
      </c>
      <c r="F356" s="15">
        <v>5.0839999999999996</v>
      </c>
      <c r="G356" s="16">
        <v>69.929000000000002</v>
      </c>
    </row>
    <row r="357" spans="1:7" x14ac:dyDescent="0.2">
      <c r="A357" s="4" t="s">
        <v>26</v>
      </c>
      <c r="B357" s="1">
        <v>14</v>
      </c>
      <c r="C357" s="1" t="s">
        <v>17</v>
      </c>
      <c r="D357" s="1">
        <v>3</v>
      </c>
      <c r="E357" s="15">
        <v>59.81</v>
      </c>
      <c r="F357" s="15">
        <v>5.0979999999999999</v>
      </c>
      <c r="G357" s="16">
        <v>64.882000000000005</v>
      </c>
    </row>
    <row r="358" spans="1:7" ht="16" thickBot="1" x14ac:dyDescent="0.25">
      <c r="A358" s="5" t="s">
        <v>26</v>
      </c>
      <c r="B358" s="6">
        <v>10</v>
      </c>
      <c r="C358" s="6" t="s">
        <v>17</v>
      </c>
      <c r="D358" s="6">
        <v>4</v>
      </c>
      <c r="E358" s="17">
        <v>58.267000000000003</v>
      </c>
      <c r="F358" s="17">
        <v>5.0430000000000001</v>
      </c>
      <c r="G358" s="18">
        <v>63.277999999999999</v>
      </c>
    </row>
    <row r="359" spans="1:7" x14ac:dyDescent="0.2">
      <c r="A359" s="2" t="s">
        <v>26</v>
      </c>
      <c r="B359" s="3">
        <v>5</v>
      </c>
      <c r="C359" s="3" t="s">
        <v>18</v>
      </c>
      <c r="D359" s="3">
        <v>1</v>
      </c>
      <c r="E359" s="13">
        <v>62.198</v>
      </c>
      <c r="F359" s="13">
        <v>5.0019999999999998</v>
      </c>
      <c r="G359" s="14">
        <v>67.171999999999997</v>
      </c>
    </row>
    <row r="360" spans="1:7" x14ac:dyDescent="0.2">
      <c r="A360" s="4" t="s">
        <v>26</v>
      </c>
      <c r="B360" s="1">
        <v>10</v>
      </c>
      <c r="C360" s="1" t="s">
        <v>18</v>
      </c>
      <c r="D360" s="1">
        <v>2</v>
      </c>
      <c r="E360" s="15">
        <v>58.267000000000003</v>
      </c>
      <c r="F360" s="15">
        <v>5.05</v>
      </c>
      <c r="G360" s="16">
        <v>63.289000000000001</v>
      </c>
    </row>
    <row r="361" spans="1:7" x14ac:dyDescent="0.2">
      <c r="A361" s="4" t="s">
        <v>26</v>
      </c>
      <c r="B361" s="1">
        <v>7</v>
      </c>
      <c r="C361" s="1" t="s">
        <v>18</v>
      </c>
      <c r="D361" s="1">
        <v>3</v>
      </c>
      <c r="E361" s="15">
        <v>64.870999999999995</v>
      </c>
      <c r="F361" s="15">
        <v>5.0110000000000001</v>
      </c>
      <c r="G361" s="16">
        <v>69.853999999999999</v>
      </c>
    </row>
    <row r="362" spans="1:7" ht="16" thickBot="1" x14ac:dyDescent="0.25">
      <c r="A362" s="5" t="s">
        <v>26</v>
      </c>
      <c r="B362" s="6">
        <v>3</v>
      </c>
      <c r="C362" s="6" t="s">
        <v>18</v>
      </c>
      <c r="D362" s="6">
        <v>4</v>
      </c>
      <c r="E362" s="17">
        <v>65.748000000000005</v>
      </c>
      <c r="F362" s="17">
        <v>5.0519999999999996</v>
      </c>
      <c r="G362" s="18">
        <v>70.771000000000001</v>
      </c>
    </row>
    <row r="363" spans="1:7" x14ac:dyDescent="0.2">
      <c r="A363" s="2" t="s">
        <v>26</v>
      </c>
      <c r="B363" s="3">
        <v>14</v>
      </c>
      <c r="C363" s="3" t="s">
        <v>19</v>
      </c>
      <c r="D363" s="3">
        <v>1</v>
      </c>
      <c r="E363" s="13">
        <v>59.81</v>
      </c>
      <c r="F363" s="13">
        <v>5.0179999999999998</v>
      </c>
      <c r="G363" s="14">
        <v>64.8</v>
      </c>
    </row>
    <row r="364" spans="1:7" x14ac:dyDescent="0.2">
      <c r="A364" s="4" t="s">
        <v>26</v>
      </c>
      <c r="B364" s="1">
        <v>15</v>
      </c>
      <c r="C364" s="1" t="s">
        <v>19</v>
      </c>
      <c r="D364" s="1">
        <v>2</v>
      </c>
      <c r="E364" s="15">
        <v>62.732999999999997</v>
      </c>
      <c r="F364" s="15">
        <v>5</v>
      </c>
      <c r="G364" s="16">
        <v>67.706999999999994</v>
      </c>
    </row>
    <row r="365" spans="1:7" x14ac:dyDescent="0.2">
      <c r="A365" s="4" t="s">
        <v>26</v>
      </c>
      <c r="B365" s="1">
        <v>6</v>
      </c>
      <c r="C365" s="1" t="s">
        <v>19</v>
      </c>
      <c r="D365" s="1">
        <v>3</v>
      </c>
      <c r="E365" s="15">
        <v>68.064999999999998</v>
      </c>
      <c r="F365" s="15">
        <v>5.0439999999999996</v>
      </c>
      <c r="G365" s="16">
        <v>73.078999999999994</v>
      </c>
    </row>
    <row r="366" spans="1:7" ht="16" thickBot="1" x14ac:dyDescent="0.25">
      <c r="A366" s="5" t="s">
        <v>26</v>
      </c>
      <c r="B366" s="6">
        <v>1</v>
      </c>
      <c r="C366" s="6" t="s">
        <v>19</v>
      </c>
      <c r="D366" s="6">
        <v>4</v>
      </c>
      <c r="E366" s="17">
        <v>63.081000000000003</v>
      </c>
      <c r="F366" s="17">
        <v>5.0529999999999999</v>
      </c>
      <c r="G366" s="18">
        <v>68.105000000000004</v>
      </c>
    </row>
    <row r="367" spans="1:7" x14ac:dyDescent="0.2">
      <c r="A367" s="8" t="s">
        <v>27</v>
      </c>
      <c r="B367" s="3">
        <v>8</v>
      </c>
      <c r="C367" s="3" t="s">
        <v>9</v>
      </c>
      <c r="D367" s="3">
        <v>1</v>
      </c>
      <c r="E367" s="13">
        <v>65.316000000000003</v>
      </c>
      <c r="F367" s="13">
        <v>5.0739999999999998</v>
      </c>
      <c r="G367" s="14">
        <v>70.22</v>
      </c>
    </row>
    <row r="368" spans="1:7" x14ac:dyDescent="0.2">
      <c r="A368" s="4" t="s">
        <v>27</v>
      </c>
      <c r="B368" s="1">
        <v>13</v>
      </c>
      <c r="C368" s="1" t="s">
        <v>9</v>
      </c>
      <c r="D368" s="1">
        <v>2</v>
      </c>
      <c r="E368" s="15">
        <v>63.93</v>
      </c>
      <c r="F368" s="15">
        <v>5.0090000000000003</v>
      </c>
      <c r="G368" s="16">
        <v>68.769000000000005</v>
      </c>
    </row>
    <row r="369" spans="1:7" x14ac:dyDescent="0.2">
      <c r="A369" s="4" t="s">
        <v>27</v>
      </c>
      <c r="B369" s="1">
        <v>2</v>
      </c>
      <c r="C369" s="1" t="s">
        <v>9</v>
      </c>
      <c r="D369" s="1">
        <v>3</v>
      </c>
      <c r="E369" s="15">
        <v>64.481999999999999</v>
      </c>
      <c r="F369" s="15">
        <v>5.0270000000000001</v>
      </c>
      <c r="G369" s="16">
        <v>69.337999999999994</v>
      </c>
    </row>
    <row r="370" spans="1:7" ht="16" thickBot="1" x14ac:dyDescent="0.25">
      <c r="A370" s="5" t="s">
        <v>27</v>
      </c>
      <c r="B370" s="6">
        <v>4</v>
      </c>
      <c r="C370" s="6" t="s">
        <v>9</v>
      </c>
      <c r="D370" s="6">
        <v>4</v>
      </c>
      <c r="E370" s="17">
        <v>63.802</v>
      </c>
      <c r="F370" s="17">
        <v>5.0949999999999998</v>
      </c>
      <c r="G370" s="18">
        <v>68.725999999999999</v>
      </c>
    </row>
    <row r="371" spans="1:7" x14ac:dyDescent="0.2">
      <c r="A371" s="2" t="s">
        <v>27</v>
      </c>
      <c r="B371" s="3">
        <v>3</v>
      </c>
      <c r="C371" s="3" t="s">
        <v>10</v>
      </c>
      <c r="D371" s="3">
        <v>1</v>
      </c>
      <c r="E371" s="13">
        <v>65.747</v>
      </c>
      <c r="F371" s="13">
        <v>5.0039999999999996</v>
      </c>
      <c r="G371" s="14">
        <v>70.632000000000005</v>
      </c>
    </row>
    <row r="372" spans="1:7" x14ac:dyDescent="0.2">
      <c r="A372" s="4" t="s">
        <v>27</v>
      </c>
      <c r="B372" s="1">
        <v>15</v>
      </c>
      <c r="C372" s="1" t="s">
        <v>10</v>
      </c>
      <c r="D372" s="1">
        <v>2</v>
      </c>
      <c r="E372" s="15">
        <v>62.731999999999999</v>
      </c>
      <c r="F372" s="15">
        <v>5.0529999999999999</v>
      </c>
      <c r="G372" s="16">
        <v>67.662999999999997</v>
      </c>
    </row>
    <row r="373" spans="1:7" x14ac:dyDescent="0.2">
      <c r="A373" s="4" t="s">
        <v>27</v>
      </c>
      <c r="B373" s="1">
        <v>8</v>
      </c>
      <c r="C373" s="1" t="s">
        <v>10</v>
      </c>
      <c r="D373" s="1">
        <v>3</v>
      </c>
      <c r="E373" s="15">
        <v>65.316999999999993</v>
      </c>
      <c r="F373" s="15">
        <v>5.0810000000000004</v>
      </c>
      <c r="G373" s="16">
        <v>70.272000000000006</v>
      </c>
    </row>
    <row r="374" spans="1:7" ht="16" thickBot="1" x14ac:dyDescent="0.25">
      <c r="A374" s="5" t="s">
        <v>27</v>
      </c>
      <c r="B374" s="6">
        <v>2</v>
      </c>
      <c r="C374" s="6" t="s">
        <v>10</v>
      </c>
      <c r="D374" s="6">
        <v>4</v>
      </c>
      <c r="E374" s="17">
        <v>64.481999999999999</v>
      </c>
      <c r="F374" s="17">
        <v>5.0439999999999996</v>
      </c>
      <c r="G374" s="18">
        <v>69.403000000000006</v>
      </c>
    </row>
    <row r="375" spans="1:7" x14ac:dyDescent="0.2">
      <c r="A375" s="2" t="s">
        <v>27</v>
      </c>
      <c r="B375" s="3">
        <v>14</v>
      </c>
      <c r="C375" s="3" t="s">
        <v>11</v>
      </c>
      <c r="D375" s="3">
        <v>1</v>
      </c>
      <c r="E375" s="13">
        <v>59.81</v>
      </c>
      <c r="F375" s="13">
        <v>5.0250000000000004</v>
      </c>
      <c r="G375" s="14">
        <v>64.738</v>
      </c>
    </row>
    <row r="376" spans="1:7" x14ac:dyDescent="0.2">
      <c r="A376" s="4" t="s">
        <v>27</v>
      </c>
      <c r="B376" s="1">
        <v>6</v>
      </c>
      <c r="C376" s="1" t="s">
        <v>11</v>
      </c>
      <c r="D376" s="1">
        <v>2</v>
      </c>
      <c r="E376" s="15">
        <v>68.064999999999998</v>
      </c>
      <c r="F376" s="15">
        <v>5.0730000000000004</v>
      </c>
      <c r="G376" s="16">
        <v>73.043000000000006</v>
      </c>
    </row>
    <row r="377" spans="1:7" x14ac:dyDescent="0.2">
      <c r="A377" s="4" t="s">
        <v>27</v>
      </c>
      <c r="B377" s="1">
        <v>4</v>
      </c>
      <c r="C377" s="1" t="s">
        <v>11</v>
      </c>
      <c r="D377" s="1">
        <v>3</v>
      </c>
      <c r="E377" s="15">
        <v>63.802</v>
      </c>
      <c r="F377" s="15">
        <v>5.0030000000000001</v>
      </c>
      <c r="G377" s="16">
        <v>68.709999999999994</v>
      </c>
    </row>
    <row r="378" spans="1:7" ht="16" thickBot="1" x14ac:dyDescent="0.25">
      <c r="A378" s="5" t="s">
        <v>27</v>
      </c>
      <c r="B378" s="6">
        <v>13</v>
      </c>
      <c r="C378" s="6" t="s">
        <v>11</v>
      </c>
      <c r="D378" s="6">
        <v>4</v>
      </c>
      <c r="E378" s="17">
        <v>63.930999999999997</v>
      </c>
      <c r="F378" s="17">
        <v>5.05</v>
      </c>
      <c r="G378" s="18">
        <v>68.882000000000005</v>
      </c>
    </row>
    <row r="379" spans="1:7" x14ac:dyDescent="0.2">
      <c r="A379" s="2" t="s">
        <v>27</v>
      </c>
      <c r="B379" s="3">
        <v>5</v>
      </c>
      <c r="C379" s="3" t="s">
        <v>12</v>
      </c>
      <c r="D379" s="3">
        <v>1</v>
      </c>
      <c r="E379" s="13">
        <v>62.197000000000003</v>
      </c>
      <c r="F379" s="13">
        <v>5.0039999999999996</v>
      </c>
      <c r="G379" s="14">
        <v>67.129000000000005</v>
      </c>
    </row>
    <row r="380" spans="1:7" x14ac:dyDescent="0.2">
      <c r="A380" s="4" t="s">
        <v>27</v>
      </c>
      <c r="B380" s="1">
        <v>10</v>
      </c>
      <c r="C380" s="1" t="s">
        <v>12</v>
      </c>
      <c r="D380" s="1">
        <v>2</v>
      </c>
      <c r="E380" s="15">
        <v>58.265999999999998</v>
      </c>
      <c r="F380" s="15">
        <v>5.0519999999999996</v>
      </c>
      <c r="G380" s="16">
        <v>63.250999999999998</v>
      </c>
    </row>
    <row r="381" spans="1:7" x14ac:dyDescent="0.2">
      <c r="A381" s="4" t="s">
        <v>27</v>
      </c>
      <c r="B381" s="1">
        <v>1</v>
      </c>
      <c r="C381" s="1" t="s">
        <v>12</v>
      </c>
      <c r="D381" s="1">
        <v>3</v>
      </c>
      <c r="E381" s="15">
        <v>63.08</v>
      </c>
      <c r="F381" s="15">
        <v>5.0419999999999998</v>
      </c>
      <c r="G381" s="16">
        <v>68.058000000000007</v>
      </c>
    </row>
    <row r="382" spans="1:7" ht="16" thickBot="1" x14ac:dyDescent="0.25">
      <c r="A382" s="5" t="s">
        <v>27</v>
      </c>
      <c r="B382" s="6">
        <v>7</v>
      </c>
      <c r="C382" s="6" t="s">
        <v>12</v>
      </c>
      <c r="D382" s="6">
        <v>4</v>
      </c>
      <c r="E382" s="17">
        <v>64.870999999999995</v>
      </c>
      <c r="F382" s="17">
        <v>5.0860000000000003</v>
      </c>
      <c r="G382" s="18">
        <v>69.887</v>
      </c>
    </row>
    <row r="383" spans="1:7" x14ac:dyDescent="0.2">
      <c r="A383" s="2" t="s">
        <v>27</v>
      </c>
      <c r="B383" s="3">
        <v>6</v>
      </c>
      <c r="C383" s="3" t="s">
        <v>13</v>
      </c>
      <c r="D383" s="3">
        <v>1</v>
      </c>
      <c r="E383" s="13">
        <v>68.063999999999993</v>
      </c>
      <c r="F383" s="13">
        <v>5.0410000000000004</v>
      </c>
      <c r="G383" s="14">
        <v>73.066000000000003</v>
      </c>
    </row>
    <row r="384" spans="1:7" x14ac:dyDescent="0.2">
      <c r="A384" s="4" t="s">
        <v>27</v>
      </c>
      <c r="B384" s="1">
        <v>7</v>
      </c>
      <c r="C384" s="1" t="s">
        <v>13</v>
      </c>
      <c r="D384" s="1">
        <v>2</v>
      </c>
      <c r="E384" s="15">
        <v>64.87</v>
      </c>
      <c r="F384" s="15">
        <v>5.0259999999999998</v>
      </c>
      <c r="G384" s="16">
        <v>69.852000000000004</v>
      </c>
    </row>
    <row r="385" spans="1:7" x14ac:dyDescent="0.2">
      <c r="A385" s="4" t="s">
        <v>27</v>
      </c>
      <c r="B385" s="1">
        <v>5</v>
      </c>
      <c r="C385" s="1" t="s">
        <v>13</v>
      </c>
      <c r="D385" s="1">
        <v>3</v>
      </c>
      <c r="E385" s="15">
        <v>62.197000000000003</v>
      </c>
      <c r="F385" s="15">
        <v>5.048</v>
      </c>
      <c r="G385" s="16">
        <v>67.201999999999998</v>
      </c>
    </row>
    <row r="386" spans="1:7" ht="16" thickBot="1" x14ac:dyDescent="0.25">
      <c r="A386" s="5" t="s">
        <v>27</v>
      </c>
      <c r="B386" s="6">
        <v>10</v>
      </c>
      <c r="C386" s="6" t="s">
        <v>13</v>
      </c>
      <c r="D386" s="6">
        <v>4</v>
      </c>
      <c r="E386" s="17">
        <v>58.265999999999998</v>
      </c>
      <c r="F386" s="17">
        <v>5.0339999999999998</v>
      </c>
      <c r="G386" s="18">
        <v>63.256999999999998</v>
      </c>
    </row>
    <row r="387" spans="1:7" x14ac:dyDescent="0.2">
      <c r="A387" s="2" t="s">
        <v>27</v>
      </c>
      <c r="B387" s="3">
        <v>13</v>
      </c>
      <c r="C387" s="3" t="s">
        <v>14</v>
      </c>
      <c r="D387" s="3">
        <v>1</v>
      </c>
      <c r="E387" s="13">
        <v>63.93</v>
      </c>
      <c r="F387" s="13">
        <v>5.0549999999999997</v>
      </c>
      <c r="G387" s="14">
        <v>68.95</v>
      </c>
    </row>
    <row r="388" spans="1:7" x14ac:dyDescent="0.2">
      <c r="A388" s="4" t="s">
        <v>27</v>
      </c>
      <c r="B388" s="1">
        <v>15</v>
      </c>
      <c r="C388" s="1" t="s">
        <v>14</v>
      </c>
      <c r="D388" s="1">
        <v>2</v>
      </c>
      <c r="E388" s="15">
        <v>62.731999999999999</v>
      </c>
      <c r="F388" s="15">
        <v>5.0430000000000001</v>
      </c>
      <c r="G388" s="16">
        <v>67.741</v>
      </c>
    </row>
    <row r="389" spans="1:7" x14ac:dyDescent="0.2">
      <c r="A389" s="4" t="s">
        <v>27</v>
      </c>
      <c r="B389" s="1">
        <v>3</v>
      </c>
      <c r="C389" s="1" t="s">
        <v>14</v>
      </c>
      <c r="D389" s="1">
        <v>3</v>
      </c>
      <c r="E389" s="15">
        <v>65.747</v>
      </c>
      <c r="F389" s="15">
        <v>5.03</v>
      </c>
      <c r="G389" s="16">
        <v>70.742999999999995</v>
      </c>
    </row>
    <row r="390" spans="1:7" ht="16" thickBot="1" x14ac:dyDescent="0.25">
      <c r="A390" s="5" t="s">
        <v>27</v>
      </c>
      <c r="B390" s="6">
        <v>14</v>
      </c>
      <c r="C390" s="6" t="s">
        <v>14</v>
      </c>
      <c r="D390" s="6">
        <v>4</v>
      </c>
      <c r="E390" s="17">
        <v>59.808999999999997</v>
      </c>
      <c r="F390" s="17">
        <v>5.0979999999999999</v>
      </c>
      <c r="G390" s="18">
        <v>64.873999999999995</v>
      </c>
    </row>
    <row r="391" spans="1:7" x14ac:dyDescent="0.2">
      <c r="A391" s="2" t="s">
        <v>27</v>
      </c>
      <c r="B391" s="3">
        <v>8</v>
      </c>
      <c r="C391" s="3" t="s">
        <v>15</v>
      </c>
      <c r="D391" s="3">
        <v>1</v>
      </c>
      <c r="E391" s="13">
        <v>65.316000000000003</v>
      </c>
      <c r="F391" s="13">
        <v>5.0720000000000001</v>
      </c>
      <c r="G391" s="14">
        <v>70.352000000000004</v>
      </c>
    </row>
    <row r="392" spans="1:7" x14ac:dyDescent="0.2">
      <c r="A392" s="4" t="s">
        <v>27</v>
      </c>
      <c r="B392" s="1">
        <v>1</v>
      </c>
      <c r="C392" s="1" t="s">
        <v>15</v>
      </c>
      <c r="D392" s="1">
        <v>2</v>
      </c>
      <c r="E392" s="15">
        <v>63.08</v>
      </c>
      <c r="F392" s="15">
        <v>5.0359999999999996</v>
      </c>
      <c r="G392" s="16">
        <v>68.081000000000003</v>
      </c>
    </row>
    <row r="393" spans="1:7" x14ac:dyDescent="0.2">
      <c r="A393" s="4" t="s">
        <v>27</v>
      </c>
      <c r="B393" s="1">
        <v>4</v>
      </c>
      <c r="C393" s="1" t="s">
        <v>15</v>
      </c>
      <c r="D393" s="1">
        <v>3</v>
      </c>
      <c r="E393" s="15">
        <v>63.802</v>
      </c>
      <c r="F393" s="15">
        <v>5.01</v>
      </c>
      <c r="G393" s="16">
        <v>68.775999999999996</v>
      </c>
    </row>
    <row r="394" spans="1:7" ht="16" thickBot="1" x14ac:dyDescent="0.25">
      <c r="A394" s="5" t="s">
        <v>27</v>
      </c>
      <c r="B394" s="6">
        <v>2</v>
      </c>
      <c r="C394" s="6" t="s">
        <v>15</v>
      </c>
      <c r="D394" s="6">
        <v>4</v>
      </c>
      <c r="E394" s="17">
        <v>64.481999999999999</v>
      </c>
      <c r="F394" s="17">
        <v>5.03</v>
      </c>
      <c r="G394" s="18">
        <v>69.477000000000004</v>
      </c>
    </row>
    <row r="395" spans="1:7" x14ac:dyDescent="0.2">
      <c r="A395" s="2" t="s">
        <v>27</v>
      </c>
      <c r="B395" s="3">
        <v>1</v>
      </c>
      <c r="C395" s="3" t="s">
        <v>16</v>
      </c>
      <c r="D395" s="3">
        <v>1</v>
      </c>
      <c r="E395" s="13">
        <v>63.082000000000001</v>
      </c>
      <c r="F395" s="13">
        <v>5.0190000000000001</v>
      </c>
      <c r="G395" s="14">
        <v>68.046999999999997</v>
      </c>
    </row>
    <row r="396" spans="1:7" x14ac:dyDescent="0.2">
      <c r="A396" s="4" t="s">
        <v>27</v>
      </c>
      <c r="B396" s="1">
        <v>3</v>
      </c>
      <c r="C396" s="1" t="s">
        <v>16</v>
      </c>
      <c r="D396" s="1">
        <v>2</v>
      </c>
      <c r="E396" s="15">
        <v>65.748000000000005</v>
      </c>
      <c r="F396" s="15">
        <v>5.0140000000000002</v>
      </c>
      <c r="G396" s="16">
        <v>70.715000000000003</v>
      </c>
    </row>
    <row r="397" spans="1:7" x14ac:dyDescent="0.2">
      <c r="A397" s="4" t="s">
        <v>27</v>
      </c>
      <c r="B397" s="1">
        <v>15</v>
      </c>
      <c r="C397" s="1" t="s">
        <v>16</v>
      </c>
      <c r="D397" s="1">
        <v>3</v>
      </c>
      <c r="E397" s="15">
        <v>62.731999999999999</v>
      </c>
      <c r="F397" s="15">
        <v>5.0910000000000002</v>
      </c>
      <c r="G397" s="16">
        <v>67.772999999999996</v>
      </c>
    </row>
    <row r="398" spans="1:7" ht="16" thickBot="1" x14ac:dyDescent="0.25">
      <c r="A398" s="5" t="s">
        <v>27</v>
      </c>
      <c r="B398" s="6">
        <v>14</v>
      </c>
      <c r="C398" s="6" t="s">
        <v>16</v>
      </c>
      <c r="D398" s="6">
        <v>4</v>
      </c>
      <c r="E398" s="17">
        <v>59.81</v>
      </c>
      <c r="F398" s="17">
        <v>5.0620000000000003</v>
      </c>
      <c r="G398" s="18">
        <v>64.825000000000003</v>
      </c>
    </row>
    <row r="399" spans="1:7" x14ac:dyDescent="0.2">
      <c r="A399" s="8" t="s">
        <v>28</v>
      </c>
      <c r="B399" s="3">
        <v>6</v>
      </c>
      <c r="C399" s="3" t="s">
        <v>9</v>
      </c>
      <c r="D399" s="3">
        <v>1</v>
      </c>
      <c r="E399" s="13">
        <v>68.064999999999998</v>
      </c>
      <c r="F399" s="13">
        <v>5.0250000000000004</v>
      </c>
      <c r="G399" s="14">
        <v>72.932000000000002</v>
      </c>
    </row>
    <row r="400" spans="1:7" x14ac:dyDescent="0.2">
      <c r="A400" s="4" t="s">
        <v>28</v>
      </c>
      <c r="B400" s="1">
        <v>7</v>
      </c>
      <c r="C400" s="1" t="s">
        <v>9</v>
      </c>
      <c r="D400" s="1">
        <v>2</v>
      </c>
      <c r="E400" s="15">
        <v>64.870999999999995</v>
      </c>
      <c r="F400" s="15">
        <v>5.0730000000000004</v>
      </c>
      <c r="G400" s="16">
        <v>69.772999999999996</v>
      </c>
    </row>
    <row r="401" spans="1:7" x14ac:dyDescent="0.2">
      <c r="A401" s="4" t="s">
        <v>28</v>
      </c>
      <c r="B401" s="1">
        <v>5</v>
      </c>
      <c r="C401" s="1" t="s">
        <v>9</v>
      </c>
      <c r="D401" s="1">
        <v>3</v>
      </c>
      <c r="E401" s="15">
        <v>62.198</v>
      </c>
      <c r="F401" s="15">
        <v>5.0860000000000003</v>
      </c>
      <c r="G401" s="16">
        <v>67.108999999999995</v>
      </c>
    </row>
    <row r="402" spans="1:7" ht="16" thickBot="1" x14ac:dyDescent="0.25">
      <c r="A402" s="5" t="s">
        <v>28</v>
      </c>
      <c r="B402" s="6">
        <v>10</v>
      </c>
      <c r="C402" s="6" t="s">
        <v>9</v>
      </c>
      <c r="D402" s="6">
        <v>4</v>
      </c>
      <c r="E402" s="17">
        <v>58.265999999999998</v>
      </c>
      <c r="F402" s="17">
        <v>5.0270000000000001</v>
      </c>
      <c r="G402" s="18">
        <v>63.125</v>
      </c>
    </row>
    <row r="403" spans="1:7" x14ac:dyDescent="0.2">
      <c r="A403" s="2" t="s">
        <v>28</v>
      </c>
      <c r="B403" s="3">
        <v>2</v>
      </c>
      <c r="C403" s="3" t="s">
        <v>10</v>
      </c>
      <c r="D403" s="3">
        <v>1</v>
      </c>
      <c r="E403" s="13">
        <v>64.483000000000004</v>
      </c>
      <c r="F403" s="13">
        <v>5.0439999999999996</v>
      </c>
      <c r="G403" s="14">
        <v>69.384</v>
      </c>
    </row>
    <row r="404" spans="1:7" x14ac:dyDescent="0.2">
      <c r="A404" s="4" t="s">
        <v>28</v>
      </c>
      <c r="B404" s="1">
        <v>13</v>
      </c>
      <c r="C404" s="1" t="s">
        <v>10</v>
      </c>
      <c r="D404" s="1">
        <v>2</v>
      </c>
      <c r="E404" s="15">
        <v>63.930999999999997</v>
      </c>
      <c r="F404" s="15">
        <v>5.0750000000000002</v>
      </c>
      <c r="G404" s="16">
        <v>68.86</v>
      </c>
    </row>
    <row r="405" spans="1:7" x14ac:dyDescent="0.2">
      <c r="A405" s="4" t="s">
        <v>28</v>
      </c>
      <c r="B405" s="1">
        <v>4</v>
      </c>
      <c r="C405" s="1" t="s">
        <v>10</v>
      </c>
      <c r="D405" s="1">
        <v>3</v>
      </c>
      <c r="E405" s="15">
        <v>63.802999999999997</v>
      </c>
      <c r="F405" s="15">
        <v>5.0179999999999998</v>
      </c>
      <c r="G405" s="16">
        <v>68.676000000000002</v>
      </c>
    </row>
    <row r="406" spans="1:7" ht="16" thickBot="1" x14ac:dyDescent="0.25">
      <c r="A406" s="5" t="s">
        <v>28</v>
      </c>
      <c r="B406" s="6">
        <v>8</v>
      </c>
      <c r="C406" s="6" t="s">
        <v>10</v>
      </c>
      <c r="D406" s="6">
        <v>4</v>
      </c>
      <c r="E406" s="17">
        <v>65.316999999999993</v>
      </c>
      <c r="F406" s="17">
        <v>5.0190000000000001</v>
      </c>
      <c r="G406" s="18">
        <v>70.188999999999993</v>
      </c>
    </row>
    <row r="407" spans="1:7" x14ac:dyDescent="0.2">
      <c r="A407" s="2" t="s">
        <v>28</v>
      </c>
      <c r="B407" s="3">
        <v>8</v>
      </c>
      <c r="C407" s="3" t="s">
        <v>11</v>
      </c>
      <c r="D407" s="3">
        <v>1</v>
      </c>
      <c r="E407" s="13">
        <v>65.314999999999998</v>
      </c>
      <c r="F407" s="13">
        <v>5.0529999999999999</v>
      </c>
      <c r="G407" s="14">
        <v>70.224000000000004</v>
      </c>
    </row>
    <row r="408" spans="1:7" x14ac:dyDescent="0.2">
      <c r="A408" s="4" t="s">
        <v>28</v>
      </c>
      <c r="B408" s="1">
        <v>15</v>
      </c>
      <c r="C408" s="1" t="s">
        <v>11</v>
      </c>
      <c r="D408" s="1">
        <v>2</v>
      </c>
      <c r="E408" s="15">
        <v>62.731999999999999</v>
      </c>
      <c r="F408" s="15">
        <v>5.0650000000000004</v>
      </c>
      <c r="G408" s="16">
        <v>67.650999999999996</v>
      </c>
    </row>
    <row r="409" spans="1:7" x14ac:dyDescent="0.2">
      <c r="A409" s="4" t="s">
        <v>28</v>
      </c>
      <c r="B409" s="1">
        <v>10</v>
      </c>
      <c r="C409" s="1" t="s">
        <v>11</v>
      </c>
      <c r="D409" s="1">
        <v>3</v>
      </c>
      <c r="E409" s="15">
        <v>58.265999999999998</v>
      </c>
      <c r="F409" s="15">
        <v>5.0759999999999996</v>
      </c>
      <c r="G409" s="16">
        <v>63.191000000000003</v>
      </c>
    </row>
    <row r="410" spans="1:7" ht="16" thickBot="1" x14ac:dyDescent="0.25">
      <c r="A410" s="5" t="s">
        <v>28</v>
      </c>
      <c r="B410" s="6">
        <v>14</v>
      </c>
      <c r="C410" s="6" t="s">
        <v>11</v>
      </c>
      <c r="D410" s="6">
        <v>4</v>
      </c>
      <c r="E410" s="17">
        <v>59.808999999999997</v>
      </c>
      <c r="F410" s="17">
        <v>5.1070000000000002</v>
      </c>
      <c r="G410" s="18">
        <v>64.765000000000001</v>
      </c>
    </row>
    <row r="411" spans="1:7" x14ac:dyDescent="0.2">
      <c r="A411" s="2" t="s">
        <v>28</v>
      </c>
      <c r="B411" s="3">
        <v>3</v>
      </c>
      <c r="C411" s="3" t="s">
        <v>12</v>
      </c>
      <c r="D411" s="3">
        <v>1</v>
      </c>
      <c r="E411" s="13">
        <v>65.747</v>
      </c>
      <c r="F411" s="13">
        <v>5.0460000000000003</v>
      </c>
      <c r="G411" s="14">
        <v>70.665000000000006</v>
      </c>
    </row>
    <row r="412" spans="1:7" x14ac:dyDescent="0.2">
      <c r="A412" s="4" t="s">
        <v>28</v>
      </c>
      <c r="B412" s="1">
        <v>13</v>
      </c>
      <c r="C412" s="1" t="s">
        <v>12</v>
      </c>
      <c r="D412" s="1">
        <v>2</v>
      </c>
      <c r="E412" s="15">
        <v>63.93</v>
      </c>
      <c r="F412" s="15">
        <v>5.0510000000000002</v>
      </c>
      <c r="G412" s="16">
        <v>68.855000000000004</v>
      </c>
    </row>
    <row r="413" spans="1:7" x14ac:dyDescent="0.2">
      <c r="A413" s="4" t="s">
        <v>28</v>
      </c>
      <c r="B413" s="1">
        <v>7</v>
      </c>
      <c r="C413" s="1" t="s">
        <v>12</v>
      </c>
      <c r="D413" s="1">
        <v>3</v>
      </c>
      <c r="E413" s="15">
        <v>64.87</v>
      </c>
      <c r="F413" s="15">
        <v>5.0720000000000001</v>
      </c>
      <c r="G413" s="16">
        <v>69.813000000000002</v>
      </c>
    </row>
    <row r="414" spans="1:7" ht="16" thickBot="1" x14ac:dyDescent="0.25">
      <c r="A414" s="5" t="s">
        <v>28</v>
      </c>
      <c r="B414" s="6">
        <v>5</v>
      </c>
      <c r="C414" s="6" t="s">
        <v>12</v>
      </c>
      <c r="D414" s="6">
        <v>4</v>
      </c>
      <c r="E414" s="17">
        <v>62.197000000000003</v>
      </c>
      <c r="F414" s="17">
        <v>5.0810000000000004</v>
      </c>
      <c r="G414" s="18">
        <v>67.155000000000001</v>
      </c>
    </row>
    <row r="415" spans="1:7" x14ac:dyDescent="0.2">
      <c r="A415" s="2" t="s">
        <v>28</v>
      </c>
      <c r="B415" s="3">
        <v>4</v>
      </c>
      <c r="C415" s="3" t="s">
        <v>13</v>
      </c>
      <c r="D415" s="3">
        <v>1</v>
      </c>
      <c r="E415" s="13">
        <v>63.802</v>
      </c>
      <c r="F415" s="13">
        <v>5.0439999999999996</v>
      </c>
      <c r="G415" s="14">
        <v>68.757000000000005</v>
      </c>
    </row>
    <row r="416" spans="1:7" x14ac:dyDescent="0.2">
      <c r="A416" s="4" t="s">
        <v>28</v>
      </c>
      <c r="B416" s="1">
        <v>6</v>
      </c>
      <c r="C416" s="1" t="s">
        <v>13</v>
      </c>
      <c r="D416" s="1">
        <v>2</v>
      </c>
      <c r="E416" s="15">
        <v>68.063999999999993</v>
      </c>
      <c r="F416" s="15">
        <v>5.0880000000000001</v>
      </c>
      <c r="G416" s="16">
        <v>73.063999999999993</v>
      </c>
    </row>
    <row r="417" spans="1:7" x14ac:dyDescent="0.2">
      <c r="A417" s="4" t="s">
        <v>28</v>
      </c>
      <c r="B417" s="1">
        <v>1</v>
      </c>
      <c r="C417" s="1" t="s">
        <v>13</v>
      </c>
      <c r="D417" s="1">
        <v>3</v>
      </c>
      <c r="E417" s="15">
        <v>63.08</v>
      </c>
      <c r="F417" s="15">
        <v>5.0830000000000002</v>
      </c>
      <c r="G417" s="16">
        <v>68.073999999999998</v>
      </c>
    </row>
    <row r="418" spans="1:7" ht="16" thickBot="1" x14ac:dyDescent="0.25">
      <c r="A418" s="5" t="s">
        <v>28</v>
      </c>
      <c r="B418" s="6">
        <v>2</v>
      </c>
      <c r="C418" s="6" t="s">
        <v>13</v>
      </c>
      <c r="D418" s="6">
        <v>4</v>
      </c>
      <c r="E418" s="17">
        <v>64.483000000000004</v>
      </c>
      <c r="F418" s="17">
        <v>5.0940000000000003</v>
      </c>
      <c r="G418" s="18">
        <v>69.489999999999995</v>
      </c>
    </row>
    <row r="419" spans="1:7" x14ac:dyDescent="0.2">
      <c r="A419" s="2" t="s">
        <v>28</v>
      </c>
      <c r="B419" s="3">
        <v>10</v>
      </c>
      <c r="C419" s="3" t="s">
        <v>14</v>
      </c>
      <c r="D419" s="3">
        <v>1</v>
      </c>
      <c r="E419" s="13">
        <v>58.265000000000001</v>
      </c>
      <c r="F419" s="13">
        <v>5.03</v>
      </c>
      <c r="G419" s="14">
        <v>63.225999999999999</v>
      </c>
    </row>
    <row r="420" spans="1:7" x14ac:dyDescent="0.2">
      <c r="A420" s="4" t="s">
        <v>28</v>
      </c>
      <c r="B420" s="1">
        <v>2</v>
      </c>
      <c r="C420" s="1" t="s">
        <v>14</v>
      </c>
      <c r="D420" s="1">
        <v>2</v>
      </c>
      <c r="E420" s="15">
        <v>64.480999999999995</v>
      </c>
      <c r="F420" s="15">
        <v>5.077</v>
      </c>
      <c r="G420" s="16">
        <v>69.492000000000004</v>
      </c>
    </row>
    <row r="421" spans="1:7" x14ac:dyDescent="0.2">
      <c r="A421" s="4" t="s">
        <v>28</v>
      </c>
      <c r="B421" s="1">
        <v>14</v>
      </c>
      <c r="C421" s="1" t="s">
        <v>14</v>
      </c>
      <c r="D421" s="1">
        <v>3</v>
      </c>
      <c r="E421" s="15">
        <v>59.808999999999997</v>
      </c>
      <c r="F421" s="15">
        <v>5.0190000000000001</v>
      </c>
      <c r="G421" s="16">
        <v>64.757999999999996</v>
      </c>
    </row>
    <row r="422" spans="1:7" ht="16" thickBot="1" x14ac:dyDescent="0.25">
      <c r="A422" s="5" t="s">
        <v>28</v>
      </c>
      <c r="B422" s="6">
        <v>6</v>
      </c>
      <c r="C422" s="6" t="s">
        <v>14</v>
      </c>
      <c r="D422" s="6">
        <v>4</v>
      </c>
      <c r="E422" s="17">
        <v>68.063999999999993</v>
      </c>
      <c r="F422" s="17">
        <v>5.0049999999999999</v>
      </c>
      <c r="G422" s="18">
        <v>73.001000000000005</v>
      </c>
    </row>
    <row r="423" spans="1:7" x14ac:dyDescent="0.2">
      <c r="A423" s="2" t="s">
        <v>28</v>
      </c>
      <c r="B423" s="3">
        <v>15</v>
      </c>
      <c r="C423" s="3" t="s">
        <v>15</v>
      </c>
      <c r="D423" s="3">
        <v>1</v>
      </c>
      <c r="E423" s="13">
        <v>62.731999999999999</v>
      </c>
      <c r="F423" s="13">
        <v>5.0289999999999999</v>
      </c>
      <c r="G423" s="14">
        <v>67.709000000000003</v>
      </c>
    </row>
    <row r="424" spans="1:7" x14ac:dyDescent="0.2">
      <c r="A424" s="4" t="s">
        <v>28</v>
      </c>
      <c r="B424" s="1">
        <v>4</v>
      </c>
      <c r="C424" s="1" t="s">
        <v>15</v>
      </c>
      <c r="D424" s="1">
        <v>2</v>
      </c>
      <c r="E424" s="15">
        <v>63.802</v>
      </c>
      <c r="F424" s="15">
        <v>5.0469999999999997</v>
      </c>
      <c r="G424" s="16">
        <v>68.795000000000002</v>
      </c>
    </row>
    <row r="425" spans="1:7" x14ac:dyDescent="0.2">
      <c r="A425" s="4" t="s">
        <v>28</v>
      </c>
      <c r="B425" s="1">
        <v>5</v>
      </c>
      <c r="C425" s="1" t="s">
        <v>15</v>
      </c>
      <c r="D425" s="1">
        <v>3</v>
      </c>
      <c r="E425" s="15">
        <v>62.195999999999998</v>
      </c>
      <c r="F425" s="15">
        <v>5.0640000000000001</v>
      </c>
      <c r="G425" s="16">
        <v>67.207999999999998</v>
      </c>
    </row>
    <row r="426" spans="1:7" ht="16" thickBot="1" x14ac:dyDescent="0.25">
      <c r="A426" s="5" t="s">
        <v>28</v>
      </c>
      <c r="B426" s="6">
        <v>1</v>
      </c>
      <c r="C426" s="6" t="s">
        <v>15</v>
      </c>
      <c r="D426" s="6">
        <v>4</v>
      </c>
      <c r="E426" s="17">
        <v>63.08</v>
      </c>
      <c r="F426" s="17">
        <v>5.0620000000000003</v>
      </c>
      <c r="G426" s="18">
        <v>68.090999999999994</v>
      </c>
    </row>
    <row r="427" spans="1:7" x14ac:dyDescent="0.2">
      <c r="A427" s="2" t="s">
        <v>28</v>
      </c>
      <c r="B427" s="3">
        <v>13</v>
      </c>
      <c r="C427" s="3" t="s">
        <v>16</v>
      </c>
      <c r="D427" s="3">
        <v>1</v>
      </c>
      <c r="E427" s="13">
        <v>63.930999999999997</v>
      </c>
      <c r="F427" s="13">
        <v>5.085</v>
      </c>
      <c r="G427" s="14">
        <v>68.971000000000004</v>
      </c>
    </row>
    <row r="428" spans="1:7" x14ac:dyDescent="0.2">
      <c r="A428" s="4" t="s">
        <v>28</v>
      </c>
      <c r="B428" s="1">
        <v>8</v>
      </c>
      <c r="C428" s="1" t="s">
        <v>16</v>
      </c>
      <c r="D428" s="1">
        <v>2</v>
      </c>
      <c r="E428" s="15">
        <v>65.316000000000003</v>
      </c>
      <c r="F428" s="15">
        <v>5.0990000000000002</v>
      </c>
      <c r="G428" s="16">
        <v>70.370999999999995</v>
      </c>
    </row>
    <row r="429" spans="1:7" x14ac:dyDescent="0.2">
      <c r="A429" s="4" t="s">
        <v>28</v>
      </c>
      <c r="B429" s="1">
        <v>3</v>
      </c>
      <c r="C429" s="1" t="s">
        <v>16</v>
      </c>
      <c r="D429" s="1">
        <v>3</v>
      </c>
      <c r="E429" s="15">
        <v>65.747</v>
      </c>
      <c r="F429" s="15">
        <v>5.0590000000000002</v>
      </c>
      <c r="G429" s="16">
        <v>70.763000000000005</v>
      </c>
    </row>
    <row r="430" spans="1:7" ht="16" thickBot="1" x14ac:dyDescent="0.25">
      <c r="A430" s="5" t="s">
        <v>28</v>
      </c>
      <c r="B430" s="6">
        <v>7</v>
      </c>
      <c r="C430" s="6" t="s">
        <v>16</v>
      </c>
      <c r="D430" s="6">
        <v>4</v>
      </c>
      <c r="E430" s="17">
        <v>64.870999999999995</v>
      </c>
      <c r="F430" s="17">
        <v>5.0819999999999999</v>
      </c>
      <c r="G430" s="18">
        <v>69.91</v>
      </c>
    </row>
    <row r="431" spans="1:7" x14ac:dyDescent="0.2">
      <c r="A431" s="2" t="s">
        <v>28</v>
      </c>
      <c r="B431" s="3">
        <v>10</v>
      </c>
      <c r="C431" s="3" t="s">
        <v>17</v>
      </c>
      <c r="D431" s="3">
        <v>1</v>
      </c>
      <c r="E431" s="13">
        <v>58.265999999999998</v>
      </c>
      <c r="F431" s="13">
        <v>5.085</v>
      </c>
      <c r="G431" s="14">
        <v>63.314</v>
      </c>
    </row>
    <row r="432" spans="1:7" x14ac:dyDescent="0.2">
      <c r="A432" s="4" t="s">
        <v>28</v>
      </c>
      <c r="B432" s="1">
        <v>5</v>
      </c>
      <c r="C432" s="1" t="s">
        <v>17</v>
      </c>
      <c r="D432" s="1">
        <v>2</v>
      </c>
      <c r="E432" s="15">
        <v>62.197000000000003</v>
      </c>
      <c r="F432" s="15">
        <v>5.0090000000000003</v>
      </c>
      <c r="G432" s="16">
        <v>67.168999999999997</v>
      </c>
    </row>
    <row r="433" spans="1:7" x14ac:dyDescent="0.2">
      <c r="A433" s="4" t="s">
        <v>28</v>
      </c>
      <c r="B433" s="1">
        <v>6</v>
      </c>
      <c r="C433" s="1" t="s">
        <v>17</v>
      </c>
      <c r="D433" s="1">
        <v>3</v>
      </c>
      <c r="E433" s="15">
        <v>68.064999999999998</v>
      </c>
      <c r="F433" s="15">
        <v>5.0819999999999999</v>
      </c>
      <c r="G433" s="16">
        <v>73.106999999999999</v>
      </c>
    </row>
    <row r="434" spans="1:7" ht="16" thickBot="1" x14ac:dyDescent="0.25">
      <c r="A434" s="5" t="s">
        <v>28</v>
      </c>
      <c r="B434" s="6">
        <v>7</v>
      </c>
      <c r="C434" s="6" t="s">
        <v>17</v>
      </c>
      <c r="D434" s="6">
        <v>4</v>
      </c>
      <c r="E434" s="17">
        <v>64.870999999999995</v>
      </c>
      <c r="F434" s="17">
        <v>5.0570000000000004</v>
      </c>
      <c r="G434" s="18">
        <v>69.89</v>
      </c>
    </row>
    <row r="435" spans="1:7" x14ac:dyDescent="0.2">
      <c r="A435" s="2" t="s">
        <v>28</v>
      </c>
      <c r="B435" s="3">
        <v>1</v>
      </c>
      <c r="C435" s="3" t="s">
        <v>18</v>
      </c>
      <c r="D435" s="3">
        <v>1</v>
      </c>
      <c r="E435" s="13">
        <v>63.08</v>
      </c>
      <c r="F435" s="13">
        <v>5.0279999999999996</v>
      </c>
      <c r="G435" s="14">
        <v>68.072999999999993</v>
      </c>
    </row>
    <row r="436" spans="1:7" x14ac:dyDescent="0.2">
      <c r="A436" s="4" t="s">
        <v>28</v>
      </c>
      <c r="B436" s="1">
        <v>3</v>
      </c>
      <c r="C436" s="1" t="s">
        <v>18</v>
      </c>
      <c r="D436" s="1">
        <v>2</v>
      </c>
      <c r="E436" s="15">
        <v>65.747</v>
      </c>
      <c r="F436" s="15">
        <v>5.0679999999999996</v>
      </c>
      <c r="G436" s="16">
        <v>70.778999999999996</v>
      </c>
    </row>
    <row r="437" spans="1:7" x14ac:dyDescent="0.2">
      <c r="A437" s="4" t="s">
        <v>28</v>
      </c>
      <c r="B437" s="1">
        <v>15</v>
      </c>
      <c r="C437" s="1" t="s">
        <v>18</v>
      </c>
      <c r="D437" s="1">
        <v>3</v>
      </c>
      <c r="E437" s="15">
        <v>62.731999999999999</v>
      </c>
      <c r="F437" s="15">
        <v>5.0599999999999996</v>
      </c>
      <c r="G437" s="16">
        <v>67.756</v>
      </c>
    </row>
    <row r="438" spans="1:7" ht="16" thickBot="1" x14ac:dyDescent="0.25">
      <c r="A438" s="5" t="s">
        <v>28</v>
      </c>
      <c r="B438" s="6">
        <v>14</v>
      </c>
      <c r="C438" s="6" t="s">
        <v>18</v>
      </c>
      <c r="D438" s="6">
        <v>4</v>
      </c>
      <c r="E438" s="17">
        <v>59.808999999999997</v>
      </c>
      <c r="F438" s="17">
        <v>5.0430000000000001</v>
      </c>
      <c r="G438" s="18">
        <v>64.816999999999993</v>
      </c>
    </row>
    <row r="439" spans="1:7" x14ac:dyDescent="0.2">
      <c r="A439" s="2" t="s">
        <v>28</v>
      </c>
      <c r="B439" s="3">
        <v>8</v>
      </c>
      <c r="C439" s="3" t="s">
        <v>19</v>
      </c>
      <c r="D439" s="3">
        <v>1</v>
      </c>
      <c r="E439" s="13">
        <v>65.316000000000003</v>
      </c>
      <c r="F439" s="13">
        <v>5.0860000000000003</v>
      </c>
      <c r="G439" s="14">
        <v>70.369</v>
      </c>
    </row>
    <row r="440" spans="1:7" x14ac:dyDescent="0.2">
      <c r="A440" s="4" t="s">
        <v>28</v>
      </c>
      <c r="B440" s="1">
        <v>4</v>
      </c>
      <c r="C440" s="1" t="s">
        <v>19</v>
      </c>
      <c r="D440" s="1">
        <v>2</v>
      </c>
      <c r="E440" s="15">
        <v>63.802</v>
      </c>
      <c r="F440" s="15">
        <v>5.0720000000000001</v>
      </c>
      <c r="G440" s="16">
        <v>68.840999999999994</v>
      </c>
    </row>
    <row r="441" spans="1:7" x14ac:dyDescent="0.2">
      <c r="A441" s="4" t="s">
        <v>28</v>
      </c>
      <c r="B441" s="1">
        <v>2</v>
      </c>
      <c r="C441" s="1" t="s">
        <v>19</v>
      </c>
      <c r="D441" s="1">
        <v>3</v>
      </c>
      <c r="E441" s="15">
        <v>64.480999999999995</v>
      </c>
      <c r="F441" s="15">
        <v>5.048</v>
      </c>
      <c r="G441" s="16">
        <v>69.5</v>
      </c>
    </row>
    <row r="442" spans="1:7" ht="16" thickBot="1" x14ac:dyDescent="0.25">
      <c r="A442" s="5" t="s">
        <v>28</v>
      </c>
      <c r="B442" s="6">
        <v>13</v>
      </c>
      <c r="C442" s="6" t="s">
        <v>19</v>
      </c>
      <c r="D442" s="6">
        <v>4</v>
      </c>
      <c r="E442" s="17">
        <v>63.93</v>
      </c>
      <c r="F442" s="17">
        <v>5.0220000000000002</v>
      </c>
      <c r="G442" s="18">
        <v>68.921000000000006</v>
      </c>
    </row>
    <row r="443" spans="1:7" x14ac:dyDescent="0.2">
      <c r="A443" s="8" t="s">
        <v>29</v>
      </c>
      <c r="B443" s="3">
        <v>10</v>
      </c>
      <c r="C443" s="3" t="s">
        <v>9</v>
      </c>
      <c r="D443" s="3">
        <v>1</v>
      </c>
      <c r="E443" s="13">
        <v>58.264000000000003</v>
      </c>
      <c r="F443" s="13">
        <v>5.0659999999999998</v>
      </c>
      <c r="G443" s="14">
        <v>63.195999999999998</v>
      </c>
    </row>
    <row r="444" spans="1:7" x14ac:dyDescent="0.2">
      <c r="A444" s="4" t="s">
        <v>29</v>
      </c>
      <c r="B444" s="1">
        <v>6</v>
      </c>
      <c r="C444" s="1" t="s">
        <v>9</v>
      </c>
      <c r="D444" s="1">
        <v>2</v>
      </c>
      <c r="E444" s="15">
        <v>68.063000000000002</v>
      </c>
      <c r="F444" s="15">
        <v>5.0039999999999996</v>
      </c>
      <c r="G444" s="16">
        <v>72.933000000000007</v>
      </c>
    </row>
    <row r="445" spans="1:7" x14ac:dyDescent="0.2">
      <c r="A445" s="4" t="s">
        <v>29</v>
      </c>
      <c r="B445" s="1">
        <v>4</v>
      </c>
      <c r="C445" s="1" t="s">
        <v>9</v>
      </c>
      <c r="D445" s="1">
        <v>3</v>
      </c>
      <c r="E445" s="15">
        <v>63.8</v>
      </c>
      <c r="F445" s="15">
        <v>5.0720000000000001</v>
      </c>
      <c r="G445" s="16">
        <v>68.734999999999999</v>
      </c>
    </row>
    <row r="446" spans="1:7" ht="16" thickBot="1" x14ac:dyDescent="0.25">
      <c r="A446" s="5" t="s">
        <v>29</v>
      </c>
      <c r="B446" s="6">
        <v>3</v>
      </c>
      <c r="C446" s="6" t="s">
        <v>9</v>
      </c>
      <c r="D446" s="6">
        <v>4</v>
      </c>
      <c r="E446" s="17">
        <v>65.747</v>
      </c>
      <c r="F446" s="17">
        <v>5.0129999999999999</v>
      </c>
      <c r="G446" s="18">
        <v>70.623000000000005</v>
      </c>
    </row>
    <row r="447" spans="1:7" x14ac:dyDescent="0.2">
      <c r="A447" s="2" t="s">
        <v>29</v>
      </c>
      <c r="B447" s="3">
        <v>5</v>
      </c>
      <c r="C447" s="3" t="s">
        <v>10</v>
      </c>
      <c r="D447" s="3">
        <v>1</v>
      </c>
      <c r="E447" s="13">
        <v>62.195</v>
      </c>
      <c r="F447" s="13">
        <v>5.032</v>
      </c>
      <c r="G447" s="14">
        <v>67.119</v>
      </c>
    </row>
    <row r="448" spans="1:7" x14ac:dyDescent="0.2">
      <c r="A448" s="4" t="s">
        <v>29</v>
      </c>
      <c r="B448" s="1">
        <v>15</v>
      </c>
      <c r="C448" s="1" t="s">
        <v>10</v>
      </c>
      <c r="D448" s="1">
        <v>2</v>
      </c>
      <c r="E448" s="15">
        <v>62.731000000000002</v>
      </c>
      <c r="F448" s="15">
        <v>5.0510000000000002</v>
      </c>
      <c r="G448" s="16">
        <v>67.671000000000006</v>
      </c>
    </row>
    <row r="449" spans="1:7" x14ac:dyDescent="0.2">
      <c r="A449" s="4" t="s">
        <v>29</v>
      </c>
      <c r="B449" s="1">
        <v>8</v>
      </c>
      <c r="C449" s="1" t="s">
        <v>10</v>
      </c>
      <c r="D449" s="1">
        <v>3</v>
      </c>
      <c r="E449" s="15">
        <v>65.316000000000003</v>
      </c>
      <c r="F449" s="15">
        <v>5.0919999999999996</v>
      </c>
      <c r="G449" s="16">
        <v>70.296000000000006</v>
      </c>
    </row>
    <row r="450" spans="1:7" ht="16" thickBot="1" x14ac:dyDescent="0.25">
      <c r="A450" s="5" t="s">
        <v>29</v>
      </c>
      <c r="B450" s="6">
        <v>1</v>
      </c>
      <c r="C450" s="6" t="s">
        <v>10</v>
      </c>
      <c r="D450" s="6">
        <v>4</v>
      </c>
      <c r="E450" s="17">
        <v>63.08</v>
      </c>
      <c r="F450" s="17">
        <v>5.0179999999999998</v>
      </c>
      <c r="G450" s="18">
        <v>67.992999999999995</v>
      </c>
    </row>
    <row r="451" spans="1:7" x14ac:dyDescent="0.2">
      <c r="A451" s="2" t="s">
        <v>29</v>
      </c>
      <c r="B451" s="3">
        <v>2</v>
      </c>
      <c r="C451" s="3" t="s">
        <v>11</v>
      </c>
      <c r="D451" s="3">
        <v>1</v>
      </c>
      <c r="E451" s="13">
        <v>64.481999999999999</v>
      </c>
      <c r="F451" s="13">
        <v>5.0309999999999997</v>
      </c>
      <c r="G451" s="14">
        <v>69.406999999999996</v>
      </c>
    </row>
    <row r="452" spans="1:7" x14ac:dyDescent="0.2">
      <c r="A452" s="4" t="s">
        <v>29</v>
      </c>
      <c r="B452" s="1">
        <v>13</v>
      </c>
      <c r="C452" s="1" t="s">
        <v>11</v>
      </c>
      <c r="D452" s="1">
        <v>2</v>
      </c>
      <c r="E452" s="15">
        <v>63.930999999999997</v>
      </c>
      <c r="F452" s="15">
        <v>5.0069999999999997</v>
      </c>
      <c r="G452" s="16">
        <v>68.83</v>
      </c>
    </row>
    <row r="453" spans="1:7" x14ac:dyDescent="0.2">
      <c r="A453" s="4" t="s">
        <v>29</v>
      </c>
      <c r="B453" s="1">
        <v>14</v>
      </c>
      <c r="C453" s="1" t="s">
        <v>11</v>
      </c>
      <c r="D453" s="1">
        <v>3</v>
      </c>
      <c r="E453" s="15">
        <v>59.808999999999997</v>
      </c>
      <c r="F453" s="15">
        <v>5.0599999999999996</v>
      </c>
      <c r="G453" s="16">
        <v>64.762</v>
      </c>
    </row>
    <row r="454" spans="1:7" ht="16" thickBot="1" x14ac:dyDescent="0.25">
      <c r="A454" s="5" t="s">
        <v>29</v>
      </c>
      <c r="B454" s="6">
        <v>7</v>
      </c>
      <c r="C454" s="6" t="s">
        <v>11</v>
      </c>
      <c r="D454" s="6">
        <v>4</v>
      </c>
      <c r="E454" s="17">
        <v>64.870999999999995</v>
      </c>
      <c r="F454" s="17">
        <v>5.04</v>
      </c>
      <c r="G454" s="18">
        <v>69.804000000000002</v>
      </c>
    </row>
    <row r="455" spans="1:7" x14ac:dyDescent="0.2">
      <c r="A455" s="2" t="s">
        <v>29</v>
      </c>
      <c r="B455" s="3">
        <v>1</v>
      </c>
      <c r="C455" s="3" t="s">
        <v>12</v>
      </c>
      <c r="D455" s="3">
        <v>1</v>
      </c>
      <c r="E455" s="13">
        <v>63.08</v>
      </c>
      <c r="F455" s="13">
        <v>5.0309999999999997</v>
      </c>
      <c r="G455" s="14">
        <v>68.05</v>
      </c>
    </row>
    <row r="456" spans="1:7" x14ac:dyDescent="0.2">
      <c r="A456" s="4" t="s">
        <v>29</v>
      </c>
      <c r="B456" s="1">
        <v>3</v>
      </c>
      <c r="C456" s="1" t="s">
        <v>12</v>
      </c>
      <c r="D456" s="1">
        <v>2</v>
      </c>
      <c r="E456" s="15">
        <v>65.747</v>
      </c>
      <c r="F456" s="15">
        <v>5.0140000000000002</v>
      </c>
      <c r="G456" s="16">
        <v>70.7</v>
      </c>
    </row>
    <row r="457" spans="1:7" x14ac:dyDescent="0.2">
      <c r="A457" s="4" t="s">
        <v>29</v>
      </c>
      <c r="B457" s="1">
        <v>14</v>
      </c>
      <c r="C457" s="1" t="s">
        <v>12</v>
      </c>
      <c r="D457" s="1">
        <v>3</v>
      </c>
      <c r="E457" s="15">
        <v>59.808999999999997</v>
      </c>
      <c r="F457" s="15">
        <v>5.0209999999999999</v>
      </c>
      <c r="G457" s="16">
        <v>64.768000000000001</v>
      </c>
    </row>
    <row r="458" spans="1:7" ht="16" thickBot="1" x14ac:dyDescent="0.25">
      <c r="A458" s="5" t="s">
        <v>29</v>
      </c>
      <c r="B458" s="6">
        <v>10</v>
      </c>
      <c r="C458" s="6" t="s">
        <v>12</v>
      </c>
      <c r="D458" s="6">
        <v>4</v>
      </c>
      <c r="E458" s="17">
        <v>58.265999999999998</v>
      </c>
      <c r="F458" s="17">
        <v>5.0090000000000003</v>
      </c>
      <c r="G458" s="18">
        <v>63.210999999999999</v>
      </c>
    </row>
    <row r="459" spans="1:7" x14ac:dyDescent="0.2">
      <c r="A459" s="2" t="s">
        <v>29</v>
      </c>
      <c r="B459" s="3">
        <v>4</v>
      </c>
      <c r="C459" s="3" t="s">
        <v>13</v>
      </c>
      <c r="D459" s="3">
        <v>1</v>
      </c>
      <c r="E459" s="13">
        <v>63.802</v>
      </c>
      <c r="F459" s="13">
        <v>5.05</v>
      </c>
      <c r="G459" s="14">
        <v>68.807000000000002</v>
      </c>
    </row>
    <row r="460" spans="1:7" x14ac:dyDescent="0.2">
      <c r="A460" s="4" t="s">
        <v>29</v>
      </c>
      <c r="B460" s="1">
        <v>7</v>
      </c>
      <c r="C460" s="1" t="s">
        <v>13</v>
      </c>
      <c r="D460" s="1">
        <v>2</v>
      </c>
      <c r="E460" s="15">
        <v>64.87</v>
      </c>
      <c r="F460" s="15">
        <v>5.048</v>
      </c>
      <c r="G460" s="16">
        <v>69.873999999999995</v>
      </c>
    </row>
    <row r="461" spans="1:7" x14ac:dyDescent="0.2">
      <c r="A461" s="4" t="s">
        <v>29</v>
      </c>
      <c r="B461" s="1">
        <v>6</v>
      </c>
      <c r="C461" s="1" t="s">
        <v>13</v>
      </c>
      <c r="D461" s="1">
        <v>3</v>
      </c>
      <c r="E461" s="15">
        <v>68.063999999999993</v>
      </c>
      <c r="F461" s="15">
        <v>5.0750000000000002</v>
      </c>
      <c r="G461" s="16">
        <v>73.093000000000004</v>
      </c>
    </row>
    <row r="462" spans="1:7" ht="16" thickBot="1" x14ac:dyDescent="0.25">
      <c r="A462" s="5" t="s">
        <v>29</v>
      </c>
      <c r="B462" s="6">
        <v>5</v>
      </c>
      <c r="C462" s="6" t="s">
        <v>13</v>
      </c>
      <c r="D462" s="6">
        <v>4</v>
      </c>
      <c r="E462" s="17">
        <v>62.197000000000003</v>
      </c>
      <c r="F462" s="17">
        <v>5.0529999999999999</v>
      </c>
      <c r="G462" s="18">
        <v>67.206000000000003</v>
      </c>
    </row>
    <row r="463" spans="1:7" x14ac:dyDescent="0.2">
      <c r="A463" s="2" t="s">
        <v>29</v>
      </c>
      <c r="B463" s="3">
        <v>15</v>
      </c>
      <c r="C463" s="3" t="s">
        <v>14</v>
      </c>
      <c r="D463" s="3">
        <v>1</v>
      </c>
      <c r="E463" s="13">
        <v>62.731999999999999</v>
      </c>
      <c r="F463" s="13">
        <v>5.0579999999999998</v>
      </c>
      <c r="G463" s="14">
        <v>67.748999999999995</v>
      </c>
    </row>
    <row r="464" spans="1:7" x14ac:dyDescent="0.2">
      <c r="A464" s="4" t="s">
        <v>29</v>
      </c>
      <c r="B464" s="1">
        <v>8</v>
      </c>
      <c r="C464" s="1" t="s">
        <v>14</v>
      </c>
      <c r="D464" s="1">
        <v>2</v>
      </c>
      <c r="E464" s="15">
        <v>65.316000000000003</v>
      </c>
      <c r="F464" s="15">
        <v>5.0090000000000003</v>
      </c>
      <c r="G464" s="16">
        <v>70.283000000000001</v>
      </c>
    </row>
    <row r="465" spans="1:7" x14ac:dyDescent="0.2">
      <c r="A465" s="4" t="s">
        <v>29</v>
      </c>
      <c r="B465" s="1">
        <v>13</v>
      </c>
      <c r="C465" s="1" t="s">
        <v>14</v>
      </c>
      <c r="D465" s="1">
        <v>3</v>
      </c>
      <c r="E465" s="15">
        <v>63.930999999999997</v>
      </c>
      <c r="F465" s="15">
        <v>5.0810000000000004</v>
      </c>
      <c r="G465" s="16">
        <v>68.966999999999999</v>
      </c>
    </row>
    <row r="466" spans="1:7" ht="16" thickBot="1" x14ac:dyDescent="0.25">
      <c r="A466" s="5" t="s">
        <v>29</v>
      </c>
      <c r="B466" s="6">
        <v>2</v>
      </c>
      <c r="C466" s="6" t="s">
        <v>14</v>
      </c>
      <c r="D466" s="6">
        <v>4</v>
      </c>
      <c r="E466" s="17">
        <v>64.481999999999999</v>
      </c>
      <c r="F466" s="17">
        <v>5.0119999999999996</v>
      </c>
      <c r="G466" s="18">
        <v>69.450999999999993</v>
      </c>
    </row>
    <row r="467" spans="1:7" x14ac:dyDescent="0.2">
      <c r="A467" s="2" t="s">
        <v>29</v>
      </c>
      <c r="B467" s="3">
        <v>2</v>
      </c>
      <c r="C467" s="3" t="s">
        <v>15</v>
      </c>
      <c r="D467" s="3">
        <v>1</v>
      </c>
      <c r="E467" s="13">
        <v>64.481999999999999</v>
      </c>
      <c r="F467" s="13">
        <v>5.0419999999999998</v>
      </c>
      <c r="G467" s="14">
        <v>69.492000000000004</v>
      </c>
    </row>
    <row r="468" spans="1:7" x14ac:dyDescent="0.2">
      <c r="A468" s="4" t="s">
        <v>29</v>
      </c>
      <c r="B468" s="1">
        <v>13</v>
      </c>
      <c r="C468" s="1" t="s">
        <v>15</v>
      </c>
      <c r="D468" s="1">
        <v>2</v>
      </c>
      <c r="E468" s="15">
        <v>63.93</v>
      </c>
      <c r="F468" s="15">
        <v>5.056</v>
      </c>
      <c r="G468" s="16">
        <v>68.953999999999994</v>
      </c>
    </row>
    <row r="469" spans="1:7" x14ac:dyDescent="0.2">
      <c r="A469" s="4" t="s">
        <v>29</v>
      </c>
      <c r="B469" s="1">
        <v>1</v>
      </c>
      <c r="C469" s="1" t="s">
        <v>15</v>
      </c>
      <c r="D469" s="1">
        <v>3</v>
      </c>
      <c r="E469" s="15">
        <v>63.08</v>
      </c>
      <c r="F469" s="15">
        <v>5.0860000000000003</v>
      </c>
      <c r="G469" s="16">
        <v>68.134</v>
      </c>
    </row>
    <row r="470" spans="1:7" ht="16" thickBot="1" x14ac:dyDescent="0.25">
      <c r="A470" s="5" t="s">
        <v>29</v>
      </c>
      <c r="B470" s="6">
        <v>14</v>
      </c>
      <c r="C470" s="6" t="s">
        <v>15</v>
      </c>
      <c r="D470" s="6">
        <v>4</v>
      </c>
      <c r="E470" s="17">
        <v>59.81</v>
      </c>
      <c r="F470" s="17">
        <v>5.0720000000000001</v>
      </c>
      <c r="G470" s="18">
        <v>64.846999999999994</v>
      </c>
    </row>
    <row r="471" spans="1:7" x14ac:dyDescent="0.2">
      <c r="A471" s="2" t="s">
        <v>29</v>
      </c>
      <c r="B471" s="3">
        <v>10</v>
      </c>
      <c r="C471" s="3" t="s">
        <v>16</v>
      </c>
      <c r="D471" s="3">
        <v>1</v>
      </c>
      <c r="E471" s="13">
        <v>58.265999999999998</v>
      </c>
      <c r="F471" s="13">
        <v>5.0860000000000003</v>
      </c>
      <c r="G471" s="14">
        <v>63.322000000000003</v>
      </c>
    </row>
    <row r="472" spans="1:7" x14ac:dyDescent="0.2">
      <c r="A472" s="4" t="s">
        <v>29</v>
      </c>
      <c r="B472" s="1">
        <v>6</v>
      </c>
      <c r="C472" s="1" t="s">
        <v>16</v>
      </c>
      <c r="D472" s="1">
        <v>2</v>
      </c>
      <c r="E472" s="15">
        <v>68.064999999999998</v>
      </c>
      <c r="F472" s="15">
        <v>5.0430000000000001</v>
      </c>
      <c r="G472" s="16">
        <v>73.076999999999998</v>
      </c>
    </row>
    <row r="473" spans="1:7" x14ac:dyDescent="0.2">
      <c r="A473" s="4" t="s">
        <v>29</v>
      </c>
      <c r="B473" s="1">
        <v>5</v>
      </c>
      <c r="C473" s="1" t="s">
        <v>16</v>
      </c>
      <c r="D473" s="1">
        <v>3</v>
      </c>
      <c r="E473" s="15">
        <v>62.197000000000003</v>
      </c>
      <c r="F473" s="15">
        <v>5.0919999999999996</v>
      </c>
      <c r="G473" s="16">
        <v>67.257000000000005</v>
      </c>
    </row>
    <row r="474" spans="1:7" ht="16" thickBot="1" x14ac:dyDescent="0.25">
      <c r="A474" s="5" t="s">
        <v>29</v>
      </c>
      <c r="B474" s="6">
        <v>3</v>
      </c>
      <c r="C474" s="6" t="s">
        <v>16</v>
      </c>
      <c r="D474" s="6">
        <v>4</v>
      </c>
      <c r="E474" s="17">
        <v>65.747</v>
      </c>
      <c r="F474" s="17">
        <v>5.0250000000000004</v>
      </c>
      <c r="G474" s="18">
        <v>70.741</v>
      </c>
    </row>
    <row r="475" spans="1:7" x14ac:dyDescent="0.2">
      <c r="A475" s="2" t="s">
        <v>29</v>
      </c>
      <c r="B475" s="3">
        <v>8</v>
      </c>
      <c r="C475" s="3" t="s">
        <v>17</v>
      </c>
      <c r="D475" s="3">
        <v>1</v>
      </c>
      <c r="E475" s="13">
        <v>65.316000000000003</v>
      </c>
      <c r="F475" s="13">
        <v>5.0739999999999998</v>
      </c>
      <c r="G475" s="14">
        <v>70.352000000000004</v>
      </c>
    </row>
    <row r="476" spans="1:7" x14ac:dyDescent="0.2">
      <c r="A476" s="4" t="s">
        <v>29</v>
      </c>
      <c r="B476" s="1">
        <v>7</v>
      </c>
      <c r="C476" s="1" t="s">
        <v>17</v>
      </c>
      <c r="D476" s="1">
        <v>2</v>
      </c>
      <c r="E476" s="15">
        <v>64.870999999999995</v>
      </c>
      <c r="F476" s="15">
        <v>5.0439999999999996</v>
      </c>
      <c r="G476" s="16">
        <v>69.875</v>
      </c>
    </row>
    <row r="477" spans="1:7" x14ac:dyDescent="0.2">
      <c r="A477" s="4" t="s">
        <v>29</v>
      </c>
      <c r="B477" s="1">
        <v>4</v>
      </c>
      <c r="C477" s="1" t="s">
        <v>17</v>
      </c>
      <c r="D477" s="1">
        <v>3</v>
      </c>
      <c r="E477" s="15">
        <v>63.801000000000002</v>
      </c>
      <c r="F477" s="15">
        <v>5.077</v>
      </c>
      <c r="G477" s="16">
        <v>68.840999999999994</v>
      </c>
    </row>
    <row r="478" spans="1:7" ht="16" thickBot="1" x14ac:dyDescent="0.25">
      <c r="A478" s="5" t="s">
        <v>29</v>
      </c>
      <c r="B478" s="6">
        <v>15</v>
      </c>
      <c r="C478" s="6" t="s">
        <v>17</v>
      </c>
      <c r="D478" s="6">
        <v>4</v>
      </c>
      <c r="E478" s="17">
        <v>62.731999999999999</v>
      </c>
      <c r="F478" s="17">
        <v>5.048</v>
      </c>
      <c r="G478" s="18">
        <v>67.739999999999995</v>
      </c>
    </row>
    <row r="479" spans="1:7" x14ac:dyDescent="0.2">
      <c r="A479" s="2" t="s">
        <v>29</v>
      </c>
      <c r="B479" s="3">
        <v>10</v>
      </c>
      <c r="C479" s="3" t="s">
        <v>18</v>
      </c>
      <c r="D479" s="3">
        <v>1</v>
      </c>
      <c r="E479" s="13">
        <v>58.265000000000001</v>
      </c>
      <c r="F479" s="13">
        <v>5.0259999999999998</v>
      </c>
      <c r="G479" s="14">
        <v>63.256999999999998</v>
      </c>
    </row>
    <row r="480" spans="1:7" x14ac:dyDescent="0.2">
      <c r="A480" s="4" t="s">
        <v>29</v>
      </c>
      <c r="B480" s="1">
        <v>14</v>
      </c>
      <c r="C480" s="1" t="s">
        <v>18</v>
      </c>
      <c r="D480" s="1">
        <v>2</v>
      </c>
      <c r="E480" s="15">
        <v>59.808999999999997</v>
      </c>
      <c r="F480" s="15">
        <v>5.0380000000000003</v>
      </c>
      <c r="G480" s="16">
        <v>64.811999999999998</v>
      </c>
    </row>
    <row r="481" spans="1:7" x14ac:dyDescent="0.2">
      <c r="A481" s="4" t="s">
        <v>29</v>
      </c>
      <c r="B481" s="1">
        <v>8</v>
      </c>
      <c r="C481" s="1" t="s">
        <v>18</v>
      </c>
      <c r="D481" s="1">
        <v>3</v>
      </c>
      <c r="E481" s="15">
        <v>65.314999999999998</v>
      </c>
      <c r="F481" s="15">
        <v>5.0650000000000004</v>
      </c>
      <c r="G481" s="16">
        <v>70.343000000000004</v>
      </c>
    </row>
    <row r="482" spans="1:7" ht="16" thickBot="1" x14ac:dyDescent="0.25">
      <c r="A482" s="5" t="s">
        <v>29</v>
      </c>
      <c r="B482" s="6">
        <v>13</v>
      </c>
      <c r="C482" s="6" t="s">
        <v>18</v>
      </c>
      <c r="D482" s="6">
        <v>4</v>
      </c>
      <c r="E482" s="17">
        <v>63.93</v>
      </c>
      <c r="F482" s="17">
        <v>5.008</v>
      </c>
      <c r="G482" s="18">
        <v>68.897999999999996</v>
      </c>
    </row>
    <row r="483" spans="1:7" x14ac:dyDescent="0.2">
      <c r="A483" s="2" t="s">
        <v>29</v>
      </c>
      <c r="B483" s="3">
        <v>6</v>
      </c>
      <c r="C483" s="3" t="s">
        <v>19</v>
      </c>
      <c r="D483" s="3">
        <v>1</v>
      </c>
      <c r="E483" s="13">
        <v>68.063999999999993</v>
      </c>
      <c r="F483" s="13">
        <v>5.0380000000000003</v>
      </c>
      <c r="G483" s="14">
        <v>73.064999999999998</v>
      </c>
    </row>
    <row r="484" spans="1:7" x14ac:dyDescent="0.2">
      <c r="A484" s="4" t="s">
        <v>29</v>
      </c>
      <c r="B484" s="1">
        <v>5</v>
      </c>
      <c r="C484" s="1" t="s">
        <v>19</v>
      </c>
      <c r="D484" s="1">
        <v>2</v>
      </c>
      <c r="E484" s="15">
        <v>62.195999999999998</v>
      </c>
      <c r="F484" s="15">
        <v>5.0919999999999996</v>
      </c>
      <c r="G484" s="16">
        <v>67.251999999999995</v>
      </c>
    </row>
    <row r="485" spans="1:7" x14ac:dyDescent="0.2">
      <c r="A485" s="4" t="s">
        <v>29</v>
      </c>
      <c r="B485" s="1">
        <v>1</v>
      </c>
      <c r="C485" s="1" t="s">
        <v>19</v>
      </c>
      <c r="D485" s="1">
        <v>3</v>
      </c>
      <c r="E485" s="15">
        <v>63.079000000000001</v>
      </c>
      <c r="F485" s="15">
        <v>5.0430000000000001</v>
      </c>
      <c r="G485" s="16">
        <v>68.087000000000003</v>
      </c>
    </row>
    <row r="486" spans="1:7" ht="16" thickBot="1" x14ac:dyDescent="0.25">
      <c r="A486" s="5" t="s">
        <v>29</v>
      </c>
      <c r="B486" s="6">
        <v>7</v>
      </c>
      <c r="C486" s="6" t="s">
        <v>19</v>
      </c>
      <c r="D486" s="6">
        <v>4</v>
      </c>
      <c r="E486" s="17">
        <v>64.87</v>
      </c>
      <c r="F486" s="17">
        <v>5.048</v>
      </c>
      <c r="G486" s="18">
        <v>69.882000000000005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0F67-1B94-A443-A601-6A82E9777E62}">
  <dimension ref="A1:Y485"/>
  <sheetViews>
    <sheetView tabSelected="1" zoomScale="140" zoomScaleNormal="140" workbookViewId="0">
      <selection activeCell="N3" sqref="N3"/>
    </sheetView>
  </sheetViews>
  <sheetFormatPr baseColWidth="10" defaultColWidth="8.83203125" defaultRowHeight="15" x14ac:dyDescent="0.2"/>
  <cols>
    <col min="1" max="1" width="15.33203125" bestFit="1" customWidth="1"/>
    <col min="2" max="7" width="15.33203125" customWidth="1"/>
    <col min="8" max="8" width="14" bestFit="1" customWidth="1"/>
    <col min="9" max="9" width="21.83203125" customWidth="1"/>
    <col min="10" max="10" width="19.6640625" customWidth="1"/>
    <col min="11" max="11" width="20.6640625" customWidth="1"/>
    <col min="12" max="12" width="13.1640625" bestFit="1" customWidth="1"/>
    <col min="13" max="13" width="13.1640625" customWidth="1"/>
  </cols>
  <sheetData>
    <row r="1" spans="1:25" ht="15" customHeight="1" x14ac:dyDescent="0.2">
      <c r="A1" t="s">
        <v>41</v>
      </c>
      <c r="B1" t="s">
        <v>51</v>
      </c>
      <c r="C1" t="s">
        <v>48</v>
      </c>
      <c r="D1" t="s">
        <v>49</v>
      </c>
      <c r="E1" t="s">
        <v>44</v>
      </c>
      <c r="F1" t="s">
        <v>38</v>
      </c>
      <c r="G1" t="s">
        <v>37</v>
      </c>
      <c r="H1" t="s">
        <v>50</v>
      </c>
      <c r="I1" t="s">
        <v>31</v>
      </c>
      <c r="J1" t="s">
        <v>32</v>
      </c>
      <c r="K1" t="s">
        <v>33</v>
      </c>
      <c r="L1" t="s">
        <v>34</v>
      </c>
      <c r="M1" t="s">
        <v>36</v>
      </c>
      <c r="N1" t="s">
        <v>35</v>
      </c>
      <c r="Q1" s="19"/>
      <c r="R1" s="19"/>
      <c r="S1" s="19"/>
      <c r="T1" s="19"/>
      <c r="U1" s="19"/>
      <c r="V1" s="19"/>
      <c r="W1" s="19"/>
      <c r="X1" s="19"/>
      <c r="Y1" s="19"/>
    </row>
    <row r="2" spans="1:25" x14ac:dyDescent="0.2">
      <c r="A2">
        <v>20329</v>
      </c>
      <c r="B2" s="23">
        <f>DATE(IF(0+(LEFT(A2))&lt;30,2000,1900)+LEFT(A2,2),1,RIGHT(A2,3))</f>
        <v>44159</v>
      </c>
      <c r="C2" t="s">
        <v>42</v>
      </c>
      <c r="D2">
        <v>18</v>
      </c>
      <c r="E2" t="s">
        <v>43</v>
      </c>
      <c r="F2" t="s">
        <v>39</v>
      </c>
      <c r="G2">
        <v>10</v>
      </c>
      <c r="H2">
        <v>1</v>
      </c>
      <c r="I2" s="21">
        <v>63.805</v>
      </c>
      <c r="J2" s="21">
        <v>5.008</v>
      </c>
      <c r="K2" s="21">
        <v>68.682000000000002</v>
      </c>
      <c r="L2" s="21">
        <f>K2-I2</f>
        <v>4.8770000000000024</v>
      </c>
      <c r="M2" s="21">
        <f>J2-L2</f>
        <v>0.13099999999999756</v>
      </c>
      <c r="N2">
        <f>M2/J2*100</f>
        <v>2.6158146964855744</v>
      </c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2">
      <c r="A3">
        <v>20329</v>
      </c>
      <c r="B3" s="23">
        <f t="shared" ref="B3:B66" si="0">DATE(IF(0+(LEFT(A3))&lt;30,2000,1900)+LEFT(A3,2),1,RIGHT(A3,3))</f>
        <v>44159</v>
      </c>
      <c r="C3" t="s">
        <v>42</v>
      </c>
      <c r="D3">
        <v>18</v>
      </c>
      <c r="E3" t="s">
        <v>43</v>
      </c>
      <c r="F3" t="s">
        <v>39</v>
      </c>
      <c r="G3">
        <v>10</v>
      </c>
      <c r="H3">
        <v>2</v>
      </c>
      <c r="I3" s="21">
        <v>68.066999999999993</v>
      </c>
      <c r="J3" s="21">
        <v>5.0220000000000002</v>
      </c>
      <c r="K3" s="21">
        <v>72.959000000000003</v>
      </c>
      <c r="L3" s="21">
        <f t="shared" ref="L3:L66" si="1">K3-I3</f>
        <v>4.8920000000000101</v>
      </c>
      <c r="M3" s="21">
        <f t="shared" ref="M3:M66" si="2">J3-L3</f>
        <v>0.12999999999999012</v>
      </c>
      <c r="N3">
        <f t="shared" ref="N3:N66" si="3">M3/J3*100</f>
        <v>2.588610115491639</v>
      </c>
      <c r="Q3" s="19"/>
      <c r="R3" s="19"/>
      <c r="S3" s="19"/>
      <c r="T3" s="19"/>
      <c r="U3" s="19"/>
      <c r="V3" s="19"/>
      <c r="W3" s="19"/>
      <c r="X3" s="19"/>
      <c r="Y3" s="19"/>
    </row>
    <row r="4" spans="1:25" x14ac:dyDescent="0.2">
      <c r="A4">
        <v>20329</v>
      </c>
      <c r="B4" s="23">
        <f t="shared" si="0"/>
        <v>44159</v>
      </c>
      <c r="C4" t="s">
        <v>42</v>
      </c>
      <c r="D4">
        <v>18</v>
      </c>
      <c r="E4" t="s">
        <v>43</v>
      </c>
      <c r="F4" t="s">
        <v>39</v>
      </c>
      <c r="G4">
        <v>10</v>
      </c>
      <c r="H4">
        <v>3</v>
      </c>
      <c r="I4" s="21">
        <v>62.734999999999999</v>
      </c>
      <c r="J4" s="21">
        <v>5.1959999999999997</v>
      </c>
      <c r="K4" s="21">
        <v>67.796000000000006</v>
      </c>
      <c r="L4" s="21">
        <f t="shared" si="1"/>
        <v>5.061000000000007</v>
      </c>
      <c r="M4" s="21">
        <f t="shared" si="2"/>
        <v>0.13499999999999268</v>
      </c>
      <c r="N4">
        <f t="shared" si="3"/>
        <v>2.5981524249421226</v>
      </c>
      <c r="Q4" s="19"/>
      <c r="R4" s="19"/>
      <c r="S4" s="19"/>
      <c r="T4" s="19"/>
      <c r="U4" s="19"/>
      <c r="V4" s="19"/>
      <c r="W4" s="19"/>
      <c r="X4" s="19"/>
      <c r="Y4" s="19"/>
    </row>
    <row r="5" spans="1:25" x14ac:dyDescent="0.2">
      <c r="A5">
        <v>20329</v>
      </c>
      <c r="B5" s="23">
        <f t="shared" si="0"/>
        <v>44159</v>
      </c>
      <c r="C5" t="s">
        <v>42</v>
      </c>
      <c r="D5">
        <v>18</v>
      </c>
      <c r="E5" t="s">
        <v>43</v>
      </c>
      <c r="F5" t="s">
        <v>39</v>
      </c>
      <c r="G5">
        <v>10</v>
      </c>
      <c r="H5">
        <v>4</v>
      </c>
      <c r="I5" s="21">
        <v>64.484999999999999</v>
      </c>
      <c r="J5" s="21">
        <v>5.0110000000000001</v>
      </c>
      <c r="K5" s="21">
        <v>69.366</v>
      </c>
      <c r="L5" s="21">
        <f t="shared" si="1"/>
        <v>4.8810000000000002</v>
      </c>
      <c r="M5" s="21">
        <f t="shared" si="2"/>
        <v>0.12999999999999989</v>
      </c>
      <c r="N5">
        <f t="shared" si="3"/>
        <v>2.5942925563759709</v>
      </c>
      <c r="Q5" s="19"/>
      <c r="R5" s="19"/>
      <c r="S5" s="19"/>
      <c r="T5" s="19"/>
      <c r="U5" s="19"/>
      <c r="V5" s="19"/>
      <c r="W5" s="19"/>
      <c r="X5" s="19"/>
      <c r="Y5" s="19"/>
    </row>
    <row r="6" spans="1:25" x14ac:dyDescent="0.2">
      <c r="A6">
        <v>20329</v>
      </c>
      <c r="B6" s="23">
        <f t="shared" si="0"/>
        <v>44159</v>
      </c>
      <c r="C6" t="s">
        <v>42</v>
      </c>
      <c r="D6">
        <v>18</v>
      </c>
      <c r="E6" t="s">
        <v>43</v>
      </c>
      <c r="F6" t="s">
        <v>39</v>
      </c>
      <c r="G6">
        <v>20</v>
      </c>
      <c r="H6">
        <v>1</v>
      </c>
      <c r="I6" s="21">
        <v>64.873000000000005</v>
      </c>
      <c r="J6" s="21">
        <v>5.01</v>
      </c>
      <c r="K6" s="21">
        <v>69.775000000000006</v>
      </c>
      <c r="L6" s="21">
        <f t="shared" si="1"/>
        <v>4.902000000000001</v>
      </c>
      <c r="M6" s="21">
        <f t="shared" si="2"/>
        <v>0.10799999999999876</v>
      </c>
      <c r="N6">
        <f t="shared" si="3"/>
        <v>2.1556886227544663</v>
      </c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2">
      <c r="A7">
        <v>20329</v>
      </c>
      <c r="B7" s="23">
        <f t="shared" si="0"/>
        <v>44159</v>
      </c>
      <c r="C7" t="s">
        <v>42</v>
      </c>
      <c r="D7">
        <v>18</v>
      </c>
      <c r="E7" t="s">
        <v>43</v>
      </c>
      <c r="F7" t="s">
        <v>39</v>
      </c>
      <c r="G7">
        <v>20</v>
      </c>
      <c r="H7">
        <v>2</v>
      </c>
      <c r="I7" s="21">
        <v>63.082999999999998</v>
      </c>
      <c r="J7" s="21">
        <v>5.09</v>
      </c>
      <c r="K7" s="21">
        <v>68.067999999999998</v>
      </c>
      <c r="L7" s="21">
        <f t="shared" si="1"/>
        <v>4.9849999999999994</v>
      </c>
      <c r="M7" s="21">
        <f t="shared" si="2"/>
        <v>0.10500000000000043</v>
      </c>
      <c r="N7">
        <f t="shared" si="3"/>
        <v>2.0628683693516785</v>
      </c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2">
      <c r="A8">
        <v>20329</v>
      </c>
      <c r="B8" s="23">
        <f t="shared" si="0"/>
        <v>44159</v>
      </c>
      <c r="C8" t="s">
        <v>42</v>
      </c>
      <c r="D8">
        <v>18</v>
      </c>
      <c r="E8" t="s">
        <v>43</v>
      </c>
      <c r="F8" t="s">
        <v>39</v>
      </c>
      <c r="G8">
        <v>20</v>
      </c>
      <c r="H8">
        <v>3</v>
      </c>
      <c r="I8" s="21">
        <v>58.268999999999998</v>
      </c>
      <c r="J8" s="21">
        <v>5.0670000000000002</v>
      </c>
      <c r="K8" s="21">
        <v>63.225000000000001</v>
      </c>
      <c r="L8" s="21">
        <f t="shared" si="1"/>
        <v>4.9560000000000031</v>
      </c>
      <c r="M8" s="21">
        <f t="shared" si="2"/>
        <v>0.1109999999999971</v>
      </c>
      <c r="N8">
        <f t="shared" si="3"/>
        <v>2.1906453522793981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x14ac:dyDescent="0.2">
      <c r="A9">
        <v>20329</v>
      </c>
      <c r="B9" s="23">
        <f t="shared" si="0"/>
        <v>44159</v>
      </c>
      <c r="C9" t="s">
        <v>42</v>
      </c>
      <c r="D9">
        <v>18</v>
      </c>
      <c r="E9" t="s">
        <v>43</v>
      </c>
      <c r="F9" t="s">
        <v>39</v>
      </c>
      <c r="G9">
        <v>20</v>
      </c>
      <c r="H9">
        <v>4</v>
      </c>
      <c r="I9" s="21">
        <v>65.751000000000005</v>
      </c>
      <c r="J9" s="21">
        <v>5</v>
      </c>
      <c r="K9" s="21">
        <v>70.646000000000001</v>
      </c>
      <c r="L9" s="21">
        <f t="shared" si="1"/>
        <v>4.894999999999996</v>
      </c>
      <c r="M9" s="21">
        <f t="shared" si="2"/>
        <v>0.10500000000000398</v>
      </c>
      <c r="N9">
        <f t="shared" si="3"/>
        <v>2.1000000000000796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x14ac:dyDescent="0.2">
      <c r="A10">
        <v>20329</v>
      </c>
      <c r="B10" s="23">
        <f t="shared" si="0"/>
        <v>44159</v>
      </c>
      <c r="C10" t="s">
        <v>42</v>
      </c>
      <c r="D10">
        <v>18</v>
      </c>
      <c r="E10" t="s">
        <v>43</v>
      </c>
      <c r="F10" t="s">
        <v>39</v>
      </c>
      <c r="G10">
        <v>30</v>
      </c>
      <c r="H10">
        <v>1</v>
      </c>
      <c r="I10" s="21">
        <v>63.802999999999997</v>
      </c>
      <c r="J10" s="21">
        <v>5.0339999999999998</v>
      </c>
      <c r="K10" s="21">
        <v>68.734999999999999</v>
      </c>
      <c r="L10" s="21">
        <f t="shared" si="1"/>
        <v>4.9320000000000022</v>
      </c>
      <c r="M10" s="21">
        <f t="shared" si="2"/>
        <v>0.10199999999999765</v>
      </c>
      <c r="N10">
        <f t="shared" si="3"/>
        <v>2.0262216924910139</v>
      </c>
      <c r="Q10" s="19"/>
      <c r="R10" s="19"/>
      <c r="S10" s="19"/>
      <c r="T10" s="19"/>
      <c r="U10" s="19"/>
      <c r="V10" s="19"/>
      <c r="W10" s="19"/>
      <c r="X10" s="19"/>
      <c r="Y10" s="19"/>
    </row>
    <row r="11" spans="1:25" x14ac:dyDescent="0.2">
      <c r="A11">
        <v>20329</v>
      </c>
      <c r="B11" s="23">
        <f t="shared" si="0"/>
        <v>44159</v>
      </c>
      <c r="C11" t="s">
        <v>42</v>
      </c>
      <c r="D11">
        <v>18</v>
      </c>
      <c r="E11" t="s">
        <v>43</v>
      </c>
      <c r="F11" t="s">
        <v>39</v>
      </c>
      <c r="G11">
        <v>30</v>
      </c>
      <c r="H11">
        <v>2</v>
      </c>
      <c r="I11" s="21">
        <v>64.484999999999999</v>
      </c>
      <c r="J11" s="21">
        <v>5.1950000000000003</v>
      </c>
      <c r="K11" s="21">
        <v>69.572999999999993</v>
      </c>
      <c r="L11" s="21">
        <f t="shared" si="1"/>
        <v>5.0879999999999939</v>
      </c>
      <c r="M11" s="21">
        <f t="shared" si="2"/>
        <v>0.10700000000000642</v>
      </c>
      <c r="N11">
        <f t="shared" si="3"/>
        <v>2.0596727622715383</v>
      </c>
      <c r="Q11" s="19"/>
      <c r="R11" s="19"/>
      <c r="S11" s="19"/>
      <c r="T11" s="19"/>
      <c r="U11" s="19"/>
      <c r="V11" s="19"/>
      <c r="W11" s="19"/>
      <c r="X11" s="19"/>
      <c r="Y11" s="19"/>
    </row>
    <row r="12" spans="1:25" x14ac:dyDescent="0.2">
      <c r="A12">
        <v>20329</v>
      </c>
      <c r="B12" s="23">
        <f t="shared" si="0"/>
        <v>44159</v>
      </c>
      <c r="C12" t="s">
        <v>42</v>
      </c>
      <c r="D12">
        <v>18</v>
      </c>
      <c r="E12" t="s">
        <v>43</v>
      </c>
      <c r="F12" t="s">
        <v>39</v>
      </c>
      <c r="G12">
        <v>30</v>
      </c>
      <c r="H12">
        <v>3</v>
      </c>
      <c r="I12" s="21">
        <v>62.198999999999998</v>
      </c>
      <c r="J12" s="21">
        <v>5.0570000000000004</v>
      </c>
      <c r="K12" s="21">
        <v>67.147000000000006</v>
      </c>
      <c r="L12" s="21">
        <f t="shared" si="1"/>
        <v>4.9480000000000075</v>
      </c>
      <c r="M12" s="21">
        <f t="shared" si="2"/>
        <v>0.10899999999999288</v>
      </c>
      <c r="N12">
        <f t="shared" si="3"/>
        <v>2.1554281194382612</v>
      </c>
      <c r="Q12" s="19"/>
      <c r="R12" s="19"/>
      <c r="S12" s="19"/>
      <c r="T12" s="19"/>
      <c r="U12" s="19"/>
      <c r="V12" s="19"/>
      <c r="W12" s="19"/>
      <c r="X12" s="19"/>
      <c r="Y12" s="19"/>
    </row>
    <row r="13" spans="1:25" x14ac:dyDescent="0.2">
      <c r="A13">
        <v>20329</v>
      </c>
      <c r="B13" s="23">
        <f t="shared" si="0"/>
        <v>44159</v>
      </c>
      <c r="C13" t="s">
        <v>42</v>
      </c>
      <c r="D13">
        <v>18</v>
      </c>
      <c r="E13" t="s">
        <v>43</v>
      </c>
      <c r="F13" t="s">
        <v>39</v>
      </c>
      <c r="G13">
        <v>30</v>
      </c>
      <c r="H13">
        <v>4</v>
      </c>
      <c r="I13" s="21">
        <v>63.933</v>
      </c>
      <c r="J13" s="21">
        <v>5.0750000000000002</v>
      </c>
      <c r="K13" s="21">
        <v>68.894000000000005</v>
      </c>
      <c r="L13" s="21">
        <f t="shared" si="1"/>
        <v>4.9610000000000056</v>
      </c>
      <c r="M13" s="21">
        <f t="shared" si="2"/>
        <v>0.11399999999999455</v>
      </c>
      <c r="N13">
        <f t="shared" si="3"/>
        <v>2.2463054187191043</v>
      </c>
      <c r="Q13" s="19"/>
      <c r="R13" s="19"/>
      <c r="S13" s="19"/>
      <c r="T13" s="19"/>
      <c r="U13" s="19"/>
      <c r="V13" s="19"/>
      <c r="W13" s="19"/>
      <c r="X13" s="19"/>
      <c r="Y13" s="19"/>
    </row>
    <row r="14" spans="1:25" x14ac:dyDescent="0.2">
      <c r="A14">
        <v>20329</v>
      </c>
      <c r="B14" s="23">
        <f t="shared" si="0"/>
        <v>44159</v>
      </c>
      <c r="C14" t="s">
        <v>42</v>
      </c>
      <c r="D14">
        <v>18</v>
      </c>
      <c r="E14" t="s">
        <v>43</v>
      </c>
      <c r="F14" t="s">
        <v>39</v>
      </c>
      <c r="G14">
        <v>40</v>
      </c>
      <c r="H14">
        <v>1</v>
      </c>
      <c r="I14" s="21">
        <v>62.734000000000002</v>
      </c>
      <c r="J14" s="21">
        <v>5.085</v>
      </c>
      <c r="K14" s="21">
        <v>67.736999999999995</v>
      </c>
      <c r="L14" s="21">
        <f t="shared" si="1"/>
        <v>5.002999999999993</v>
      </c>
      <c r="M14" s="21">
        <f t="shared" si="2"/>
        <v>8.2000000000006956E-2</v>
      </c>
      <c r="N14">
        <f t="shared" si="3"/>
        <v>1.6125860373649354</v>
      </c>
      <c r="Q14" s="19"/>
      <c r="R14" s="19"/>
      <c r="S14" s="19"/>
      <c r="T14" s="19"/>
      <c r="U14" s="19"/>
      <c r="V14" s="19"/>
      <c r="W14" s="19"/>
      <c r="X14" s="19"/>
      <c r="Y14" s="19"/>
    </row>
    <row r="15" spans="1:25" x14ac:dyDescent="0.2">
      <c r="A15">
        <v>20329</v>
      </c>
      <c r="B15" s="23">
        <f t="shared" si="0"/>
        <v>44159</v>
      </c>
      <c r="C15" t="s">
        <v>42</v>
      </c>
      <c r="D15">
        <v>18</v>
      </c>
      <c r="E15" t="s">
        <v>43</v>
      </c>
      <c r="F15" t="s">
        <v>39</v>
      </c>
      <c r="G15">
        <v>40</v>
      </c>
      <c r="H15">
        <v>2</v>
      </c>
      <c r="I15" s="21">
        <v>63.082999999999998</v>
      </c>
      <c r="J15" s="21">
        <v>5.0060000000000002</v>
      </c>
      <c r="K15" s="21">
        <v>68.010999999999996</v>
      </c>
      <c r="L15" s="21">
        <f t="shared" si="1"/>
        <v>4.9279999999999973</v>
      </c>
      <c r="M15" s="21">
        <f t="shared" si="2"/>
        <v>7.8000000000002956E-2</v>
      </c>
      <c r="N15">
        <f t="shared" si="3"/>
        <v>1.5581302437076099</v>
      </c>
      <c r="Q15" s="19"/>
      <c r="R15" s="19"/>
      <c r="S15" s="19"/>
      <c r="T15" s="19"/>
      <c r="U15" s="19"/>
      <c r="V15" s="19"/>
      <c r="W15" s="19"/>
      <c r="X15" s="19"/>
      <c r="Y15" s="19"/>
    </row>
    <row r="16" spans="1:25" x14ac:dyDescent="0.2">
      <c r="A16">
        <v>20329</v>
      </c>
      <c r="B16" s="23">
        <f t="shared" si="0"/>
        <v>44159</v>
      </c>
      <c r="C16" t="s">
        <v>42</v>
      </c>
      <c r="D16">
        <v>18</v>
      </c>
      <c r="E16" t="s">
        <v>43</v>
      </c>
      <c r="F16" t="s">
        <v>39</v>
      </c>
      <c r="G16">
        <v>40</v>
      </c>
      <c r="H16">
        <v>3</v>
      </c>
      <c r="I16" s="21">
        <v>59.811</v>
      </c>
      <c r="J16" s="21">
        <v>5.008</v>
      </c>
      <c r="K16" s="21">
        <v>64.733999999999995</v>
      </c>
      <c r="L16" s="21">
        <f t="shared" si="1"/>
        <v>4.9229999999999947</v>
      </c>
      <c r="M16" s="21">
        <f t="shared" si="2"/>
        <v>8.5000000000005294E-2</v>
      </c>
      <c r="N16">
        <f t="shared" si="3"/>
        <v>1.6972843450480291</v>
      </c>
      <c r="Q16" s="19"/>
      <c r="R16" s="19"/>
      <c r="S16" s="19"/>
      <c r="T16" s="19"/>
      <c r="U16" s="19"/>
      <c r="V16" s="19"/>
      <c r="W16" s="19"/>
      <c r="X16" s="19"/>
      <c r="Y16" s="19"/>
    </row>
    <row r="17" spans="1:25" x14ac:dyDescent="0.2">
      <c r="A17">
        <v>20329</v>
      </c>
      <c r="B17" s="23">
        <f t="shared" si="0"/>
        <v>44159</v>
      </c>
      <c r="C17" t="s">
        <v>42</v>
      </c>
      <c r="D17">
        <v>18</v>
      </c>
      <c r="E17" t="s">
        <v>43</v>
      </c>
      <c r="F17" t="s">
        <v>39</v>
      </c>
      <c r="G17">
        <v>40</v>
      </c>
      <c r="H17">
        <v>4</v>
      </c>
      <c r="I17" s="21">
        <v>65.75</v>
      </c>
      <c r="J17" s="21">
        <v>5.0289999999999999</v>
      </c>
      <c r="K17" s="21">
        <v>70.692999999999998</v>
      </c>
      <c r="L17" s="21">
        <f t="shared" si="1"/>
        <v>4.9429999999999978</v>
      </c>
      <c r="M17" s="21">
        <f t="shared" si="2"/>
        <v>8.6000000000002075E-2</v>
      </c>
      <c r="N17">
        <f t="shared" si="3"/>
        <v>1.7100815271426144</v>
      </c>
      <c r="Q17" s="19"/>
      <c r="R17" s="19"/>
      <c r="S17" s="19"/>
      <c r="T17" s="19"/>
      <c r="U17" s="19"/>
      <c r="V17" s="19"/>
      <c r="W17" s="19"/>
      <c r="X17" s="19"/>
      <c r="Y17" s="19"/>
    </row>
    <row r="18" spans="1:25" x14ac:dyDescent="0.2">
      <c r="A18">
        <v>20329</v>
      </c>
      <c r="B18" s="23">
        <f t="shared" si="0"/>
        <v>44159</v>
      </c>
      <c r="C18" t="s">
        <v>42</v>
      </c>
      <c r="D18">
        <v>18</v>
      </c>
      <c r="E18" t="s">
        <v>43</v>
      </c>
      <c r="F18" t="s">
        <v>39</v>
      </c>
      <c r="G18">
        <v>50</v>
      </c>
      <c r="H18">
        <v>1</v>
      </c>
      <c r="I18" s="21">
        <v>68.066999999999993</v>
      </c>
      <c r="J18" s="21">
        <v>5.0279999999999996</v>
      </c>
      <c r="K18" s="21">
        <v>73.031999999999996</v>
      </c>
      <c r="L18" s="21">
        <f t="shared" si="1"/>
        <v>4.9650000000000034</v>
      </c>
      <c r="M18" s="21">
        <f t="shared" si="2"/>
        <v>6.299999999999617E-2</v>
      </c>
      <c r="N18">
        <f t="shared" si="3"/>
        <v>1.2529832935560099</v>
      </c>
      <c r="Q18" s="19"/>
      <c r="R18" s="19"/>
      <c r="S18" s="19"/>
      <c r="T18" s="19"/>
      <c r="U18" s="19"/>
      <c r="V18" s="19"/>
      <c r="W18" s="19"/>
      <c r="X18" s="19"/>
      <c r="Y18" s="19"/>
    </row>
    <row r="19" spans="1:25" x14ac:dyDescent="0.2">
      <c r="A19">
        <v>20329</v>
      </c>
      <c r="B19" s="23">
        <f t="shared" si="0"/>
        <v>44159</v>
      </c>
      <c r="C19" t="s">
        <v>42</v>
      </c>
      <c r="D19">
        <v>18</v>
      </c>
      <c r="E19" t="s">
        <v>43</v>
      </c>
      <c r="F19" t="s">
        <v>39</v>
      </c>
      <c r="G19">
        <v>50</v>
      </c>
      <c r="H19">
        <v>2</v>
      </c>
      <c r="I19" s="21">
        <v>65.317999999999998</v>
      </c>
      <c r="J19" s="21">
        <v>5.0170000000000003</v>
      </c>
      <c r="K19" s="21">
        <v>70.266000000000005</v>
      </c>
      <c r="L19" s="21">
        <f t="shared" si="1"/>
        <v>4.9480000000000075</v>
      </c>
      <c r="M19" s="21">
        <f t="shared" si="2"/>
        <v>6.8999999999992845E-2</v>
      </c>
      <c r="N19">
        <f t="shared" si="3"/>
        <v>1.3753238987441267</v>
      </c>
      <c r="Q19" s="19"/>
      <c r="R19" s="19"/>
      <c r="S19" s="19"/>
      <c r="T19" s="19"/>
      <c r="U19" s="19"/>
      <c r="V19" s="19"/>
      <c r="W19" s="19"/>
      <c r="X19" s="19"/>
      <c r="Y19" s="19"/>
    </row>
    <row r="20" spans="1:25" x14ac:dyDescent="0.2">
      <c r="A20">
        <v>20329</v>
      </c>
      <c r="B20" s="23">
        <f t="shared" si="0"/>
        <v>44159</v>
      </c>
      <c r="C20" t="s">
        <v>42</v>
      </c>
      <c r="D20">
        <v>18</v>
      </c>
      <c r="E20" t="s">
        <v>43</v>
      </c>
      <c r="F20" t="s">
        <v>39</v>
      </c>
      <c r="G20">
        <v>50</v>
      </c>
      <c r="H20">
        <v>3</v>
      </c>
      <c r="I20" s="21">
        <v>64.873000000000005</v>
      </c>
      <c r="J20" s="21">
        <v>5.0789999999999997</v>
      </c>
      <c r="K20" s="21">
        <v>69.879000000000005</v>
      </c>
      <c r="L20" s="21">
        <f t="shared" si="1"/>
        <v>5.0060000000000002</v>
      </c>
      <c r="M20" s="21">
        <f t="shared" si="2"/>
        <v>7.299999999999951E-2</v>
      </c>
      <c r="N20">
        <f t="shared" si="3"/>
        <v>1.4372908052766196</v>
      </c>
      <c r="Q20" s="19"/>
      <c r="R20" s="19"/>
      <c r="S20" s="19"/>
      <c r="T20" s="19"/>
      <c r="U20" s="19"/>
      <c r="V20" s="19"/>
      <c r="W20" s="19"/>
      <c r="X20" s="19"/>
      <c r="Y20" s="19"/>
    </row>
    <row r="21" spans="1:25" x14ac:dyDescent="0.2">
      <c r="A21">
        <v>20329</v>
      </c>
      <c r="B21" s="23">
        <f t="shared" si="0"/>
        <v>44159</v>
      </c>
      <c r="C21" t="s">
        <v>42</v>
      </c>
      <c r="D21">
        <v>18</v>
      </c>
      <c r="E21" t="s">
        <v>43</v>
      </c>
      <c r="F21" t="s">
        <v>39</v>
      </c>
      <c r="G21">
        <v>50</v>
      </c>
      <c r="H21">
        <v>4</v>
      </c>
      <c r="I21" s="21">
        <v>58.268999999999998</v>
      </c>
      <c r="J21" s="21">
        <v>5.0449999999999999</v>
      </c>
      <c r="K21" s="21">
        <v>63.24</v>
      </c>
      <c r="L21" s="21">
        <f t="shared" si="1"/>
        <v>4.9710000000000036</v>
      </c>
      <c r="M21" s="21">
        <f t="shared" si="2"/>
        <v>7.3999999999996291E-2</v>
      </c>
      <c r="N21">
        <f t="shared" si="3"/>
        <v>1.4667988107035936</v>
      </c>
      <c r="Q21" s="19"/>
      <c r="R21" s="19"/>
      <c r="S21" s="19"/>
      <c r="T21" s="19"/>
      <c r="U21" s="19"/>
      <c r="V21" s="19"/>
      <c r="W21" s="19"/>
      <c r="X21" s="19"/>
      <c r="Y21" s="19"/>
    </row>
    <row r="22" spans="1:25" x14ac:dyDescent="0.2">
      <c r="A22">
        <v>20329</v>
      </c>
      <c r="B22" s="23">
        <f t="shared" si="0"/>
        <v>44159</v>
      </c>
      <c r="C22" t="s">
        <v>42</v>
      </c>
      <c r="D22">
        <v>18</v>
      </c>
      <c r="E22" t="s">
        <v>43</v>
      </c>
      <c r="F22" t="s">
        <v>39</v>
      </c>
      <c r="G22">
        <v>60</v>
      </c>
      <c r="H22">
        <v>1</v>
      </c>
      <c r="I22" s="21">
        <v>63.932000000000002</v>
      </c>
      <c r="J22" s="21">
        <v>5.0460000000000003</v>
      </c>
      <c r="K22" s="21">
        <v>68.924000000000007</v>
      </c>
      <c r="L22" s="21">
        <f t="shared" si="1"/>
        <v>4.9920000000000044</v>
      </c>
      <c r="M22" s="21">
        <f t="shared" si="2"/>
        <v>5.3999999999995829E-2</v>
      </c>
      <c r="N22">
        <f t="shared" si="3"/>
        <v>1.0701545778833892</v>
      </c>
      <c r="Q22" s="19"/>
      <c r="R22" s="19"/>
      <c r="S22" s="19"/>
      <c r="T22" s="19"/>
      <c r="U22" s="19"/>
      <c r="V22" s="19"/>
      <c r="W22" s="19"/>
      <c r="X22" s="19"/>
      <c r="Y22" s="19"/>
    </row>
    <row r="23" spans="1:25" x14ac:dyDescent="0.2">
      <c r="A23">
        <v>20329</v>
      </c>
      <c r="B23" s="23">
        <f t="shared" si="0"/>
        <v>44159</v>
      </c>
      <c r="C23" t="s">
        <v>42</v>
      </c>
      <c r="D23">
        <v>18</v>
      </c>
      <c r="E23" t="s">
        <v>43</v>
      </c>
      <c r="F23" t="s">
        <v>39</v>
      </c>
      <c r="G23">
        <v>60</v>
      </c>
      <c r="H23">
        <v>2</v>
      </c>
      <c r="I23" s="21">
        <v>64.484999999999999</v>
      </c>
      <c r="J23" s="21">
        <v>5.0279999999999996</v>
      </c>
      <c r="K23" s="21">
        <v>69.457999999999998</v>
      </c>
      <c r="L23" s="21">
        <f t="shared" si="1"/>
        <v>4.972999999999999</v>
      </c>
      <c r="M23" s="21">
        <f t="shared" si="2"/>
        <v>5.5000000000000604E-2</v>
      </c>
      <c r="N23">
        <f t="shared" si="3"/>
        <v>1.0938743038981824</v>
      </c>
      <c r="Q23" s="19"/>
      <c r="R23" s="19"/>
      <c r="S23" s="19"/>
      <c r="T23" s="19"/>
      <c r="U23" s="19"/>
      <c r="V23" s="19"/>
      <c r="W23" s="19"/>
      <c r="X23" s="19"/>
      <c r="Y23" s="19"/>
    </row>
    <row r="24" spans="1:25" x14ac:dyDescent="0.2">
      <c r="A24">
        <v>20329</v>
      </c>
      <c r="B24" s="23">
        <f t="shared" si="0"/>
        <v>44159</v>
      </c>
      <c r="C24" t="s">
        <v>42</v>
      </c>
      <c r="D24">
        <v>18</v>
      </c>
      <c r="E24" t="s">
        <v>43</v>
      </c>
      <c r="F24" t="s">
        <v>39</v>
      </c>
      <c r="G24">
        <v>60</v>
      </c>
      <c r="H24">
        <v>3</v>
      </c>
      <c r="I24" s="21">
        <v>62.198</v>
      </c>
      <c r="J24" s="21">
        <v>5.0819999999999999</v>
      </c>
      <c r="K24" s="21">
        <v>67.221999999999994</v>
      </c>
      <c r="L24" s="21">
        <f t="shared" si="1"/>
        <v>5.0239999999999938</v>
      </c>
      <c r="M24" s="21">
        <f t="shared" si="2"/>
        <v>5.8000000000006047E-2</v>
      </c>
      <c r="N24">
        <f t="shared" si="3"/>
        <v>1.1412829594648966</v>
      </c>
      <c r="Q24" s="19"/>
      <c r="R24" s="19"/>
      <c r="S24" s="19"/>
      <c r="T24" s="19"/>
      <c r="U24" s="19"/>
      <c r="V24" s="19"/>
      <c r="W24" s="19"/>
      <c r="X24" s="19"/>
      <c r="Y24" s="19"/>
    </row>
    <row r="25" spans="1:25" x14ac:dyDescent="0.2">
      <c r="A25">
        <v>20329</v>
      </c>
      <c r="B25" s="23">
        <f t="shared" si="0"/>
        <v>44159</v>
      </c>
      <c r="C25" t="s">
        <v>42</v>
      </c>
      <c r="D25">
        <v>18</v>
      </c>
      <c r="E25" t="s">
        <v>43</v>
      </c>
      <c r="F25" t="s">
        <v>39</v>
      </c>
      <c r="G25">
        <v>60</v>
      </c>
      <c r="H25">
        <v>4</v>
      </c>
      <c r="I25" s="21">
        <v>58.268999999999998</v>
      </c>
      <c r="J25" s="21">
        <v>5.0250000000000004</v>
      </c>
      <c r="K25" s="21">
        <v>63.234000000000002</v>
      </c>
      <c r="L25" s="21">
        <f t="shared" si="1"/>
        <v>4.9650000000000034</v>
      </c>
      <c r="M25" s="21">
        <f t="shared" si="2"/>
        <v>5.9999999999996945E-2</v>
      </c>
      <c r="N25">
        <f t="shared" si="3"/>
        <v>1.1940298507462077</v>
      </c>
      <c r="Q25" s="19"/>
      <c r="R25" s="19"/>
      <c r="S25" s="19"/>
      <c r="T25" s="19"/>
      <c r="U25" s="19"/>
      <c r="V25" s="19"/>
      <c r="W25" s="19"/>
      <c r="X25" s="19"/>
      <c r="Y25" s="19"/>
    </row>
    <row r="26" spans="1:25" x14ac:dyDescent="0.2">
      <c r="A26">
        <v>20329</v>
      </c>
      <c r="B26" s="23">
        <f t="shared" si="0"/>
        <v>44159</v>
      </c>
      <c r="C26" t="s">
        <v>42</v>
      </c>
      <c r="D26">
        <v>18</v>
      </c>
      <c r="E26" t="s">
        <v>43</v>
      </c>
      <c r="F26" t="s">
        <v>39</v>
      </c>
      <c r="G26">
        <v>70</v>
      </c>
      <c r="H26">
        <v>1</v>
      </c>
      <c r="I26" s="21">
        <v>63.082999999999998</v>
      </c>
      <c r="J26" s="21">
        <v>5.0609999999999999</v>
      </c>
      <c r="K26" s="21">
        <v>68.093000000000004</v>
      </c>
      <c r="L26" s="21">
        <f t="shared" si="1"/>
        <v>5.0100000000000051</v>
      </c>
      <c r="M26" s="21">
        <f t="shared" si="2"/>
        <v>5.0999999999994827E-2</v>
      </c>
      <c r="N26">
        <f t="shared" si="3"/>
        <v>1.0077059869589968</v>
      </c>
      <c r="Q26" s="19"/>
      <c r="R26" s="19"/>
      <c r="S26" s="19"/>
      <c r="T26" s="19"/>
      <c r="U26" s="19"/>
      <c r="V26" s="19"/>
      <c r="W26" s="19"/>
      <c r="X26" s="19"/>
      <c r="Y26" s="19"/>
    </row>
    <row r="27" spans="1:25" x14ac:dyDescent="0.2">
      <c r="A27">
        <v>20329</v>
      </c>
      <c r="B27" s="23">
        <f t="shared" si="0"/>
        <v>44159</v>
      </c>
      <c r="C27" t="s">
        <v>42</v>
      </c>
      <c r="D27">
        <v>18</v>
      </c>
      <c r="E27" t="s">
        <v>43</v>
      </c>
      <c r="F27" t="s">
        <v>39</v>
      </c>
      <c r="G27">
        <v>70</v>
      </c>
      <c r="H27">
        <v>2</v>
      </c>
      <c r="I27" s="21">
        <v>59.811</v>
      </c>
      <c r="J27" s="21">
        <v>5.0170000000000003</v>
      </c>
      <c r="K27" s="21">
        <v>64.775000000000006</v>
      </c>
      <c r="L27" s="21">
        <f t="shared" si="1"/>
        <v>4.9640000000000057</v>
      </c>
      <c r="M27" s="21">
        <f t="shared" si="2"/>
        <v>5.2999999999994607E-2</v>
      </c>
      <c r="N27">
        <f t="shared" si="3"/>
        <v>1.0564082120788241</v>
      </c>
      <c r="Q27" s="19"/>
      <c r="R27" s="19"/>
      <c r="S27" s="19"/>
      <c r="T27" s="19"/>
      <c r="U27" s="19"/>
      <c r="V27" s="19"/>
      <c r="W27" s="19"/>
      <c r="X27" s="19"/>
      <c r="Y27" s="19"/>
    </row>
    <row r="28" spans="1:25" x14ac:dyDescent="0.2">
      <c r="A28">
        <v>20329</v>
      </c>
      <c r="B28" s="23">
        <f t="shared" si="0"/>
        <v>44159</v>
      </c>
      <c r="C28" t="s">
        <v>42</v>
      </c>
      <c r="D28">
        <v>18</v>
      </c>
      <c r="E28" t="s">
        <v>43</v>
      </c>
      <c r="F28" t="s">
        <v>39</v>
      </c>
      <c r="G28">
        <v>70</v>
      </c>
      <c r="H28">
        <v>3</v>
      </c>
      <c r="I28" s="21">
        <v>63.802999999999997</v>
      </c>
      <c r="J28" s="21">
        <v>5.048</v>
      </c>
      <c r="K28" s="21">
        <v>68.798000000000002</v>
      </c>
      <c r="L28" s="21">
        <f t="shared" si="1"/>
        <v>4.9950000000000045</v>
      </c>
      <c r="M28" s="21">
        <f t="shared" si="2"/>
        <v>5.2999999999995495E-2</v>
      </c>
      <c r="N28">
        <f t="shared" si="3"/>
        <v>1.0499207606972167</v>
      </c>
      <c r="Q28" s="19"/>
      <c r="R28" s="19"/>
      <c r="S28" s="19"/>
      <c r="T28" s="19"/>
      <c r="U28" s="19"/>
      <c r="V28" s="19"/>
      <c r="W28" s="19"/>
      <c r="X28" s="19"/>
      <c r="Y28" s="19"/>
    </row>
    <row r="29" spans="1:25" x14ac:dyDescent="0.2">
      <c r="A29">
        <v>20329</v>
      </c>
      <c r="B29" s="23">
        <f t="shared" si="0"/>
        <v>44159</v>
      </c>
      <c r="C29" t="s">
        <v>42</v>
      </c>
      <c r="D29">
        <v>18</v>
      </c>
      <c r="E29" t="s">
        <v>43</v>
      </c>
      <c r="F29" t="s">
        <v>39</v>
      </c>
      <c r="G29">
        <v>70</v>
      </c>
      <c r="H29">
        <v>4</v>
      </c>
      <c r="I29" s="21">
        <v>65.748999999999995</v>
      </c>
      <c r="J29" s="21">
        <v>5.0199999999999996</v>
      </c>
      <c r="K29" s="21">
        <v>70.713999999999999</v>
      </c>
      <c r="L29" s="21">
        <f t="shared" si="1"/>
        <v>4.9650000000000034</v>
      </c>
      <c r="M29" s="21">
        <f t="shared" si="2"/>
        <v>5.4999999999996163E-2</v>
      </c>
      <c r="N29">
        <f t="shared" si="3"/>
        <v>1.0956175298804018</v>
      </c>
      <c r="Q29" s="19"/>
      <c r="R29" s="19"/>
      <c r="S29" s="19"/>
      <c r="T29" s="19"/>
      <c r="U29" s="19"/>
      <c r="V29" s="19"/>
      <c r="W29" s="19"/>
      <c r="X29" s="19"/>
      <c r="Y29" s="19"/>
    </row>
    <row r="30" spans="1:25" x14ac:dyDescent="0.2">
      <c r="A30">
        <v>20329</v>
      </c>
      <c r="B30" s="23">
        <f t="shared" si="0"/>
        <v>44159</v>
      </c>
      <c r="C30" t="s">
        <v>42</v>
      </c>
      <c r="D30">
        <v>18</v>
      </c>
      <c r="E30" t="s">
        <v>43</v>
      </c>
      <c r="F30" t="s">
        <v>39</v>
      </c>
      <c r="G30">
        <v>80</v>
      </c>
      <c r="H30">
        <v>1</v>
      </c>
      <c r="I30" s="21">
        <v>65.316999999999993</v>
      </c>
      <c r="J30" s="21">
        <v>5.0460000000000003</v>
      </c>
      <c r="K30" s="21">
        <v>70.311000000000007</v>
      </c>
      <c r="L30" s="21">
        <f t="shared" si="1"/>
        <v>4.994000000000014</v>
      </c>
      <c r="M30" s="21">
        <f t="shared" si="2"/>
        <v>5.1999999999986279E-2</v>
      </c>
      <c r="N30">
        <f t="shared" si="3"/>
        <v>1.0305192231467752</v>
      </c>
      <c r="Q30" s="19"/>
      <c r="R30" s="19"/>
      <c r="S30" s="19"/>
      <c r="T30" s="19"/>
      <c r="U30" s="19"/>
      <c r="V30" s="19"/>
      <c r="W30" s="19"/>
      <c r="X30" s="19"/>
      <c r="Y30" s="19"/>
    </row>
    <row r="31" spans="1:25" x14ac:dyDescent="0.2">
      <c r="A31">
        <v>20329</v>
      </c>
      <c r="B31" s="23">
        <f t="shared" si="0"/>
        <v>44159</v>
      </c>
      <c r="C31" t="s">
        <v>42</v>
      </c>
      <c r="D31">
        <v>18</v>
      </c>
      <c r="E31" t="s">
        <v>43</v>
      </c>
      <c r="F31" t="s">
        <v>39</v>
      </c>
      <c r="G31">
        <v>80</v>
      </c>
      <c r="H31">
        <v>2</v>
      </c>
      <c r="I31" s="21">
        <v>64.870999999999995</v>
      </c>
      <c r="J31" s="21">
        <v>5.1589999999999998</v>
      </c>
      <c r="K31" s="21">
        <v>69.977000000000004</v>
      </c>
      <c r="L31" s="21">
        <f t="shared" si="1"/>
        <v>5.1060000000000088</v>
      </c>
      <c r="M31" s="21">
        <f t="shared" si="2"/>
        <v>5.2999999999991054E-2</v>
      </c>
      <c r="N31">
        <f t="shared" si="3"/>
        <v>1.0273308780769734</v>
      </c>
      <c r="Q31" s="19"/>
      <c r="R31" s="19"/>
      <c r="S31" s="19"/>
      <c r="T31" s="19"/>
      <c r="U31" s="19"/>
      <c r="V31" s="19"/>
      <c r="W31" s="19"/>
      <c r="X31" s="19"/>
      <c r="Y31" s="19"/>
    </row>
    <row r="32" spans="1:25" x14ac:dyDescent="0.2">
      <c r="A32">
        <v>20329</v>
      </c>
      <c r="B32" s="23">
        <f t="shared" si="0"/>
        <v>44159</v>
      </c>
      <c r="C32" t="s">
        <v>42</v>
      </c>
      <c r="D32">
        <v>18</v>
      </c>
      <c r="E32" t="s">
        <v>43</v>
      </c>
      <c r="F32" t="s">
        <v>39</v>
      </c>
      <c r="G32">
        <v>80</v>
      </c>
      <c r="H32">
        <v>3</v>
      </c>
      <c r="I32" s="21">
        <v>62.734000000000002</v>
      </c>
      <c r="J32" s="21">
        <v>5.0149999999999997</v>
      </c>
      <c r="K32" s="21">
        <v>67.695999999999998</v>
      </c>
      <c r="L32" s="21">
        <f t="shared" si="1"/>
        <v>4.9619999999999962</v>
      </c>
      <c r="M32" s="21">
        <f t="shared" si="2"/>
        <v>5.3000000000003489E-2</v>
      </c>
      <c r="N32">
        <f t="shared" si="3"/>
        <v>1.0568295114656729</v>
      </c>
      <c r="Q32" s="19"/>
      <c r="R32" s="19"/>
      <c r="S32" s="19"/>
      <c r="T32" s="19"/>
      <c r="U32" s="19"/>
      <c r="V32" s="19"/>
      <c r="W32" s="19"/>
      <c r="X32" s="19"/>
      <c r="Y32" s="19"/>
    </row>
    <row r="33" spans="1:25" x14ac:dyDescent="0.2">
      <c r="A33">
        <v>20329</v>
      </c>
      <c r="B33" s="23">
        <f t="shared" si="0"/>
        <v>44159</v>
      </c>
      <c r="C33" t="s">
        <v>42</v>
      </c>
      <c r="D33">
        <v>18</v>
      </c>
      <c r="E33" t="s">
        <v>43</v>
      </c>
      <c r="F33" t="s">
        <v>39</v>
      </c>
      <c r="G33">
        <v>80</v>
      </c>
      <c r="H33">
        <v>4</v>
      </c>
      <c r="I33" s="21">
        <v>68.066000000000003</v>
      </c>
      <c r="J33" s="21">
        <v>5.048</v>
      </c>
      <c r="K33" s="21">
        <v>73.058000000000007</v>
      </c>
      <c r="L33" s="21">
        <f t="shared" si="1"/>
        <v>4.9920000000000044</v>
      </c>
      <c r="M33" s="21">
        <f t="shared" si="2"/>
        <v>5.5999999999995609E-2</v>
      </c>
      <c r="N33">
        <f t="shared" si="3"/>
        <v>1.109350237717821</v>
      </c>
      <c r="Q33" s="19"/>
      <c r="R33" s="19"/>
      <c r="S33" s="19"/>
      <c r="T33" s="19"/>
      <c r="U33" s="19"/>
      <c r="V33" s="19"/>
      <c r="W33" s="19"/>
      <c r="X33" s="19"/>
      <c r="Y33" s="19"/>
    </row>
    <row r="34" spans="1:25" x14ac:dyDescent="0.2">
      <c r="A34">
        <v>20329</v>
      </c>
      <c r="B34" s="23">
        <f t="shared" si="0"/>
        <v>44159</v>
      </c>
      <c r="C34" t="s">
        <v>42</v>
      </c>
      <c r="D34">
        <v>18</v>
      </c>
      <c r="E34" t="s">
        <v>43</v>
      </c>
      <c r="F34" t="s">
        <v>39</v>
      </c>
      <c r="G34">
        <v>90</v>
      </c>
      <c r="H34">
        <v>1</v>
      </c>
      <c r="I34" s="21">
        <v>63.082999999999998</v>
      </c>
      <c r="J34" s="21">
        <v>5.0449999999999999</v>
      </c>
      <c r="K34" s="21">
        <v>68.081999999999994</v>
      </c>
      <c r="L34" s="21">
        <f t="shared" si="1"/>
        <v>4.9989999999999952</v>
      </c>
      <c r="M34" s="21">
        <f t="shared" si="2"/>
        <v>4.6000000000004704E-2</v>
      </c>
      <c r="N34">
        <f t="shared" si="3"/>
        <v>0.91179385530237267</v>
      </c>
      <c r="Q34" s="19"/>
      <c r="R34" s="19"/>
      <c r="S34" s="19"/>
      <c r="T34" s="19"/>
      <c r="U34" s="19"/>
      <c r="V34" s="19"/>
      <c r="W34" s="19"/>
      <c r="X34" s="19"/>
      <c r="Y34" s="19"/>
    </row>
    <row r="35" spans="1:25" x14ac:dyDescent="0.2">
      <c r="A35">
        <v>20329</v>
      </c>
      <c r="B35" s="23">
        <f t="shared" si="0"/>
        <v>44159</v>
      </c>
      <c r="C35" t="s">
        <v>42</v>
      </c>
      <c r="D35">
        <v>18</v>
      </c>
      <c r="E35" t="s">
        <v>43</v>
      </c>
      <c r="F35" t="s">
        <v>39</v>
      </c>
      <c r="G35">
        <v>90</v>
      </c>
      <c r="H35">
        <v>2</v>
      </c>
      <c r="I35" s="21">
        <v>64.483999999999995</v>
      </c>
      <c r="J35" s="21">
        <v>5.0179999999999998</v>
      </c>
      <c r="K35" s="21">
        <v>69.456999999999994</v>
      </c>
      <c r="L35" s="21">
        <f t="shared" si="1"/>
        <v>4.972999999999999</v>
      </c>
      <c r="M35" s="21">
        <f t="shared" si="2"/>
        <v>4.5000000000000817E-2</v>
      </c>
      <c r="N35">
        <f t="shared" si="3"/>
        <v>0.89677162216023953</v>
      </c>
      <c r="Q35" s="19"/>
      <c r="R35" s="19"/>
      <c r="S35" s="19"/>
      <c r="T35" s="19"/>
      <c r="U35" s="19"/>
      <c r="V35" s="19"/>
      <c r="W35" s="19"/>
      <c r="X35" s="19"/>
      <c r="Y35" s="19"/>
    </row>
    <row r="36" spans="1:25" x14ac:dyDescent="0.2">
      <c r="A36">
        <v>20329</v>
      </c>
      <c r="B36" s="23">
        <f t="shared" si="0"/>
        <v>44159</v>
      </c>
      <c r="C36" t="s">
        <v>42</v>
      </c>
      <c r="D36">
        <v>18</v>
      </c>
      <c r="E36" t="s">
        <v>43</v>
      </c>
      <c r="F36" t="s">
        <v>39</v>
      </c>
      <c r="G36">
        <v>90</v>
      </c>
      <c r="H36">
        <v>3</v>
      </c>
      <c r="I36" s="21">
        <v>65.748999999999995</v>
      </c>
      <c r="J36" s="21">
        <v>5.0350000000000001</v>
      </c>
      <c r="K36" s="21">
        <v>70.739000000000004</v>
      </c>
      <c r="L36" s="21">
        <f t="shared" si="1"/>
        <v>4.9900000000000091</v>
      </c>
      <c r="M36" s="21">
        <f t="shared" si="2"/>
        <v>4.4999999999991047E-2</v>
      </c>
      <c r="N36">
        <f t="shared" si="3"/>
        <v>0.89374379344570098</v>
      </c>
      <c r="Q36" s="19"/>
      <c r="R36" s="19"/>
      <c r="S36" s="19"/>
      <c r="T36" s="19"/>
      <c r="U36" s="19"/>
      <c r="V36" s="19"/>
      <c r="W36" s="19"/>
      <c r="X36" s="19"/>
      <c r="Y36" s="19"/>
    </row>
    <row r="37" spans="1:25" x14ac:dyDescent="0.2">
      <c r="A37">
        <v>20329</v>
      </c>
      <c r="B37" s="23">
        <f t="shared" si="0"/>
        <v>44159</v>
      </c>
      <c r="C37" t="s">
        <v>42</v>
      </c>
      <c r="D37">
        <v>18</v>
      </c>
      <c r="E37" t="s">
        <v>43</v>
      </c>
      <c r="F37" t="s">
        <v>39</v>
      </c>
      <c r="G37">
        <v>90</v>
      </c>
      <c r="H37">
        <v>4</v>
      </c>
      <c r="I37" s="21">
        <v>65.317999999999998</v>
      </c>
      <c r="J37" s="21">
        <v>5.0069999999999997</v>
      </c>
      <c r="K37" s="21">
        <v>70.278999999999996</v>
      </c>
      <c r="L37" s="21">
        <f t="shared" si="1"/>
        <v>4.9609999999999985</v>
      </c>
      <c r="M37" s="21">
        <f t="shared" si="2"/>
        <v>4.6000000000001151E-2</v>
      </c>
      <c r="N37">
        <f t="shared" si="3"/>
        <v>0.91871380067907238</v>
      </c>
      <c r="Q37" s="19"/>
      <c r="R37" s="19"/>
      <c r="S37" s="19"/>
      <c r="T37" s="19"/>
      <c r="U37" s="19"/>
      <c r="V37" s="19"/>
      <c r="W37" s="19"/>
      <c r="X37" s="19"/>
      <c r="Y37" s="19"/>
    </row>
    <row r="38" spans="1:25" x14ac:dyDescent="0.2">
      <c r="A38">
        <v>20329</v>
      </c>
      <c r="B38" s="23">
        <f t="shared" si="0"/>
        <v>44159</v>
      </c>
      <c r="C38" t="s">
        <v>42</v>
      </c>
      <c r="D38">
        <v>18</v>
      </c>
      <c r="E38" t="s">
        <v>43</v>
      </c>
      <c r="F38" t="s">
        <v>39</v>
      </c>
      <c r="G38">
        <v>100</v>
      </c>
      <c r="H38">
        <v>1</v>
      </c>
      <c r="I38" s="21">
        <v>68.067999999999998</v>
      </c>
      <c r="J38" s="21">
        <v>5.1319999999999997</v>
      </c>
      <c r="K38" s="21">
        <v>73.158000000000001</v>
      </c>
      <c r="L38" s="21">
        <f t="shared" si="1"/>
        <v>5.0900000000000034</v>
      </c>
      <c r="M38" s="21">
        <f t="shared" si="2"/>
        <v>4.1999999999996263E-2</v>
      </c>
      <c r="N38">
        <f t="shared" si="3"/>
        <v>0.81839438815269427</v>
      </c>
      <c r="Q38" s="19"/>
      <c r="R38" s="19"/>
      <c r="S38" s="19"/>
      <c r="T38" s="19"/>
      <c r="U38" s="19"/>
      <c r="V38" s="19"/>
      <c r="W38" s="19"/>
      <c r="X38" s="19"/>
      <c r="Y38" s="19"/>
    </row>
    <row r="39" spans="1:25" x14ac:dyDescent="0.2">
      <c r="A39">
        <v>20329</v>
      </c>
      <c r="B39" s="23">
        <f t="shared" si="0"/>
        <v>44159</v>
      </c>
      <c r="C39" t="s">
        <v>42</v>
      </c>
      <c r="D39">
        <v>18</v>
      </c>
      <c r="E39" t="s">
        <v>43</v>
      </c>
      <c r="F39" t="s">
        <v>39</v>
      </c>
      <c r="G39">
        <v>100</v>
      </c>
      <c r="H39">
        <v>2</v>
      </c>
      <c r="I39" s="21">
        <v>62.198999999999998</v>
      </c>
      <c r="J39" s="21">
        <v>5.0970000000000004</v>
      </c>
      <c r="K39" s="21">
        <v>67.248999999999995</v>
      </c>
      <c r="L39" s="21">
        <f t="shared" si="1"/>
        <v>5.0499999999999972</v>
      </c>
      <c r="M39" s="21">
        <f t="shared" si="2"/>
        <v>4.7000000000003261E-2</v>
      </c>
      <c r="N39">
        <f t="shared" si="3"/>
        <v>0.92211104571322844</v>
      </c>
      <c r="Q39" s="19"/>
      <c r="R39" s="19"/>
      <c r="S39" s="19"/>
      <c r="T39" s="19"/>
      <c r="U39" s="19"/>
      <c r="V39" s="19"/>
      <c r="W39" s="19"/>
      <c r="X39" s="19"/>
      <c r="Y39" s="19"/>
    </row>
    <row r="40" spans="1:25" x14ac:dyDescent="0.2">
      <c r="A40">
        <v>20329</v>
      </c>
      <c r="B40" s="23">
        <f t="shared" si="0"/>
        <v>44159</v>
      </c>
      <c r="C40" t="s">
        <v>42</v>
      </c>
      <c r="D40">
        <v>18</v>
      </c>
      <c r="E40" t="s">
        <v>43</v>
      </c>
      <c r="F40" t="s">
        <v>39</v>
      </c>
      <c r="G40">
        <v>100</v>
      </c>
      <c r="H40">
        <v>3</v>
      </c>
      <c r="I40" s="21">
        <v>58.267000000000003</v>
      </c>
      <c r="J40" s="21">
        <v>5.1890000000000001</v>
      </c>
      <c r="K40" s="21">
        <v>63.414999999999999</v>
      </c>
      <c r="L40" s="21">
        <f t="shared" si="1"/>
        <v>5.1479999999999961</v>
      </c>
      <c r="M40" s="21">
        <f t="shared" si="2"/>
        <v>4.1000000000003922E-2</v>
      </c>
      <c r="N40">
        <f t="shared" si="3"/>
        <v>0.79013297359807144</v>
      </c>
      <c r="Q40" s="19"/>
      <c r="R40" s="19"/>
      <c r="S40" s="19"/>
      <c r="T40" s="19"/>
      <c r="U40" s="19"/>
      <c r="V40" s="19"/>
      <c r="W40" s="19"/>
      <c r="X40" s="19"/>
      <c r="Y40" s="19"/>
    </row>
    <row r="41" spans="1:25" x14ac:dyDescent="0.2">
      <c r="A41">
        <v>20329</v>
      </c>
      <c r="B41" s="23">
        <f t="shared" si="0"/>
        <v>44159</v>
      </c>
      <c r="C41" t="s">
        <v>42</v>
      </c>
      <c r="D41">
        <v>18</v>
      </c>
      <c r="E41" t="s">
        <v>43</v>
      </c>
      <c r="F41" t="s">
        <v>39</v>
      </c>
      <c r="G41">
        <v>100</v>
      </c>
      <c r="H41">
        <v>4</v>
      </c>
      <c r="I41" s="21">
        <v>64.873000000000005</v>
      </c>
      <c r="J41" s="21">
        <v>5.157</v>
      </c>
      <c r="K41" s="21">
        <v>69.977999999999994</v>
      </c>
      <c r="L41" s="21">
        <f t="shared" si="1"/>
        <v>5.1049999999999898</v>
      </c>
      <c r="M41" s="21">
        <f t="shared" si="2"/>
        <v>5.200000000001026E-2</v>
      </c>
      <c r="N41">
        <f t="shared" si="3"/>
        <v>1.0083381811132492</v>
      </c>
      <c r="Q41" s="19"/>
      <c r="R41" s="19"/>
      <c r="S41" s="19"/>
      <c r="T41" s="19"/>
      <c r="U41" s="19"/>
      <c r="V41" s="19"/>
      <c r="W41" s="19"/>
      <c r="X41" s="19"/>
      <c r="Y41" s="19"/>
    </row>
    <row r="42" spans="1:25" x14ac:dyDescent="0.2">
      <c r="A42">
        <v>20329</v>
      </c>
      <c r="B42" s="23">
        <f t="shared" si="0"/>
        <v>44159</v>
      </c>
      <c r="C42" t="s">
        <v>42</v>
      </c>
      <c r="D42">
        <v>18</v>
      </c>
      <c r="E42" t="s">
        <v>46</v>
      </c>
      <c r="F42" t="s">
        <v>39</v>
      </c>
      <c r="G42">
        <v>10</v>
      </c>
      <c r="H42">
        <v>1</v>
      </c>
      <c r="I42" s="21">
        <v>63.805</v>
      </c>
      <c r="J42" s="21">
        <v>5.0069999999999997</v>
      </c>
      <c r="K42" s="21">
        <v>68.665999999999997</v>
      </c>
      <c r="L42" s="21">
        <f t="shared" si="1"/>
        <v>4.8609999999999971</v>
      </c>
      <c r="M42" s="21">
        <f t="shared" si="2"/>
        <v>0.14600000000000257</v>
      </c>
      <c r="N42">
        <f t="shared" si="3"/>
        <v>2.9159177151987734</v>
      </c>
      <c r="Q42" s="19"/>
      <c r="R42" s="19"/>
      <c r="S42" s="19"/>
      <c r="T42" s="19"/>
      <c r="U42" s="19"/>
      <c r="V42" s="19"/>
      <c r="W42" s="19"/>
      <c r="X42" s="19"/>
      <c r="Y42" s="19"/>
    </row>
    <row r="43" spans="1:25" x14ac:dyDescent="0.2">
      <c r="A43">
        <v>20329</v>
      </c>
      <c r="B43" s="23">
        <f t="shared" si="0"/>
        <v>44159</v>
      </c>
      <c r="C43" t="s">
        <v>42</v>
      </c>
      <c r="D43">
        <v>18</v>
      </c>
      <c r="E43" t="s">
        <v>46</v>
      </c>
      <c r="F43" t="s">
        <v>39</v>
      </c>
      <c r="G43">
        <v>10</v>
      </c>
      <c r="H43">
        <v>2</v>
      </c>
      <c r="I43" s="21">
        <v>63.932000000000002</v>
      </c>
      <c r="J43" s="21">
        <v>5.0289999999999999</v>
      </c>
      <c r="K43" s="21">
        <v>68.805000000000007</v>
      </c>
      <c r="L43" s="21">
        <f t="shared" si="1"/>
        <v>4.8730000000000047</v>
      </c>
      <c r="M43" s="21">
        <f t="shared" si="2"/>
        <v>0.15599999999999525</v>
      </c>
      <c r="N43">
        <f t="shared" si="3"/>
        <v>3.1020083515608521</v>
      </c>
      <c r="Q43" s="19"/>
      <c r="R43" s="19"/>
      <c r="S43" s="19"/>
      <c r="T43" s="19"/>
      <c r="U43" s="19"/>
      <c r="V43" s="19"/>
      <c r="W43" s="19"/>
      <c r="X43" s="19"/>
      <c r="Y43" s="19"/>
    </row>
    <row r="44" spans="1:25" x14ac:dyDescent="0.2">
      <c r="A44">
        <v>20329</v>
      </c>
      <c r="B44" s="23">
        <f t="shared" si="0"/>
        <v>44159</v>
      </c>
      <c r="C44" t="s">
        <v>42</v>
      </c>
      <c r="D44">
        <v>18</v>
      </c>
      <c r="E44" t="s">
        <v>46</v>
      </c>
      <c r="F44" t="s">
        <v>39</v>
      </c>
      <c r="G44">
        <v>10</v>
      </c>
      <c r="H44">
        <v>3</v>
      </c>
      <c r="I44" s="21">
        <v>59.811</v>
      </c>
      <c r="J44" s="21">
        <v>5.1109999999999998</v>
      </c>
      <c r="K44" s="21">
        <v>64.762</v>
      </c>
      <c r="L44" s="21">
        <f t="shared" si="1"/>
        <v>4.9510000000000005</v>
      </c>
      <c r="M44" s="21">
        <f t="shared" si="2"/>
        <v>0.15999999999999925</v>
      </c>
      <c r="N44">
        <f t="shared" si="3"/>
        <v>3.1305028370181813</v>
      </c>
    </row>
    <row r="45" spans="1:25" x14ac:dyDescent="0.2">
      <c r="A45">
        <v>20329</v>
      </c>
      <c r="B45" s="23">
        <f t="shared" si="0"/>
        <v>44159</v>
      </c>
      <c r="C45" t="s">
        <v>42</v>
      </c>
      <c r="D45">
        <v>18</v>
      </c>
      <c r="E45" t="s">
        <v>46</v>
      </c>
      <c r="F45" t="s">
        <v>39</v>
      </c>
      <c r="G45">
        <v>10</v>
      </c>
      <c r="H45">
        <v>4</v>
      </c>
      <c r="I45" s="21">
        <v>62.732999999999997</v>
      </c>
      <c r="J45" s="21">
        <v>5.1479999999999997</v>
      </c>
      <c r="K45" s="21">
        <v>67.715999999999994</v>
      </c>
      <c r="L45" s="21">
        <f t="shared" si="1"/>
        <v>4.982999999999997</v>
      </c>
      <c r="M45" s="21">
        <f t="shared" si="2"/>
        <v>0.1650000000000027</v>
      </c>
      <c r="N45">
        <f t="shared" si="3"/>
        <v>3.2051282051282577</v>
      </c>
    </row>
    <row r="46" spans="1:25" x14ac:dyDescent="0.2">
      <c r="A46">
        <v>20329</v>
      </c>
      <c r="B46" s="23">
        <f t="shared" si="0"/>
        <v>44159</v>
      </c>
      <c r="C46" t="s">
        <v>42</v>
      </c>
      <c r="D46">
        <v>18</v>
      </c>
      <c r="E46" t="s">
        <v>46</v>
      </c>
      <c r="F46" t="s">
        <v>39</v>
      </c>
      <c r="G46">
        <v>20</v>
      </c>
      <c r="H46">
        <v>1</v>
      </c>
      <c r="I46" s="21">
        <v>62.198</v>
      </c>
      <c r="J46" s="21">
        <v>5.0129999999999999</v>
      </c>
      <c r="K46" s="21">
        <v>67.046000000000006</v>
      </c>
      <c r="L46" s="21">
        <f t="shared" si="1"/>
        <v>4.8480000000000061</v>
      </c>
      <c r="M46" s="21">
        <f t="shared" si="2"/>
        <v>0.16499999999999382</v>
      </c>
      <c r="N46">
        <f t="shared" si="3"/>
        <v>3.2914422501494878</v>
      </c>
    </row>
    <row r="47" spans="1:25" x14ac:dyDescent="0.2">
      <c r="A47">
        <v>20329</v>
      </c>
      <c r="B47" s="23">
        <f t="shared" si="0"/>
        <v>44159</v>
      </c>
      <c r="C47" t="s">
        <v>42</v>
      </c>
      <c r="D47">
        <v>18</v>
      </c>
      <c r="E47" t="s">
        <v>46</v>
      </c>
      <c r="F47" t="s">
        <v>39</v>
      </c>
      <c r="G47">
        <v>20</v>
      </c>
      <c r="H47">
        <v>2</v>
      </c>
      <c r="I47" s="21">
        <v>64.872</v>
      </c>
      <c r="J47" s="21">
        <v>5.085</v>
      </c>
      <c r="K47" s="21">
        <v>69.787999999999997</v>
      </c>
      <c r="L47" s="21">
        <f t="shared" si="1"/>
        <v>4.9159999999999968</v>
      </c>
      <c r="M47" s="21">
        <f t="shared" si="2"/>
        <v>0.16900000000000315</v>
      </c>
      <c r="N47">
        <f t="shared" si="3"/>
        <v>3.3235004916421467</v>
      </c>
    </row>
    <row r="48" spans="1:25" x14ac:dyDescent="0.2">
      <c r="A48">
        <v>20329</v>
      </c>
      <c r="B48" s="23">
        <f t="shared" si="0"/>
        <v>44159</v>
      </c>
      <c r="C48" t="s">
        <v>42</v>
      </c>
      <c r="D48">
        <v>18</v>
      </c>
      <c r="E48" t="s">
        <v>46</v>
      </c>
      <c r="F48" t="s">
        <v>39</v>
      </c>
      <c r="G48">
        <v>20</v>
      </c>
      <c r="H48">
        <v>3</v>
      </c>
      <c r="I48" s="21">
        <v>63.804000000000002</v>
      </c>
      <c r="J48" s="21">
        <v>5.1280000000000001</v>
      </c>
      <c r="K48" s="21">
        <v>68.760000000000005</v>
      </c>
      <c r="L48" s="21">
        <f t="shared" si="1"/>
        <v>4.9560000000000031</v>
      </c>
      <c r="M48" s="21">
        <f t="shared" si="2"/>
        <v>0.17199999999999704</v>
      </c>
      <c r="N48">
        <f t="shared" si="3"/>
        <v>3.3541341653665571</v>
      </c>
    </row>
    <row r="49" spans="1:14" x14ac:dyDescent="0.2">
      <c r="A49">
        <v>20329</v>
      </c>
      <c r="B49" s="23">
        <f t="shared" si="0"/>
        <v>44159</v>
      </c>
      <c r="C49" t="s">
        <v>42</v>
      </c>
      <c r="D49">
        <v>18</v>
      </c>
      <c r="E49" t="s">
        <v>46</v>
      </c>
      <c r="F49" t="s">
        <v>39</v>
      </c>
      <c r="G49">
        <v>20</v>
      </c>
      <c r="H49">
        <v>4</v>
      </c>
      <c r="I49" s="21">
        <v>62.734000000000002</v>
      </c>
      <c r="J49" s="21">
        <v>5.0380000000000003</v>
      </c>
      <c r="K49" s="21">
        <v>67.599999999999994</v>
      </c>
      <c r="L49" s="21">
        <f t="shared" si="1"/>
        <v>4.8659999999999926</v>
      </c>
      <c r="M49" s="21">
        <f t="shared" si="2"/>
        <v>0.1720000000000077</v>
      </c>
      <c r="N49">
        <f t="shared" si="3"/>
        <v>3.4140531957127371</v>
      </c>
    </row>
    <row r="50" spans="1:14" x14ac:dyDescent="0.2">
      <c r="A50">
        <v>20329</v>
      </c>
      <c r="B50" s="23">
        <f t="shared" si="0"/>
        <v>44159</v>
      </c>
      <c r="C50" t="s">
        <v>42</v>
      </c>
      <c r="D50">
        <v>18</v>
      </c>
      <c r="E50" t="s">
        <v>46</v>
      </c>
      <c r="F50" t="s">
        <v>39</v>
      </c>
      <c r="G50">
        <v>30</v>
      </c>
      <c r="H50">
        <v>1</v>
      </c>
      <c r="I50" s="21">
        <v>59.811</v>
      </c>
      <c r="J50" s="21">
        <v>5.0620000000000003</v>
      </c>
      <c r="K50" s="21">
        <v>64.745999999999995</v>
      </c>
      <c r="L50" s="21">
        <f t="shared" si="1"/>
        <v>4.9349999999999952</v>
      </c>
      <c r="M50" s="21">
        <f t="shared" si="2"/>
        <v>0.12700000000000511</v>
      </c>
      <c r="N50">
        <f t="shared" si="3"/>
        <v>2.508889766890658</v>
      </c>
    </row>
    <row r="51" spans="1:14" x14ac:dyDescent="0.2">
      <c r="A51">
        <v>20329</v>
      </c>
      <c r="B51" s="23">
        <f t="shared" si="0"/>
        <v>44159</v>
      </c>
      <c r="C51" t="s">
        <v>42</v>
      </c>
      <c r="D51">
        <v>18</v>
      </c>
      <c r="E51" t="s">
        <v>46</v>
      </c>
      <c r="F51" t="s">
        <v>39</v>
      </c>
      <c r="G51">
        <v>30</v>
      </c>
      <c r="H51">
        <v>2</v>
      </c>
      <c r="I51" s="21">
        <v>68.066000000000003</v>
      </c>
      <c r="J51" s="21">
        <v>5.0590000000000002</v>
      </c>
      <c r="K51" s="21">
        <v>72.995999999999995</v>
      </c>
      <c r="L51" s="21">
        <f t="shared" si="1"/>
        <v>4.9299999999999926</v>
      </c>
      <c r="M51" s="21">
        <f t="shared" si="2"/>
        <v>0.12900000000000755</v>
      </c>
      <c r="N51">
        <f t="shared" si="3"/>
        <v>2.5499110496146975</v>
      </c>
    </row>
    <row r="52" spans="1:14" x14ac:dyDescent="0.2">
      <c r="A52">
        <v>20329</v>
      </c>
      <c r="B52" s="23">
        <f t="shared" si="0"/>
        <v>44159</v>
      </c>
      <c r="C52" t="s">
        <v>42</v>
      </c>
      <c r="D52">
        <v>18</v>
      </c>
      <c r="E52" t="s">
        <v>46</v>
      </c>
      <c r="F52" t="s">
        <v>39</v>
      </c>
      <c r="G52">
        <v>30</v>
      </c>
      <c r="H52">
        <v>3</v>
      </c>
      <c r="I52" s="21">
        <v>65.319000000000003</v>
      </c>
      <c r="J52" s="21">
        <v>5.0599999999999996</v>
      </c>
      <c r="K52" s="21">
        <v>70.248999999999995</v>
      </c>
      <c r="L52" s="21">
        <f t="shared" si="1"/>
        <v>4.9299999999999926</v>
      </c>
      <c r="M52" s="21">
        <f t="shared" si="2"/>
        <v>0.130000000000007</v>
      </c>
      <c r="N52">
        <f t="shared" si="3"/>
        <v>2.5691699604744467</v>
      </c>
    </row>
    <row r="53" spans="1:14" x14ac:dyDescent="0.2">
      <c r="A53">
        <v>20329</v>
      </c>
      <c r="B53" s="23">
        <f t="shared" si="0"/>
        <v>44159</v>
      </c>
      <c r="C53" t="s">
        <v>42</v>
      </c>
      <c r="D53">
        <v>18</v>
      </c>
      <c r="E53" t="s">
        <v>46</v>
      </c>
      <c r="F53" t="s">
        <v>39</v>
      </c>
      <c r="G53">
        <v>30</v>
      </c>
      <c r="H53">
        <v>4</v>
      </c>
      <c r="I53" s="21">
        <v>63.082999999999998</v>
      </c>
      <c r="J53" s="21">
        <v>5.1539999999999999</v>
      </c>
      <c r="K53" s="21">
        <v>68.097999999999999</v>
      </c>
      <c r="L53" s="21">
        <f t="shared" si="1"/>
        <v>5.0150000000000006</v>
      </c>
      <c r="M53" s="21">
        <f t="shared" si="2"/>
        <v>0.13899999999999935</v>
      </c>
      <c r="N53">
        <f t="shared" si="3"/>
        <v>2.6969344198680507</v>
      </c>
    </row>
    <row r="54" spans="1:14" x14ac:dyDescent="0.2">
      <c r="A54">
        <v>20329</v>
      </c>
      <c r="B54" s="23">
        <f t="shared" si="0"/>
        <v>44159</v>
      </c>
      <c r="C54" t="s">
        <v>42</v>
      </c>
      <c r="D54">
        <v>18</v>
      </c>
      <c r="E54" t="s">
        <v>46</v>
      </c>
      <c r="F54" t="s">
        <v>39</v>
      </c>
      <c r="G54">
        <v>40</v>
      </c>
      <c r="H54">
        <v>1</v>
      </c>
      <c r="I54" s="21">
        <v>65.75</v>
      </c>
      <c r="J54" s="21">
        <v>5.032</v>
      </c>
      <c r="K54" s="21">
        <v>70.697000000000003</v>
      </c>
      <c r="L54" s="21">
        <f t="shared" si="1"/>
        <v>4.9470000000000027</v>
      </c>
      <c r="M54" s="21">
        <f t="shared" si="2"/>
        <v>8.49999999999973E-2</v>
      </c>
      <c r="N54">
        <f t="shared" si="3"/>
        <v>1.6891891891891355</v>
      </c>
    </row>
    <row r="55" spans="1:14" x14ac:dyDescent="0.2">
      <c r="A55">
        <v>20329</v>
      </c>
      <c r="B55" s="23">
        <f t="shared" si="0"/>
        <v>44159</v>
      </c>
      <c r="C55" t="s">
        <v>42</v>
      </c>
      <c r="D55">
        <v>18</v>
      </c>
      <c r="E55" t="s">
        <v>46</v>
      </c>
      <c r="F55" t="s">
        <v>39</v>
      </c>
      <c r="G55">
        <v>40</v>
      </c>
      <c r="H55">
        <v>2</v>
      </c>
      <c r="I55" s="21">
        <v>64.483999999999995</v>
      </c>
      <c r="J55" s="21">
        <v>5.1130000000000004</v>
      </c>
      <c r="K55" s="21">
        <v>69.513999999999996</v>
      </c>
      <c r="L55" s="21">
        <f t="shared" si="1"/>
        <v>5.0300000000000011</v>
      </c>
      <c r="M55" s="21">
        <f t="shared" si="2"/>
        <v>8.2999999999999297E-2</v>
      </c>
      <c r="N55">
        <f t="shared" si="3"/>
        <v>1.6233131234108993</v>
      </c>
    </row>
    <row r="56" spans="1:14" x14ac:dyDescent="0.2">
      <c r="A56">
        <v>20329</v>
      </c>
      <c r="B56" s="23">
        <f t="shared" si="0"/>
        <v>44159</v>
      </c>
      <c r="C56" t="s">
        <v>42</v>
      </c>
      <c r="D56">
        <v>18</v>
      </c>
      <c r="E56" t="s">
        <v>46</v>
      </c>
      <c r="F56" t="s">
        <v>39</v>
      </c>
      <c r="G56">
        <v>40</v>
      </c>
      <c r="H56">
        <v>3</v>
      </c>
      <c r="I56" s="21">
        <v>58.268000000000001</v>
      </c>
      <c r="J56" s="21">
        <v>5.1029999999999998</v>
      </c>
      <c r="K56" s="21">
        <v>63.279000000000003</v>
      </c>
      <c r="L56" s="21">
        <f t="shared" si="1"/>
        <v>5.0110000000000028</v>
      </c>
      <c r="M56" s="21">
        <f t="shared" si="2"/>
        <v>9.1999999999996973E-2</v>
      </c>
      <c r="N56">
        <f t="shared" si="3"/>
        <v>1.8028610621202621</v>
      </c>
    </row>
    <row r="57" spans="1:14" x14ac:dyDescent="0.2">
      <c r="A57">
        <v>20329</v>
      </c>
      <c r="B57" s="23">
        <f t="shared" si="0"/>
        <v>44159</v>
      </c>
      <c r="C57" t="s">
        <v>42</v>
      </c>
      <c r="D57">
        <v>18</v>
      </c>
      <c r="E57" t="s">
        <v>46</v>
      </c>
      <c r="F57" t="s">
        <v>39</v>
      </c>
      <c r="G57">
        <v>40</v>
      </c>
      <c r="H57">
        <v>4</v>
      </c>
      <c r="I57" s="21">
        <v>63.933</v>
      </c>
      <c r="J57" s="21">
        <v>5.008</v>
      </c>
      <c r="K57" s="21">
        <v>68.850999999999999</v>
      </c>
      <c r="L57" s="21">
        <f t="shared" si="1"/>
        <v>4.9179999999999993</v>
      </c>
      <c r="M57" s="21">
        <f t="shared" si="2"/>
        <v>9.0000000000000746E-2</v>
      </c>
      <c r="N57">
        <f t="shared" si="3"/>
        <v>1.7971246006389927</v>
      </c>
    </row>
    <row r="58" spans="1:14" x14ac:dyDescent="0.2">
      <c r="A58">
        <v>20329</v>
      </c>
      <c r="B58" s="23">
        <f t="shared" si="0"/>
        <v>44159</v>
      </c>
      <c r="C58" t="s">
        <v>42</v>
      </c>
      <c r="D58">
        <v>18</v>
      </c>
      <c r="E58" t="s">
        <v>46</v>
      </c>
      <c r="F58" t="s">
        <v>39</v>
      </c>
      <c r="G58">
        <v>50</v>
      </c>
      <c r="H58">
        <v>1</v>
      </c>
      <c r="I58" s="21">
        <v>64.873000000000005</v>
      </c>
      <c r="J58" s="21">
        <v>5.0279999999999996</v>
      </c>
      <c r="K58" s="21">
        <v>69.828000000000003</v>
      </c>
      <c r="L58" s="21">
        <f t="shared" si="1"/>
        <v>4.9549999999999983</v>
      </c>
      <c r="M58" s="21">
        <f t="shared" si="2"/>
        <v>7.3000000000001286E-2</v>
      </c>
      <c r="N58">
        <f t="shared" si="3"/>
        <v>1.4518695306285061</v>
      </c>
    </row>
    <row r="59" spans="1:14" x14ac:dyDescent="0.2">
      <c r="A59">
        <v>20329</v>
      </c>
      <c r="B59" s="23">
        <f t="shared" si="0"/>
        <v>44159</v>
      </c>
      <c r="C59" t="s">
        <v>42</v>
      </c>
      <c r="D59">
        <v>18</v>
      </c>
      <c r="E59" t="s">
        <v>46</v>
      </c>
      <c r="F59" t="s">
        <v>39</v>
      </c>
      <c r="G59">
        <v>50</v>
      </c>
      <c r="H59">
        <v>2</v>
      </c>
      <c r="I59" s="21">
        <v>59.811</v>
      </c>
      <c r="J59" s="21">
        <v>5.0250000000000004</v>
      </c>
      <c r="K59" s="21">
        <v>64.763000000000005</v>
      </c>
      <c r="L59" s="21">
        <f t="shared" si="1"/>
        <v>4.9520000000000053</v>
      </c>
      <c r="M59" s="21">
        <f t="shared" si="2"/>
        <v>7.2999999999995069E-2</v>
      </c>
      <c r="N59">
        <f t="shared" si="3"/>
        <v>1.4527363184078621</v>
      </c>
    </row>
    <row r="60" spans="1:14" x14ac:dyDescent="0.2">
      <c r="A60">
        <v>20329</v>
      </c>
      <c r="B60" s="23">
        <f t="shared" si="0"/>
        <v>44159</v>
      </c>
      <c r="C60" t="s">
        <v>42</v>
      </c>
      <c r="D60">
        <v>18</v>
      </c>
      <c r="E60" t="s">
        <v>46</v>
      </c>
      <c r="F60" t="s">
        <v>39</v>
      </c>
      <c r="G60">
        <v>50</v>
      </c>
      <c r="H60">
        <v>3</v>
      </c>
      <c r="I60" s="21">
        <v>68.066999999999993</v>
      </c>
      <c r="J60" s="21">
        <v>5.0179999999999998</v>
      </c>
      <c r="K60" s="21">
        <v>73.004999999999995</v>
      </c>
      <c r="L60" s="21">
        <f t="shared" si="1"/>
        <v>4.9380000000000024</v>
      </c>
      <c r="M60" s="21">
        <f t="shared" si="2"/>
        <v>7.9999999999997407E-2</v>
      </c>
      <c r="N60">
        <f t="shared" si="3"/>
        <v>1.594260661618123</v>
      </c>
    </row>
    <row r="61" spans="1:14" x14ac:dyDescent="0.2">
      <c r="A61">
        <v>20329</v>
      </c>
      <c r="B61" s="23">
        <f t="shared" si="0"/>
        <v>44159</v>
      </c>
      <c r="C61" t="s">
        <v>42</v>
      </c>
      <c r="D61">
        <v>18</v>
      </c>
      <c r="E61" t="s">
        <v>46</v>
      </c>
      <c r="F61" t="s">
        <v>39</v>
      </c>
      <c r="G61">
        <v>50</v>
      </c>
      <c r="H61">
        <v>4</v>
      </c>
      <c r="I61" s="21">
        <v>62.198</v>
      </c>
      <c r="J61" s="21">
        <v>5.0990000000000002</v>
      </c>
      <c r="K61" s="21">
        <v>67.22</v>
      </c>
      <c r="L61" s="21">
        <f t="shared" si="1"/>
        <v>5.0219999999999985</v>
      </c>
      <c r="M61" s="21">
        <f t="shared" si="2"/>
        <v>7.7000000000001734E-2</v>
      </c>
      <c r="N61">
        <f t="shared" si="3"/>
        <v>1.5101000196117225</v>
      </c>
    </row>
    <row r="62" spans="1:14" x14ac:dyDescent="0.2">
      <c r="A62">
        <v>20329</v>
      </c>
      <c r="B62" s="23">
        <f t="shared" si="0"/>
        <v>44159</v>
      </c>
      <c r="C62" t="s">
        <v>42</v>
      </c>
      <c r="D62">
        <v>18</v>
      </c>
      <c r="E62" t="s">
        <v>46</v>
      </c>
      <c r="F62" t="s">
        <v>39</v>
      </c>
      <c r="G62">
        <v>60</v>
      </c>
      <c r="H62">
        <v>1</v>
      </c>
      <c r="I62" s="21">
        <v>62.732999999999997</v>
      </c>
      <c r="J62" s="21">
        <v>5.0369999999999999</v>
      </c>
      <c r="K62" s="21">
        <v>67.703999999999994</v>
      </c>
      <c r="L62" s="21">
        <f t="shared" si="1"/>
        <v>4.9709999999999965</v>
      </c>
      <c r="M62" s="21">
        <f t="shared" si="2"/>
        <v>6.6000000000003389E-2</v>
      </c>
      <c r="N62">
        <f t="shared" si="3"/>
        <v>1.3103037522335397</v>
      </c>
    </row>
    <row r="63" spans="1:14" x14ac:dyDescent="0.2">
      <c r="A63">
        <v>20329</v>
      </c>
      <c r="B63" s="23">
        <f t="shared" si="0"/>
        <v>44159</v>
      </c>
      <c r="C63" t="s">
        <v>42</v>
      </c>
      <c r="D63">
        <v>18</v>
      </c>
      <c r="E63" t="s">
        <v>46</v>
      </c>
      <c r="F63" t="s">
        <v>39</v>
      </c>
      <c r="G63">
        <v>60</v>
      </c>
      <c r="H63">
        <v>2</v>
      </c>
      <c r="I63" s="21">
        <v>64.483999999999995</v>
      </c>
      <c r="J63" s="21">
        <v>5.05</v>
      </c>
      <c r="K63" s="21">
        <v>69.466999999999999</v>
      </c>
      <c r="L63" s="21">
        <f t="shared" si="1"/>
        <v>4.9830000000000041</v>
      </c>
      <c r="M63" s="21">
        <f t="shared" si="2"/>
        <v>6.699999999999573E-2</v>
      </c>
      <c r="N63">
        <f t="shared" si="3"/>
        <v>1.3267326732672422</v>
      </c>
    </row>
    <row r="64" spans="1:14" x14ac:dyDescent="0.2">
      <c r="A64">
        <v>20329</v>
      </c>
      <c r="B64" s="23">
        <f t="shared" si="0"/>
        <v>44159</v>
      </c>
      <c r="C64" t="s">
        <v>42</v>
      </c>
      <c r="D64">
        <v>18</v>
      </c>
      <c r="E64" t="s">
        <v>46</v>
      </c>
      <c r="F64" t="s">
        <v>39</v>
      </c>
      <c r="G64">
        <v>60</v>
      </c>
      <c r="H64">
        <v>3</v>
      </c>
      <c r="I64" s="21">
        <v>63.082999999999998</v>
      </c>
      <c r="J64" s="21">
        <v>5.1159999999999997</v>
      </c>
      <c r="K64" s="21">
        <v>68.123999999999995</v>
      </c>
      <c r="L64" s="21">
        <f t="shared" si="1"/>
        <v>5.0409999999999968</v>
      </c>
      <c r="M64" s="21">
        <f t="shared" si="2"/>
        <v>7.5000000000002842E-2</v>
      </c>
      <c r="N64">
        <f t="shared" si="3"/>
        <v>1.4659890539484528</v>
      </c>
    </row>
    <row r="65" spans="1:14" x14ac:dyDescent="0.2">
      <c r="A65">
        <v>20329</v>
      </c>
      <c r="B65" s="23">
        <f t="shared" si="0"/>
        <v>44159</v>
      </c>
      <c r="C65" t="s">
        <v>42</v>
      </c>
      <c r="D65">
        <v>18</v>
      </c>
      <c r="E65" t="s">
        <v>46</v>
      </c>
      <c r="F65" t="s">
        <v>39</v>
      </c>
      <c r="G65">
        <v>60</v>
      </c>
      <c r="H65">
        <v>4</v>
      </c>
      <c r="I65" s="21">
        <v>63.932000000000002</v>
      </c>
      <c r="J65" s="21">
        <v>5.0140000000000002</v>
      </c>
      <c r="K65" s="21">
        <v>68.873999999999995</v>
      </c>
      <c r="L65" s="21">
        <f t="shared" si="1"/>
        <v>4.9419999999999931</v>
      </c>
      <c r="M65" s="21">
        <f t="shared" si="2"/>
        <v>7.2000000000007169E-2</v>
      </c>
      <c r="N65">
        <f t="shared" si="3"/>
        <v>1.4359792580775264</v>
      </c>
    </row>
    <row r="66" spans="1:14" x14ac:dyDescent="0.2">
      <c r="A66">
        <v>20329</v>
      </c>
      <c r="B66" s="23">
        <f t="shared" si="0"/>
        <v>44159</v>
      </c>
      <c r="C66" t="s">
        <v>42</v>
      </c>
      <c r="D66">
        <v>18</v>
      </c>
      <c r="E66" t="s">
        <v>46</v>
      </c>
      <c r="F66" t="s">
        <v>39</v>
      </c>
      <c r="G66">
        <v>70</v>
      </c>
      <c r="H66">
        <v>1</v>
      </c>
      <c r="I66" s="21">
        <v>65.317999999999998</v>
      </c>
      <c r="J66" s="21">
        <v>5.077</v>
      </c>
      <c r="K66" s="21">
        <v>70.331000000000003</v>
      </c>
      <c r="L66" s="21">
        <f t="shared" si="1"/>
        <v>5.0130000000000052</v>
      </c>
      <c r="M66" s="21">
        <f t="shared" si="2"/>
        <v>6.3999999999994728E-2</v>
      </c>
      <c r="N66">
        <f t="shared" si="3"/>
        <v>1.2605869608035205</v>
      </c>
    </row>
    <row r="67" spans="1:14" x14ac:dyDescent="0.2">
      <c r="A67">
        <v>20329</v>
      </c>
      <c r="B67" s="23">
        <f t="shared" ref="B67:B130" si="4">DATE(IF(0+(LEFT(A67))&lt;30,2000,1900)+LEFT(A67,2),1,RIGHT(A67,3))</f>
        <v>44159</v>
      </c>
      <c r="C67" t="s">
        <v>42</v>
      </c>
      <c r="D67">
        <v>18</v>
      </c>
      <c r="E67" t="s">
        <v>46</v>
      </c>
      <c r="F67" t="s">
        <v>39</v>
      </c>
      <c r="G67">
        <v>70</v>
      </c>
      <c r="H67">
        <v>2</v>
      </c>
      <c r="I67" s="21">
        <v>63.804000000000002</v>
      </c>
      <c r="J67" s="21">
        <v>5.056</v>
      </c>
      <c r="K67" s="21">
        <v>68.793000000000006</v>
      </c>
      <c r="L67" s="21">
        <f t="shared" ref="L67:L130" si="5">K67-I67</f>
        <v>4.9890000000000043</v>
      </c>
      <c r="M67" s="21">
        <f t="shared" ref="M67:M130" si="6">J67-L67</f>
        <v>6.699999999999573E-2</v>
      </c>
      <c r="N67">
        <f t="shared" ref="N67:N130" si="7">M67/J67*100</f>
        <v>1.3251582278480167</v>
      </c>
    </row>
    <row r="68" spans="1:14" x14ac:dyDescent="0.2">
      <c r="A68">
        <v>20329</v>
      </c>
      <c r="B68" s="23">
        <f t="shared" si="4"/>
        <v>44159</v>
      </c>
      <c r="C68" t="s">
        <v>42</v>
      </c>
      <c r="D68">
        <v>18</v>
      </c>
      <c r="E68" t="s">
        <v>46</v>
      </c>
      <c r="F68" t="s">
        <v>39</v>
      </c>
      <c r="G68">
        <v>70</v>
      </c>
      <c r="H68">
        <v>3</v>
      </c>
      <c r="I68" s="21">
        <v>65.748000000000005</v>
      </c>
      <c r="J68" s="21">
        <v>5.1260000000000003</v>
      </c>
      <c r="K68" s="21">
        <v>70.805000000000007</v>
      </c>
      <c r="L68" s="21">
        <f t="shared" si="5"/>
        <v>5.0570000000000022</v>
      </c>
      <c r="M68" s="21">
        <f t="shared" si="6"/>
        <v>6.8999999999998174E-2</v>
      </c>
      <c r="N68">
        <f t="shared" si="7"/>
        <v>1.3460788138899369</v>
      </c>
    </row>
    <row r="69" spans="1:14" x14ac:dyDescent="0.2">
      <c r="A69">
        <v>20329</v>
      </c>
      <c r="B69" s="23">
        <f t="shared" si="4"/>
        <v>44159</v>
      </c>
      <c r="C69" t="s">
        <v>42</v>
      </c>
      <c r="D69">
        <v>18</v>
      </c>
      <c r="E69" t="s">
        <v>46</v>
      </c>
      <c r="F69" t="s">
        <v>39</v>
      </c>
      <c r="G69">
        <v>70</v>
      </c>
      <c r="H69">
        <v>4</v>
      </c>
      <c r="I69" s="21">
        <v>58.267000000000003</v>
      </c>
      <c r="J69" s="21">
        <v>5.1150000000000002</v>
      </c>
      <c r="K69" s="21">
        <v>63.311999999999998</v>
      </c>
      <c r="L69" s="21">
        <f t="shared" si="5"/>
        <v>5.0449999999999946</v>
      </c>
      <c r="M69" s="21">
        <f t="shared" si="6"/>
        <v>7.0000000000005613E-2</v>
      </c>
      <c r="N69">
        <f t="shared" si="7"/>
        <v>1.36852394916922</v>
      </c>
    </row>
    <row r="70" spans="1:14" x14ac:dyDescent="0.2">
      <c r="A70">
        <v>20329</v>
      </c>
      <c r="B70" s="23">
        <f t="shared" si="4"/>
        <v>44159</v>
      </c>
      <c r="C70" t="s">
        <v>42</v>
      </c>
      <c r="D70">
        <v>18</v>
      </c>
      <c r="E70" t="s">
        <v>46</v>
      </c>
      <c r="F70" t="s">
        <v>39</v>
      </c>
      <c r="G70">
        <v>80</v>
      </c>
      <c r="H70">
        <v>1</v>
      </c>
      <c r="I70" s="21">
        <v>63.084000000000003</v>
      </c>
      <c r="J70" s="21">
        <v>5.0149999999999997</v>
      </c>
      <c r="K70" s="21">
        <v>68.054000000000002</v>
      </c>
      <c r="L70" s="21">
        <f t="shared" si="5"/>
        <v>4.9699999999999989</v>
      </c>
      <c r="M70" s="21">
        <f t="shared" si="6"/>
        <v>4.5000000000000817E-2</v>
      </c>
      <c r="N70">
        <f t="shared" si="7"/>
        <v>0.89730807577269833</v>
      </c>
    </row>
    <row r="71" spans="1:14" x14ac:dyDescent="0.2">
      <c r="A71">
        <v>20329</v>
      </c>
      <c r="B71" s="23">
        <f t="shared" si="4"/>
        <v>44159</v>
      </c>
      <c r="C71" t="s">
        <v>42</v>
      </c>
      <c r="D71">
        <v>18</v>
      </c>
      <c r="E71" t="s">
        <v>46</v>
      </c>
      <c r="F71" t="s">
        <v>39</v>
      </c>
      <c r="G71">
        <v>80</v>
      </c>
      <c r="H71">
        <v>2</v>
      </c>
      <c r="I71" s="21">
        <v>62.198999999999998</v>
      </c>
      <c r="J71" s="21">
        <v>5.0179999999999998</v>
      </c>
      <c r="K71" s="21">
        <v>67.171000000000006</v>
      </c>
      <c r="L71" s="21">
        <f t="shared" si="5"/>
        <v>4.9720000000000084</v>
      </c>
      <c r="M71" s="21">
        <f t="shared" si="6"/>
        <v>4.5999999999991381E-2</v>
      </c>
      <c r="N71">
        <f t="shared" si="7"/>
        <v>0.91669988043027861</v>
      </c>
    </row>
    <row r="72" spans="1:14" x14ac:dyDescent="0.2">
      <c r="A72">
        <v>20329</v>
      </c>
      <c r="B72" s="23">
        <f t="shared" si="4"/>
        <v>44159</v>
      </c>
      <c r="C72" t="s">
        <v>42</v>
      </c>
      <c r="D72">
        <v>18</v>
      </c>
      <c r="E72" t="s">
        <v>46</v>
      </c>
      <c r="F72" t="s">
        <v>39</v>
      </c>
      <c r="G72">
        <v>80</v>
      </c>
      <c r="H72">
        <v>3</v>
      </c>
      <c r="I72" s="21">
        <v>63.802999999999997</v>
      </c>
      <c r="J72" s="21">
        <v>5.0339999999999998</v>
      </c>
      <c r="K72" s="21">
        <v>68.790000000000006</v>
      </c>
      <c r="L72" s="21">
        <f t="shared" si="5"/>
        <v>4.987000000000009</v>
      </c>
      <c r="M72" s="21">
        <f t="shared" si="6"/>
        <v>4.6999999999990827E-2</v>
      </c>
      <c r="N72">
        <f t="shared" si="7"/>
        <v>0.93365117203001258</v>
      </c>
    </row>
    <row r="73" spans="1:14" x14ac:dyDescent="0.2">
      <c r="A73">
        <v>20329</v>
      </c>
      <c r="B73" s="23">
        <f t="shared" si="4"/>
        <v>44159</v>
      </c>
      <c r="C73" t="s">
        <v>42</v>
      </c>
      <c r="D73">
        <v>18</v>
      </c>
      <c r="E73" t="s">
        <v>46</v>
      </c>
      <c r="F73" t="s">
        <v>39</v>
      </c>
      <c r="G73">
        <v>80</v>
      </c>
      <c r="H73">
        <v>4</v>
      </c>
      <c r="I73" s="21">
        <v>64.873000000000005</v>
      </c>
      <c r="J73" s="21">
        <v>5.133</v>
      </c>
      <c r="K73" s="21">
        <v>69.954999999999998</v>
      </c>
      <c r="L73" s="21">
        <f t="shared" si="5"/>
        <v>5.0819999999999936</v>
      </c>
      <c r="M73" s="21">
        <f t="shared" si="6"/>
        <v>5.1000000000006374E-2</v>
      </c>
      <c r="N73">
        <f t="shared" si="7"/>
        <v>0.99357101110474133</v>
      </c>
    </row>
    <row r="74" spans="1:14" x14ac:dyDescent="0.2">
      <c r="A74">
        <v>20329</v>
      </c>
      <c r="B74" s="23">
        <f t="shared" si="4"/>
        <v>44159</v>
      </c>
      <c r="C74" t="s">
        <v>42</v>
      </c>
      <c r="D74">
        <v>18</v>
      </c>
      <c r="E74" t="s">
        <v>46</v>
      </c>
      <c r="F74" t="s">
        <v>39</v>
      </c>
      <c r="G74">
        <v>90</v>
      </c>
      <c r="H74">
        <v>1</v>
      </c>
      <c r="I74" s="21">
        <v>65.75</v>
      </c>
      <c r="J74" s="21">
        <v>5.0170000000000003</v>
      </c>
      <c r="K74" s="21">
        <v>70.731999999999999</v>
      </c>
      <c r="L74" s="21">
        <f t="shared" si="5"/>
        <v>4.9819999999999993</v>
      </c>
      <c r="M74" s="21">
        <f t="shared" si="6"/>
        <v>3.500000000000103E-2</v>
      </c>
      <c r="N74">
        <f t="shared" si="7"/>
        <v>0.69762806458044702</v>
      </c>
    </row>
    <row r="75" spans="1:14" x14ac:dyDescent="0.2">
      <c r="A75">
        <v>20329</v>
      </c>
      <c r="B75" s="23">
        <f t="shared" si="4"/>
        <v>44159</v>
      </c>
      <c r="C75" t="s">
        <v>42</v>
      </c>
      <c r="D75">
        <v>18</v>
      </c>
      <c r="E75" t="s">
        <v>46</v>
      </c>
      <c r="F75" t="s">
        <v>39</v>
      </c>
      <c r="G75">
        <v>90</v>
      </c>
      <c r="H75">
        <v>2</v>
      </c>
      <c r="I75" s="21">
        <v>65.317999999999998</v>
      </c>
      <c r="J75" s="21">
        <v>5.0410000000000004</v>
      </c>
      <c r="K75" s="21">
        <v>70.322999999999993</v>
      </c>
      <c r="L75" s="21">
        <f t="shared" si="5"/>
        <v>5.0049999999999955</v>
      </c>
      <c r="M75" s="21">
        <f t="shared" si="6"/>
        <v>3.6000000000004917E-2</v>
      </c>
      <c r="N75">
        <f t="shared" si="7"/>
        <v>0.71414401904393798</v>
      </c>
    </row>
    <row r="76" spans="1:14" x14ac:dyDescent="0.2">
      <c r="A76">
        <v>20329</v>
      </c>
      <c r="B76" s="23">
        <f t="shared" si="4"/>
        <v>44159</v>
      </c>
      <c r="C76" t="s">
        <v>42</v>
      </c>
      <c r="D76">
        <v>18</v>
      </c>
      <c r="E76" t="s">
        <v>46</v>
      </c>
      <c r="F76" t="s">
        <v>39</v>
      </c>
      <c r="G76">
        <v>90</v>
      </c>
      <c r="H76">
        <v>3</v>
      </c>
      <c r="I76" s="21">
        <v>63.932000000000002</v>
      </c>
      <c r="J76" s="21">
        <v>5</v>
      </c>
      <c r="K76" s="21">
        <v>68.897000000000006</v>
      </c>
      <c r="L76" s="21">
        <f t="shared" si="5"/>
        <v>4.9650000000000034</v>
      </c>
      <c r="M76" s="21">
        <f t="shared" si="6"/>
        <v>3.4999999999996589E-2</v>
      </c>
      <c r="N76">
        <f t="shared" si="7"/>
        <v>0.69999999999993179</v>
      </c>
    </row>
    <row r="77" spans="1:14" x14ac:dyDescent="0.2">
      <c r="A77">
        <v>20329</v>
      </c>
      <c r="B77" s="23">
        <f t="shared" si="4"/>
        <v>44159</v>
      </c>
      <c r="C77" t="s">
        <v>42</v>
      </c>
      <c r="D77">
        <v>18</v>
      </c>
      <c r="E77" t="s">
        <v>46</v>
      </c>
      <c r="F77" t="s">
        <v>39</v>
      </c>
      <c r="G77">
        <v>90</v>
      </c>
      <c r="H77">
        <v>4</v>
      </c>
      <c r="I77" s="21">
        <v>58.268000000000001</v>
      </c>
      <c r="J77" s="21">
        <v>5.085</v>
      </c>
      <c r="K77" s="21">
        <v>63.314</v>
      </c>
      <c r="L77" s="21">
        <f t="shared" si="5"/>
        <v>5.0459999999999994</v>
      </c>
      <c r="M77" s="21">
        <f t="shared" si="6"/>
        <v>3.900000000000059E-2</v>
      </c>
      <c r="N77">
        <f t="shared" si="7"/>
        <v>0.76696165191741572</v>
      </c>
    </row>
    <row r="78" spans="1:14" x14ac:dyDescent="0.2">
      <c r="A78">
        <v>20329</v>
      </c>
      <c r="B78" s="23">
        <f t="shared" si="4"/>
        <v>44159</v>
      </c>
      <c r="C78" t="s">
        <v>42</v>
      </c>
      <c r="D78">
        <v>18</v>
      </c>
      <c r="E78" t="s">
        <v>46</v>
      </c>
      <c r="F78" t="s">
        <v>39</v>
      </c>
      <c r="G78">
        <v>100</v>
      </c>
      <c r="H78">
        <v>1</v>
      </c>
      <c r="I78" s="21">
        <v>68.066999999999993</v>
      </c>
      <c r="J78" s="21">
        <v>5.0419999999999998</v>
      </c>
      <c r="K78" s="21">
        <v>73.073999999999998</v>
      </c>
      <c r="L78" s="21">
        <f t="shared" si="5"/>
        <v>5.007000000000005</v>
      </c>
      <c r="M78" s="21">
        <f t="shared" si="6"/>
        <v>3.4999999999994813E-2</v>
      </c>
      <c r="N78">
        <f t="shared" si="7"/>
        <v>0.69416898056316567</v>
      </c>
    </row>
    <row r="79" spans="1:14" x14ac:dyDescent="0.2">
      <c r="A79">
        <v>20329</v>
      </c>
      <c r="B79" s="23">
        <f t="shared" si="4"/>
        <v>44159</v>
      </c>
      <c r="C79" t="s">
        <v>42</v>
      </c>
      <c r="D79">
        <v>18</v>
      </c>
      <c r="E79" t="s">
        <v>46</v>
      </c>
      <c r="F79" t="s">
        <v>39</v>
      </c>
      <c r="G79">
        <v>100</v>
      </c>
      <c r="H79">
        <v>2</v>
      </c>
      <c r="I79" s="21">
        <v>64.483999999999995</v>
      </c>
      <c r="J79" s="21">
        <v>5.016</v>
      </c>
      <c r="K79" s="21">
        <v>69.468000000000004</v>
      </c>
      <c r="L79" s="21">
        <f t="shared" si="5"/>
        <v>4.9840000000000089</v>
      </c>
      <c r="M79" s="21">
        <f t="shared" si="6"/>
        <v>3.1999999999991147E-2</v>
      </c>
      <c r="N79">
        <f t="shared" si="7"/>
        <v>0.63795853269519831</v>
      </c>
    </row>
    <row r="80" spans="1:14" x14ac:dyDescent="0.2">
      <c r="A80">
        <v>20329</v>
      </c>
      <c r="B80" s="23">
        <f t="shared" si="4"/>
        <v>44159</v>
      </c>
      <c r="C80" t="s">
        <v>42</v>
      </c>
      <c r="D80">
        <v>18</v>
      </c>
      <c r="E80" t="s">
        <v>46</v>
      </c>
      <c r="F80" t="s">
        <v>39</v>
      </c>
      <c r="G80">
        <v>100</v>
      </c>
      <c r="H80">
        <v>3</v>
      </c>
      <c r="I80" s="21">
        <v>59.811</v>
      </c>
      <c r="J80" s="21">
        <v>5.024</v>
      </c>
      <c r="K80" s="21">
        <v>64.798000000000002</v>
      </c>
      <c r="L80" s="21">
        <f t="shared" si="5"/>
        <v>4.9870000000000019</v>
      </c>
      <c r="M80" s="21">
        <f t="shared" si="6"/>
        <v>3.6999999999998145E-2</v>
      </c>
      <c r="N80">
        <f t="shared" si="7"/>
        <v>0.73646496815282925</v>
      </c>
    </row>
    <row r="81" spans="1:14" x14ac:dyDescent="0.2">
      <c r="A81">
        <v>20329</v>
      </c>
      <c r="B81" s="23">
        <f t="shared" si="4"/>
        <v>44159</v>
      </c>
      <c r="C81" t="s">
        <v>42</v>
      </c>
      <c r="D81">
        <v>18</v>
      </c>
      <c r="E81" t="s">
        <v>46</v>
      </c>
      <c r="F81" t="s">
        <v>39</v>
      </c>
      <c r="G81">
        <v>100</v>
      </c>
      <c r="H81">
        <v>4</v>
      </c>
      <c r="I81" s="21">
        <v>62.734000000000002</v>
      </c>
      <c r="J81" s="21">
        <v>5.0830000000000002</v>
      </c>
      <c r="K81" s="21">
        <v>67.775999999999996</v>
      </c>
      <c r="L81" s="21">
        <f t="shared" si="5"/>
        <v>5.0419999999999945</v>
      </c>
      <c r="M81" s="21">
        <f t="shared" si="6"/>
        <v>4.1000000000005699E-2</v>
      </c>
      <c r="N81">
        <f t="shared" si="7"/>
        <v>0.80661026952598258</v>
      </c>
    </row>
    <row r="82" spans="1:14" x14ac:dyDescent="0.2">
      <c r="A82">
        <v>20329</v>
      </c>
      <c r="B82" s="23">
        <f t="shared" si="4"/>
        <v>44159</v>
      </c>
      <c r="C82" t="s">
        <v>42</v>
      </c>
      <c r="D82">
        <v>18</v>
      </c>
      <c r="E82" t="s">
        <v>46</v>
      </c>
      <c r="F82" t="s">
        <v>39</v>
      </c>
      <c r="G82">
        <v>110</v>
      </c>
      <c r="H82">
        <v>1</v>
      </c>
      <c r="I82" s="21">
        <v>63.082999999999998</v>
      </c>
      <c r="J82" s="21">
        <v>5.0919999999999996</v>
      </c>
      <c r="K82" s="21">
        <v>68.14</v>
      </c>
      <c r="L82" s="21">
        <f t="shared" si="5"/>
        <v>5.0570000000000022</v>
      </c>
      <c r="M82" s="21">
        <f t="shared" si="6"/>
        <v>3.4999999999997478E-2</v>
      </c>
      <c r="N82">
        <f t="shared" si="7"/>
        <v>0.68735271013349331</v>
      </c>
    </row>
    <row r="83" spans="1:14" x14ac:dyDescent="0.2">
      <c r="A83">
        <v>20329</v>
      </c>
      <c r="B83" s="23">
        <f t="shared" si="4"/>
        <v>44159</v>
      </c>
      <c r="C83" t="s">
        <v>42</v>
      </c>
      <c r="D83">
        <v>18</v>
      </c>
      <c r="E83" t="s">
        <v>46</v>
      </c>
      <c r="F83" t="s">
        <v>39</v>
      </c>
      <c r="G83">
        <v>110</v>
      </c>
      <c r="H83">
        <v>2</v>
      </c>
      <c r="I83" s="21">
        <v>64.873999999999995</v>
      </c>
      <c r="J83" s="21">
        <v>5.0339999999999998</v>
      </c>
      <c r="K83" s="21">
        <v>69.872</v>
      </c>
      <c r="L83" s="21">
        <f t="shared" si="5"/>
        <v>4.9980000000000047</v>
      </c>
      <c r="M83" s="21">
        <f t="shared" si="6"/>
        <v>3.5999999999995147E-2</v>
      </c>
      <c r="N83">
        <f t="shared" si="7"/>
        <v>0.71513706793792509</v>
      </c>
    </row>
    <row r="84" spans="1:14" x14ac:dyDescent="0.2">
      <c r="A84">
        <v>20329</v>
      </c>
      <c r="B84" s="23">
        <f t="shared" si="4"/>
        <v>44159</v>
      </c>
      <c r="C84" t="s">
        <v>42</v>
      </c>
      <c r="D84">
        <v>18</v>
      </c>
      <c r="E84" t="s">
        <v>46</v>
      </c>
      <c r="F84" t="s">
        <v>39</v>
      </c>
      <c r="G84">
        <v>110</v>
      </c>
      <c r="H84">
        <v>3</v>
      </c>
      <c r="I84" s="21">
        <v>58.264000000000003</v>
      </c>
      <c r="J84" s="21">
        <v>5.0369999999999999</v>
      </c>
      <c r="K84" s="21">
        <v>63.267000000000003</v>
      </c>
      <c r="L84" s="21">
        <f t="shared" si="5"/>
        <v>5.0030000000000001</v>
      </c>
      <c r="M84" s="21">
        <f t="shared" si="6"/>
        <v>3.3999999999999808E-2</v>
      </c>
      <c r="N84">
        <f t="shared" si="7"/>
        <v>0.67500496327178494</v>
      </c>
    </row>
    <row r="85" spans="1:14" x14ac:dyDescent="0.2">
      <c r="A85">
        <v>20329</v>
      </c>
      <c r="B85" s="23">
        <f t="shared" si="4"/>
        <v>44159</v>
      </c>
      <c r="C85" t="s">
        <v>42</v>
      </c>
      <c r="D85">
        <v>18</v>
      </c>
      <c r="E85" t="s">
        <v>46</v>
      </c>
      <c r="F85" t="s">
        <v>39</v>
      </c>
      <c r="G85">
        <v>110</v>
      </c>
      <c r="H85">
        <v>4</v>
      </c>
      <c r="I85" s="21">
        <v>59.81</v>
      </c>
      <c r="J85" s="21">
        <v>5.0350000000000001</v>
      </c>
      <c r="K85" s="21">
        <v>64.808999999999997</v>
      </c>
      <c r="L85" s="21">
        <f t="shared" si="5"/>
        <v>4.9989999999999952</v>
      </c>
      <c r="M85" s="21">
        <f t="shared" si="6"/>
        <v>3.6000000000004917E-2</v>
      </c>
      <c r="N85">
        <f t="shared" si="7"/>
        <v>0.71499503475680071</v>
      </c>
    </row>
    <row r="86" spans="1:14" x14ac:dyDescent="0.2">
      <c r="A86">
        <v>20329</v>
      </c>
      <c r="B86" s="23">
        <f t="shared" si="4"/>
        <v>44159</v>
      </c>
      <c r="C86" t="s">
        <v>42</v>
      </c>
      <c r="D86">
        <v>18</v>
      </c>
      <c r="E86" t="s">
        <v>47</v>
      </c>
      <c r="F86" t="s">
        <v>39</v>
      </c>
      <c r="G86" s="22">
        <v>10</v>
      </c>
      <c r="H86">
        <v>1</v>
      </c>
      <c r="I86" s="21">
        <v>59.811</v>
      </c>
      <c r="J86" s="21">
        <v>5.0490000000000004</v>
      </c>
      <c r="K86" s="21">
        <v>64.742000000000004</v>
      </c>
      <c r="L86" s="21">
        <f t="shared" si="5"/>
        <v>4.9310000000000045</v>
      </c>
      <c r="M86" s="21">
        <f t="shared" si="6"/>
        <v>0.11799999999999589</v>
      </c>
      <c r="N86">
        <f t="shared" si="7"/>
        <v>2.3370964547434316</v>
      </c>
    </row>
    <row r="87" spans="1:14" x14ac:dyDescent="0.2">
      <c r="A87">
        <v>20329</v>
      </c>
      <c r="B87" s="23">
        <f t="shared" si="4"/>
        <v>44159</v>
      </c>
      <c r="C87" t="s">
        <v>42</v>
      </c>
      <c r="D87">
        <v>18</v>
      </c>
      <c r="E87" t="s">
        <v>47</v>
      </c>
      <c r="F87" t="s">
        <v>39</v>
      </c>
      <c r="G87" s="22">
        <v>10</v>
      </c>
      <c r="H87">
        <v>2</v>
      </c>
      <c r="I87" s="21">
        <v>63.082999999999998</v>
      </c>
      <c r="J87" s="21">
        <v>5.0599999999999996</v>
      </c>
      <c r="K87" s="21">
        <v>68.024000000000001</v>
      </c>
      <c r="L87" s="21">
        <f t="shared" si="5"/>
        <v>4.9410000000000025</v>
      </c>
      <c r="M87" s="21">
        <f t="shared" si="6"/>
        <v>0.11899999999999711</v>
      </c>
      <c r="N87">
        <f t="shared" si="7"/>
        <v>2.3517786561264251</v>
      </c>
    </row>
    <row r="88" spans="1:14" x14ac:dyDescent="0.2">
      <c r="A88">
        <v>20329</v>
      </c>
      <c r="B88" s="23">
        <f t="shared" si="4"/>
        <v>44159</v>
      </c>
      <c r="C88" t="s">
        <v>42</v>
      </c>
      <c r="D88">
        <v>18</v>
      </c>
      <c r="E88" t="s">
        <v>47</v>
      </c>
      <c r="F88" t="s">
        <v>39</v>
      </c>
      <c r="G88" s="22">
        <v>10</v>
      </c>
      <c r="H88">
        <v>3</v>
      </c>
      <c r="I88" s="21">
        <v>65.748999999999995</v>
      </c>
      <c r="J88" s="21">
        <v>5.0750000000000002</v>
      </c>
      <c r="K88" s="21">
        <v>70.700999999999993</v>
      </c>
      <c r="L88" s="21">
        <f t="shared" si="5"/>
        <v>4.9519999999999982</v>
      </c>
      <c r="M88" s="21">
        <f t="shared" si="6"/>
        <v>0.123000000000002</v>
      </c>
      <c r="N88">
        <f t="shared" si="7"/>
        <v>2.4236453201970836</v>
      </c>
    </row>
    <row r="89" spans="1:14" x14ac:dyDescent="0.2">
      <c r="A89">
        <v>20329</v>
      </c>
      <c r="B89" s="23">
        <f t="shared" si="4"/>
        <v>44159</v>
      </c>
      <c r="C89" t="s">
        <v>42</v>
      </c>
      <c r="D89">
        <v>18</v>
      </c>
      <c r="E89" t="s">
        <v>47</v>
      </c>
      <c r="F89" t="s">
        <v>39</v>
      </c>
      <c r="G89" s="22">
        <v>10</v>
      </c>
      <c r="H89">
        <v>4</v>
      </c>
      <c r="I89" s="21">
        <v>58.268000000000001</v>
      </c>
      <c r="J89" s="21">
        <v>5.0519999999999996</v>
      </c>
      <c r="K89" s="21">
        <v>63.191000000000003</v>
      </c>
      <c r="L89" s="21">
        <f t="shared" si="5"/>
        <v>4.9230000000000018</v>
      </c>
      <c r="M89" s="21">
        <f t="shared" si="6"/>
        <v>0.12899999999999778</v>
      </c>
      <c r="N89">
        <f t="shared" si="7"/>
        <v>2.5534441805225216</v>
      </c>
    </row>
    <row r="90" spans="1:14" x14ac:dyDescent="0.2">
      <c r="A90">
        <v>20329</v>
      </c>
      <c r="B90" s="23">
        <f t="shared" si="4"/>
        <v>44159</v>
      </c>
      <c r="C90" t="s">
        <v>42</v>
      </c>
      <c r="D90">
        <v>18</v>
      </c>
      <c r="E90" t="s">
        <v>47</v>
      </c>
      <c r="F90" t="s">
        <v>39</v>
      </c>
      <c r="G90" s="22">
        <v>20</v>
      </c>
      <c r="H90">
        <v>1</v>
      </c>
      <c r="I90" s="21">
        <v>62.734000000000002</v>
      </c>
      <c r="J90" s="21">
        <v>5.0019999999999998</v>
      </c>
      <c r="K90" s="21">
        <v>67.620999999999995</v>
      </c>
      <c r="L90" s="21">
        <f t="shared" si="5"/>
        <v>4.8869999999999933</v>
      </c>
      <c r="M90" s="21">
        <f t="shared" si="6"/>
        <v>0.11500000000000643</v>
      </c>
      <c r="N90">
        <f t="shared" si="7"/>
        <v>2.2990803678529876</v>
      </c>
    </row>
    <row r="91" spans="1:14" x14ac:dyDescent="0.2">
      <c r="A91">
        <v>20329</v>
      </c>
      <c r="B91" s="23">
        <f t="shared" si="4"/>
        <v>44159</v>
      </c>
      <c r="C91" t="s">
        <v>42</v>
      </c>
      <c r="D91">
        <v>18</v>
      </c>
      <c r="E91" t="s">
        <v>47</v>
      </c>
      <c r="F91" t="s">
        <v>39</v>
      </c>
      <c r="G91" s="22">
        <v>20</v>
      </c>
      <c r="H91">
        <v>2</v>
      </c>
      <c r="I91" s="21">
        <v>63.933</v>
      </c>
      <c r="J91" s="21">
        <v>5.0250000000000004</v>
      </c>
      <c r="K91" s="21">
        <v>68.832999999999998</v>
      </c>
      <c r="L91" s="21">
        <f t="shared" si="5"/>
        <v>4.8999999999999986</v>
      </c>
      <c r="M91" s="21">
        <f t="shared" si="6"/>
        <v>0.12500000000000178</v>
      </c>
      <c r="N91">
        <f t="shared" si="7"/>
        <v>2.4875621890547617</v>
      </c>
    </row>
    <row r="92" spans="1:14" x14ac:dyDescent="0.2">
      <c r="A92">
        <v>20329</v>
      </c>
      <c r="B92" s="23">
        <f t="shared" si="4"/>
        <v>44159</v>
      </c>
      <c r="C92" t="s">
        <v>42</v>
      </c>
      <c r="D92">
        <v>18</v>
      </c>
      <c r="E92" t="s">
        <v>47</v>
      </c>
      <c r="F92" t="s">
        <v>39</v>
      </c>
      <c r="G92" s="22">
        <v>20</v>
      </c>
      <c r="H92">
        <v>3</v>
      </c>
      <c r="I92" s="21">
        <v>64.872</v>
      </c>
      <c r="J92" s="21">
        <v>5.0460000000000003</v>
      </c>
      <c r="K92" s="21">
        <v>69.798000000000002</v>
      </c>
      <c r="L92" s="21">
        <f t="shared" si="5"/>
        <v>4.9260000000000019</v>
      </c>
      <c r="M92" s="21">
        <f t="shared" si="6"/>
        <v>0.11999999999999833</v>
      </c>
      <c r="N92">
        <f t="shared" si="7"/>
        <v>2.3781212841854602</v>
      </c>
    </row>
    <row r="93" spans="1:14" x14ac:dyDescent="0.2">
      <c r="A93">
        <v>20329</v>
      </c>
      <c r="B93" s="23">
        <f t="shared" si="4"/>
        <v>44159</v>
      </c>
      <c r="C93" t="s">
        <v>42</v>
      </c>
      <c r="D93">
        <v>18</v>
      </c>
      <c r="E93" t="s">
        <v>47</v>
      </c>
      <c r="F93" t="s">
        <v>39</v>
      </c>
      <c r="G93" s="22">
        <v>20</v>
      </c>
      <c r="H93">
        <v>4</v>
      </c>
      <c r="I93" s="21">
        <v>63.804000000000002</v>
      </c>
      <c r="J93" s="21">
        <v>5.1609999999999996</v>
      </c>
      <c r="K93" s="21">
        <v>68.834999999999994</v>
      </c>
      <c r="L93" s="21">
        <f t="shared" si="5"/>
        <v>5.0309999999999917</v>
      </c>
      <c r="M93" s="21">
        <f t="shared" si="6"/>
        <v>0.13000000000000789</v>
      </c>
      <c r="N93">
        <f t="shared" si="7"/>
        <v>2.5188916876575838</v>
      </c>
    </row>
    <row r="94" spans="1:14" x14ac:dyDescent="0.2">
      <c r="A94">
        <v>20329</v>
      </c>
      <c r="B94" s="23">
        <f t="shared" si="4"/>
        <v>44159</v>
      </c>
      <c r="C94" t="s">
        <v>42</v>
      </c>
      <c r="D94">
        <v>18</v>
      </c>
      <c r="E94" t="s">
        <v>47</v>
      </c>
      <c r="F94" t="s">
        <v>39</v>
      </c>
      <c r="G94" s="22">
        <v>30</v>
      </c>
      <c r="H94">
        <v>1</v>
      </c>
      <c r="I94" s="21">
        <v>64.483999999999995</v>
      </c>
      <c r="J94" s="21">
        <v>5.0869999999999997</v>
      </c>
      <c r="K94" s="21">
        <v>69.478999999999999</v>
      </c>
      <c r="L94" s="21">
        <f t="shared" si="5"/>
        <v>4.9950000000000045</v>
      </c>
      <c r="M94" s="21">
        <f t="shared" si="6"/>
        <v>9.1999999999995197E-2</v>
      </c>
      <c r="N94">
        <f t="shared" si="7"/>
        <v>1.8085315510122904</v>
      </c>
    </row>
    <row r="95" spans="1:14" x14ac:dyDescent="0.2">
      <c r="A95">
        <v>20329</v>
      </c>
      <c r="B95" s="23">
        <f t="shared" si="4"/>
        <v>44159</v>
      </c>
      <c r="C95" t="s">
        <v>42</v>
      </c>
      <c r="D95">
        <v>18</v>
      </c>
      <c r="E95" t="s">
        <v>47</v>
      </c>
      <c r="F95" t="s">
        <v>39</v>
      </c>
      <c r="G95" s="22">
        <v>30</v>
      </c>
      <c r="H95">
        <v>2</v>
      </c>
      <c r="I95" s="21">
        <v>68.066999999999993</v>
      </c>
      <c r="J95" s="21">
        <v>5.0220000000000002</v>
      </c>
      <c r="K95" s="21">
        <v>72.992000000000004</v>
      </c>
      <c r="L95" s="21">
        <f t="shared" si="5"/>
        <v>4.9250000000000114</v>
      </c>
      <c r="M95" s="21">
        <f t="shared" si="6"/>
        <v>9.6999999999988873E-2</v>
      </c>
      <c r="N95">
        <f t="shared" si="7"/>
        <v>1.9315013938667636</v>
      </c>
    </row>
    <row r="96" spans="1:14" x14ac:dyDescent="0.2">
      <c r="A96">
        <v>20329</v>
      </c>
      <c r="B96" s="23">
        <f t="shared" si="4"/>
        <v>44159</v>
      </c>
      <c r="C96" t="s">
        <v>42</v>
      </c>
      <c r="D96">
        <v>18</v>
      </c>
      <c r="E96" t="s">
        <v>47</v>
      </c>
      <c r="F96" t="s">
        <v>39</v>
      </c>
      <c r="G96" s="22">
        <v>30</v>
      </c>
      <c r="H96">
        <v>3</v>
      </c>
      <c r="I96" s="21">
        <v>65.316999999999993</v>
      </c>
      <c r="J96" s="21">
        <v>5.0970000000000004</v>
      </c>
      <c r="K96" s="21">
        <v>70.308000000000007</v>
      </c>
      <c r="L96" s="21">
        <f t="shared" si="5"/>
        <v>4.9910000000000139</v>
      </c>
      <c r="M96" s="21">
        <f t="shared" si="6"/>
        <v>0.10599999999998655</v>
      </c>
      <c r="N96">
        <f t="shared" si="7"/>
        <v>2.0796546988421922</v>
      </c>
    </row>
    <row r="97" spans="1:14" x14ac:dyDescent="0.2">
      <c r="A97">
        <v>20329</v>
      </c>
      <c r="B97" s="23">
        <f t="shared" si="4"/>
        <v>44159</v>
      </c>
      <c r="C97" t="s">
        <v>42</v>
      </c>
      <c r="D97">
        <v>18</v>
      </c>
      <c r="E97" t="s">
        <v>47</v>
      </c>
      <c r="F97" t="s">
        <v>39</v>
      </c>
      <c r="G97" s="22">
        <v>30</v>
      </c>
      <c r="H97">
        <v>4</v>
      </c>
      <c r="I97" s="21">
        <v>62.198999999999998</v>
      </c>
      <c r="J97" s="21">
        <v>5.0209999999999999</v>
      </c>
      <c r="K97" s="21">
        <v>67.111000000000004</v>
      </c>
      <c r="L97" s="21">
        <f t="shared" si="5"/>
        <v>4.9120000000000061</v>
      </c>
      <c r="M97" s="21">
        <f t="shared" si="6"/>
        <v>0.10899999999999377</v>
      </c>
      <c r="N97">
        <f t="shared" si="7"/>
        <v>2.1708822943635484</v>
      </c>
    </row>
    <row r="98" spans="1:14" x14ac:dyDescent="0.2">
      <c r="A98">
        <v>20329</v>
      </c>
      <c r="B98" s="23">
        <f t="shared" si="4"/>
        <v>44159</v>
      </c>
      <c r="C98" t="s">
        <v>42</v>
      </c>
      <c r="D98">
        <v>18</v>
      </c>
      <c r="E98" t="s">
        <v>47</v>
      </c>
      <c r="F98" t="s">
        <v>39</v>
      </c>
      <c r="G98" s="22">
        <v>40</v>
      </c>
      <c r="H98">
        <v>1</v>
      </c>
      <c r="I98" s="21">
        <v>68.066000000000003</v>
      </c>
      <c r="J98" s="21">
        <v>5.016</v>
      </c>
      <c r="K98" s="21">
        <v>72.989999999999995</v>
      </c>
      <c r="L98" s="21">
        <f t="shared" si="5"/>
        <v>4.9239999999999924</v>
      </c>
      <c r="M98" s="21">
        <f t="shared" si="6"/>
        <v>9.2000000000007631E-2</v>
      </c>
      <c r="N98">
        <f t="shared" si="7"/>
        <v>1.8341307814993546</v>
      </c>
    </row>
    <row r="99" spans="1:14" x14ac:dyDescent="0.2">
      <c r="A99">
        <v>20329</v>
      </c>
      <c r="B99" s="23">
        <f t="shared" si="4"/>
        <v>44159</v>
      </c>
      <c r="C99" t="s">
        <v>42</v>
      </c>
      <c r="D99">
        <v>18</v>
      </c>
      <c r="E99" t="s">
        <v>47</v>
      </c>
      <c r="F99" t="s">
        <v>39</v>
      </c>
      <c r="G99" s="22">
        <v>40</v>
      </c>
      <c r="H99">
        <v>2</v>
      </c>
      <c r="I99" s="21">
        <v>65.75</v>
      </c>
      <c r="J99" s="21">
        <v>5.0259999999999998</v>
      </c>
      <c r="K99" s="21">
        <v>70.679000000000002</v>
      </c>
      <c r="L99" s="21">
        <f t="shared" si="5"/>
        <v>4.929000000000002</v>
      </c>
      <c r="M99" s="21">
        <f t="shared" si="6"/>
        <v>9.6999999999997755E-2</v>
      </c>
      <c r="N99">
        <f t="shared" si="7"/>
        <v>1.9299641862315511</v>
      </c>
    </row>
    <row r="100" spans="1:14" x14ac:dyDescent="0.2">
      <c r="A100">
        <v>20329</v>
      </c>
      <c r="B100" s="23">
        <f t="shared" si="4"/>
        <v>44159</v>
      </c>
      <c r="C100" t="s">
        <v>42</v>
      </c>
      <c r="D100">
        <v>18</v>
      </c>
      <c r="E100" t="s">
        <v>47</v>
      </c>
      <c r="F100" t="s">
        <v>39</v>
      </c>
      <c r="G100" s="22">
        <v>40</v>
      </c>
      <c r="H100">
        <v>3</v>
      </c>
      <c r="I100" s="21">
        <v>63.932000000000002</v>
      </c>
      <c r="J100" s="21">
        <v>5.0190000000000001</v>
      </c>
      <c r="K100" s="21">
        <v>68.853999999999999</v>
      </c>
      <c r="L100" s="21">
        <f t="shared" si="5"/>
        <v>4.921999999999997</v>
      </c>
      <c r="M100" s="21">
        <f t="shared" si="6"/>
        <v>9.7000000000003084E-2</v>
      </c>
      <c r="N100">
        <f t="shared" si="7"/>
        <v>1.9326559075513665</v>
      </c>
    </row>
    <row r="101" spans="1:14" x14ac:dyDescent="0.2">
      <c r="A101">
        <v>20329</v>
      </c>
      <c r="B101" s="23">
        <f t="shared" si="4"/>
        <v>44159</v>
      </c>
      <c r="C101" t="s">
        <v>42</v>
      </c>
      <c r="D101">
        <v>18</v>
      </c>
      <c r="E101" t="s">
        <v>47</v>
      </c>
      <c r="F101" t="s">
        <v>39</v>
      </c>
      <c r="G101" s="22">
        <v>40</v>
      </c>
      <c r="H101">
        <v>4</v>
      </c>
      <c r="I101" s="21">
        <v>64.483999999999995</v>
      </c>
      <c r="J101" s="21">
        <v>5.0549999999999997</v>
      </c>
      <c r="K101" s="21">
        <v>69.438999999999993</v>
      </c>
      <c r="L101" s="21">
        <f t="shared" si="5"/>
        <v>4.9549999999999983</v>
      </c>
      <c r="M101" s="21">
        <f t="shared" si="6"/>
        <v>0.10000000000000142</v>
      </c>
      <c r="N101">
        <f t="shared" si="7"/>
        <v>1.9782393669634308</v>
      </c>
    </row>
    <row r="102" spans="1:14" x14ac:dyDescent="0.2">
      <c r="A102">
        <v>20329</v>
      </c>
      <c r="B102" s="23">
        <f t="shared" si="4"/>
        <v>44159</v>
      </c>
      <c r="C102" t="s">
        <v>42</v>
      </c>
      <c r="D102">
        <v>18</v>
      </c>
      <c r="E102" t="s">
        <v>47</v>
      </c>
      <c r="F102" t="s">
        <v>39</v>
      </c>
      <c r="G102" s="22">
        <v>50</v>
      </c>
      <c r="H102">
        <v>1</v>
      </c>
      <c r="I102" s="21">
        <v>63.802999999999997</v>
      </c>
      <c r="J102" s="21">
        <v>5.016</v>
      </c>
      <c r="K102" s="21">
        <v>68.733999999999995</v>
      </c>
      <c r="L102" s="21">
        <f t="shared" si="5"/>
        <v>4.9309999999999974</v>
      </c>
      <c r="M102" s="21">
        <f t="shared" si="6"/>
        <v>8.5000000000002629E-2</v>
      </c>
      <c r="N102">
        <f t="shared" si="7"/>
        <v>1.6945773524721417</v>
      </c>
    </row>
    <row r="103" spans="1:14" x14ac:dyDescent="0.2">
      <c r="A103">
        <v>20329</v>
      </c>
      <c r="B103" s="23">
        <f t="shared" si="4"/>
        <v>44159</v>
      </c>
      <c r="C103" t="s">
        <v>42</v>
      </c>
      <c r="D103">
        <v>18</v>
      </c>
      <c r="E103" t="s">
        <v>47</v>
      </c>
      <c r="F103" t="s">
        <v>39</v>
      </c>
      <c r="G103" s="22">
        <v>50</v>
      </c>
      <c r="H103">
        <v>2</v>
      </c>
      <c r="I103" s="21">
        <v>62.734000000000002</v>
      </c>
      <c r="J103" s="21">
        <v>5.0149999999999997</v>
      </c>
      <c r="K103" s="21">
        <v>67.661000000000001</v>
      </c>
      <c r="L103" s="21">
        <f t="shared" si="5"/>
        <v>4.9269999999999996</v>
      </c>
      <c r="M103" s="21">
        <f t="shared" si="6"/>
        <v>8.8000000000000078E-2</v>
      </c>
      <c r="N103">
        <f t="shared" si="7"/>
        <v>1.7547357926221352</v>
      </c>
    </row>
    <row r="104" spans="1:14" x14ac:dyDescent="0.2">
      <c r="A104">
        <v>20329</v>
      </c>
      <c r="B104" s="23">
        <f t="shared" si="4"/>
        <v>44159</v>
      </c>
      <c r="C104" t="s">
        <v>42</v>
      </c>
      <c r="D104">
        <v>18</v>
      </c>
      <c r="E104" t="s">
        <v>47</v>
      </c>
      <c r="F104" t="s">
        <v>39</v>
      </c>
      <c r="G104" s="22">
        <v>50</v>
      </c>
      <c r="H104">
        <v>3</v>
      </c>
      <c r="I104" s="21">
        <v>65.317999999999998</v>
      </c>
      <c r="J104" s="21">
        <v>5.0410000000000004</v>
      </c>
      <c r="K104" s="21">
        <v>70.271000000000001</v>
      </c>
      <c r="L104" s="21">
        <f t="shared" si="5"/>
        <v>4.953000000000003</v>
      </c>
      <c r="M104" s="21">
        <f t="shared" si="6"/>
        <v>8.7999999999997414E-2</v>
      </c>
      <c r="N104">
        <f t="shared" si="7"/>
        <v>1.7456853798848919</v>
      </c>
    </row>
    <row r="105" spans="1:14" x14ac:dyDescent="0.2">
      <c r="A105">
        <v>20329</v>
      </c>
      <c r="B105" s="23">
        <f t="shared" si="4"/>
        <v>44159</v>
      </c>
      <c r="C105" t="s">
        <v>42</v>
      </c>
      <c r="D105">
        <v>18</v>
      </c>
      <c r="E105" t="s">
        <v>47</v>
      </c>
      <c r="F105" t="s">
        <v>39</v>
      </c>
      <c r="G105" s="22">
        <v>50</v>
      </c>
      <c r="H105">
        <v>4</v>
      </c>
      <c r="I105" s="21">
        <v>62.198</v>
      </c>
      <c r="J105" s="21">
        <v>5.0039999999999996</v>
      </c>
      <c r="K105" s="21">
        <v>67.111999999999995</v>
      </c>
      <c r="L105" s="21">
        <f t="shared" si="5"/>
        <v>4.9139999999999944</v>
      </c>
      <c r="M105" s="21">
        <f t="shared" si="6"/>
        <v>9.0000000000005187E-2</v>
      </c>
      <c r="N105">
        <f t="shared" si="7"/>
        <v>1.7985611510792403</v>
      </c>
    </row>
    <row r="106" spans="1:14" x14ac:dyDescent="0.2">
      <c r="A106">
        <v>20329</v>
      </c>
      <c r="B106" s="23">
        <f t="shared" si="4"/>
        <v>44159</v>
      </c>
      <c r="C106" t="s">
        <v>42</v>
      </c>
      <c r="D106">
        <v>18</v>
      </c>
      <c r="E106" t="s">
        <v>47</v>
      </c>
      <c r="F106" t="s">
        <v>39</v>
      </c>
      <c r="G106" s="22">
        <v>60</v>
      </c>
      <c r="H106">
        <v>1</v>
      </c>
      <c r="I106" s="21">
        <v>62.732999999999997</v>
      </c>
      <c r="J106" s="21">
        <v>5.0209999999999999</v>
      </c>
      <c r="K106" s="21">
        <v>67.673000000000002</v>
      </c>
      <c r="L106" s="21">
        <f t="shared" si="5"/>
        <v>4.9400000000000048</v>
      </c>
      <c r="M106" s="21">
        <f t="shared" si="6"/>
        <v>8.0999999999995076E-2</v>
      </c>
      <c r="N106">
        <f t="shared" si="7"/>
        <v>1.6132244572793282</v>
      </c>
    </row>
    <row r="107" spans="1:14" x14ac:dyDescent="0.2">
      <c r="A107">
        <v>20329</v>
      </c>
      <c r="B107" s="23">
        <f t="shared" si="4"/>
        <v>44159</v>
      </c>
      <c r="C107" t="s">
        <v>42</v>
      </c>
      <c r="D107">
        <v>18</v>
      </c>
      <c r="E107" t="s">
        <v>47</v>
      </c>
      <c r="F107" t="s">
        <v>39</v>
      </c>
      <c r="G107" s="22">
        <v>60</v>
      </c>
      <c r="H107">
        <v>2</v>
      </c>
      <c r="I107" s="21">
        <v>68.066000000000003</v>
      </c>
      <c r="J107" s="21">
        <v>5.0199999999999996</v>
      </c>
      <c r="K107" s="21">
        <v>73.006</v>
      </c>
      <c r="L107" s="21">
        <f t="shared" si="5"/>
        <v>4.9399999999999977</v>
      </c>
      <c r="M107" s="21">
        <f t="shared" si="6"/>
        <v>8.0000000000001847E-2</v>
      </c>
      <c r="N107">
        <f t="shared" si="7"/>
        <v>1.5936254980080051</v>
      </c>
    </row>
    <row r="108" spans="1:14" x14ac:dyDescent="0.2">
      <c r="A108">
        <v>20329</v>
      </c>
      <c r="B108" s="23">
        <f t="shared" si="4"/>
        <v>44159</v>
      </c>
      <c r="C108" t="s">
        <v>42</v>
      </c>
      <c r="D108">
        <v>18</v>
      </c>
      <c r="E108" t="s">
        <v>47</v>
      </c>
      <c r="F108" t="s">
        <v>39</v>
      </c>
      <c r="G108" s="22">
        <v>60</v>
      </c>
      <c r="H108">
        <v>3</v>
      </c>
      <c r="I108" s="21">
        <v>62.198</v>
      </c>
      <c r="J108" s="21">
        <v>5.0209999999999999</v>
      </c>
      <c r="K108" s="21">
        <v>67.135999999999996</v>
      </c>
      <c r="L108" s="21">
        <f t="shared" si="5"/>
        <v>4.9379999999999953</v>
      </c>
      <c r="M108" s="21">
        <f t="shared" si="6"/>
        <v>8.3000000000004626E-2</v>
      </c>
      <c r="N108">
        <f t="shared" si="7"/>
        <v>1.6530571599283932</v>
      </c>
    </row>
    <row r="109" spans="1:14" x14ac:dyDescent="0.2">
      <c r="A109">
        <v>20329</v>
      </c>
      <c r="B109" s="23">
        <f t="shared" si="4"/>
        <v>44159</v>
      </c>
      <c r="C109" t="s">
        <v>42</v>
      </c>
      <c r="D109">
        <v>18</v>
      </c>
      <c r="E109" t="s">
        <v>47</v>
      </c>
      <c r="F109" t="s">
        <v>39</v>
      </c>
      <c r="G109" s="22">
        <v>60</v>
      </c>
      <c r="H109">
        <v>4</v>
      </c>
      <c r="I109" s="21">
        <v>58.267000000000003</v>
      </c>
      <c r="J109" s="21">
        <v>5.0129999999999999</v>
      </c>
      <c r="K109" s="21">
        <v>63.197000000000003</v>
      </c>
      <c r="L109" s="21">
        <f t="shared" si="5"/>
        <v>4.93</v>
      </c>
      <c r="M109" s="21">
        <f t="shared" si="6"/>
        <v>8.3000000000000185E-2</v>
      </c>
      <c r="N109">
        <f t="shared" si="7"/>
        <v>1.6556951924995049</v>
      </c>
    </row>
    <row r="110" spans="1:14" x14ac:dyDescent="0.2">
      <c r="A110">
        <v>20329</v>
      </c>
      <c r="B110" s="23">
        <f t="shared" si="4"/>
        <v>44159</v>
      </c>
      <c r="C110" t="s">
        <v>42</v>
      </c>
      <c r="D110">
        <v>18</v>
      </c>
      <c r="E110" t="s">
        <v>47</v>
      </c>
      <c r="F110" t="s">
        <v>39</v>
      </c>
      <c r="G110" s="22">
        <v>70</v>
      </c>
      <c r="H110">
        <v>1</v>
      </c>
      <c r="I110" s="21">
        <v>63.932000000000002</v>
      </c>
      <c r="J110" s="21">
        <v>5.0039999999999996</v>
      </c>
      <c r="K110" s="21">
        <v>68.867999999999995</v>
      </c>
      <c r="L110" s="21">
        <f t="shared" si="5"/>
        <v>4.9359999999999928</v>
      </c>
      <c r="M110" s="21">
        <f t="shared" si="6"/>
        <v>6.8000000000006722E-2</v>
      </c>
      <c r="N110">
        <f t="shared" si="7"/>
        <v>1.3589128697043711</v>
      </c>
    </row>
    <row r="111" spans="1:14" x14ac:dyDescent="0.2">
      <c r="A111">
        <v>20329</v>
      </c>
      <c r="B111" s="23">
        <f t="shared" si="4"/>
        <v>44159</v>
      </c>
      <c r="C111" t="s">
        <v>42</v>
      </c>
      <c r="D111">
        <v>18</v>
      </c>
      <c r="E111" t="s">
        <v>47</v>
      </c>
      <c r="F111" t="s">
        <v>39</v>
      </c>
      <c r="G111" s="22">
        <v>70</v>
      </c>
      <c r="H111">
        <v>2</v>
      </c>
      <c r="I111" s="21">
        <v>63.802999999999997</v>
      </c>
      <c r="J111" s="21">
        <v>5.0529999999999999</v>
      </c>
      <c r="K111" s="21">
        <v>68.790999999999997</v>
      </c>
      <c r="L111" s="21">
        <f t="shared" si="5"/>
        <v>4.9879999999999995</v>
      </c>
      <c r="M111" s="21">
        <f t="shared" si="6"/>
        <v>6.5000000000000391E-2</v>
      </c>
      <c r="N111">
        <f t="shared" si="7"/>
        <v>1.2863645359192635</v>
      </c>
    </row>
    <row r="112" spans="1:14" x14ac:dyDescent="0.2">
      <c r="A112">
        <v>20329</v>
      </c>
      <c r="B112" s="23">
        <f t="shared" si="4"/>
        <v>44159</v>
      </c>
      <c r="C112" t="s">
        <v>42</v>
      </c>
      <c r="D112">
        <v>18</v>
      </c>
      <c r="E112" t="s">
        <v>47</v>
      </c>
      <c r="F112" t="s">
        <v>39</v>
      </c>
      <c r="G112" s="22">
        <v>70</v>
      </c>
      <c r="H112">
        <v>3</v>
      </c>
      <c r="I112" s="21">
        <v>65.316999999999993</v>
      </c>
      <c r="J112" s="21">
        <v>5.05</v>
      </c>
      <c r="K112" s="21">
        <v>70.299000000000007</v>
      </c>
      <c r="L112" s="21">
        <f t="shared" si="5"/>
        <v>4.9820000000000135</v>
      </c>
      <c r="M112" s="21">
        <f t="shared" si="6"/>
        <v>6.7999999999986294E-2</v>
      </c>
      <c r="N112">
        <f t="shared" si="7"/>
        <v>1.3465346534650753</v>
      </c>
    </row>
    <row r="113" spans="1:14" x14ac:dyDescent="0.2">
      <c r="A113">
        <v>20329</v>
      </c>
      <c r="B113" s="23">
        <f t="shared" si="4"/>
        <v>44159</v>
      </c>
      <c r="C113" t="s">
        <v>42</v>
      </c>
      <c r="D113">
        <v>18</v>
      </c>
      <c r="E113" t="s">
        <v>47</v>
      </c>
      <c r="F113" t="s">
        <v>39</v>
      </c>
      <c r="G113" s="22">
        <v>70</v>
      </c>
      <c r="H113">
        <v>4</v>
      </c>
      <c r="I113" s="21">
        <v>64.483999999999995</v>
      </c>
      <c r="J113" s="21">
        <v>5.0339999999999998</v>
      </c>
      <c r="K113" s="21">
        <v>69.45</v>
      </c>
      <c r="L113" s="21">
        <f t="shared" si="5"/>
        <v>4.9660000000000082</v>
      </c>
      <c r="M113" s="21">
        <f t="shared" si="6"/>
        <v>6.7999999999991623E-2</v>
      </c>
      <c r="N113">
        <f t="shared" si="7"/>
        <v>1.3508144616605409</v>
      </c>
    </row>
    <row r="114" spans="1:14" x14ac:dyDescent="0.2">
      <c r="A114">
        <v>20329</v>
      </c>
      <c r="B114" s="23">
        <f t="shared" si="4"/>
        <v>44159</v>
      </c>
      <c r="C114" t="s">
        <v>42</v>
      </c>
      <c r="D114">
        <v>18</v>
      </c>
      <c r="E114" t="s">
        <v>47</v>
      </c>
      <c r="F114" t="s">
        <v>39</v>
      </c>
      <c r="G114" s="22">
        <v>80</v>
      </c>
      <c r="H114">
        <v>1</v>
      </c>
      <c r="I114" s="21">
        <v>63.081000000000003</v>
      </c>
      <c r="J114" s="21">
        <v>5.0060000000000002</v>
      </c>
      <c r="K114" s="21">
        <v>68.031000000000006</v>
      </c>
      <c r="L114" s="21">
        <f t="shared" si="5"/>
        <v>4.9500000000000028</v>
      </c>
      <c r="M114" s="21">
        <f t="shared" si="6"/>
        <v>5.5999999999997385E-2</v>
      </c>
      <c r="N114">
        <f t="shared" si="7"/>
        <v>1.1186576108669073</v>
      </c>
    </row>
    <row r="115" spans="1:14" x14ac:dyDescent="0.2">
      <c r="A115">
        <v>20329</v>
      </c>
      <c r="B115" s="23">
        <f t="shared" si="4"/>
        <v>44159</v>
      </c>
      <c r="C115" t="s">
        <v>42</v>
      </c>
      <c r="D115">
        <v>18</v>
      </c>
      <c r="E115" t="s">
        <v>47</v>
      </c>
      <c r="F115" t="s">
        <v>39</v>
      </c>
      <c r="G115" s="22">
        <v>80</v>
      </c>
      <c r="H115">
        <v>2</v>
      </c>
      <c r="I115" s="21">
        <v>59.81</v>
      </c>
      <c r="J115" s="21">
        <v>5.0220000000000002</v>
      </c>
      <c r="K115" s="21">
        <v>64.771000000000001</v>
      </c>
      <c r="L115" s="21">
        <f t="shared" si="5"/>
        <v>4.9609999999999985</v>
      </c>
      <c r="M115" s="21">
        <f t="shared" si="6"/>
        <v>6.100000000000172E-2</v>
      </c>
      <c r="N115">
        <f t="shared" si="7"/>
        <v>1.2146555157308188</v>
      </c>
    </row>
    <row r="116" spans="1:14" x14ac:dyDescent="0.2">
      <c r="A116">
        <v>20329</v>
      </c>
      <c r="B116" s="23">
        <f t="shared" si="4"/>
        <v>44159</v>
      </c>
      <c r="C116" t="s">
        <v>42</v>
      </c>
      <c r="D116">
        <v>18</v>
      </c>
      <c r="E116" t="s">
        <v>47</v>
      </c>
      <c r="F116" t="s">
        <v>39</v>
      </c>
      <c r="G116" s="22">
        <v>80</v>
      </c>
      <c r="H116">
        <v>3</v>
      </c>
      <c r="I116" s="21">
        <v>65.748999999999995</v>
      </c>
      <c r="J116" s="21">
        <v>5.0229999999999997</v>
      </c>
      <c r="K116" s="21">
        <v>70.710999999999999</v>
      </c>
      <c r="L116" s="21">
        <f t="shared" si="5"/>
        <v>4.9620000000000033</v>
      </c>
      <c r="M116" s="21">
        <f t="shared" si="6"/>
        <v>6.099999999999639E-2</v>
      </c>
      <c r="N116">
        <f t="shared" si="7"/>
        <v>1.2144136969937567</v>
      </c>
    </row>
    <row r="117" spans="1:14" x14ac:dyDescent="0.2">
      <c r="A117">
        <v>20329</v>
      </c>
      <c r="B117" s="23">
        <f t="shared" si="4"/>
        <v>44159</v>
      </c>
      <c r="C117" t="s">
        <v>42</v>
      </c>
      <c r="D117">
        <v>18</v>
      </c>
      <c r="E117" t="s">
        <v>47</v>
      </c>
      <c r="F117" t="s">
        <v>39</v>
      </c>
      <c r="G117" s="22">
        <v>80</v>
      </c>
      <c r="H117">
        <v>4</v>
      </c>
      <c r="I117" s="21">
        <v>64.872</v>
      </c>
      <c r="J117" s="21">
        <v>5.0670000000000002</v>
      </c>
      <c r="K117" s="21">
        <v>69.873000000000005</v>
      </c>
      <c r="L117" s="21">
        <f t="shared" si="5"/>
        <v>5.0010000000000048</v>
      </c>
      <c r="M117" s="21">
        <f t="shared" si="6"/>
        <v>6.5999999999995396E-2</v>
      </c>
      <c r="N117">
        <f t="shared" si="7"/>
        <v>1.3025458851390446</v>
      </c>
    </row>
    <row r="118" spans="1:14" x14ac:dyDescent="0.2">
      <c r="A118">
        <v>20329</v>
      </c>
      <c r="B118" s="23">
        <f t="shared" si="4"/>
        <v>44159</v>
      </c>
      <c r="C118" t="s">
        <v>42</v>
      </c>
      <c r="D118">
        <v>18</v>
      </c>
      <c r="E118" t="s">
        <v>47</v>
      </c>
      <c r="F118" t="s">
        <v>39</v>
      </c>
      <c r="G118" s="22">
        <v>90</v>
      </c>
      <c r="H118">
        <v>1</v>
      </c>
      <c r="I118" s="21">
        <v>63.933</v>
      </c>
      <c r="J118" s="21">
        <v>5.0880000000000001</v>
      </c>
      <c r="K118" s="21">
        <v>68.968000000000004</v>
      </c>
      <c r="L118" s="21">
        <f t="shared" si="5"/>
        <v>5.0350000000000037</v>
      </c>
      <c r="M118" s="21">
        <f t="shared" si="6"/>
        <v>5.2999999999996383E-2</v>
      </c>
      <c r="N118">
        <f t="shared" si="7"/>
        <v>1.0416666666665955</v>
      </c>
    </row>
    <row r="119" spans="1:14" x14ac:dyDescent="0.2">
      <c r="A119">
        <v>20329</v>
      </c>
      <c r="B119" s="23">
        <f t="shared" si="4"/>
        <v>44159</v>
      </c>
      <c r="C119" t="s">
        <v>42</v>
      </c>
      <c r="D119">
        <v>18</v>
      </c>
      <c r="E119" t="s">
        <v>47</v>
      </c>
      <c r="F119" t="s">
        <v>39</v>
      </c>
      <c r="G119" s="22">
        <v>90</v>
      </c>
      <c r="H119">
        <v>2</v>
      </c>
      <c r="I119" s="21">
        <v>65.317999999999998</v>
      </c>
      <c r="J119" s="21">
        <v>5.0149999999999997</v>
      </c>
      <c r="K119" s="21">
        <v>70.278999999999996</v>
      </c>
      <c r="L119" s="21">
        <f t="shared" si="5"/>
        <v>4.9609999999999985</v>
      </c>
      <c r="M119" s="21">
        <f t="shared" si="6"/>
        <v>5.4000000000001158E-2</v>
      </c>
      <c r="N119">
        <f t="shared" si="7"/>
        <v>1.0767696909272415</v>
      </c>
    </row>
    <row r="120" spans="1:14" x14ac:dyDescent="0.2">
      <c r="A120">
        <v>20329</v>
      </c>
      <c r="B120" s="23">
        <f t="shared" si="4"/>
        <v>44159</v>
      </c>
      <c r="C120" t="s">
        <v>42</v>
      </c>
      <c r="D120">
        <v>18</v>
      </c>
      <c r="E120" t="s">
        <v>47</v>
      </c>
      <c r="F120" t="s">
        <v>39</v>
      </c>
      <c r="G120" s="22">
        <v>90</v>
      </c>
      <c r="H120">
        <v>3</v>
      </c>
      <c r="I120" s="21">
        <v>62.734000000000002</v>
      </c>
      <c r="J120" s="21">
        <v>5.0789999999999997</v>
      </c>
      <c r="K120" s="21">
        <v>67.762</v>
      </c>
      <c r="L120" s="21">
        <f t="shared" si="5"/>
        <v>5.0279999999999987</v>
      </c>
      <c r="M120" s="21">
        <f t="shared" si="6"/>
        <v>5.1000000000001044E-2</v>
      </c>
      <c r="N120">
        <f t="shared" si="7"/>
        <v>1.0041346721795834</v>
      </c>
    </row>
    <row r="121" spans="1:14" x14ac:dyDescent="0.2">
      <c r="A121">
        <v>20329</v>
      </c>
      <c r="B121" s="23">
        <f t="shared" si="4"/>
        <v>44159</v>
      </c>
      <c r="C121" t="s">
        <v>42</v>
      </c>
      <c r="D121">
        <v>18</v>
      </c>
      <c r="E121" t="s">
        <v>47</v>
      </c>
      <c r="F121" t="s">
        <v>39</v>
      </c>
      <c r="G121" s="22">
        <v>90</v>
      </c>
      <c r="H121">
        <v>4</v>
      </c>
      <c r="I121" s="21">
        <v>64.872</v>
      </c>
      <c r="J121" s="21">
        <v>5.0609999999999999</v>
      </c>
      <c r="K121" s="21">
        <v>69.876999999999995</v>
      </c>
      <c r="L121" s="21">
        <f t="shared" si="5"/>
        <v>5.0049999999999955</v>
      </c>
      <c r="M121" s="21">
        <f t="shared" si="6"/>
        <v>5.6000000000004491E-2</v>
      </c>
      <c r="N121">
        <f t="shared" si="7"/>
        <v>1.1065006915630209</v>
      </c>
    </row>
    <row r="122" spans="1:14" x14ac:dyDescent="0.2">
      <c r="A122">
        <v>20329</v>
      </c>
      <c r="B122" s="23">
        <f t="shared" si="4"/>
        <v>44159</v>
      </c>
      <c r="C122" t="s">
        <v>42</v>
      </c>
      <c r="D122">
        <v>18</v>
      </c>
      <c r="E122" t="s">
        <v>47</v>
      </c>
      <c r="F122" t="s">
        <v>39</v>
      </c>
      <c r="G122" s="22">
        <v>100</v>
      </c>
      <c r="H122">
        <v>1</v>
      </c>
      <c r="I122" s="21">
        <v>68.066000000000003</v>
      </c>
      <c r="J122" s="21">
        <v>5.0869999999999997</v>
      </c>
      <c r="K122" s="21">
        <v>73.102999999999994</v>
      </c>
      <c r="L122" s="21">
        <f t="shared" si="5"/>
        <v>5.0369999999999919</v>
      </c>
      <c r="M122" s="21">
        <f t="shared" si="6"/>
        <v>5.0000000000007816E-2</v>
      </c>
      <c r="N122">
        <f t="shared" si="7"/>
        <v>0.98289758207210176</v>
      </c>
    </row>
    <row r="123" spans="1:14" x14ac:dyDescent="0.2">
      <c r="A123">
        <v>20329</v>
      </c>
      <c r="B123" s="23">
        <f t="shared" si="4"/>
        <v>44159</v>
      </c>
      <c r="C123" t="s">
        <v>42</v>
      </c>
      <c r="D123">
        <v>18</v>
      </c>
      <c r="E123" t="s">
        <v>47</v>
      </c>
      <c r="F123" t="s">
        <v>39</v>
      </c>
      <c r="G123" s="22">
        <v>100</v>
      </c>
      <c r="H123">
        <v>2</v>
      </c>
      <c r="I123" s="21">
        <v>63.802999999999997</v>
      </c>
      <c r="J123" s="21">
        <v>5.0179999999999998</v>
      </c>
      <c r="K123" s="21">
        <v>68.771000000000001</v>
      </c>
      <c r="L123" s="21">
        <f t="shared" si="5"/>
        <v>4.9680000000000035</v>
      </c>
      <c r="M123" s="21">
        <f t="shared" si="6"/>
        <v>4.999999999999627E-2</v>
      </c>
      <c r="N123">
        <f t="shared" si="7"/>
        <v>0.9964129135112848</v>
      </c>
    </row>
    <row r="124" spans="1:14" x14ac:dyDescent="0.2">
      <c r="A124">
        <v>20329</v>
      </c>
      <c r="B124" s="23">
        <f t="shared" si="4"/>
        <v>44159</v>
      </c>
      <c r="C124" t="s">
        <v>42</v>
      </c>
      <c r="D124">
        <v>18</v>
      </c>
      <c r="E124" t="s">
        <v>47</v>
      </c>
      <c r="F124" t="s">
        <v>39</v>
      </c>
      <c r="G124" s="22">
        <v>100</v>
      </c>
      <c r="H124">
        <v>3</v>
      </c>
      <c r="I124" s="21">
        <v>64.483999999999995</v>
      </c>
      <c r="J124" s="21">
        <v>5.0350000000000001</v>
      </c>
      <c r="K124" s="21">
        <v>69.474000000000004</v>
      </c>
      <c r="L124" s="21">
        <f t="shared" si="5"/>
        <v>4.9900000000000091</v>
      </c>
      <c r="M124" s="21">
        <f t="shared" si="6"/>
        <v>4.4999999999991047E-2</v>
      </c>
      <c r="N124">
        <f t="shared" si="7"/>
        <v>0.89374379344570098</v>
      </c>
    </row>
    <row r="125" spans="1:14" x14ac:dyDescent="0.2">
      <c r="A125">
        <v>20329</v>
      </c>
      <c r="B125" s="23">
        <f t="shared" si="4"/>
        <v>44159</v>
      </c>
      <c r="C125" t="s">
        <v>42</v>
      </c>
      <c r="D125">
        <v>18</v>
      </c>
      <c r="E125" t="s">
        <v>47</v>
      </c>
      <c r="F125" t="s">
        <v>39</v>
      </c>
      <c r="G125" s="22">
        <v>100</v>
      </c>
      <c r="H125">
        <v>4</v>
      </c>
      <c r="I125" s="21">
        <v>63.082000000000001</v>
      </c>
      <c r="J125" s="21">
        <v>5.04</v>
      </c>
      <c r="K125" s="21">
        <v>68.075999999999993</v>
      </c>
      <c r="L125" s="21">
        <f t="shared" si="5"/>
        <v>4.9939999999999927</v>
      </c>
      <c r="M125" s="21">
        <f t="shared" si="6"/>
        <v>4.6000000000007368E-2</v>
      </c>
      <c r="N125">
        <f t="shared" si="7"/>
        <v>0.91269841269855878</v>
      </c>
    </row>
    <row r="126" spans="1:14" x14ac:dyDescent="0.2">
      <c r="A126">
        <v>20329</v>
      </c>
      <c r="B126" s="23">
        <f t="shared" si="4"/>
        <v>44159</v>
      </c>
      <c r="C126" t="s">
        <v>42</v>
      </c>
      <c r="D126">
        <v>18</v>
      </c>
      <c r="E126" t="s">
        <v>47</v>
      </c>
      <c r="F126" t="s">
        <v>39</v>
      </c>
      <c r="G126" s="22">
        <v>110</v>
      </c>
      <c r="H126">
        <v>1</v>
      </c>
      <c r="I126" s="21">
        <v>62.198</v>
      </c>
      <c r="J126" s="21">
        <v>5.0460000000000003</v>
      </c>
      <c r="K126" s="21">
        <v>67.203000000000003</v>
      </c>
      <c r="L126" s="21">
        <f t="shared" si="5"/>
        <v>5.0050000000000026</v>
      </c>
      <c r="M126" s="21">
        <f t="shared" si="6"/>
        <v>4.0999999999997705E-2</v>
      </c>
      <c r="N126">
        <f t="shared" si="7"/>
        <v>0.81252477209666474</v>
      </c>
    </row>
    <row r="127" spans="1:14" x14ac:dyDescent="0.2">
      <c r="A127">
        <v>20329</v>
      </c>
      <c r="B127" s="23">
        <f t="shared" si="4"/>
        <v>44159</v>
      </c>
      <c r="C127" t="s">
        <v>42</v>
      </c>
      <c r="D127">
        <v>18</v>
      </c>
      <c r="E127" t="s">
        <v>47</v>
      </c>
      <c r="F127" t="s">
        <v>39</v>
      </c>
      <c r="G127" s="22">
        <v>110</v>
      </c>
      <c r="H127">
        <v>2</v>
      </c>
      <c r="I127" s="21">
        <v>65.748999999999995</v>
      </c>
      <c r="J127" s="21">
        <v>5.0149999999999997</v>
      </c>
      <c r="K127" s="21">
        <v>70.722999999999999</v>
      </c>
      <c r="L127" s="21">
        <f t="shared" si="5"/>
        <v>4.9740000000000038</v>
      </c>
      <c r="M127" s="21">
        <f t="shared" si="6"/>
        <v>4.0999999999995929E-2</v>
      </c>
      <c r="N127">
        <f t="shared" si="7"/>
        <v>0.81754735792614019</v>
      </c>
    </row>
    <row r="128" spans="1:14" x14ac:dyDescent="0.2">
      <c r="A128">
        <v>20329</v>
      </c>
      <c r="B128" s="23">
        <f t="shared" si="4"/>
        <v>44159</v>
      </c>
      <c r="C128" t="s">
        <v>42</v>
      </c>
      <c r="D128">
        <v>18</v>
      </c>
      <c r="E128" t="s">
        <v>47</v>
      </c>
      <c r="F128" t="s">
        <v>39</v>
      </c>
      <c r="G128" s="22">
        <v>110</v>
      </c>
      <c r="H128">
        <v>3</v>
      </c>
      <c r="I128" s="21">
        <v>58.268000000000001</v>
      </c>
      <c r="J128" s="21">
        <v>5.0590000000000002</v>
      </c>
      <c r="K128" s="21">
        <v>63.283000000000001</v>
      </c>
      <c r="L128" s="21">
        <f t="shared" si="5"/>
        <v>5.0150000000000006</v>
      </c>
      <c r="M128" s="21">
        <f t="shared" si="6"/>
        <v>4.3999999999999595E-2</v>
      </c>
      <c r="N128">
        <f t="shared" si="7"/>
        <v>0.86973710219410161</v>
      </c>
    </row>
    <row r="129" spans="1:14" x14ac:dyDescent="0.2">
      <c r="A129">
        <v>20329</v>
      </c>
      <c r="B129" s="23">
        <f t="shared" si="4"/>
        <v>44159</v>
      </c>
      <c r="C129" t="s">
        <v>42</v>
      </c>
      <c r="D129">
        <v>18</v>
      </c>
      <c r="E129" t="s">
        <v>47</v>
      </c>
      <c r="F129" t="s">
        <v>39</v>
      </c>
      <c r="G129" s="22">
        <v>110</v>
      </c>
      <c r="H129">
        <v>4</v>
      </c>
      <c r="I129" s="21">
        <v>59.811</v>
      </c>
      <c r="J129" s="21">
        <v>5.0449999999999999</v>
      </c>
      <c r="K129" s="21">
        <v>64.811999999999998</v>
      </c>
      <c r="L129" s="21">
        <f t="shared" si="5"/>
        <v>5.0009999999999977</v>
      </c>
      <c r="M129" s="21">
        <f t="shared" si="6"/>
        <v>4.400000000000226E-2</v>
      </c>
      <c r="N129">
        <f t="shared" si="7"/>
        <v>0.87215064420222521</v>
      </c>
    </row>
    <row r="130" spans="1:14" x14ac:dyDescent="0.2">
      <c r="A130">
        <v>20329</v>
      </c>
      <c r="B130" s="23">
        <f t="shared" si="4"/>
        <v>44159</v>
      </c>
      <c r="C130" t="s">
        <v>42</v>
      </c>
      <c r="D130">
        <v>19</v>
      </c>
      <c r="E130" t="s">
        <v>43</v>
      </c>
      <c r="F130" t="s">
        <v>39</v>
      </c>
      <c r="G130" s="22">
        <v>10</v>
      </c>
      <c r="H130">
        <v>1</v>
      </c>
      <c r="I130" s="21">
        <v>64.872</v>
      </c>
      <c r="J130" s="21">
        <v>5.0890000000000004</v>
      </c>
      <c r="K130" s="21">
        <v>69.849999999999994</v>
      </c>
      <c r="L130" s="21">
        <f t="shared" si="5"/>
        <v>4.9779999999999944</v>
      </c>
      <c r="M130" s="21">
        <f t="shared" si="6"/>
        <v>0.11100000000000598</v>
      </c>
      <c r="N130">
        <f t="shared" si="7"/>
        <v>2.1811750835135779</v>
      </c>
    </row>
    <row r="131" spans="1:14" x14ac:dyDescent="0.2">
      <c r="A131">
        <v>20329</v>
      </c>
      <c r="B131" s="23">
        <f t="shared" ref="B131:B194" si="8">DATE(IF(0+(LEFT(A131))&lt;30,2000,1900)+LEFT(A131,2),1,RIGHT(A131,3))</f>
        <v>44159</v>
      </c>
      <c r="C131" t="s">
        <v>42</v>
      </c>
      <c r="D131">
        <v>19</v>
      </c>
      <c r="E131" t="s">
        <v>43</v>
      </c>
      <c r="F131" t="s">
        <v>39</v>
      </c>
      <c r="G131" s="22">
        <v>10</v>
      </c>
      <c r="H131">
        <v>2</v>
      </c>
      <c r="I131" s="21">
        <v>65.748999999999995</v>
      </c>
      <c r="J131" s="21">
        <v>5.024</v>
      </c>
      <c r="K131" s="21">
        <v>70.66</v>
      </c>
      <c r="L131" s="21">
        <f t="shared" ref="L131:L194" si="9">K131-I131</f>
        <v>4.9110000000000014</v>
      </c>
      <c r="M131" s="21">
        <f t="shared" ref="M131:M194" si="10">J131-L131</f>
        <v>0.11299999999999866</v>
      </c>
      <c r="N131">
        <f t="shared" ref="N131:N194" si="11">M131/J131*100</f>
        <v>2.2492038216560242</v>
      </c>
    </row>
    <row r="132" spans="1:14" x14ac:dyDescent="0.2">
      <c r="A132">
        <v>20329</v>
      </c>
      <c r="B132" s="23">
        <f t="shared" si="8"/>
        <v>44159</v>
      </c>
      <c r="C132" t="s">
        <v>42</v>
      </c>
      <c r="D132">
        <v>19</v>
      </c>
      <c r="E132" t="s">
        <v>43</v>
      </c>
      <c r="F132" t="s">
        <v>39</v>
      </c>
      <c r="G132" s="22">
        <v>10</v>
      </c>
      <c r="H132">
        <v>3</v>
      </c>
      <c r="I132" s="21">
        <v>64.483999999999995</v>
      </c>
      <c r="J132" s="21">
        <v>5.0590000000000002</v>
      </c>
      <c r="K132" s="21">
        <v>69.432000000000002</v>
      </c>
      <c r="L132" s="21">
        <f t="shared" si="9"/>
        <v>4.9480000000000075</v>
      </c>
      <c r="M132" s="21">
        <f t="shared" si="10"/>
        <v>0.11099999999999266</v>
      </c>
      <c r="N132">
        <f t="shared" si="11"/>
        <v>2.1941095078077217</v>
      </c>
    </row>
    <row r="133" spans="1:14" x14ac:dyDescent="0.2">
      <c r="A133">
        <v>20329</v>
      </c>
      <c r="B133" s="23">
        <f t="shared" si="8"/>
        <v>44159</v>
      </c>
      <c r="C133" t="s">
        <v>42</v>
      </c>
      <c r="D133">
        <v>19</v>
      </c>
      <c r="E133" t="s">
        <v>43</v>
      </c>
      <c r="F133" t="s">
        <v>39</v>
      </c>
      <c r="G133" s="22">
        <v>10</v>
      </c>
      <c r="H133">
        <v>4</v>
      </c>
      <c r="I133" s="21">
        <v>68.066000000000003</v>
      </c>
      <c r="J133" s="21">
        <v>5.0570000000000004</v>
      </c>
      <c r="K133" s="21">
        <v>73.05</v>
      </c>
      <c r="L133" s="21">
        <f t="shared" si="9"/>
        <v>4.9839999999999947</v>
      </c>
      <c r="M133" s="21">
        <f t="shared" si="10"/>
        <v>7.3000000000005727E-2</v>
      </c>
      <c r="N133">
        <f t="shared" si="11"/>
        <v>1.4435436029267494</v>
      </c>
    </row>
    <row r="134" spans="1:14" x14ac:dyDescent="0.2">
      <c r="A134">
        <v>20329</v>
      </c>
      <c r="B134" s="23">
        <f t="shared" si="8"/>
        <v>44159</v>
      </c>
      <c r="C134" t="s">
        <v>42</v>
      </c>
      <c r="D134">
        <v>19</v>
      </c>
      <c r="E134" t="s">
        <v>43</v>
      </c>
      <c r="F134" t="s">
        <v>39</v>
      </c>
      <c r="G134" s="22">
        <v>20</v>
      </c>
      <c r="H134">
        <v>1</v>
      </c>
      <c r="I134" s="21">
        <v>65.317999999999998</v>
      </c>
      <c r="J134" s="21">
        <v>5.0940000000000003</v>
      </c>
      <c r="K134" s="21">
        <v>70.307000000000002</v>
      </c>
      <c r="L134" s="21">
        <f t="shared" si="9"/>
        <v>4.9890000000000043</v>
      </c>
      <c r="M134" s="21">
        <f t="shared" si="10"/>
        <v>0.10499999999999599</v>
      </c>
      <c r="N134">
        <f t="shared" si="11"/>
        <v>2.061248527679544</v>
      </c>
    </row>
    <row r="135" spans="1:14" x14ac:dyDescent="0.2">
      <c r="A135">
        <v>20329</v>
      </c>
      <c r="B135" s="23">
        <f t="shared" si="8"/>
        <v>44159</v>
      </c>
      <c r="C135" t="s">
        <v>42</v>
      </c>
      <c r="D135">
        <v>19</v>
      </c>
      <c r="E135" t="s">
        <v>43</v>
      </c>
      <c r="F135" t="s">
        <v>39</v>
      </c>
      <c r="G135" s="22">
        <v>20</v>
      </c>
      <c r="H135">
        <v>2</v>
      </c>
      <c r="I135" s="21">
        <v>63.932000000000002</v>
      </c>
      <c r="J135" s="21">
        <v>5.0330000000000004</v>
      </c>
      <c r="K135" s="21">
        <v>68.864000000000004</v>
      </c>
      <c r="L135" s="21">
        <f t="shared" si="9"/>
        <v>4.9320000000000022</v>
      </c>
      <c r="M135" s="21">
        <f t="shared" si="10"/>
        <v>0.1009999999999982</v>
      </c>
      <c r="N135">
        <f t="shared" si="11"/>
        <v>2.0067554142658093</v>
      </c>
    </row>
    <row r="136" spans="1:14" x14ac:dyDescent="0.2">
      <c r="A136">
        <v>20329</v>
      </c>
      <c r="B136" s="23">
        <f t="shared" si="8"/>
        <v>44159</v>
      </c>
      <c r="C136" t="s">
        <v>42</v>
      </c>
      <c r="D136">
        <v>19</v>
      </c>
      <c r="E136" t="s">
        <v>43</v>
      </c>
      <c r="F136" t="s">
        <v>39</v>
      </c>
      <c r="G136" s="22">
        <v>20</v>
      </c>
      <c r="H136">
        <v>3</v>
      </c>
      <c r="I136" s="21">
        <v>58.267000000000003</v>
      </c>
      <c r="J136" s="21">
        <v>5.0609999999999999</v>
      </c>
      <c r="K136" s="21">
        <v>63.225000000000001</v>
      </c>
      <c r="L136" s="21">
        <f t="shared" si="9"/>
        <v>4.9579999999999984</v>
      </c>
      <c r="M136" s="21">
        <f t="shared" si="10"/>
        <v>0.10300000000000153</v>
      </c>
      <c r="N136">
        <f t="shared" si="11"/>
        <v>2.0351709148389947</v>
      </c>
    </row>
    <row r="137" spans="1:14" x14ac:dyDescent="0.2">
      <c r="A137">
        <v>20329</v>
      </c>
      <c r="B137" s="23">
        <f t="shared" si="8"/>
        <v>44159</v>
      </c>
      <c r="C137" t="s">
        <v>42</v>
      </c>
      <c r="D137">
        <v>19</v>
      </c>
      <c r="E137" t="s">
        <v>43</v>
      </c>
      <c r="F137" t="s">
        <v>39</v>
      </c>
      <c r="G137" s="22">
        <v>20</v>
      </c>
      <c r="H137">
        <v>4</v>
      </c>
      <c r="I137" s="21">
        <v>63.082000000000001</v>
      </c>
      <c r="J137" s="21">
        <v>5.0229999999999997</v>
      </c>
      <c r="K137" s="21">
        <v>68.004999999999995</v>
      </c>
      <c r="L137" s="21">
        <f t="shared" si="9"/>
        <v>4.9229999999999947</v>
      </c>
      <c r="M137" s="21">
        <f t="shared" si="10"/>
        <v>0.10000000000000497</v>
      </c>
      <c r="N137">
        <f t="shared" si="11"/>
        <v>1.99084212621949</v>
      </c>
    </row>
    <row r="138" spans="1:14" x14ac:dyDescent="0.2">
      <c r="A138">
        <v>20329</v>
      </c>
      <c r="B138" s="23">
        <f t="shared" si="8"/>
        <v>44159</v>
      </c>
      <c r="C138" t="s">
        <v>42</v>
      </c>
      <c r="D138">
        <v>19</v>
      </c>
      <c r="E138" t="s">
        <v>43</v>
      </c>
      <c r="F138" t="s">
        <v>39</v>
      </c>
      <c r="G138" s="22">
        <v>30</v>
      </c>
      <c r="H138">
        <v>1</v>
      </c>
      <c r="I138" s="21">
        <v>59.81</v>
      </c>
      <c r="J138" s="21">
        <v>5.0250000000000004</v>
      </c>
      <c r="K138" s="21">
        <v>64.744</v>
      </c>
      <c r="L138" s="21">
        <f t="shared" si="9"/>
        <v>4.9339999999999975</v>
      </c>
      <c r="M138" s="21">
        <f t="shared" si="10"/>
        <v>9.1000000000002856E-2</v>
      </c>
      <c r="N138">
        <f t="shared" si="11"/>
        <v>1.8109452736318976</v>
      </c>
    </row>
    <row r="139" spans="1:14" x14ac:dyDescent="0.2">
      <c r="A139">
        <v>20329</v>
      </c>
      <c r="B139" s="23">
        <f t="shared" si="8"/>
        <v>44159</v>
      </c>
      <c r="C139" t="s">
        <v>42</v>
      </c>
      <c r="D139">
        <v>19</v>
      </c>
      <c r="E139" t="s">
        <v>43</v>
      </c>
      <c r="F139" t="s">
        <v>39</v>
      </c>
      <c r="G139" s="22">
        <v>30</v>
      </c>
      <c r="H139">
        <v>2</v>
      </c>
      <c r="I139" s="21">
        <v>62.732999999999997</v>
      </c>
      <c r="J139" s="21">
        <v>5.0039999999999996</v>
      </c>
      <c r="K139" s="21">
        <v>67.647000000000006</v>
      </c>
      <c r="L139" s="21">
        <f t="shared" si="9"/>
        <v>4.9140000000000086</v>
      </c>
      <c r="M139" s="21">
        <f t="shared" si="10"/>
        <v>8.9999999999990976E-2</v>
      </c>
      <c r="N139">
        <f t="shared" si="11"/>
        <v>1.7985611510789565</v>
      </c>
    </row>
    <row r="140" spans="1:14" x14ac:dyDescent="0.2">
      <c r="A140">
        <v>20329</v>
      </c>
      <c r="B140" s="23">
        <f t="shared" si="8"/>
        <v>44159</v>
      </c>
      <c r="C140" t="s">
        <v>42</v>
      </c>
      <c r="D140">
        <v>19</v>
      </c>
      <c r="E140" t="s">
        <v>43</v>
      </c>
      <c r="F140" t="s">
        <v>39</v>
      </c>
      <c r="G140" s="22">
        <v>30</v>
      </c>
      <c r="H140">
        <v>3</v>
      </c>
      <c r="I140" s="21">
        <v>62.198</v>
      </c>
      <c r="J140" s="21">
        <v>5.0110000000000001</v>
      </c>
      <c r="K140" s="21">
        <v>67.117000000000004</v>
      </c>
      <c r="L140" s="21">
        <f t="shared" si="9"/>
        <v>4.919000000000004</v>
      </c>
      <c r="M140" s="21">
        <f t="shared" si="10"/>
        <v>9.1999999999996085E-2</v>
      </c>
      <c r="N140">
        <f t="shared" si="11"/>
        <v>1.8359608860506103</v>
      </c>
    </row>
    <row r="141" spans="1:14" x14ac:dyDescent="0.2">
      <c r="A141">
        <v>20329</v>
      </c>
      <c r="B141" s="23">
        <f t="shared" si="8"/>
        <v>44159</v>
      </c>
      <c r="C141" t="s">
        <v>42</v>
      </c>
      <c r="D141">
        <v>19</v>
      </c>
      <c r="E141" t="s">
        <v>43</v>
      </c>
      <c r="F141" t="s">
        <v>39</v>
      </c>
      <c r="G141" s="22">
        <v>30</v>
      </c>
      <c r="H141">
        <v>4</v>
      </c>
      <c r="I141" s="21">
        <v>63.802</v>
      </c>
      <c r="J141" s="21">
        <v>5.077</v>
      </c>
      <c r="K141" s="21">
        <v>68.789000000000001</v>
      </c>
      <c r="L141" s="21">
        <f t="shared" si="9"/>
        <v>4.9870000000000019</v>
      </c>
      <c r="M141" s="21">
        <f t="shared" si="10"/>
        <v>8.9999999999998082E-2</v>
      </c>
      <c r="N141">
        <f t="shared" si="11"/>
        <v>1.7727004136300586</v>
      </c>
    </row>
    <row r="142" spans="1:14" x14ac:dyDescent="0.2">
      <c r="A142">
        <v>20329</v>
      </c>
      <c r="B142" s="23">
        <f t="shared" si="8"/>
        <v>44159</v>
      </c>
      <c r="C142" t="s">
        <v>42</v>
      </c>
      <c r="D142">
        <v>19</v>
      </c>
      <c r="E142" t="s">
        <v>43</v>
      </c>
      <c r="F142" t="s">
        <v>39</v>
      </c>
      <c r="G142" s="22">
        <v>40</v>
      </c>
      <c r="H142">
        <v>1</v>
      </c>
      <c r="I142" s="21">
        <v>64.872</v>
      </c>
      <c r="J142" s="21">
        <v>5.101</v>
      </c>
      <c r="K142" s="21">
        <v>69.906999999999996</v>
      </c>
      <c r="L142" s="21">
        <f t="shared" si="9"/>
        <v>5.0349999999999966</v>
      </c>
      <c r="M142" s="21">
        <f t="shared" si="10"/>
        <v>6.6000000000003389E-2</v>
      </c>
      <c r="N142">
        <f t="shared" si="11"/>
        <v>1.2938639482455085</v>
      </c>
    </row>
    <row r="143" spans="1:14" x14ac:dyDescent="0.2">
      <c r="A143">
        <v>20329</v>
      </c>
      <c r="B143" s="23">
        <f t="shared" si="8"/>
        <v>44159</v>
      </c>
      <c r="C143" t="s">
        <v>42</v>
      </c>
      <c r="D143">
        <v>19</v>
      </c>
      <c r="E143" t="s">
        <v>43</v>
      </c>
      <c r="F143" t="s">
        <v>39</v>
      </c>
      <c r="G143" s="22">
        <v>40</v>
      </c>
      <c r="H143">
        <v>2</v>
      </c>
      <c r="I143" s="21">
        <v>63.932000000000002</v>
      </c>
      <c r="J143" s="21">
        <v>5.024</v>
      </c>
      <c r="K143" s="21">
        <v>68.888999999999996</v>
      </c>
      <c r="L143" s="21">
        <f t="shared" si="9"/>
        <v>4.9569999999999936</v>
      </c>
      <c r="M143" s="21">
        <f t="shared" si="10"/>
        <v>6.7000000000006388E-2</v>
      </c>
      <c r="N143">
        <f t="shared" si="11"/>
        <v>1.3335987261147768</v>
      </c>
    </row>
    <row r="144" spans="1:14" x14ac:dyDescent="0.2">
      <c r="A144">
        <v>20329</v>
      </c>
      <c r="B144" s="23">
        <f t="shared" si="8"/>
        <v>44159</v>
      </c>
      <c r="C144" t="s">
        <v>42</v>
      </c>
      <c r="D144">
        <v>19</v>
      </c>
      <c r="E144" t="s">
        <v>43</v>
      </c>
      <c r="F144" t="s">
        <v>39</v>
      </c>
      <c r="G144" s="22">
        <v>40</v>
      </c>
      <c r="H144">
        <v>3</v>
      </c>
      <c r="I144" s="21">
        <v>63.802999999999997</v>
      </c>
      <c r="J144" s="21">
        <v>5.0810000000000004</v>
      </c>
      <c r="K144" s="21">
        <v>68.817999999999998</v>
      </c>
      <c r="L144" s="21">
        <f t="shared" si="9"/>
        <v>5.0150000000000006</v>
      </c>
      <c r="M144" s="21">
        <f t="shared" si="10"/>
        <v>6.5999999999999837E-2</v>
      </c>
      <c r="N144">
        <f t="shared" si="11"/>
        <v>1.298956898248373</v>
      </c>
    </row>
    <row r="145" spans="1:14" x14ac:dyDescent="0.2">
      <c r="A145">
        <v>20329</v>
      </c>
      <c r="B145" s="23">
        <f t="shared" si="8"/>
        <v>44159</v>
      </c>
      <c r="C145" t="s">
        <v>42</v>
      </c>
      <c r="D145">
        <v>19</v>
      </c>
      <c r="E145" t="s">
        <v>43</v>
      </c>
      <c r="F145" t="s">
        <v>39</v>
      </c>
      <c r="G145" s="22">
        <v>40</v>
      </c>
      <c r="H145">
        <v>4</v>
      </c>
      <c r="I145" s="21">
        <v>65.317999999999998</v>
      </c>
      <c r="J145" s="21">
        <v>5.024</v>
      </c>
      <c r="K145" s="21">
        <v>70.274000000000001</v>
      </c>
      <c r="L145" s="21">
        <f t="shared" si="9"/>
        <v>4.9560000000000031</v>
      </c>
      <c r="M145" s="21">
        <f t="shared" si="10"/>
        <v>6.7999999999996952E-2</v>
      </c>
      <c r="N145">
        <f t="shared" si="11"/>
        <v>1.3535031847133152</v>
      </c>
    </row>
    <row r="146" spans="1:14" x14ac:dyDescent="0.2">
      <c r="A146">
        <v>20329</v>
      </c>
      <c r="B146" s="23">
        <f t="shared" si="8"/>
        <v>44159</v>
      </c>
      <c r="C146" t="s">
        <v>42</v>
      </c>
      <c r="D146">
        <v>19</v>
      </c>
      <c r="E146" t="s">
        <v>43</v>
      </c>
      <c r="F146" t="s">
        <v>39</v>
      </c>
      <c r="G146" s="22">
        <v>50</v>
      </c>
      <c r="H146">
        <v>1</v>
      </c>
      <c r="I146" s="21">
        <v>65.748999999999995</v>
      </c>
      <c r="J146" s="21">
        <v>5.0540000000000003</v>
      </c>
      <c r="K146" s="21">
        <v>70.747</v>
      </c>
      <c r="L146" s="21">
        <f t="shared" si="9"/>
        <v>4.9980000000000047</v>
      </c>
      <c r="M146" s="21">
        <f t="shared" si="10"/>
        <v>5.5999999999995609E-2</v>
      </c>
      <c r="N146">
        <f t="shared" si="11"/>
        <v>1.108033240997143</v>
      </c>
    </row>
    <row r="147" spans="1:14" x14ac:dyDescent="0.2">
      <c r="A147">
        <v>20329</v>
      </c>
      <c r="B147" s="23">
        <f t="shared" si="8"/>
        <v>44159</v>
      </c>
      <c r="C147" t="s">
        <v>42</v>
      </c>
      <c r="D147">
        <v>19</v>
      </c>
      <c r="E147" t="s">
        <v>43</v>
      </c>
      <c r="F147" t="s">
        <v>39</v>
      </c>
      <c r="G147" s="22">
        <v>50</v>
      </c>
      <c r="H147">
        <v>2</v>
      </c>
      <c r="I147" s="21">
        <v>62.732999999999997</v>
      </c>
      <c r="J147" s="21">
        <v>5.09</v>
      </c>
      <c r="K147" s="21">
        <v>67.765000000000001</v>
      </c>
      <c r="L147" s="21">
        <f t="shared" si="9"/>
        <v>5.0320000000000036</v>
      </c>
      <c r="M147" s="21">
        <f t="shared" si="10"/>
        <v>5.7999999999996277E-2</v>
      </c>
      <c r="N147">
        <f t="shared" si="11"/>
        <v>1.1394891944989445</v>
      </c>
    </row>
    <row r="148" spans="1:14" x14ac:dyDescent="0.2">
      <c r="A148">
        <v>20329</v>
      </c>
      <c r="B148" s="23">
        <f t="shared" si="8"/>
        <v>44159</v>
      </c>
      <c r="C148" t="s">
        <v>42</v>
      </c>
      <c r="D148">
        <v>19</v>
      </c>
      <c r="E148" t="s">
        <v>43</v>
      </c>
      <c r="F148" t="s">
        <v>39</v>
      </c>
      <c r="G148" s="22">
        <v>50</v>
      </c>
      <c r="H148">
        <v>3</v>
      </c>
      <c r="I148" s="21">
        <v>58.267000000000003</v>
      </c>
      <c r="J148" s="21">
        <v>5.0129999999999999</v>
      </c>
      <c r="K148" s="21">
        <v>63.22</v>
      </c>
      <c r="L148" s="21">
        <f t="shared" si="9"/>
        <v>4.9529999999999959</v>
      </c>
      <c r="M148" s="21">
        <f t="shared" si="10"/>
        <v>6.000000000000405E-2</v>
      </c>
      <c r="N148">
        <f t="shared" si="11"/>
        <v>1.1968880909635757</v>
      </c>
    </row>
    <row r="149" spans="1:14" x14ac:dyDescent="0.2">
      <c r="A149">
        <v>20329</v>
      </c>
      <c r="B149" s="23">
        <f t="shared" si="8"/>
        <v>44159</v>
      </c>
      <c r="C149" t="s">
        <v>42</v>
      </c>
      <c r="D149">
        <v>19</v>
      </c>
      <c r="E149" t="s">
        <v>43</v>
      </c>
      <c r="F149" t="s">
        <v>39</v>
      </c>
      <c r="G149" s="22">
        <v>50</v>
      </c>
      <c r="H149">
        <v>4</v>
      </c>
      <c r="I149" s="21">
        <v>62.198</v>
      </c>
      <c r="J149" s="21">
        <v>5.048</v>
      </c>
      <c r="K149" s="21">
        <v>67.185000000000002</v>
      </c>
      <c r="L149" s="21">
        <f t="shared" si="9"/>
        <v>4.9870000000000019</v>
      </c>
      <c r="M149" s="21">
        <f t="shared" si="10"/>
        <v>6.0999999999998167E-2</v>
      </c>
      <c r="N149">
        <f t="shared" si="11"/>
        <v>1.2083993660855421</v>
      </c>
    </row>
    <row r="150" spans="1:14" x14ac:dyDescent="0.2">
      <c r="A150">
        <v>20329</v>
      </c>
      <c r="B150" s="23">
        <f t="shared" si="8"/>
        <v>44159</v>
      </c>
      <c r="C150" t="s">
        <v>42</v>
      </c>
      <c r="D150">
        <v>19</v>
      </c>
      <c r="E150" t="s">
        <v>43</v>
      </c>
      <c r="F150" t="s">
        <v>39</v>
      </c>
      <c r="G150" s="22">
        <v>60</v>
      </c>
      <c r="H150">
        <v>1</v>
      </c>
      <c r="I150" s="21">
        <v>59.811</v>
      </c>
      <c r="J150" s="21">
        <v>5.0979999999999999</v>
      </c>
      <c r="K150" s="21">
        <v>64.846999999999994</v>
      </c>
      <c r="L150" s="21">
        <f t="shared" si="9"/>
        <v>5.0359999999999943</v>
      </c>
      <c r="M150" s="21">
        <f t="shared" si="10"/>
        <v>6.2000000000005606E-2</v>
      </c>
      <c r="N150">
        <f t="shared" si="11"/>
        <v>1.2161632012555041</v>
      </c>
    </row>
    <row r="151" spans="1:14" x14ac:dyDescent="0.2">
      <c r="A151">
        <v>20329</v>
      </c>
      <c r="B151" s="23">
        <f t="shared" si="8"/>
        <v>44159</v>
      </c>
      <c r="C151" t="s">
        <v>42</v>
      </c>
      <c r="D151">
        <v>19</v>
      </c>
      <c r="E151" t="s">
        <v>43</v>
      </c>
      <c r="F151" t="s">
        <v>39</v>
      </c>
      <c r="G151" s="22">
        <v>60</v>
      </c>
      <c r="H151">
        <v>2</v>
      </c>
      <c r="I151" s="21">
        <v>64.483000000000004</v>
      </c>
      <c r="J151" s="21">
        <v>5.008</v>
      </c>
      <c r="K151" s="21">
        <v>69.436000000000007</v>
      </c>
      <c r="L151" s="21">
        <f t="shared" si="9"/>
        <v>4.953000000000003</v>
      </c>
      <c r="M151" s="21">
        <f t="shared" si="10"/>
        <v>5.4999999999997051E-2</v>
      </c>
      <c r="N151">
        <f t="shared" si="11"/>
        <v>1.0982428115015386</v>
      </c>
    </row>
    <row r="152" spans="1:14" x14ac:dyDescent="0.2">
      <c r="A152">
        <v>20329</v>
      </c>
      <c r="B152" s="23">
        <f t="shared" si="8"/>
        <v>44159</v>
      </c>
      <c r="C152" t="s">
        <v>42</v>
      </c>
      <c r="D152">
        <v>19</v>
      </c>
      <c r="E152" t="s">
        <v>43</v>
      </c>
      <c r="F152" t="s">
        <v>39</v>
      </c>
      <c r="G152" s="22">
        <v>60</v>
      </c>
      <c r="H152">
        <v>3</v>
      </c>
      <c r="I152" s="21">
        <v>68.066000000000003</v>
      </c>
      <c r="J152" s="21">
        <v>5.0830000000000002</v>
      </c>
      <c r="K152" s="21">
        <v>73.093000000000004</v>
      </c>
      <c r="L152" s="21">
        <f t="shared" si="9"/>
        <v>5.027000000000001</v>
      </c>
      <c r="M152" s="21">
        <f t="shared" si="10"/>
        <v>5.5999999999999162E-2</v>
      </c>
      <c r="N152">
        <f t="shared" si="11"/>
        <v>1.1017115876450749</v>
      </c>
    </row>
    <row r="153" spans="1:14" x14ac:dyDescent="0.2">
      <c r="A153">
        <v>20329</v>
      </c>
      <c r="B153" s="23">
        <f t="shared" si="8"/>
        <v>44159</v>
      </c>
      <c r="C153" t="s">
        <v>42</v>
      </c>
      <c r="D153">
        <v>19</v>
      </c>
      <c r="E153" t="s">
        <v>43</v>
      </c>
      <c r="F153" t="s">
        <v>39</v>
      </c>
      <c r="G153" s="22">
        <v>60</v>
      </c>
      <c r="H153">
        <v>4</v>
      </c>
      <c r="I153" s="21">
        <v>63.082000000000001</v>
      </c>
      <c r="J153" s="21">
        <v>5.0039999999999996</v>
      </c>
      <c r="K153" s="21">
        <v>68.025999999999996</v>
      </c>
      <c r="L153" s="21">
        <f t="shared" si="9"/>
        <v>4.9439999999999955</v>
      </c>
      <c r="M153" s="21">
        <f t="shared" si="10"/>
        <v>6.000000000000405E-2</v>
      </c>
      <c r="N153">
        <f t="shared" si="11"/>
        <v>1.199040767386172</v>
      </c>
    </row>
    <row r="154" spans="1:14" x14ac:dyDescent="0.2">
      <c r="A154">
        <v>20329</v>
      </c>
      <c r="B154" s="23">
        <f t="shared" si="8"/>
        <v>44159</v>
      </c>
      <c r="C154" t="s">
        <v>42</v>
      </c>
      <c r="D154">
        <v>19</v>
      </c>
      <c r="E154" t="s">
        <v>43</v>
      </c>
      <c r="F154" t="s">
        <v>39</v>
      </c>
      <c r="G154" s="22">
        <v>70</v>
      </c>
      <c r="H154">
        <v>1</v>
      </c>
      <c r="I154" s="21">
        <v>62.197000000000003</v>
      </c>
      <c r="J154" s="21">
        <v>5.0679999999999996</v>
      </c>
      <c r="K154" s="21">
        <v>67.209000000000003</v>
      </c>
      <c r="L154" s="21">
        <f t="shared" si="9"/>
        <v>5.0120000000000005</v>
      </c>
      <c r="M154" s="21">
        <f t="shared" si="10"/>
        <v>5.5999999999999162E-2</v>
      </c>
      <c r="N154">
        <f t="shared" si="11"/>
        <v>1.1049723756905911</v>
      </c>
    </row>
    <row r="155" spans="1:14" x14ac:dyDescent="0.2">
      <c r="A155">
        <v>20329</v>
      </c>
      <c r="B155" s="23">
        <f t="shared" si="8"/>
        <v>44159</v>
      </c>
      <c r="C155" t="s">
        <v>42</v>
      </c>
      <c r="D155">
        <v>19</v>
      </c>
      <c r="E155" t="s">
        <v>43</v>
      </c>
      <c r="F155" t="s">
        <v>39</v>
      </c>
      <c r="G155" s="22">
        <v>70</v>
      </c>
      <c r="H155">
        <v>2</v>
      </c>
      <c r="I155" s="21">
        <v>62.732999999999997</v>
      </c>
      <c r="J155" s="21">
        <v>5.0739999999999998</v>
      </c>
      <c r="K155" s="21">
        <v>67.748000000000005</v>
      </c>
      <c r="L155" s="21">
        <f t="shared" si="9"/>
        <v>5.0150000000000077</v>
      </c>
      <c r="M155" s="21">
        <f t="shared" si="10"/>
        <v>5.899999999999217E-2</v>
      </c>
      <c r="N155">
        <f t="shared" si="11"/>
        <v>1.1627906976742644</v>
      </c>
    </row>
    <row r="156" spans="1:14" x14ac:dyDescent="0.2">
      <c r="A156">
        <v>20329</v>
      </c>
      <c r="B156" s="23">
        <f t="shared" si="8"/>
        <v>44159</v>
      </c>
      <c r="C156" t="s">
        <v>42</v>
      </c>
      <c r="D156">
        <v>19</v>
      </c>
      <c r="E156" t="s">
        <v>43</v>
      </c>
      <c r="F156" t="s">
        <v>39</v>
      </c>
      <c r="G156" s="22">
        <v>70</v>
      </c>
      <c r="H156">
        <v>3</v>
      </c>
      <c r="I156" s="21">
        <v>63.932000000000002</v>
      </c>
      <c r="J156" s="21">
        <v>5.0199999999999996</v>
      </c>
      <c r="K156" s="21">
        <v>68.893000000000001</v>
      </c>
      <c r="L156" s="21">
        <f t="shared" si="9"/>
        <v>4.9609999999999985</v>
      </c>
      <c r="M156" s="21">
        <f t="shared" si="10"/>
        <v>5.9000000000001052E-2</v>
      </c>
      <c r="N156">
        <f t="shared" si="11"/>
        <v>1.1752988047808977</v>
      </c>
    </row>
    <row r="157" spans="1:14" x14ac:dyDescent="0.2">
      <c r="A157">
        <v>20329</v>
      </c>
      <c r="B157" s="23">
        <f t="shared" si="8"/>
        <v>44159</v>
      </c>
      <c r="C157" t="s">
        <v>42</v>
      </c>
      <c r="D157">
        <v>19</v>
      </c>
      <c r="E157" t="s">
        <v>43</v>
      </c>
      <c r="F157" t="s">
        <v>39</v>
      </c>
      <c r="G157" s="22">
        <v>70</v>
      </c>
      <c r="H157">
        <v>4</v>
      </c>
      <c r="I157" s="21">
        <v>65.316999999999993</v>
      </c>
      <c r="J157" s="21">
        <v>5.048</v>
      </c>
      <c r="K157" s="21">
        <v>70.308000000000007</v>
      </c>
      <c r="L157" s="21">
        <f t="shared" si="9"/>
        <v>4.9910000000000139</v>
      </c>
      <c r="M157" s="21">
        <f t="shared" si="10"/>
        <v>5.6999999999986173E-2</v>
      </c>
      <c r="N157">
        <f t="shared" si="11"/>
        <v>1.1291600633911683</v>
      </c>
    </row>
    <row r="158" spans="1:14" x14ac:dyDescent="0.2">
      <c r="A158">
        <v>20329</v>
      </c>
      <c r="B158" s="23">
        <f t="shared" si="8"/>
        <v>44159</v>
      </c>
      <c r="C158" t="s">
        <v>42</v>
      </c>
      <c r="D158">
        <v>19</v>
      </c>
      <c r="E158" t="s">
        <v>43</v>
      </c>
      <c r="F158" t="s">
        <v>39</v>
      </c>
      <c r="G158" s="22">
        <v>80</v>
      </c>
      <c r="H158">
        <v>1</v>
      </c>
      <c r="I158" s="21">
        <v>65.748999999999995</v>
      </c>
      <c r="J158" s="21">
        <v>5.0259999999999998</v>
      </c>
      <c r="K158" s="21">
        <v>70.721999999999994</v>
      </c>
      <c r="L158" s="21">
        <f t="shared" si="9"/>
        <v>4.972999999999999</v>
      </c>
      <c r="M158" s="21">
        <f t="shared" si="10"/>
        <v>5.3000000000000824E-2</v>
      </c>
      <c r="N158">
        <f t="shared" si="11"/>
        <v>1.0545165141265584</v>
      </c>
    </row>
    <row r="159" spans="1:14" x14ac:dyDescent="0.2">
      <c r="A159">
        <v>20329</v>
      </c>
      <c r="B159" s="23">
        <f t="shared" si="8"/>
        <v>44159</v>
      </c>
      <c r="C159" t="s">
        <v>42</v>
      </c>
      <c r="D159">
        <v>19</v>
      </c>
      <c r="E159" t="s">
        <v>43</v>
      </c>
      <c r="F159" t="s">
        <v>39</v>
      </c>
      <c r="G159" s="22">
        <v>80</v>
      </c>
      <c r="H159">
        <v>2</v>
      </c>
      <c r="I159" s="21">
        <v>58.265999999999998</v>
      </c>
      <c r="J159" s="21">
        <v>5.024</v>
      </c>
      <c r="K159" s="21">
        <v>63.235999999999997</v>
      </c>
      <c r="L159" s="21">
        <f t="shared" si="9"/>
        <v>4.9699999999999989</v>
      </c>
      <c r="M159" s="21">
        <f t="shared" si="10"/>
        <v>5.4000000000001158E-2</v>
      </c>
      <c r="N159">
        <f t="shared" si="11"/>
        <v>1.0748407643312332</v>
      </c>
    </row>
    <row r="160" spans="1:14" x14ac:dyDescent="0.2">
      <c r="A160">
        <v>20329</v>
      </c>
      <c r="B160" s="23">
        <f t="shared" si="8"/>
        <v>44159</v>
      </c>
      <c r="C160" t="s">
        <v>42</v>
      </c>
      <c r="D160">
        <v>19</v>
      </c>
      <c r="E160" t="s">
        <v>43</v>
      </c>
      <c r="F160" t="s">
        <v>39</v>
      </c>
      <c r="G160" s="22">
        <v>80</v>
      </c>
      <c r="H160">
        <v>3</v>
      </c>
      <c r="I160" s="21">
        <v>64.483000000000004</v>
      </c>
      <c r="J160" s="21">
        <v>5.0030000000000001</v>
      </c>
      <c r="K160" s="21">
        <v>69.433999999999997</v>
      </c>
      <c r="L160" s="21">
        <f t="shared" si="9"/>
        <v>4.9509999999999934</v>
      </c>
      <c r="M160" s="21">
        <f t="shared" si="10"/>
        <v>5.2000000000006708E-2</v>
      </c>
      <c r="N160">
        <f t="shared" si="11"/>
        <v>1.0393763741756288</v>
      </c>
    </row>
    <row r="161" spans="1:14" x14ac:dyDescent="0.2">
      <c r="A161">
        <v>20329</v>
      </c>
      <c r="B161" s="23">
        <f t="shared" si="8"/>
        <v>44159</v>
      </c>
      <c r="C161" t="s">
        <v>42</v>
      </c>
      <c r="D161">
        <v>19</v>
      </c>
      <c r="E161" t="s">
        <v>43</v>
      </c>
      <c r="F161" t="s">
        <v>39</v>
      </c>
      <c r="G161" s="22">
        <v>80</v>
      </c>
      <c r="H161">
        <v>4</v>
      </c>
      <c r="I161" s="21">
        <v>68.064999999999998</v>
      </c>
      <c r="J161" s="21">
        <v>5.056</v>
      </c>
      <c r="K161" s="21">
        <v>73.063999999999993</v>
      </c>
      <c r="L161" s="21">
        <f t="shared" si="9"/>
        <v>4.9989999999999952</v>
      </c>
      <c r="M161" s="21">
        <f t="shared" si="10"/>
        <v>5.7000000000004825E-2</v>
      </c>
      <c r="N161">
        <f t="shared" si="11"/>
        <v>1.1273734177216144</v>
      </c>
    </row>
    <row r="162" spans="1:14" x14ac:dyDescent="0.2">
      <c r="A162">
        <v>20329</v>
      </c>
      <c r="B162" s="23">
        <f t="shared" si="8"/>
        <v>44159</v>
      </c>
      <c r="C162" t="s">
        <v>42</v>
      </c>
      <c r="D162">
        <v>19</v>
      </c>
      <c r="E162" t="s">
        <v>43</v>
      </c>
      <c r="F162" t="s">
        <v>39</v>
      </c>
      <c r="G162" s="22">
        <v>90</v>
      </c>
      <c r="H162">
        <v>1</v>
      </c>
      <c r="I162" s="21">
        <v>63.081000000000003</v>
      </c>
      <c r="J162" s="21">
        <v>5.0679999999999996</v>
      </c>
      <c r="K162" s="21">
        <v>68.099000000000004</v>
      </c>
      <c r="L162" s="21">
        <f t="shared" si="9"/>
        <v>5.0180000000000007</v>
      </c>
      <c r="M162" s="21">
        <f t="shared" si="10"/>
        <v>4.9999999999998934E-2</v>
      </c>
      <c r="N162">
        <f t="shared" si="11"/>
        <v>0.98658247829516454</v>
      </c>
    </row>
    <row r="163" spans="1:14" x14ac:dyDescent="0.2">
      <c r="A163">
        <v>20329</v>
      </c>
      <c r="B163" s="23">
        <f t="shared" si="8"/>
        <v>44159</v>
      </c>
      <c r="C163" t="s">
        <v>42</v>
      </c>
      <c r="D163">
        <v>19</v>
      </c>
      <c r="E163" t="s">
        <v>43</v>
      </c>
      <c r="F163" t="s">
        <v>39</v>
      </c>
      <c r="G163" s="22">
        <v>90</v>
      </c>
      <c r="H163">
        <v>2</v>
      </c>
      <c r="I163" s="21">
        <v>63.802999999999997</v>
      </c>
      <c r="J163" s="21">
        <v>5.077</v>
      </c>
      <c r="K163" s="21">
        <v>68.825999999999993</v>
      </c>
      <c r="L163" s="21">
        <f t="shared" si="9"/>
        <v>5.0229999999999961</v>
      </c>
      <c r="M163" s="21">
        <f t="shared" si="10"/>
        <v>5.4000000000003823E-2</v>
      </c>
      <c r="N163">
        <f t="shared" si="11"/>
        <v>1.0636202481781332</v>
      </c>
    </row>
    <row r="164" spans="1:14" x14ac:dyDescent="0.2">
      <c r="A164">
        <v>20329</v>
      </c>
      <c r="B164" s="23">
        <f t="shared" si="8"/>
        <v>44159</v>
      </c>
      <c r="C164" t="s">
        <v>42</v>
      </c>
      <c r="D164">
        <v>19</v>
      </c>
      <c r="E164" t="s">
        <v>43</v>
      </c>
      <c r="F164" t="s">
        <v>39</v>
      </c>
      <c r="G164" s="22">
        <v>90</v>
      </c>
      <c r="H164">
        <v>3</v>
      </c>
      <c r="I164" s="21">
        <v>59.81</v>
      </c>
      <c r="J164" s="21">
        <v>5.048</v>
      </c>
      <c r="K164" s="21">
        <v>64.805000000000007</v>
      </c>
      <c r="L164" s="21">
        <f t="shared" si="9"/>
        <v>4.9950000000000045</v>
      </c>
      <c r="M164" s="21">
        <f t="shared" si="10"/>
        <v>5.2999999999995495E-2</v>
      </c>
      <c r="N164">
        <f t="shared" si="11"/>
        <v>1.0499207606972167</v>
      </c>
    </row>
    <row r="165" spans="1:14" x14ac:dyDescent="0.2">
      <c r="A165">
        <v>20329</v>
      </c>
      <c r="B165" s="23">
        <f t="shared" si="8"/>
        <v>44159</v>
      </c>
      <c r="C165" t="s">
        <v>42</v>
      </c>
      <c r="D165">
        <v>19</v>
      </c>
      <c r="E165" t="s">
        <v>43</v>
      </c>
      <c r="F165" t="s">
        <v>39</v>
      </c>
      <c r="G165" s="22">
        <v>90</v>
      </c>
      <c r="H165">
        <v>4</v>
      </c>
      <c r="I165" s="21">
        <v>64.870999999999995</v>
      </c>
      <c r="J165" s="21">
        <v>5.0060000000000002</v>
      </c>
      <c r="K165" s="21">
        <v>69.822999999999993</v>
      </c>
      <c r="L165" s="21">
        <f t="shared" si="9"/>
        <v>4.9519999999999982</v>
      </c>
      <c r="M165" s="21">
        <f t="shared" si="10"/>
        <v>5.4000000000002046E-2</v>
      </c>
      <c r="N165">
        <f t="shared" si="11"/>
        <v>1.0787055533360377</v>
      </c>
    </row>
    <row r="166" spans="1:14" x14ac:dyDescent="0.2">
      <c r="A166">
        <v>20329</v>
      </c>
      <c r="B166" s="23">
        <f t="shared" si="8"/>
        <v>44159</v>
      </c>
      <c r="C166" t="s">
        <v>42</v>
      </c>
      <c r="D166">
        <v>19</v>
      </c>
      <c r="E166" t="s">
        <v>43</v>
      </c>
      <c r="F166" t="s">
        <v>39</v>
      </c>
      <c r="G166" s="22">
        <v>100</v>
      </c>
      <c r="H166">
        <v>1</v>
      </c>
      <c r="I166" s="21">
        <v>63.932000000000002</v>
      </c>
      <c r="J166" s="21">
        <v>5.0650000000000004</v>
      </c>
      <c r="K166" s="21">
        <v>68.944000000000003</v>
      </c>
      <c r="L166" s="21">
        <f t="shared" si="9"/>
        <v>5.0120000000000005</v>
      </c>
      <c r="M166" s="21">
        <f t="shared" si="10"/>
        <v>5.2999999999999936E-2</v>
      </c>
      <c r="N166">
        <f t="shared" si="11"/>
        <v>1.0463968410661388</v>
      </c>
    </row>
    <row r="167" spans="1:14" x14ac:dyDescent="0.2">
      <c r="A167">
        <v>20329</v>
      </c>
      <c r="B167" s="23">
        <f t="shared" si="8"/>
        <v>44159</v>
      </c>
      <c r="C167" t="s">
        <v>42</v>
      </c>
      <c r="D167">
        <v>19</v>
      </c>
      <c r="E167" t="s">
        <v>43</v>
      </c>
      <c r="F167" t="s">
        <v>39</v>
      </c>
      <c r="G167" s="22">
        <v>100</v>
      </c>
      <c r="H167">
        <v>2</v>
      </c>
      <c r="I167" s="21">
        <v>62.732999999999997</v>
      </c>
      <c r="J167" s="21">
        <v>5.0670000000000002</v>
      </c>
      <c r="K167" s="21">
        <v>67.748000000000005</v>
      </c>
      <c r="L167" s="21">
        <f t="shared" si="9"/>
        <v>5.0150000000000077</v>
      </c>
      <c r="M167" s="21">
        <f t="shared" si="10"/>
        <v>5.1999999999992497E-2</v>
      </c>
      <c r="N167">
        <f t="shared" si="11"/>
        <v>1.0262482731397768</v>
      </c>
    </row>
    <row r="168" spans="1:14" x14ac:dyDescent="0.2">
      <c r="A168">
        <v>20329</v>
      </c>
      <c r="B168" s="23">
        <f t="shared" si="8"/>
        <v>44159</v>
      </c>
      <c r="C168" t="s">
        <v>42</v>
      </c>
      <c r="D168">
        <v>19</v>
      </c>
      <c r="E168" t="s">
        <v>43</v>
      </c>
      <c r="F168" t="s">
        <v>39</v>
      </c>
      <c r="G168" s="22">
        <v>100</v>
      </c>
      <c r="H168">
        <v>3</v>
      </c>
      <c r="I168" s="21">
        <v>58.267000000000003</v>
      </c>
      <c r="J168" s="21">
        <v>5.05</v>
      </c>
      <c r="K168" s="21">
        <v>63.267000000000003</v>
      </c>
      <c r="L168" s="21">
        <f t="shared" si="9"/>
        <v>5</v>
      </c>
      <c r="M168" s="21">
        <f t="shared" si="10"/>
        <v>4.9999999999999822E-2</v>
      </c>
      <c r="N168">
        <f t="shared" si="11"/>
        <v>0.99009900990098665</v>
      </c>
    </row>
    <row r="169" spans="1:14" x14ac:dyDescent="0.2">
      <c r="A169">
        <v>20329</v>
      </c>
      <c r="B169" s="23">
        <f t="shared" si="8"/>
        <v>44159</v>
      </c>
      <c r="C169" t="s">
        <v>42</v>
      </c>
      <c r="D169">
        <v>19</v>
      </c>
      <c r="E169" t="s">
        <v>43</v>
      </c>
      <c r="F169" t="s">
        <v>39</v>
      </c>
      <c r="G169" s="22">
        <v>100</v>
      </c>
      <c r="H169">
        <v>4</v>
      </c>
      <c r="I169" s="21">
        <v>63.802999999999997</v>
      </c>
      <c r="J169" s="21">
        <v>5.0129999999999999</v>
      </c>
      <c r="K169" s="21">
        <v>68.763999999999996</v>
      </c>
      <c r="L169" s="21">
        <f t="shared" si="9"/>
        <v>4.9609999999999985</v>
      </c>
      <c r="M169" s="21">
        <f t="shared" si="10"/>
        <v>5.2000000000001378E-2</v>
      </c>
      <c r="N169">
        <f t="shared" si="11"/>
        <v>1.0373030121683897</v>
      </c>
    </row>
    <row r="170" spans="1:14" x14ac:dyDescent="0.2">
      <c r="A170">
        <v>20329</v>
      </c>
      <c r="B170" s="23">
        <f t="shared" si="8"/>
        <v>44159</v>
      </c>
      <c r="C170" t="s">
        <v>42</v>
      </c>
      <c r="D170">
        <v>19</v>
      </c>
      <c r="E170" t="s">
        <v>46</v>
      </c>
      <c r="F170" t="s">
        <v>39</v>
      </c>
      <c r="G170" s="22">
        <v>10</v>
      </c>
      <c r="H170">
        <v>1</v>
      </c>
      <c r="I170" s="21">
        <v>68.066000000000003</v>
      </c>
      <c r="J170" s="21">
        <v>5.05</v>
      </c>
      <c r="K170" s="21">
        <v>72.947000000000003</v>
      </c>
      <c r="L170" s="21">
        <f t="shared" si="9"/>
        <v>4.8810000000000002</v>
      </c>
      <c r="M170" s="21">
        <f t="shared" si="10"/>
        <v>0.16899999999999959</v>
      </c>
      <c r="N170">
        <f t="shared" si="11"/>
        <v>3.3465346534653384</v>
      </c>
    </row>
    <row r="171" spans="1:14" x14ac:dyDescent="0.2">
      <c r="A171">
        <v>20329</v>
      </c>
      <c r="B171" s="23">
        <f t="shared" si="8"/>
        <v>44159</v>
      </c>
      <c r="C171" t="s">
        <v>42</v>
      </c>
      <c r="D171">
        <v>19</v>
      </c>
      <c r="E171" t="s">
        <v>46</v>
      </c>
      <c r="F171" t="s">
        <v>39</v>
      </c>
      <c r="G171" s="22">
        <v>10</v>
      </c>
      <c r="H171">
        <v>2</v>
      </c>
      <c r="I171" s="21">
        <v>63.081000000000003</v>
      </c>
      <c r="J171" s="21">
        <v>5.01</v>
      </c>
      <c r="K171" s="21">
        <v>67.926000000000002</v>
      </c>
      <c r="L171" s="21">
        <f t="shared" si="9"/>
        <v>4.8449999999999989</v>
      </c>
      <c r="M171" s="21">
        <f t="shared" si="10"/>
        <v>0.16500000000000092</v>
      </c>
      <c r="N171">
        <f t="shared" si="11"/>
        <v>3.2934131736527128</v>
      </c>
    </row>
    <row r="172" spans="1:14" x14ac:dyDescent="0.2">
      <c r="A172">
        <v>20329</v>
      </c>
      <c r="B172" s="23">
        <f t="shared" si="8"/>
        <v>44159</v>
      </c>
      <c r="C172" t="s">
        <v>42</v>
      </c>
      <c r="D172">
        <v>19</v>
      </c>
      <c r="E172" t="s">
        <v>46</v>
      </c>
      <c r="F172" t="s">
        <v>39</v>
      </c>
      <c r="G172" s="22">
        <v>10</v>
      </c>
      <c r="H172">
        <v>3</v>
      </c>
      <c r="I172" s="21">
        <v>65.316999999999993</v>
      </c>
      <c r="J172" s="21">
        <v>5.0119999999999996</v>
      </c>
      <c r="K172" s="21">
        <v>70.153999999999996</v>
      </c>
      <c r="L172" s="21">
        <f t="shared" si="9"/>
        <v>4.8370000000000033</v>
      </c>
      <c r="M172" s="21">
        <f t="shared" si="10"/>
        <v>0.17499999999999627</v>
      </c>
      <c r="N172">
        <f t="shared" si="11"/>
        <v>3.4916201117317689</v>
      </c>
    </row>
    <row r="173" spans="1:14" x14ac:dyDescent="0.2">
      <c r="A173">
        <v>20329</v>
      </c>
      <c r="B173" s="23">
        <f t="shared" si="8"/>
        <v>44159</v>
      </c>
      <c r="C173" t="s">
        <v>42</v>
      </c>
      <c r="D173">
        <v>19</v>
      </c>
      <c r="E173" t="s">
        <v>46</v>
      </c>
      <c r="F173" t="s">
        <v>39</v>
      </c>
      <c r="G173" s="22">
        <v>10</v>
      </c>
      <c r="H173">
        <v>4</v>
      </c>
      <c r="I173" s="21">
        <v>64.483999999999995</v>
      </c>
      <c r="J173" s="21">
        <v>5.0129999999999999</v>
      </c>
      <c r="K173" s="21">
        <v>69.322999999999993</v>
      </c>
      <c r="L173" s="21">
        <f t="shared" si="9"/>
        <v>4.8389999999999986</v>
      </c>
      <c r="M173" s="21">
        <f t="shared" si="10"/>
        <v>0.17400000000000126</v>
      </c>
      <c r="N173">
        <f t="shared" si="11"/>
        <v>3.4709754637941606</v>
      </c>
    </row>
    <row r="174" spans="1:14" x14ac:dyDescent="0.2">
      <c r="A174">
        <v>20329</v>
      </c>
      <c r="B174" s="23">
        <f t="shared" si="8"/>
        <v>44159</v>
      </c>
      <c r="C174" t="s">
        <v>42</v>
      </c>
      <c r="D174">
        <v>19</v>
      </c>
      <c r="E174" t="s">
        <v>46</v>
      </c>
      <c r="F174" t="s">
        <v>39</v>
      </c>
      <c r="G174" s="22">
        <v>20</v>
      </c>
      <c r="H174">
        <v>1</v>
      </c>
      <c r="I174" s="21">
        <v>65.748000000000005</v>
      </c>
      <c r="J174" s="21">
        <v>5.0449999999999999</v>
      </c>
      <c r="K174" s="21">
        <v>70.64</v>
      </c>
      <c r="L174" s="21">
        <f t="shared" si="9"/>
        <v>4.8919999999999959</v>
      </c>
      <c r="M174" s="21">
        <f t="shared" si="10"/>
        <v>0.15300000000000402</v>
      </c>
      <c r="N174">
        <f t="shared" si="11"/>
        <v>3.0327056491576614</v>
      </c>
    </row>
    <row r="175" spans="1:14" x14ac:dyDescent="0.2">
      <c r="A175">
        <v>20329</v>
      </c>
      <c r="B175" s="23">
        <f t="shared" si="8"/>
        <v>44159</v>
      </c>
      <c r="C175" t="s">
        <v>42</v>
      </c>
      <c r="D175">
        <v>19</v>
      </c>
      <c r="E175" t="s">
        <v>46</v>
      </c>
      <c r="F175" t="s">
        <v>39</v>
      </c>
      <c r="G175" s="22">
        <v>20</v>
      </c>
      <c r="H175">
        <v>2</v>
      </c>
      <c r="I175" s="21">
        <v>59.81</v>
      </c>
      <c r="J175" s="21">
        <v>5.0670000000000002</v>
      </c>
      <c r="K175" s="21">
        <v>64.718999999999994</v>
      </c>
      <c r="L175" s="21">
        <f t="shared" si="9"/>
        <v>4.9089999999999918</v>
      </c>
      <c r="M175" s="21">
        <f t="shared" si="10"/>
        <v>0.15800000000000836</v>
      </c>
      <c r="N175">
        <f t="shared" si="11"/>
        <v>3.1182159068483983</v>
      </c>
    </row>
    <row r="176" spans="1:14" x14ac:dyDescent="0.2">
      <c r="A176">
        <v>20329</v>
      </c>
      <c r="B176" s="23">
        <f t="shared" si="8"/>
        <v>44159</v>
      </c>
      <c r="C176" t="s">
        <v>42</v>
      </c>
      <c r="D176">
        <v>19</v>
      </c>
      <c r="E176" t="s">
        <v>46</v>
      </c>
      <c r="F176" t="s">
        <v>39</v>
      </c>
      <c r="G176" s="22">
        <v>20</v>
      </c>
      <c r="H176">
        <v>3</v>
      </c>
      <c r="I176" s="21">
        <v>63.932000000000002</v>
      </c>
      <c r="J176" s="21">
        <v>5.101</v>
      </c>
      <c r="K176" s="21">
        <v>68.873999999999995</v>
      </c>
      <c r="L176" s="21">
        <f t="shared" si="9"/>
        <v>4.9419999999999931</v>
      </c>
      <c r="M176" s="21">
        <f t="shared" si="10"/>
        <v>0.15900000000000691</v>
      </c>
      <c r="N176">
        <f t="shared" si="11"/>
        <v>3.1170358753187006</v>
      </c>
    </row>
    <row r="177" spans="1:14" x14ac:dyDescent="0.2">
      <c r="A177">
        <v>20329</v>
      </c>
      <c r="B177" s="23">
        <f t="shared" si="8"/>
        <v>44159</v>
      </c>
      <c r="C177" t="s">
        <v>42</v>
      </c>
      <c r="D177">
        <v>19</v>
      </c>
      <c r="E177" t="s">
        <v>46</v>
      </c>
      <c r="F177" t="s">
        <v>39</v>
      </c>
      <c r="G177" s="22">
        <v>20</v>
      </c>
      <c r="H177">
        <v>4</v>
      </c>
      <c r="I177" s="21">
        <v>63.802999999999997</v>
      </c>
      <c r="J177" s="21">
        <v>5.0419999999999998</v>
      </c>
      <c r="K177" s="21">
        <v>68.686000000000007</v>
      </c>
      <c r="L177" s="21">
        <f t="shared" si="9"/>
        <v>4.8830000000000098</v>
      </c>
      <c r="M177" s="21">
        <f t="shared" si="10"/>
        <v>0.15899999999999004</v>
      </c>
      <c r="N177">
        <f t="shared" si="11"/>
        <v>3.1535105117015081</v>
      </c>
    </row>
    <row r="178" spans="1:14" x14ac:dyDescent="0.2">
      <c r="A178">
        <v>20329</v>
      </c>
      <c r="B178" s="23">
        <f t="shared" si="8"/>
        <v>44159</v>
      </c>
      <c r="C178" t="s">
        <v>42</v>
      </c>
      <c r="D178">
        <v>19</v>
      </c>
      <c r="E178" t="s">
        <v>46</v>
      </c>
      <c r="F178" t="s">
        <v>39</v>
      </c>
      <c r="G178" s="22">
        <v>30</v>
      </c>
      <c r="H178">
        <v>1</v>
      </c>
      <c r="I178" s="21">
        <v>65.316999999999993</v>
      </c>
      <c r="J178" s="21">
        <v>5.0620000000000003</v>
      </c>
      <c r="K178" s="21">
        <v>70.423000000000002</v>
      </c>
      <c r="L178" s="21">
        <f t="shared" si="9"/>
        <v>5.1060000000000088</v>
      </c>
      <c r="M178" s="21">
        <f t="shared" si="10"/>
        <v>-4.4000000000008477E-2</v>
      </c>
      <c r="N178">
        <f t="shared" si="11"/>
        <v>-0.86922165152130537</v>
      </c>
    </row>
    <row r="179" spans="1:14" x14ac:dyDescent="0.2">
      <c r="A179">
        <v>20329</v>
      </c>
      <c r="B179" s="23">
        <f t="shared" si="8"/>
        <v>44159</v>
      </c>
      <c r="C179" t="s">
        <v>42</v>
      </c>
      <c r="D179">
        <v>19</v>
      </c>
      <c r="E179" t="s">
        <v>46</v>
      </c>
      <c r="F179" t="s">
        <v>39</v>
      </c>
      <c r="G179" s="22">
        <v>30</v>
      </c>
      <c r="H179">
        <v>2</v>
      </c>
      <c r="I179" s="21">
        <v>64.483000000000004</v>
      </c>
      <c r="J179" s="21">
        <v>5.0549999999999997</v>
      </c>
      <c r="K179" s="21">
        <v>69.406000000000006</v>
      </c>
      <c r="L179" s="21">
        <f t="shared" si="9"/>
        <v>4.9230000000000018</v>
      </c>
      <c r="M179" s="21">
        <f t="shared" si="10"/>
        <v>0.1319999999999979</v>
      </c>
      <c r="N179">
        <f t="shared" si="11"/>
        <v>2.6112759643916501</v>
      </c>
    </row>
    <row r="180" spans="1:14" x14ac:dyDescent="0.2">
      <c r="A180">
        <v>20329</v>
      </c>
      <c r="B180" s="23">
        <f t="shared" si="8"/>
        <v>44159</v>
      </c>
      <c r="C180" t="s">
        <v>42</v>
      </c>
      <c r="D180">
        <v>19</v>
      </c>
      <c r="E180" t="s">
        <v>46</v>
      </c>
      <c r="F180" t="s">
        <v>39</v>
      </c>
      <c r="G180" s="22">
        <v>30</v>
      </c>
      <c r="H180">
        <v>3</v>
      </c>
      <c r="I180" s="21">
        <v>63.081000000000003</v>
      </c>
      <c r="J180" s="21">
        <v>5.0880000000000001</v>
      </c>
      <c r="K180" s="21">
        <v>68.039000000000001</v>
      </c>
      <c r="L180" s="21">
        <f t="shared" si="9"/>
        <v>4.9579999999999984</v>
      </c>
      <c r="M180" s="21">
        <f t="shared" si="10"/>
        <v>0.13000000000000167</v>
      </c>
      <c r="N180">
        <f t="shared" si="11"/>
        <v>2.5550314465409132</v>
      </c>
    </row>
    <row r="181" spans="1:14" x14ac:dyDescent="0.2">
      <c r="A181">
        <v>20329</v>
      </c>
      <c r="B181" s="23">
        <f t="shared" si="8"/>
        <v>44159</v>
      </c>
      <c r="C181" t="s">
        <v>42</v>
      </c>
      <c r="D181">
        <v>19</v>
      </c>
      <c r="E181" t="s">
        <v>46</v>
      </c>
      <c r="F181" t="s">
        <v>39</v>
      </c>
      <c r="G181" s="22">
        <v>30</v>
      </c>
      <c r="H181">
        <v>4</v>
      </c>
      <c r="I181" s="21">
        <v>68.066000000000003</v>
      </c>
      <c r="J181" s="21">
        <v>5.0190000000000001</v>
      </c>
      <c r="K181" s="21">
        <v>72.951999999999998</v>
      </c>
      <c r="L181" s="21">
        <f t="shared" si="9"/>
        <v>4.8859999999999957</v>
      </c>
      <c r="M181" s="21">
        <f t="shared" si="10"/>
        <v>0.13300000000000445</v>
      </c>
      <c r="N181">
        <f t="shared" si="11"/>
        <v>2.6499302649931149</v>
      </c>
    </row>
    <row r="182" spans="1:14" x14ac:dyDescent="0.2">
      <c r="A182">
        <v>20329</v>
      </c>
      <c r="B182" s="23">
        <f t="shared" si="8"/>
        <v>44159</v>
      </c>
      <c r="C182" t="s">
        <v>42</v>
      </c>
      <c r="D182">
        <v>19</v>
      </c>
      <c r="E182" t="s">
        <v>46</v>
      </c>
      <c r="F182" t="s">
        <v>39</v>
      </c>
      <c r="G182" s="22">
        <v>40</v>
      </c>
      <c r="H182">
        <v>1</v>
      </c>
      <c r="I182" s="21">
        <v>62.731999999999999</v>
      </c>
      <c r="J182" s="21">
        <v>5.0549999999999997</v>
      </c>
      <c r="K182" s="21">
        <v>67.674999999999997</v>
      </c>
      <c r="L182" s="21">
        <f t="shared" si="9"/>
        <v>4.9429999999999978</v>
      </c>
      <c r="M182" s="21">
        <f t="shared" si="10"/>
        <v>0.11200000000000188</v>
      </c>
      <c r="N182">
        <f t="shared" si="11"/>
        <v>2.2156280909990484</v>
      </c>
    </row>
    <row r="183" spans="1:14" x14ac:dyDescent="0.2">
      <c r="A183">
        <v>20329</v>
      </c>
      <c r="B183" s="23">
        <f t="shared" si="8"/>
        <v>44159</v>
      </c>
      <c r="C183" t="s">
        <v>42</v>
      </c>
      <c r="D183">
        <v>19</v>
      </c>
      <c r="E183" t="s">
        <v>46</v>
      </c>
      <c r="F183" t="s">
        <v>39</v>
      </c>
      <c r="G183" s="22">
        <v>40</v>
      </c>
      <c r="H183">
        <v>2</v>
      </c>
      <c r="I183" s="21">
        <v>64.872</v>
      </c>
      <c r="J183" s="21">
        <v>5.0389999999999997</v>
      </c>
      <c r="K183" s="21">
        <v>69.798000000000002</v>
      </c>
      <c r="L183" s="21">
        <f t="shared" si="9"/>
        <v>4.9260000000000019</v>
      </c>
      <c r="M183" s="21">
        <f t="shared" si="10"/>
        <v>0.11299999999999777</v>
      </c>
      <c r="N183">
        <f t="shared" si="11"/>
        <v>2.2425084342130934</v>
      </c>
    </row>
    <row r="184" spans="1:14" x14ac:dyDescent="0.2">
      <c r="A184">
        <v>20329</v>
      </c>
      <c r="B184" s="23">
        <f t="shared" si="8"/>
        <v>44159</v>
      </c>
      <c r="C184" t="s">
        <v>42</v>
      </c>
      <c r="D184">
        <v>19</v>
      </c>
      <c r="E184" t="s">
        <v>46</v>
      </c>
      <c r="F184" t="s">
        <v>39</v>
      </c>
      <c r="G184" s="22">
        <v>40</v>
      </c>
      <c r="H184">
        <v>3</v>
      </c>
      <c r="I184" s="21">
        <v>58.265999999999998</v>
      </c>
      <c r="J184" s="21">
        <v>5.0599999999999996</v>
      </c>
      <c r="K184" s="21">
        <v>63.213000000000001</v>
      </c>
      <c r="L184" s="21">
        <f t="shared" si="9"/>
        <v>4.9470000000000027</v>
      </c>
      <c r="M184" s="21">
        <f t="shared" si="10"/>
        <v>0.11299999999999688</v>
      </c>
      <c r="N184">
        <f t="shared" si="11"/>
        <v>2.2332015810276067</v>
      </c>
    </row>
    <row r="185" spans="1:14" x14ac:dyDescent="0.2">
      <c r="A185">
        <v>20329</v>
      </c>
      <c r="B185" s="23">
        <f t="shared" si="8"/>
        <v>44159</v>
      </c>
      <c r="C185" t="s">
        <v>42</v>
      </c>
      <c r="D185">
        <v>19</v>
      </c>
      <c r="E185" t="s">
        <v>46</v>
      </c>
      <c r="F185" t="s">
        <v>39</v>
      </c>
      <c r="G185" s="22">
        <v>40</v>
      </c>
      <c r="H185">
        <v>4</v>
      </c>
      <c r="I185" s="21">
        <v>62.197000000000003</v>
      </c>
      <c r="J185" s="21">
        <v>5.0830000000000002</v>
      </c>
      <c r="K185" s="21">
        <v>67.165999999999997</v>
      </c>
      <c r="L185" s="21">
        <f t="shared" si="9"/>
        <v>4.9689999999999941</v>
      </c>
      <c r="M185" s="21">
        <f t="shared" si="10"/>
        <v>0.1140000000000061</v>
      </c>
      <c r="N185">
        <f t="shared" si="11"/>
        <v>2.2427700177061989</v>
      </c>
    </row>
    <row r="186" spans="1:14" x14ac:dyDescent="0.2">
      <c r="A186">
        <v>20329</v>
      </c>
      <c r="B186" s="23">
        <f t="shared" si="8"/>
        <v>44159</v>
      </c>
      <c r="C186" t="s">
        <v>42</v>
      </c>
      <c r="D186">
        <v>19</v>
      </c>
      <c r="E186" t="s">
        <v>46</v>
      </c>
      <c r="F186" t="s">
        <v>39</v>
      </c>
      <c r="G186" s="22">
        <v>50</v>
      </c>
      <c r="H186">
        <v>1</v>
      </c>
      <c r="I186" s="21">
        <v>62.198</v>
      </c>
      <c r="J186" s="21">
        <v>5.0179999999999998</v>
      </c>
      <c r="K186" s="21">
        <v>67.141999999999996</v>
      </c>
      <c r="L186" s="21">
        <f t="shared" si="9"/>
        <v>4.9439999999999955</v>
      </c>
      <c r="M186" s="21">
        <f t="shared" si="10"/>
        <v>7.4000000000004285E-2</v>
      </c>
      <c r="N186">
        <f t="shared" si="11"/>
        <v>1.4746911119968968</v>
      </c>
    </row>
    <row r="187" spans="1:14" x14ac:dyDescent="0.2">
      <c r="A187">
        <v>20329</v>
      </c>
      <c r="B187" s="23">
        <f t="shared" si="8"/>
        <v>44159</v>
      </c>
      <c r="C187" t="s">
        <v>42</v>
      </c>
      <c r="D187">
        <v>19</v>
      </c>
      <c r="E187" t="s">
        <v>46</v>
      </c>
      <c r="F187" t="s">
        <v>39</v>
      </c>
      <c r="G187" s="22">
        <v>50</v>
      </c>
      <c r="H187">
        <v>2</v>
      </c>
      <c r="I187" s="21">
        <v>58.265999999999998</v>
      </c>
      <c r="J187" s="21">
        <v>5.0110000000000001</v>
      </c>
      <c r="K187" s="21">
        <v>63.206000000000003</v>
      </c>
      <c r="L187" s="21">
        <f t="shared" si="9"/>
        <v>4.9400000000000048</v>
      </c>
      <c r="M187" s="21">
        <f t="shared" si="10"/>
        <v>7.0999999999995289E-2</v>
      </c>
      <c r="N187">
        <f t="shared" si="11"/>
        <v>1.4168828577129373</v>
      </c>
    </row>
    <row r="188" spans="1:14" x14ac:dyDescent="0.2">
      <c r="A188">
        <v>20329</v>
      </c>
      <c r="B188" s="23">
        <f t="shared" si="8"/>
        <v>44159</v>
      </c>
      <c r="C188" t="s">
        <v>42</v>
      </c>
      <c r="D188">
        <v>19</v>
      </c>
      <c r="E188" t="s">
        <v>46</v>
      </c>
      <c r="F188" t="s">
        <v>39</v>
      </c>
      <c r="G188" s="22">
        <v>50</v>
      </c>
      <c r="H188">
        <v>3</v>
      </c>
      <c r="I188" s="21">
        <v>63.081000000000003</v>
      </c>
      <c r="J188" s="21">
        <v>5.0640000000000001</v>
      </c>
      <c r="K188" s="21">
        <v>68.069000000000003</v>
      </c>
      <c r="L188" s="21">
        <f t="shared" si="9"/>
        <v>4.9879999999999995</v>
      </c>
      <c r="M188" s="21">
        <f t="shared" si="10"/>
        <v>7.6000000000000512E-2</v>
      </c>
      <c r="N188">
        <f t="shared" si="11"/>
        <v>1.5007898894154919</v>
      </c>
    </row>
    <row r="189" spans="1:14" x14ac:dyDescent="0.2">
      <c r="A189">
        <v>20329</v>
      </c>
      <c r="B189" s="23">
        <f t="shared" si="8"/>
        <v>44159</v>
      </c>
      <c r="C189" t="s">
        <v>42</v>
      </c>
      <c r="D189">
        <v>19</v>
      </c>
      <c r="E189" t="s">
        <v>46</v>
      </c>
      <c r="F189" t="s">
        <v>39</v>
      </c>
      <c r="G189" s="22">
        <v>50</v>
      </c>
      <c r="H189">
        <v>4</v>
      </c>
      <c r="I189" s="21">
        <v>68.066000000000003</v>
      </c>
      <c r="J189" s="21">
        <v>5.048</v>
      </c>
      <c r="K189" s="21">
        <v>73.036000000000001</v>
      </c>
      <c r="L189" s="21">
        <f t="shared" si="9"/>
        <v>4.9699999999999989</v>
      </c>
      <c r="M189" s="21">
        <f t="shared" si="10"/>
        <v>7.800000000000118E-2</v>
      </c>
      <c r="N189">
        <f t="shared" si="11"/>
        <v>1.545166402535681</v>
      </c>
    </row>
    <row r="190" spans="1:14" x14ac:dyDescent="0.2">
      <c r="A190">
        <v>20329</v>
      </c>
      <c r="B190" s="23">
        <f t="shared" si="8"/>
        <v>44159</v>
      </c>
      <c r="C190" t="s">
        <v>42</v>
      </c>
      <c r="D190">
        <v>19</v>
      </c>
      <c r="E190" t="s">
        <v>46</v>
      </c>
      <c r="F190" t="s">
        <v>39</v>
      </c>
      <c r="G190" s="22">
        <v>60</v>
      </c>
      <c r="H190">
        <v>1</v>
      </c>
      <c r="I190" s="21">
        <v>64.483000000000004</v>
      </c>
      <c r="J190" s="21">
        <v>5.0049999999999999</v>
      </c>
      <c r="K190" s="21">
        <v>69.421999999999997</v>
      </c>
      <c r="L190" s="21">
        <f t="shared" si="9"/>
        <v>4.938999999999993</v>
      </c>
      <c r="M190" s="21">
        <f t="shared" si="10"/>
        <v>6.6000000000006942E-2</v>
      </c>
      <c r="N190">
        <f t="shared" si="11"/>
        <v>1.3186813186814574</v>
      </c>
    </row>
    <row r="191" spans="1:14" x14ac:dyDescent="0.2">
      <c r="A191">
        <v>20329</v>
      </c>
      <c r="B191" s="23">
        <f t="shared" si="8"/>
        <v>44159</v>
      </c>
      <c r="C191" t="s">
        <v>42</v>
      </c>
      <c r="D191">
        <v>19</v>
      </c>
      <c r="E191" t="s">
        <v>46</v>
      </c>
      <c r="F191" t="s">
        <v>39</v>
      </c>
      <c r="G191" s="22">
        <v>60</v>
      </c>
      <c r="H191">
        <v>2</v>
      </c>
      <c r="I191" s="21">
        <v>65.748000000000005</v>
      </c>
      <c r="J191" s="21">
        <v>5.09</v>
      </c>
      <c r="K191" s="21">
        <v>70.772000000000006</v>
      </c>
      <c r="L191" s="21">
        <f t="shared" si="9"/>
        <v>5.0240000000000009</v>
      </c>
      <c r="M191" s="21">
        <f t="shared" si="10"/>
        <v>6.5999999999998948E-2</v>
      </c>
      <c r="N191">
        <f t="shared" si="11"/>
        <v>1.296660117878172</v>
      </c>
    </row>
    <row r="192" spans="1:14" x14ac:dyDescent="0.2">
      <c r="A192">
        <v>20329</v>
      </c>
      <c r="B192" s="23">
        <f t="shared" si="8"/>
        <v>44159</v>
      </c>
      <c r="C192" t="s">
        <v>42</v>
      </c>
      <c r="D192">
        <v>19</v>
      </c>
      <c r="E192" t="s">
        <v>46</v>
      </c>
      <c r="F192" t="s">
        <v>39</v>
      </c>
      <c r="G192" s="22">
        <v>60</v>
      </c>
      <c r="H192">
        <v>3</v>
      </c>
      <c r="I192" s="21">
        <v>62.732999999999997</v>
      </c>
      <c r="J192" s="21">
        <v>5.0339999999999998</v>
      </c>
      <c r="K192" s="21">
        <v>67.697999999999993</v>
      </c>
      <c r="L192" s="21">
        <f t="shared" si="9"/>
        <v>4.9649999999999963</v>
      </c>
      <c r="M192" s="21">
        <f t="shared" si="10"/>
        <v>6.9000000000003503E-2</v>
      </c>
      <c r="N192">
        <f t="shared" si="11"/>
        <v>1.3706793802146109</v>
      </c>
    </row>
    <row r="193" spans="1:14" x14ac:dyDescent="0.2">
      <c r="A193">
        <v>20329</v>
      </c>
      <c r="B193" s="23">
        <f t="shared" si="8"/>
        <v>44159</v>
      </c>
      <c r="C193" t="s">
        <v>42</v>
      </c>
      <c r="D193">
        <v>19</v>
      </c>
      <c r="E193" t="s">
        <v>46</v>
      </c>
      <c r="F193" t="s">
        <v>39</v>
      </c>
      <c r="G193" s="22">
        <v>60</v>
      </c>
      <c r="H193">
        <v>4</v>
      </c>
      <c r="I193" s="21">
        <v>59.808999999999997</v>
      </c>
      <c r="J193" s="21">
        <v>5.0339999999999998</v>
      </c>
      <c r="K193" s="21">
        <v>64.777000000000001</v>
      </c>
      <c r="L193" s="21">
        <f t="shared" si="9"/>
        <v>4.9680000000000035</v>
      </c>
      <c r="M193" s="21">
        <f t="shared" si="10"/>
        <v>6.5999999999996284E-2</v>
      </c>
      <c r="N193">
        <f t="shared" si="11"/>
        <v>1.3110846245529657</v>
      </c>
    </row>
    <row r="194" spans="1:14" x14ac:dyDescent="0.2">
      <c r="A194">
        <v>20329</v>
      </c>
      <c r="B194" s="23">
        <f t="shared" si="8"/>
        <v>44159</v>
      </c>
      <c r="C194" t="s">
        <v>42</v>
      </c>
      <c r="D194">
        <v>19</v>
      </c>
      <c r="E194" t="s">
        <v>46</v>
      </c>
      <c r="F194" t="s">
        <v>39</v>
      </c>
      <c r="G194" s="22">
        <v>70</v>
      </c>
      <c r="H194">
        <v>1</v>
      </c>
      <c r="I194" s="21">
        <v>65.317999999999998</v>
      </c>
      <c r="J194" s="21">
        <v>5.0129999999999999</v>
      </c>
      <c r="K194" s="21">
        <v>70.269000000000005</v>
      </c>
      <c r="L194" s="21">
        <f t="shared" si="9"/>
        <v>4.9510000000000076</v>
      </c>
      <c r="M194" s="21">
        <f t="shared" si="10"/>
        <v>6.1999999999992284E-2</v>
      </c>
      <c r="N194">
        <f t="shared" si="11"/>
        <v>1.236784360662124</v>
      </c>
    </row>
    <row r="195" spans="1:14" x14ac:dyDescent="0.2">
      <c r="A195">
        <v>20329</v>
      </c>
      <c r="B195" s="23">
        <f t="shared" ref="B195:B258" si="12">DATE(IF(0+(LEFT(A195))&lt;30,2000,1900)+LEFT(A195,2),1,RIGHT(A195,3))</f>
        <v>44159</v>
      </c>
      <c r="C195" t="s">
        <v>42</v>
      </c>
      <c r="D195">
        <v>19</v>
      </c>
      <c r="E195" t="s">
        <v>46</v>
      </c>
      <c r="F195" t="s">
        <v>39</v>
      </c>
      <c r="G195" s="22">
        <v>70</v>
      </c>
      <c r="H195">
        <v>2</v>
      </c>
      <c r="I195" s="21">
        <v>64.870999999999995</v>
      </c>
      <c r="J195" s="21">
        <v>5.0449999999999999</v>
      </c>
      <c r="K195" s="21">
        <v>69.855000000000004</v>
      </c>
      <c r="L195" s="21">
        <f t="shared" ref="L195:L258" si="13">K195-I195</f>
        <v>4.9840000000000089</v>
      </c>
      <c r="M195" s="21">
        <f t="shared" ref="M195:M258" si="14">J195-L195</f>
        <v>6.0999999999991061E-2</v>
      </c>
      <c r="N195">
        <f t="shared" ref="N195:N258" si="15">M195/J195*100</f>
        <v>1.2091179385528457</v>
      </c>
    </row>
    <row r="196" spans="1:14" x14ac:dyDescent="0.2">
      <c r="A196">
        <v>20329</v>
      </c>
      <c r="B196" s="23">
        <f t="shared" si="12"/>
        <v>44159</v>
      </c>
      <c r="C196" t="s">
        <v>42</v>
      </c>
      <c r="D196">
        <v>19</v>
      </c>
      <c r="E196" t="s">
        <v>46</v>
      </c>
      <c r="F196" t="s">
        <v>39</v>
      </c>
      <c r="G196" s="22">
        <v>70</v>
      </c>
      <c r="H196">
        <v>3</v>
      </c>
      <c r="I196" s="21">
        <v>63.930999999999997</v>
      </c>
      <c r="J196" s="21">
        <v>5.0229999999999997</v>
      </c>
      <c r="K196" s="21">
        <v>68.894000000000005</v>
      </c>
      <c r="L196" s="21">
        <f t="shared" si="13"/>
        <v>4.9630000000000081</v>
      </c>
      <c r="M196" s="21">
        <f t="shared" si="14"/>
        <v>5.9999999999991616E-2</v>
      </c>
      <c r="N196">
        <f t="shared" si="15"/>
        <v>1.1945052757314676</v>
      </c>
    </row>
    <row r="197" spans="1:14" x14ac:dyDescent="0.2">
      <c r="A197">
        <v>20329</v>
      </c>
      <c r="B197" s="23">
        <f t="shared" si="12"/>
        <v>44159</v>
      </c>
      <c r="C197" t="s">
        <v>42</v>
      </c>
      <c r="D197">
        <v>19</v>
      </c>
      <c r="E197" t="s">
        <v>46</v>
      </c>
      <c r="F197" t="s">
        <v>39</v>
      </c>
      <c r="G197" s="22">
        <v>70</v>
      </c>
      <c r="H197">
        <v>4</v>
      </c>
      <c r="I197" s="21">
        <v>63.802999999999997</v>
      </c>
      <c r="J197" s="21">
        <v>5.0369999999999999</v>
      </c>
      <c r="K197" s="21">
        <v>68.778999999999996</v>
      </c>
      <c r="L197" s="21">
        <f t="shared" si="13"/>
        <v>4.9759999999999991</v>
      </c>
      <c r="M197" s="21">
        <f t="shared" si="14"/>
        <v>6.1000000000000831E-2</v>
      </c>
      <c r="N197">
        <f t="shared" si="15"/>
        <v>1.2110383164582259</v>
      </c>
    </row>
    <row r="198" spans="1:14" x14ac:dyDescent="0.2">
      <c r="A198">
        <v>20329</v>
      </c>
      <c r="B198" s="23">
        <f t="shared" si="12"/>
        <v>44159</v>
      </c>
      <c r="C198" t="s">
        <v>42</v>
      </c>
      <c r="D198">
        <v>19</v>
      </c>
      <c r="E198" t="s">
        <v>46</v>
      </c>
      <c r="F198" t="s">
        <v>39</v>
      </c>
      <c r="G198" s="22">
        <v>80</v>
      </c>
      <c r="H198">
        <v>1</v>
      </c>
      <c r="I198" s="21">
        <v>64.872</v>
      </c>
      <c r="J198" s="21">
        <v>5.04</v>
      </c>
      <c r="K198" s="21">
        <v>69.861000000000004</v>
      </c>
      <c r="L198" s="21">
        <f t="shared" si="13"/>
        <v>4.9890000000000043</v>
      </c>
      <c r="M198" s="21">
        <f t="shared" si="14"/>
        <v>5.0999999999995715E-2</v>
      </c>
      <c r="N198">
        <f t="shared" si="15"/>
        <v>1.011904761904677</v>
      </c>
    </row>
    <row r="199" spans="1:14" x14ac:dyDescent="0.2">
      <c r="A199">
        <v>20329</v>
      </c>
      <c r="B199" s="23">
        <f t="shared" si="12"/>
        <v>44159</v>
      </c>
      <c r="C199" t="s">
        <v>42</v>
      </c>
      <c r="D199">
        <v>19</v>
      </c>
      <c r="E199" t="s">
        <v>46</v>
      </c>
      <c r="F199" t="s">
        <v>39</v>
      </c>
      <c r="G199" s="22">
        <v>80</v>
      </c>
      <c r="H199">
        <v>2</v>
      </c>
      <c r="I199" s="21">
        <v>68.066000000000003</v>
      </c>
      <c r="J199" s="21">
        <v>5.016</v>
      </c>
      <c r="K199" s="21">
        <v>73.03</v>
      </c>
      <c r="L199" s="21">
        <f t="shared" si="13"/>
        <v>4.9639999999999986</v>
      </c>
      <c r="M199" s="21">
        <f t="shared" si="14"/>
        <v>5.2000000000001378E-2</v>
      </c>
      <c r="N199">
        <f t="shared" si="15"/>
        <v>1.0366826156300115</v>
      </c>
    </row>
    <row r="200" spans="1:14" x14ac:dyDescent="0.2">
      <c r="A200">
        <v>20329</v>
      </c>
      <c r="B200" s="23">
        <f t="shared" si="12"/>
        <v>44159</v>
      </c>
      <c r="C200" t="s">
        <v>42</v>
      </c>
      <c r="D200">
        <v>19</v>
      </c>
      <c r="E200" t="s">
        <v>46</v>
      </c>
      <c r="F200" t="s">
        <v>39</v>
      </c>
      <c r="G200" s="22">
        <v>80</v>
      </c>
      <c r="H200">
        <v>3</v>
      </c>
      <c r="I200" s="21">
        <v>58.267000000000003</v>
      </c>
      <c r="J200" s="21">
        <v>5.0270000000000001</v>
      </c>
      <c r="K200" s="21">
        <v>63.24</v>
      </c>
      <c r="L200" s="21">
        <f t="shared" si="13"/>
        <v>4.972999999999999</v>
      </c>
      <c r="M200" s="21">
        <f t="shared" si="14"/>
        <v>5.4000000000001158E-2</v>
      </c>
      <c r="N200">
        <f t="shared" si="15"/>
        <v>1.0741993236523009</v>
      </c>
    </row>
    <row r="201" spans="1:14" x14ac:dyDescent="0.2">
      <c r="A201">
        <v>20329</v>
      </c>
      <c r="B201" s="23">
        <f t="shared" si="12"/>
        <v>44159</v>
      </c>
      <c r="C201" t="s">
        <v>42</v>
      </c>
      <c r="D201">
        <v>19</v>
      </c>
      <c r="E201" t="s">
        <v>46</v>
      </c>
      <c r="F201" t="s">
        <v>39</v>
      </c>
      <c r="G201" s="22">
        <v>80</v>
      </c>
      <c r="H201">
        <v>4</v>
      </c>
      <c r="I201" s="21">
        <v>63.081000000000003</v>
      </c>
      <c r="J201" s="21">
        <v>5.0720000000000001</v>
      </c>
      <c r="K201" s="21">
        <v>68.100999999999999</v>
      </c>
      <c r="L201" s="21">
        <f t="shared" si="13"/>
        <v>5.019999999999996</v>
      </c>
      <c r="M201" s="21">
        <f t="shared" si="14"/>
        <v>5.2000000000004043E-2</v>
      </c>
      <c r="N201">
        <f t="shared" si="15"/>
        <v>1.0252365930600167</v>
      </c>
    </row>
    <row r="202" spans="1:14" x14ac:dyDescent="0.2">
      <c r="A202">
        <v>20329</v>
      </c>
      <c r="B202" s="23">
        <f t="shared" si="12"/>
        <v>44159</v>
      </c>
      <c r="C202" t="s">
        <v>42</v>
      </c>
      <c r="D202">
        <v>19</v>
      </c>
      <c r="E202" t="s">
        <v>47</v>
      </c>
      <c r="F202" t="s">
        <v>39</v>
      </c>
      <c r="G202" s="22">
        <v>10</v>
      </c>
      <c r="H202">
        <v>1</v>
      </c>
      <c r="I202" s="21">
        <v>65.316999999999993</v>
      </c>
      <c r="J202" s="21">
        <v>5.0039999999999996</v>
      </c>
      <c r="K202" s="21">
        <v>70.150999999999996</v>
      </c>
      <c r="L202" s="21">
        <f t="shared" si="13"/>
        <v>4.8340000000000032</v>
      </c>
      <c r="M202" s="21">
        <f t="shared" si="14"/>
        <v>0.16999999999999638</v>
      </c>
      <c r="N202">
        <f t="shared" si="15"/>
        <v>3.3972821742605195</v>
      </c>
    </row>
    <row r="203" spans="1:14" x14ac:dyDescent="0.2">
      <c r="A203">
        <v>20329</v>
      </c>
      <c r="B203" s="23">
        <f t="shared" si="12"/>
        <v>44159</v>
      </c>
      <c r="C203" t="s">
        <v>42</v>
      </c>
      <c r="D203">
        <v>19</v>
      </c>
      <c r="E203" t="s">
        <v>47</v>
      </c>
      <c r="F203" t="s">
        <v>39</v>
      </c>
      <c r="G203" s="22">
        <v>10</v>
      </c>
      <c r="H203">
        <v>2</v>
      </c>
      <c r="I203" s="21">
        <v>62.197000000000003</v>
      </c>
      <c r="J203" s="21">
        <v>5.016</v>
      </c>
      <c r="K203" s="21">
        <v>67.040999999999997</v>
      </c>
      <c r="L203" s="21">
        <f t="shared" si="13"/>
        <v>4.8439999999999941</v>
      </c>
      <c r="M203" s="21">
        <f t="shared" si="14"/>
        <v>0.17200000000000593</v>
      </c>
      <c r="N203">
        <f t="shared" si="15"/>
        <v>3.4290271132377579</v>
      </c>
    </row>
    <row r="204" spans="1:14" x14ac:dyDescent="0.2">
      <c r="A204">
        <v>20329</v>
      </c>
      <c r="B204" s="23">
        <f t="shared" si="12"/>
        <v>44159</v>
      </c>
      <c r="C204" t="s">
        <v>42</v>
      </c>
      <c r="D204">
        <v>19</v>
      </c>
      <c r="E204" t="s">
        <v>47</v>
      </c>
      <c r="F204" t="s">
        <v>39</v>
      </c>
      <c r="G204" s="22">
        <v>10</v>
      </c>
      <c r="H204">
        <v>3</v>
      </c>
      <c r="I204" s="21">
        <v>59.81</v>
      </c>
      <c r="J204" s="21">
        <v>5.04</v>
      </c>
      <c r="K204" s="21">
        <v>64.677999999999997</v>
      </c>
      <c r="L204" s="21">
        <f t="shared" si="13"/>
        <v>4.867999999999995</v>
      </c>
      <c r="M204" s="21">
        <f t="shared" si="14"/>
        <v>0.17200000000000504</v>
      </c>
      <c r="N204">
        <f t="shared" si="15"/>
        <v>3.4126984126985125</v>
      </c>
    </row>
    <row r="205" spans="1:14" x14ac:dyDescent="0.2">
      <c r="A205">
        <v>20329</v>
      </c>
      <c r="B205" s="23">
        <f t="shared" si="12"/>
        <v>44159</v>
      </c>
      <c r="C205" t="s">
        <v>42</v>
      </c>
      <c r="D205">
        <v>19</v>
      </c>
      <c r="E205" t="s">
        <v>47</v>
      </c>
      <c r="F205" t="s">
        <v>39</v>
      </c>
      <c r="G205" s="22">
        <v>10</v>
      </c>
      <c r="H205">
        <v>4</v>
      </c>
      <c r="I205" s="21">
        <v>65.748000000000005</v>
      </c>
      <c r="J205" s="21">
        <v>5.0060000000000002</v>
      </c>
      <c r="K205" s="21">
        <v>70.575999999999993</v>
      </c>
      <c r="L205" s="21">
        <f t="shared" si="13"/>
        <v>4.8279999999999887</v>
      </c>
      <c r="M205" s="21">
        <f t="shared" si="14"/>
        <v>0.17800000000001148</v>
      </c>
      <c r="N205">
        <f t="shared" si="15"/>
        <v>3.5557331202559226</v>
      </c>
    </row>
    <row r="206" spans="1:14" x14ac:dyDescent="0.2">
      <c r="A206">
        <v>20329</v>
      </c>
      <c r="B206" s="23">
        <f t="shared" si="12"/>
        <v>44159</v>
      </c>
      <c r="C206" t="s">
        <v>42</v>
      </c>
      <c r="D206">
        <v>19</v>
      </c>
      <c r="E206" t="s">
        <v>47</v>
      </c>
      <c r="F206" t="s">
        <v>39</v>
      </c>
      <c r="G206" s="22">
        <v>20</v>
      </c>
      <c r="H206">
        <v>1</v>
      </c>
      <c r="I206" s="21">
        <v>59.81</v>
      </c>
      <c r="J206" s="21">
        <v>5.0060000000000002</v>
      </c>
      <c r="K206" s="21">
        <v>64.641999999999996</v>
      </c>
      <c r="L206" s="21">
        <f t="shared" si="13"/>
        <v>4.8319999999999936</v>
      </c>
      <c r="M206" s="21">
        <f t="shared" si="14"/>
        <v>0.17400000000000659</v>
      </c>
      <c r="N206">
        <f t="shared" si="15"/>
        <v>3.4758290051938991</v>
      </c>
    </row>
    <row r="207" spans="1:14" x14ac:dyDescent="0.2">
      <c r="A207">
        <v>20329</v>
      </c>
      <c r="B207" s="23">
        <f t="shared" si="12"/>
        <v>44159</v>
      </c>
      <c r="C207" t="s">
        <v>42</v>
      </c>
      <c r="D207">
        <v>19</v>
      </c>
      <c r="E207" t="s">
        <v>47</v>
      </c>
      <c r="F207" t="s">
        <v>39</v>
      </c>
      <c r="G207" s="22">
        <v>20</v>
      </c>
      <c r="H207">
        <v>2</v>
      </c>
      <c r="I207" s="21">
        <v>65.748000000000005</v>
      </c>
      <c r="J207" s="21">
        <v>5.0890000000000004</v>
      </c>
      <c r="K207" s="21">
        <v>70.662999999999997</v>
      </c>
      <c r="L207" s="21">
        <f t="shared" si="13"/>
        <v>4.914999999999992</v>
      </c>
      <c r="M207" s="21">
        <f t="shared" si="14"/>
        <v>0.17400000000000837</v>
      </c>
      <c r="N207">
        <f t="shared" si="15"/>
        <v>3.4191393201023454</v>
      </c>
    </row>
    <row r="208" spans="1:14" x14ac:dyDescent="0.2">
      <c r="A208">
        <v>20329</v>
      </c>
      <c r="B208" s="23">
        <f t="shared" si="12"/>
        <v>44159</v>
      </c>
      <c r="C208" t="s">
        <v>42</v>
      </c>
      <c r="D208">
        <v>19</v>
      </c>
      <c r="E208" t="s">
        <v>47</v>
      </c>
      <c r="F208" t="s">
        <v>39</v>
      </c>
      <c r="G208" s="22">
        <v>20</v>
      </c>
      <c r="H208">
        <v>3</v>
      </c>
      <c r="I208" s="21">
        <v>64.872</v>
      </c>
      <c r="J208" s="21">
        <v>5.048</v>
      </c>
      <c r="K208" s="21">
        <v>69.745999999999995</v>
      </c>
      <c r="L208" s="21">
        <f t="shared" si="13"/>
        <v>4.8739999999999952</v>
      </c>
      <c r="M208" s="21">
        <f t="shared" si="14"/>
        <v>0.17400000000000482</v>
      </c>
      <c r="N208">
        <f t="shared" si="15"/>
        <v>3.4469096671950243</v>
      </c>
    </row>
    <row r="209" spans="1:14" x14ac:dyDescent="0.2">
      <c r="A209">
        <v>20329</v>
      </c>
      <c r="B209" s="23">
        <f t="shared" si="12"/>
        <v>44159</v>
      </c>
      <c r="C209" t="s">
        <v>42</v>
      </c>
      <c r="D209">
        <v>19</v>
      </c>
      <c r="E209" t="s">
        <v>47</v>
      </c>
      <c r="F209" t="s">
        <v>39</v>
      </c>
      <c r="G209" s="22">
        <v>20</v>
      </c>
      <c r="H209">
        <v>4</v>
      </c>
      <c r="I209" s="21">
        <v>62.198</v>
      </c>
      <c r="J209" s="21">
        <v>5.0049999999999999</v>
      </c>
      <c r="K209" s="21">
        <v>67.028999999999996</v>
      </c>
      <c r="L209" s="21">
        <f t="shared" si="13"/>
        <v>4.830999999999996</v>
      </c>
      <c r="M209" s="21">
        <f t="shared" si="14"/>
        <v>0.17400000000000393</v>
      </c>
      <c r="N209">
        <f t="shared" si="15"/>
        <v>3.4765234765235555</v>
      </c>
    </row>
    <row r="210" spans="1:14" x14ac:dyDescent="0.2">
      <c r="A210">
        <v>20329</v>
      </c>
      <c r="B210" s="23">
        <f t="shared" si="12"/>
        <v>44159</v>
      </c>
      <c r="C210" t="s">
        <v>42</v>
      </c>
      <c r="D210">
        <v>19</v>
      </c>
      <c r="E210" t="s">
        <v>47</v>
      </c>
      <c r="F210" t="s">
        <v>39</v>
      </c>
      <c r="G210" s="22">
        <v>30</v>
      </c>
      <c r="H210">
        <v>1</v>
      </c>
      <c r="I210" s="21">
        <v>62.732999999999997</v>
      </c>
      <c r="J210" s="21">
        <v>5.024</v>
      </c>
      <c r="K210" s="21">
        <v>67.605999999999995</v>
      </c>
      <c r="L210" s="21">
        <f t="shared" si="13"/>
        <v>4.8729999999999976</v>
      </c>
      <c r="M210" s="21">
        <f t="shared" si="14"/>
        <v>0.15100000000000247</v>
      </c>
      <c r="N210">
        <f t="shared" si="15"/>
        <v>3.0055732484076922</v>
      </c>
    </row>
    <row r="211" spans="1:14" x14ac:dyDescent="0.2">
      <c r="A211">
        <v>20329</v>
      </c>
      <c r="B211" s="23">
        <f t="shared" si="12"/>
        <v>44159</v>
      </c>
      <c r="C211" t="s">
        <v>42</v>
      </c>
      <c r="D211">
        <v>19</v>
      </c>
      <c r="E211" t="s">
        <v>47</v>
      </c>
      <c r="F211" t="s">
        <v>39</v>
      </c>
      <c r="G211" s="22">
        <v>30</v>
      </c>
      <c r="H211">
        <v>2</v>
      </c>
      <c r="I211" s="21">
        <v>63.802999999999997</v>
      </c>
      <c r="J211" s="21">
        <v>5.056</v>
      </c>
      <c r="K211" s="21">
        <v>68.707999999999998</v>
      </c>
      <c r="L211" s="21">
        <f t="shared" si="13"/>
        <v>4.9050000000000011</v>
      </c>
      <c r="M211" s="21">
        <f t="shared" si="14"/>
        <v>0.15099999999999891</v>
      </c>
      <c r="N211">
        <f t="shared" si="15"/>
        <v>2.9865506329113707</v>
      </c>
    </row>
    <row r="212" spans="1:14" x14ac:dyDescent="0.2">
      <c r="A212">
        <v>20329</v>
      </c>
      <c r="B212" s="23">
        <f t="shared" si="12"/>
        <v>44159</v>
      </c>
      <c r="C212" t="s">
        <v>42</v>
      </c>
      <c r="D212">
        <v>19</v>
      </c>
      <c r="E212" t="s">
        <v>47</v>
      </c>
      <c r="F212" t="s">
        <v>39</v>
      </c>
      <c r="G212" s="22">
        <v>30</v>
      </c>
      <c r="H212">
        <v>3</v>
      </c>
      <c r="I212" s="21">
        <v>63.930999999999997</v>
      </c>
      <c r="J212" s="21">
        <v>5.024</v>
      </c>
      <c r="K212" s="21">
        <v>68.801000000000002</v>
      </c>
      <c r="L212" s="21">
        <f t="shared" si="13"/>
        <v>4.8700000000000045</v>
      </c>
      <c r="M212" s="21">
        <f t="shared" si="14"/>
        <v>0.15399999999999547</v>
      </c>
      <c r="N212">
        <f t="shared" si="15"/>
        <v>3.0652866242037313</v>
      </c>
    </row>
    <row r="213" spans="1:14" x14ac:dyDescent="0.2">
      <c r="A213">
        <v>20329</v>
      </c>
      <c r="B213" s="23">
        <f t="shared" si="12"/>
        <v>44159</v>
      </c>
      <c r="C213" t="s">
        <v>42</v>
      </c>
      <c r="D213">
        <v>19</v>
      </c>
      <c r="E213" t="s">
        <v>47</v>
      </c>
      <c r="F213" t="s">
        <v>39</v>
      </c>
      <c r="G213" s="22">
        <v>30</v>
      </c>
      <c r="H213">
        <v>4</v>
      </c>
      <c r="I213" s="21">
        <v>64.483000000000004</v>
      </c>
      <c r="J213" s="21">
        <v>5.0289999999999999</v>
      </c>
      <c r="K213" s="21">
        <v>69.358999999999995</v>
      </c>
      <c r="L213" s="21">
        <f t="shared" si="13"/>
        <v>4.8759999999999906</v>
      </c>
      <c r="M213" s="21">
        <f t="shared" si="14"/>
        <v>0.15300000000000935</v>
      </c>
      <c r="N213">
        <f t="shared" si="15"/>
        <v>3.0423543448003452</v>
      </c>
    </row>
    <row r="214" spans="1:14" x14ac:dyDescent="0.2">
      <c r="A214">
        <v>20329</v>
      </c>
      <c r="B214" s="23">
        <f t="shared" si="12"/>
        <v>44159</v>
      </c>
      <c r="C214" t="s">
        <v>42</v>
      </c>
      <c r="D214">
        <v>19</v>
      </c>
      <c r="E214" t="s">
        <v>47</v>
      </c>
      <c r="F214" t="s">
        <v>39</v>
      </c>
      <c r="G214" s="22">
        <v>40</v>
      </c>
      <c r="H214">
        <v>1</v>
      </c>
      <c r="I214" s="21">
        <v>62.732999999999997</v>
      </c>
      <c r="J214" s="21">
        <v>5.0129999999999999</v>
      </c>
      <c r="K214" s="21">
        <v>67.611999999999995</v>
      </c>
      <c r="L214" s="21">
        <f t="shared" si="13"/>
        <v>4.8789999999999978</v>
      </c>
      <c r="M214" s="21">
        <f t="shared" si="14"/>
        <v>0.13400000000000212</v>
      </c>
      <c r="N214">
        <f t="shared" si="15"/>
        <v>2.6730500698185145</v>
      </c>
    </row>
    <row r="215" spans="1:14" x14ac:dyDescent="0.2">
      <c r="A215">
        <v>20329</v>
      </c>
      <c r="B215" s="23">
        <f t="shared" si="12"/>
        <v>44159</v>
      </c>
      <c r="C215" t="s">
        <v>42</v>
      </c>
      <c r="D215">
        <v>19</v>
      </c>
      <c r="E215" t="s">
        <v>47</v>
      </c>
      <c r="F215" t="s">
        <v>39</v>
      </c>
      <c r="G215" s="22">
        <v>40</v>
      </c>
      <c r="H215">
        <v>2</v>
      </c>
      <c r="I215" s="21">
        <v>63.930999999999997</v>
      </c>
      <c r="J215" s="21">
        <v>5.032</v>
      </c>
      <c r="K215" s="21">
        <v>68.831999999999994</v>
      </c>
      <c r="L215" s="21">
        <f t="shared" si="13"/>
        <v>4.9009999999999962</v>
      </c>
      <c r="M215" s="21">
        <f t="shared" si="14"/>
        <v>0.13100000000000378</v>
      </c>
      <c r="N215">
        <f t="shared" si="15"/>
        <v>2.6033386327504728</v>
      </c>
    </row>
    <row r="216" spans="1:14" x14ac:dyDescent="0.2">
      <c r="A216">
        <v>20329</v>
      </c>
      <c r="B216" s="23">
        <f t="shared" si="12"/>
        <v>44159</v>
      </c>
      <c r="C216" t="s">
        <v>42</v>
      </c>
      <c r="D216">
        <v>19</v>
      </c>
      <c r="E216" t="s">
        <v>47</v>
      </c>
      <c r="F216" t="s">
        <v>39</v>
      </c>
      <c r="G216" s="22">
        <v>40</v>
      </c>
      <c r="H216">
        <v>3</v>
      </c>
      <c r="I216" s="21">
        <v>63.802</v>
      </c>
      <c r="J216" s="21">
        <v>5.077</v>
      </c>
      <c r="K216" s="21">
        <v>68.744</v>
      </c>
      <c r="L216" s="21">
        <f t="shared" si="13"/>
        <v>4.9420000000000002</v>
      </c>
      <c r="M216" s="21">
        <f t="shared" si="14"/>
        <v>0.13499999999999979</v>
      </c>
      <c r="N216">
        <f t="shared" si="15"/>
        <v>2.6590506204451407</v>
      </c>
    </row>
    <row r="217" spans="1:14" x14ac:dyDescent="0.2">
      <c r="A217">
        <v>20329</v>
      </c>
      <c r="B217" s="23">
        <f t="shared" si="12"/>
        <v>44159</v>
      </c>
      <c r="C217" t="s">
        <v>42</v>
      </c>
      <c r="D217">
        <v>19</v>
      </c>
      <c r="E217" t="s">
        <v>47</v>
      </c>
      <c r="F217" t="s">
        <v>39</v>
      </c>
      <c r="G217" s="22">
        <v>40</v>
      </c>
      <c r="H217">
        <v>4</v>
      </c>
      <c r="I217" s="21">
        <v>58.267000000000003</v>
      </c>
      <c r="J217" s="21">
        <v>5.0190000000000001</v>
      </c>
      <c r="K217" s="21">
        <v>63.149000000000001</v>
      </c>
      <c r="L217" s="21">
        <f t="shared" si="13"/>
        <v>4.8819999999999979</v>
      </c>
      <c r="M217" s="21">
        <f t="shared" si="14"/>
        <v>0.13700000000000223</v>
      </c>
      <c r="N217">
        <f t="shared" si="15"/>
        <v>2.729627415819929</v>
      </c>
    </row>
    <row r="218" spans="1:14" x14ac:dyDescent="0.2">
      <c r="A218">
        <v>20329</v>
      </c>
      <c r="B218" s="23">
        <f t="shared" si="12"/>
        <v>44159</v>
      </c>
      <c r="C218" t="s">
        <v>42</v>
      </c>
      <c r="D218">
        <v>19</v>
      </c>
      <c r="E218" t="s">
        <v>47</v>
      </c>
      <c r="F218" t="s">
        <v>39</v>
      </c>
      <c r="G218" s="22">
        <v>50</v>
      </c>
      <c r="H218">
        <v>1</v>
      </c>
      <c r="I218" s="21">
        <v>64.870999999999995</v>
      </c>
      <c r="J218" s="21">
        <v>5.04</v>
      </c>
      <c r="K218" s="21">
        <v>69.81</v>
      </c>
      <c r="L218" s="21">
        <f t="shared" si="13"/>
        <v>4.9390000000000072</v>
      </c>
      <c r="M218" s="21">
        <f t="shared" si="14"/>
        <v>0.10099999999999287</v>
      </c>
      <c r="N218">
        <f t="shared" si="15"/>
        <v>2.0039682539681127</v>
      </c>
    </row>
    <row r="219" spans="1:14" x14ac:dyDescent="0.2">
      <c r="A219">
        <v>20329</v>
      </c>
      <c r="B219" s="23">
        <f t="shared" si="12"/>
        <v>44159</v>
      </c>
      <c r="C219" t="s">
        <v>42</v>
      </c>
      <c r="D219">
        <v>19</v>
      </c>
      <c r="E219" t="s">
        <v>47</v>
      </c>
      <c r="F219" t="s">
        <v>39</v>
      </c>
      <c r="G219" s="22">
        <v>50</v>
      </c>
      <c r="H219">
        <v>2</v>
      </c>
      <c r="I219" s="21">
        <v>59.81</v>
      </c>
      <c r="J219" s="21">
        <v>5.0110000000000001</v>
      </c>
      <c r="K219" s="21">
        <v>64.722999999999999</v>
      </c>
      <c r="L219" s="21">
        <f t="shared" si="13"/>
        <v>4.9129999999999967</v>
      </c>
      <c r="M219" s="21">
        <f t="shared" si="14"/>
        <v>9.8000000000003418E-2</v>
      </c>
      <c r="N219">
        <f t="shared" si="15"/>
        <v>1.9556974655758015</v>
      </c>
    </row>
    <row r="220" spans="1:14" x14ac:dyDescent="0.2">
      <c r="A220">
        <v>20329</v>
      </c>
      <c r="B220" s="23">
        <f t="shared" si="12"/>
        <v>44159</v>
      </c>
      <c r="C220" t="s">
        <v>42</v>
      </c>
      <c r="D220">
        <v>19</v>
      </c>
      <c r="E220" t="s">
        <v>47</v>
      </c>
      <c r="F220" t="s">
        <v>39</v>
      </c>
      <c r="G220" s="22">
        <v>50</v>
      </c>
      <c r="H220">
        <v>3</v>
      </c>
      <c r="I220" s="21">
        <v>64.481999999999999</v>
      </c>
      <c r="J220" s="21">
        <v>5.0309999999999997</v>
      </c>
      <c r="K220" s="21">
        <v>69.415999999999997</v>
      </c>
      <c r="L220" s="21">
        <f t="shared" si="13"/>
        <v>4.9339999999999975</v>
      </c>
      <c r="M220" s="21">
        <f t="shared" si="14"/>
        <v>9.7000000000002196E-2</v>
      </c>
      <c r="N220">
        <f t="shared" si="15"/>
        <v>1.9280461140926697</v>
      </c>
    </row>
    <row r="221" spans="1:14" x14ac:dyDescent="0.2">
      <c r="A221">
        <v>20329</v>
      </c>
      <c r="B221" s="23">
        <f t="shared" si="12"/>
        <v>44159</v>
      </c>
      <c r="C221" t="s">
        <v>42</v>
      </c>
      <c r="D221">
        <v>19</v>
      </c>
      <c r="E221" t="s">
        <v>47</v>
      </c>
      <c r="F221" t="s">
        <v>39</v>
      </c>
      <c r="G221" s="22">
        <v>50</v>
      </c>
      <c r="H221">
        <v>4</v>
      </c>
      <c r="I221" s="21">
        <v>65.316000000000003</v>
      </c>
      <c r="J221" s="21">
        <v>5.0380000000000003</v>
      </c>
      <c r="K221" s="21">
        <v>70.253</v>
      </c>
      <c r="L221" s="21">
        <f t="shared" si="13"/>
        <v>4.9369999999999976</v>
      </c>
      <c r="M221" s="21">
        <f t="shared" si="14"/>
        <v>0.10100000000000264</v>
      </c>
      <c r="N221">
        <f t="shared" si="15"/>
        <v>2.0047637951568604</v>
      </c>
    </row>
    <row r="222" spans="1:14" x14ac:dyDescent="0.2">
      <c r="A222">
        <v>20329</v>
      </c>
      <c r="B222" s="23">
        <f t="shared" si="12"/>
        <v>44159</v>
      </c>
      <c r="C222" t="s">
        <v>42</v>
      </c>
      <c r="D222">
        <v>19</v>
      </c>
      <c r="E222" t="s">
        <v>47</v>
      </c>
      <c r="F222" t="s">
        <v>39</v>
      </c>
      <c r="G222" s="22">
        <v>60</v>
      </c>
      <c r="H222">
        <v>1</v>
      </c>
      <c r="I222" s="21">
        <v>63.08</v>
      </c>
      <c r="J222" s="21">
        <v>5.0369999999999999</v>
      </c>
      <c r="K222" s="21">
        <v>68.040000000000006</v>
      </c>
      <c r="L222" s="21">
        <f t="shared" si="13"/>
        <v>4.960000000000008</v>
      </c>
      <c r="M222" s="21">
        <f t="shared" si="14"/>
        <v>7.6999999999991964E-2</v>
      </c>
      <c r="N222">
        <f t="shared" si="15"/>
        <v>1.5286877109388914</v>
      </c>
    </row>
    <row r="223" spans="1:14" x14ac:dyDescent="0.2">
      <c r="A223">
        <v>20329</v>
      </c>
      <c r="B223" s="23">
        <f t="shared" si="12"/>
        <v>44159</v>
      </c>
      <c r="C223" t="s">
        <v>42</v>
      </c>
      <c r="D223">
        <v>19</v>
      </c>
      <c r="E223" t="s">
        <v>47</v>
      </c>
      <c r="F223" t="s">
        <v>39</v>
      </c>
      <c r="G223" s="22">
        <v>60</v>
      </c>
      <c r="H223">
        <v>2</v>
      </c>
      <c r="I223" s="21">
        <v>62.197000000000003</v>
      </c>
      <c r="J223" s="21">
        <v>5.0229999999999997</v>
      </c>
      <c r="K223" s="21">
        <v>67.147000000000006</v>
      </c>
      <c r="L223" s="21">
        <f t="shared" si="13"/>
        <v>4.9500000000000028</v>
      </c>
      <c r="M223" s="21">
        <f t="shared" si="14"/>
        <v>7.2999999999996845E-2</v>
      </c>
      <c r="N223">
        <f t="shared" si="15"/>
        <v>1.4533147521400926</v>
      </c>
    </row>
    <row r="224" spans="1:14" x14ac:dyDescent="0.2">
      <c r="A224">
        <v>20329</v>
      </c>
      <c r="B224" s="23">
        <f t="shared" si="12"/>
        <v>44159</v>
      </c>
      <c r="C224" t="s">
        <v>42</v>
      </c>
      <c r="D224">
        <v>19</v>
      </c>
      <c r="E224" t="s">
        <v>47</v>
      </c>
      <c r="F224" t="s">
        <v>39</v>
      </c>
      <c r="G224" s="22">
        <v>60</v>
      </c>
      <c r="H224">
        <v>3</v>
      </c>
      <c r="I224" s="21">
        <v>68.064999999999998</v>
      </c>
      <c r="J224" s="21">
        <v>5.0209999999999999</v>
      </c>
      <c r="K224" s="21">
        <v>73.010999999999996</v>
      </c>
      <c r="L224" s="21">
        <f t="shared" si="13"/>
        <v>4.945999999999998</v>
      </c>
      <c r="M224" s="21">
        <f t="shared" si="14"/>
        <v>7.5000000000001954E-2</v>
      </c>
      <c r="N224">
        <f t="shared" si="15"/>
        <v>1.4937263493328412</v>
      </c>
    </row>
    <row r="225" spans="1:14" x14ac:dyDescent="0.2">
      <c r="A225">
        <v>20329</v>
      </c>
      <c r="B225" s="23">
        <f t="shared" si="12"/>
        <v>44159</v>
      </c>
      <c r="C225" t="s">
        <v>42</v>
      </c>
      <c r="D225">
        <v>19</v>
      </c>
      <c r="E225" t="s">
        <v>47</v>
      </c>
      <c r="F225" t="s">
        <v>39</v>
      </c>
      <c r="G225" s="22">
        <v>60</v>
      </c>
      <c r="H225">
        <v>4</v>
      </c>
      <c r="I225" s="21">
        <v>65.747</v>
      </c>
      <c r="J225" s="21">
        <v>5.0359999999999996</v>
      </c>
      <c r="K225" s="21">
        <v>70.710999999999999</v>
      </c>
      <c r="L225" s="21">
        <f t="shared" si="13"/>
        <v>4.9639999999999986</v>
      </c>
      <c r="M225" s="21">
        <f t="shared" si="14"/>
        <v>7.2000000000000952E-2</v>
      </c>
      <c r="N225">
        <f t="shared" si="15"/>
        <v>1.4297061159650708</v>
      </c>
    </row>
    <row r="226" spans="1:14" x14ac:dyDescent="0.2">
      <c r="A226">
        <v>20329</v>
      </c>
      <c r="B226" s="23">
        <f t="shared" si="12"/>
        <v>44159</v>
      </c>
      <c r="C226" t="s">
        <v>42</v>
      </c>
      <c r="D226">
        <v>19</v>
      </c>
      <c r="E226" t="s">
        <v>47</v>
      </c>
      <c r="F226" t="s">
        <v>39</v>
      </c>
      <c r="G226" s="22">
        <v>70</v>
      </c>
      <c r="H226">
        <v>1</v>
      </c>
      <c r="I226" s="21">
        <v>63.802</v>
      </c>
      <c r="J226" s="21">
        <v>5.0609999999999999</v>
      </c>
      <c r="K226" s="21">
        <v>68.795000000000002</v>
      </c>
      <c r="L226" s="21">
        <f t="shared" si="13"/>
        <v>4.9930000000000021</v>
      </c>
      <c r="M226" s="21">
        <f t="shared" si="14"/>
        <v>6.799999999999784E-2</v>
      </c>
      <c r="N226">
        <f t="shared" si="15"/>
        <v>1.3436079826120895</v>
      </c>
    </row>
    <row r="227" spans="1:14" x14ac:dyDescent="0.2">
      <c r="A227">
        <v>20329</v>
      </c>
      <c r="B227" s="23">
        <f t="shared" si="12"/>
        <v>44159</v>
      </c>
      <c r="C227" t="s">
        <v>42</v>
      </c>
      <c r="D227">
        <v>19</v>
      </c>
      <c r="E227" t="s">
        <v>47</v>
      </c>
      <c r="F227" t="s">
        <v>39</v>
      </c>
      <c r="G227" s="22">
        <v>70</v>
      </c>
      <c r="H227">
        <v>2</v>
      </c>
      <c r="I227" s="21">
        <v>59.808999999999997</v>
      </c>
      <c r="J227" s="21">
        <v>5.069</v>
      </c>
      <c r="K227" s="21">
        <v>64.811999999999998</v>
      </c>
      <c r="L227" s="21">
        <f t="shared" si="13"/>
        <v>5.0030000000000001</v>
      </c>
      <c r="M227" s="21">
        <f t="shared" si="14"/>
        <v>6.5999999999999837E-2</v>
      </c>
      <c r="N227">
        <f t="shared" si="15"/>
        <v>1.3020319589662623</v>
      </c>
    </row>
    <row r="228" spans="1:14" x14ac:dyDescent="0.2">
      <c r="A228">
        <v>20329</v>
      </c>
      <c r="B228" s="23">
        <f t="shared" si="12"/>
        <v>44159</v>
      </c>
      <c r="C228" t="s">
        <v>42</v>
      </c>
      <c r="D228">
        <v>19</v>
      </c>
      <c r="E228" t="s">
        <v>47</v>
      </c>
      <c r="F228" t="s">
        <v>39</v>
      </c>
      <c r="G228" s="22">
        <v>70</v>
      </c>
      <c r="H228">
        <v>3</v>
      </c>
      <c r="I228" s="21">
        <v>58.265999999999998</v>
      </c>
      <c r="J228" s="21">
        <v>5.0780000000000003</v>
      </c>
      <c r="K228" s="21">
        <v>63.277000000000001</v>
      </c>
      <c r="L228" s="21">
        <f t="shared" si="13"/>
        <v>5.0110000000000028</v>
      </c>
      <c r="M228" s="21">
        <f t="shared" si="14"/>
        <v>6.6999999999997506E-2</v>
      </c>
      <c r="N228">
        <f t="shared" si="15"/>
        <v>1.319417093343787</v>
      </c>
    </row>
    <row r="229" spans="1:14" x14ac:dyDescent="0.2">
      <c r="A229">
        <v>20329</v>
      </c>
      <c r="B229" s="23">
        <f t="shared" si="12"/>
        <v>44159</v>
      </c>
      <c r="C229" t="s">
        <v>42</v>
      </c>
      <c r="D229">
        <v>19</v>
      </c>
      <c r="E229" t="s">
        <v>47</v>
      </c>
      <c r="F229" t="s">
        <v>39</v>
      </c>
      <c r="G229" s="22">
        <v>70</v>
      </c>
      <c r="H229">
        <v>4</v>
      </c>
      <c r="I229" s="21">
        <v>64.870999999999995</v>
      </c>
      <c r="J229" s="21">
        <v>5.0250000000000004</v>
      </c>
      <c r="K229" s="21">
        <v>69.828000000000003</v>
      </c>
      <c r="L229" s="21">
        <f t="shared" si="13"/>
        <v>4.9570000000000078</v>
      </c>
      <c r="M229" s="21">
        <f t="shared" si="14"/>
        <v>6.7999999999992511E-2</v>
      </c>
      <c r="N229">
        <f t="shared" si="15"/>
        <v>1.353233830845622</v>
      </c>
    </row>
    <row r="230" spans="1:14" x14ac:dyDescent="0.2">
      <c r="A230">
        <v>20329</v>
      </c>
      <c r="B230" s="23">
        <f t="shared" si="12"/>
        <v>44159</v>
      </c>
      <c r="C230" t="s">
        <v>42</v>
      </c>
      <c r="D230">
        <v>19</v>
      </c>
      <c r="E230" t="s">
        <v>47</v>
      </c>
      <c r="F230" t="s">
        <v>39</v>
      </c>
      <c r="G230" s="22">
        <v>80</v>
      </c>
      <c r="H230">
        <v>1</v>
      </c>
      <c r="I230" s="21">
        <v>63.08</v>
      </c>
      <c r="J230" s="21">
        <v>5.01</v>
      </c>
      <c r="K230" s="21">
        <v>68.031000000000006</v>
      </c>
      <c r="L230" s="21">
        <f t="shared" si="13"/>
        <v>4.9510000000000076</v>
      </c>
      <c r="M230" s="21">
        <f t="shared" si="14"/>
        <v>5.899999999999217E-2</v>
      </c>
      <c r="N230">
        <f t="shared" si="15"/>
        <v>1.177644710578686</v>
      </c>
    </row>
    <row r="231" spans="1:14" x14ac:dyDescent="0.2">
      <c r="A231">
        <v>20329</v>
      </c>
      <c r="B231" s="23">
        <f t="shared" si="12"/>
        <v>44159</v>
      </c>
      <c r="C231" t="s">
        <v>42</v>
      </c>
      <c r="D231">
        <v>19</v>
      </c>
      <c r="E231" t="s">
        <v>47</v>
      </c>
      <c r="F231" t="s">
        <v>39</v>
      </c>
      <c r="G231" s="22">
        <v>80</v>
      </c>
      <c r="H231">
        <v>2</v>
      </c>
      <c r="I231" s="21">
        <v>64.483000000000004</v>
      </c>
      <c r="J231" s="21">
        <v>5.0919999999999996</v>
      </c>
      <c r="K231" s="21">
        <v>69.510000000000005</v>
      </c>
      <c r="L231" s="21">
        <f t="shared" si="13"/>
        <v>5.027000000000001</v>
      </c>
      <c r="M231" s="21">
        <f t="shared" si="14"/>
        <v>6.4999999999998614E-2</v>
      </c>
      <c r="N231">
        <f t="shared" si="15"/>
        <v>1.2765121759622666</v>
      </c>
    </row>
    <row r="232" spans="1:14" x14ac:dyDescent="0.2">
      <c r="A232">
        <v>20329</v>
      </c>
      <c r="B232" s="23">
        <f t="shared" si="12"/>
        <v>44159</v>
      </c>
      <c r="C232" t="s">
        <v>42</v>
      </c>
      <c r="D232">
        <v>19</v>
      </c>
      <c r="E232" t="s">
        <v>47</v>
      </c>
      <c r="F232" t="s">
        <v>39</v>
      </c>
      <c r="G232" s="22">
        <v>80</v>
      </c>
      <c r="H232">
        <v>3</v>
      </c>
      <c r="I232" s="21">
        <v>62.731999999999999</v>
      </c>
      <c r="J232" s="21">
        <v>5.0129999999999999</v>
      </c>
      <c r="K232" s="21">
        <v>67.682000000000002</v>
      </c>
      <c r="L232" s="21">
        <f t="shared" si="13"/>
        <v>4.9500000000000028</v>
      </c>
      <c r="M232" s="21">
        <f t="shared" si="14"/>
        <v>6.2999999999997058E-2</v>
      </c>
      <c r="N232">
        <f t="shared" si="15"/>
        <v>1.256732495511611</v>
      </c>
    </row>
    <row r="233" spans="1:14" x14ac:dyDescent="0.2">
      <c r="A233">
        <v>20329</v>
      </c>
      <c r="B233" s="23">
        <f t="shared" si="12"/>
        <v>44159</v>
      </c>
      <c r="C233" t="s">
        <v>42</v>
      </c>
      <c r="D233">
        <v>19</v>
      </c>
      <c r="E233" t="s">
        <v>47</v>
      </c>
      <c r="F233" t="s">
        <v>39</v>
      </c>
      <c r="G233" s="22">
        <v>80</v>
      </c>
      <c r="H233">
        <v>4</v>
      </c>
      <c r="I233" s="21">
        <v>62.197000000000003</v>
      </c>
      <c r="J233" s="21">
        <v>5.0209999999999999</v>
      </c>
      <c r="K233" s="21">
        <v>67.153000000000006</v>
      </c>
      <c r="L233" s="21">
        <f t="shared" si="13"/>
        <v>4.9560000000000031</v>
      </c>
      <c r="M233" s="21">
        <f t="shared" si="14"/>
        <v>6.4999999999996838E-2</v>
      </c>
      <c r="N233">
        <f t="shared" si="15"/>
        <v>1.2945628360883656</v>
      </c>
    </row>
    <row r="234" spans="1:14" x14ac:dyDescent="0.2">
      <c r="A234">
        <v>20329</v>
      </c>
      <c r="B234" s="23">
        <f t="shared" si="12"/>
        <v>44159</v>
      </c>
      <c r="C234" t="s">
        <v>42</v>
      </c>
      <c r="D234">
        <v>19</v>
      </c>
      <c r="E234" t="s">
        <v>47</v>
      </c>
      <c r="F234" t="s">
        <v>39</v>
      </c>
      <c r="G234" s="22">
        <v>90</v>
      </c>
      <c r="H234">
        <v>1</v>
      </c>
      <c r="I234" s="21">
        <v>68.063999999999993</v>
      </c>
      <c r="J234" s="21">
        <v>5.0179999999999998</v>
      </c>
      <c r="K234" s="21">
        <v>73.031000000000006</v>
      </c>
      <c r="L234" s="21">
        <f t="shared" si="13"/>
        <v>4.967000000000013</v>
      </c>
      <c r="M234" s="21">
        <f t="shared" si="14"/>
        <v>5.0999999999986834E-2</v>
      </c>
      <c r="N234">
        <f t="shared" si="15"/>
        <v>1.016341171781324</v>
      </c>
    </row>
    <row r="235" spans="1:14" x14ac:dyDescent="0.2">
      <c r="A235">
        <v>20329</v>
      </c>
      <c r="B235" s="23">
        <f t="shared" si="12"/>
        <v>44159</v>
      </c>
      <c r="C235" t="s">
        <v>42</v>
      </c>
      <c r="D235">
        <v>19</v>
      </c>
      <c r="E235" t="s">
        <v>47</v>
      </c>
      <c r="F235" t="s">
        <v>39</v>
      </c>
      <c r="G235" s="22">
        <v>90</v>
      </c>
      <c r="H235">
        <v>2</v>
      </c>
      <c r="I235" s="21">
        <v>65.747</v>
      </c>
      <c r="J235" s="21">
        <v>5.0410000000000004</v>
      </c>
      <c r="K235" s="21">
        <v>70.738</v>
      </c>
      <c r="L235" s="21">
        <f t="shared" si="13"/>
        <v>4.9909999999999997</v>
      </c>
      <c r="M235" s="21">
        <f t="shared" si="14"/>
        <v>5.0000000000000711E-2</v>
      </c>
      <c r="N235">
        <f t="shared" si="15"/>
        <v>0.99186669311645914</v>
      </c>
    </row>
    <row r="236" spans="1:14" x14ac:dyDescent="0.2">
      <c r="A236">
        <v>20329</v>
      </c>
      <c r="B236" s="23">
        <f t="shared" si="12"/>
        <v>44159</v>
      </c>
      <c r="C236" t="s">
        <v>42</v>
      </c>
      <c r="D236">
        <v>19</v>
      </c>
      <c r="E236" t="s">
        <v>47</v>
      </c>
      <c r="F236" t="s">
        <v>39</v>
      </c>
      <c r="G236" s="22">
        <v>90</v>
      </c>
      <c r="H236">
        <v>3</v>
      </c>
      <c r="I236" s="21">
        <v>65.316000000000003</v>
      </c>
      <c r="J236" s="21">
        <v>5.0629999999999997</v>
      </c>
      <c r="K236" s="21">
        <v>70.325000000000003</v>
      </c>
      <c r="L236" s="21">
        <f t="shared" si="13"/>
        <v>5.0090000000000003</v>
      </c>
      <c r="M236" s="21">
        <f t="shared" si="14"/>
        <v>5.3999999999999382E-2</v>
      </c>
      <c r="N236">
        <f t="shared" si="15"/>
        <v>1.0665613272763064</v>
      </c>
    </row>
    <row r="237" spans="1:14" x14ac:dyDescent="0.2">
      <c r="A237">
        <v>20329</v>
      </c>
      <c r="B237" s="23">
        <f t="shared" si="12"/>
        <v>44159</v>
      </c>
      <c r="C237" t="s">
        <v>42</v>
      </c>
      <c r="D237">
        <v>19</v>
      </c>
      <c r="E237" t="s">
        <v>47</v>
      </c>
      <c r="F237" t="s">
        <v>39</v>
      </c>
      <c r="G237" s="22">
        <v>90</v>
      </c>
      <c r="H237">
        <v>4</v>
      </c>
      <c r="I237" s="21">
        <v>63.930999999999997</v>
      </c>
      <c r="J237" s="21">
        <v>5.0330000000000004</v>
      </c>
      <c r="K237" s="21">
        <v>68.91</v>
      </c>
      <c r="L237" s="21">
        <f t="shared" si="13"/>
        <v>4.9789999999999992</v>
      </c>
      <c r="M237" s="21">
        <f t="shared" si="14"/>
        <v>5.4000000000001158E-2</v>
      </c>
      <c r="N237">
        <f t="shared" si="15"/>
        <v>1.0729187363401778</v>
      </c>
    </row>
    <row r="238" spans="1:14" x14ac:dyDescent="0.2">
      <c r="A238">
        <v>20329</v>
      </c>
      <c r="B238" s="23">
        <f t="shared" si="12"/>
        <v>44159</v>
      </c>
      <c r="C238" t="s">
        <v>42</v>
      </c>
      <c r="D238">
        <v>19</v>
      </c>
      <c r="E238" t="s">
        <v>47</v>
      </c>
      <c r="F238" t="s">
        <v>39</v>
      </c>
      <c r="G238" s="22">
        <v>100</v>
      </c>
      <c r="H238">
        <v>1</v>
      </c>
      <c r="I238" s="21">
        <v>64.872</v>
      </c>
      <c r="J238" s="21">
        <v>5.0209999999999999</v>
      </c>
      <c r="K238" s="21">
        <v>69.846999999999994</v>
      </c>
      <c r="L238" s="21">
        <f t="shared" si="13"/>
        <v>4.9749999999999943</v>
      </c>
      <c r="M238" s="21">
        <f t="shared" si="14"/>
        <v>4.6000000000005592E-2</v>
      </c>
      <c r="N238">
        <f t="shared" si="15"/>
        <v>0.91615216092423013</v>
      </c>
    </row>
    <row r="239" spans="1:14" x14ac:dyDescent="0.2">
      <c r="A239">
        <v>20329</v>
      </c>
      <c r="B239" s="23">
        <f t="shared" si="12"/>
        <v>44159</v>
      </c>
      <c r="C239" t="s">
        <v>42</v>
      </c>
      <c r="D239">
        <v>19</v>
      </c>
      <c r="E239" t="s">
        <v>47</v>
      </c>
      <c r="F239" t="s">
        <v>39</v>
      </c>
      <c r="G239" s="22">
        <v>100</v>
      </c>
      <c r="H239">
        <v>2</v>
      </c>
      <c r="I239" s="21">
        <v>68.066000000000003</v>
      </c>
      <c r="J239" s="21">
        <v>5.0140000000000002</v>
      </c>
      <c r="K239" s="21">
        <v>73.037000000000006</v>
      </c>
      <c r="L239" s="21">
        <f t="shared" si="13"/>
        <v>4.9710000000000036</v>
      </c>
      <c r="M239" s="21">
        <f t="shared" si="14"/>
        <v>4.2999999999996597E-2</v>
      </c>
      <c r="N239">
        <f t="shared" si="15"/>
        <v>0.85759872357392497</v>
      </c>
    </row>
    <row r="240" spans="1:14" x14ac:dyDescent="0.2">
      <c r="A240">
        <v>20329</v>
      </c>
      <c r="B240" s="23">
        <f t="shared" si="12"/>
        <v>44159</v>
      </c>
      <c r="C240" t="s">
        <v>42</v>
      </c>
      <c r="D240">
        <v>19</v>
      </c>
      <c r="E240" t="s">
        <v>47</v>
      </c>
      <c r="F240" t="s">
        <v>39</v>
      </c>
      <c r="G240" s="22">
        <v>100</v>
      </c>
      <c r="H240">
        <v>3</v>
      </c>
      <c r="I240" s="21">
        <v>63.802999999999997</v>
      </c>
      <c r="J240" s="21">
        <v>5.0750000000000002</v>
      </c>
      <c r="K240" s="21">
        <v>68.831000000000003</v>
      </c>
      <c r="L240" s="21">
        <f t="shared" si="13"/>
        <v>5.0280000000000058</v>
      </c>
      <c r="M240" s="21">
        <f t="shared" si="14"/>
        <v>4.699999999999438E-2</v>
      </c>
      <c r="N240">
        <f t="shared" si="15"/>
        <v>0.92610837438412574</v>
      </c>
    </row>
    <row r="241" spans="1:14" x14ac:dyDescent="0.2">
      <c r="A241">
        <v>20329</v>
      </c>
      <c r="B241" s="23">
        <f t="shared" si="12"/>
        <v>44159</v>
      </c>
      <c r="C241" t="s">
        <v>42</v>
      </c>
      <c r="D241">
        <v>19</v>
      </c>
      <c r="E241" t="s">
        <v>47</v>
      </c>
      <c r="F241" t="s">
        <v>39</v>
      </c>
      <c r="G241" s="22">
        <v>100</v>
      </c>
      <c r="H241">
        <v>4</v>
      </c>
      <c r="I241" s="21">
        <v>58.267000000000003</v>
      </c>
      <c r="J241" s="21">
        <v>5.05</v>
      </c>
      <c r="K241" s="21">
        <v>63.273000000000003</v>
      </c>
      <c r="L241" s="21">
        <f t="shared" si="13"/>
        <v>5.0060000000000002</v>
      </c>
      <c r="M241" s="21">
        <f t="shared" si="14"/>
        <v>4.3999999999999595E-2</v>
      </c>
      <c r="N241">
        <f t="shared" si="15"/>
        <v>0.87128712871286318</v>
      </c>
    </row>
    <row r="242" spans="1:14" x14ac:dyDescent="0.2">
      <c r="A242">
        <v>20329</v>
      </c>
      <c r="B242" s="23">
        <f t="shared" si="12"/>
        <v>44159</v>
      </c>
      <c r="C242" t="s">
        <v>42</v>
      </c>
      <c r="D242">
        <v>19</v>
      </c>
      <c r="E242" t="s">
        <v>47</v>
      </c>
      <c r="F242" t="s">
        <v>39</v>
      </c>
      <c r="G242" s="22">
        <v>110</v>
      </c>
      <c r="H242">
        <v>1</v>
      </c>
      <c r="I242" s="21">
        <v>63.930999999999997</v>
      </c>
      <c r="J242" s="21">
        <v>5.0629999999999997</v>
      </c>
      <c r="K242" s="21">
        <v>68.951999999999998</v>
      </c>
      <c r="L242" s="21">
        <f t="shared" si="13"/>
        <v>5.0210000000000008</v>
      </c>
      <c r="M242" s="21">
        <f t="shared" si="14"/>
        <v>4.1999999999998927E-2</v>
      </c>
      <c r="N242">
        <f t="shared" si="15"/>
        <v>0.829547698992671</v>
      </c>
    </row>
    <row r="243" spans="1:14" x14ac:dyDescent="0.2">
      <c r="A243">
        <v>20329</v>
      </c>
      <c r="B243" s="23">
        <f t="shared" si="12"/>
        <v>44159</v>
      </c>
      <c r="C243" t="s">
        <v>42</v>
      </c>
      <c r="D243">
        <v>19</v>
      </c>
      <c r="E243" t="s">
        <v>47</v>
      </c>
      <c r="F243" t="s">
        <v>39</v>
      </c>
      <c r="G243" s="22">
        <v>110</v>
      </c>
      <c r="H243">
        <v>2</v>
      </c>
      <c r="I243" s="21">
        <v>62.198</v>
      </c>
      <c r="J243" s="21">
        <v>5.0679999999999996</v>
      </c>
      <c r="K243" s="21">
        <v>67.222999999999999</v>
      </c>
      <c r="L243" s="21">
        <f t="shared" si="13"/>
        <v>5.0249999999999986</v>
      </c>
      <c r="M243" s="21">
        <f t="shared" si="14"/>
        <v>4.3000000000001037E-2</v>
      </c>
      <c r="N243">
        <f t="shared" si="15"/>
        <v>0.84846093133388001</v>
      </c>
    </row>
    <row r="244" spans="1:14" x14ac:dyDescent="0.2">
      <c r="A244">
        <v>20329</v>
      </c>
      <c r="B244" s="23">
        <f t="shared" si="12"/>
        <v>44159</v>
      </c>
      <c r="C244" t="s">
        <v>42</v>
      </c>
      <c r="D244">
        <v>19</v>
      </c>
      <c r="E244" t="s">
        <v>47</v>
      </c>
      <c r="F244" t="s">
        <v>39</v>
      </c>
      <c r="G244" s="22">
        <v>110</v>
      </c>
      <c r="H244">
        <v>3</v>
      </c>
      <c r="I244" s="21">
        <v>64.481999999999999</v>
      </c>
      <c r="J244" s="21">
        <v>5.0049999999999999</v>
      </c>
      <c r="K244" s="21">
        <v>69.447999999999993</v>
      </c>
      <c r="L244" s="21">
        <f t="shared" si="13"/>
        <v>4.965999999999994</v>
      </c>
      <c r="M244" s="21">
        <f t="shared" si="14"/>
        <v>3.9000000000005919E-2</v>
      </c>
      <c r="N244">
        <f t="shared" si="15"/>
        <v>0.7792207792208975</v>
      </c>
    </row>
    <row r="245" spans="1:14" x14ac:dyDescent="0.2">
      <c r="A245">
        <v>20329</v>
      </c>
      <c r="B245" s="23">
        <f t="shared" si="12"/>
        <v>44159</v>
      </c>
      <c r="C245" t="s">
        <v>42</v>
      </c>
      <c r="D245">
        <v>19</v>
      </c>
      <c r="E245" t="s">
        <v>47</v>
      </c>
      <c r="F245" t="s">
        <v>39</v>
      </c>
      <c r="G245" s="22">
        <v>110</v>
      </c>
      <c r="H245">
        <v>4</v>
      </c>
      <c r="I245" s="21">
        <v>65.316000000000003</v>
      </c>
      <c r="J245" s="21">
        <v>5.0659999999999998</v>
      </c>
      <c r="K245" s="21">
        <v>70.34</v>
      </c>
      <c r="L245" s="21">
        <f t="shared" si="13"/>
        <v>5.0240000000000009</v>
      </c>
      <c r="M245" s="21">
        <f t="shared" si="14"/>
        <v>4.1999999999998927E-2</v>
      </c>
      <c r="N245">
        <f t="shared" si="15"/>
        <v>0.82905645479666257</v>
      </c>
    </row>
    <row r="246" spans="1:14" x14ac:dyDescent="0.2">
      <c r="A246">
        <v>20329</v>
      </c>
      <c r="B246" s="23">
        <f t="shared" si="12"/>
        <v>44159</v>
      </c>
      <c r="C246" t="s">
        <v>45</v>
      </c>
      <c r="D246">
        <v>18</v>
      </c>
      <c r="E246" t="s">
        <v>43</v>
      </c>
      <c r="F246" t="s">
        <v>40</v>
      </c>
      <c r="G246" s="22">
        <v>10</v>
      </c>
      <c r="H246">
        <v>1</v>
      </c>
      <c r="I246" s="21">
        <v>59.81</v>
      </c>
      <c r="J246" s="21">
        <v>5.0410000000000004</v>
      </c>
      <c r="K246" s="21">
        <v>64.713999999999999</v>
      </c>
      <c r="L246" s="21">
        <f t="shared" si="13"/>
        <v>4.9039999999999964</v>
      </c>
      <c r="M246" s="21">
        <f t="shared" si="14"/>
        <v>0.13700000000000401</v>
      </c>
      <c r="N246">
        <f t="shared" si="15"/>
        <v>2.7177147391391392</v>
      </c>
    </row>
    <row r="247" spans="1:14" x14ac:dyDescent="0.2">
      <c r="A247">
        <v>20329</v>
      </c>
      <c r="B247" s="23">
        <f t="shared" si="12"/>
        <v>44159</v>
      </c>
      <c r="C247" t="s">
        <v>45</v>
      </c>
      <c r="D247">
        <v>18</v>
      </c>
      <c r="E247" t="s">
        <v>43</v>
      </c>
      <c r="F247" t="s">
        <v>40</v>
      </c>
      <c r="G247" s="22">
        <v>10</v>
      </c>
      <c r="H247">
        <v>2</v>
      </c>
      <c r="I247" s="21">
        <v>63.081000000000003</v>
      </c>
      <c r="J247" s="21">
        <v>5.0759999999999996</v>
      </c>
      <c r="K247" s="21">
        <v>68.024000000000001</v>
      </c>
      <c r="L247" s="21">
        <f t="shared" si="13"/>
        <v>4.9429999999999978</v>
      </c>
      <c r="M247" s="21">
        <f t="shared" si="14"/>
        <v>0.13300000000000178</v>
      </c>
      <c r="N247">
        <f t="shared" si="15"/>
        <v>2.6201733648542511</v>
      </c>
    </row>
    <row r="248" spans="1:14" x14ac:dyDescent="0.2">
      <c r="A248">
        <v>20329</v>
      </c>
      <c r="B248" s="23">
        <f t="shared" si="12"/>
        <v>44159</v>
      </c>
      <c r="C248" t="s">
        <v>45</v>
      </c>
      <c r="D248">
        <v>18</v>
      </c>
      <c r="E248" t="s">
        <v>43</v>
      </c>
      <c r="F248" t="s">
        <v>40</v>
      </c>
      <c r="G248" s="22">
        <v>10</v>
      </c>
      <c r="H248">
        <v>3</v>
      </c>
      <c r="I248" s="21">
        <v>62.731999999999999</v>
      </c>
      <c r="J248" s="21">
        <v>5.0259999999999998</v>
      </c>
      <c r="K248" s="21">
        <v>67.626999999999995</v>
      </c>
      <c r="L248" s="21">
        <f t="shared" si="13"/>
        <v>4.894999999999996</v>
      </c>
      <c r="M248" s="21">
        <f t="shared" si="14"/>
        <v>0.13100000000000378</v>
      </c>
      <c r="N248">
        <f t="shared" si="15"/>
        <v>2.6064464783128489</v>
      </c>
    </row>
    <row r="249" spans="1:14" x14ac:dyDescent="0.2">
      <c r="A249">
        <v>20329</v>
      </c>
      <c r="B249" s="23">
        <f t="shared" si="12"/>
        <v>44159</v>
      </c>
      <c r="C249" t="s">
        <v>45</v>
      </c>
      <c r="D249">
        <v>18</v>
      </c>
      <c r="E249" t="s">
        <v>43</v>
      </c>
      <c r="F249" t="s">
        <v>40</v>
      </c>
      <c r="G249" s="22">
        <v>10</v>
      </c>
      <c r="H249">
        <v>4</v>
      </c>
      <c r="I249" s="21">
        <v>65.748000000000005</v>
      </c>
      <c r="J249" s="21">
        <v>5.0019999999999998</v>
      </c>
      <c r="K249" s="21">
        <v>70.613</v>
      </c>
      <c r="L249" s="21">
        <f t="shared" si="13"/>
        <v>4.8649999999999949</v>
      </c>
      <c r="M249" s="21">
        <f t="shared" si="14"/>
        <v>0.1370000000000049</v>
      </c>
      <c r="N249">
        <f t="shared" si="15"/>
        <v>2.7389044382248082</v>
      </c>
    </row>
    <row r="250" spans="1:14" x14ac:dyDescent="0.2">
      <c r="A250">
        <v>20329</v>
      </c>
      <c r="B250" s="23">
        <f t="shared" si="12"/>
        <v>44159</v>
      </c>
      <c r="C250" t="s">
        <v>45</v>
      </c>
      <c r="D250">
        <v>18</v>
      </c>
      <c r="E250" t="s">
        <v>43</v>
      </c>
      <c r="F250" t="s">
        <v>40</v>
      </c>
      <c r="G250" s="22">
        <v>20</v>
      </c>
      <c r="H250">
        <v>1</v>
      </c>
      <c r="I250" s="21">
        <v>58.267000000000003</v>
      </c>
      <c r="J250" s="21">
        <v>5.016</v>
      </c>
      <c r="K250" s="21">
        <v>63.183999999999997</v>
      </c>
      <c r="L250" s="21">
        <f t="shared" si="13"/>
        <v>4.9169999999999945</v>
      </c>
      <c r="M250" s="21">
        <f t="shared" si="14"/>
        <v>9.9000000000005528E-2</v>
      </c>
      <c r="N250">
        <f t="shared" si="15"/>
        <v>1.9736842105264261</v>
      </c>
    </row>
    <row r="251" spans="1:14" x14ac:dyDescent="0.2">
      <c r="A251">
        <v>20329</v>
      </c>
      <c r="B251" s="23">
        <f t="shared" si="12"/>
        <v>44159</v>
      </c>
      <c r="C251" t="s">
        <v>45</v>
      </c>
      <c r="D251">
        <v>18</v>
      </c>
      <c r="E251" t="s">
        <v>43</v>
      </c>
      <c r="F251" t="s">
        <v>40</v>
      </c>
      <c r="G251" s="22">
        <v>20</v>
      </c>
      <c r="H251">
        <v>2</v>
      </c>
      <c r="I251" s="21">
        <v>62.732999999999997</v>
      </c>
      <c r="J251" s="21">
        <v>5.0549999999999997</v>
      </c>
      <c r="K251" s="21">
        <v>67.688999999999993</v>
      </c>
      <c r="L251" s="21">
        <f t="shared" si="13"/>
        <v>4.955999999999996</v>
      </c>
      <c r="M251" s="21">
        <f t="shared" si="14"/>
        <v>9.9000000000003752E-2</v>
      </c>
      <c r="N251">
        <f t="shared" si="15"/>
        <v>1.9584569732938428</v>
      </c>
    </row>
    <row r="252" spans="1:14" x14ac:dyDescent="0.2">
      <c r="A252">
        <v>20329</v>
      </c>
      <c r="B252" s="23">
        <f t="shared" si="12"/>
        <v>44159</v>
      </c>
      <c r="C252" t="s">
        <v>45</v>
      </c>
      <c r="D252">
        <v>18</v>
      </c>
      <c r="E252" t="s">
        <v>43</v>
      </c>
      <c r="F252" t="s">
        <v>40</v>
      </c>
      <c r="G252" s="22">
        <v>20</v>
      </c>
      <c r="H252">
        <v>3</v>
      </c>
      <c r="I252" s="21">
        <v>65.748000000000005</v>
      </c>
      <c r="J252" s="21">
        <v>5.05</v>
      </c>
      <c r="K252" s="21">
        <v>70.701999999999998</v>
      </c>
      <c r="L252" s="21">
        <f t="shared" si="13"/>
        <v>4.9539999999999935</v>
      </c>
      <c r="M252" s="21">
        <f t="shared" si="14"/>
        <v>9.6000000000006303E-2</v>
      </c>
      <c r="N252">
        <f t="shared" si="15"/>
        <v>1.9009900990100259</v>
      </c>
    </row>
    <row r="253" spans="1:14" x14ac:dyDescent="0.2">
      <c r="A253">
        <v>20329</v>
      </c>
      <c r="B253" s="23">
        <f t="shared" si="12"/>
        <v>44159</v>
      </c>
      <c r="C253" t="s">
        <v>45</v>
      </c>
      <c r="D253">
        <v>18</v>
      </c>
      <c r="E253" t="s">
        <v>43</v>
      </c>
      <c r="F253" t="s">
        <v>40</v>
      </c>
      <c r="G253" s="22">
        <v>20</v>
      </c>
      <c r="H253">
        <v>4</v>
      </c>
      <c r="I253" s="21">
        <v>63.081000000000003</v>
      </c>
      <c r="J253" s="21">
        <v>5.0490000000000004</v>
      </c>
      <c r="K253" s="21">
        <v>68.025999999999996</v>
      </c>
      <c r="L253" s="21">
        <f t="shared" si="13"/>
        <v>4.9449999999999932</v>
      </c>
      <c r="M253" s="21">
        <f t="shared" si="14"/>
        <v>0.1040000000000072</v>
      </c>
      <c r="N253">
        <f t="shared" si="15"/>
        <v>2.0598138245198494</v>
      </c>
    </row>
    <row r="254" spans="1:14" x14ac:dyDescent="0.2">
      <c r="A254">
        <v>20329</v>
      </c>
      <c r="B254" s="23">
        <f t="shared" si="12"/>
        <v>44159</v>
      </c>
      <c r="C254" t="s">
        <v>45</v>
      </c>
      <c r="D254">
        <v>18</v>
      </c>
      <c r="E254" t="s">
        <v>43</v>
      </c>
      <c r="F254" t="s">
        <v>40</v>
      </c>
      <c r="G254" s="22">
        <v>30</v>
      </c>
      <c r="H254">
        <v>1</v>
      </c>
      <c r="I254" s="21">
        <v>62.198</v>
      </c>
      <c r="J254" s="21">
        <v>5.0970000000000004</v>
      </c>
      <c r="K254" s="21">
        <v>67.200999999999993</v>
      </c>
      <c r="L254" s="21">
        <f t="shared" si="13"/>
        <v>5.002999999999993</v>
      </c>
      <c r="M254" s="21">
        <f t="shared" si="14"/>
        <v>9.4000000000007411E-2</v>
      </c>
      <c r="N254">
        <f t="shared" si="15"/>
        <v>1.8442220914264746</v>
      </c>
    </row>
    <row r="255" spans="1:14" x14ac:dyDescent="0.2">
      <c r="A255">
        <v>20329</v>
      </c>
      <c r="B255" s="23">
        <f t="shared" si="12"/>
        <v>44159</v>
      </c>
      <c r="C255" t="s">
        <v>45</v>
      </c>
      <c r="D255">
        <v>18</v>
      </c>
      <c r="E255" t="s">
        <v>43</v>
      </c>
      <c r="F255" t="s">
        <v>40</v>
      </c>
      <c r="G255" s="22">
        <v>30</v>
      </c>
      <c r="H255">
        <v>2</v>
      </c>
      <c r="I255" s="21">
        <v>64.483999999999995</v>
      </c>
      <c r="J255" s="21">
        <v>5.0220000000000002</v>
      </c>
      <c r="K255" s="21">
        <v>69.397999999999996</v>
      </c>
      <c r="L255" s="21">
        <f t="shared" si="13"/>
        <v>4.9140000000000015</v>
      </c>
      <c r="M255" s="21">
        <f t="shared" si="14"/>
        <v>0.10799999999999876</v>
      </c>
      <c r="N255">
        <f t="shared" si="15"/>
        <v>2.1505376344085771</v>
      </c>
    </row>
    <row r="256" spans="1:14" x14ac:dyDescent="0.2">
      <c r="A256">
        <v>20329</v>
      </c>
      <c r="B256" s="23">
        <f t="shared" si="12"/>
        <v>44159</v>
      </c>
      <c r="C256" t="s">
        <v>45</v>
      </c>
      <c r="D256">
        <v>18</v>
      </c>
      <c r="E256" t="s">
        <v>43</v>
      </c>
      <c r="F256" t="s">
        <v>40</v>
      </c>
      <c r="G256" s="22">
        <v>30</v>
      </c>
      <c r="H256">
        <v>3</v>
      </c>
      <c r="I256" s="21">
        <v>65.316999999999993</v>
      </c>
      <c r="J256" s="21">
        <v>5.0780000000000003</v>
      </c>
      <c r="K256" s="21">
        <v>70.304000000000002</v>
      </c>
      <c r="L256" s="21">
        <f t="shared" si="13"/>
        <v>4.987000000000009</v>
      </c>
      <c r="M256" s="21">
        <f t="shared" si="14"/>
        <v>9.099999999999131E-2</v>
      </c>
      <c r="N256">
        <f t="shared" si="15"/>
        <v>1.7920441118548898</v>
      </c>
    </row>
    <row r="257" spans="1:14" x14ac:dyDescent="0.2">
      <c r="A257">
        <v>20329</v>
      </c>
      <c r="B257" s="23">
        <f t="shared" si="12"/>
        <v>44159</v>
      </c>
      <c r="C257" t="s">
        <v>45</v>
      </c>
      <c r="D257">
        <v>18</v>
      </c>
      <c r="E257" t="s">
        <v>43</v>
      </c>
      <c r="F257" t="s">
        <v>40</v>
      </c>
      <c r="G257" s="22">
        <v>30</v>
      </c>
      <c r="H257">
        <v>4</v>
      </c>
      <c r="I257" s="21">
        <v>63.804000000000002</v>
      </c>
      <c r="J257" s="21">
        <v>5.0339999999999998</v>
      </c>
      <c r="K257" s="21">
        <v>68.742999999999995</v>
      </c>
      <c r="L257" s="21">
        <f t="shared" si="13"/>
        <v>4.938999999999993</v>
      </c>
      <c r="M257" s="21">
        <f t="shared" si="14"/>
        <v>9.5000000000006857E-2</v>
      </c>
      <c r="N257">
        <f t="shared" si="15"/>
        <v>1.8871672626143594</v>
      </c>
    </row>
    <row r="258" spans="1:14" x14ac:dyDescent="0.2">
      <c r="A258">
        <v>20329</v>
      </c>
      <c r="B258" s="23">
        <f t="shared" si="12"/>
        <v>44159</v>
      </c>
      <c r="C258" t="s">
        <v>45</v>
      </c>
      <c r="D258">
        <v>18</v>
      </c>
      <c r="E258" t="s">
        <v>43</v>
      </c>
      <c r="F258" t="s">
        <v>40</v>
      </c>
      <c r="G258" s="22">
        <v>40</v>
      </c>
      <c r="H258">
        <v>1</v>
      </c>
      <c r="I258" s="21">
        <v>68.066000000000003</v>
      </c>
      <c r="J258" s="21">
        <v>5.0780000000000003</v>
      </c>
      <c r="K258" s="21">
        <v>73.072000000000003</v>
      </c>
      <c r="L258" s="21">
        <f t="shared" si="13"/>
        <v>5.0060000000000002</v>
      </c>
      <c r="M258" s="21">
        <f t="shared" si="14"/>
        <v>7.2000000000000064E-2</v>
      </c>
      <c r="N258">
        <f t="shared" si="15"/>
        <v>1.4178810555336758</v>
      </c>
    </row>
    <row r="259" spans="1:14" x14ac:dyDescent="0.2">
      <c r="A259">
        <v>20329</v>
      </c>
      <c r="B259" s="23">
        <f t="shared" ref="B259:B322" si="16">DATE(IF(0+(LEFT(A259))&lt;30,2000,1900)+LEFT(A259,2),1,RIGHT(A259,3))</f>
        <v>44159</v>
      </c>
      <c r="C259" t="s">
        <v>45</v>
      </c>
      <c r="D259">
        <v>18</v>
      </c>
      <c r="E259" t="s">
        <v>43</v>
      </c>
      <c r="F259" t="s">
        <v>40</v>
      </c>
      <c r="G259" s="22">
        <v>40</v>
      </c>
      <c r="H259">
        <v>2</v>
      </c>
      <c r="I259" s="21">
        <v>59.81</v>
      </c>
      <c r="J259" s="21">
        <v>5.0170000000000003</v>
      </c>
      <c r="K259" s="21">
        <v>64.760000000000005</v>
      </c>
      <c r="L259" s="21">
        <f t="shared" ref="L259:L322" si="17">K259-I259</f>
        <v>4.9500000000000028</v>
      </c>
      <c r="M259" s="21">
        <f t="shared" ref="M259:M322" si="18">J259-L259</f>
        <v>6.6999999999997506E-2</v>
      </c>
      <c r="N259">
        <f t="shared" ref="N259:N322" si="19">M259/J259*100</f>
        <v>1.3354594379110525</v>
      </c>
    </row>
    <row r="260" spans="1:14" x14ac:dyDescent="0.2">
      <c r="A260">
        <v>20329</v>
      </c>
      <c r="B260" s="23">
        <f t="shared" si="16"/>
        <v>44159</v>
      </c>
      <c r="C260" t="s">
        <v>45</v>
      </c>
      <c r="D260">
        <v>18</v>
      </c>
      <c r="E260" t="s">
        <v>43</v>
      </c>
      <c r="F260" t="s">
        <v>40</v>
      </c>
      <c r="G260" s="22">
        <v>40</v>
      </c>
      <c r="H260">
        <v>3</v>
      </c>
      <c r="I260" s="21">
        <v>64.872</v>
      </c>
      <c r="J260" s="21">
        <v>5.0359999999999996</v>
      </c>
      <c r="K260" s="21">
        <v>69.837999999999994</v>
      </c>
      <c r="L260" s="21">
        <f t="shared" si="17"/>
        <v>4.965999999999994</v>
      </c>
      <c r="M260" s="21">
        <f t="shared" si="18"/>
        <v>7.0000000000005613E-2</v>
      </c>
      <c r="N260">
        <f t="shared" si="19"/>
        <v>1.3899920571883562</v>
      </c>
    </row>
    <row r="261" spans="1:14" x14ac:dyDescent="0.2">
      <c r="A261">
        <v>20329</v>
      </c>
      <c r="B261" s="23">
        <f t="shared" si="16"/>
        <v>44159</v>
      </c>
      <c r="C261" t="s">
        <v>45</v>
      </c>
      <c r="D261">
        <v>18</v>
      </c>
      <c r="E261" t="s">
        <v>43</v>
      </c>
      <c r="F261" t="s">
        <v>40</v>
      </c>
      <c r="G261" s="22">
        <v>40</v>
      </c>
      <c r="H261">
        <v>4</v>
      </c>
      <c r="I261" s="21">
        <v>63.932000000000002</v>
      </c>
      <c r="J261" s="21">
        <v>5.0720000000000001</v>
      </c>
      <c r="K261" s="21">
        <v>68.930000000000007</v>
      </c>
      <c r="L261" s="21">
        <f t="shared" si="17"/>
        <v>4.9980000000000047</v>
      </c>
      <c r="M261" s="21">
        <f t="shared" si="18"/>
        <v>7.3999999999995403E-2</v>
      </c>
      <c r="N261">
        <f t="shared" si="19"/>
        <v>1.458990536277512</v>
      </c>
    </row>
    <row r="262" spans="1:14" x14ac:dyDescent="0.2">
      <c r="A262">
        <v>20329</v>
      </c>
      <c r="B262" s="23">
        <f t="shared" si="16"/>
        <v>44159</v>
      </c>
      <c r="C262" t="s">
        <v>45</v>
      </c>
      <c r="D262">
        <v>18</v>
      </c>
      <c r="E262" t="s">
        <v>43</v>
      </c>
      <c r="F262" t="s">
        <v>40</v>
      </c>
      <c r="G262" s="22">
        <v>50</v>
      </c>
      <c r="H262">
        <v>1</v>
      </c>
      <c r="I262" s="21">
        <v>63.930999999999997</v>
      </c>
      <c r="J262" s="21">
        <v>5.0090000000000003</v>
      </c>
      <c r="K262" s="21">
        <v>68.894000000000005</v>
      </c>
      <c r="L262" s="21">
        <f t="shared" si="17"/>
        <v>4.9630000000000081</v>
      </c>
      <c r="M262" s="21">
        <f t="shared" si="18"/>
        <v>4.5999999999992269E-2</v>
      </c>
      <c r="N262">
        <f t="shared" si="19"/>
        <v>0.91834697544404609</v>
      </c>
    </row>
    <row r="263" spans="1:14" x14ac:dyDescent="0.2">
      <c r="A263">
        <v>20329</v>
      </c>
      <c r="B263" s="23">
        <f t="shared" si="16"/>
        <v>44159</v>
      </c>
      <c r="C263" t="s">
        <v>45</v>
      </c>
      <c r="D263">
        <v>18</v>
      </c>
      <c r="E263" t="s">
        <v>43</v>
      </c>
      <c r="F263" t="s">
        <v>40</v>
      </c>
      <c r="G263" s="22">
        <v>50</v>
      </c>
      <c r="H263">
        <v>2</v>
      </c>
      <c r="I263" s="21">
        <v>62.731999999999999</v>
      </c>
      <c r="J263" s="21">
        <v>5.0759999999999996</v>
      </c>
      <c r="K263" s="21">
        <v>67.762</v>
      </c>
      <c r="L263" s="21">
        <f t="shared" si="17"/>
        <v>5.0300000000000011</v>
      </c>
      <c r="M263" s="21">
        <f t="shared" si="18"/>
        <v>4.5999999999998487E-2</v>
      </c>
      <c r="N263">
        <f t="shared" si="19"/>
        <v>0.90622537431045092</v>
      </c>
    </row>
    <row r="264" spans="1:14" x14ac:dyDescent="0.2">
      <c r="A264">
        <v>20329</v>
      </c>
      <c r="B264" s="23">
        <f t="shared" si="16"/>
        <v>44159</v>
      </c>
      <c r="C264" t="s">
        <v>45</v>
      </c>
      <c r="D264">
        <v>18</v>
      </c>
      <c r="E264" t="s">
        <v>43</v>
      </c>
      <c r="F264" t="s">
        <v>40</v>
      </c>
      <c r="G264" s="22">
        <v>50</v>
      </c>
      <c r="H264">
        <v>3</v>
      </c>
      <c r="I264" s="21">
        <v>64.483000000000004</v>
      </c>
      <c r="J264" s="21">
        <v>5.0419999999999998</v>
      </c>
      <c r="K264" s="21">
        <v>69.477999999999994</v>
      </c>
      <c r="L264" s="21">
        <f t="shared" si="17"/>
        <v>4.9949999999999903</v>
      </c>
      <c r="M264" s="21">
        <f t="shared" si="18"/>
        <v>4.7000000000009479E-2</v>
      </c>
      <c r="N264">
        <f t="shared" si="19"/>
        <v>0.93216977389943434</v>
      </c>
    </row>
    <row r="265" spans="1:14" x14ac:dyDescent="0.2">
      <c r="A265">
        <v>20329</v>
      </c>
      <c r="B265" s="23">
        <f t="shared" si="16"/>
        <v>44159</v>
      </c>
      <c r="C265" t="s">
        <v>45</v>
      </c>
      <c r="D265">
        <v>18</v>
      </c>
      <c r="E265" t="s">
        <v>43</v>
      </c>
      <c r="F265" t="s">
        <v>40</v>
      </c>
      <c r="G265" s="22">
        <v>50</v>
      </c>
      <c r="H265">
        <v>4</v>
      </c>
      <c r="I265" s="21">
        <v>59.81</v>
      </c>
      <c r="J265" s="21">
        <v>5.0199999999999996</v>
      </c>
      <c r="K265" s="21">
        <v>64.783000000000001</v>
      </c>
      <c r="L265" s="21">
        <f t="shared" si="17"/>
        <v>4.972999999999999</v>
      </c>
      <c r="M265" s="21">
        <f t="shared" si="18"/>
        <v>4.7000000000000597E-2</v>
      </c>
      <c r="N265">
        <f t="shared" si="19"/>
        <v>0.93625498007969321</v>
      </c>
    </row>
    <row r="266" spans="1:14" x14ac:dyDescent="0.2">
      <c r="A266">
        <v>20329</v>
      </c>
      <c r="B266" s="23">
        <f t="shared" si="16"/>
        <v>44159</v>
      </c>
      <c r="C266" t="s">
        <v>45</v>
      </c>
      <c r="D266">
        <v>18</v>
      </c>
      <c r="E266" t="s">
        <v>43</v>
      </c>
      <c r="F266" t="s">
        <v>40</v>
      </c>
      <c r="G266" s="22">
        <v>60</v>
      </c>
      <c r="H266">
        <v>1</v>
      </c>
      <c r="I266" s="21">
        <v>68.064999999999998</v>
      </c>
      <c r="J266" s="21">
        <v>5.024</v>
      </c>
      <c r="K266" s="21">
        <v>73.052000000000007</v>
      </c>
      <c r="L266" s="21">
        <f t="shared" si="17"/>
        <v>4.987000000000009</v>
      </c>
      <c r="M266" s="21">
        <f t="shared" si="18"/>
        <v>3.699999999999104E-2</v>
      </c>
      <c r="N266">
        <f t="shared" si="19"/>
        <v>0.73646496815268792</v>
      </c>
    </row>
    <row r="267" spans="1:14" x14ac:dyDescent="0.2">
      <c r="A267">
        <v>20329</v>
      </c>
      <c r="B267" s="23">
        <f t="shared" si="16"/>
        <v>44159</v>
      </c>
      <c r="C267" t="s">
        <v>45</v>
      </c>
      <c r="D267">
        <v>18</v>
      </c>
      <c r="E267" t="s">
        <v>43</v>
      </c>
      <c r="F267" t="s">
        <v>40</v>
      </c>
      <c r="G267" s="22">
        <v>60</v>
      </c>
      <c r="H267">
        <v>2</v>
      </c>
      <c r="I267" s="21">
        <v>64.870999999999995</v>
      </c>
      <c r="J267" s="21">
        <v>5.0170000000000003</v>
      </c>
      <c r="K267" s="21">
        <v>69.852000000000004</v>
      </c>
      <c r="L267" s="21">
        <f t="shared" si="17"/>
        <v>4.9810000000000088</v>
      </c>
      <c r="M267" s="21">
        <f t="shared" si="18"/>
        <v>3.5999999999991594E-2</v>
      </c>
      <c r="N267">
        <f t="shared" si="19"/>
        <v>0.7175602949968426</v>
      </c>
    </row>
    <row r="268" spans="1:14" x14ac:dyDescent="0.2">
      <c r="A268">
        <v>20329</v>
      </c>
      <c r="B268" s="23">
        <f t="shared" si="16"/>
        <v>44159</v>
      </c>
      <c r="C268" t="s">
        <v>45</v>
      </c>
      <c r="D268">
        <v>18</v>
      </c>
      <c r="E268" t="s">
        <v>43</v>
      </c>
      <c r="F268" t="s">
        <v>40</v>
      </c>
      <c r="G268" s="22">
        <v>60</v>
      </c>
      <c r="H268">
        <v>3</v>
      </c>
      <c r="I268" s="21">
        <v>62.197000000000003</v>
      </c>
      <c r="J268" s="21">
        <v>5.0960000000000001</v>
      </c>
      <c r="K268" s="21">
        <v>67.257000000000005</v>
      </c>
      <c r="L268" s="21">
        <f t="shared" si="17"/>
        <v>5.0600000000000023</v>
      </c>
      <c r="M268" s="21">
        <f t="shared" si="18"/>
        <v>3.5999999999997812E-2</v>
      </c>
      <c r="N268">
        <f t="shared" si="19"/>
        <v>0.70643642072209201</v>
      </c>
    </row>
    <row r="269" spans="1:14" x14ac:dyDescent="0.2">
      <c r="A269">
        <v>20329</v>
      </c>
      <c r="B269" s="23">
        <f t="shared" si="16"/>
        <v>44159</v>
      </c>
      <c r="C269" t="s">
        <v>45</v>
      </c>
      <c r="D269">
        <v>18</v>
      </c>
      <c r="E269" t="s">
        <v>43</v>
      </c>
      <c r="F269" t="s">
        <v>40</v>
      </c>
      <c r="G269" s="22">
        <v>60</v>
      </c>
      <c r="H269">
        <v>4</v>
      </c>
      <c r="I269" s="21">
        <v>63.081000000000003</v>
      </c>
      <c r="J269" s="21">
        <v>5.0369999999999999</v>
      </c>
      <c r="K269" s="21">
        <v>68.081999999999994</v>
      </c>
      <c r="L269" s="21">
        <f t="shared" si="17"/>
        <v>5.0009999999999906</v>
      </c>
      <c r="M269" s="21">
        <f t="shared" si="18"/>
        <v>3.6000000000009358E-2</v>
      </c>
      <c r="N269">
        <f t="shared" si="19"/>
        <v>0.71471113758207971</v>
      </c>
    </row>
    <row r="270" spans="1:14" x14ac:dyDescent="0.2">
      <c r="A270">
        <v>20329</v>
      </c>
      <c r="B270" s="23">
        <f t="shared" si="16"/>
        <v>44159</v>
      </c>
      <c r="C270" t="s">
        <v>45</v>
      </c>
      <c r="D270">
        <v>18</v>
      </c>
      <c r="E270" t="s">
        <v>43</v>
      </c>
      <c r="F270" t="s">
        <v>40</v>
      </c>
      <c r="G270" s="22">
        <v>70</v>
      </c>
      <c r="H270">
        <v>1</v>
      </c>
      <c r="I270" s="21">
        <v>58.265999999999998</v>
      </c>
      <c r="J270" s="21">
        <v>5.0060000000000002</v>
      </c>
      <c r="K270" s="21">
        <v>63.241</v>
      </c>
      <c r="L270" s="21">
        <f t="shared" si="17"/>
        <v>4.9750000000000014</v>
      </c>
      <c r="M270" s="21">
        <f t="shared" si="18"/>
        <v>3.0999999999998806E-2</v>
      </c>
      <c r="N270">
        <f t="shared" si="19"/>
        <v>0.61925689172990017</v>
      </c>
    </row>
    <row r="271" spans="1:14" x14ac:dyDescent="0.2">
      <c r="A271">
        <v>20329</v>
      </c>
      <c r="B271" s="23">
        <f t="shared" si="16"/>
        <v>44159</v>
      </c>
      <c r="C271" t="s">
        <v>45</v>
      </c>
      <c r="D271">
        <v>18</v>
      </c>
      <c r="E271" t="s">
        <v>43</v>
      </c>
      <c r="F271" t="s">
        <v>40</v>
      </c>
      <c r="G271" s="22">
        <v>70</v>
      </c>
      <c r="H271">
        <v>2</v>
      </c>
      <c r="I271" s="21">
        <v>63.802</v>
      </c>
      <c r="J271" s="21">
        <v>5.0490000000000004</v>
      </c>
      <c r="K271" s="21">
        <v>68.819999999999993</v>
      </c>
      <c r="L271" s="21">
        <f t="shared" si="17"/>
        <v>5.0179999999999936</v>
      </c>
      <c r="M271" s="21">
        <f t="shared" si="18"/>
        <v>3.10000000000068E-2</v>
      </c>
      <c r="N271">
        <f t="shared" si="19"/>
        <v>0.61398296692427801</v>
      </c>
    </row>
    <row r="272" spans="1:14" x14ac:dyDescent="0.2">
      <c r="A272">
        <v>20329</v>
      </c>
      <c r="B272" s="23">
        <f t="shared" si="16"/>
        <v>44159</v>
      </c>
      <c r="C272" t="s">
        <v>45</v>
      </c>
      <c r="D272">
        <v>18</v>
      </c>
      <c r="E272" t="s">
        <v>43</v>
      </c>
      <c r="F272" t="s">
        <v>40</v>
      </c>
      <c r="G272" s="22">
        <v>70</v>
      </c>
      <c r="H272">
        <v>3</v>
      </c>
      <c r="I272" s="21">
        <v>65.747</v>
      </c>
      <c r="J272" s="21">
        <v>5.0549999999999997</v>
      </c>
      <c r="K272" s="21">
        <v>70.77</v>
      </c>
      <c r="L272" s="21">
        <f t="shared" si="17"/>
        <v>5.0229999999999961</v>
      </c>
      <c r="M272" s="21">
        <f t="shared" si="18"/>
        <v>3.2000000000003581E-2</v>
      </c>
      <c r="N272">
        <f t="shared" si="19"/>
        <v>0.63303659742835972</v>
      </c>
    </row>
    <row r="273" spans="1:14" x14ac:dyDescent="0.2">
      <c r="A273">
        <v>20329</v>
      </c>
      <c r="B273" s="23">
        <f t="shared" si="16"/>
        <v>44159</v>
      </c>
      <c r="C273" t="s">
        <v>45</v>
      </c>
      <c r="D273">
        <v>18</v>
      </c>
      <c r="E273" t="s">
        <v>43</v>
      </c>
      <c r="F273" t="s">
        <v>40</v>
      </c>
      <c r="G273" s="22">
        <v>70</v>
      </c>
      <c r="H273">
        <v>4</v>
      </c>
      <c r="I273" s="21">
        <v>65.316000000000003</v>
      </c>
      <c r="J273" s="21">
        <v>5.0129999999999999</v>
      </c>
      <c r="K273" s="21">
        <v>70.293999999999997</v>
      </c>
      <c r="L273" s="21">
        <f t="shared" si="17"/>
        <v>4.9779999999999944</v>
      </c>
      <c r="M273" s="21">
        <f t="shared" si="18"/>
        <v>3.5000000000005471E-2</v>
      </c>
      <c r="N273">
        <f t="shared" si="19"/>
        <v>0.69818471972881457</v>
      </c>
    </row>
    <row r="274" spans="1:14" x14ac:dyDescent="0.2">
      <c r="A274">
        <v>20329</v>
      </c>
      <c r="B274" s="23">
        <f t="shared" si="16"/>
        <v>44159</v>
      </c>
      <c r="C274" t="s">
        <v>45</v>
      </c>
      <c r="D274">
        <v>18</v>
      </c>
      <c r="E274" t="s">
        <v>43</v>
      </c>
      <c r="F274" t="s">
        <v>40</v>
      </c>
      <c r="G274" s="22">
        <v>80</v>
      </c>
      <c r="H274">
        <v>1</v>
      </c>
      <c r="I274" s="21">
        <v>68.066000000000003</v>
      </c>
      <c r="J274" s="21">
        <v>5.0599999999999996</v>
      </c>
      <c r="K274" s="21">
        <v>73.099000000000004</v>
      </c>
      <c r="L274" s="21">
        <f t="shared" si="17"/>
        <v>5.0330000000000013</v>
      </c>
      <c r="M274" s="21">
        <f t="shared" si="18"/>
        <v>2.6999999999998359E-2</v>
      </c>
      <c r="N274">
        <f t="shared" si="19"/>
        <v>0.53359683794463164</v>
      </c>
    </row>
    <row r="275" spans="1:14" x14ac:dyDescent="0.2">
      <c r="A275">
        <v>20329</v>
      </c>
      <c r="B275" s="23">
        <f t="shared" si="16"/>
        <v>44159</v>
      </c>
      <c r="C275" t="s">
        <v>45</v>
      </c>
      <c r="D275">
        <v>18</v>
      </c>
      <c r="E275" t="s">
        <v>43</v>
      </c>
      <c r="F275" t="s">
        <v>40</v>
      </c>
      <c r="G275" s="22">
        <v>80</v>
      </c>
      <c r="H275">
        <v>2</v>
      </c>
      <c r="I275" s="21">
        <v>65.747</v>
      </c>
      <c r="J275" s="21">
        <v>5.0110000000000001</v>
      </c>
      <c r="K275" s="21">
        <v>70.733999999999995</v>
      </c>
      <c r="L275" s="21">
        <f t="shared" si="17"/>
        <v>4.9869999999999948</v>
      </c>
      <c r="M275" s="21">
        <f t="shared" si="18"/>
        <v>2.400000000000535E-2</v>
      </c>
      <c r="N275">
        <f t="shared" si="19"/>
        <v>0.47894631810028637</v>
      </c>
    </row>
    <row r="276" spans="1:14" x14ac:dyDescent="0.2">
      <c r="A276">
        <v>20329</v>
      </c>
      <c r="B276" s="23">
        <f t="shared" si="16"/>
        <v>44159</v>
      </c>
      <c r="C276" t="s">
        <v>45</v>
      </c>
      <c r="D276">
        <v>18</v>
      </c>
      <c r="E276" t="s">
        <v>43</v>
      </c>
      <c r="F276" t="s">
        <v>40</v>
      </c>
      <c r="G276" s="22">
        <v>80</v>
      </c>
      <c r="H276">
        <v>3</v>
      </c>
      <c r="I276" s="21">
        <v>64.870999999999995</v>
      </c>
      <c r="J276" s="21">
        <v>5.0890000000000004</v>
      </c>
      <c r="K276" s="21">
        <v>69.933000000000007</v>
      </c>
      <c r="L276" s="21">
        <f t="shared" si="17"/>
        <v>5.0620000000000118</v>
      </c>
      <c r="M276" s="21">
        <f t="shared" si="18"/>
        <v>2.6999999999988589E-2</v>
      </c>
      <c r="N276">
        <f t="shared" si="19"/>
        <v>0.53055610139494169</v>
      </c>
    </row>
    <row r="277" spans="1:14" x14ac:dyDescent="0.2">
      <c r="A277">
        <v>20329</v>
      </c>
      <c r="B277" s="23">
        <f t="shared" si="16"/>
        <v>44159</v>
      </c>
      <c r="C277" t="s">
        <v>45</v>
      </c>
      <c r="D277">
        <v>18</v>
      </c>
      <c r="E277" t="s">
        <v>43</v>
      </c>
      <c r="F277" t="s">
        <v>40</v>
      </c>
      <c r="G277" s="22">
        <v>80</v>
      </c>
      <c r="H277">
        <v>4</v>
      </c>
      <c r="I277" s="21">
        <v>64.483000000000004</v>
      </c>
      <c r="J277" s="21">
        <v>5.0209999999999999</v>
      </c>
      <c r="K277" s="21">
        <v>69.478999999999999</v>
      </c>
      <c r="L277" s="21">
        <f t="shared" si="17"/>
        <v>4.9959999999999951</v>
      </c>
      <c r="M277" s="21">
        <f t="shared" si="18"/>
        <v>2.5000000000004796E-2</v>
      </c>
      <c r="N277">
        <f t="shared" si="19"/>
        <v>0.4979087831110296</v>
      </c>
    </row>
    <row r="278" spans="1:14" x14ac:dyDescent="0.2">
      <c r="A278">
        <v>20329</v>
      </c>
      <c r="B278" s="23">
        <f t="shared" si="16"/>
        <v>44159</v>
      </c>
      <c r="C278" t="s">
        <v>45</v>
      </c>
      <c r="D278">
        <v>18</v>
      </c>
      <c r="E278" t="s">
        <v>43</v>
      </c>
      <c r="F278" t="s">
        <v>40</v>
      </c>
      <c r="G278" s="22">
        <v>90</v>
      </c>
      <c r="H278">
        <v>1</v>
      </c>
      <c r="I278" s="21">
        <v>65.316999999999993</v>
      </c>
      <c r="J278" s="21">
        <v>5.0890000000000004</v>
      </c>
      <c r="K278" s="21">
        <v>70.376999999999995</v>
      </c>
      <c r="L278" s="21">
        <f t="shared" si="17"/>
        <v>5.0600000000000023</v>
      </c>
      <c r="M278" s="21">
        <f t="shared" si="18"/>
        <v>2.8999999999998138E-2</v>
      </c>
      <c r="N278">
        <f t="shared" si="19"/>
        <v>0.56985655335032692</v>
      </c>
    </row>
    <row r="279" spans="1:14" x14ac:dyDescent="0.2">
      <c r="A279">
        <v>20329</v>
      </c>
      <c r="B279" s="23">
        <f t="shared" si="16"/>
        <v>44159</v>
      </c>
      <c r="C279" t="s">
        <v>45</v>
      </c>
      <c r="D279">
        <v>18</v>
      </c>
      <c r="E279" t="s">
        <v>43</v>
      </c>
      <c r="F279" t="s">
        <v>40</v>
      </c>
      <c r="G279" s="22">
        <v>90</v>
      </c>
      <c r="H279">
        <v>2</v>
      </c>
      <c r="I279" s="21">
        <v>62.731999999999999</v>
      </c>
      <c r="J279" s="21">
        <v>5.0460000000000003</v>
      </c>
      <c r="K279" s="21">
        <v>67.75</v>
      </c>
      <c r="L279" s="21">
        <f t="shared" si="17"/>
        <v>5.0180000000000007</v>
      </c>
      <c r="M279" s="21">
        <f t="shared" si="18"/>
        <v>2.7999999999999581E-2</v>
      </c>
      <c r="N279">
        <f t="shared" si="19"/>
        <v>0.55489496630994006</v>
      </c>
    </row>
    <row r="280" spans="1:14" x14ac:dyDescent="0.2">
      <c r="A280">
        <v>20329</v>
      </c>
      <c r="B280" s="23">
        <f t="shared" si="16"/>
        <v>44159</v>
      </c>
      <c r="C280" t="s">
        <v>45</v>
      </c>
      <c r="D280">
        <v>18</v>
      </c>
      <c r="E280" t="s">
        <v>43</v>
      </c>
      <c r="F280" t="s">
        <v>40</v>
      </c>
      <c r="G280" s="22">
        <v>90</v>
      </c>
      <c r="H280">
        <v>3</v>
      </c>
      <c r="I280" s="21">
        <v>63.081000000000003</v>
      </c>
      <c r="J280" s="21">
        <v>5.0330000000000004</v>
      </c>
      <c r="K280" s="21">
        <v>68.084999999999994</v>
      </c>
      <c r="L280" s="21">
        <f t="shared" si="17"/>
        <v>5.0039999999999907</v>
      </c>
      <c r="M280" s="21">
        <f t="shared" si="18"/>
        <v>2.9000000000009685E-2</v>
      </c>
      <c r="N280">
        <f t="shared" si="19"/>
        <v>0.57619709914583117</v>
      </c>
    </row>
    <row r="281" spans="1:14" x14ac:dyDescent="0.2">
      <c r="A281">
        <v>20329</v>
      </c>
      <c r="B281" s="23">
        <f t="shared" si="16"/>
        <v>44159</v>
      </c>
      <c r="C281" t="s">
        <v>45</v>
      </c>
      <c r="D281">
        <v>18</v>
      </c>
      <c r="E281" t="s">
        <v>43</v>
      </c>
      <c r="F281" t="s">
        <v>40</v>
      </c>
      <c r="G281" s="22">
        <v>90</v>
      </c>
      <c r="H281">
        <v>4</v>
      </c>
      <c r="I281" s="21">
        <v>63.930999999999997</v>
      </c>
      <c r="J281" s="21">
        <v>5.077</v>
      </c>
      <c r="K281" s="21">
        <v>68.98</v>
      </c>
      <c r="L281" s="21">
        <f t="shared" si="17"/>
        <v>5.0490000000000066</v>
      </c>
      <c r="M281" s="21">
        <f t="shared" si="18"/>
        <v>2.7999999999993364E-2</v>
      </c>
      <c r="N281">
        <f t="shared" si="19"/>
        <v>0.55150679535145486</v>
      </c>
    </row>
    <row r="282" spans="1:14" x14ac:dyDescent="0.2">
      <c r="A282">
        <v>20329</v>
      </c>
      <c r="B282" s="23">
        <f t="shared" si="16"/>
        <v>44159</v>
      </c>
      <c r="C282" t="s">
        <v>45</v>
      </c>
      <c r="D282">
        <v>18</v>
      </c>
      <c r="E282" t="s">
        <v>43</v>
      </c>
      <c r="F282" t="s">
        <v>40</v>
      </c>
      <c r="G282" s="22">
        <v>100</v>
      </c>
      <c r="H282">
        <v>1</v>
      </c>
      <c r="I282" s="21">
        <v>62.197000000000003</v>
      </c>
      <c r="J282" s="21">
        <v>5.0469999999999997</v>
      </c>
      <c r="K282" s="21">
        <v>67.210999999999999</v>
      </c>
      <c r="L282" s="21">
        <f t="shared" si="17"/>
        <v>5.0139999999999958</v>
      </c>
      <c r="M282" s="21">
        <f t="shared" si="18"/>
        <v>3.3000000000003915E-2</v>
      </c>
      <c r="N282">
        <f t="shared" si="19"/>
        <v>0.65385377451959414</v>
      </c>
    </row>
    <row r="283" spans="1:14" x14ac:dyDescent="0.2">
      <c r="A283">
        <v>20329</v>
      </c>
      <c r="B283" s="23">
        <f t="shared" si="16"/>
        <v>44159</v>
      </c>
      <c r="C283" t="s">
        <v>45</v>
      </c>
      <c r="D283">
        <v>18</v>
      </c>
      <c r="E283" t="s">
        <v>43</v>
      </c>
      <c r="F283" t="s">
        <v>40</v>
      </c>
      <c r="G283" s="22">
        <v>100</v>
      </c>
      <c r="H283">
        <v>2</v>
      </c>
      <c r="I283" s="21">
        <v>63.802</v>
      </c>
      <c r="J283" s="21">
        <v>5.0259999999999998</v>
      </c>
      <c r="K283" s="21">
        <v>68.793999999999997</v>
      </c>
      <c r="L283" s="21">
        <f t="shared" si="17"/>
        <v>4.9919999999999973</v>
      </c>
      <c r="M283" s="21">
        <f t="shared" si="18"/>
        <v>3.4000000000002473E-2</v>
      </c>
      <c r="N283">
        <f t="shared" si="19"/>
        <v>0.67648229208122712</v>
      </c>
    </row>
    <row r="284" spans="1:14" x14ac:dyDescent="0.2">
      <c r="A284">
        <v>20329</v>
      </c>
      <c r="B284" s="23">
        <f t="shared" si="16"/>
        <v>44159</v>
      </c>
      <c r="C284" t="s">
        <v>45</v>
      </c>
      <c r="D284">
        <v>18</v>
      </c>
      <c r="E284" t="s">
        <v>43</v>
      </c>
      <c r="F284" t="s">
        <v>40</v>
      </c>
      <c r="G284" s="22">
        <v>100</v>
      </c>
      <c r="H284">
        <v>3</v>
      </c>
      <c r="I284" s="21">
        <v>58.267000000000003</v>
      </c>
      <c r="J284" s="21">
        <v>5.0609999999999999</v>
      </c>
      <c r="K284" s="21">
        <v>63.292999999999999</v>
      </c>
      <c r="L284" s="21">
        <f t="shared" si="17"/>
        <v>5.0259999999999962</v>
      </c>
      <c r="M284" s="21">
        <f t="shared" si="18"/>
        <v>3.5000000000003695E-2</v>
      </c>
      <c r="N284">
        <f t="shared" si="19"/>
        <v>0.69156293222690568</v>
      </c>
    </row>
    <row r="285" spans="1:14" x14ac:dyDescent="0.2">
      <c r="A285">
        <v>20329</v>
      </c>
      <c r="B285" s="23">
        <f t="shared" si="16"/>
        <v>44159</v>
      </c>
      <c r="C285" t="s">
        <v>45</v>
      </c>
      <c r="D285">
        <v>18</v>
      </c>
      <c r="E285" t="s">
        <v>43</v>
      </c>
      <c r="F285" t="s">
        <v>40</v>
      </c>
      <c r="G285" s="22">
        <v>100</v>
      </c>
      <c r="H285">
        <v>4</v>
      </c>
      <c r="I285" s="21">
        <v>59.81</v>
      </c>
      <c r="J285" s="21">
        <v>5.0170000000000003</v>
      </c>
      <c r="K285" s="21">
        <v>64.792000000000002</v>
      </c>
      <c r="L285" s="21">
        <f t="shared" si="17"/>
        <v>4.9819999999999993</v>
      </c>
      <c r="M285" s="21">
        <f t="shared" si="18"/>
        <v>3.500000000000103E-2</v>
      </c>
      <c r="N285">
        <f t="shared" si="19"/>
        <v>0.69762806458044702</v>
      </c>
    </row>
    <row r="286" spans="1:14" x14ac:dyDescent="0.2">
      <c r="A286">
        <v>20329</v>
      </c>
      <c r="B286" s="23">
        <f t="shared" si="16"/>
        <v>44159</v>
      </c>
      <c r="C286" t="s">
        <v>45</v>
      </c>
      <c r="D286">
        <v>18</v>
      </c>
      <c r="E286" t="s">
        <v>46</v>
      </c>
      <c r="F286" t="s">
        <v>40</v>
      </c>
      <c r="G286" s="22">
        <v>10</v>
      </c>
      <c r="H286">
        <v>1</v>
      </c>
      <c r="I286" s="21">
        <v>65.317999999999998</v>
      </c>
      <c r="J286" s="21">
        <v>5.0940000000000003</v>
      </c>
      <c r="K286" s="21">
        <v>70.266999999999996</v>
      </c>
      <c r="L286" s="21">
        <f t="shared" si="17"/>
        <v>4.9489999999999981</v>
      </c>
      <c r="M286" s="21">
        <f t="shared" si="18"/>
        <v>0.14500000000000224</v>
      </c>
      <c r="N286">
        <f t="shared" si="19"/>
        <v>2.8464860620338093</v>
      </c>
    </row>
    <row r="287" spans="1:14" x14ac:dyDescent="0.2">
      <c r="A287">
        <v>20329</v>
      </c>
      <c r="B287" s="23">
        <f t="shared" si="16"/>
        <v>44159</v>
      </c>
      <c r="C287" t="s">
        <v>45</v>
      </c>
      <c r="D287">
        <v>18</v>
      </c>
      <c r="E287" t="s">
        <v>46</v>
      </c>
      <c r="F287" t="s">
        <v>40</v>
      </c>
      <c r="G287" s="22">
        <v>10</v>
      </c>
      <c r="H287">
        <v>2</v>
      </c>
      <c r="I287" s="21">
        <v>59.811</v>
      </c>
      <c r="J287" s="21">
        <v>5.0220000000000002</v>
      </c>
      <c r="K287" s="21">
        <v>64.686000000000007</v>
      </c>
      <c r="L287" s="21">
        <f t="shared" si="17"/>
        <v>4.8750000000000071</v>
      </c>
      <c r="M287" s="21">
        <f t="shared" si="18"/>
        <v>0.14699999999999314</v>
      </c>
      <c r="N287">
        <f t="shared" si="19"/>
        <v>2.9271206690560163</v>
      </c>
    </row>
    <row r="288" spans="1:14" x14ac:dyDescent="0.2">
      <c r="A288">
        <v>20329</v>
      </c>
      <c r="B288" s="23">
        <f t="shared" si="16"/>
        <v>44159</v>
      </c>
      <c r="C288" t="s">
        <v>45</v>
      </c>
      <c r="D288">
        <v>18</v>
      </c>
      <c r="E288" t="s">
        <v>46</v>
      </c>
      <c r="F288" t="s">
        <v>40</v>
      </c>
      <c r="G288" s="22">
        <v>10</v>
      </c>
      <c r="H288">
        <v>3</v>
      </c>
      <c r="I288" s="21">
        <v>68.066000000000003</v>
      </c>
      <c r="J288" s="21">
        <v>5.0469999999999997</v>
      </c>
      <c r="K288" s="21">
        <v>72.97</v>
      </c>
      <c r="L288" s="21">
        <f t="shared" si="17"/>
        <v>4.9039999999999964</v>
      </c>
      <c r="M288" s="21">
        <f t="shared" si="18"/>
        <v>0.14300000000000335</v>
      </c>
      <c r="N288">
        <f t="shared" si="19"/>
        <v>2.8333663562513047</v>
      </c>
    </row>
    <row r="289" spans="1:14" x14ac:dyDescent="0.2">
      <c r="A289">
        <v>20329</v>
      </c>
      <c r="B289" s="23">
        <f t="shared" si="16"/>
        <v>44159</v>
      </c>
      <c r="C289" t="s">
        <v>45</v>
      </c>
      <c r="D289">
        <v>18</v>
      </c>
      <c r="E289" t="s">
        <v>46</v>
      </c>
      <c r="F289" t="s">
        <v>40</v>
      </c>
      <c r="G289" s="22">
        <v>10</v>
      </c>
      <c r="H289">
        <v>4</v>
      </c>
      <c r="I289" s="21">
        <v>63.802999999999997</v>
      </c>
      <c r="J289" s="21">
        <v>5.03</v>
      </c>
      <c r="K289" s="21">
        <v>68.680999999999997</v>
      </c>
      <c r="L289" s="21">
        <f t="shared" si="17"/>
        <v>4.8780000000000001</v>
      </c>
      <c r="M289" s="21">
        <f t="shared" si="18"/>
        <v>0.15200000000000014</v>
      </c>
      <c r="N289">
        <f t="shared" si="19"/>
        <v>3.0218687872763446</v>
      </c>
    </row>
    <row r="290" spans="1:14" x14ac:dyDescent="0.2">
      <c r="A290">
        <v>20329</v>
      </c>
      <c r="B290" s="23">
        <f t="shared" si="16"/>
        <v>44159</v>
      </c>
      <c r="C290" t="s">
        <v>45</v>
      </c>
      <c r="D290">
        <v>18</v>
      </c>
      <c r="E290" t="s">
        <v>46</v>
      </c>
      <c r="F290" t="s">
        <v>40</v>
      </c>
      <c r="G290" s="22">
        <v>20</v>
      </c>
      <c r="H290">
        <v>1</v>
      </c>
      <c r="I290" s="21">
        <v>64.872</v>
      </c>
      <c r="J290" s="21">
        <v>5.0659999999999998</v>
      </c>
      <c r="K290" s="21">
        <v>69.847999999999999</v>
      </c>
      <c r="L290" s="21">
        <f t="shared" si="17"/>
        <v>4.9759999999999991</v>
      </c>
      <c r="M290" s="21">
        <f t="shared" si="18"/>
        <v>9.0000000000000746E-2</v>
      </c>
      <c r="N290">
        <f t="shared" si="19"/>
        <v>1.7765495459929088</v>
      </c>
    </row>
    <row r="291" spans="1:14" x14ac:dyDescent="0.2">
      <c r="A291">
        <v>20329</v>
      </c>
      <c r="B291" s="23">
        <f t="shared" si="16"/>
        <v>44159</v>
      </c>
      <c r="C291" t="s">
        <v>45</v>
      </c>
      <c r="D291">
        <v>18</v>
      </c>
      <c r="E291" t="s">
        <v>46</v>
      </c>
      <c r="F291" t="s">
        <v>40</v>
      </c>
      <c r="G291" s="22">
        <v>20</v>
      </c>
      <c r="H291">
        <v>2</v>
      </c>
      <c r="I291" s="21">
        <v>63.932000000000002</v>
      </c>
      <c r="J291" s="21">
        <v>5.0229999999999997</v>
      </c>
      <c r="K291" s="21">
        <v>68.864000000000004</v>
      </c>
      <c r="L291" s="21">
        <f t="shared" si="17"/>
        <v>4.9320000000000022</v>
      </c>
      <c r="M291" s="21">
        <f t="shared" si="18"/>
        <v>9.0999999999997527E-2</v>
      </c>
      <c r="N291">
        <f t="shared" si="19"/>
        <v>1.8116663348595967</v>
      </c>
    </row>
    <row r="292" spans="1:14" x14ac:dyDescent="0.2">
      <c r="A292">
        <v>20329</v>
      </c>
      <c r="B292" s="23">
        <f t="shared" si="16"/>
        <v>44159</v>
      </c>
      <c r="C292" t="s">
        <v>45</v>
      </c>
      <c r="D292">
        <v>18</v>
      </c>
      <c r="E292" t="s">
        <v>46</v>
      </c>
      <c r="F292" t="s">
        <v>40</v>
      </c>
      <c r="G292" s="22">
        <v>20</v>
      </c>
      <c r="H292">
        <v>3</v>
      </c>
      <c r="I292" s="21">
        <v>65.748999999999995</v>
      </c>
      <c r="J292" s="21">
        <v>5.0140000000000002</v>
      </c>
      <c r="K292" s="21">
        <v>70.671999999999997</v>
      </c>
      <c r="L292" s="21">
        <f t="shared" si="17"/>
        <v>4.9230000000000018</v>
      </c>
      <c r="M292" s="21">
        <f t="shared" si="18"/>
        <v>9.0999999999998415E-2</v>
      </c>
      <c r="N292">
        <f t="shared" si="19"/>
        <v>1.8149182289588832</v>
      </c>
    </row>
    <row r="293" spans="1:14" x14ac:dyDescent="0.2">
      <c r="A293">
        <v>20329</v>
      </c>
      <c r="B293" s="23">
        <f t="shared" si="16"/>
        <v>44159</v>
      </c>
      <c r="C293" t="s">
        <v>45</v>
      </c>
      <c r="D293">
        <v>18</v>
      </c>
      <c r="E293" t="s">
        <v>46</v>
      </c>
      <c r="F293" t="s">
        <v>40</v>
      </c>
      <c r="G293" s="22">
        <v>20</v>
      </c>
      <c r="H293">
        <v>4</v>
      </c>
      <c r="I293" s="21">
        <v>62.198</v>
      </c>
      <c r="J293" s="21">
        <v>5.093</v>
      </c>
      <c r="K293" s="21">
        <v>67.195999999999998</v>
      </c>
      <c r="L293" s="21">
        <f t="shared" si="17"/>
        <v>4.9979999999999976</v>
      </c>
      <c r="M293" s="21">
        <f t="shared" si="18"/>
        <v>9.5000000000002416E-2</v>
      </c>
      <c r="N293">
        <f t="shared" si="19"/>
        <v>1.8653053210289106</v>
      </c>
    </row>
    <row r="294" spans="1:14" x14ac:dyDescent="0.2">
      <c r="A294">
        <v>20329</v>
      </c>
      <c r="B294" s="23">
        <f t="shared" si="16"/>
        <v>44159</v>
      </c>
      <c r="C294" t="s">
        <v>45</v>
      </c>
      <c r="D294">
        <v>18</v>
      </c>
      <c r="E294" t="s">
        <v>46</v>
      </c>
      <c r="F294" t="s">
        <v>40</v>
      </c>
      <c r="G294" s="22">
        <v>30</v>
      </c>
      <c r="H294">
        <v>1</v>
      </c>
      <c r="I294" s="21">
        <v>63.082000000000001</v>
      </c>
      <c r="J294" s="21">
        <v>5.0510000000000002</v>
      </c>
      <c r="K294" s="21">
        <v>68.048000000000002</v>
      </c>
      <c r="L294" s="21">
        <f t="shared" si="17"/>
        <v>4.9660000000000011</v>
      </c>
      <c r="M294" s="21">
        <f t="shared" si="18"/>
        <v>8.4999999999999076E-2</v>
      </c>
      <c r="N294">
        <f t="shared" si="19"/>
        <v>1.68283508216193</v>
      </c>
    </row>
    <row r="295" spans="1:14" x14ac:dyDescent="0.2">
      <c r="A295">
        <v>20329</v>
      </c>
      <c r="B295" s="23">
        <f t="shared" si="16"/>
        <v>44159</v>
      </c>
      <c r="C295" t="s">
        <v>45</v>
      </c>
      <c r="D295">
        <v>18</v>
      </c>
      <c r="E295" t="s">
        <v>46</v>
      </c>
      <c r="F295" t="s">
        <v>40</v>
      </c>
      <c r="G295" s="22">
        <v>30</v>
      </c>
      <c r="H295">
        <v>2</v>
      </c>
      <c r="I295" s="21">
        <v>58.267000000000003</v>
      </c>
      <c r="J295" s="21">
        <v>5.0140000000000002</v>
      </c>
      <c r="K295" s="21">
        <v>63.194000000000003</v>
      </c>
      <c r="L295" s="21">
        <f t="shared" si="17"/>
        <v>4.9269999999999996</v>
      </c>
      <c r="M295" s="21">
        <f t="shared" si="18"/>
        <v>8.7000000000000632E-2</v>
      </c>
      <c r="N295">
        <f t="shared" si="19"/>
        <v>1.7351416035101839</v>
      </c>
    </row>
    <row r="296" spans="1:14" x14ac:dyDescent="0.2">
      <c r="A296">
        <v>20329</v>
      </c>
      <c r="B296" s="23">
        <f t="shared" si="16"/>
        <v>44159</v>
      </c>
      <c r="C296" t="s">
        <v>45</v>
      </c>
      <c r="D296">
        <v>18</v>
      </c>
      <c r="E296" t="s">
        <v>46</v>
      </c>
      <c r="F296" t="s">
        <v>40</v>
      </c>
      <c r="G296" s="22">
        <v>30</v>
      </c>
      <c r="H296">
        <v>3</v>
      </c>
      <c r="I296" s="21">
        <v>64.483000000000004</v>
      </c>
      <c r="J296" s="21">
        <v>5.0220000000000002</v>
      </c>
      <c r="K296" s="21">
        <v>69.415999999999997</v>
      </c>
      <c r="L296" s="21">
        <f t="shared" si="17"/>
        <v>4.9329999999999927</v>
      </c>
      <c r="M296" s="21">
        <f t="shared" si="18"/>
        <v>8.9000000000007518E-2</v>
      </c>
      <c r="N296">
        <f t="shared" si="19"/>
        <v>1.7722023098368682</v>
      </c>
    </row>
    <row r="297" spans="1:14" x14ac:dyDescent="0.2">
      <c r="A297">
        <v>20329</v>
      </c>
      <c r="B297" s="23">
        <f t="shared" si="16"/>
        <v>44159</v>
      </c>
      <c r="C297" t="s">
        <v>45</v>
      </c>
      <c r="D297">
        <v>18</v>
      </c>
      <c r="E297" t="s">
        <v>46</v>
      </c>
      <c r="F297" t="s">
        <v>40</v>
      </c>
      <c r="G297" s="22">
        <v>30</v>
      </c>
      <c r="H297">
        <v>4</v>
      </c>
      <c r="I297" s="21">
        <v>62.732999999999997</v>
      </c>
      <c r="J297" s="21">
        <v>5.0179999999999998</v>
      </c>
      <c r="K297" s="21">
        <v>67.659000000000006</v>
      </c>
      <c r="L297" s="21">
        <f t="shared" si="17"/>
        <v>4.926000000000009</v>
      </c>
      <c r="M297" s="21">
        <f t="shared" si="18"/>
        <v>9.1999999999990756E-2</v>
      </c>
      <c r="N297">
        <f t="shared" si="19"/>
        <v>1.8333997608607167</v>
      </c>
    </row>
    <row r="298" spans="1:14" x14ac:dyDescent="0.2">
      <c r="A298">
        <v>20329</v>
      </c>
      <c r="B298" s="23">
        <f t="shared" si="16"/>
        <v>44159</v>
      </c>
      <c r="C298" t="s">
        <v>45</v>
      </c>
      <c r="D298">
        <v>18</v>
      </c>
      <c r="E298" t="s">
        <v>46</v>
      </c>
      <c r="F298" t="s">
        <v>40</v>
      </c>
      <c r="G298" s="22">
        <v>40</v>
      </c>
      <c r="H298">
        <v>1</v>
      </c>
      <c r="I298" s="21">
        <v>59.811</v>
      </c>
      <c r="J298" s="21">
        <v>5.0220000000000002</v>
      </c>
      <c r="K298" s="21">
        <v>64.751000000000005</v>
      </c>
      <c r="L298" s="21">
        <f t="shared" si="17"/>
        <v>4.9400000000000048</v>
      </c>
      <c r="M298" s="21">
        <f t="shared" si="18"/>
        <v>8.199999999999541E-2</v>
      </c>
      <c r="N298">
        <f t="shared" si="19"/>
        <v>1.6328156113101435</v>
      </c>
    </row>
    <row r="299" spans="1:14" x14ac:dyDescent="0.2">
      <c r="A299">
        <v>20329</v>
      </c>
      <c r="B299" s="23">
        <f t="shared" si="16"/>
        <v>44159</v>
      </c>
      <c r="C299" t="s">
        <v>45</v>
      </c>
      <c r="D299">
        <v>18</v>
      </c>
      <c r="E299" t="s">
        <v>46</v>
      </c>
      <c r="F299" t="s">
        <v>40</v>
      </c>
      <c r="G299" s="22">
        <v>40</v>
      </c>
      <c r="H299">
        <v>2</v>
      </c>
      <c r="I299" s="21">
        <v>58.267000000000003</v>
      </c>
      <c r="J299" s="21">
        <v>5.0860000000000003</v>
      </c>
      <c r="K299" s="21">
        <v>63.268999999999998</v>
      </c>
      <c r="L299" s="21">
        <f t="shared" si="17"/>
        <v>5.0019999999999953</v>
      </c>
      <c r="M299" s="21">
        <f t="shared" si="18"/>
        <v>8.400000000000496E-2</v>
      </c>
      <c r="N299">
        <f t="shared" si="19"/>
        <v>1.6515926071569986</v>
      </c>
    </row>
    <row r="300" spans="1:14" x14ac:dyDescent="0.2">
      <c r="A300">
        <v>20329</v>
      </c>
      <c r="B300" s="23">
        <f t="shared" si="16"/>
        <v>44159</v>
      </c>
      <c r="C300" t="s">
        <v>45</v>
      </c>
      <c r="D300">
        <v>18</v>
      </c>
      <c r="E300" t="s">
        <v>46</v>
      </c>
      <c r="F300" t="s">
        <v>40</v>
      </c>
      <c r="G300" s="22">
        <v>40</v>
      </c>
      <c r="H300">
        <v>3</v>
      </c>
      <c r="I300" s="21">
        <v>65.748000000000005</v>
      </c>
      <c r="J300" s="21">
        <v>5.0449999999999999</v>
      </c>
      <c r="K300" s="21">
        <v>70.709999999999994</v>
      </c>
      <c r="L300" s="21">
        <f t="shared" si="17"/>
        <v>4.9619999999999891</v>
      </c>
      <c r="M300" s="21">
        <f t="shared" si="18"/>
        <v>8.3000000000010843E-2</v>
      </c>
      <c r="N300">
        <f t="shared" si="19"/>
        <v>1.645193260654328</v>
      </c>
    </row>
    <row r="301" spans="1:14" x14ac:dyDescent="0.2">
      <c r="A301">
        <v>20329</v>
      </c>
      <c r="B301" s="23">
        <f t="shared" si="16"/>
        <v>44159</v>
      </c>
      <c r="C301" t="s">
        <v>45</v>
      </c>
      <c r="D301">
        <v>18</v>
      </c>
      <c r="E301" t="s">
        <v>46</v>
      </c>
      <c r="F301" t="s">
        <v>40</v>
      </c>
      <c r="G301" s="22">
        <v>40</v>
      </c>
      <c r="H301">
        <v>4</v>
      </c>
      <c r="I301" s="21">
        <v>64.483000000000004</v>
      </c>
      <c r="J301" s="21">
        <v>5.0119999999999996</v>
      </c>
      <c r="K301" s="21">
        <v>69.414000000000001</v>
      </c>
      <c r="L301" s="21">
        <f t="shared" si="17"/>
        <v>4.9309999999999974</v>
      </c>
      <c r="M301" s="21">
        <f t="shared" si="18"/>
        <v>8.1000000000002181E-2</v>
      </c>
      <c r="N301">
        <f t="shared" si="19"/>
        <v>1.6161213088587825</v>
      </c>
    </row>
    <row r="302" spans="1:14" x14ac:dyDescent="0.2">
      <c r="A302">
        <v>20329</v>
      </c>
      <c r="B302" s="23">
        <f t="shared" si="16"/>
        <v>44159</v>
      </c>
      <c r="C302" t="s">
        <v>45</v>
      </c>
      <c r="D302">
        <v>18</v>
      </c>
      <c r="E302" t="s">
        <v>46</v>
      </c>
      <c r="F302" t="s">
        <v>40</v>
      </c>
      <c r="G302" s="22">
        <v>50</v>
      </c>
      <c r="H302">
        <v>1</v>
      </c>
      <c r="I302" s="21">
        <v>63.802</v>
      </c>
      <c r="J302" s="21">
        <v>5.03</v>
      </c>
      <c r="K302" s="21">
        <v>68.784999999999997</v>
      </c>
      <c r="L302" s="21">
        <f t="shared" si="17"/>
        <v>4.982999999999997</v>
      </c>
      <c r="M302" s="21">
        <f t="shared" si="18"/>
        <v>4.7000000000003261E-2</v>
      </c>
      <c r="N302">
        <f t="shared" si="19"/>
        <v>0.93439363817103893</v>
      </c>
    </row>
    <row r="303" spans="1:14" x14ac:dyDescent="0.2">
      <c r="A303">
        <v>20329</v>
      </c>
      <c r="B303" s="23">
        <f t="shared" si="16"/>
        <v>44159</v>
      </c>
      <c r="C303" t="s">
        <v>45</v>
      </c>
      <c r="D303">
        <v>18</v>
      </c>
      <c r="E303" t="s">
        <v>46</v>
      </c>
      <c r="F303" t="s">
        <v>40</v>
      </c>
      <c r="G303" s="22">
        <v>50</v>
      </c>
      <c r="H303">
        <v>2</v>
      </c>
      <c r="I303" s="21">
        <v>63.08</v>
      </c>
      <c r="J303" s="21">
        <v>5.0579999999999998</v>
      </c>
      <c r="K303" s="21">
        <v>68.093000000000004</v>
      </c>
      <c r="L303" s="21">
        <f t="shared" si="17"/>
        <v>5.0130000000000052</v>
      </c>
      <c r="M303" s="21">
        <f t="shared" si="18"/>
        <v>4.49999999999946E-2</v>
      </c>
      <c r="N303">
        <f t="shared" si="19"/>
        <v>0.88967971530238432</v>
      </c>
    </row>
    <row r="304" spans="1:14" x14ac:dyDescent="0.2">
      <c r="A304">
        <v>20329</v>
      </c>
      <c r="B304" s="23">
        <f t="shared" si="16"/>
        <v>44159</v>
      </c>
      <c r="C304" t="s">
        <v>45</v>
      </c>
      <c r="D304">
        <v>18</v>
      </c>
      <c r="E304" t="s">
        <v>46</v>
      </c>
      <c r="F304" t="s">
        <v>40</v>
      </c>
      <c r="G304" s="22">
        <v>50</v>
      </c>
      <c r="H304">
        <v>3</v>
      </c>
      <c r="I304" s="21">
        <v>64.872</v>
      </c>
      <c r="J304" s="21">
        <v>5.0830000000000002</v>
      </c>
      <c r="K304" s="21">
        <v>69.906999999999996</v>
      </c>
      <c r="L304" s="21">
        <f t="shared" si="17"/>
        <v>5.0349999999999966</v>
      </c>
      <c r="M304" s="21">
        <f t="shared" si="18"/>
        <v>4.8000000000003595E-2</v>
      </c>
      <c r="N304">
        <f t="shared" si="19"/>
        <v>0.94432421798157762</v>
      </c>
    </row>
    <row r="305" spans="1:14" x14ac:dyDescent="0.2">
      <c r="A305">
        <v>20329</v>
      </c>
      <c r="B305" s="23">
        <f t="shared" si="16"/>
        <v>44159</v>
      </c>
      <c r="C305" t="s">
        <v>45</v>
      </c>
      <c r="D305">
        <v>18</v>
      </c>
      <c r="E305" t="s">
        <v>46</v>
      </c>
      <c r="F305" t="s">
        <v>40</v>
      </c>
      <c r="G305" s="22">
        <v>50</v>
      </c>
      <c r="H305">
        <v>4</v>
      </c>
      <c r="I305" s="21">
        <v>63.930999999999997</v>
      </c>
      <c r="J305" s="21">
        <v>5.0590000000000002</v>
      </c>
      <c r="K305" s="21">
        <v>68.942999999999998</v>
      </c>
      <c r="L305" s="21">
        <f t="shared" si="17"/>
        <v>5.0120000000000005</v>
      </c>
      <c r="M305" s="21">
        <f t="shared" si="18"/>
        <v>4.6999999999999709E-2</v>
      </c>
      <c r="N305">
        <f t="shared" si="19"/>
        <v>0.92903735916188379</v>
      </c>
    </row>
    <row r="306" spans="1:14" x14ac:dyDescent="0.2">
      <c r="A306">
        <v>20329</v>
      </c>
      <c r="B306" s="23">
        <f t="shared" si="16"/>
        <v>44159</v>
      </c>
      <c r="C306" t="s">
        <v>45</v>
      </c>
      <c r="D306">
        <v>18</v>
      </c>
      <c r="E306" t="s">
        <v>46</v>
      </c>
      <c r="F306" t="s">
        <v>40</v>
      </c>
      <c r="G306" s="22">
        <v>60</v>
      </c>
      <c r="H306">
        <v>1</v>
      </c>
      <c r="I306" s="21">
        <v>68.063999999999993</v>
      </c>
      <c r="J306" s="21">
        <v>5.0250000000000004</v>
      </c>
      <c r="K306" s="21">
        <v>73.058999999999997</v>
      </c>
      <c r="L306" s="21">
        <f t="shared" si="17"/>
        <v>4.9950000000000045</v>
      </c>
      <c r="M306" s="21">
        <f t="shared" si="18"/>
        <v>2.9999999999995808E-2</v>
      </c>
      <c r="N306">
        <f t="shared" si="19"/>
        <v>0.5970149253730509</v>
      </c>
    </row>
    <row r="307" spans="1:14" x14ac:dyDescent="0.2">
      <c r="A307">
        <v>20329</v>
      </c>
      <c r="B307" s="23">
        <f t="shared" si="16"/>
        <v>44159</v>
      </c>
      <c r="C307" t="s">
        <v>45</v>
      </c>
      <c r="D307">
        <v>18</v>
      </c>
      <c r="E307" t="s">
        <v>46</v>
      </c>
      <c r="F307" t="s">
        <v>40</v>
      </c>
      <c r="G307" s="22">
        <v>60</v>
      </c>
      <c r="H307">
        <v>2</v>
      </c>
      <c r="I307" s="21">
        <v>62.197000000000003</v>
      </c>
      <c r="J307" s="21">
        <v>5.0430000000000001</v>
      </c>
      <c r="K307" s="21">
        <v>67.207999999999998</v>
      </c>
      <c r="L307" s="21">
        <f t="shared" si="17"/>
        <v>5.0109999999999957</v>
      </c>
      <c r="M307" s="21">
        <f t="shared" si="18"/>
        <v>3.2000000000004469E-2</v>
      </c>
      <c r="N307">
        <f t="shared" si="19"/>
        <v>0.63454293079525026</v>
      </c>
    </row>
    <row r="308" spans="1:14" x14ac:dyDescent="0.2">
      <c r="A308">
        <v>20329</v>
      </c>
      <c r="B308" s="23">
        <f t="shared" si="16"/>
        <v>44159</v>
      </c>
      <c r="C308" t="s">
        <v>45</v>
      </c>
      <c r="D308">
        <v>18</v>
      </c>
      <c r="E308" t="s">
        <v>46</v>
      </c>
      <c r="F308" t="s">
        <v>40</v>
      </c>
      <c r="G308" s="22">
        <v>60</v>
      </c>
      <c r="H308">
        <v>3</v>
      </c>
      <c r="I308" s="21">
        <v>62.731999999999999</v>
      </c>
      <c r="J308" s="21">
        <v>5.0350000000000001</v>
      </c>
      <c r="K308" s="21">
        <v>67.736000000000004</v>
      </c>
      <c r="L308" s="21">
        <f t="shared" si="17"/>
        <v>5.0040000000000049</v>
      </c>
      <c r="M308" s="21">
        <f t="shared" si="18"/>
        <v>3.0999999999995254E-2</v>
      </c>
      <c r="N308">
        <f t="shared" si="19"/>
        <v>0.61569016881817784</v>
      </c>
    </row>
    <row r="309" spans="1:14" x14ac:dyDescent="0.2">
      <c r="A309">
        <v>20329</v>
      </c>
      <c r="B309" s="23">
        <f t="shared" si="16"/>
        <v>44159</v>
      </c>
      <c r="C309" t="s">
        <v>45</v>
      </c>
      <c r="D309">
        <v>18</v>
      </c>
      <c r="E309" t="s">
        <v>46</v>
      </c>
      <c r="F309" t="s">
        <v>40</v>
      </c>
      <c r="G309" s="22">
        <v>60</v>
      </c>
      <c r="H309">
        <v>4</v>
      </c>
      <c r="I309" s="21">
        <v>65.316999999999993</v>
      </c>
      <c r="J309" s="21">
        <v>5.0839999999999996</v>
      </c>
      <c r="K309" s="21">
        <v>70.367000000000004</v>
      </c>
      <c r="L309" s="21">
        <f t="shared" si="17"/>
        <v>5.0500000000000114</v>
      </c>
      <c r="M309" s="21">
        <f t="shared" si="18"/>
        <v>3.3999999999988262E-2</v>
      </c>
      <c r="N309">
        <f t="shared" si="19"/>
        <v>0.6687647521634198</v>
      </c>
    </row>
    <row r="310" spans="1:14" x14ac:dyDescent="0.2">
      <c r="A310">
        <v>20329</v>
      </c>
      <c r="B310" s="23">
        <f t="shared" si="16"/>
        <v>44159</v>
      </c>
      <c r="C310" t="s">
        <v>45</v>
      </c>
      <c r="D310">
        <v>18</v>
      </c>
      <c r="E310" t="s">
        <v>46</v>
      </c>
      <c r="F310" t="s">
        <v>40</v>
      </c>
      <c r="G310" s="22">
        <v>70</v>
      </c>
      <c r="H310">
        <v>1</v>
      </c>
      <c r="I310" s="21">
        <v>63.930999999999997</v>
      </c>
      <c r="J310" s="21">
        <v>5.0350000000000001</v>
      </c>
      <c r="K310" s="21">
        <v>68.927000000000007</v>
      </c>
      <c r="L310" s="21">
        <f t="shared" si="17"/>
        <v>4.9960000000000093</v>
      </c>
      <c r="M310" s="21">
        <f t="shared" si="18"/>
        <v>3.899999999999082E-2</v>
      </c>
      <c r="N310">
        <f t="shared" si="19"/>
        <v>0.77457795431957932</v>
      </c>
    </row>
    <row r="311" spans="1:14" x14ac:dyDescent="0.2">
      <c r="A311">
        <v>20329</v>
      </c>
      <c r="B311" s="23">
        <f t="shared" si="16"/>
        <v>44159</v>
      </c>
      <c r="C311" t="s">
        <v>45</v>
      </c>
      <c r="D311">
        <v>18</v>
      </c>
      <c r="E311" t="s">
        <v>46</v>
      </c>
      <c r="F311" t="s">
        <v>40</v>
      </c>
      <c r="G311" s="22">
        <v>70</v>
      </c>
      <c r="H311">
        <v>2</v>
      </c>
      <c r="I311" s="21">
        <v>59.811</v>
      </c>
      <c r="J311" s="21">
        <v>5.085</v>
      </c>
      <c r="K311" s="21">
        <v>64.855000000000004</v>
      </c>
      <c r="L311" s="21">
        <f t="shared" si="17"/>
        <v>5.044000000000004</v>
      </c>
      <c r="M311" s="21">
        <f t="shared" si="18"/>
        <v>4.0999999999995929E-2</v>
      </c>
      <c r="N311">
        <f t="shared" si="19"/>
        <v>0.80629301868231917</v>
      </c>
    </row>
    <row r="312" spans="1:14" x14ac:dyDescent="0.2">
      <c r="A312">
        <v>20329</v>
      </c>
      <c r="B312" s="23">
        <f t="shared" si="16"/>
        <v>44159</v>
      </c>
      <c r="C312" t="s">
        <v>45</v>
      </c>
      <c r="D312">
        <v>18</v>
      </c>
      <c r="E312" t="s">
        <v>46</v>
      </c>
      <c r="F312" t="s">
        <v>40</v>
      </c>
      <c r="G312" s="22">
        <v>70</v>
      </c>
      <c r="H312">
        <v>3</v>
      </c>
      <c r="I312" s="21">
        <v>63.08</v>
      </c>
      <c r="J312" s="21">
        <v>5.0510000000000002</v>
      </c>
      <c r="K312" s="21">
        <v>68.090999999999994</v>
      </c>
      <c r="L312" s="21">
        <f t="shared" si="17"/>
        <v>5.0109999999999957</v>
      </c>
      <c r="M312" s="21">
        <f t="shared" si="18"/>
        <v>4.0000000000004476E-2</v>
      </c>
      <c r="N312">
        <f t="shared" si="19"/>
        <v>0.79192239160571121</v>
      </c>
    </row>
    <row r="313" spans="1:14" x14ac:dyDescent="0.2">
      <c r="A313">
        <v>20329</v>
      </c>
      <c r="B313" s="23">
        <f t="shared" si="16"/>
        <v>44159</v>
      </c>
      <c r="C313" t="s">
        <v>45</v>
      </c>
      <c r="D313">
        <v>18</v>
      </c>
      <c r="E313" t="s">
        <v>46</v>
      </c>
      <c r="F313" t="s">
        <v>40</v>
      </c>
      <c r="G313" s="22">
        <v>70</v>
      </c>
      <c r="H313">
        <v>4</v>
      </c>
      <c r="I313" s="21">
        <v>68.066000000000003</v>
      </c>
      <c r="J313" s="21">
        <v>5.0259999999999998</v>
      </c>
      <c r="K313" s="21">
        <v>73.05</v>
      </c>
      <c r="L313" s="21">
        <f t="shared" si="17"/>
        <v>4.9839999999999947</v>
      </c>
      <c r="M313" s="21">
        <f t="shared" si="18"/>
        <v>4.2000000000005144E-2</v>
      </c>
      <c r="N313">
        <f t="shared" si="19"/>
        <v>0.83565459610038095</v>
      </c>
    </row>
    <row r="314" spans="1:14" x14ac:dyDescent="0.2">
      <c r="A314">
        <v>20329</v>
      </c>
      <c r="B314" s="23">
        <f t="shared" si="16"/>
        <v>44159</v>
      </c>
      <c r="C314" t="s">
        <v>45</v>
      </c>
      <c r="D314">
        <v>18</v>
      </c>
      <c r="E314" t="s">
        <v>46</v>
      </c>
      <c r="F314" t="s">
        <v>40</v>
      </c>
      <c r="G314" s="22">
        <v>80</v>
      </c>
      <c r="H314">
        <v>1</v>
      </c>
      <c r="I314" s="21">
        <v>65.316999999999993</v>
      </c>
      <c r="J314" s="21">
        <v>5.0629999999999997</v>
      </c>
      <c r="K314" s="21">
        <v>70.346999999999994</v>
      </c>
      <c r="L314" s="21">
        <f t="shared" si="17"/>
        <v>5.0300000000000011</v>
      </c>
      <c r="M314" s="21">
        <f t="shared" si="18"/>
        <v>3.2999999999998586E-2</v>
      </c>
      <c r="N314">
        <f t="shared" si="19"/>
        <v>0.6517874777799445</v>
      </c>
    </row>
    <row r="315" spans="1:14" x14ac:dyDescent="0.2">
      <c r="A315">
        <v>20329</v>
      </c>
      <c r="B315" s="23">
        <f t="shared" si="16"/>
        <v>44159</v>
      </c>
      <c r="C315" t="s">
        <v>45</v>
      </c>
      <c r="D315">
        <v>18</v>
      </c>
      <c r="E315" t="s">
        <v>46</v>
      </c>
      <c r="F315" t="s">
        <v>40</v>
      </c>
      <c r="G315" s="22">
        <v>80</v>
      </c>
      <c r="H315">
        <v>2</v>
      </c>
      <c r="I315" s="21">
        <v>58.267000000000003</v>
      </c>
      <c r="J315" s="21">
        <v>5.0460000000000003</v>
      </c>
      <c r="K315" s="21">
        <v>63.279000000000003</v>
      </c>
      <c r="L315" s="21">
        <f t="shared" si="17"/>
        <v>5.0120000000000005</v>
      </c>
      <c r="M315" s="21">
        <f t="shared" si="18"/>
        <v>3.3999999999999808E-2</v>
      </c>
      <c r="N315">
        <f t="shared" si="19"/>
        <v>0.67380103051921925</v>
      </c>
    </row>
    <row r="316" spans="1:14" x14ac:dyDescent="0.2">
      <c r="A316">
        <v>20329</v>
      </c>
      <c r="B316" s="23">
        <f t="shared" si="16"/>
        <v>44159</v>
      </c>
      <c r="C316" t="s">
        <v>45</v>
      </c>
      <c r="D316">
        <v>18</v>
      </c>
      <c r="E316" t="s">
        <v>46</v>
      </c>
      <c r="F316" t="s">
        <v>40</v>
      </c>
      <c r="G316" s="22">
        <v>80</v>
      </c>
      <c r="H316">
        <v>3</v>
      </c>
      <c r="I316" s="21">
        <v>63.802999999999997</v>
      </c>
      <c r="J316" s="21">
        <v>5.0419999999999998</v>
      </c>
      <c r="K316" s="21">
        <v>68.811000000000007</v>
      </c>
      <c r="L316" s="21">
        <f t="shared" si="17"/>
        <v>5.0080000000000098</v>
      </c>
      <c r="M316" s="21">
        <f t="shared" si="18"/>
        <v>3.3999999999990038E-2</v>
      </c>
      <c r="N316">
        <f t="shared" si="19"/>
        <v>0.67433558111840619</v>
      </c>
    </row>
    <row r="317" spans="1:14" x14ac:dyDescent="0.2">
      <c r="A317">
        <v>20329</v>
      </c>
      <c r="B317" s="23">
        <f t="shared" si="16"/>
        <v>44159</v>
      </c>
      <c r="C317" t="s">
        <v>45</v>
      </c>
      <c r="D317">
        <v>18</v>
      </c>
      <c r="E317" t="s">
        <v>46</v>
      </c>
      <c r="F317" t="s">
        <v>40</v>
      </c>
      <c r="G317" s="22">
        <v>80</v>
      </c>
      <c r="H317">
        <v>4</v>
      </c>
      <c r="I317" s="21">
        <v>65.748000000000005</v>
      </c>
      <c r="J317" s="21">
        <v>5.0839999999999996</v>
      </c>
      <c r="K317" s="21">
        <v>70.8</v>
      </c>
      <c r="L317" s="21">
        <f t="shared" si="17"/>
        <v>5.0519999999999925</v>
      </c>
      <c r="M317" s="21">
        <f t="shared" si="18"/>
        <v>3.2000000000007134E-2</v>
      </c>
      <c r="N317">
        <f t="shared" si="19"/>
        <v>0.62942564909534093</v>
      </c>
    </row>
    <row r="318" spans="1:14" x14ac:dyDescent="0.2">
      <c r="A318">
        <v>20329</v>
      </c>
      <c r="B318" s="23">
        <f t="shared" si="16"/>
        <v>44159</v>
      </c>
      <c r="C318" t="s">
        <v>45</v>
      </c>
      <c r="D318">
        <v>18</v>
      </c>
      <c r="E318" t="s">
        <v>46</v>
      </c>
      <c r="F318" t="s">
        <v>40</v>
      </c>
      <c r="G318" s="22">
        <v>90</v>
      </c>
      <c r="H318">
        <v>1</v>
      </c>
      <c r="I318" s="21">
        <v>64.483000000000004</v>
      </c>
      <c r="J318" s="21">
        <v>5.0570000000000004</v>
      </c>
      <c r="K318" s="21">
        <v>69.503</v>
      </c>
      <c r="L318" s="21">
        <f t="shared" si="17"/>
        <v>5.019999999999996</v>
      </c>
      <c r="M318" s="21">
        <f t="shared" si="18"/>
        <v>3.7000000000004363E-2</v>
      </c>
      <c r="N318">
        <f t="shared" si="19"/>
        <v>0.73165908641495669</v>
      </c>
    </row>
    <row r="319" spans="1:14" x14ac:dyDescent="0.2">
      <c r="A319">
        <v>20329</v>
      </c>
      <c r="B319" s="23">
        <f t="shared" si="16"/>
        <v>44159</v>
      </c>
      <c r="C319" t="s">
        <v>45</v>
      </c>
      <c r="D319">
        <v>18</v>
      </c>
      <c r="E319" t="s">
        <v>46</v>
      </c>
      <c r="F319" t="s">
        <v>40</v>
      </c>
      <c r="G319" s="22">
        <v>90</v>
      </c>
      <c r="H319">
        <v>2</v>
      </c>
      <c r="I319" s="21">
        <v>64.870999999999995</v>
      </c>
      <c r="J319" s="21">
        <v>5.032</v>
      </c>
      <c r="K319" s="21">
        <v>69.867000000000004</v>
      </c>
      <c r="L319" s="21">
        <f t="shared" si="17"/>
        <v>4.9960000000000093</v>
      </c>
      <c r="M319" s="21">
        <f t="shared" si="18"/>
        <v>3.5999999999990706E-2</v>
      </c>
      <c r="N319">
        <f t="shared" si="19"/>
        <v>0.7154213036564131</v>
      </c>
    </row>
    <row r="320" spans="1:14" x14ac:dyDescent="0.2">
      <c r="A320">
        <v>20329</v>
      </c>
      <c r="B320" s="23">
        <f t="shared" si="16"/>
        <v>44159</v>
      </c>
      <c r="C320" t="s">
        <v>45</v>
      </c>
      <c r="D320">
        <v>18</v>
      </c>
      <c r="E320" t="s">
        <v>46</v>
      </c>
      <c r="F320" t="s">
        <v>40</v>
      </c>
      <c r="G320" s="22">
        <v>90</v>
      </c>
      <c r="H320">
        <v>3</v>
      </c>
      <c r="I320" s="21">
        <v>62.732999999999997</v>
      </c>
      <c r="J320" s="21">
        <v>5.0549999999999997</v>
      </c>
      <c r="K320" s="21">
        <v>67.748999999999995</v>
      </c>
      <c r="L320" s="21">
        <f t="shared" si="17"/>
        <v>5.0159999999999982</v>
      </c>
      <c r="M320" s="21">
        <f t="shared" si="18"/>
        <v>3.9000000000001478E-2</v>
      </c>
      <c r="N320">
        <f t="shared" si="19"/>
        <v>0.77151335311575631</v>
      </c>
    </row>
    <row r="321" spans="1:14" x14ac:dyDescent="0.2">
      <c r="A321">
        <v>20329</v>
      </c>
      <c r="B321" s="23">
        <f t="shared" si="16"/>
        <v>44159</v>
      </c>
      <c r="C321" t="s">
        <v>45</v>
      </c>
      <c r="D321">
        <v>18</v>
      </c>
      <c r="E321" t="s">
        <v>46</v>
      </c>
      <c r="F321" t="s">
        <v>40</v>
      </c>
      <c r="G321" s="22">
        <v>90</v>
      </c>
      <c r="H321">
        <v>4</v>
      </c>
      <c r="I321" s="21">
        <v>62.198</v>
      </c>
      <c r="J321" s="21">
        <v>5.0250000000000004</v>
      </c>
      <c r="K321" s="21">
        <v>67.185000000000002</v>
      </c>
      <c r="L321" s="21">
        <f t="shared" si="17"/>
        <v>4.9870000000000019</v>
      </c>
      <c r="M321" s="21">
        <f t="shared" si="18"/>
        <v>3.7999999999998479E-2</v>
      </c>
      <c r="N321">
        <f t="shared" si="19"/>
        <v>0.75621890547260651</v>
      </c>
    </row>
    <row r="322" spans="1:14" x14ac:dyDescent="0.2">
      <c r="A322">
        <v>20329</v>
      </c>
      <c r="B322" s="23">
        <f t="shared" si="16"/>
        <v>44159</v>
      </c>
      <c r="C322" t="s">
        <v>45</v>
      </c>
      <c r="D322">
        <v>18</v>
      </c>
      <c r="E322" t="s">
        <v>47</v>
      </c>
      <c r="F322" t="s">
        <v>40</v>
      </c>
      <c r="G322" s="22">
        <v>10</v>
      </c>
      <c r="H322">
        <v>1</v>
      </c>
      <c r="I322" s="21">
        <v>64.872</v>
      </c>
      <c r="J322" s="21">
        <v>5</v>
      </c>
      <c r="K322" s="21">
        <v>69.748999999999995</v>
      </c>
      <c r="L322" s="21">
        <f t="shared" si="17"/>
        <v>4.8769999999999953</v>
      </c>
      <c r="M322" s="21">
        <f t="shared" si="18"/>
        <v>0.12300000000000466</v>
      </c>
      <c r="N322">
        <f t="shared" si="19"/>
        <v>2.4600000000000932</v>
      </c>
    </row>
    <row r="323" spans="1:14" x14ac:dyDescent="0.2">
      <c r="A323">
        <v>20329</v>
      </c>
      <c r="B323" s="23">
        <f t="shared" ref="B323:B386" si="20">DATE(IF(0+(LEFT(A323))&lt;30,2000,1900)+LEFT(A323,2),1,RIGHT(A323,3))</f>
        <v>44159</v>
      </c>
      <c r="C323" t="s">
        <v>45</v>
      </c>
      <c r="D323">
        <v>18</v>
      </c>
      <c r="E323" t="s">
        <v>47</v>
      </c>
      <c r="F323" t="s">
        <v>40</v>
      </c>
      <c r="G323" s="22">
        <v>10</v>
      </c>
      <c r="H323">
        <v>2</v>
      </c>
      <c r="I323" s="21">
        <v>63.081000000000003</v>
      </c>
      <c r="J323" s="21">
        <v>5.0090000000000003</v>
      </c>
      <c r="K323" s="21">
        <v>67.965000000000003</v>
      </c>
      <c r="L323" s="21">
        <f t="shared" ref="L323:L386" si="21">K323-I323</f>
        <v>4.8840000000000003</v>
      </c>
      <c r="M323" s="21">
        <f t="shared" ref="M323:M386" si="22">J323-L323</f>
        <v>0.125</v>
      </c>
      <c r="N323">
        <f t="shared" ref="N323:N386" si="23">M323/J323*100</f>
        <v>2.4955080854461968</v>
      </c>
    </row>
    <row r="324" spans="1:14" x14ac:dyDescent="0.2">
      <c r="A324">
        <v>20329</v>
      </c>
      <c r="B324" s="23">
        <f t="shared" si="20"/>
        <v>44159</v>
      </c>
      <c r="C324" t="s">
        <v>45</v>
      </c>
      <c r="D324">
        <v>18</v>
      </c>
      <c r="E324" t="s">
        <v>47</v>
      </c>
      <c r="F324" t="s">
        <v>40</v>
      </c>
      <c r="G324" s="22">
        <v>10</v>
      </c>
      <c r="H324">
        <v>3</v>
      </c>
      <c r="I324" s="21">
        <v>65.316000000000003</v>
      </c>
      <c r="J324" s="21">
        <v>5.0389999999999997</v>
      </c>
      <c r="K324" s="21">
        <v>70.230999999999995</v>
      </c>
      <c r="L324" s="21">
        <f t="shared" si="21"/>
        <v>4.914999999999992</v>
      </c>
      <c r="M324" s="21">
        <f t="shared" si="22"/>
        <v>0.12400000000000766</v>
      </c>
      <c r="N324">
        <f t="shared" si="23"/>
        <v>2.4608057154198781</v>
      </c>
    </row>
    <row r="325" spans="1:14" x14ac:dyDescent="0.2">
      <c r="A325">
        <v>20329</v>
      </c>
      <c r="B325" s="23">
        <f t="shared" si="20"/>
        <v>44159</v>
      </c>
      <c r="C325" t="s">
        <v>45</v>
      </c>
      <c r="D325">
        <v>18</v>
      </c>
      <c r="E325" t="s">
        <v>47</v>
      </c>
      <c r="F325" t="s">
        <v>40</v>
      </c>
      <c r="G325" s="22">
        <v>10</v>
      </c>
      <c r="H325">
        <v>4</v>
      </c>
      <c r="I325" s="21">
        <v>64.483000000000004</v>
      </c>
      <c r="J325" s="21">
        <v>5.04</v>
      </c>
      <c r="K325" s="21">
        <v>69.396000000000001</v>
      </c>
      <c r="L325" s="21">
        <f t="shared" si="21"/>
        <v>4.9129999999999967</v>
      </c>
      <c r="M325" s="21">
        <f t="shared" si="22"/>
        <v>0.12700000000000333</v>
      </c>
      <c r="N325">
        <f t="shared" si="23"/>
        <v>2.5198412698413359</v>
      </c>
    </row>
    <row r="326" spans="1:14" x14ac:dyDescent="0.2">
      <c r="A326">
        <v>20329</v>
      </c>
      <c r="B326" s="23">
        <f t="shared" si="20"/>
        <v>44159</v>
      </c>
      <c r="C326" t="s">
        <v>45</v>
      </c>
      <c r="D326">
        <v>18</v>
      </c>
      <c r="E326" t="s">
        <v>47</v>
      </c>
      <c r="F326" t="s">
        <v>40</v>
      </c>
      <c r="G326" s="22">
        <v>20</v>
      </c>
      <c r="H326">
        <v>1</v>
      </c>
      <c r="I326" s="21">
        <v>63.930999999999997</v>
      </c>
      <c r="J326" s="21">
        <v>5.0780000000000003</v>
      </c>
      <c r="K326" s="21">
        <v>68.908000000000001</v>
      </c>
      <c r="L326" s="21">
        <f t="shared" si="21"/>
        <v>4.9770000000000039</v>
      </c>
      <c r="M326" s="21">
        <f t="shared" si="22"/>
        <v>0.10099999999999643</v>
      </c>
      <c r="N326">
        <f t="shared" si="23"/>
        <v>1.9889720362346677</v>
      </c>
    </row>
    <row r="327" spans="1:14" x14ac:dyDescent="0.2">
      <c r="A327">
        <v>20329</v>
      </c>
      <c r="B327" s="23">
        <f t="shared" si="20"/>
        <v>44159</v>
      </c>
      <c r="C327" t="s">
        <v>45</v>
      </c>
      <c r="D327">
        <v>18</v>
      </c>
      <c r="E327" t="s">
        <v>47</v>
      </c>
      <c r="F327" t="s">
        <v>40</v>
      </c>
      <c r="G327" s="22">
        <v>20</v>
      </c>
      <c r="H327">
        <v>2</v>
      </c>
      <c r="I327" s="21">
        <v>63.802</v>
      </c>
      <c r="J327" s="21">
        <v>5.0389999999999997</v>
      </c>
      <c r="K327" s="21">
        <v>68.739000000000004</v>
      </c>
      <c r="L327" s="21">
        <f t="shared" si="21"/>
        <v>4.9370000000000047</v>
      </c>
      <c r="M327" s="21">
        <f t="shared" si="22"/>
        <v>0.10199999999999498</v>
      </c>
      <c r="N327">
        <f t="shared" si="23"/>
        <v>2.0242111530064495</v>
      </c>
    </row>
    <row r="328" spans="1:14" x14ac:dyDescent="0.2">
      <c r="A328">
        <v>20329</v>
      </c>
      <c r="B328" s="23">
        <f t="shared" si="20"/>
        <v>44159</v>
      </c>
      <c r="C328" t="s">
        <v>45</v>
      </c>
      <c r="D328">
        <v>18</v>
      </c>
      <c r="E328" t="s">
        <v>47</v>
      </c>
      <c r="F328" t="s">
        <v>40</v>
      </c>
      <c r="G328" s="22">
        <v>20</v>
      </c>
      <c r="H328">
        <v>3</v>
      </c>
      <c r="I328" s="21">
        <v>58.265999999999998</v>
      </c>
      <c r="J328" s="21">
        <v>5.016</v>
      </c>
      <c r="K328" s="21">
        <v>63.183999999999997</v>
      </c>
      <c r="L328" s="21">
        <f t="shared" si="21"/>
        <v>4.9179999999999993</v>
      </c>
      <c r="M328" s="21">
        <f t="shared" si="22"/>
        <v>9.8000000000000753E-2</v>
      </c>
      <c r="N328">
        <f t="shared" si="23"/>
        <v>1.9537480063796002</v>
      </c>
    </row>
    <row r="329" spans="1:14" x14ac:dyDescent="0.2">
      <c r="A329">
        <v>20329</v>
      </c>
      <c r="B329" s="23">
        <f t="shared" si="20"/>
        <v>44159</v>
      </c>
      <c r="C329" t="s">
        <v>45</v>
      </c>
      <c r="D329">
        <v>18</v>
      </c>
      <c r="E329" t="s">
        <v>47</v>
      </c>
      <c r="F329" t="s">
        <v>40</v>
      </c>
      <c r="G329" s="22">
        <v>20</v>
      </c>
      <c r="H329">
        <v>4</v>
      </c>
      <c r="I329" s="21">
        <v>59.81</v>
      </c>
      <c r="J329" s="21">
        <v>5.0220000000000002</v>
      </c>
      <c r="K329" s="21">
        <v>64.727999999999994</v>
      </c>
      <c r="L329" s="21">
        <f t="shared" si="21"/>
        <v>4.9179999999999922</v>
      </c>
      <c r="M329" s="21">
        <f t="shared" si="22"/>
        <v>0.10400000000000809</v>
      </c>
      <c r="N329">
        <f t="shared" si="23"/>
        <v>2.0708880923936297</v>
      </c>
    </row>
    <row r="330" spans="1:14" x14ac:dyDescent="0.2">
      <c r="A330">
        <v>20329</v>
      </c>
      <c r="B330" s="23">
        <f t="shared" si="20"/>
        <v>44159</v>
      </c>
      <c r="C330" t="s">
        <v>45</v>
      </c>
      <c r="D330">
        <v>18</v>
      </c>
      <c r="E330" t="s">
        <v>47</v>
      </c>
      <c r="F330" t="s">
        <v>40</v>
      </c>
      <c r="G330" s="22">
        <v>30</v>
      </c>
      <c r="H330">
        <v>1</v>
      </c>
      <c r="I330" s="21">
        <v>62.198</v>
      </c>
      <c r="J330" s="21">
        <v>5.0949999999999998</v>
      </c>
      <c r="K330" s="21">
        <v>67.203999999999994</v>
      </c>
      <c r="L330" s="21">
        <f t="shared" si="21"/>
        <v>5.0059999999999931</v>
      </c>
      <c r="M330" s="21">
        <f t="shared" si="22"/>
        <v>8.9000000000006629E-2</v>
      </c>
      <c r="N330">
        <f t="shared" si="23"/>
        <v>1.7468105986262343</v>
      </c>
    </row>
    <row r="331" spans="1:14" x14ac:dyDescent="0.2">
      <c r="A331">
        <v>20329</v>
      </c>
      <c r="B331" s="23">
        <f t="shared" si="20"/>
        <v>44159</v>
      </c>
      <c r="C331" t="s">
        <v>45</v>
      </c>
      <c r="D331">
        <v>18</v>
      </c>
      <c r="E331" t="s">
        <v>47</v>
      </c>
      <c r="F331" t="s">
        <v>40</v>
      </c>
      <c r="G331" s="22">
        <v>30</v>
      </c>
      <c r="H331">
        <v>2</v>
      </c>
      <c r="I331" s="21">
        <v>65.748000000000005</v>
      </c>
      <c r="J331" s="21">
        <v>5.0490000000000004</v>
      </c>
      <c r="K331" s="21">
        <v>70.707999999999998</v>
      </c>
      <c r="L331" s="21">
        <f t="shared" si="21"/>
        <v>4.9599999999999937</v>
      </c>
      <c r="M331" s="21">
        <f t="shared" si="22"/>
        <v>8.9000000000006629E-2</v>
      </c>
      <c r="N331">
        <f t="shared" si="23"/>
        <v>1.7627252921371881</v>
      </c>
    </row>
    <row r="332" spans="1:14" x14ac:dyDescent="0.2">
      <c r="A332">
        <v>20329</v>
      </c>
      <c r="B332" s="23">
        <f t="shared" si="20"/>
        <v>44159</v>
      </c>
      <c r="C332" t="s">
        <v>45</v>
      </c>
      <c r="D332">
        <v>18</v>
      </c>
      <c r="E332" t="s">
        <v>47</v>
      </c>
      <c r="F332" t="s">
        <v>40</v>
      </c>
      <c r="G332" s="22">
        <v>30</v>
      </c>
      <c r="H332">
        <v>3</v>
      </c>
      <c r="I332" s="21">
        <v>62.731999999999999</v>
      </c>
      <c r="J332" s="21">
        <v>5.0529999999999999</v>
      </c>
      <c r="K332" s="21">
        <v>67.697000000000003</v>
      </c>
      <c r="L332" s="21">
        <f t="shared" si="21"/>
        <v>4.9650000000000034</v>
      </c>
      <c r="M332" s="21">
        <f t="shared" si="22"/>
        <v>8.7999999999996525E-2</v>
      </c>
      <c r="N332">
        <f t="shared" si="23"/>
        <v>1.7415396793983084</v>
      </c>
    </row>
    <row r="333" spans="1:14" x14ac:dyDescent="0.2">
      <c r="A333">
        <v>20329</v>
      </c>
      <c r="B333" s="23">
        <f t="shared" si="20"/>
        <v>44159</v>
      </c>
      <c r="C333" t="s">
        <v>45</v>
      </c>
      <c r="D333">
        <v>18</v>
      </c>
      <c r="E333" t="s">
        <v>47</v>
      </c>
      <c r="F333" t="s">
        <v>40</v>
      </c>
      <c r="G333" s="22">
        <v>30</v>
      </c>
      <c r="H333">
        <v>4</v>
      </c>
      <c r="I333" s="21">
        <v>68.066000000000003</v>
      </c>
      <c r="J333" s="21">
        <v>5.0659999999999998</v>
      </c>
      <c r="K333" s="21">
        <v>73.045000000000002</v>
      </c>
      <c r="L333" s="21">
        <f t="shared" si="21"/>
        <v>4.9789999999999992</v>
      </c>
      <c r="M333" s="21">
        <f t="shared" si="22"/>
        <v>8.7000000000000632E-2</v>
      </c>
      <c r="N333">
        <f t="shared" si="23"/>
        <v>1.7173312277931432</v>
      </c>
    </row>
    <row r="334" spans="1:14" x14ac:dyDescent="0.2">
      <c r="A334">
        <v>20329</v>
      </c>
      <c r="B334" s="23">
        <f t="shared" si="20"/>
        <v>44159</v>
      </c>
      <c r="C334" t="s">
        <v>45</v>
      </c>
      <c r="D334">
        <v>18</v>
      </c>
      <c r="E334" t="s">
        <v>47</v>
      </c>
      <c r="F334" t="s">
        <v>40</v>
      </c>
      <c r="G334" s="22">
        <v>40</v>
      </c>
      <c r="H334">
        <v>1</v>
      </c>
      <c r="I334" s="21">
        <v>62.734999999999999</v>
      </c>
      <c r="J334" s="21">
        <v>5.09</v>
      </c>
      <c r="K334" s="21">
        <v>67.762</v>
      </c>
      <c r="L334" s="21">
        <f t="shared" si="21"/>
        <v>5.027000000000001</v>
      </c>
      <c r="M334" s="21">
        <f t="shared" si="22"/>
        <v>6.2999999999998835E-2</v>
      </c>
      <c r="N334">
        <f t="shared" si="23"/>
        <v>1.2377210216109791</v>
      </c>
    </row>
    <row r="335" spans="1:14" x14ac:dyDescent="0.2">
      <c r="A335">
        <v>20329</v>
      </c>
      <c r="B335" s="23">
        <f t="shared" si="20"/>
        <v>44159</v>
      </c>
      <c r="C335" t="s">
        <v>45</v>
      </c>
      <c r="D335">
        <v>18</v>
      </c>
      <c r="E335" t="s">
        <v>47</v>
      </c>
      <c r="F335" t="s">
        <v>40</v>
      </c>
      <c r="G335" s="22">
        <v>40</v>
      </c>
      <c r="H335">
        <v>2</v>
      </c>
      <c r="I335" s="21">
        <v>68.066000000000003</v>
      </c>
      <c r="J335" s="21">
        <v>5.0549999999999997</v>
      </c>
      <c r="K335" s="21">
        <v>73.057000000000002</v>
      </c>
      <c r="L335" s="21">
        <f t="shared" si="21"/>
        <v>4.9909999999999997</v>
      </c>
      <c r="M335" s="21">
        <f t="shared" si="22"/>
        <v>6.4000000000000057E-2</v>
      </c>
      <c r="N335">
        <f t="shared" si="23"/>
        <v>1.2660731948565789</v>
      </c>
    </row>
    <row r="336" spans="1:14" x14ac:dyDescent="0.2">
      <c r="A336">
        <v>20329</v>
      </c>
      <c r="B336" s="23">
        <f t="shared" si="20"/>
        <v>44159</v>
      </c>
      <c r="C336" t="s">
        <v>45</v>
      </c>
      <c r="D336">
        <v>18</v>
      </c>
      <c r="E336" t="s">
        <v>47</v>
      </c>
      <c r="F336" t="s">
        <v>40</v>
      </c>
      <c r="G336" s="22">
        <v>40</v>
      </c>
      <c r="H336">
        <v>3</v>
      </c>
      <c r="I336" s="21">
        <v>63.08</v>
      </c>
      <c r="J336" s="21">
        <v>5.0960000000000001</v>
      </c>
      <c r="K336" s="21">
        <v>68.116</v>
      </c>
      <c r="L336" s="21">
        <f t="shared" si="21"/>
        <v>5.0360000000000014</v>
      </c>
      <c r="M336" s="21">
        <f t="shared" si="22"/>
        <v>5.9999999999998721E-2</v>
      </c>
      <c r="N336">
        <f t="shared" si="23"/>
        <v>1.1773940345368665</v>
      </c>
    </row>
    <row r="337" spans="1:14" x14ac:dyDescent="0.2">
      <c r="A337">
        <v>20329</v>
      </c>
      <c r="B337" s="23">
        <f t="shared" si="20"/>
        <v>44159</v>
      </c>
      <c r="C337" t="s">
        <v>45</v>
      </c>
      <c r="D337">
        <v>18</v>
      </c>
      <c r="E337" t="s">
        <v>47</v>
      </c>
      <c r="F337" t="s">
        <v>40</v>
      </c>
      <c r="G337" s="22">
        <v>40</v>
      </c>
      <c r="H337">
        <v>4</v>
      </c>
      <c r="I337" s="21">
        <v>64.483000000000004</v>
      </c>
      <c r="J337" s="21">
        <v>5.0670000000000002</v>
      </c>
      <c r="K337" s="21">
        <v>69.486999999999995</v>
      </c>
      <c r="L337" s="21">
        <f t="shared" si="21"/>
        <v>5.0039999999999907</v>
      </c>
      <c r="M337" s="21">
        <f t="shared" si="22"/>
        <v>6.3000000000009493E-2</v>
      </c>
      <c r="N337">
        <f t="shared" si="23"/>
        <v>1.2433392539966348</v>
      </c>
    </row>
    <row r="338" spans="1:14" x14ac:dyDescent="0.2">
      <c r="A338">
        <v>20329</v>
      </c>
      <c r="B338" s="23">
        <f t="shared" si="20"/>
        <v>44159</v>
      </c>
      <c r="C338" t="s">
        <v>45</v>
      </c>
      <c r="D338">
        <v>18</v>
      </c>
      <c r="E338" t="s">
        <v>47</v>
      </c>
      <c r="F338" t="s">
        <v>40</v>
      </c>
      <c r="G338" s="22">
        <v>50</v>
      </c>
      <c r="H338">
        <v>1</v>
      </c>
      <c r="I338" s="21">
        <v>58.267000000000003</v>
      </c>
      <c r="J338" s="21">
        <v>5.0019999999999998</v>
      </c>
      <c r="K338" s="21">
        <v>63.228000000000002</v>
      </c>
      <c r="L338" s="21">
        <f t="shared" si="21"/>
        <v>4.9609999999999985</v>
      </c>
      <c r="M338" s="21">
        <f t="shared" si="22"/>
        <v>4.1000000000001258E-2</v>
      </c>
      <c r="N338">
        <f t="shared" si="23"/>
        <v>0.81967213114756621</v>
      </c>
    </row>
    <row r="339" spans="1:14" x14ac:dyDescent="0.2">
      <c r="A339">
        <v>20329</v>
      </c>
      <c r="B339" s="23">
        <f t="shared" si="20"/>
        <v>44159</v>
      </c>
      <c r="C339" t="s">
        <v>45</v>
      </c>
      <c r="D339">
        <v>18</v>
      </c>
      <c r="E339" t="s">
        <v>47</v>
      </c>
      <c r="F339" t="s">
        <v>40</v>
      </c>
      <c r="G339" s="22">
        <v>50</v>
      </c>
      <c r="H339">
        <v>2</v>
      </c>
      <c r="I339" s="21">
        <v>65.748000000000005</v>
      </c>
      <c r="J339" s="21">
        <v>5.0780000000000003</v>
      </c>
      <c r="K339" s="21">
        <v>70.787000000000006</v>
      </c>
      <c r="L339" s="21">
        <f t="shared" si="21"/>
        <v>5.0390000000000015</v>
      </c>
      <c r="M339" s="21">
        <f t="shared" si="22"/>
        <v>3.8999999999998813E-2</v>
      </c>
      <c r="N339">
        <f t="shared" si="23"/>
        <v>0.76801890508071702</v>
      </c>
    </row>
    <row r="340" spans="1:14" x14ac:dyDescent="0.2">
      <c r="A340">
        <v>20329</v>
      </c>
      <c r="B340" s="23">
        <f t="shared" si="20"/>
        <v>44159</v>
      </c>
      <c r="C340" t="s">
        <v>45</v>
      </c>
      <c r="D340">
        <v>18</v>
      </c>
      <c r="E340" t="s">
        <v>47</v>
      </c>
      <c r="F340" t="s">
        <v>40</v>
      </c>
      <c r="G340" s="22">
        <v>50</v>
      </c>
      <c r="H340">
        <v>3</v>
      </c>
      <c r="I340" s="21">
        <v>65.316999999999993</v>
      </c>
      <c r="J340" s="21">
        <v>5.077</v>
      </c>
      <c r="K340" s="21">
        <v>70.350999999999999</v>
      </c>
      <c r="L340" s="21">
        <f t="shared" si="21"/>
        <v>5.034000000000006</v>
      </c>
      <c r="M340" s="21">
        <f t="shared" si="22"/>
        <v>4.2999999999993932E-2</v>
      </c>
      <c r="N340">
        <f t="shared" si="23"/>
        <v>0.84695686428981554</v>
      </c>
    </row>
    <row r="341" spans="1:14" x14ac:dyDescent="0.2">
      <c r="A341">
        <v>20329</v>
      </c>
      <c r="B341" s="23">
        <f t="shared" si="20"/>
        <v>44159</v>
      </c>
      <c r="C341" t="s">
        <v>45</v>
      </c>
      <c r="D341">
        <v>18</v>
      </c>
      <c r="E341" t="s">
        <v>47</v>
      </c>
      <c r="F341" t="s">
        <v>40</v>
      </c>
      <c r="G341" s="22">
        <v>50</v>
      </c>
      <c r="H341">
        <v>4</v>
      </c>
      <c r="I341" s="21">
        <v>63.802</v>
      </c>
      <c r="J341" s="21">
        <v>5.1059999999999999</v>
      </c>
      <c r="K341" s="21">
        <v>68.858999999999995</v>
      </c>
      <c r="L341" s="21">
        <f t="shared" si="21"/>
        <v>5.0569999999999951</v>
      </c>
      <c r="M341" s="21">
        <f t="shared" si="22"/>
        <v>4.9000000000004817E-2</v>
      </c>
      <c r="N341">
        <f t="shared" si="23"/>
        <v>0.95965530748148875</v>
      </c>
    </row>
    <row r="342" spans="1:14" x14ac:dyDescent="0.2">
      <c r="A342">
        <v>20329</v>
      </c>
      <c r="B342" s="23">
        <f t="shared" si="20"/>
        <v>44159</v>
      </c>
      <c r="C342" t="s">
        <v>45</v>
      </c>
      <c r="D342">
        <v>18</v>
      </c>
      <c r="E342" t="s">
        <v>47</v>
      </c>
      <c r="F342" t="s">
        <v>40</v>
      </c>
      <c r="G342" s="22">
        <v>60</v>
      </c>
      <c r="H342">
        <v>1</v>
      </c>
      <c r="I342" s="21">
        <v>63.930999999999997</v>
      </c>
      <c r="J342" s="21">
        <v>5.0289999999999999</v>
      </c>
      <c r="K342" s="21">
        <v>68.921999999999997</v>
      </c>
      <c r="L342" s="21">
        <f t="shared" si="21"/>
        <v>4.9909999999999997</v>
      </c>
      <c r="M342" s="21">
        <f t="shared" si="22"/>
        <v>3.8000000000000256E-2</v>
      </c>
      <c r="N342">
        <f t="shared" si="23"/>
        <v>0.75561741896997925</v>
      </c>
    </row>
    <row r="343" spans="1:14" x14ac:dyDescent="0.2">
      <c r="A343">
        <v>20329</v>
      </c>
      <c r="B343" s="23">
        <f t="shared" si="20"/>
        <v>44159</v>
      </c>
      <c r="C343" t="s">
        <v>45</v>
      </c>
      <c r="D343">
        <v>18</v>
      </c>
      <c r="E343" t="s">
        <v>47</v>
      </c>
      <c r="F343" t="s">
        <v>40</v>
      </c>
      <c r="G343" s="22">
        <v>60</v>
      </c>
      <c r="H343">
        <v>2</v>
      </c>
      <c r="I343" s="21">
        <v>59.890999999999998</v>
      </c>
      <c r="J343" s="21">
        <v>5.0389999999999997</v>
      </c>
      <c r="K343" s="21">
        <v>64.811000000000007</v>
      </c>
      <c r="L343" s="21">
        <f t="shared" si="21"/>
        <v>4.9200000000000088</v>
      </c>
      <c r="M343" s="21">
        <f t="shared" si="22"/>
        <v>0.11899999999999089</v>
      </c>
      <c r="N343">
        <f t="shared" si="23"/>
        <v>2.3615796785074599</v>
      </c>
    </row>
    <row r="344" spans="1:14" x14ac:dyDescent="0.2">
      <c r="A344">
        <v>20329</v>
      </c>
      <c r="B344" s="23">
        <f t="shared" si="20"/>
        <v>44159</v>
      </c>
      <c r="C344" t="s">
        <v>45</v>
      </c>
      <c r="D344">
        <v>18</v>
      </c>
      <c r="E344" t="s">
        <v>47</v>
      </c>
      <c r="F344" t="s">
        <v>40</v>
      </c>
      <c r="G344" s="22">
        <v>60</v>
      </c>
      <c r="H344">
        <v>3</v>
      </c>
      <c r="I344" s="21">
        <v>62.198</v>
      </c>
      <c r="J344" s="21">
        <v>5.0419999999999998</v>
      </c>
      <c r="K344" s="21">
        <v>67.200999999999993</v>
      </c>
      <c r="L344" s="21">
        <f t="shared" si="21"/>
        <v>5.002999999999993</v>
      </c>
      <c r="M344" s="21">
        <f t="shared" si="22"/>
        <v>3.9000000000006807E-2</v>
      </c>
      <c r="N344">
        <f t="shared" si="23"/>
        <v>0.77350257834206282</v>
      </c>
    </row>
    <row r="345" spans="1:14" x14ac:dyDescent="0.2">
      <c r="A345">
        <v>20329</v>
      </c>
      <c r="B345" s="23">
        <f t="shared" si="20"/>
        <v>44159</v>
      </c>
      <c r="C345" t="s">
        <v>45</v>
      </c>
      <c r="D345">
        <v>18</v>
      </c>
      <c r="E345" t="s">
        <v>47</v>
      </c>
      <c r="F345" t="s">
        <v>40</v>
      </c>
      <c r="G345" s="22">
        <v>60</v>
      </c>
      <c r="H345">
        <v>4</v>
      </c>
      <c r="I345" s="21">
        <v>64.870999999999995</v>
      </c>
      <c r="J345" s="21">
        <v>5.093</v>
      </c>
      <c r="K345" s="21">
        <v>69.924999999999997</v>
      </c>
      <c r="L345" s="21">
        <f t="shared" si="21"/>
        <v>5.054000000000002</v>
      </c>
      <c r="M345" s="21">
        <f t="shared" si="22"/>
        <v>3.8999999999997925E-2</v>
      </c>
      <c r="N345">
        <f t="shared" si="23"/>
        <v>0.76575692126443995</v>
      </c>
    </row>
    <row r="346" spans="1:14" x14ac:dyDescent="0.2">
      <c r="A346">
        <v>20329</v>
      </c>
      <c r="B346" s="23">
        <f t="shared" si="20"/>
        <v>44159</v>
      </c>
      <c r="C346" t="s">
        <v>45</v>
      </c>
      <c r="D346">
        <v>18</v>
      </c>
      <c r="E346" t="s">
        <v>47</v>
      </c>
      <c r="F346" t="s">
        <v>40</v>
      </c>
      <c r="G346" s="22">
        <v>70</v>
      </c>
      <c r="H346">
        <v>1</v>
      </c>
      <c r="I346" s="21">
        <v>64.481999999999999</v>
      </c>
      <c r="J346" s="21">
        <v>5.0709999999999997</v>
      </c>
      <c r="K346" s="21">
        <v>69.527000000000001</v>
      </c>
      <c r="L346" s="21">
        <f t="shared" si="21"/>
        <v>5.0450000000000017</v>
      </c>
      <c r="M346" s="21">
        <f t="shared" si="22"/>
        <v>2.5999999999998025E-2</v>
      </c>
      <c r="N346">
        <f t="shared" si="23"/>
        <v>0.51271938473669942</v>
      </c>
    </row>
    <row r="347" spans="1:14" x14ac:dyDescent="0.2">
      <c r="A347">
        <v>20329</v>
      </c>
      <c r="B347" s="23">
        <f t="shared" si="20"/>
        <v>44159</v>
      </c>
      <c r="C347" t="s">
        <v>45</v>
      </c>
      <c r="D347">
        <v>18</v>
      </c>
      <c r="E347" t="s">
        <v>47</v>
      </c>
      <c r="F347" t="s">
        <v>40</v>
      </c>
      <c r="G347" s="22">
        <v>70</v>
      </c>
      <c r="H347">
        <v>2</v>
      </c>
      <c r="I347" s="21">
        <v>63.930999999999997</v>
      </c>
      <c r="J347" s="21">
        <v>5.0250000000000004</v>
      </c>
      <c r="K347" s="21">
        <v>68.930000000000007</v>
      </c>
      <c r="L347" s="21">
        <f t="shared" si="21"/>
        <v>4.9990000000000094</v>
      </c>
      <c r="M347" s="21">
        <f t="shared" si="22"/>
        <v>2.5999999999990919E-2</v>
      </c>
      <c r="N347">
        <f t="shared" si="23"/>
        <v>0.51741293532320232</v>
      </c>
    </row>
    <row r="348" spans="1:14" x14ac:dyDescent="0.2">
      <c r="A348">
        <v>20329</v>
      </c>
      <c r="B348" s="23">
        <f t="shared" si="20"/>
        <v>44159</v>
      </c>
      <c r="C348" t="s">
        <v>45</v>
      </c>
      <c r="D348">
        <v>18</v>
      </c>
      <c r="E348" t="s">
        <v>47</v>
      </c>
      <c r="F348" t="s">
        <v>40</v>
      </c>
      <c r="G348" s="22">
        <v>70</v>
      </c>
      <c r="H348">
        <v>3</v>
      </c>
      <c r="I348" s="21">
        <v>63.802</v>
      </c>
      <c r="J348" s="21">
        <v>5.0359999999999996</v>
      </c>
      <c r="K348" s="21">
        <v>68.813000000000002</v>
      </c>
      <c r="L348" s="21">
        <f t="shared" si="21"/>
        <v>5.0110000000000028</v>
      </c>
      <c r="M348" s="21">
        <f t="shared" si="22"/>
        <v>2.4999999999996803E-2</v>
      </c>
      <c r="N348">
        <f t="shared" si="23"/>
        <v>0.49642573471002388</v>
      </c>
    </row>
    <row r="349" spans="1:14" x14ac:dyDescent="0.2">
      <c r="A349">
        <v>20329</v>
      </c>
      <c r="B349" s="23">
        <f t="shared" si="20"/>
        <v>44159</v>
      </c>
      <c r="C349" t="s">
        <v>45</v>
      </c>
      <c r="D349">
        <v>18</v>
      </c>
      <c r="E349" t="s">
        <v>47</v>
      </c>
      <c r="F349" t="s">
        <v>40</v>
      </c>
      <c r="G349" s="22">
        <v>70</v>
      </c>
      <c r="H349">
        <v>4</v>
      </c>
      <c r="I349" s="21">
        <v>68.066000000000003</v>
      </c>
      <c r="J349" s="21">
        <v>5.0529999999999999</v>
      </c>
      <c r="K349" s="21">
        <v>73.090999999999994</v>
      </c>
      <c r="L349" s="21">
        <f t="shared" si="21"/>
        <v>5.0249999999999915</v>
      </c>
      <c r="M349" s="21">
        <f t="shared" si="22"/>
        <v>2.8000000000008463E-2</v>
      </c>
      <c r="N349">
        <f t="shared" si="23"/>
        <v>0.55412626162692391</v>
      </c>
    </row>
    <row r="350" spans="1:14" x14ac:dyDescent="0.2">
      <c r="A350">
        <v>20329</v>
      </c>
      <c r="B350" s="23">
        <f t="shared" si="20"/>
        <v>44159</v>
      </c>
      <c r="C350" t="s">
        <v>45</v>
      </c>
      <c r="D350">
        <v>18</v>
      </c>
      <c r="E350" t="s">
        <v>47</v>
      </c>
      <c r="F350" t="s">
        <v>40</v>
      </c>
      <c r="G350" s="22">
        <v>80</v>
      </c>
      <c r="H350">
        <v>1</v>
      </c>
      <c r="I350" s="21">
        <v>63.081000000000003</v>
      </c>
      <c r="J350" s="21">
        <v>5.0309999999999997</v>
      </c>
      <c r="K350" s="21">
        <v>68.084000000000003</v>
      </c>
      <c r="L350" s="21">
        <f t="shared" si="21"/>
        <v>5.0030000000000001</v>
      </c>
      <c r="M350" s="21">
        <f t="shared" si="22"/>
        <v>2.7999999999999581E-2</v>
      </c>
      <c r="N350">
        <f t="shared" si="23"/>
        <v>0.55654939375868784</v>
      </c>
    </row>
    <row r="351" spans="1:14" x14ac:dyDescent="0.2">
      <c r="A351">
        <v>20329</v>
      </c>
      <c r="B351" s="23">
        <f t="shared" si="20"/>
        <v>44159</v>
      </c>
      <c r="C351" t="s">
        <v>45</v>
      </c>
      <c r="D351">
        <v>18</v>
      </c>
      <c r="E351" t="s">
        <v>47</v>
      </c>
      <c r="F351" t="s">
        <v>40</v>
      </c>
      <c r="G351" s="22">
        <v>80</v>
      </c>
      <c r="H351">
        <v>2</v>
      </c>
      <c r="I351" s="21">
        <v>65.317999999999998</v>
      </c>
      <c r="J351" s="21">
        <v>5.0149999999999997</v>
      </c>
      <c r="K351" s="21">
        <v>70.302999999999997</v>
      </c>
      <c r="L351" s="21">
        <f t="shared" si="21"/>
        <v>4.9849999999999994</v>
      </c>
      <c r="M351" s="21">
        <f t="shared" si="22"/>
        <v>3.0000000000000249E-2</v>
      </c>
      <c r="N351">
        <f t="shared" si="23"/>
        <v>0.59820538384845967</v>
      </c>
    </row>
    <row r="352" spans="1:14" x14ac:dyDescent="0.2">
      <c r="A352">
        <v>20329</v>
      </c>
      <c r="B352" s="23">
        <f t="shared" si="20"/>
        <v>44159</v>
      </c>
      <c r="C352" t="s">
        <v>45</v>
      </c>
      <c r="D352">
        <v>18</v>
      </c>
      <c r="E352" t="s">
        <v>47</v>
      </c>
      <c r="F352" t="s">
        <v>40</v>
      </c>
      <c r="G352" s="22">
        <v>80</v>
      </c>
      <c r="H352">
        <v>3</v>
      </c>
      <c r="I352" s="21">
        <v>62.198</v>
      </c>
      <c r="J352" s="21">
        <v>5.0890000000000004</v>
      </c>
      <c r="K352" s="21">
        <v>67.257000000000005</v>
      </c>
      <c r="L352" s="21">
        <f t="shared" si="21"/>
        <v>5.0590000000000046</v>
      </c>
      <c r="M352" s="21">
        <f t="shared" si="22"/>
        <v>2.9999999999995808E-2</v>
      </c>
      <c r="N352">
        <f t="shared" si="23"/>
        <v>0.58950677932787976</v>
      </c>
    </row>
    <row r="353" spans="1:14" x14ac:dyDescent="0.2">
      <c r="A353">
        <v>20329</v>
      </c>
      <c r="B353" s="23">
        <f t="shared" si="20"/>
        <v>44159</v>
      </c>
      <c r="C353" t="s">
        <v>45</v>
      </c>
      <c r="D353">
        <v>18</v>
      </c>
      <c r="E353" t="s">
        <v>47</v>
      </c>
      <c r="F353" t="s">
        <v>40</v>
      </c>
      <c r="G353" s="22">
        <v>80</v>
      </c>
      <c r="H353">
        <v>4</v>
      </c>
      <c r="I353" s="21">
        <v>65.748999999999995</v>
      </c>
      <c r="J353" s="21">
        <v>5.0410000000000004</v>
      </c>
      <c r="K353" s="21">
        <v>70.762</v>
      </c>
      <c r="L353" s="21">
        <f t="shared" si="21"/>
        <v>5.0130000000000052</v>
      </c>
      <c r="M353" s="21">
        <f t="shared" si="22"/>
        <v>2.799999999999514E-2</v>
      </c>
      <c r="N353">
        <f t="shared" si="23"/>
        <v>0.55544534814511282</v>
      </c>
    </row>
    <row r="354" spans="1:14" x14ac:dyDescent="0.2">
      <c r="A354">
        <v>20329</v>
      </c>
      <c r="B354" s="23">
        <f t="shared" si="20"/>
        <v>44159</v>
      </c>
      <c r="C354" t="s">
        <v>45</v>
      </c>
      <c r="D354">
        <v>18</v>
      </c>
      <c r="E354" t="s">
        <v>47</v>
      </c>
      <c r="F354" t="s">
        <v>40</v>
      </c>
      <c r="G354" s="22">
        <v>90</v>
      </c>
      <c r="H354">
        <v>1</v>
      </c>
      <c r="I354" s="21">
        <v>62.731999999999999</v>
      </c>
      <c r="J354" s="21">
        <v>5.0270000000000001</v>
      </c>
      <c r="K354" s="21">
        <v>67.733999999999995</v>
      </c>
      <c r="L354" s="21">
        <f t="shared" si="21"/>
        <v>5.0019999999999953</v>
      </c>
      <c r="M354" s="21">
        <f t="shared" si="22"/>
        <v>2.5000000000004796E-2</v>
      </c>
      <c r="N354">
        <f t="shared" si="23"/>
        <v>0.49731450169096475</v>
      </c>
    </row>
    <row r="355" spans="1:14" x14ac:dyDescent="0.2">
      <c r="A355">
        <v>20329</v>
      </c>
      <c r="B355" s="23">
        <f t="shared" si="20"/>
        <v>44159</v>
      </c>
      <c r="C355" t="s">
        <v>45</v>
      </c>
      <c r="D355">
        <v>18</v>
      </c>
      <c r="E355" t="s">
        <v>47</v>
      </c>
      <c r="F355" t="s">
        <v>40</v>
      </c>
      <c r="G355" s="22">
        <v>90</v>
      </c>
      <c r="H355">
        <v>2</v>
      </c>
      <c r="I355" s="21">
        <v>64.870999999999995</v>
      </c>
      <c r="J355" s="21">
        <v>5.0839999999999996</v>
      </c>
      <c r="K355" s="21">
        <v>69.929000000000002</v>
      </c>
      <c r="L355" s="21">
        <f t="shared" si="21"/>
        <v>5.0580000000000069</v>
      </c>
      <c r="M355" s="21">
        <f t="shared" si="22"/>
        <v>2.5999999999992696E-2</v>
      </c>
      <c r="N355">
        <f t="shared" si="23"/>
        <v>0.5114083398897068</v>
      </c>
    </row>
    <row r="356" spans="1:14" x14ac:dyDescent="0.2">
      <c r="A356">
        <v>20329</v>
      </c>
      <c r="B356" s="23">
        <f t="shared" si="20"/>
        <v>44159</v>
      </c>
      <c r="C356" t="s">
        <v>45</v>
      </c>
      <c r="D356">
        <v>18</v>
      </c>
      <c r="E356" t="s">
        <v>47</v>
      </c>
      <c r="F356" t="s">
        <v>40</v>
      </c>
      <c r="G356" s="22">
        <v>90</v>
      </c>
      <c r="H356">
        <v>3</v>
      </c>
      <c r="I356" s="21">
        <v>59.81</v>
      </c>
      <c r="J356" s="21">
        <v>5.0979999999999999</v>
      </c>
      <c r="K356" s="21">
        <v>64.882000000000005</v>
      </c>
      <c r="L356" s="21">
        <f t="shared" si="21"/>
        <v>5.0720000000000027</v>
      </c>
      <c r="M356" s="21">
        <f t="shared" si="22"/>
        <v>2.5999999999997137E-2</v>
      </c>
      <c r="N356">
        <f t="shared" si="23"/>
        <v>0.51000392310704468</v>
      </c>
    </row>
    <row r="357" spans="1:14" x14ac:dyDescent="0.2">
      <c r="A357">
        <v>20329</v>
      </c>
      <c r="B357" s="23">
        <f t="shared" si="20"/>
        <v>44159</v>
      </c>
      <c r="C357" t="s">
        <v>45</v>
      </c>
      <c r="D357">
        <v>18</v>
      </c>
      <c r="E357" t="s">
        <v>47</v>
      </c>
      <c r="F357" t="s">
        <v>40</v>
      </c>
      <c r="G357" s="22">
        <v>90</v>
      </c>
      <c r="H357">
        <v>4</v>
      </c>
      <c r="I357" s="21">
        <v>58.267000000000003</v>
      </c>
      <c r="J357" s="21">
        <v>5.0430000000000001</v>
      </c>
      <c r="K357" s="21">
        <v>63.277999999999999</v>
      </c>
      <c r="L357" s="21">
        <f t="shared" si="21"/>
        <v>5.0109999999999957</v>
      </c>
      <c r="M357" s="21">
        <f t="shared" si="22"/>
        <v>3.2000000000004469E-2</v>
      </c>
      <c r="N357">
        <f t="shared" si="23"/>
        <v>0.63454293079525026</v>
      </c>
    </row>
    <row r="358" spans="1:14" x14ac:dyDescent="0.2">
      <c r="A358">
        <v>20329</v>
      </c>
      <c r="B358" s="23">
        <f t="shared" si="20"/>
        <v>44159</v>
      </c>
      <c r="C358" t="s">
        <v>45</v>
      </c>
      <c r="D358">
        <v>18</v>
      </c>
      <c r="E358" t="s">
        <v>47</v>
      </c>
      <c r="F358" t="s">
        <v>40</v>
      </c>
      <c r="G358" s="22">
        <v>100</v>
      </c>
      <c r="H358">
        <v>1</v>
      </c>
      <c r="I358" s="21">
        <v>62.198</v>
      </c>
      <c r="J358" s="21">
        <v>5.0019999999999998</v>
      </c>
      <c r="K358" s="21">
        <v>67.171999999999997</v>
      </c>
      <c r="L358" s="21">
        <f t="shared" si="21"/>
        <v>4.9739999999999966</v>
      </c>
      <c r="M358" s="21">
        <f t="shared" si="22"/>
        <v>2.8000000000003133E-2</v>
      </c>
      <c r="N358">
        <f t="shared" si="23"/>
        <v>0.55977608956423708</v>
      </c>
    </row>
    <row r="359" spans="1:14" x14ac:dyDescent="0.2">
      <c r="A359">
        <v>20329</v>
      </c>
      <c r="B359" s="23">
        <f t="shared" si="20"/>
        <v>44159</v>
      </c>
      <c r="C359" t="s">
        <v>45</v>
      </c>
      <c r="D359">
        <v>18</v>
      </c>
      <c r="E359" t="s">
        <v>47</v>
      </c>
      <c r="F359" t="s">
        <v>40</v>
      </c>
      <c r="G359" s="22">
        <v>100</v>
      </c>
      <c r="H359">
        <v>2</v>
      </c>
      <c r="I359" s="21">
        <v>58.267000000000003</v>
      </c>
      <c r="J359" s="21">
        <v>5.05</v>
      </c>
      <c r="K359" s="21">
        <v>63.289000000000001</v>
      </c>
      <c r="L359" s="21">
        <f t="shared" si="21"/>
        <v>5.0219999999999985</v>
      </c>
      <c r="M359" s="21">
        <f t="shared" si="22"/>
        <v>2.8000000000001357E-2</v>
      </c>
      <c r="N359">
        <f t="shared" si="23"/>
        <v>0.55445544554458137</v>
      </c>
    </row>
    <row r="360" spans="1:14" x14ac:dyDescent="0.2">
      <c r="A360">
        <v>20329</v>
      </c>
      <c r="B360" s="23">
        <f t="shared" si="20"/>
        <v>44159</v>
      </c>
      <c r="C360" t="s">
        <v>45</v>
      </c>
      <c r="D360">
        <v>18</v>
      </c>
      <c r="E360" t="s">
        <v>47</v>
      </c>
      <c r="F360" t="s">
        <v>40</v>
      </c>
      <c r="G360" s="22">
        <v>100</v>
      </c>
      <c r="H360">
        <v>3</v>
      </c>
      <c r="I360" s="21">
        <v>64.870999999999995</v>
      </c>
      <c r="J360" s="21">
        <v>5.0110000000000001</v>
      </c>
      <c r="K360" s="21">
        <v>69.853999999999999</v>
      </c>
      <c r="L360" s="21">
        <f t="shared" si="21"/>
        <v>4.9830000000000041</v>
      </c>
      <c r="M360" s="21">
        <f t="shared" si="22"/>
        <v>2.7999999999996028E-2</v>
      </c>
      <c r="N360">
        <f t="shared" si="23"/>
        <v>0.55877070445013022</v>
      </c>
    </row>
    <row r="361" spans="1:14" x14ac:dyDescent="0.2">
      <c r="A361">
        <v>20329</v>
      </c>
      <c r="B361" s="23">
        <f t="shared" si="20"/>
        <v>44159</v>
      </c>
      <c r="C361" t="s">
        <v>45</v>
      </c>
      <c r="D361">
        <v>18</v>
      </c>
      <c r="E361" t="s">
        <v>47</v>
      </c>
      <c r="F361" t="s">
        <v>40</v>
      </c>
      <c r="G361" s="22">
        <v>100</v>
      </c>
      <c r="H361">
        <v>4</v>
      </c>
      <c r="I361" s="21">
        <v>65.748000000000005</v>
      </c>
      <c r="J361" s="21">
        <v>5.0519999999999996</v>
      </c>
      <c r="K361" s="21">
        <v>70.771000000000001</v>
      </c>
      <c r="L361" s="21">
        <f t="shared" si="21"/>
        <v>5.0229999999999961</v>
      </c>
      <c r="M361" s="21">
        <f t="shared" si="22"/>
        <v>2.9000000000003467E-2</v>
      </c>
      <c r="N361">
        <f t="shared" si="23"/>
        <v>0.57403008709428871</v>
      </c>
    </row>
    <row r="362" spans="1:14" x14ac:dyDescent="0.2">
      <c r="A362">
        <v>20329</v>
      </c>
      <c r="B362" s="23">
        <f t="shared" si="20"/>
        <v>44159</v>
      </c>
      <c r="C362" t="s">
        <v>45</v>
      </c>
      <c r="D362">
        <v>18</v>
      </c>
      <c r="E362" t="s">
        <v>47</v>
      </c>
      <c r="F362" t="s">
        <v>40</v>
      </c>
      <c r="G362" s="22">
        <v>110</v>
      </c>
      <c r="H362">
        <v>1</v>
      </c>
      <c r="I362" s="21">
        <v>59.81</v>
      </c>
      <c r="J362" s="21">
        <v>5.0179999999999998</v>
      </c>
      <c r="K362" s="21">
        <v>64.8</v>
      </c>
      <c r="L362" s="21">
        <f t="shared" si="21"/>
        <v>4.9899999999999949</v>
      </c>
      <c r="M362" s="21">
        <f t="shared" si="22"/>
        <v>2.800000000000491E-2</v>
      </c>
      <c r="N362">
        <f t="shared" si="23"/>
        <v>0.55799123156645891</v>
      </c>
    </row>
    <row r="363" spans="1:14" x14ac:dyDescent="0.2">
      <c r="A363">
        <v>20329</v>
      </c>
      <c r="B363" s="23">
        <f t="shared" si="20"/>
        <v>44159</v>
      </c>
      <c r="C363" t="s">
        <v>45</v>
      </c>
      <c r="D363">
        <v>18</v>
      </c>
      <c r="E363" t="s">
        <v>47</v>
      </c>
      <c r="F363" t="s">
        <v>40</v>
      </c>
      <c r="G363" s="22">
        <v>110</v>
      </c>
      <c r="H363">
        <v>2</v>
      </c>
      <c r="I363" s="21">
        <v>62.732999999999997</v>
      </c>
      <c r="J363" s="21">
        <v>5</v>
      </c>
      <c r="K363" s="21">
        <v>67.706999999999994</v>
      </c>
      <c r="L363" s="21">
        <f t="shared" si="21"/>
        <v>4.9739999999999966</v>
      </c>
      <c r="M363" s="21">
        <f t="shared" si="22"/>
        <v>2.6000000000003354E-2</v>
      </c>
      <c r="N363">
        <f t="shared" si="23"/>
        <v>0.52000000000006708</v>
      </c>
    </row>
    <row r="364" spans="1:14" x14ac:dyDescent="0.2">
      <c r="A364">
        <v>20329</v>
      </c>
      <c r="B364" s="23">
        <f t="shared" si="20"/>
        <v>44159</v>
      </c>
      <c r="C364" t="s">
        <v>45</v>
      </c>
      <c r="D364">
        <v>18</v>
      </c>
      <c r="E364" t="s">
        <v>47</v>
      </c>
      <c r="F364" t="s">
        <v>40</v>
      </c>
      <c r="G364" s="22">
        <v>110</v>
      </c>
      <c r="H364">
        <v>3</v>
      </c>
      <c r="I364" s="21">
        <v>68.064999999999998</v>
      </c>
      <c r="J364" s="21">
        <v>5.0439999999999996</v>
      </c>
      <c r="K364" s="21">
        <v>73.078999999999994</v>
      </c>
      <c r="L364" s="21">
        <f t="shared" si="21"/>
        <v>5.0139999999999958</v>
      </c>
      <c r="M364" s="21">
        <f t="shared" si="22"/>
        <v>3.0000000000003801E-2</v>
      </c>
      <c r="N364">
        <f t="shared" si="23"/>
        <v>0.59476605868365984</v>
      </c>
    </row>
    <row r="365" spans="1:14" x14ac:dyDescent="0.2">
      <c r="A365">
        <v>20329</v>
      </c>
      <c r="B365" s="23">
        <f t="shared" si="20"/>
        <v>44159</v>
      </c>
      <c r="C365" t="s">
        <v>45</v>
      </c>
      <c r="D365">
        <v>18</v>
      </c>
      <c r="E365" t="s">
        <v>47</v>
      </c>
      <c r="F365" t="s">
        <v>40</v>
      </c>
      <c r="G365" s="22">
        <v>110</v>
      </c>
      <c r="H365">
        <v>4</v>
      </c>
      <c r="I365" s="21">
        <v>63.081000000000003</v>
      </c>
      <c r="J365" s="21">
        <v>5.0529999999999999</v>
      </c>
      <c r="K365" s="21">
        <v>68.105000000000004</v>
      </c>
      <c r="L365" s="21">
        <f t="shared" si="21"/>
        <v>5.0240000000000009</v>
      </c>
      <c r="M365" s="21">
        <f t="shared" si="22"/>
        <v>2.8999999999999027E-2</v>
      </c>
      <c r="N365">
        <f t="shared" si="23"/>
        <v>0.57391648525626415</v>
      </c>
    </row>
    <row r="366" spans="1:14" x14ac:dyDescent="0.2">
      <c r="A366">
        <v>20327</v>
      </c>
      <c r="B366" s="23">
        <f t="shared" si="20"/>
        <v>44157</v>
      </c>
      <c r="C366" t="s">
        <v>45</v>
      </c>
      <c r="D366">
        <v>19</v>
      </c>
      <c r="E366" t="s">
        <v>43</v>
      </c>
      <c r="F366" t="s">
        <v>40</v>
      </c>
      <c r="G366" s="22">
        <v>10</v>
      </c>
      <c r="H366">
        <v>1</v>
      </c>
      <c r="I366" s="21">
        <v>65.316000000000003</v>
      </c>
      <c r="J366" s="21">
        <v>5.0739999999999998</v>
      </c>
      <c r="K366" s="21">
        <v>70.22</v>
      </c>
      <c r="L366" s="21">
        <f t="shared" si="21"/>
        <v>4.9039999999999964</v>
      </c>
      <c r="M366" s="21">
        <f t="shared" si="22"/>
        <v>0.17000000000000348</v>
      </c>
      <c r="N366">
        <f t="shared" si="23"/>
        <v>3.3504138746551733</v>
      </c>
    </row>
    <row r="367" spans="1:14" x14ac:dyDescent="0.2">
      <c r="A367">
        <v>20327</v>
      </c>
      <c r="B367" s="23">
        <f t="shared" si="20"/>
        <v>44157</v>
      </c>
      <c r="C367" t="s">
        <v>45</v>
      </c>
      <c r="D367">
        <v>19</v>
      </c>
      <c r="E367" t="s">
        <v>43</v>
      </c>
      <c r="F367" t="s">
        <v>40</v>
      </c>
      <c r="G367" s="22">
        <v>10</v>
      </c>
      <c r="H367">
        <v>2</v>
      </c>
      <c r="I367" s="21">
        <v>63.93</v>
      </c>
      <c r="J367" s="21">
        <v>5.0090000000000003</v>
      </c>
      <c r="K367" s="21">
        <v>68.769000000000005</v>
      </c>
      <c r="L367" s="21">
        <f t="shared" si="21"/>
        <v>4.8390000000000057</v>
      </c>
      <c r="M367" s="21">
        <f t="shared" si="22"/>
        <v>0.1699999999999946</v>
      </c>
      <c r="N367">
        <f t="shared" si="23"/>
        <v>3.3938909962067201</v>
      </c>
    </row>
    <row r="368" spans="1:14" x14ac:dyDescent="0.2">
      <c r="A368">
        <v>20327</v>
      </c>
      <c r="B368" s="23">
        <f t="shared" si="20"/>
        <v>44157</v>
      </c>
      <c r="C368" t="s">
        <v>45</v>
      </c>
      <c r="D368">
        <v>19</v>
      </c>
      <c r="E368" t="s">
        <v>43</v>
      </c>
      <c r="F368" t="s">
        <v>40</v>
      </c>
      <c r="G368" s="22">
        <v>10</v>
      </c>
      <c r="H368">
        <v>3</v>
      </c>
      <c r="I368" s="21">
        <v>64.481999999999999</v>
      </c>
      <c r="J368" s="21">
        <v>5.0270000000000001</v>
      </c>
      <c r="K368" s="21">
        <v>69.337999999999994</v>
      </c>
      <c r="L368" s="21">
        <f t="shared" si="21"/>
        <v>4.8559999999999945</v>
      </c>
      <c r="M368" s="21">
        <f t="shared" si="22"/>
        <v>0.17100000000000559</v>
      </c>
      <c r="N368">
        <f t="shared" si="23"/>
        <v>3.4016311915656572</v>
      </c>
    </row>
    <row r="369" spans="1:14" x14ac:dyDescent="0.2">
      <c r="A369">
        <v>20327</v>
      </c>
      <c r="B369" s="23">
        <f t="shared" si="20"/>
        <v>44157</v>
      </c>
      <c r="C369" t="s">
        <v>45</v>
      </c>
      <c r="D369">
        <v>19</v>
      </c>
      <c r="E369" t="s">
        <v>43</v>
      </c>
      <c r="F369" t="s">
        <v>40</v>
      </c>
      <c r="G369" s="22">
        <v>10</v>
      </c>
      <c r="H369">
        <v>4</v>
      </c>
      <c r="I369" s="21">
        <v>63.802</v>
      </c>
      <c r="J369" s="21">
        <v>5.0949999999999998</v>
      </c>
      <c r="K369" s="21">
        <v>68.725999999999999</v>
      </c>
      <c r="L369" s="21">
        <f t="shared" si="21"/>
        <v>4.9239999999999995</v>
      </c>
      <c r="M369" s="21">
        <f t="shared" si="22"/>
        <v>0.17100000000000026</v>
      </c>
      <c r="N369">
        <f t="shared" si="23"/>
        <v>3.3562315996074634</v>
      </c>
    </row>
    <row r="370" spans="1:14" x14ac:dyDescent="0.2">
      <c r="A370">
        <v>20327</v>
      </c>
      <c r="B370" s="23">
        <f t="shared" si="20"/>
        <v>44157</v>
      </c>
      <c r="C370" t="s">
        <v>45</v>
      </c>
      <c r="D370">
        <v>19</v>
      </c>
      <c r="E370" t="s">
        <v>43</v>
      </c>
      <c r="F370" t="s">
        <v>40</v>
      </c>
      <c r="G370" s="22">
        <v>20</v>
      </c>
      <c r="H370">
        <v>1</v>
      </c>
      <c r="I370" s="21">
        <v>65.747</v>
      </c>
      <c r="J370" s="21">
        <v>5.0039999999999996</v>
      </c>
      <c r="K370" s="21">
        <v>70.632000000000005</v>
      </c>
      <c r="L370" s="21">
        <f t="shared" si="21"/>
        <v>4.8850000000000051</v>
      </c>
      <c r="M370" s="21">
        <f t="shared" si="22"/>
        <v>0.11899999999999444</v>
      </c>
      <c r="N370">
        <f t="shared" si="23"/>
        <v>2.3780975219823035</v>
      </c>
    </row>
    <row r="371" spans="1:14" x14ac:dyDescent="0.2">
      <c r="A371">
        <v>20327</v>
      </c>
      <c r="B371" s="23">
        <f t="shared" si="20"/>
        <v>44157</v>
      </c>
      <c r="C371" t="s">
        <v>45</v>
      </c>
      <c r="D371">
        <v>19</v>
      </c>
      <c r="E371" t="s">
        <v>43</v>
      </c>
      <c r="F371" t="s">
        <v>40</v>
      </c>
      <c r="G371" s="22">
        <v>20</v>
      </c>
      <c r="H371">
        <v>2</v>
      </c>
      <c r="I371" s="21">
        <v>62.731999999999999</v>
      </c>
      <c r="J371" s="21">
        <v>5.0529999999999999</v>
      </c>
      <c r="K371" s="21">
        <v>67.662999999999997</v>
      </c>
      <c r="L371" s="21">
        <f t="shared" si="21"/>
        <v>4.9309999999999974</v>
      </c>
      <c r="M371" s="21">
        <f t="shared" si="22"/>
        <v>0.12200000000000255</v>
      </c>
      <c r="N371">
        <f t="shared" si="23"/>
        <v>2.4144072828023462</v>
      </c>
    </row>
    <row r="372" spans="1:14" x14ac:dyDescent="0.2">
      <c r="A372">
        <v>20327</v>
      </c>
      <c r="B372" s="23">
        <f t="shared" si="20"/>
        <v>44157</v>
      </c>
      <c r="C372" t="s">
        <v>45</v>
      </c>
      <c r="D372">
        <v>19</v>
      </c>
      <c r="E372" t="s">
        <v>43</v>
      </c>
      <c r="F372" t="s">
        <v>40</v>
      </c>
      <c r="G372" s="22">
        <v>20</v>
      </c>
      <c r="H372">
        <v>3</v>
      </c>
      <c r="I372" s="21">
        <v>65.316999999999993</v>
      </c>
      <c r="J372" s="21">
        <v>5.0810000000000004</v>
      </c>
      <c r="K372" s="21">
        <v>70.272000000000006</v>
      </c>
      <c r="L372" s="21">
        <f t="shared" si="21"/>
        <v>4.9550000000000125</v>
      </c>
      <c r="M372" s="21">
        <f t="shared" si="22"/>
        <v>0.1259999999999879</v>
      </c>
      <c r="N372">
        <f t="shared" si="23"/>
        <v>2.4798268057466619</v>
      </c>
    </row>
    <row r="373" spans="1:14" x14ac:dyDescent="0.2">
      <c r="A373">
        <v>20327</v>
      </c>
      <c r="B373" s="23">
        <f t="shared" si="20"/>
        <v>44157</v>
      </c>
      <c r="C373" t="s">
        <v>45</v>
      </c>
      <c r="D373">
        <v>19</v>
      </c>
      <c r="E373" t="s">
        <v>43</v>
      </c>
      <c r="F373" t="s">
        <v>40</v>
      </c>
      <c r="G373" s="22">
        <v>20</v>
      </c>
      <c r="H373">
        <v>4</v>
      </c>
      <c r="I373" s="21">
        <v>64.481999999999999</v>
      </c>
      <c r="J373" s="21">
        <v>5.0439999999999996</v>
      </c>
      <c r="K373" s="21">
        <v>69.403000000000006</v>
      </c>
      <c r="L373" s="21">
        <f t="shared" si="21"/>
        <v>4.9210000000000065</v>
      </c>
      <c r="M373" s="21">
        <f t="shared" si="22"/>
        <v>0.12299999999999311</v>
      </c>
      <c r="N373">
        <f t="shared" si="23"/>
        <v>2.4385408406025597</v>
      </c>
    </row>
    <row r="374" spans="1:14" x14ac:dyDescent="0.2">
      <c r="A374">
        <v>20327</v>
      </c>
      <c r="B374" s="23">
        <f t="shared" si="20"/>
        <v>44157</v>
      </c>
      <c r="C374" t="s">
        <v>45</v>
      </c>
      <c r="D374">
        <v>19</v>
      </c>
      <c r="E374" t="s">
        <v>43</v>
      </c>
      <c r="F374" t="s">
        <v>40</v>
      </c>
      <c r="G374" s="22">
        <v>30</v>
      </c>
      <c r="H374">
        <v>1</v>
      </c>
      <c r="I374" s="21">
        <v>59.81</v>
      </c>
      <c r="J374" s="21">
        <v>5.0250000000000004</v>
      </c>
      <c r="K374" s="21">
        <v>64.738</v>
      </c>
      <c r="L374" s="21">
        <f t="shared" si="21"/>
        <v>4.9279999999999973</v>
      </c>
      <c r="M374" s="21">
        <f t="shared" si="22"/>
        <v>9.7000000000003084E-2</v>
      </c>
      <c r="N374">
        <f t="shared" si="23"/>
        <v>1.9303482587065288</v>
      </c>
    </row>
    <row r="375" spans="1:14" x14ac:dyDescent="0.2">
      <c r="A375">
        <v>20327</v>
      </c>
      <c r="B375" s="23">
        <f t="shared" si="20"/>
        <v>44157</v>
      </c>
      <c r="C375" t="s">
        <v>45</v>
      </c>
      <c r="D375">
        <v>19</v>
      </c>
      <c r="E375" t="s">
        <v>43</v>
      </c>
      <c r="F375" t="s">
        <v>40</v>
      </c>
      <c r="G375" s="22">
        <v>30</v>
      </c>
      <c r="H375">
        <v>2</v>
      </c>
      <c r="I375" s="21">
        <v>68.064999999999998</v>
      </c>
      <c r="J375" s="21">
        <v>5.0730000000000004</v>
      </c>
      <c r="K375" s="21">
        <v>73.043000000000006</v>
      </c>
      <c r="L375" s="21">
        <f t="shared" si="21"/>
        <v>4.9780000000000086</v>
      </c>
      <c r="M375" s="21">
        <f t="shared" si="22"/>
        <v>9.4999999999991758E-2</v>
      </c>
      <c r="N375">
        <f t="shared" si="23"/>
        <v>1.8726591760297999</v>
      </c>
    </row>
    <row r="376" spans="1:14" x14ac:dyDescent="0.2">
      <c r="A376">
        <v>20327</v>
      </c>
      <c r="B376" s="23">
        <f t="shared" si="20"/>
        <v>44157</v>
      </c>
      <c r="C376" t="s">
        <v>45</v>
      </c>
      <c r="D376">
        <v>19</v>
      </c>
      <c r="E376" t="s">
        <v>43</v>
      </c>
      <c r="F376" t="s">
        <v>40</v>
      </c>
      <c r="G376" s="22">
        <v>30</v>
      </c>
      <c r="H376">
        <v>3</v>
      </c>
      <c r="I376" s="21">
        <v>63.802</v>
      </c>
      <c r="J376" s="21">
        <v>5.0030000000000001</v>
      </c>
      <c r="K376" s="21">
        <v>68.709999999999994</v>
      </c>
      <c r="L376" s="21">
        <f t="shared" si="21"/>
        <v>4.9079999999999941</v>
      </c>
      <c r="M376" s="21">
        <f t="shared" si="22"/>
        <v>9.5000000000005969E-2</v>
      </c>
      <c r="N376">
        <f t="shared" si="23"/>
        <v>1.8988606835899653</v>
      </c>
    </row>
    <row r="377" spans="1:14" x14ac:dyDescent="0.2">
      <c r="A377">
        <v>20327</v>
      </c>
      <c r="B377" s="23">
        <f t="shared" si="20"/>
        <v>44157</v>
      </c>
      <c r="C377" t="s">
        <v>45</v>
      </c>
      <c r="D377">
        <v>19</v>
      </c>
      <c r="E377" t="s">
        <v>43</v>
      </c>
      <c r="F377" t="s">
        <v>40</v>
      </c>
      <c r="G377" s="22">
        <v>30</v>
      </c>
      <c r="H377">
        <v>4</v>
      </c>
      <c r="I377" s="21">
        <v>63.930999999999997</v>
      </c>
      <c r="J377" s="21">
        <v>5.05</v>
      </c>
      <c r="K377" s="21">
        <v>68.882000000000005</v>
      </c>
      <c r="L377" s="21">
        <f t="shared" si="21"/>
        <v>4.9510000000000076</v>
      </c>
      <c r="M377" s="21">
        <f t="shared" si="22"/>
        <v>9.8999999999992205E-2</v>
      </c>
      <c r="N377">
        <f t="shared" si="23"/>
        <v>1.960396039603806</v>
      </c>
    </row>
    <row r="378" spans="1:14" x14ac:dyDescent="0.2">
      <c r="A378">
        <v>20327</v>
      </c>
      <c r="B378" s="23">
        <f t="shared" si="20"/>
        <v>44157</v>
      </c>
      <c r="C378" t="s">
        <v>45</v>
      </c>
      <c r="D378">
        <v>19</v>
      </c>
      <c r="E378" t="s">
        <v>43</v>
      </c>
      <c r="F378" t="s">
        <v>40</v>
      </c>
      <c r="G378" s="22">
        <v>40</v>
      </c>
      <c r="H378">
        <v>1</v>
      </c>
      <c r="I378" s="21">
        <v>62.197000000000003</v>
      </c>
      <c r="J378" s="21">
        <v>5.0039999999999996</v>
      </c>
      <c r="K378" s="21">
        <v>67.129000000000005</v>
      </c>
      <c r="L378" s="21">
        <f t="shared" si="21"/>
        <v>4.9320000000000022</v>
      </c>
      <c r="M378" s="21">
        <f t="shared" si="22"/>
        <v>7.1999999999997399E-2</v>
      </c>
      <c r="N378">
        <f t="shared" si="23"/>
        <v>1.4388489208632576</v>
      </c>
    </row>
    <row r="379" spans="1:14" x14ac:dyDescent="0.2">
      <c r="A379">
        <v>20327</v>
      </c>
      <c r="B379" s="23">
        <f t="shared" si="20"/>
        <v>44157</v>
      </c>
      <c r="C379" t="s">
        <v>45</v>
      </c>
      <c r="D379">
        <v>19</v>
      </c>
      <c r="E379" t="s">
        <v>43</v>
      </c>
      <c r="F379" t="s">
        <v>40</v>
      </c>
      <c r="G379" s="22">
        <v>40</v>
      </c>
      <c r="H379">
        <v>2</v>
      </c>
      <c r="I379" s="21">
        <v>58.265999999999998</v>
      </c>
      <c r="J379" s="21">
        <v>5.0519999999999996</v>
      </c>
      <c r="K379" s="21">
        <v>63.250999999999998</v>
      </c>
      <c r="L379" s="21">
        <f t="shared" si="21"/>
        <v>4.9849999999999994</v>
      </c>
      <c r="M379" s="21">
        <f t="shared" si="22"/>
        <v>6.7000000000000171E-2</v>
      </c>
      <c r="N379">
        <f t="shared" si="23"/>
        <v>1.3262074425969947</v>
      </c>
    </row>
    <row r="380" spans="1:14" x14ac:dyDescent="0.2">
      <c r="A380">
        <v>20327</v>
      </c>
      <c r="B380" s="23">
        <f t="shared" si="20"/>
        <v>44157</v>
      </c>
      <c r="C380" t="s">
        <v>45</v>
      </c>
      <c r="D380">
        <v>19</v>
      </c>
      <c r="E380" t="s">
        <v>43</v>
      </c>
      <c r="F380" t="s">
        <v>40</v>
      </c>
      <c r="G380" s="22">
        <v>40</v>
      </c>
      <c r="H380">
        <v>3</v>
      </c>
      <c r="I380" s="21">
        <v>63.08</v>
      </c>
      <c r="J380" s="21">
        <v>5.0419999999999998</v>
      </c>
      <c r="K380" s="21">
        <v>68.058000000000007</v>
      </c>
      <c r="L380" s="21">
        <f t="shared" si="21"/>
        <v>4.9780000000000086</v>
      </c>
      <c r="M380" s="21">
        <f t="shared" si="22"/>
        <v>6.3999999999991175E-2</v>
      </c>
      <c r="N380">
        <f t="shared" si="23"/>
        <v>1.2693375644583731</v>
      </c>
    </row>
    <row r="381" spans="1:14" x14ac:dyDescent="0.2">
      <c r="A381">
        <v>20327</v>
      </c>
      <c r="B381" s="23">
        <f t="shared" si="20"/>
        <v>44157</v>
      </c>
      <c r="C381" t="s">
        <v>45</v>
      </c>
      <c r="D381">
        <v>19</v>
      </c>
      <c r="E381" t="s">
        <v>43</v>
      </c>
      <c r="F381" t="s">
        <v>40</v>
      </c>
      <c r="G381" s="22">
        <v>40</v>
      </c>
      <c r="H381">
        <v>4</v>
      </c>
      <c r="I381" s="21">
        <v>64.870999999999995</v>
      </c>
      <c r="J381" s="21">
        <v>5.0860000000000003</v>
      </c>
      <c r="K381" s="21">
        <v>69.887</v>
      </c>
      <c r="L381" s="21">
        <f t="shared" si="21"/>
        <v>5.0160000000000053</v>
      </c>
      <c r="M381" s="21">
        <f t="shared" si="22"/>
        <v>6.9999999999994955E-2</v>
      </c>
      <c r="N381">
        <f t="shared" si="23"/>
        <v>1.3763271726306519</v>
      </c>
    </row>
    <row r="382" spans="1:14" x14ac:dyDescent="0.2">
      <c r="A382">
        <v>20327</v>
      </c>
      <c r="B382" s="23">
        <f t="shared" si="20"/>
        <v>44157</v>
      </c>
      <c r="C382" t="s">
        <v>45</v>
      </c>
      <c r="D382">
        <v>19</v>
      </c>
      <c r="E382" t="s">
        <v>43</v>
      </c>
      <c r="F382" t="s">
        <v>40</v>
      </c>
      <c r="G382" s="22">
        <v>50</v>
      </c>
      <c r="H382">
        <v>1</v>
      </c>
      <c r="I382" s="21">
        <v>68.063999999999993</v>
      </c>
      <c r="J382" s="21">
        <v>5.0410000000000004</v>
      </c>
      <c r="K382" s="21">
        <v>73.066000000000003</v>
      </c>
      <c r="L382" s="21">
        <f t="shared" si="21"/>
        <v>5.0020000000000095</v>
      </c>
      <c r="M382" s="21">
        <f t="shared" si="22"/>
        <v>3.899999999999082E-2</v>
      </c>
      <c r="N382">
        <f t="shared" si="23"/>
        <v>0.77365602063064498</v>
      </c>
    </row>
    <row r="383" spans="1:14" x14ac:dyDescent="0.2">
      <c r="A383">
        <v>20327</v>
      </c>
      <c r="B383" s="23">
        <f t="shared" si="20"/>
        <v>44157</v>
      </c>
      <c r="C383" t="s">
        <v>45</v>
      </c>
      <c r="D383">
        <v>19</v>
      </c>
      <c r="E383" t="s">
        <v>43</v>
      </c>
      <c r="F383" t="s">
        <v>40</v>
      </c>
      <c r="G383" s="22">
        <v>50</v>
      </c>
      <c r="H383">
        <v>2</v>
      </c>
      <c r="I383" s="21">
        <v>64.87</v>
      </c>
      <c r="J383" s="21">
        <v>5.0259999999999998</v>
      </c>
      <c r="K383" s="21">
        <v>69.852000000000004</v>
      </c>
      <c r="L383" s="21">
        <f t="shared" si="21"/>
        <v>4.9819999999999993</v>
      </c>
      <c r="M383" s="21">
        <f t="shared" si="22"/>
        <v>4.4000000000000483E-2</v>
      </c>
      <c r="N383">
        <f t="shared" si="23"/>
        <v>0.87544767210506325</v>
      </c>
    </row>
    <row r="384" spans="1:14" x14ac:dyDescent="0.2">
      <c r="A384">
        <v>20327</v>
      </c>
      <c r="B384" s="23">
        <f t="shared" si="20"/>
        <v>44157</v>
      </c>
      <c r="C384" t="s">
        <v>45</v>
      </c>
      <c r="D384">
        <v>19</v>
      </c>
      <c r="E384" t="s">
        <v>43</v>
      </c>
      <c r="F384" t="s">
        <v>40</v>
      </c>
      <c r="G384" s="22">
        <v>50</v>
      </c>
      <c r="H384">
        <v>3</v>
      </c>
      <c r="I384" s="21">
        <v>62.197000000000003</v>
      </c>
      <c r="J384" s="21">
        <v>5.048</v>
      </c>
      <c r="K384" s="21">
        <v>67.201999999999998</v>
      </c>
      <c r="L384" s="21">
        <f t="shared" si="21"/>
        <v>5.0049999999999955</v>
      </c>
      <c r="M384" s="21">
        <f t="shared" si="22"/>
        <v>4.300000000000459E-2</v>
      </c>
      <c r="N384">
        <f t="shared" si="23"/>
        <v>0.85182250396205617</v>
      </c>
    </row>
    <row r="385" spans="1:14" x14ac:dyDescent="0.2">
      <c r="A385">
        <v>20327</v>
      </c>
      <c r="B385" s="23">
        <f t="shared" si="20"/>
        <v>44157</v>
      </c>
      <c r="C385" t="s">
        <v>45</v>
      </c>
      <c r="D385">
        <v>19</v>
      </c>
      <c r="E385" t="s">
        <v>43</v>
      </c>
      <c r="F385" t="s">
        <v>40</v>
      </c>
      <c r="G385" s="22">
        <v>50</v>
      </c>
      <c r="H385">
        <v>4</v>
      </c>
      <c r="I385" s="21">
        <v>58.265999999999998</v>
      </c>
      <c r="J385" s="21">
        <v>5.0339999999999998</v>
      </c>
      <c r="K385" s="21">
        <v>63.256999999999998</v>
      </c>
      <c r="L385" s="21">
        <f t="shared" si="21"/>
        <v>4.9909999999999997</v>
      </c>
      <c r="M385" s="21">
        <f t="shared" si="22"/>
        <v>4.3000000000000149E-2</v>
      </c>
      <c r="N385">
        <f t="shared" si="23"/>
        <v>0.85419149781486192</v>
      </c>
    </row>
    <row r="386" spans="1:14" x14ac:dyDescent="0.2">
      <c r="A386">
        <v>20327</v>
      </c>
      <c r="B386" s="23">
        <f t="shared" si="20"/>
        <v>44157</v>
      </c>
      <c r="C386" t="s">
        <v>45</v>
      </c>
      <c r="D386">
        <v>19</v>
      </c>
      <c r="E386" t="s">
        <v>43</v>
      </c>
      <c r="F386" t="s">
        <v>40</v>
      </c>
      <c r="G386" s="22">
        <v>60</v>
      </c>
      <c r="H386">
        <v>1</v>
      </c>
      <c r="I386" s="21">
        <v>63.93</v>
      </c>
      <c r="J386" s="21">
        <v>5.0549999999999997</v>
      </c>
      <c r="K386" s="21">
        <v>68.95</v>
      </c>
      <c r="L386" s="21">
        <f t="shared" si="21"/>
        <v>5.0200000000000031</v>
      </c>
      <c r="M386" s="21">
        <f t="shared" si="22"/>
        <v>3.4999999999996589E-2</v>
      </c>
      <c r="N386">
        <f t="shared" si="23"/>
        <v>0.69238377843712351</v>
      </c>
    </row>
    <row r="387" spans="1:14" x14ac:dyDescent="0.2">
      <c r="A387">
        <v>20327</v>
      </c>
      <c r="B387" s="23">
        <f t="shared" ref="B387:B450" si="24">DATE(IF(0+(LEFT(A387))&lt;30,2000,1900)+LEFT(A387,2),1,RIGHT(A387,3))</f>
        <v>44157</v>
      </c>
      <c r="C387" t="s">
        <v>45</v>
      </c>
      <c r="D387">
        <v>19</v>
      </c>
      <c r="E387" t="s">
        <v>43</v>
      </c>
      <c r="F387" t="s">
        <v>40</v>
      </c>
      <c r="G387" s="22">
        <v>60</v>
      </c>
      <c r="H387">
        <v>2</v>
      </c>
      <c r="I387" s="21">
        <v>62.731999999999999</v>
      </c>
      <c r="J387" s="21">
        <v>5.0430000000000001</v>
      </c>
      <c r="K387" s="21">
        <v>67.741</v>
      </c>
      <c r="L387" s="21">
        <f t="shared" ref="L387:L450" si="25">K387-I387</f>
        <v>5.0090000000000003</v>
      </c>
      <c r="M387" s="21">
        <f t="shared" ref="M387:M450" si="26">J387-L387</f>
        <v>3.3999999999999808E-2</v>
      </c>
      <c r="N387">
        <f t="shared" ref="N387:N450" si="27">M387/J387*100</f>
        <v>0.67420186396985538</v>
      </c>
    </row>
    <row r="388" spans="1:14" x14ac:dyDescent="0.2">
      <c r="A388">
        <v>20327</v>
      </c>
      <c r="B388" s="23">
        <f t="shared" si="24"/>
        <v>44157</v>
      </c>
      <c r="C388" t="s">
        <v>45</v>
      </c>
      <c r="D388">
        <v>19</v>
      </c>
      <c r="E388" t="s">
        <v>43</v>
      </c>
      <c r="F388" t="s">
        <v>40</v>
      </c>
      <c r="G388" s="22">
        <v>60</v>
      </c>
      <c r="H388">
        <v>3</v>
      </c>
      <c r="I388" s="21">
        <v>65.747</v>
      </c>
      <c r="J388" s="21">
        <v>5.03</v>
      </c>
      <c r="K388" s="21">
        <v>70.742999999999995</v>
      </c>
      <c r="L388" s="21">
        <f t="shared" si="25"/>
        <v>4.9959999999999951</v>
      </c>
      <c r="M388" s="21">
        <f t="shared" si="26"/>
        <v>3.4000000000005137E-2</v>
      </c>
      <c r="N388">
        <f t="shared" si="27"/>
        <v>0.67594433399612597</v>
      </c>
    </row>
    <row r="389" spans="1:14" x14ac:dyDescent="0.2">
      <c r="A389">
        <v>20327</v>
      </c>
      <c r="B389" s="23">
        <f t="shared" si="24"/>
        <v>44157</v>
      </c>
      <c r="C389" t="s">
        <v>45</v>
      </c>
      <c r="D389">
        <v>19</v>
      </c>
      <c r="E389" t="s">
        <v>43</v>
      </c>
      <c r="F389" t="s">
        <v>40</v>
      </c>
      <c r="G389" s="22">
        <v>60</v>
      </c>
      <c r="H389">
        <v>4</v>
      </c>
      <c r="I389" s="21">
        <v>59.808999999999997</v>
      </c>
      <c r="J389" s="21">
        <v>5.0979999999999999</v>
      </c>
      <c r="K389" s="21">
        <v>64.873999999999995</v>
      </c>
      <c r="L389" s="21">
        <f t="shared" si="25"/>
        <v>5.0649999999999977</v>
      </c>
      <c r="M389" s="21">
        <f t="shared" si="26"/>
        <v>3.3000000000002139E-2</v>
      </c>
      <c r="N389">
        <f t="shared" si="27"/>
        <v>0.64731267163597761</v>
      </c>
    </row>
    <row r="390" spans="1:14" x14ac:dyDescent="0.2">
      <c r="A390">
        <v>20327</v>
      </c>
      <c r="B390" s="23">
        <f t="shared" si="24"/>
        <v>44157</v>
      </c>
      <c r="C390" t="s">
        <v>45</v>
      </c>
      <c r="D390">
        <v>19</v>
      </c>
      <c r="E390" t="s">
        <v>43</v>
      </c>
      <c r="F390" t="s">
        <v>40</v>
      </c>
      <c r="G390" s="22">
        <v>70</v>
      </c>
      <c r="H390">
        <v>1</v>
      </c>
      <c r="I390" s="21">
        <v>65.316000000000003</v>
      </c>
      <c r="J390" s="21">
        <v>5.0720000000000001</v>
      </c>
      <c r="K390" s="21">
        <v>70.352000000000004</v>
      </c>
      <c r="L390" s="21">
        <f t="shared" si="25"/>
        <v>5.0360000000000014</v>
      </c>
      <c r="M390" s="21">
        <f t="shared" si="26"/>
        <v>3.59999999999987E-2</v>
      </c>
      <c r="N390">
        <f t="shared" si="27"/>
        <v>0.70977917981069993</v>
      </c>
    </row>
    <row r="391" spans="1:14" x14ac:dyDescent="0.2">
      <c r="A391">
        <v>20327</v>
      </c>
      <c r="B391" s="23">
        <f t="shared" si="24"/>
        <v>44157</v>
      </c>
      <c r="C391" t="s">
        <v>45</v>
      </c>
      <c r="D391">
        <v>19</v>
      </c>
      <c r="E391" t="s">
        <v>43</v>
      </c>
      <c r="F391" t="s">
        <v>40</v>
      </c>
      <c r="G391" s="22">
        <v>70</v>
      </c>
      <c r="H391">
        <v>2</v>
      </c>
      <c r="I391" s="21">
        <v>63.08</v>
      </c>
      <c r="J391" s="21">
        <v>5.0359999999999996</v>
      </c>
      <c r="K391" s="21">
        <v>68.081000000000003</v>
      </c>
      <c r="L391" s="21">
        <f t="shared" si="25"/>
        <v>5.0010000000000048</v>
      </c>
      <c r="M391" s="21">
        <f t="shared" si="26"/>
        <v>3.4999999999994813E-2</v>
      </c>
      <c r="N391">
        <f t="shared" si="27"/>
        <v>0.69499602859401943</v>
      </c>
    </row>
    <row r="392" spans="1:14" x14ac:dyDescent="0.2">
      <c r="A392">
        <v>20327</v>
      </c>
      <c r="B392" s="23">
        <f t="shared" si="24"/>
        <v>44157</v>
      </c>
      <c r="C392" t="s">
        <v>45</v>
      </c>
      <c r="D392">
        <v>19</v>
      </c>
      <c r="E392" t="s">
        <v>43</v>
      </c>
      <c r="F392" t="s">
        <v>40</v>
      </c>
      <c r="G392" s="22">
        <v>70</v>
      </c>
      <c r="H392">
        <v>3</v>
      </c>
      <c r="I392" s="21">
        <v>63.802</v>
      </c>
      <c r="J392" s="21">
        <v>5.01</v>
      </c>
      <c r="K392" s="21">
        <v>68.775999999999996</v>
      </c>
      <c r="L392" s="21">
        <f t="shared" si="25"/>
        <v>4.9739999999999966</v>
      </c>
      <c r="M392" s="21">
        <f t="shared" si="26"/>
        <v>3.6000000000003141E-2</v>
      </c>
      <c r="N392">
        <f t="shared" si="27"/>
        <v>0.71856287425155974</v>
      </c>
    </row>
    <row r="393" spans="1:14" x14ac:dyDescent="0.2">
      <c r="A393">
        <v>20327</v>
      </c>
      <c r="B393" s="23">
        <f t="shared" si="24"/>
        <v>44157</v>
      </c>
      <c r="C393" t="s">
        <v>45</v>
      </c>
      <c r="D393">
        <v>19</v>
      </c>
      <c r="E393" t="s">
        <v>43</v>
      </c>
      <c r="F393" t="s">
        <v>40</v>
      </c>
      <c r="G393" s="22">
        <v>70</v>
      </c>
      <c r="H393">
        <v>4</v>
      </c>
      <c r="I393" s="21">
        <v>64.481999999999999</v>
      </c>
      <c r="J393" s="21">
        <v>5.03</v>
      </c>
      <c r="K393" s="21">
        <v>69.477000000000004</v>
      </c>
      <c r="L393" s="21">
        <f t="shared" si="25"/>
        <v>4.9950000000000045</v>
      </c>
      <c r="M393" s="21">
        <f t="shared" si="26"/>
        <v>3.4999999999995701E-2</v>
      </c>
      <c r="N393">
        <f t="shared" si="27"/>
        <v>0.69582504970170378</v>
      </c>
    </row>
    <row r="394" spans="1:14" x14ac:dyDescent="0.2">
      <c r="A394">
        <v>20327</v>
      </c>
      <c r="B394" s="23">
        <f t="shared" si="24"/>
        <v>44157</v>
      </c>
      <c r="C394" t="s">
        <v>45</v>
      </c>
      <c r="D394">
        <v>19</v>
      </c>
      <c r="E394" t="s">
        <v>43</v>
      </c>
      <c r="F394" t="s">
        <v>40</v>
      </c>
      <c r="G394" s="22">
        <v>80</v>
      </c>
      <c r="H394">
        <v>1</v>
      </c>
      <c r="I394" s="21">
        <v>63.082000000000001</v>
      </c>
      <c r="J394" s="21">
        <v>5.0190000000000001</v>
      </c>
      <c r="K394" s="21">
        <v>68.046999999999997</v>
      </c>
      <c r="L394" s="21">
        <f t="shared" si="25"/>
        <v>4.9649999999999963</v>
      </c>
      <c r="M394" s="21">
        <f t="shared" si="26"/>
        <v>5.4000000000003823E-2</v>
      </c>
      <c r="N394">
        <f t="shared" si="27"/>
        <v>1.0759115361626583</v>
      </c>
    </row>
    <row r="395" spans="1:14" x14ac:dyDescent="0.2">
      <c r="A395">
        <v>20327</v>
      </c>
      <c r="B395" s="23">
        <f t="shared" si="24"/>
        <v>44157</v>
      </c>
      <c r="C395" t="s">
        <v>45</v>
      </c>
      <c r="D395">
        <v>19</v>
      </c>
      <c r="E395" t="s">
        <v>43</v>
      </c>
      <c r="F395" t="s">
        <v>40</v>
      </c>
      <c r="G395" s="22">
        <v>80</v>
      </c>
      <c r="H395">
        <v>2</v>
      </c>
      <c r="I395" s="21">
        <v>65.748000000000005</v>
      </c>
      <c r="J395" s="21">
        <v>5.0140000000000002</v>
      </c>
      <c r="K395" s="21">
        <v>70.715000000000003</v>
      </c>
      <c r="L395" s="21">
        <f t="shared" si="25"/>
        <v>4.9669999999999987</v>
      </c>
      <c r="M395" s="21">
        <f t="shared" si="26"/>
        <v>4.7000000000001485E-2</v>
      </c>
      <c r="N395">
        <f t="shared" si="27"/>
        <v>0.93737534902276587</v>
      </c>
    </row>
    <row r="396" spans="1:14" x14ac:dyDescent="0.2">
      <c r="A396">
        <v>20327</v>
      </c>
      <c r="B396" s="23">
        <f t="shared" si="24"/>
        <v>44157</v>
      </c>
      <c r="C396" t="s">
        <v>45</v>
      </c>
      <c r="D396">
        <v>19</v>
      </c>
      <c r="E396" t="s">
        <v>43</v>
      </c>
      <c r="F396" t="s">
        <v>40</v>
      </c>
      <c r="G396" s="22">
        <v>80</v>
      </c>
      <c r="H396">
        <v>3</v>
      </c>
      <c r="I396" s="21">
        <v>62.731999999999999</v>
      </c>
      <c r="J396" s="21">
        <v>5.0910000000000002</v>
      </c>
      <c r="K396" s="21">
        <v>67.772999999999996</v>
      </c>
      <c r="L396" s="21">
        <f t="shared" si="25"/>
        <v>5.0409999999999968</v>
      </c>
      <c r="M396" s="21">
        <f t="shared" si="26"/>
        <v>5.0000000000003375E-2</v>
      </c>
      <c r="N396">
        <f t="shared" si="27"/>
        <v>0.98212531919079504</v>
      </c>
    </row>
    <row r="397" spans="1:14" x14ac:dyDescent="0.2">
      <c r="A397">
        <v>20327</v>
      </c>
      <c r="B397" s="23">
        <f t="shared" si="24"/>
        <v>44157</v>
      </c>
      <c r="C397" t="s">
        <v>45</v>
      </c>
      <c r="D397">
        <v>19</v>
      </c>
      <c r="E397" t="s">
        <v>43</v>
      </c>
      <c r="F397" t="s">
        <v>40</v>
      </c>
      <c r="G397" s="22">
        <v>80</v>
      </c>
      <c r="H397">
        <v>4</v>
      </c>
      <c r="I397" s="21">
        <v>59.81</v>
      </c>
      <c r="J397" s="21">
        <v>5.0620000000000003</v>
      </c>
      <c r="K397" s="21">
        <v>64.825000000000003</v>
      </c>
      <c r="L397" s="21">
        <f t="shared" si="25"/>
        <v>5.0150000000000006</v>
      </c>
      <c r="M397" s="21">
        <f t="shared" si="26"/>
        <v>4.6999999999999709E-2</v>
      </c>
      <c r="N397">
        <f t="shared" si="27"/>
        <v>0.9284867641248461</v>
      </c>
    </row>
    <row r="398" spans="1:14" x14ac:dyDescent="0.2">
      <c r="A398">
        <v>20327</v>
      </c>
      <c r="B398" s="23">
        <f t="shared" si="24"/>
        <v>44157</v>
      </c>
      <c r="C398" t="s">
        <v>45</v>
      </c>
      <c r="D398">
        <v>19</v>
      </c>
      <c r="E398" t="s">
        <v>46</v>
      </c>
      <c r="F398" t="s">
        <v>40</v>
      </c>
      <c r="G398" s="22">
        <v>10</v>
      </c>
      <c r="H398">
        <v>1</v>
      </c>
      <c r="I398" s="21">
        <v>68.064999999999998</v>
      </c>
      <c r="J398" s="21">
        <v>5.0250000000000004</v>
      </c>
      <c r="K398" s="21">
        <v>72.932000000000002</v>
      </c>
      <c r="L398" s="21">
        <f t="shared" si="25"/>
        <v>4.8670000000000044</v>
      </c>
      <c r="M398" s="21">
        <f t="shared" si="26"/>
        <v>0.15799999999999592</v>
      </c>
      <c r="N398">
        <f t="shared" si="27"/>
        <v>3.1442786069650923</v>
      </c>
    </row>
    <row r="399" spans="1:14" x14ac:dyDescent="0.2">
      <c r="A399">
        <v>20327</v>
      </c>
      <c r="B399" s="23">
        <f t="shared" si="24"/>
        <v>44157</v>
      </c>
      <c r="C399" t="s">
        <v>45</v>
      </c>
      <c r="D399">
        <v>19</v>
      </c>
      <c r="E399" t="s">
        <v>46</v>
      </c>
      <c r="F399" t="s">
        <v>40</v>
      </c>
      <c r="G399" s="22">
        <v>10</v>
      </c>
      <c r="H399">
        <v>2</v>
      </c>
      <c r="I399" s="21">
        <v>64.870999999999995</v>
      </c>
      <c r="J399" s="21">
        <v>5.0730000000000004</v>
      </c>
      <c r="K399" s="21">
        <v>69.772999999999996</v>
      </c>
      <c r="L399" s="21">
        <f t="shared" si="25"/>
        <v>4.902000000000001</v>
      </c>
      <c r="M399" s="21">
        <f t="shared" si="26"/>
        <v>0.17099999999999937</v>
      </c>
      <c r="N399">
        <f t="shared" si="27"/>
        <v>3.3707865168539199</v>
      </c>
    </row>
    <row r="400" spans="1:14" x14ac:dyDescent="0.2">
      <c r="A400">
        <v>20327</v>
      </c>
      <c r="B400" s="23">
        <f t="shared" si="24"/>
        <v>44157</v>
      </c>
      <c r="C400" t="s">
        <v>45</v>
      </c>
      <c r="D400">
        <v>19</v>
      </c>
      <c r="E400" t="s">
        <v>46</v>
      </c>
      <c r="F400" t="s">
        <v>40</v>
      </c>
      <c r="G400" s="22">
        <v>10</v>
      </c>
      <c r="H400">
        <v>3</v>
      </c>
      <c r="I400" s="21">
        <v>62.198</v>
      </c>
      <c r="J400" s="21">
        <v>5.0860000000000003</v>
      </c>
      <c r="K400" s="21">
        <v>67.108999999999995</v>
      </c>
      <c r="L400" s="21">
        <f t="shared" si="25"/>
        <v>4.9109999999999943</v>
      </c>
      <c r="M400" s="21">
        <f t="shared" si="26"/>
        <v>0.17500000000000604</v>
      </c>
      <c r="N400">
        <f t="shared" si="27"/>
        <v>3.4408179315769964</v>
      </c>
    </row>
    <row r="401" spans="1:14" x14ac:dyDescent="0.2">
      <c r="A401">
        <v>20327</v>
      </c>
      <c r="B401" s="23">
        <f t="shared" si="24"/>
        <v>44157</v>
      </c>
      <c r="C401" t="s">
        <v>45</v>
      </c>
      <c r="D401">
        <v>19</v>
      </c>
      <c r="E401" t="s">
        <v>46</v>
      </c>
      <c r="F401" t="s">
        <v>40</v>
      </c>
      <c r="G401" s="22">
        <v>10</v>
      </c>
      <c r="H401">
        <v>4</v>
      </c>
      <c r="I401" s="21">
        <v>58.265999999999998</v>
      </c>
      <c r="J401" s="21">
        <v>5.0270000000000001</v>
      </c>
      <c r="K401" s="21">
        <v>63.125</v>
      </c>
      <c r="L401" s="21">
        <f t="shared" si="25"/>
        <v>4.8590000000000018</v>
      </c>
      <c r="M401" s="21">
        <f t="shared" si="26"/>
        <v>0.16799999999999837</v>
      </c>
      <c r="N401">
        <f t="shared" si="27"/>
        <v>3.3419534513626092</v>
      </c>
    </row>
    <row r="402" spans="1:14" x14ac:dyDescent="0.2">
      <c r="A402">
        <v>20327</v>
      </c>
      <c r="B402" s="23">
        <f t="shared" si="24"/>
        <v>44157</v>
      </c>
      <c r="C402" t="s">
        <v>45</v>
      </c>
      <c r="D402">
        <v>19</v>
      </c>
      <c r="E402" t="s">
        <v>46</v>
      </c>
      <c r="F402" t="s">
        <v>40</v>
      </c>
      <c r="G402" s="22">
        <v>20</v>
      </c>
      <c r="H402">
        <v>1</v>
      </c>
      <c r="I402" s="21">
        <v>64.483000000000004</v>
      </c>
      <c r="J402" s="21">
        <v>5.0439999999999996</v>
      </c>
      <c r="K402" s="21">
        <v>69.384</v>
      </c>
      <c r="L402" s="21">
        <f t="shared" si="25"/>
        <v>4.9009999999999962</v>
      </c>
      <c r="M402" s="21">
        <f t="shared" si="26"/>
        <v>0.14300000000000335</v>
      </c>
      <c r="N402">
        <f t="shared" si="27"/>
        <v>2.8350515463918193</v>
      </c>
    </row>
    <row r="403" spans="1:14" x14ac:dyDescent="0.2">
      <c r="A403">
        <v>20327</v>
      </c>
      <c r="B403" s="23">
        <f t="shared" si="24"/>
        <v>44157</v>
      </c>
      <c r="C403" t="s">
        <v>45</v>
      </c>
      <c r="D403">
        <v>19</v>
      </c>
      <c r="E403" t="s">
        <v>46</v>
      </c>
      <c r="F403" t="s">
        <v>40</v>
      </c>
      <c r="G403" s="22">
        <v>20</v>
      </c>
      <c r="H403">
        <v>2</v>
      </c>
      <c r="I403" s="21">
        <v>63.930999999999997</v>
      </c>
      <c r="J403" s="21">
        <v>5.0750000000000002</v>
      </c>
      <c r="K403" s="21">
        <v>68.86</v>
      </c>
      <c r="L403" s="21">
        <f t="shared" si="25"/>
        <v>4.929000000000002</v>
      </c>
      <c r="M403" s="21">
        <f t="shared" si="26"/>
        <v>0.14599999999999813</v>
      </c>
      <c r="N403">
        <f t="shared" si="27"/>
        <v>2.8768472906403568</v>
      </c>
    </row>
    <row r="404" spans="1:14" x14ac:dyDescent="0.2">
      <c r="A404">
        <v>20327</v>
      </c>
      <c r="B404" s="23">
        <f t="shared" si="24"/>
        <v>44157</v>
      </c>
      <c r="C404" t="s">
        <v>45</v>
      </c>
      <c r="D404">
        <v>19</v>
      </c>
      <c r="E404" t="s">
        <v>46</v>
      </c>
      <c r="F404" t="s">
        <v>40</v>
      </c>
      <c r="G404" s="22">
        <v>20</v>
      </c>
      <c r="H404">
        <v>3</v>
      </c>
      <c r="I404" s="21">
        <v>63.802999999999997</v>
      </c>
      <c r="J404" s="21">
        <v>5.0179999999999998</v>
      </c>
      <c r="K404" s="21">
        <v>68.676000000000002</v>
      </c>
      <c r="L404" s="21">
        <f t="shared" si="25"/>
        <v>4.8730000000000047</v>
      </c>
      <c r="M404" s="21">
        <f t="shared" si="26"/>
        <v>0.14499999999999513</v>
      </c>
      <c r="N404">
        <f t="shared" si="27"/>
        <v>2.8895974491828444</v>
      </c>
    </row>
    <row r="405" spans="1:14" x14ac:dyDescent="0.2">
      <c r="A405">
        <v>20327</v>
      </c>
      <c r="B405" s="23">
        <f t="shared" si="24"/>
        <v>44157</v>
      </c>
      <c r="C405" t="s">
        <v>45</v>
      </c>
      <c r="D405">
        <v>19</v>
      </c>
      <c r="E405" t="s">
        <v>46</v>
      </c>
      <c r="F405" t="s">
        <v>40</v>
      </c>
      <c r="G405" s="22">
        <v>20</v>
      </c>
      <c r="H405">
        <v>4</v>
      </c>
      <c r="I405" s="21">
        <v>65.316999999999993</v>
      </c>
      <c r="J405" s="21">
        <v>5.0190000000000001</v>
      </c>
      <c r="K405" s="21">
        <v>70.188999999999993</v>
      </c>
      <c r="L405" s="21">
        <f t="shared" si="25"/>
        <v>4.8719999999999999</v>
      </c>
      <c r="M405" s="21">
        <f t="shared" si="26"/>
        <v>0.14700000000000024</v>
      </c>
      <c r="N405">
        <f t="shared" si="27"/>
        <v>2.928870292887034</v>
      </c>
    </row>
    <row r="406" spans="1:14" x14ac:dyDescent="0.2">
      <c r="A406">
        <v>20327</v>
      </c>
      <c r="B406" s="23">
        <f t="shared" si="24"/>
        <v>44157</v>
      </c>
      <c r="C406" t="s">
        <v>45</v>
      </c>
      <c r="D406">
        <v>19</v>
      </c>
      <c r="E406" t="s">
        <v>46</v>
      </c>
      <c r="F406" t="s">
        <v>40</v>
      </c>
      <c r="G406" s="22">
        <v>30</v>
      </c>
      <c r="H406">
        <v>1</v>
      </c>
      <c r="I406" s="21">
        <v>65.314999999999998</v>
      </c>
      <c r="J406" s="21">
        <v>5.0529999999999999</v>
      </c>
      <c r="K406" s="21">
        <v>70.224000000000004</v>
      </c>
      <c r="L406" s="21">
        <f t="shared" si="25"/>
        <v>4.909000000000006</v>
      </c>
      <c r="M406" s="21">
        <f t="shared" si="26"/>
        <v>0.14399999999999391</v>
      </c>
      <c r="N406">
        <f t="shared" si="27"/>
        <v>2.8497922026517695</v>
      </c>
    </row>
    <row r="407" spans="1:14" x14ac:dyDescent="0.2">
      <c r="A407">
        <v>20327</v>
      </c>
      <c r="B407" s="23">
        <f t="shared" si="24"/>
        <v>44157</v>
      </c>
      <c r="C407" t="s">
        <v>45</v>
      </c>
      <c r="D407">
        <v>19</v>
      </c>
      <c r="E407" t="s">
        <v>46</v>
      </c>
      <c r="F407" t="s">
        <v>40</v>
      </c>
      <c r="G407" s="22">
        <v>30</v>
      </c>
      <c r="H407">
        <v>2</v>
      </c>
      <c r="I407" s="21">
        <v>62.731999999999999</v>
      </c>
      <c r="J407" s="21">
        <v>5.0650000000000004</v>
      </c>
      <c r="K407" s="21">
        <v>67.650999999999996</v>
      </c>
      <c r="L407" s="21">
        <f t="shared" si="25"/>
        <v>4.9189999999999969</v>
      </c>
      <c r="M407" s="21">
        <f t="shared" si="26"/>
        <v>0.14600000000000346</v>
      </c>
      <c r="N407">
        <f t="shared" si="27"/>
        <v>2.8825271470879259</v>
      </c>
    </row>
    <row r="408" spans="1:14" x14ac:dyDescent="0.2">
      <c r="A408">
        <v>20327</v>
      </c>
      <c r="B408" s="23">
        <f t="shared" si="24"/>
        <v>44157</v>
      </c>
      <c r="C408" t="s">
        <v>45</v>
      </c>
      <c r="D408">
        <v>19</v>
      </c>
      <c r="E408" t="s">
        <v>46</v>
      </c>
      <c r="F408" t="s">
        <v>40</v>
      </c>
      <c r="G408" s="22">
        <v>30</v>
      </c>
      <c r="H408">
        <v>3</v>
      </c>
      <c r="I408" s="21">
        <v>58.265999999999998</v>
      </c>
      <c r="J408" s="21">
        <v>5.0759999999999996</v>
      </c>
      <c r="K408" s="21">
        <v>63.191000000000003</v>
      </c>
      <c r="L408" s="21">
        <f t="shared" si="25"/>
        <v>4.9250000000000043</v>
      </c>
      <c r="M408" s="21">
        <f t="shared" si="26"/>
        <v>0.15099999999999536</v>
      </c>
      <c r="N408">
        <f t="shared" si="27"/>
        <v>2.974783293932139</v>
      </c>
    </row>
    <row r="409" spans="1:14" x14ac:dyDescent="0.2">
      <c r="A409">
        <v>20327</v>
      </c>
      <c r="B409" s="23">
        <f t="shared" si="24"/>
        <v>44157</v>
      </c>
      <c r="C409" t="s">
        <v>45</v>
      </c>
      <c r="D409">
        <v>19</v>
      </c>
      <c r="E409" t="s">
        <v>46</v>
      </c>
      <c r="F409" t="s">
        <v>40</v>
      </c>
      <c r="G409" s="22">
        <v>30</v>
      </c>
      <c r="H409">
        <v>4</v>
      </c>
      <c r="I409" s="21">
        <v>59.808999999999997</v>
      </c>
      <c r="J409" s="21">
        <v>5.1070000000000002</v>
      </c>
      <c r="K409" s="21">
        <v>64.765000000000001</v>
      </c>
      <c r="L409" s="21">
        <f t="shared" si="25"/>
        <v>4.9560000000000031</v>
      </c>
      <c r="M409" s="21">
        <f t="shared" si="26"/>
        <v>0.15099999999999714</v>
      </c>
      <c r="N409">
        <f t="shared" si="27"/>
        <v>2.9567260622674199</v>
      </c>
    </row>
    <row r="410" spans="1:14" x14ac:dyDescent="0.2">
      <c r="A410">
        <v>20327</v>
      </c>
      <c r="B410" s="23">
        <f t="shared" si="24"/>
        <v>44157</v>
      </c>
      <c r="C410" t="s">
        <v>45</v>
      </c>
      <c r="D410">
        <v>19</v>
      </c>
      <c r="E410" t="s">
        <v>46</v>
      </c>
      <c r="F410" t="s">
        <v>40</v>
      </c>
      <c r="G410" s="22">
        <v>40</v>
      </c>
      <c r="H410">
        <v>1</v>
      </c>
      <c r="I410" s="21">
        <v>65.747</v>
      </c>
      <c r="J410" s="21">
        <v>5.0460000000000003</v>
      </c>
      <c r="K410" s="21">
        <v>70.665000000000006</v>
      </c>
      <c r="L410" s="21">
        <f t="shared" si="25"/>
        <v>4.9180000000000064</v>
      </c>
      <c r="M410" s="21">
        <f t="shared" si="26"/>
        <v>0.1279999999999939</v>
      </c>
      <c r="N410">
        <f t="shared" si="27"/>
        <v>2.5366627031310722</v>
      </c>
    </row>
    <row r="411" spans="1:14" x14ac:dyDescent="0.2">
      <c r="A411">
        <v>20327</v>
      </c>
      <c r="B411" s="23">
        <f t="shared" si="24"/>
        <v>44157</v>
      </c>
      <c r="C411" t="s">
        <v>45</v>
      </c>
      <c r="D411">
        <v>19</v>
      </c>
      <c r="E411" t="s">
        <v>46</v>
      </c>
      <c r="F411" t="s">
        <v>40</v>
      </c>
      <c r="G411" s="22">
        <v>40</v>
      </c>
      <c r="H411">
        <v>2</v>
      </c>
      <c r="I411" s="21">
        <v>63.93</v>
      </c>
      <c r="J411" s="21">
        <v>5.0510000000000002</v>
      </c>
      <c r="K411" s="21">
        <v>68.855000000000004</v>
      </c>
      <c r="L411" s="21">
        <f t="shared" si="25"/>
        <v>4.9250000000000043</v>
      </c>
      <c r="M411" s="21">
        <f t="shared" si="26"/>
        <v>0.12599999999999589</v>
      </c>
      <c r="N411">
        <f t="shared" si="27"/>
        <v>2.4945555335576302</v>
      </c>
    </row>
    <row r="412" spans="1:14" x14ac:dyDescent="0.2">
      <c r="A412">
        <v>20327</v>
      </c>
      <c r="B412" s="23">
        <f t="shared" si="24"/>
        <v>44157</v>
      </c>
      <c r="C412" t="s">
        <v>45</v>
      </c>
      <c r="D412">
        <v>19</v>
      </c>
      <c r="E412" t="s">
        <v>46</v>
      </c>
      <c r="F412" t="s">
        <v>40</v>
      </c>
      <c r="G412" s="22">
        <v>40</v>
      </c>
      <c r="H412">
        <v>3</v>
      </c>
      <c r="I412" s="21">
        <v>64.87</v>
      </c>
      <c r="J412" s="21">
        <v>5.0720000000000001</v>
      </c>
      <c r="K412" s="21">
        <v>69.813000000000002</v>
      </c>
      <c r="L412" s="21">
        <f t="shared" si="25"/>
        <v>4.9429999999999978</v>
      </c>
      <c r="M412" s="21">
        <f t="shared" si="26"/>
        <v>0.12900000000000222</v>
      </c>
      <c r="N412">
        <f t="shared" si="27"/>
        <v>2.5433753943218105</v>
      </c>
    </row>
    <row r="413" spans="1:14" x14ac:dyDescent="0.2">
      <c r="A413">
        <v>20327</v>
      </c>
      <c r="B413" s="23">
        <f t="shared" si="24"/>
        <v>44157</v>
      </c>
      <c r="C413" t="s">
        <v>45</v>
      </c>
      <c r="D413">
        <v>19</v>
      </c>
      <c r="E413" t="s">
        <v>46</v>
      </c>
      <c r="F413" t="s">
        <v>40</v>
      </c>
      <c r="G413" s="22">
        <v>40</v>
      </c>
      <c r="H413">
        <v>4</v>
      </c>
      <c r="I413" s="21">
        <v>62.197000000000003</v>
      </c>
      <c r="J413" s="21">
        <v>5.0810000000000004</v>
      </c>
      <c r="K413" s="21">
        <v>67.155000000000001</v>
      </c>
      <c r="L413" s="21">
        <f t="shared" si="25"/>
        <v>4.9579999999999984</v>
      </c>
      <c r="M413" s="21">
        <f t="shared" si="26"/>
        <v>0.123000000000002</v>
      </c>
      <c r="N413">
        <f t="shared" si="27"/>
        <v>2.4207833103720131</v>
      </c>
    </row>
    <row r="414" spans="1:14" x14ac:dyDescent="0.2">
      <c r="A414">
        <v>20327</v>
      </c>
      <c r="B414" s="23">
        <f t="shared" si="24"/>
        <v>44157</v>
      </c>
      <c r="C414" t="s">
        <v>45</v>
      </c>
      <c r="D414">
        <v>19</v>
      </c>
      <c r="E414" t="s">
        <v>46</v>
      </c>
      <c r="F414" t="s">
        <v>40</v>
      </c>
      <c r="G414" s="22">
        <v>50</v>
      </c>
      <c r="H414">
        <v>1</v>
      </c>
      <c r="I414" s="21">
        <v>63.802</v>
      </c>
      <c r="J414" s="21">
        <v>5.0439999999999996</v>
      </c>
      <c r="K414" s="21">
        <v>68.757000000000005</v>
      </c>
      <c r="L414" s="21">
        <f t="shared" si="25"/>
        <v>4.9550000000000054</v>
      </c>
      <c r="M414" s="21">
        <f t="shared" si="26"/>
        <v>8.8999999999994195E-2</v>
      </c>
      <c r="N414">
        <f t="shared" si="27"/>
        <v>1.7644726407611857</v>
      </c>
    </row>
    <row r="415" spans="1:14" x14ac:dyDescent="0.2">
      <c r="A415">
        <v>20327</v>
      </c>
      <c r="B415" s="23">
        <f t="shared" si="24"/>
        <v>44157</v>
      </c>
      <c r="C415" t="s">
        <v>45</v>
      </c>
      <c r="D415">
        <v>19</v>
      </c>
      <c r="E415" t="s">
        <v>46</v>
      </c>
      <c r="F415" t="s">
        <v>40</v>
      </c>
      <c r="G415" s="22">
        <v>50</v>
      </c>
      <c r="H415">
        <v>2</v>
      </c>
      <c r="I415" s="21">
        <v>68.063999999999993</v>
      </c>
      <c r="J415" s="21">
        <v>5.0880000000000001</v>
      </c>
      <c r="K415" s="21">
        <v>73.063999999999993</v>
      </c>
      <c r="L415" s="21">
        <f t="shared" si="25"/>
        <v>5</v>
      </c>
      <c r="M415" s="21">
        <f t="shared" si="26"/>
        <v>8.8000000000000078E-2</v>
      </c>
      <c r="N415">
        <f t="shared" si="27"/>
        <v>1.7295597484276743</v>
      </c>
    </row>
    <row r="416" spans="1:14" x14ac:dyDescent="0.2">
      <c r="A416">
        <v>20327</v>
      </c>
      <c r="B416" s="23">
        <f t="shared" si="24"/>
        <v>44157</v>
      </c>
      <c r="C416" t="s">
        <v>45</v>
      </c>
      <c r="D416">
        <v>19</v>
      </c>
      <c r="E416" t="s">
        <v>46</v>
      </c>
      <c r="F416" t="s">
        <v>40</v>
      </c>
      <c r="G416" s="22">
        <v>50</v>
      </c>
      <c r="H416">
        <v>3</v>
      </c>
      <c r="I416" s="21">
        <v>63.08</v>
      </c>
      <c r="J416" s="21">
        <v>5.0830000000000002</v>
      </c>
      <c r="K416" s="21">
        <v>68.073999999999998</v>
      </c>
      <c r="L416" s="21">
        <f t="shared" si="25"/>
        <v>4.9939999999999998</v>
      </c>
      <c r="M416" s="21">
        <f t="shared" si="26"/>
        <v>8.9000000000000412E-2</v>
      </c>
      <c r="N416">
        <f t="shared" si="27"/>
        <v>1.7509344875073856</v>
      </c>
    </row>
    <row r="417" spans="1:14" x14ac:dyDescent="0.2">
      <c r="A417">
        <v>20327</v>
      </c>
      <c r="B417" s="23">
        <f t="shared" si="24"/>
        <v>44157</v>
      </c>
      <c r="C417" t="s">
        <v>45</v>
      </c>
      <c r="D417">
        <v>19</v>
      </c>
      <c r="E417" t="s">
        <v>46</v>
      </c>
      <c r="F417" t="s">
        <v>40</v>
      </c>
      <c r="G417" s="22">
        <v>50</v>
      </c>
      <c r="H417">
        <v>4</v>
      </c>
      <c r="I417" s="21">
        <v>64.483000000000004</v>
      </c>
      <c r="J417" s="21">
        <v>5.0940000000000003</v>
      </c>
      <c r="K417" s="21">
        <v>69.489999999999995</v>
      </c>
      <c r="L417" s="21">
        <f t="shared" si="25"/>
        <v>5.0069999999999908</v>
      </c>
      <c r="M417" s="21">
        <f t="shared" si="26"/>
        <v>8.7000000000009514E-2</v>
      </c>
      <c r="N417">
        <f t="shared" si="27"/>
        <v>1.7078916372204458</v>
      </c>
    </row>
    <row r="418" spans="1:14" x14ac:dyDescent="0.2">
      <c r="A418">
        <v>20327</v>
      </c>
      <c r="B418" s="23">
        <f t="shared" si="24"/>
        <v>44157</v>
      </c>
      <c r="C418" t="s">
        <v>45</v>
      </c>
      <c r="D418">
        <v>19</v>
      </c>
      <c r="E418" t="s">
        <v>46</v>
      </c>
      <c r="F418" t="s">
        <v>40</v>
      </c>
      <c r="G418" s="22">
        <v>60</v>
      </c>
      <c r="H418">
        <v>1</v>
      </c>
      <c r="I418" s="21">
        <v>58.265000000000001</v>
      </c>
      <c r="J418" s="21">
        <v>5.03</v>
      </c>
      <c r="K418" s="21">
        <v>63.225999999999999</v>
      </c>
      <c r="L418" s="21">
        <f t="shared" si="25"/>
        <v>4.9609999999999985</v>
      </c>
      <c r="M418" s="21">
        <f t="shared" si="26"/>
        <v>6.9000000000001727E-2</v>
      </c>
      <c r="N418">
        <f t="shared" si="27"/>
        <v>1.3717693836978473</v>
      </c>
    </row>
    <row r="419" spans="1:14" x14ac:dyDescent="0.2">
      <c r="A419">
        <v>20327</v>
      </c>
      <c r="B419" s="23">
        <f t="shared" si="24"/>
        <v>44157</v>
      </c>
      <c r="C419" t="s">
        <v>45</v>
      </c>
      <c r="D419">
        <v>19</v>
      </c>
      <c r="E419" t="s">
        <v>46</v>
      </c>
      <c r="F419" t="s">
        <v>40</v>
      </c>
      <c r="G419" s="22">
        <v>60</v>
      </c>
      <c r="H419">
        <v>2</v>
      </c>
      <c r="I419" s="21">
        <v>64.480999999999995</v>
      </c>
      <c r="J419" s="21">
        <v>5.077</v>
      </c>
      <c r="K419" s="21">
        <v>69.492000000000004</v>
      </c>
      <c r="L419" s="21">
        <f t="shared" si="25"/>
        <v>5.0110000000000099</v>
      </c>
      <c r="M419" s="21">
        <f t="shared" si="26"/>
        <v>6.5999999999990067E-2</v>
      </c>
      <c r="N419">
        <f t="shared" si="27"/>
        <v>1.2999803033285418</v>
      </c>
    </row>
    <row r="420" spans="1:14" x14ac:dyDescent="0.2">
      <c r="A420">
        <v>20327</v>
      </c>
      <c r="B420" s="23">
        <f t="shared" si="24"/>
        <v>44157</v>
      </c>
      <c r="C420" t="s">
        <v>45</v>
      </c>
      <c r="D420">
        <v>19</v>
      </c>
      <c r="E420" t="s">
        <v>46</v>
      </c>
      <c r="F420" t="s">
        <v>40</v>
      </c>
      <c r="G420" s="22">
        <v>60</v>
      </c>
      <c r="H420">
        <v>3</v>
      </c>
      <c r="I420" s="21">
        <v>59.808999999999997</v>
      </c>
      <c r="J420" s="21">
        <v>5.0190000000000001</v>
      </c>
      <c r="K420" s="21">
        <v>64.757999999999996</v>
      </c>
      <c r="L420" s="21">
        <f t="shared" si="25"/>
        <v>4.9489999999999981</v>
      </c>
      <c r="M420" s="21">
        <f t="shared" si="26"/>
        <v>7.0000000000002061E-2</v>
      </c>
      <c r="N420">
        <f t="shared" si="27"/>
        <v>1.3947001394700549</v>
      </c>
    </row>
    <row r="421" spans="1:14" x14ac:dyDescent="0.2">
      <c r="A421">
        <v>20327</v>
      </c>
      <c r="B421" s="23">
        <f t="shared" si="24"/>
        <v>44157</v>
      </c>
      <c r="C421" t="s">
        <v>45</v>
      </c>
      <c r="D421">
        <v>19</v>
      </c>
      <c r="E421" t="s">
        <v>46</v>
      </c>
      <c r="F421" t="s">
        <v>40</v>
      </c>
      <c r="G421" s="22">
        <v>60</v>
      </c>
      <c r="H421">
        <v>4</v>
      </c>
      <c r="I421" s="21">
        <v>68.063999999999993</v>
      </c>
      <c r="J421" s="21">
        <v>5.0049999999999999</v>
      </c>
      <c r="K421" s="21">
        <v>73.001000000000005</v>
      </c>
      <c r="L421" s="21">
        <f t="shared" si="25"/>
        <v>4.9370000000000118</v>
      </c>
      <c r="M421" s="21">
        <f t="shared" si="26"/>
        <v>6.799999999998807E-2</v>
      </c>
      <c r="N421">
        <f t="shared" si="27"/>
        <v>1.3586413586411203</v>
      </c>
    </row>
    <row r="422" spans="1:14" x14ac:dyDescent="0.2">
      <c r="A422">
        <v>20327</v>
      </c>
      <c r="B422" s="23">
        <f t="shared" si="24"/>
        <v>44157</v>
      </c>
      <c r="C422" t="s">
        <v>45</v>
      </c>
      <c r="D422">
        <v>19</v>
      </c>
      <c r="E422" t="s">
        <v>46</v>
      </c>
      <c r="F422" t="s">
        <v>40</v>
      </c>
      <c r="G422" s="22">
        <v>70</v>
      </c>
      <c r="H422">
        <v>1</v>
      </c>
      <c r="I422" s="21">
        <v>62.731999999999999</v>
      </c>
      <c r="J422" s="21">
        <v>5.0289999999999999</v>
      </c>
      <c r="K422" s="21">
        <v>67.709000000000003</v>
      </c>
      <c r="L422" s="21">
        <f t="shared" si="25"/>
        <v>4.9770000000000039</v>
      </c>
      <c r="M422" s="21">
        <f t="shared" si="26"/>
        <v>5.1999999999996049E-2</v>
      </c>
      <c r="N422">
        <f t="shared" si="27"/>
        <v>1.0340027838535704</v>
      </c>
    </row>
    <row r="423" spans="1:14" x14ac:dyDescent="0.2">
      <c r="A423">
        <v>20327</v>
      </c>
      <c r="B423" s="23">
        <f t="shared" si="24"/>
        <v>44157</v>
      </c>
      <c r="C423" t="s">
        <v>45</v>
      </c>
      <c r="D423">
        <v>19</v>
      </c>
      <c r="E423" t="s">
        <v>46</v>
      </c>
      <c r="F423" t="s">
        <v>40</v>
      </c>
      <c r="G423" s="22">
        <v>70</v>
      </c>
      <c r="H423">
        <v>2</v>
      </c>
      <c r="I423" s="21">
        <v>63.802</v>
      </c>
      <c r="J423" s="21">
        <v>5.0469999999999997</v>
      </c>
      <c r="K423" s="21">
        <v>68.795000000000002</v>
      </c>
      <c r="L423" s="21">
        <f t="shared" si="25"/>
        <v>4.9930000000000021</v>
      </c>
      <c r="M423" s="21">
        <f t="shared" si="26"/>
        <v>5.3999999999997605E-2</v>
      </c>
      <c r="N423">
        <f t="shared" si="27"/>
        <v>1.0699425401227978</v>
      </c>
    </row>
    <row r="424" spans="1:14" x14ac:dyDescent="0.2">
      <c r="A424">
        <v>20327</v>
      </c>
      <c r="B424" s="23">
        <f t="shared" si="24"/>
        <v>44157</v>
      </c>
      <c r="C424" t="s">
        <v>45</v>
      </c>
      <c r="D424">
        <v>19</v>
      </c>
      <c r="E424" t="s">
        <v>46</v>
      </c>
      <c r="F424" t="s">
        <v>40</v>
      </c>
      <c r="G424" s="22">
        <v>70</v>
      </c>
      <c r="H424">
        <v>3</v>
      </c>
      <c r="I424" s="21">
        <v>62.195999999999998</v>
      </c>
      <c r="J424" s="21">
        <v>5.0640000000000001</v>
      </c>
      <c r="K424" s="21">
        <v>67.207999999999998</v>
      </c>
      <c r="L424" s="21">
        <f t="shared" si="25"/>
        <v>5.0120000000000005</v>
      </c>
      <c r="M424" s="21">
        <f t="shared" si="26"/>
        <v>5.1999999999999602E-2</v>
      </c>
      <c r="N424">
        <f t="shared" si="27"/>
        <v>1.0268562401263746</v>
      </c>
    </row>
    <row r="425" spans="1:14" x14ac:dyDescent="0.2">
      <c r="A425">
        <v>20327</v>
      </c>
      <c r="B425" s="23">
        <f t="shared" si="24"/>
        <v>44157</v>
      </c>
      <c r="C425" t="s">
        <v>45</v>
      </c>
      <c r="D425">
        <v>19</v>
      </c>
      <c r="E425" t="s">
        <v>46</v>
      </c>
      <c r="F425" t="s">
        <v>40</v>
      </c>
      <c r="G425" s="22">
        <v>70</v>
      </c>
      <c r="H425">
        <v>4</v>
      </c>
      <c r="I425" s="21">
        <v>63.08</v>
      </c>
      <c r="J425" s="21">
        <v>5.0620000000000003</v>
      </c>
      <c r="K425" s="21">
        <v>68.090999999999994</v>
      </c>
      <c r="L425" s="21">
        <f t="shared" si="25"/>
        <v>5.0109999999999957</v>
      </c>
      <c r="M425" s="21">
        <f t="shared" si="26"/>
        <v>5.1000000000004597E-2</v>
      </c>
      <c r="N425">
        <f t="shared" si="27"/>
        <v>1.0075069142632278</v>
      </c>
    </row>
    <row r="426" spans="1:14" x14ac:dyDescent="0.2">
      <c r="A426">
        <v>20327</v>
      </c>
      <c r="B426" s="23">
        <f t="shared" si="24"/>
        <v>44157</v>
      </c>
      <c r="C426" t="s">
        <v>45</v>
      </c>
      <c r="D426">
        <v>19</v>
      </c>
      <c r="E426" t="s">
        <v>46</v>
      </c>
      <c r="F426" t="s">
        <v>40</v>
      </c>
      <c r="G426" s="22">
        <v>80</v>
      </c>
      <c r="H426">
        <v>1</v>
      </c>
      <c r="I426" s="21">
        <v>63.930999999999997</v>
      </c>
      <c r="J426" s="21">
        <v>5.085</v>
      </c>
      <c r="K426" s="21">
        <v>68.971000000000004</v>
      </c>
      <c r="L426" s="21">
        <f t="shared" si="25"/>
        <v>5.0400000000000063</v>
      </c>
      <c r="M426" s="21">
        <f t="shared" si="26"/>
        <v>4.4999999999993712E-2</v>
      </c>
      <c r="N426">
        <f t="shared" si="27"/>
        <v>0.88495575221226563</v>
      </c>
    </row>
    <row r="427" spans="1:14" x14ac:dyDescent="0.2">
      <c r="A427">
        <v>20327</v>
      </c>
      <c r="B427" s="23">
        <f t="shared" si="24"/>
        <v>44157</v>
      </c>
      <c r="C427" t="s">
        <v>45</v>
      </c>
      <c r="D427">
        <v>19</v>
      </c>
      <c r="E427" t="s">
        <v>46</v>
      </c>
      <c r="F427" t="s">
        <v>40</v>
      </c>
      <c r="G427" s="22">
        <v>80</v>
      </c>
      <c r="H427">
        <v>2</v>
      </c>
      <c r="I427" s="21">
        <v>65.316000000000003</v>
      </c>
      <c r="J427" s="21">
        <v>5.0990000000000002</v>
      </c>
      <c r="K427" s="21">
        <v>70.370999999999995</v>
      </c>
      <c r="L427" s="21">
        <f t="shared" si="25"/>
        <v>5.0549999999999926</v>
      </c>
      <c r="M427" s="21">
        <f t="shared" si="26"/>
        <v>4.4000000000007589E-2</v>
      </c>
      <c r="N427">
        <f t="shared" si="27"/>
        <v>0.86291429692111365</v>
      </c>
    </row>
    <row r="428" spans="1:14" x14ac:dyDescent="0.2">
      <c r="A428">
        <v>20327</v>
      </c>
      <c r="B428" s="23">
        <f t="shared" si="24"/>
        <v>44157</v>
      </c>
      <c r="C428" t="s">
        <v>45</v>
      </c>
      <c r="D428">
        <v>19</v>
      </c>
      <c r="E428" t="s">
        <v>46</v>
      </c>
      <c r="F428" t="s">
        <v>40</v>
      </c>
      <c r="G428" s="22">
        <v>80</v>
      </c>
      <c r="H428">
        <v>3</v>
      </c>
      <c r="I428" s="21">
        <v>65.747</v>
      </c>
      <c r="J428" s="21">
        <v>5.0590000000000002</v>
      </c>
      <c r="K428" s="21">
        <v>70.763000000000005</v>
      </c>
      <c r="L428" s="21">
        <f t="shared" si="25"/>
        <v>5.0160000000000053</v>
      </c>
      <c r="M428" s="21">
        <f t="shared" si="26"/>
        <v>4.299999999999482E-2</v>
      </c>
      <c r="N428">
        <f t="shared" si="27"/>
        <v>0.84997034987141373</v>
      </c>
    </row>
    <row r="429" spans="1:14" x14ac:dyDescent="0.2">
      <c r="A429">
        <v>20327</v>
      </c>
      <c r="B429" s="23">
        <f t="shared" si="24"/>
        <v>44157</v>
      </c>
      <c r="C429" t="s">
        <v>45</v>
      </c>
      <c r="D429">
        <v>19</v>
      </c>
      <c r="E429" t="s">
        <v>46</v>
      </c>
      <c r="F429" t="s">
        <v>40</v>
      </c>
      <c r="G429" s="22">
        <v>80</v>
      </c>
      <c r="H429">
        <v>4</v>
      </c>
      <c r="I429" s="21">
        <v>64.870999999999995</v>
      </c>
      <c r="J429" s="21">
        <v>5.0819999999999999</v>
      </c>
      <c r="K429" s="21">
        <v>69.91</v>
      </c>
      <c r="L429" s="21">
        <f t="shared" si="25"/>
        <v>5.0390000000000015</v>
      </c>
      <c r="M429" s="21">
        <f t="shared" si="26"/>
        <v>4.2999999999998373E-2</v>
      </c>
      <c r="N429">
        <f t="shared" si="27"/>
        <v>0.84612357339626865</v>
      </c>
    </row>
    <row r="430" spans="1:14" x14ac:dyDescent="0.2">
      <c r="A430">
        <v>20327</v>
      </c>
      <c r="B430" s="23">
        <f t="shared" si="24"/>
        <v>44157</v>
      </c>
      <c r="C430" t="s">
        <v>45</v>
      </c>
      <c r="D430">
        <v>19</v>
      </c>
      <c r="E430" t="s">
        <v>46</v>
      </c>
      <c r="F430" t="s">
        <v>40</v>
      </c>
      <c r="G430" s="22">
        <v>90</v>
      </c>
      <c r="H430">
        <v>1</v>
      </c>
      <c r="I430" s="21">
        <v>58.265999999999998</v>
      </c>
      <c r="J430" s="21">
        <v>5.085</v>
      </c>
      <c r="K430" s="21">
        <v>63.314</v>
      </c>
      <c r="L430" s="21">
        <f t="shared" si="25"/>
        <v>5.0480000000000018</v>
      </c>
      <c r="M430" s="21">
        <f t="shared" si="26"/>
        <v>3.6999999999998145E-2</v>
      </c>
      <c r="N430">
        <f t="shared" si="27"/>
        <v>0.7276302851523726</v>
      </c>
    </row>
    <row r="431" spans="1:14" x14ac:dyDescent="0.2">
      <c r="A431">
        <v>20327</v>
      </c>
      <c r="B431" s="23">
        <f t="shared" si="24"/>
        <v>44157</v>
      </c>
      <c r="C431" t="s">
        <v>45</v>
      </c>
      <c r="D431">
        <v>19</v>
      </c>
      <c r="E431" t="s">
        <v>46</v>
      </c>
      <c r="F431" t="s">
        <v>40</v>
      </c>
      <c r="G431" s="22">
        <v>90</v>
      </c>
      <c r="H431">
        <v>2</v>
      </c>
      <c r="I431" s="21">
        <v>62.197000000000003</v>
      </c>
      <c r="J431" s="21">
        <v>5.0090000000000003</v>
      </c>
      <c r="K431" s="21">
        <v>67.168999999999997</v>
      </c>
      <c r="L431" s="21">
        <f t="shared" si="25"/>
        <v>4.9719999999999942</v>
      </c>
      <c r="M431" s="21">
        <f t="shared" si="26"/>
        <v>3.7000000000006139E-2</v>
      </c>
      <c r="N431">
        <f t="shared" si="27"/>
        <v>0.73867039329219675</v>
      </c>
    </row>
    <row r="432" spans="1:14" x14ac:dyDescent="0.2">
      <c r="A432">
        <v>20327</v>
      </c>
      <c r="B432" s="23">
        <f t="shared" si="24"/>
        <v>44157</v>
      </c>
      <c r="C432" t="s">
        <v>45</v>
      </c>
      <c r="D432">
        <v>19</v>
      </c>
      <c r="E432" t="s">
        <v>46</v>
      </c>
      <c r="F432" t="s">
        <v>40</v>
      </c>
      <c r="G432" s="22">
        <v>90</v>
      </c>
      <c r="H432">
        <v>3</v>
      </c>
      <c r="I432" s="21">
        <v>68.064999999999998</v>
      </c>
      <c r="J432" s="21">
        <v>5.0819999999999999</v>
      </c>
      <c r="K432" s="21">
        <v>73.106999999999999</v>
      </c>
      <c r="L432" s="21">
        <f t="shared" si="25"/>
        <v>5.0420000000000016</v>
      </c>
      <c r="M432" s="21">
        <f t="shared" si="26"/>
        <v>3.9999999999998259E-2</v>
      </c>
      <c r="N432">
        <f t="shared" si="27"/>
        <v>0.78709169618257102</v>
      </c>
    </row>
    <row r="433" spans="1:14" x14ac:dyDescent="0.2">
      <c r="A433">
        <v>20327</v>
      </c>
      <c r="B433" s="23">
        <f t="shared" si="24"/>
        <v>44157</v>
      </c>
      <c r="C433" t="s">
        <v>45</v>
      </c>
      <c r="D433">
        <v>19</v>
      </c>
      <c r="E433" t="s">
        <v>46</v>
      </c>
      <c r="F433" t="s">
        <v>40</v>
      </c>
      <c r="G433" s="22">
        <v>90</v>
      </c>
      <c r="H433">
        <v>4</v>
      </c>
      <c r="I433" s="21">
        <v>64.870999999999995</v>
      </c>
      <c r="J433" s="21">
        <v>5.0570000000000004</v>
      </c>
      <c r="K433" s="21">
        <v>69.89</v>
      </c>
      <c r="L433" s="21">
        <f t="shared" si="25"/>
        <v>5.0190000000000055</v>
      </c>
      <c r="M433" s="21">
        <f t="shared" si="26"/>
        <v>3.7999999999994927E-2</v>
      </c>
      <c r="N433">
        <f t="shared" si="27"/>
        <v>0.75143365631787462</v>
      </c>
    </row>
    <row r="434" spans="1:14" x14ac:dyDescent="0.2">
      <c r="A434">
        <v>20327</v>
      </c>
      <c r="B434" s="23">
        <f t="shared" si="24"/>
        <v>44157</v>
      </c>
      <c r="C434" t="s">
        <v>45</v>
      </c>
      <c r="D434">
        <v>19</v>
      </c>
      <c r="E434" t="s">
        <v>46</v>
      </c>
      <c r="F434" t="s">
        <v>40</v>
      </c>
      <c r="G434" s="22">
        <v>100</v>
      </c>
      <c r="H434">
        <v>1</v>
      </c>
      <c r="I434" s="21">
        <v>63.08</v>
      </c>
      <c r="J434" s="21">
        <v>5.0279999999999996</v>
      </c>
      <c r="K434" s="21">
        <v>68.072999999999993</v>
      </c>
      <c r="L434" s="21">
        <f t="shared" si="25"/>
        <v>4.992999999999995</v>
      </c>
      <c r="M434" s="21">
        <f t="shared" si="26"/>
        <v>3.5000000000004583E-2</v>
      </c>
      <c r="N434">
        <f t="shared" si="27"/>
        <v>0.69610182975347223</v>
      </c>
    </row>
    <row r="435" spans="1:14" x14ac:dyDescent="0.2">
      <c r="A435">
        <v>20327</v>
      </c>
      <c r="B435" s="23">
        <f t="shared" si="24"/>
        <v>44157</v>
      </c>
      <c r="C435" t="s">
        <v>45</v>
      </c>
      <c r="D435">
        <v>19</v>
      </c>
      <c r="E435" t="s">
        <v>46</v>
      </c>
      <c r="F435" t="s">
        <v>40</v>
      </c>
      <c r="G435" s="22">
        <v>100</v>
      </c>
      <c r="H435">
        <v>2</v>
      </c>
      <c r="I435" s="21">
        <v>65.747</v>
      </c>
      <c r="J435" s="21">
        <v>5.0679999999999996</v>
      </c>
      <c r="K435" s="21">
        <v>70.778999999999996</v>
      </c>
      <c r="L435" s="21">
        <f t="shared" si="25"/>
        <v>5.0319999999999965</v>
      </c>
      <c r="M435" s="21">
        <f t="shared" si="26"/>
        <v>3.6000000000003141E-2</v>
      </c>
      <c r="N435">
        <f t="shared" si="27"/>
        <v>0.71033938437259558</v>
      </c>
    </row>
    <row r="436" spans="1:14" x14ac:dyDescent="0.2">
      <c r="A436">
        <v>20327</v>
      </c>
      <c r="B436" s="23">
        <f t="shared" si="24"/>
        <v>44157</v>
      </c>
      <c r="C436" t="s">
        <v>45</v>
      </c>
      <c r="D436">
        <v>19</v>
      </c>
      <c r="E436" t="s">
        <v>46</v>
      </c>
      <c r="F436" t="s">
        <v>40</v>
      </c>
      <c r="G436" s="22">
        <v>100</v>
      </c>
      <c r="H436">
        <v>3</v>
      </c>
      <c r="I436" s="21">
        <v>62.731999999999999</v>
      </c>
      <c r="J436" s="21">
        <v>5.0599999999999996</v>
      </c>
      <c r="K436" s="21">
        <v>67.756</v>
      </c>
      <c r="L436" s="21">
        <f t="shared" si="25"/>
        <v>5.0240000000000009</v>
      </c>
      <c r="M436" s="21">
        <f t="shared" si="26"/>
        <v>3.59999999999987E-2</v>
      </c>
      <c r="N436">
        <f t="shared" si="27"/>
        <v>0.71146245059285973</v>
      </c>
    </row>
    <row r="437" spans="1:14" x14ac:dyDescent="0.2">
      <c r="A437">
        <v>20327</v>
      </c>
      <c r="B437" s="23">
        <f t="shared" si="24"/>
        <v>44157</v>
      </c>
      <c r="C437" t="s">
        <v>45</v>
      </c>
      <c r="D437">
        <v>19</v>
      </c>
      <c r="E437" t="s">
        <v>46</v>
      </c>
      <c r="F437" t="s">
        <v>40</v>
      </c>
      <c r="G437" s="22">
        <v>100</v>
      </c>
      <c r="H437">
        <v>4</v>
      </c>
      <c r="I437" s="21">
        <v>59.808999999999997</v>
      </c>
      <c r="J437" s="21">
        <v>5.0430000000000001</v>
      </c>
      <c r="K437" s="21">
        <v>64.816999999999993</v>
      </c>
      <c r="L437" s="21">
        <f t="shared" si="25"/>
        <v>5.0079999999999956</v>
      </c>
      <c r="M437" s="21">
        <f t="shared" si="26"/>
        <v>3.5000000000004583E-2</v>
      </c>
      <c r="N437">
        <f t="shared" si="27"/>
        <v>0.69403133055729893</v>
      </c>
    </row>
    <row r="438" spans="1:14" x14ac:dyDescent="0.2">
      <c r="A438">
        <v>20327</v>
      </c>
      <c r="B438" s="23">
        <f t="shared" si="24"/>
        <v>44157</v>
      </c>
      <c r="C438" t="s">
        <v>45</v>
      </c>
      <c r="D438">
        <v>19</v>
      </c>
      <c r="E438" t="s">
        <v>46</v>
      </c>
      <c r="F438" t="s">
        <v>40</v>
      </c>
      <c r="G438" s="22">
        <v>110</v>
      </c>
      <c r="H438">
        <v>1</v>
      </c>
      <c r="I438" s="21">
        <v>65.316000000000003</v>
      </c>
      <c r="J438" s="21">
        <v>5.0860000000000003</v>
      </c>
      <c r="K438" s="21">
        <v>70.369</v>
      </c>
      <c r="L438" s="21">
        <f t="shared" si="25"/>
        <v>5.0529999999999973</v>
      </c>
      <c r="M438" s="21">
        <f t="shared" si="26"/>
        <v>3.3000000000003027E-2</v>
      </c>
      <c r="N438">
        <f t="shared" si="27"/>
        <v>0.64883995281169926</v>
      </c>
    </row>
    <row r="439" spans="1:14" x14ac:dyDescent="0.2">
      <c r="A439">
        <v>20327</v>
      </c>
      <c r="B439" s="23">
        <f t="shared" si="24"/>
        <v>44157</v>
      </c>
      <c r="C439" t="s">
        <v>45</v>
      </c>
      <c r="D439">
        <v>19</v>
      </c>
      <c r="E439" t="s">
        <v>46</v>
      </c>
      <c r="F439" t="s">
        <v>40</v>
      </c>
      <c r="G439" s="22">
        <v>110</v>
      </c>
      <c r="H439">
        <v>2</v>
      </c>
      <c r="I439" s="21">
        <v>63.802</v>
      </c>
      <c r="J439" s="21">
        <v>5.0720000000000001</v>
      </c>
      <c r="K439" s="21">
        <v>68.840999999999994</v>
      </c>
      <c r="L439" s="21">
        <f t="shared" si="25"/>
        <v>5.0389999999999944</v>
      </c>
      <c r="M439" s="21">
        <f t="shared" si="26"/>
        <v>3.3000000000005691E-2</v>
      </c>
      <c r="N439">
        <f t="shared" si="27"/>
        <v>0.65063091482661062</v>
      </c>
    </row>
    <row r="440" spans="1:14" x14ac:dyDescent="0.2">
      <c r="A440">
        <v>20327</v>
      </c>
      <c r="B440" s="23">
        <f t="shared" si="24"/>
        <v>44157</v>
      </c>
      <c r="C440" t="s">
        <v>45</v>
      </c>
      <c r="D440">
        <v>19</v>
      </c>
      <c r="E440" t="s">
        <v>46</v>
      </c>
      <c r="F440" t="s">
        <v>40</v>
      </c>
      <c r="G440" s="22">
        <v>110</v>
      </c>
      <c r="H440">
        <v>3</v>
      </c>
      <c r="I440" s="21">
        <v>64.480999999999995</v>
      </c>
      <c r="J440" s="21">
        <v>5.048</v>
      </c>
      <c r="K440" s="21">
        <v>69.5</v>
      </c>
      <c r="L440" s="21">
        <f t="shared" si="25"/>
        <v>5.0190000000000055</v>
      </c>
      <c r="M440" s="21">
        <f t="shared" si="26"/>
        <v>2.8999999999994586E-2</v>
      </c>
      <c r="N440">
        <f t="shared" si="27"/>
        <v>0.57448494453238086</v>
      </c>
    </row>
    <row r="441" spans="1:14" x14ac:dyDescent="0.2">
      <c r="A441">
        <v>20327</v>
      </c>
      <c r="B441" s="23">
        <f t="shared" si="24"/>
        <v>44157</v>
      </c>
      <c r="C441" t="s">
        <v>45</v>
      </c>
      <c r="D441">
        <v>19</v>
      </c>
      <c r="E441" t="s">
        <v>46</v>
      </c>
      <c r="F441" t="s">
        <v>40</v>
      </c>
      <c r="G441" s="22">
        <v>110</v>
      </c>
      <c r="H441">
        <v>4</v>
      </c>
      <c r="I441" s="21">
        <v>63.93</v>
      </c>
      <c r="J441" s="21">
        <v>5.0220000000000002</v>
      </c>
      <c r="K441" s="21">
        <v>68.921000000000006</v>
      </c>
      <c r="L441" s="21">
        <f t="shared" si="25"/>
        <v>4.9910000000000068</v>
      </c>
      <c r="M441" s="21">
        <f t="shared" si="26"/>
        <v>3.0999999999993477E-2</v>
      </c>
      <c r="N441">
        <f t="shared" si="27"/>
        <v>0.61728395061715402</v>
      </c>
    </row>
    <row r="442" spans="1:14" x14ac:dyDescent="0.2">
      <c r="A442">
        <v>20327</v>
      </c>
      <c r="B442" s="23">
        <f t="shared" si="24"/>
        <v>44157</v>
      </c>
      <c r="C442" t="s">
        <v>45</v>
      </c>
      <c r="D442">
        <v>19</v>
      </c>
      <c r="E442" t="s">
        <v>47</v>
      </c>
      <c r="F442" t="s">
        <v>40</v>
      </c>
      <c r="G442" s="22">
        <v>10</v>
      </c>
      <c r="H442">
        <v>1</v>
      </c>
      <c r="I442" s="21">
        <v>58.264000000000003</v>
      </c>
      <c r="J442" s="21">
        <v>5.0659999999999998</v>
      </c>
      <c r="K442" s="21">
        <v>63.195999999999998</v>
      </c>
      <c r="L442" s="21">
        <f t="shared" si="25"/>
        <v>4.9319999999999951</v>
      </c>
      <c r="M442" s="21">
        <f t="shared" si="26"/>
        <v>0.13400000000000478</v>
      </c>
      <c r="N442">
        <f t="shared" si="27"/>
        <v>2.6450848795895139</v>
      </c>
    </row>
    <row r="443" spans="1:14" x14ac:dyDescent="0.2">
      <c r="A443">
        <v>20327</v>
      </c>
      <c r="B443" s="23">
        <f t="shared" si="24"/>
        <v>44157</v>
      </c>
      <c r="C443" t="s">
        <v>45</v>
      </c>
      <c r="D443">
        <v>19</v>
      </c>
      <c r="E443" t="s">
        <v>47</v>
      </c>
      <c r="F443" t="s">
        <v>40</v>
      </c>
      <c r="G443" s="22">
        <v>10</v>
      </c>
      <c r="H443">
        <v>2</v>
      </c>
      <c r="I443" s="21">
        <v>68.063000000000002</v>
      </c>
      <c r="J443" s="21">
        <v>5.0039999999999996</v>
      </c>
      <c r="K443" s="21">
        <v>72.933000000000007</v>
      </c>
      <c r="L443" s="21">
        <f t="shared" si="25"/>
        <v>4.8700000000000045</v>
      </c>
      <c r="M443" s="21">
        <f t="shared" si="26"/>
        <v>0.13399999999999501</v>
      </c>
      <c r="N443">
        <f t="shared" si="27"/>
        <v>2.6778577138288373</v>
      </c>
    </row>
    <row r="444" spans="1:14" x14ac:dyDescent="0.2">
      <c r="A444">
        <v>20327</v>
      </c>
      <c r="B444" s="23">
        <f t="shared" si="24"/>
        <v>44157</v>
      </c>
      <c r="C444" t="s">
        <v>45</v>
      </c>
      <c r="D444">
        <v>19</v>
      </c>
      <c r="E444" t="s">
        <v>47</v>
      </c>
      <c r="F444" t="s">
        <v>40</v>
      </c>
      <c r="G444" s="22">
        <v>10</v>
      </c>
      <c r="H444">
        <v>3</v>
      </c>
      <c r="I444" s="21">
        <v>63.8</v>
      </c>
      <c r="J444" s="21">
        <v>5.0720000000000001</v>
      </c>
      <c r="K444" s="21">
        <v>68.734999999999999</v>
      </c>
      <c r="L444" s="21">
        <f t="shared" si="25"/>
        <v>4.9350000000000023</v>
      </c>
      <c r="M444" s="21">
        <f t="shared" si="26"/>
        <v>0.13699999999999779</v>
      </c>
      <c r="N444">
        <f t="shared" si="27"/>
        <v>2.7011041009463286</v>
      </c>
    </row>
    <row r="445" spans="1:14" x14ac:dyDescent="0.2">
      <c r="A445">
        <v>20327</v>
      </c>
      <c r="B445" s="23">
        <f t="shared" si="24"/>
        <v>44157</v>
      </c>
      <c r="C445" t="s">
        <v>45</v>
      </c>
      <c r="D445">
        <v>19</v>
      </c>
      <c r="E445" t="s">
        <v>47</v>
      </c>
      <c r="F445" t="s">
        <v>40</v>
      </c>
      <c r="G445" s="22">
        <v>10</v>
      </c>
      <c r="H445">
        <v>4</v>
      </c>
      <c r="I445" s="21">
        <v>65.747</v>
      </c>
      <c r="J445" s="21">
        <v>5.0129999999999999</v>
      </c>
      <c r="K445" s="21">
        <v>70.623000000000005</v>
      </c>
      <c r="L445" s="21">
        <f t="shared" si="25"/>
        <v>4.8760000000000048</v>
      </c>
      <c r="M445" s="21">
        <f t="shared" si="26"/>
        <v>0.13699999999999513</v>
      </c>
      <c r="N445">
        <f t="shared" si="27"/>
        <v>2.7328944743665495</v>
      </c>
    </row>
    <row r="446" spans="1:14" x14ac:dyDescent="0.2">
      <c r="A446">
        <v>20327</v>
      </c>
      <c r="B446" s="23">
        <f t="shared" si="24"/>
        <v>44157</v>
      </c>
      <c r="C446" t="s">
        <v>45</v>
      </c>
      <c r="D446">
        <v>19</v>
      </c>
      <c r="E446" t="s">
        <v>47</v>
      </c>
      <c r="F446" t="s">
        <v>40</v>
      </c>
      <c r="G446" s="22">
        <v>20</v>
      </c>
      <c r="H446">
        <v>1</v>
      </c>
      <c r="I446" s="21">
        <v>62.195</v>
      </c>
      <c r="J446" s="21">
        <v>5.032</v>
      </c>
      <c r="K446" s="21">
        <v>67.119</v>
      </c>
      <c r="L446" s="21">
        <f t="shared" si="25"/>
        <v>4.9239999999999995</v>
      </c>
      <c r="M446" s="21">
        <f t="shared" si="26"/>
        <v>0.10800000000000054</v>
      </c>
      <c r="N446">
        <f t="shared" si="27"/>
        <v>2.1462639109698043</v>
      </c>
    </row>
    <row r="447" spans="1:14" x14ac:dyDescent="0.2">
      <c r="A447">
        <v>20327</v>
      </c>
      <c r="B447" s="23">
        <f t="shared" si="24"/>
        <v>44157</v>
      </c>
      <c r="C447" t="s">
        <v>45</v>
      </c>
      <c r="D447">
        <v>19</v>
      </c>
      <c r="E447" t="s">
        <v>47</v>
      </c>
      <c r="F447" t="s">
        <v>40</v>
      </c>
      <c r="G447" s="22">
        <v>20</v>
      </c>
      <c r="H447">
        <v>2</v>
      </c>
      <c r="I447" s="21">
        <v>62.731000000000002</v>
      </c>
      <c r="J447" s="21">
        <v>5.0510000000000002</v>
      </c>
      <c r="K447" s="21">
        <v>67.671000000000006</v>
      </c>
      <c r="L447" s="21">
        <f t="shared" si="25"/>
        <v>4.9400000000000048</v>
      </c>
      <c r="M447" s="21">
        <f t="shared" si="26"/>
        <v>0.11099999999999532</v>
      </c>
      <c r="N447">
        <f t="shared" si="27"/>
        <v>2.1975846367055101</v>
      </c>
    </row>
    <row r="448" spans="1:14" x14ac:dyDescent="0.2">
      <c r="A448">
        <v>20327</v>
      </c>
      <c r="B448" s="23">
        <f t="shared" si="24"/>
        <v>44157</v>
      </c>
      <c r="C448" t="s">
        <v>45</v>
      </c>
      <c r="D448">
        <v>19</v>
      </c>
      <c r="E448" t="s">
        <v>47</v>
      </c>
      <c r="F448" t="s">
        <v>40</v>
      </c>
      <c r="G448" s="22">
        <v>20</v>
      </c>
      <c r="H448">
        <v>3</v>
      </c>
      <c r="I448" s="21">
        <v>65.316000000000003</v>
      </c>
      <c r="J448" s="21">
        <v>5.0919999999999996</v>
      </c>
      <c r="K448" s="21">
        <v>70.296000000000006</v>
      </c>
      <c r="L448" s="21">
        <f t="shared" si="25"/>
        <v>4.980000000000004</v>
      </c>
      <c r="M448" s="21">
        <f t="shared" si="26"/>
        <v>0.11199999999999566</v>
      </c>
      <c r="N448">
        <f t="shared" si="27"/>
        <v>2.199528672427252</v>
      </c>
    </row>
    <row r="449" spans="1:14" x14ac:dyDescent="0.2">
      <c r="A449">
        <v>20327</v>
      </c>
      <c r="B449" s="23">
        <f t="shared" si="24"/>
        <v>44157</v>
      </c>
      <c r="C449" t="s">
        <v>45</v>
      </c>
      <c r="D449">
        <v>19</v>
      </c>
      <c r="E449" t="s">
        <v>47</v>
      </c>
      <c r="F449" t="s">
        <v>40</v>
      </c>
      <c r="G449" s="22">
        <v>20</v>
      </c>
      <c r="H449">
        <v>4</v>
      </c>
      <c r="I449" s="21">
        <v>63.08</v>
      </c>
      <c r="J449" s="21">
        <v>5.0179999999999998</v>
      </c>
      <c r="K449" s="21">
        <v>67.992999999999995</v>
      </c>
      <c r="L449" s="21">
        <f t="shared" si="25"/>
        <v>4.9129999999999967</v>
      </c>
      <c r="M449" s="21">
        <f t="shared" si="26"/>
        <v>0.10500000000000309</v>
      </c>
      <c r="N449">
        <f t="shared" si="27"/>
        <v>2.0924671183739156</v>
      </c>
    </row>
    <row r="450" spans="1:14" x14ac:dyDescent="0.2">
      <c r="A450">
        <v>20327</v>
      </c>
      <c r="B450" s="23">
        <f t="shared" si="24"/>
        <v>44157</v>
      </c>
      <c r="C450" t="s">
        <v>45</v>
      </c>
      <c r="D450">
        <v>19</v>
      </c>
      <c r="E450" t="s">
        <v>47</v>
      </c>
      <c r="F450" t="s">
        <v>40</v>
      </c>
      <c r="G450" s="22">
        <v>30</v>
      </c>
      <c r="H450">
        <v>1</v>
      </c>
      <c r="I450" s="21">
        <v>64.481999999999999</v>
      </c>
      <c r="J450" s="21">
        <v>5.0309999999999997</v>
      </c>
      <c r="K450" s="21">
        <v>69.406999999999996</v>
      </c>
      <c r="L450" s="21">
        <f t="shared" si="25"/>
        <v>4.9249999999999972</v>
      </c>
      <c r="M450" s="21">
        <f t="shared" si="26"/>
        <v>0.10600000000000254</v>
      </c>
      <c r="N450">
        <f t="shared" si="27"/>
        <v>2.1069369906579714</v>
      </c>
    </row>
    <row r="451" spans="1:14" x14ac:dyDescent="0.2">
      <c r="A451">
        <v>20327</v>
      </c>
      <c r="B451" s="23">
        <f t="shared" ref="B451:B485" si="28">DATE(IF(0+(LEFT(A451))&lt;30,2000,1900)+LEFT(A451,2),1,RIGHT(A451,3))</f>
        <v>44157</v>
      </c>
      <c r="C451" t="s">
        <v>45</v>
      </c>
      <c r="D451">
        <v>19</v>
      </c>
      <c r="E451" t="s">
        <v>47</v>
      </c>
      <c r="F451" t="s">
        <v>40</v>
      </c>
      <c r="G451" s="22">
        <v>30</v>
      </c>
      <c r="H451">
        <v>2</v>
      </c>
      <c r="I451" s="21">
        <v>63.930999999999997</v>
      </c>
      <c r="J451" s="21">
        <v>5.0069999999999997</v>
      </c>
      <c r="K451" s="21">
        <v>68.83</v>
      </c>
      <c r="L451" s="21">
        <f t="shared" ref="L451:L485" si="29">K451-I451</f>
        <v>4.8990000000000009</v>
      </c>
      <c r="M451" s="21">
        <f t="shared" ref="M451:M485" si="30">J451-L451</f>
        <v>0.10799999999999876</v>
      </c>
      <c r="N451">
        <f t="shared" ref="N451:N485" si="31">M451/J451*100</f>
        <v>2.1569802276812218</v>
      </c>
    </row>
    <row r="452" spans="1:14" x14ac:dyDescent="0.2">
      <c r="A452">
        <v>20327</v>
      </c>
      <c r="B452" s="23">
        <f t="shared" si="28"/>
        <v>44157</v>
      </c>
      <c r="C452" t="s">
        <v>45</v>
      </c>
      <c r="D452">
        <v>19</v>
      </c>
      <c r="E452" t="s">
        <v>47</v>
      </c>
      <c r="F452" t="s">
        <v>40</v>
      </c>
      <c r="G452" s="22">
        <v>30</v>
      </c>
      <c r="H452">
        <v>3</v>
      </c>
      <c r="I452" s="21">
        <v>59.808999999999997</v>
      </c>
      <c r="J452" s="21">
        <v>5.0599999999999996</v>
      </c>
      <c r="K452" s="21">
        <v>64.762</v>
      </c>
      <c r="L452" s="21">
        <f t="shared" si="29"/>
        <v>4.953000000000003</v>
      </c>
      <c r="M452" s="21">
        <f t="shared" si="30"/>
        <v>0.10699999999999665</v>
      </c>
      <c r="N452">
        <f t="shared" si="31"/>
        <v>2.1146245059287878</v>
      </c>
    </row>
    <row r="453" spans="1:14" x14ac:dyDescent="0.2">
      <c r="A453">
        <v>20327</v>
      </c>
      <c r="B453" s="23">
        <f t="shared" si="28"/>
        <v>44157</v>
      </c>
      <c r="C453" t="s">
        <v>45</v>
      </c>
      <c r="D453">
        <v>19</v>
      </c>
      <c r="E453" t="s">
        <v>47</v>
      </c>
      <c r="F453" t="s">
        <v>40</v>
      </c>
      <c r="G453" s="22">
        <v>30</v>
      </c>
      <c r="H453">
        <v>4</v>
      </c>
      <c r="I453" s="21">
        <v>64.870999999999995</v>
      </c>
      <c r="J453" s="21">
        <v>5.04</v>
      </c>
      <c r="K453" s="21">
        <v>69.804000000000002</v>
      </c>
      <c r="L453" s="21">
        <f t="shared" si="29"/>
        <v>4.9330000000000069</v>
      </c>
      <c r="M453" s="21">
        <f t="shared" si="30"/>
        <v>0.1069999999999931</v>
      </c>
      <c r="N453">
        <f t="shared" si="31"/>
        <v>2.1230158730157362</v>
      </c>
    </row>
    <row r="454" spans="1:14" x14ac:dyDescent="0.2">
      <c r="A454">
        <v>20327</v>
      </c>
      <c r="B454" s="23">
        <f t="shared" si="28"/>
        <v>44157</v>
      </c>
      <c r="C454" t="s">
        <v>45</v>
      </c>
      <c r="D454">
        <v>19</v>
      </c>
      <c r="E454" t="s">
        <v>47</v>
      </c>
      <c r="F454" t="s">
        <v>40</v>
      </c>
      <c r="G454" s="22">
        <v>40</v>
      </c>
      <c r="H454">
        <v>1</v>
      </c>
      <c r="I454" s="21">
        <v>63.08</v>
      </c>
      <c r="J454" s="21">
        <v>5.0309999999999997</v>
      </c>
      <c r="K454" s="21">
        <v>68.05</v>
      </c>
      <c r="L454" s="21">
        <f t="shared" si="29"/>
        <v>4.9699999999999989</v>
      </c>
      <c r="M454" s="21">
        <f t="shared" si="30"/>
        <v>6.1000000000000831E-2</v>
      </c>
      <c r="N454">
        <f t="shared" si="31"/>
        <v>1.2124826078314617</v>
      </c>
    </row>
    <row r="455" spans="1:14" x14ac:dyDescent="0.2">
      <c r="A455">
        <v>20327</v>
      </c>
      <c r="B455" s="23">
        <f t="shared" si="28"/>
        <v>44157</v>
      </c>
      <c r="C455" t="s">
        <v>45</v>
      </c>
      <c r="D455">
        <v>19</v>
      </c>
      <c r="E455" t="s">
        <v>47</v>
      </c>
      <c r="F455" t="s">
        <v>40</v>
      </c>
      <c r="G455" s="22">
        <v>40</v>
      </c>
      <c r="H455">
        <v>2</v>
      </c>
      <c r="I455" s="21">
        <v>65.747</v>
      </c>
      <c r="J455" s="21">
        <v>5.0140000000000002</v>
      </c>
      <c r="K455" s="21">
        <v>70.7</v>
      </c>
      <c r="L455" s="21">
        <f t="shared" si="29"/>
        <v>4.953000000000003</v>
      </c>
      <c r="M455" s="21">
        <f t="shared" si="30"/>
        <v>6.0999999999997279E-2</v>
      </c>
      <c r="N455">
        <f t="shared" si="31"/>
        <v>1.2165935380932844</v>
      </c>
    </row>
    <row r="456" spans="1:14" x14ac:dyDescent="0.2">
      <c r="A456">
        <v>20327</v>
      </c>
      <c r="B456" s="23">
        <f t="shared" si="28"/>
        <v>44157</v>
      </c>
      <c r="C456" t="s">
        <v>45</v>
      </c>
      <c r="D456">
        <v>19</v>
      </c>
      <c r="E456" t="s">
        <v>47</v>
      </c>
      <c r="F456" t="s">
        <v>40</v>
      </c>
      <c r="G456" s="22">
        <v>40</v>
      </c>
      <c r="H456">
        <v>3</v>
      </c>
      <c r="I456" s="21">
        <v>59.808999999999997</v>
      </c>
      <c r="J456" s="21">
        <v>5.0209999999999999</v>
      </c>
      <c r="K456" s="21">
        <v>64.768000000000001</v>
      </c>
      <c r="L456" s="21">
        <f t="shared" si="29"/>
        <v>4.9590000000000032</v>
      </c>
      <c r="M456" s="21">
        <f t="shared" si="30"/>
        <v>6.1999999999996724E-2</v>
      </c>
      <c r="N456">
        <f t="shared" si="31"/>
        <v>1.2348137821150513</v>
      </c>
    </row>
    <row r="457" spans="1:14" x14ac:dyDescent="0.2">
      <c r="A457">
        <v>20327</v>
      </c>
      <c r="B457" s="23">
        <f t="shared" si="28"/>
        <v>44157</v>
      </c>
      <c r="C457" t="s">
        <v>45</v>
      </c>
      <c r="D457">
        <v>19</v>
      </c>
      <c r="E457" t="s">
        <v>47</v>
      </c>
      <c r="F457" t="s">
        <v>40</v>
      </c>
      <c r="G457" s="22">
        <v>40</v>
      </c>
      <c r="H457">
        <v>4</v>
      </c>
      <c r="I457" s="21">
        <v>58.265999999999998</v>
      </c>
      <c r="J457" s="21">
        <v>5.0090000000000003</v>
      </c>
      <c r="K457" s="21">
        <v>63.210999999999999</v>
      </c>
      <c r="L457" s="21">
        <f t="shared" si="29"/>
        <v>4.9450000000000003</v>
      </c>
      <c r="M457" s="21">
        <f t="shared" si="30"/>
        <v>6.4000000000000057E-2</v>
      </c>
      <c r="N457">
        <f t="shared" si="31"/>
        <v>1.2777001397484538</v>
      </c>
    </row>
    <row r="458" spans="1:14" x14ac:dyDescent="0.2">
      <c r="A458">
        <v>20327</v>
      </c>
      <c r="B458" s="23">
        <f t="shared" si="28"/>
        <v>44157</v>
      </c>
      <c r="C458" t="s">
        <v>45</v>
      </c>
      <c r="D458">
        <v>19</v>
      </c>
      <c r="E458" t="s">
        <v>47</v>
      </c>
      <c r="F458" t="s">
        <v>40</v>
      </c>
      <c r="G458" s="22">
        <v>50</v>
      </c>
      <c r="H458">
        <v>1</v>
      </c>
      <c r="I458" s="21">
        <v>63.802</v>
      </c>
      <c r="J458" s="21">
        <v>5.05</v>
      </c>
      <c r="K458" s="21">
        <v>68.807000000000002</v>
      </c>
      <c r="L458" s="21">
        <f t="shared" si="29"/>
        <v>5.0050000000000026</v>
      </c>
      <c r="M458" s="21">
        <f t="shared" si="30"/>
        <v>4.4999999999997264E-2</v>
      </c>
      <c r="N458">
        <f t="shared" si="31"/>
        <v>0.89108910891083692</v>
      </c>
    </row>
    <row r="459" spans="1:14" x14ac:dyDescent="0.2">
      <c r="A459">
        <v>20327</v>
      </c>
      <c r="B459" s="23">
        <f t="shared" si="28"/>
        <v>44157</v>
      </c>
      <c r="C459" t="s">
        <v>45</v>
      </c>
      <c r="D459">
        <v>19</v>
      </c>
      <c r="E459" t="s">
        <v>47</v>
      </c>
      <c r="F459" t="s">
        <v>40</v>
      </c>
      <c r="G459" s="22">
        <v>50</v>
      </c>
      <c r="H459">
        <v>2</v>
      </c>
      <c r="I459" s="21">
        <v>64.87</v>
      </c>
      <c r="J459" s="21">
        <v>5.048</v>
      </c>
      <c r="K459" s="21">
        <v>69.873999999999995</v>
      </c>
      <c r="L459" s="21">
        <f t="shared" si="29"/>
        <v>5.0039999999999907</v>
      </c>
      <c r="M459" s="21">
        <f t="shared" si="30"/>
        <v>4.4000000000009365E-2</v>
      </c>
      <c r="N459">
        <f t="shared" si="31"/>
        <v>0.87163232963568471</v>
      </c>
    </row>
    <row r="460" spans="1:14" x14ac:dyDescent="0.2">
      <c r="A460">
        <v>20327</v>
      </c>
      <c r="B460" s="23">
        <f t="shared" si="28"/>
        <v>44157</v>
      </c>
      <c r="C460" t="s">
        <v>45</v>
      </c>
      <c r="D460">
        <v>19</v>
      </c>
      <c r="E460" t="s">
        <v>47</v>
      </c>
      <c r="F460" t="s">
        <v>40</v>
      </c>
      <c r="G460" s="22">
        <v>50</v>
      </c>
      <c r="H460">
        <v>3</v>
      </c>
      <c r="I460" s="21">
        <v>68.063999999999993</v>
      </c>
      <c r="J460" s="21">
        <v>5.0750000000000002</v>
      </c>
      <c r="K460" s="21">
        <v>73.093000000000004</v>
      </c>
      <c r="L460" s="21">
        <f t="shared" si="29"/>
        <v>5.0290000000000106</v>
      </c>
      <c r="M460" s="21">
        <f t="shared" si="30"/>
        <v>4.5999999999989605E-2</v>
      </c>
      <c r="N460">
        <f t="shared" si="31"/>
        <v>0.90640394088649467</v>
      </c>
    </row>
    <row r="461" spans="1:14" x14ac:dyDescent="0.2">
      <c r="A461">
        <v>20327</v>
      </c>
      <c r="B461" s="23">
        <f t="shared" si="28"/>
        <v>44157</v>
      </c>
      <c r="C461" t="s">
        <v>45</v>
      </c>
      <c r="D461">
        <v>19</v>
      </c>
      <c r="E461" t="s">
        <v>47</v>
      </c>
      <c r="F461" t="s">
        <v>40</v>
      </c>
      <c r="G461" s="22">
        <v>50</v>
      </c>
      <c r="H461">
        <v>4</v>
      </c>
      <c r="I461" s="21">
        <v>62.197000000000003</v>
      </c>
      <c r="J461" s="21">
        <v>5.0529999999999999</v>
      </c>
      <c r="K461" s="21">
        <v>67.206000000000003</v>
      </c>
      <c r="L461" s="21">
        <f t="shared" si="29"/>
        <v>5.0090000000000003</v>
      </c>
      <c r="M461" s="21">
        <f t="shared" si="30"/>
        <v>4.3999999999999595E-2</v>
      </c>
      <c r="N461">
        <f t="shared" si="31"/>
        <v>0.87076983969918054</v>
      </c>
    </row>
    <row r="462" spans="1:14" x14ac:dyDescent="0.2">
      <c r="A462">
        <v>20327</v>
      </c>
      <c r="B462" s="23">
        <f t="shared" si="28"/>
        <v>44157</v>
      </c>
      <c r="C462" t="s">
        <v>45</v>
      </c>
      <c r="D462">
        <v>19</v>
      </c>
      <c r="E462" t="s">
        <v>47</v>
      </c>
      <c r="F462" t="s">
        <v>40</v>
      </c>
      <c r="G462" s="22">
        <v>60</v>
      </c>
      <c r="H462">
        <v>1</v>
      </c>
      <c r="I462" s="21">
        <v>62.731999999999999</v>
      </c>
      <c r="J462" s="21">
        <v>5.0579999999999998</v>
      </c>
      <c r="K462" s="21">
        <v>67.748999999999995</v>
      </c>
      <c r="L462" s="21">
        <f t="shared" si="29"/>
        <v>5.0169999999999959</v>
      </c>
      <c r="M462" s="21">
        <f t="shared" si="30"/>
        <v>4.1000000000003922E-2</v>
      </c>
      <c r="N462">
        <f t="shared" si="31"/>
        <v>0.81059707394234726</v>
      </c>
    </row>
    <row r="463" spans="1:14" x14ac:dyDescent="0.2">
      <c r="A463">
        <v>20327</v>
      </c>
      <c r="B463" s="23">
        <f t="shared" si="28"/>
        <v>44157</v>
      </c>
      <c r="C463" t="s">
        <v>45</v>
      </c>
      <c r="D463">
        <v>19</v>
      </c>
      <c r="E463" t="s">
        <v>47</v>
      </c>
      <c r="F463" t="s">
        <v>40</v>
      </c>
      <c r="G463" s="22">
        <v>60</v>
      </c>
      <c r="H463">
        <v>2</v>
      </c>
      <c r="I463" s="21">
        <v>65.316000000000003</v>
      </c>
      <c r="J463" s="21">
        <v>5.0090000000000003</v>
      </c>
      <c r="K463" s="21">
        <v>70.283000000000001</v>
      </c>
      <c r="L463" s="21">
        <f t="shared" si="29"/>
        <v>4.9669999999999987</v>
      </c>
      <c r="M463" s="21">
        <f t="shared" si="30"/>
        <v>4.2000000000001592E-2</v>
      </c>
      <c r="N463">
        <f t="shared" si="31"/>
        <v>0.83849071670995379</v>
      </c>
    </row>
    <row r="464" spans="1:14" x14ac:dyDescent="0.2">
      <c r="A464">
        <v>20327</v>
      </c>
      <c r="B464" s="23">
        <f t="shared" si="28"/>
        <v>44157</v>
      </c>
      <c r="C464" t="s">
        <v>45</v>
      </c>
      <c r="D464">
        <v>19</v>
      </c>
      <c r="E464" t="s">
        <v>47</v>
      </c>
      <c r="F464" t="s">
        <v>40</v>
      </c>
      <c r="G464" s="22">
        <v>60</v>
      </c>
      <c r="H464">
        <v>3</v>
      </c>
      <c r="I464" s="21">
        <v>63.930999999999997</v>
      </c>
      <c r="J464" s="21">
        <v>5.0810000000000004</v>
      </c>
      <c r="K464" s="21">
        <v>68.966999999999999</v>
      </c>
      <c r="L464" s="21">
        <f t="shared" si="29"/>
        <v>5.0360000000000014</v>
      </c>
      <c r="M464" s="21">
        <f t="shared" si="30"/>
        <v>4.4999999999999041E-2</v>
      </c>
      <c r="N464">
        <f t="shared" si="31"/>
        <v>0.885652430623874</v>
      </c>
    </row>
    <row r="465" spans="1:14" x14ac:dyDescent="0.2">
      <c r="A465">
        <v>20327</v>
      </c>
      <c r="B465" s="23">
        <f t="shared" si="28"/>
        <v>44157</v>
      </c>
      <c r="C465" t="s">
        <v>45</v>
      </c>
      <c r="D465">
        <v>19</v>
      </c>
      <c r="E465" t="s">
        <v>47</v>
      </c>
      <c r="F465" t="s">
        <v>40</v>
      </c>
      <c r="G465" s="22">
        <v>60</v>
      </c>
      <c r="H465">
        <v>4</v>
      </c>
      <c r="I465" s="21">
        <v>64.481999999999999</v>
      </c>
      <c r="J465" s="21">
        <v>5.0119999999999996</v>
      </c>
      <c r="K465" s="21">
        <v>69.450999999999993</v>
      </c>
      <c r="L465" s="21">
        <f t="shared" si="29"/>
        <v>4.9689999999999941</v>
      </c>
      <c r="M465" s="21">
        <f t="shared" si="30"/>
        <v>4.3000000000005478E-2</v>
      </c>
      <c r="N465">
        <f t="shared" si="31"/>
        <v>0.85794094173993385</v>
      </c>
    </row>
    <row r="466" spans="1:14" x14ac:dyDescent="0.2">
      <c r="A466">
        <v>20327</v>
      </c>
      <c r="B466" s="23">
        <f t="shared" si="28"/>
        <v>44157</v>
      </c>
      <c r="C466" t="s">
        <v>45</v>
      </c>
      <c r="D466">
        <v>19</v>
      </c>
      <c r="E466" t="s">
        <v>47</v>
      </c>
      <c r="F466" t="s">
        <v>40</v>
      </c>
      <c r="G466" s="22">
        <v>70</v>
      </c>
      <c r="H466">
        <v>1</v>
      </c>
      <c r="I466" s="21">
        <v>64.481999999999999</v>
      </c>
      <c r="J466" s="21">
        <v>5.0419999999999998</v>
      </c>
      <c r="K466" s="21">
        <v>69.492000000000004</v>
      </c>
      <c r="L466" s="21">
        <f t="shared" si="29"/>
        <v>5.0100000000000051</v>
      </c>
      <c r="M466" s="21">
        <f t="shared" si="30"/>
        <v>3.1999999999994699E-2</v>
      </c>
      <c r="N466">
        <f t="shared" si="31"/>
        <v>0.634668782229169</v>
      </c>
    </row>
    <row r="467" spans="1:14" x14ac:dyDescent="0.2">
      <c r="A467">
        <v>20327</v>
      </c>
      <c r="B467" s="23">
        <f t="shared" si="28"/>
        <v>44157</v>
      </c>
      <c r="C467" t="s">
        <v>45</v>
      </c>
      <c r="D467">
        <v>19</v>
      </c>
      <c r="E467" t="s">
        <v>47</v>
      </c>
      <c r="F467" t="s">
        <v>40</v>
      </c>
      <c r="G467" s="22">
        <v>70</v>
      </c>
      <c r="H467">
        <v>2</v>
      </c>
      <c r="I467" s="21">
        <v>63.93</v>
      </c>
      <c r="J467" s="21">
        <v>5.056</v>
      </c>
      <c r="K467" s="21">
        <v>68.953999999999994</v>
      </c>
      <c r="L467" s="21">
        <f t="shared" si="29"/>
        <v>5.0239999999999938</v>
      </c>
      <c r="M467" s="21">
        <f t="shared" si="30"/>
        <v>3.2000000000006246E-2</v>
      </c>
      <c r="N467">
        <f t="shared" si="31"/>
        <v>0.63291139240518679</v>
      </c>
    </row>
    <row r="468" spans="1:14" x14ac:dyDescent="0.2">
      <c r="A468">
        <v>20327</v>
      </c>
      <c r="B468" s="23">
        <f t="shared" si="28"/>
        <v>44157</v>
      </c>
      <c r="C468" t="s">
        <v>45</v>
      </c>
      <c r="D468">
        <v>19</v>
      </c>
      <c r="E468" t="s">
        <v>47</v>
      </c>
      <c r="F468" t="s">
        <v>40</v>
      </c>
      <c r="G468" s="22">
        <v>70</v>
      </c>
      <c r="H468">
        <v>3</v>
      </c>
      <c r="I468" s="21">
        <v>63.08</v>
      </c>
      <c r="J468" s="21">
        <v>5.0860000000000003</v>
      </c>
      <c r="K468" s="21">
        <v>68.134</v>
      </c>
      <c r="L468" s="21">
        <f t="shared" si="29"/>
        <v>5.054000000000002</v>
      </c>
      <c r="M468" s="21">
        <f t="shared" si="30"/>
        <v>3.1999999999998252E-2</v>
      </c>
      <c r="N468">
        <f t="shared" si="31"/>
        <v>0.6291781360597376</v>
      </c>
    </row>
    <row r="469" spans="1:14" x14ac:dyDescent="0.2">
      <c r="A469">
        <v>20327</v>
      </c>
      <c r="B469" s="23">
        <f t="shared" si="28"/>
        <v>44157</v>
      </c>
      <c r="C469" t="s">
        <v>45</v>
      </c>
      <c r="D469">
        <v>19</v>
      </c>
      <c r="E469" t="s">
        <v>47</v>
      </c>
      <c r="F469" t="s">
        <v>40</v>
      </c>
      <c r="G469" s="22">
        <v>70</v>
      </c>
      <c r="H469">
        <v>4</v>
      </c>
      <c r="I469" s="21">
        <v>59.81</v>
      </c>
      <c r="J469" s="21">
        <v>5.0720000000000001</v>
      </c>
      <c r="K469" s="21">
        <v>64.846999999999994</v>
      </c>
      <c r="L469" s="21">
        <f t="shared" si="29"/>
        <v>5.0369999999999919</v>
      </c>
      <c r="M469" s="21">
        <f t="shared" si="30"/>
        <v>3.5000000000008136E-2</v>
      </c>
      <c r="N469">
        <f t="shared" si="31"/>
        <v>0.69006309148281031</v>
      </c>
    </row>
    <row r="470" spans="1:14" x14ac:dyDescent="0.2">
      <c r="A470">
        <v>20327</v>
      </c>
      <c r="B470" s="23">
        <f t="shared" si="28"/>
        <v>44157</v>
      </c>
      <c r="C470" t="s">
        <v>45</v>
      </c>
      <c r="D470">
        <v>19</v>
      </c>
      <c r="E470" t="s">
        <v>47</v>
      </c>
      <c r="F470" t="s">
        <v>40</v>
      </c>
      <c r="G470" s="22">
        <v>80</v>
      </c>
      <c r="H470">
        <v>1</v>
      </c>
      <c r="I470" s="21">
        <v>58.265999999999998</v>
      </c>
      <c r="J470" s="21">
        <v>5.0860000000000003</v>
      </c>
      <c r="K470" s="21">
        <v>63.322000000000003</v>
      </c>
      <c r="L470" s="21">
        <f t="shared" si="29"/>
        <v>5.0560000000000045</v>
      </c>
      <c r="M470" s="21">
        <f t="shared" si="30"/>
        <v>2.9999999999995808E-2</v>
      </c>
      <c r="N470">
        <f t="shared" si="31"/>
        <v>0.58985450255595373</v>
      </c>
    </row>
    <row r="471" spans="1:14" x14ac:dyDescent="0.2">
      <c r="A471">
        <v>20327</v>
      </c>
      <c r="B471" s="23">
        <f t="shared" si="28"/>
        <v>44157</v>
      </c>
      <c r="C471" t="s">
        <v>45</v>
      </c>
      <c r="D471">
        <v>19</v>
      </c>
      <c r="E471" t="s">
        <v>47</v>
      </c>
      <c r="F471" t="s">
        <v>40</v>
      </c>
      <c r="G471" s="22">
        <v>80</v>
      </c>
      <c r="H471">
        <v>2</v>
      </c>
      <c r="I471" s="21">
        <v>68.064999999999998</v>
      </c>
      <c r="J471" s="21">
        <v>5.0430000000000001</v>
      </c>
      <c r="K471" s="21">
        <v>73.076999999999998</v>
      </c>
      <c r="L471" s="21">
        <f t="shared" si="29"/>
        <v>5.0120000000000005</v>
      </c>
      <c r="M471" s="21">
        <f t="shared" si="30"/>
        <v>3.0999999999999694E-2</v>
      </c>
      <c r="N471">
        <f t="shared" si="31"/>
        <v>0.6147134642078067</v>
      </c>
    </row>
    <row r="472" spans="1:14" x14ac:dyDescent="0.2">
      <c r="A472">
        <v>20327</v>
      </c>
      <c r="B472" s="23">
        <f t="shared" si="28"/>
        <v>44157</v>
      </c>
      <c r="C472" t="s">
        <v>45</v>
      </c>
      <c r="D472">
        <v>19</v>
      </c>
      <c r="E472" t="s">
        <v>47</v>
      </c>
      <c r="F472" t="s">
        <v>40</v>
      </c>
      <c r="G472" s="22">
        <v>80</v>
      </c>
      <c r="H472">
        <v>3</v>
      </c>
      <c r="I472" s="21">
        <v>62.197000000000003</v>
      </c>
      <c r="J472" s="21">
        <v>5.0919999999999996</v>
      </c>
      <c r="K472" s="21">
        <v>67.257000000000005</v>
      </c>
      <c r="L472" s="21">
        <f t="shared" si="29"/>
        <v>5.0600000000000023</v>
      </c>
      <c r="M472" s="21">
        <f t="shared" si="30"/>
        <v>3.1999999999997364E-2</v>
      </c>
      <c r="N472">
        <f t="shared" si="31"/>
        <v>0.62843676355061595</v>
      </c>
    </row>
    <row r="473" spans="1:14" x14ac:dyDescent="0.2">
      <c r="A473">
        <v>20327</v>
      </c>
      <c r="B473" s="23">
        <f t="shared" si="28"/>
        <v>44157</v>
      </c>
      <c r="C473" t="s">
        <v>45</v>
      </c>
      <c r="D473">
        <v>19</v>
      </c>
      <c r="E473" t="s">
        <v>47</v>
      </c>
      <c r="F473" t="s">
        <v>40</v>
      </c>
      <c r="G473" s="22">
        <v>80</v>
      </c>
      <c r="H473">
        <v>4</v>
      </c>
      <c r="I473" s="21">
        <v>65.747</v>
      </c>
      <c r="J473" s="21">
        <v>5.0250000000000004</v>
      </c>
      <c r="K473" s="21">
        <v>70.741</v>
      </c>
      <c r="L473" s="21">
        <f t="shared" si="29"/>
        <v>4.9939999999999998</v>
      </c>
      <c r="M473" s="21">
        <f t="shared" si="30"/>
        <v>3.1000000000000583E-2</v>
      </c>
      <c r="N473">
        <f t="shared" si="31"/>
        <v>0.61691542288558365</v>
      </c>
    </row>
    <row r="474" spans="1:14" x14ac:dyDescent="0.2">
      <c r="A474">
        <v>20327</v>
      </c>
      <c r="B474" s="23">
        <f t="shared" si="28"/>
        <v>44157</v>
      </c>
      <c r="C474" t="s">
        <v>45</v>
      </c>
      <c r="D474">
        <v>19</v>
      </c>
      <c r="E474" t="s">
        <v>47</v>
      </c>
      <c r="F474" t="s">
        <v>40</v>
      </c>
      <c r="G474" s="22">
        <v>90</v>
      </c>
      <c r="H474">
        <v>1</v>
      </c>
      <c r="I474" s="21">
        <v>65.316000000000003</v>
      </c>
      <c r="J474" s="21">
        <v>5.0739999999999998</v>
      </c>
      <c r="K474" s="21">
        <v>70.352000000000004</v>
      </c>
      <c r="L474" s="21">
        <f t="shared" si="29"/>
        <v>5.0360000000000014</v>
      </c>
      <c r="M474" s="21">
        <f t="shared" si="30"/>
        <v>3.7999999999998479E-2</v>
      </c>
      <c r="N474">
        <f t="shared" si="31"/>
        <v>0.7489160425699346</v>
      </c>
    </row>
    <row r="475" spans="1:14" x14ac:dyDescent="0.2">
      <c r="A475">
        <v>20327</v>
      </c>
      <c r="B475" s="23">
        <f t="shared" si="28"/>
        <v>44157</v>
      </c>
      <c r="C475" t="s">
        <v>45</v>
      </c>
      <c r="D475">
        <v>19</v>
      </c>
      <c r="E475" t="s">
        <v>47</v>
      </c>
      <c r="F475" t="s">
        <v>40</v>
      </c>
      <c r="G475" s="22">
        <v>90</v>
      </c>
      <c r="H475">
        <v>2</v>
      </c>
      <c r="I475" s="21">
        <v>64.870999999999995</v>
      </c>
      <c r="J475" s="21">
        <v>5.0439999999999996</v>
      </c>
      <c r="K475" s="21">
        <v>69.875</v>
      </c>
      <c r="L475" s="21">
        <f t="shared" si="29"/>
        <v>5.0040000000000049</v>
      </c>
      <c r="M475" s="21">
        <f t="shared" si="30"/>
        <v>3.9999999999994706E-2</v>
      </c>
      <c r="N475">
        <f t="shared" si="31"/>
        <v>0.79302141157800776</v>
      </c>
    </row>
    <row r="476" spans="1:14" x14ac:dyDescent="0.2">
      <c r="A476">
        <v>20327</v>
      </c>
      <c r="B476" s="23">
        <f t="shared" si="28"/>
        <v>44157</v>
      </c>
      <c r="C476" t="s">
        <v>45</v>
      </c>
      <c r="D476">
        <v>19</v>
      </c>
      <c r="E476" t="s">
        <v>47</v>
      </c>
      <c r="F476" t="s">
        <v>40</v>
      </c>
      <c r="G476" s="22">
        <v>90</v>
      </c>
      <c r="H476">
        <v>3</v>
      </c>
      <c r="I476" s="21">
        <v>63.801000000000002</v>
      </c>
      <c r="J476" s="21">
        <v>5.077</v>
      </c>
      <c r="K476" s="21">
        <v>68.840999999999994</v>
      </c>
      <c r="L476" s="21">
        <f t="shared" si="29"/>
        <v>5.039999999999992</v>
      </c>
      <c r="M476" s="21">
        <f t="shared" si="30"/>
        <v>3.7000000000007915E-2</v>
      </c>
      <c r="N476">
        <f t="shared" si="31"/>
        <v>0.72877683671475113</v>
      </c>
    </row>
    <row r="477" spans="1:14" x14ac:dyDescent="0.2">
      <c r="A477">
        <v>20327</v>
      </c>
      <c r="B477" s="23">
        <f t="shared" si="28"/>
        <v>44157</v>
      </c>
      <c r="C477" t="s">
        <v>45</v>
      </c>
      <c r="D477">
        <v>19</v>
      </c>
      <c r="E477" t="s">
        <v>47</v>
      </c>
      <c r="F477" t="s">
        <v>40</v>
      </c>
      <c r="G477" s="22">
        <v>90</v>
      </c>
      <c r="H477">
        <v>4</v>
      </c>
      <c r="I477" s="21">
        <v>62.731999999999999</v>
      </c>
      <c r="J477" s="21">
        <v>5.048</v>
      </c>
      <c r="K477" s="21">
        <v>67.739999999999995</v>
      </c>
      <c r="L477" s="21">
        <f t="shared" si="29"/>
        <v>5.0079999999999956</v>
      </c>
      <c r="M477" s="21">
        <f t="shared" si="30"/>
        <v>4.0000000000004476E-2</v>
      </c>
      <c r="N477">
        <f t="shared" si="31"/>
        <v>0.79239302694145164</v>
      </c>
    </row>
    <row r="478" spans="1:14" x14ac:dyDescent="0.2">
      <c r="A478">
        <v>20327</v>
      </c>
      <c r="B478" s="23">
        <f t="shared" si="28"/>
        <v>44157</v>
      </c>
      <c r="C478" t="s">
        <v>45</v>
      </c>
      <c r="D478">
        <v>19</v>
      </c>
      <c r="E478" t="s">
        <v>47</v>
      </c>
      <c r="F478" t="s">
        <v>40</v>
      </c>
      <c r="G478" s="22">
        <v>100</v>
      </c>
      <c r="H478">
        <v>1</v>
      </c>
      <c r="I478" s="21">
        <v>58.265000000000001</v>
      </c>
      <c r="J478" s="21">
        <v>5.0259999999999998</v>
      </c>
      <c r="K478" s="21">
        <v>63.256999999999998</v>
      </c>
      <c r="L478" s="21">
        <f t="shared" si="29"/>
        <v>4.9919999999999973</v>
      </c>
      <c r="M478" s="21">
        <f t="shared" si="30"/>
        <v>3.4000000000002473E-2</v>
      </c>
      <c r="N478">
        <f t="shared" si="31"/>
        <v>0.67648229208122712</v>
      </c>
    </row>
    <row r="479" spans="1:14" x14ac:dyDescent="0.2">
      <c r="A479">
        <v>20327</v>
      </c>
      <c r="B479" s="23">
        <f t="shared" si="28"/>
        <v>44157</v>
      </c>
      <c r="C479" t="s">
        <v>45</v>
      </c>
      <c r="D479">
        <v>19</v>
      </c>
      <c r="E479" t="s">
        <v>47</v>
      </c>
      <c r="F479" t="s">
        <v>40</v>
      </c>
      <c r="G479" s="22">
        <v>100</v>
      </c>
      <c r="H479">
        <v>2</v>
      </c>
      <c r="I479" s="21">
        <v>59.808999999999997</v>
      </c>
      <c r="J479" s="21">
        <v>5.0380000000000003</v>
      </c>
      <c r="K479" s="21">
        <v>64.811999999999998</v>
      </c>
      <c r="L479" s="21">
        <f t="shared" si="29"/>
        <v>5.0030000000000001</v>
      </c>
      <c r="M479" s="21">
        <f t="shared" si="30"/>
        <v>3.5000000000000142E-2</v>
      </c>
      <c r="N479">
        <f t="shared" si="31"/>
        <v>0.69472012703454034</v>
      </c>
    </row>
    <row r="480" spans="1:14" x14ac:dyDescent="0.2">
      <c r="A480">
        <v>20327</v>
      </c>
      <c r="B480" s="23">
        <f t="shared" si="28"/>
        <v>44157</v>
      </c>
      <c r="C480" t="s">
        <v>45</v>
      </c>
      <c r="D480">
        <v>19</v>
      </c>
      <c r="E480" t="s">
        <v>47</v>
      </c>
      <c r="F480" t="s">
        <v>40</v>
      </c>
      <c r="G480" s="22">
        <v>100</v>
      </c>
      <c r="H480">
        <v>3</v>
      </c>
      <c r="I480" s="21">
        <v>65.314999999999998</v>
      </c>
      <c r="J480" s="21">
        <v>5.0650000000000004</v>
      </c>
      <c r="K480" s="21">
        <v>70.343000000000004</v>
      </c>
      <c r="L480" s="21">
        <f t="shared" si="29"/>
        <v>5.0280000000000058</v>
      </c>
      <c r="M480" s="21">
        <f t="shared" si="30"/>
        <v>3.6999999999994593E-2</v>
      </c>
      <c r="N480">
        <f t="shared" si="31"/>
        <v>0.73050345508380243</v>
      </c>
    </row>
    <row r="481" spans="1:14" x14ac:dyDescent="0.2">
      <c r="A481">
        <v>20327</v>
      </c>
      <c r="B481" s="23">
        <f t="shared" si="28"/>
        <v>44157</v>
      </c>
      <c r="C481" t="s">
        <v>45</v>
      </c>
      <c r="D481">
        <v>19</v>
      </c>
      <c r="E481" t="s">
        <v>47</v>
      </c>
      <c r="F481" t="s">
        <v>40</v>
      </c>
      <c r="G481" s="22">
        <v>100</v>
      </c>
      <c r="H481">
        <v>4</v>
      </c>
      <c r="I481" s="21">
        <v>63.93</v>
      </c>
      <c r="J481" s="21">
        <v>5.008</v>
      </c>
      <c r="K481" s="21">
        <v>68.897999999999996</v>
      </c>
      <c r="L481" s="21">
        <f t="shared" si="29"/>
        <v>4.9679999999999964</v>
      </c>
      <c r="M481" s="21">
        <f t="shared" si="30"/>
        <v>4.0000000000003588E-2</v>
      </c>
      <c r="N481">
        <f t="shared" si="31"/>
        <v>0.79872204472850616</v>
      </c>
    </row>
    <row r="482" spans="1:14" x14ac:dyDescent="0.2">
      <c r="A482">
        <v>20327</v>
      </c>
      <c r="B482" s="23">
        <f t="shared" si="28"/>
        <v>44157</v>
      </c>
      <c r="C482" t="s">
        <v>45</v>
      </c>
      <c r="D482">
        <v>19</v>
      </c>
      <c r="E482" t="s">
        <v>47</v>
      </c>
      <c r="F482" t="s">
        <v>40</v>
      </c>
      <c r="G482" s="22">
        <v>110</v>
      </c>
      <c r="H482">
        <v>1</v>
      </c>
      <c r="I482" s="21">
        <v>68.063999999999993</v>
      </c>
      <c r="J482" s="21">
        <v>5.0380000000000003</v>
      </c>
      <c r="K482" s="21">
        <v>73.064999999999998</v>
      </c>
      <c r="L482" s="21">
        <f t="shared" si="29"/>
        <v>5.0010000000000048</v>
      </c>
      <c r="M482" s="21">
        <f t="shared" si="30"/>
        <v>3.6999999999995481E-2</v>
      </c>
      <c r="N482">
        <f t="shared" si="31"/>
        <v>0.73441842000784985</v>
      </c>
    </row>
    <row r="483" spans="1:14" x14ac:dyDescent="0.2">
      <c r="A483">
        <v>20327</v>
      </c>
      <c r="B483" s="23">
        <f t="shared" si="28"/>
        <v>44157</v>
      </c>
      <c r="C483" t="s">
        <v>45</v>
      </c>
      <c r="D483">
        <v>19</v>
      </c>
      <c r="E483" t="s">
        <v>47</v>
      </c>
      <c r="F483" t="s">
        <v>40</v>
      </c>
      <c r="G483" s="22">
        <v>110</v>
      </c>
      <c r="H483">
        <v>2</v>
      </c>
      <c r="I483" s="21">
        <v>62.195999999999998</v>
      </c>
      <c r="J483" s="21">
        <v>5.0919999999999996</v>
      </c>
      <c r="K483" s="21">
        <v>67.251999999999995</v>
      </c>
      <c r="L483" s="21">
        <f t="shared" si="29"/>
        <v>5.0559999999999974</v>
      </c>
      <c r="M483" s="21">
        <f t="shared" si="30"/>
        <v>3.6000000000002252E-2</v>
      </c>
      <c r="N483">
        <f t="shared" si="31"/>
        <v>0.70699135899454546</v>
      </c>
    </row>
    <row r="484" spans="1:14" x14ac:dyDescent="0.2">
      <c r="A484">
        <v>20327</v>
      </c>
      <c r="B484" s="23">
        <f t="shared" si="28"/>
        <v>44157</v>
      </c>
      <c r="C484" t="s">
        <v>45</v>
      </c>
      <c r="D484">
        <v>19</v>
      </c>
      <c r="E484" t="s">
        <v>47</v>
      </c>
      <c r="F484" t="s">
        <v>40</v>
      </c>
      <c r="G484" s="22">
        <v>110</v>
      </c>
      <c r="H484">
        <v>3</v>
      </c>
      <c r="I484" s="21">
        <v>63.079000000000001</v>
      </c>
      <c r="J484" s="21">
        <v>5.0430000000000001</v>
      </c>
      <c r="K484" s="21">
        <v>68.087000000000003</v>
      </c>
      <c r="L484" s="21">
        <f t="shared" si="29"/>
        <v>5.0080000000000027</v>
      </c>
      <c r="M484" s="21">
        <f t="shared" si="30"/>
        <v>3.4999999999997478E-2</v>
      </c>
      <c r="N484">
        <f t="shared" si="31"/>
        <v>0.69403133055715793</v>
      </c>
    </row>
    <row r="485" spans="1:14" x14ac:dyDescent="0.2">
      <c r="A485">
        <v>20327</v>
      </c>
      <c r="B485" s="23">
        <f t="shared" si="28"/>
        <v>44157</v>
      </c>
      <c r="C485" t="s">
        <v>45</v>
      </c>
      <c r="D485">
        <v>19</v>
      </c>
      <c r="E485" t="s">
        <v>47</v>
      </c>
      <c r="F485" t="s">
        <v>40</v>
      </c>
      <c r="G485" s="22">
        <v>110</v>
      </c>
      <c r="H485">
        <v>4</v>
      </c>
      <c r="I485" s="21">
        <v>64.87</v>
      </c>
      <c r="J485" s="21">
        <v>5.048</v>
      </c>
      <c r="K485" s="21">
        <v>69.882000000000005</v>
      </c>
      <c r="L485" s="21">
        <f t="shared" si="29"/>
        <v>5.0120000000000005</v>
      </c>
      <c r="M485" s="21">
        <f t="shared" si="30"/>
        <v>3.5999999999999588E-2</v>
      </c>
      <c r="N485">
        <f t="shared" si="31"/>
        <v>0.71315372424721846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ESF_2026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Sheffer</dc:creator>
  <cp:lastModifiedBy>Elizabeth Forbes</cp:lastModifiedBy>
  <dcterms:created xsi:type="dcterms:W3CDTF">2015-06-05T18:17:20Z</dcterms:created>
  <dcterms:modified xsi:type="dcterms:W3CDTF">2026-06-26T16:58:12Z</dcterms:modified>
</cp:coreProperties>
</file>