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13_ncr:1_{70790893-1075-9443-B9C2-BC5578C5BC4D}" xr6:coauthVersionLast="47" xr6:coauthVersionMax="47" xr10:uidLastSave="{00000000-0000-0000-0000-000000000000}"/>
  <bookViews>
    <workbookView xWindow="-38400" yWindow="-260" windowWidth="38400" windowHeight="21100" activeTab="9" xr2:uid="{00000000-000D-0000-FFFF-FFFF00000000}"/>
  </bookViews>
  <sheets>
    <sheet name="2020-2015 Nitrogen Data" sheetId="10" r:id="rId1"/>
    <sheet name="2015 Nitrogen Values" sheetId="7" r:id="rId2"/>
    <sheet name="2016 Nitrogen Values" sheetId="6" r:id="rId3"/>
    <sheet name="2017 Nitrogen Values" sheetId="4" r:id="rId4"/>
    <sheet name="2018 Nitrogen Values" sheetId="2" r:id="rId5"/>
    <sheet name="2019 Nitrogen Values" sheetId="3" r:id="rId6"/>
    <sheet name="2020 Nitrogen Values" sheetId="1" r:id="rId7"/>
    <sheet name="3Jun2026_wrangling" sheetId="13" r:id="rId8"/>
    <sheet name="Sites" sheetId="9" r:id="rId9"/>
    <sheet name="ESF_2020dat" sheetId="11" r:id="rId10"/>
    <sheet name="ESF_2020_xy" sheetId="12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1" l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2" i="11"/>
  <c r="O846" i="10"/>
  <c r="P846" i="10"/>
  <c r="Q846" i="10"/>
  <c r="O847" i="10"/>
  <c r="P847" i="10"/>
  <c r="Q847" i="10"/>
  <c r="O848" i="10"/>
  <c r="P848" i="10"/>
  <c r="Q848" i="10"/>
  <c r="O849" i="10"/>
  <c r="P849" i="10"/>
  <c r="Q849" i="10"/>
  <c r="O850" i="10"/>
  <c r="P850" i="10"/>
  <c r="Q850" i="10"/>
  <c r="O851" i="10"/>
  <c r="P851" i="10"/>
  <c r="Q851" i="10"/>
  <c r="O852" i="10"/>
  <c r="P852" i="10"/>
  <c r="Q852" i="10"/>
  <c r="O853" i="10"/>
  <c r="P853" i="10"/>
  <c r="Q853" i="10"/>
  <c r="O854" i="10"/>
  <c r="P854" i="10"/>
  <c r="Q854" i="10"/>
  <c r="O855" i="10"/>
  <c r="P855" i="10"/>
  <c r="Q855" i="10"/>
  <c r="O856" i="10"/>
  <c r="P856" i="10"/>
  <c r="Q856" i="10"/>
  <c r="O857" i="10"/>
  <c r="P857" i="10"/>
  <c r="Q857" i="10"/>
  <c r="O858" i="10"/>
  <c r="P858" i="10"/>
  <c r="Q858" i="10"/>
  <c r="O859" i="10"/>
  <c r="P859" i="10"/>
  <c r="Q859" i="10"/>
  <c r="O860" i="10"/>
  <c r="P860" i="10"/>
  <c r="Q860" i="10"/>
  <c r="O861" i="10"/>
  <c r="P861" i="10"/>
  <c r="Q861" i="10"/>
  <c r="O862" i="10"/>
  <c r="P862" i="10"/>
  <c r="Q862" i="10"/>
  <c r="O863" i="10"/>
  <c r="P863" i="10"/>
  <c r="Q863" i="10"/>
  <c r="O864" i="10"/>
  <c r="P864" i="10"/>
  <c r="Q864" i="10"/>
  <c r="O865" i="10"/>
  <c r="P865" i="10"/>
  <c r="Q865" i="10"/>
  <c r="O866" i="10"/>
  <c r="P866" i="10"/>
  <c r="Q866" i="10"/>
  <c r="O867" i="10"/>
  <c r="P867" i="10"/>
  <c r="Q867" i="10"/>
  <c r="O868" i="10"/>
  <c r="P868" i="10"/>
  <c r="Q868" i="10"/>
  <c r="O869" i="10"/>
  <c r="P869" i="10"/>
  <c r="Q869" i="10"/>
  <c r="O870" i="10"/>
  <c r="P870" i="10"/>
  <c r="Q870" i="10"/>
  <c r="O871" i="10"/>
  <c r="P871" i="10"/>
  <c r="Q871" i="10"/>
  <c r="O872" i="10"/>
  <c r="P872" i="10"/>
  <c r="Q872" i="10"/>
  <c r="O873" i="10"/>
  <c r="P873" i="10"/>
  <c r="Q873" i="10"/>
  <c r="O874" i="10"/>
  <c r="P874" i="10"/>
  <c r="Q874" i="10"/>
  <c r="O875" i="10"/>
  <c r="P875" i="10"/>
  <c r="Q875" i="10"/>
  <c r="O876" i="10"/>
  <c r="P876" i="10"/>
  <c r="Q876" i="10"/>
  <c r="O877" i="10"/>
  <c r="P877" i="10"/>
  <c r="Q877" i="10"/>
  <c r="O878" i="10"/>
  <c r="P878" i="10"/>
  <c r="Q878" i="10"/>
  <c r="O879" i="10"/>
  <c r="P879" i="10"/>
  <c r="Q879" i="10"/>
  <c r="O880" i="10"/>
  <c r="P880" i="10"/>
  <c r="Q880" i="10"/>
  <c r="O881" i="10"/>
  <c r="P881" i="10"/>
  <c r="Q881" i="10"/>
  <c r="O882" i="10"/>
  <c r="P882" i="10"/>
  <c r="Q882" i="10"/>
  <c r="O883" i="10"/>
  <c r="P883" i="10"/>
  <c r="Q883" i="10"/>
  <c r="O884" i="10"/>
  <c r="P884" i="10"/>
  <c r="Q884" i="10"/>
  <c r="O885" i="10"/>
  <c r="P885" i="10"/>
  <c r="Q885" i="10"/>
  <c r="O886" i="10"/>
  <c r="P886" i="10"/>
  <c r="Q886" i="10"/>
  <c r="O887" i="10"/>
  <c r="P887" i="10"/>
  <c r="Q887" i="10"/>
  <c r="O888" i="10"/>
  <c r="P888" i="10"/>
  <c r="Q888" i="10"/>
  <c r="O889" i="10"/>
  <c r="P889" i="10"/>
  <c r="Q889" i="10"/>
  <c r="O890" i="10"/>
  <c r="P890" i="10"/>
  <c r="Q890" i="10"/>
  <c r="O891" i="10"/>
  <c r="P891" i="10"/>
  <c r="Q891" i="10"/>
  <c r="O892" i="10"/>
  <c r="P892" i="10"/>
  <c r="Q892" i="10"/>
  <c r="O893" i="10"/>
  <c r="P893" i="10"/>
  <c r="Q893" i="10"/>
  <c r="O894" i="10"/>
  <c r="P894" i="10"/>
  <c r="Q894" i="10"/>
  <c r="O895" i="10"/>
  <c r="P895" i="10"/>
  <c r="Q895" i="10"/>
  <c r="O896" i="10"/>
  <c r="P896" i="10"/>
  <c r="Q896" i="10"/>
  <c r="O897" i="10"/>
  <c r="P897" i="10"/>
  <c r="Q897" i="10"/>
  <c r="O898" i="10"/>
  <c r="P898" i="10"/>
  <c r="Q898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46" i="10"/>
  <c r="H898" i="10"/>
  <c r="G898" i="10"/>
  <c r="F898" i="10"/>
  <c r="E898" i="10"/>
  <c r="H890" i="10"/>
  <c r="G890" i="10"/>
  <c r="F890" i="10"/>
  <c r="E890" i="10"/>
  <c r="H889" i="10"/>
  <c r="G889" i="10"/>
  <c r="F889" i="10"/>
  <c r="E889" i="10"/>
  <c r="H888" i="10"/>
  <c r="G888" i="10"/>
  <c r="F888" i="10"/>
  <c r="E888" i="10"/>
  <c r="H877" i="10"/>
  <c r="G877" i="10"/>
  <c r="F877" i="10"/>
  <c r="E877" i="10"/>
  <c r="H876" i="10"/>
  <c r="G876" i="10"/>
  <c r="F876" i="10"/>
  <c r="E876" i="10"/>
  <c r="H875" i="10"/>
  <c r="G875" i="10"/>
  <c r="F875" i="10"/>
  <c r="E875" i="10"/>
  <c r="H874" i="10"/>
  <c r="G874" i="10"/>
  <c r="F874" i="10"/>
  <c r="E874" i="10"/>
  <c r="H873" i="10"/>
  <c r="G873" i="10"/>
  <c r="F873" i="10"/>
  <c r="E873" i="10"/>
  <c r="H872" i="10"/>
  <c r="G872" i="10"/>
  <c r="F872" i="10"/>
  <c r="E872" i="10"/>
  <c r="H865" i="10"/>
  <c r="G865" i="10"/>
  <c r="F865" i="10"/>
  <c r="H864" i="10"/>
  <c r="G864" i="10"/>
  <c r="F864" i="10"/>
  <c r="H863" i="10"/>
  <c r="G863" i="10"/>
  <c r="F863" i="10"/>
  <c r="H862" i="10"/>
  <c r="G862" i="10"/>
  <c r="F862" i="10"/>
  <c r="H861" i="10"/>
  <c r="G861" i="10"/>
  <c r="F861" i="10"/>
  <c r="H860" i="10"/>
  <c r="G860" i="10"/>
  <c r="F860" i="10"/>
  <c r="H859" i="10"/>
  <c r="G859" i="10"/>
  <c r="F859" i="10"/>
  <c r="H858" i="10"/>
  <c r="G858" i="10"/>
  <c r="F858" i="10"/>
  <c r="H857" i="10"/>
  <c r="G857" i="10"/>
  <c r="F857" i="10"/>
  <c r="H856" i="10"/>
  <c r="G856" i="10"/>
  <c r="F856" i="10"/>
  <c r="H855" i="10"/>
  <c r="G855" i="10"/>
  <c r="F855" i="10"/>
  <c r="E855" i="10"/>
  <c r="H854" i="10"/>
  <c r="G854" i="10"/>
  <c r="F854" i="10"/>
  <c r="E854" i="10"/>
  <c r="H853" i="10"/>
  <c r="G853" i="10"/>
  <c r="F853" i="10"/>
  <c r="E853" i="10"/>
  <c r="H852" i="10"/>
  <c r="G852" i="10"/>
  <c r="F852" i="10"/>
  <c r="E852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J815" i="10"/>
  <c r="J814" i="10"/>
  <c r="J813" i="10"/>
  <c r="J812" i="10"/>
  <c r="J81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676" i="10"/>
  <c r="K676" i="10"/>
  <c r="J677" i="10"/>
  <c r="K677" i="10"/>
  <c r="J678" i="10"/>
  <c r="K678" i="10"/>
  <c r="J679" i="10"/>
  <c r="K679" i="10"/>
  <c r="J680" i="10"/>
  <c r="K680" i="10"/>
  <c r="J681" i="10"/>
  <c r="K681" i="10"/>
  <c r="J682" i="10"/>
  <c r="K682" i="10"/>
  <c r="J683" i="10"/>
  <c r="K683" i="10"/>
  <c r="J684" i="10"/>
  <c r="K684" i="10"/>
  <c r="J685" i="10"/>
  <c r="K685" i="10"/>
  <c r="J686" i="10"/>
  <c r="K686" i="10"/>
  <c r="J687" i="10"/>
  <c r="K687" i="10"/>
  <c r="J688" i="10"/>
  <c r="K688" i="10"/>
  <c r="J689" i="10"/>
  <c r="K689" i="10"/>
  <c r="J690" i="10"/>
  <c r="K690" i="10"/>
  <c r="J691" i="10"/>
  <c r="K691" i="10"/>
  <c r="J692" i="10"/>
  <c r="K692" i="10"/>
  <c r="J693" i="10"/>
  <c r="K693" i="10"/>
  <c r="J694" i="10"/>
  <c r="K694" i="10"/>
  <c r="J695" i="10"/>
  <c r="K695" i="10"/>
  <c r="J696" i="10"/>
  <c r="K696" i="10"/>
  <c r="J697" i="10"/>
  <c r="K697" i="10"/>
  <c r="J698" i="10"/>
  <c r="K698" i="10"/>
  <c r="J699" i="10"/>
  <c r="K699" i="10"/>
  <c r="J700" i="10"/>
  <c r="K700" i="10"/>
  <c r="J701" i="10"/>
  <c r="K701" i="10"/>
  <c r="J702" i="10"/>
  <c r="K702" i="10"/>
  <c r="J703" i="10"/>
  <c r="K703" i="10"/>
  <c r="J704" i="10"/>
  <c r="K704" i="10"/>
  <c r="J705" i="10"/>
  <c r="K705" i="10"/>
  <c r="J706" i="10"/>
  <c r="K706" i="10"/>
  <c r="J707" i="10"/>
  <c r="K707" i="10"/>
  <c r="J708" i="10"/>
  <c r="K708" i="10"/>
  <c r="J709" i="10"/>
  <c r="K709" i="10"/>
  <c r="J710" i="10"/>
  <c r="K710" i="10"/>
  <c r="J711" i="10"/>
  <c r="K711" i="10"/>
  <c r="J712" i="10"/>
  <c r="K712" i="10"/>
  <c r="J713" i="10"/>
  <c r="K713" i="10"/>
  <c r="J714" i="10"/>
  <c r="K714" i="10"/>
  <c r="J715" i="10"/>
  <c r="K715" i="10"/>
  <c r="J716" i="10"/>
  <c r="K716" i="10"/>
  <c r="J717" i="10"/>
  <c r="K717" i="10"/>
  <c r="J718" i="10"/>
  <c r="K718" i="10"/>
  <c r="J719" i="10"/>
  <c r="K719" i="10"/>
  <c r="J720" i="10"/>
  <c r="K720" i="10"/>
  <c r="J721" i="10"/>
  <c r="K721" i="10"/>
  <c r="J722" i="10"/>
  <c r="K722" i="10"/>
  <c r="J723" i="10"/>
  <c r="K723" i="10"/>
  <c r="J724" i="10"/>
  <c r="K724" i="10"/>
  <c r="J725" i="10"/>
  <c r="K725" i="10"/>
  <c r="J726" i="10"/>
  <c r="K726" i="10"/>
  <c r="J727" i="10"/>
  <c r="K727" i="10"/>
  <c r="J728" i="10"/>
  <c r="K728" i="10"/>
  <c r="J729" i="10"/>
  <c r="K729" i="10"/>
  <c r="J730" i="10"/>
  <c r="K730" i="10"/>
  <c r="J731" i="10"/>
  <c r="K731" i="10"/>
  <c r="J732" i="10"/>
  <c r="K732" i="10"/>
  <c r="J733" i="10"/>
  <c r="K733" i="10"/>
  <c r="J734" i="10"/>
  <c r="K734" i="10"/>
  <c r="J735" i="10"/>
  <c r="K735" i="10"/>
  <c r="J736" i="10"/>
  <c r="K736" i="10"/>
  <c r="J737" i="10"/>
  <c r="K737" i="10"/>
  <c r="J738" i="10"/>
  <c r="K738" i="10"/>
  <c r="J739" i="10"/>
  <c r="K739" i="10"/>
  <c r="J740" i="10"/>
  <c r="K740" i="10"/>
  <c r="J741" i="10"/>
  <c r="K741" i="10"/>
  <c r="J742" i="10"/>
  <c r="K742" i="10"/>
  <c r="J743" i="10"/>
  <c r="K743" i="10"/>
  <c r="J744" i="10"/>
  <c r="K744" i="10"/>
  <c r="J745" i="10"/>
  <c r="K745" i="10"/>
  <c r="J746" i="10"/>
  <c r="K746" i="10"/>
  <c r="J747" i="10"/>
  <c r="K747" i="10"/>
  <c r="J748" i="10"/>
  <c r="K748" i="10"/>
  <c r="J749" i="10"/>
  <c r="K749" i="10"/>
  <c r="J750" i="10"/>
  <c r="K750" i="10"/>
  <c r="J751" i="10"/>
  <c r="K751" i="10"/>
  <c r="J752" i="10"/>
  <c r="K752" i="10"/>
  <c r="J753" i="10"/>
  <c r="K753" i="10"/>
  <c r="J754" i="10"/>
  <c r="K754" i="10"/>
  <c r="J755" i="10"/>
  <c r="K755" i="10"/>
  <c r="J756" i="10"/>
  <c r="K756" i="10"/>
  <c r="J757" i="10"/>
  <c r="K757" i="10"/>
  <c r="J758" i="10"/>
  <c r="K758" i="10"/>
  <c r="J759" i="10"/>
  <c r="K759" i="10"/>
  <c r="J760" i="10"/>
  <c r="K760" i="10"/>
  <c r="J761" i="10"/>
  <c r="K761" i="10"/>
  <c r="J762" i="10"/>
  <c r="K762" i="10"/>
  <c r="J763" i="10"/>
  <c r="K763" i="10"/>
  <c r="J764" i="10"/>
  <c r="K764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31" i="10"/>
  <c r="J630" i="10"/>
  <c r="J629" i="10"/>
  <c r="J628" i="10"/>
  <c r="J627" i="10"/>
  <c r="J626" i="10"/>
  <c r="J596" i="10"/>
  <c r="J597" i="10"/>
  <c r="J598" i="10"/>
  <c r="J599" i="10"/>
  <c r="J600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425" i="10"/>
  <c r="J424" i="10"/>
  <c r="J423" i="10"/>
  <c r="J422" i="10"/>
  <c r="J421" i="10"/>
  <c r="J365" i="10"/>
  <c r="J364" i="10"/>
  <c r="J363" i="10"/>
  <c r="J362" i="10"/>
  <c r="J361" i="10"/>
  <c r="J11" i="10"/>
  <c r="J10" i="10"/>
  <c r="J9" i="10"/>
  <c r="J8" i="10"/>
  <c r="J7" i="10"/>
  <c r="J6" i="10"/>
  <c r="J5" i="10"/>
  <c r="J4" i="10"/>
  <c r="J3" i="10"/>
  <c r="J2" i="10"/>
  <c r="H555" i="10"/>
  <c r="G555" i="10"/>
  <c r="F555" i="10"/>
  <c r="E555" i="10"/>
  <c r="H554" i="10"/>
  <c r="G554" i="10"/>
  <c r="F554" i="10"/>
  <c r="E554" i="10"/>
  <c r="H553" i="10"/>
  <c r="G553" i="10"/>
  <c r="F553" i="10"/>
  <c r="E553" i="10"/>
  <c r="H552" i="10"/>
  <c r="G552" i="10"/>
  <c r="F552" i="10"/>
  <c r="E552" i="10"/>
  <c r="H551" i="10"/>
  <c r="G551" i="10"/>
  <c r="F551" i="10"/>
  <c r="E551" i="10"/>
  <c r="H550" i="10"/>
  <c r="G550" i="10"/>
  <c r="F550" i="10"/>
  <c r="E550" i="10"/>
  <c r="H549" i="10"/>
  <c r="G549" i="10"/>
  <c r="F549" i="10"/>
  <c r="E549" i="10"/>
  <c r="H548" i="10"/>
  <c r="G548" i="10"/>
  <c r="F548" i="10"/>
  <c r="E548" i="10"/>
  <c r="H547" i="10"/>
  <c r="G547" i="10"/>
  <c r="F547" i="10"/>
  <c r="E547" i="10"/>
  <c r="H546" i="10"/>
  <c r="G546" i="10"/>
  <c r="F546" i="10"/>
  <c r="E546" i="10"/>
  <c r="H545" i="10"/>
  <c r="G545" i="10"/>
  <c r="F545" i="10"/>
  <c r="E545" i="10"/>
  <c r="H544" i="10"/>
  <c r="G544" i="10"/>
  <c r="F544" i="10"/>
  <c r="E544" i="10"/>
  <c r="H543" i="10"/>
  <c r="G543" i="10"/>
  <c r="F543" i="10"/>
  <c r="E543" i="10"/>
  <c r="H542" i="10"/>
  <c r="G542" i="10"/>
  <c r="F542" i="10"/>
  <c r="E542" i="10"/>
  <c r="H541" i="10"/>
  <c r="G541" i="10"/>
  <c r="F541" i="10"/>
  <c r="E541" i="10"/>
  <c r="H540" i="10"/>
  <c r="G540" i="10"/>
  <c r="F540" i="10"/>
  <c r="E540" i="10"/>
  <c r="H539" i="10"/>
  <c r="G539" i="10"/>
  <c r="F539" i="10"/>
  <c r="E539" i="10"/>
  <c r="H538" i="10"/>
  <c r="G538" i="10"/>
  <c r="F538" i="10"/>
  <c r="E538" i="10"/>
  <c r="H537" i="10"/>
  <c r="G537" i="10"/>
  <c r="F537" i="10"/>
  <c r="E537" i="10"/>
  <c r="H536" i="10"/>
  <c r="G536" i="10"/>
  <c r="F536" i="10"/>
  <c r="E536" i="10"/>
  <c r="H535" i="10"/>
  <c r="G535" i="10"/>
  <c r="F535" i="10"/>
  <c r="E535" i="10"/>
  <c r="H534" i="10"/>
  <c r="G534" i="10"/>
  <c r="F534" i="10"/>
  <c r="E534" i="10"/>
  <c r="H533" i="10"/>
  <c r="G533" i="10"/>
  <c r="F533" i="10"/>
  <c r="E533" i="10"/>
  <c r="H532" i="10"/>
  <c r="G532" i="10"/>
  <c r="F532" i="10"/>
  <c r="E532" i="10"/>
  <c r="H531" i="10"/>
  <c r="G531" i="10"/>
  <c r="F531" i="10"/>
  <c r="E531" i="10"/>
  <c r="H530" i="10"/>
  <c r="G530" i="10"/>
  <c r="F530" i="10"/>
  <c r="E530" i="10"/>
  <c r="H529" i="10"/>
  <c r="G529" i="10"/>
  <c r="F529" i="10"/>
  <c r="E529" i="10"/>
  <c r="H528" i="10"/>
  <c r="G528" i="10"/>
  <c r="F528" i="10"/>
  <c r="E528" i="10"/>
  <c r="H527" i="10"/>
  <c r="G527" i="10"/>
  <c r="F527" i="10"/>
  <c r="E527" i="10"/>
  <c r="H526" i="10"/>
  <c r="G526" i="10"/>
  <c r="F526" i="10"/>
  <c r="E526" i="10"/>
  <c r="H525" i="10"/>
  <c r="G525" i="10"/>
  <c r="F525" i="10"/>
  <c r="E525" i="10"/>
  <c r="H524" i="10"/>
  <c r="G524" i="10"/>
  <c r="F524" i="10"/>
  <c r="E524" i="10"/>
  <c r="H523" i="10"/>
  <c r="G523" i="10"/>
  <c r="F523" i="10"/>
  <c r="E523" i="10"/>
  <c r="H522" i="10"/>
  <c r="G522" i="10"/>
  <c r="F522" i="10"/>
  <c r="E522" i="10"/>
  <c r="H521" i="10"/>
  <c r="G521" i="10"/>
  <c r="F521" i="10"/>
  <c r="E521" i="10"/>
  <c r="H520" i="10"/>
  <c r="G520" i="10"/>
  <c r="F520" i="10"/>
  <c r="E520" i="10"/>
  <c r="H519" i="10"/>
  <c r="G519" i="10"/>
  <c r="F519" i="10"/>
  <c r="E519" i="10"/>
  <c r="H518" i="10"/>
  <c r="G518" i="10"/>
  <c r="F518" i="10"/>
  <c r="E518" i="10"/>
  <c r="H517" i="10"/>
  <c r="G517" i="10"/>
  <c r="F517" i="10"/>
  <c r="E517" i="10"/>
  <c r="H516" i="10"/>
  <c r="G516" i="10"/>
  <c r="F516" i="10"/>
  <c r="E516" i="10"/>
  <c r="H515" i="10"/>
  <c r="G515" i="10"/>
  <c r="F515" i="10"/>
  <c r="E515" i="10"/>
  <c r="H514" i="10"/>
  <c r="G514" i="10"/>
  <c r="F514" i="10"/>
  <c r="E514" i="10"/>
  <c r="H513" i="10"/>
  <c r="G513" i="10"/>
  <c r="F513" i="10"/>
  <c r="E513" i="10"/>
  <c r="H512" i="10"/>
  <c r="G512" i="10"/>
  <c r="F512" i="10"/>
  <c r="E512" i="10"/>
  <c r="H511" i="10"/>
  <c r="G511" i="10"/>
  <c r="F511" i="10"/>
  <c r="E511" i="10"/>
  <c r="H510" i="10"/>
  <c r="G510" i="10"/>
  <c r="F510" i="10"/>
  <c r="E510" i="10"/>
  <c r="H509" i="10"/>
  <c r="G509" i="10"/>
  <c r="F509" i="10"/>
  <c r="E509" i="10"/>
  <c r="H508" i="10"/>
  <c r="G508" i="10"/>
  <c r="F508" i="10"/>
  <c r="E508" i="10"/>
  <c r="H507" i="10"/>
  <c r="G507" i="10"/>
  <c r="F507" i="10"/>
  <c r="E507" i="10"/>
  <c r="H506" i="10"/>
  <c r="G506" i="10"/>
  <c r="F506" i="10"/>
  <c r="E506" i="10"/>
  <c r="H505" i="10"/>
  <c r="G505" i="10"/>
  <c r="F505" i="10"/>
  <c r="E505" i="10"/>
  <c r="H504" i="10"/>
  <c r="G504" i="10"/>
  <c r="F504" i="10"/>
  <c r="E504" i="10"/>
  <c r="H503" i="10"/>
  <c r="G503" i="10"/>
  <c r="F503" i="10"/>
  <c r="E503" i="10"/>
  <c r="H502" i="10"/>
  <c r="G502" i="10"/>
  <c r="F502" i="10"/>
  <c r="E502" i="10"/>
  <c r="H501" i="10"/>
  <c r="G501" i="10"/>
  <c r="F501" i="10"/>
  <c r="E501" i="10"/>
  <c r="H500" i="10"/>
  <c r="G500" i="10"/>
  <c r="F500" i="10"/>
  <c r="E500" i="10"/>
  <c r="H499" i="10"/>
  <c r="G499" i="10"/>
  <c r="F499" i="10"/>
  <c r="E499" i="10"/>
  <c r="H498" i="10"/>
  <c r="G498" i="10"/>
  <c r="F498" i="10"/>
  <c r="E498" i="10"/>
  <c r="H497" i="10"/>
  <c r="G497" i="10"/>
  <c r="F497" i="10"/>
  <c r="E497" i="10"/>
  <c r="H496" i="10"/>
  <c r="G496" i="10"/>
  <c r="F496" i="10"/>
  <c r="E496" i="10"/>
  <c r="H495" i="10"/>
  <c r="G495" i="10"/>
  <c r="F495" i="10"/>
  <c r="E495" i="10"/>
  <c r="H494" i="10"/>
  <c r="G494" i="10"/>
  <c r="F494" i="10"/>
  <c r="E494" i="10"/>
  <c r="H493" i="10"/>
  <c r="G493" i="10"/>
  <c r="F493" i="10"/>
  <c r="E493" i="10"/>
  <c r="H492" i="10"/>
  <c r="G492" i="10"/>
  <c r="F492" i="10"/>
  <c r="E492" i="10"/>
  <c r="H491" i="10"/>
  <c r="G491" i="10"/>
  <c r="F491" i="10"/>
  <c r="E491" i="10"/>
  <c r="H490" i="10"/>
  <c r="G490" i="10"/>
  <c r="F490" i="10"/>
  <c r="E490" i="10"/>
  <c r="H489" i="10"/>
  <c r="G489" i="10"/>
  <c r="F489" i="10"/>
  <c r="E489" i="10"/>
  <c r="H488" i="10"/>
  <c r="G488" i="10"/>
  <c r="F488" i="10"/>
  <c r="E488" i="10"/>
  <c r="H487" i="10"/>
  <c r="G487" i="10"/>
  <c r="F487" i="10"/>
  <c r="E487" i="10"/>
  <c r="H486" i="10"/>
  <c r="G486" i="10"/>
  <c r="F486" i="10"/>
  <c r="E486" i="10"/>
  <c r="H485" i="10"/>
  <c r="G485" i="10"/>
  <c r="F485" i="10"/>
  <c r="E485" i="10"/>
  <c r="H484" i="10"/>
  <c r="G484" i="10"/>
  <c r="F484" i="10"/>
  <c r="E484" i="10"/>
  <c r="H483" i="10"/>
  <c r="G483" i="10"/>
  <c r="F483" i="10"/>
  <c r="E483" i="10"/>
  <c r="H482" i="10"/>
  <c r="G482" i="10"/>
  <c r="F482" i="10"/>
  <c r="E482" i="10"/>
  <c r="H481" i="10"/>
  <c r="G481" i="10"/>
  <c r="F481" i="10"/>
  <c r="E481" i="10"/>
  <c r="H480" i="10"/>
  <c r="G480" i="10"/>
  <c r="F480" i="10"/>
  <c r="E480" i="10"/>
  <c r="H479" i="10"/>
  <c r="G479" i="10"/>
  <c r="F479" i="10"/>
  <c r="E479" i="10"/>
  <c r="H478" i="10"/>
  <c r="G478" i="10"/>
  <c r="F478" i="10"/>
  <c r="E478" i="10"/>
  <c r="H477" i="10"/>
  <c r="G477" i="10"/>
  <c r="F477" i="10"/>
  <c r="E477" i="10"/>
  <c r="H476" i="10"/>
  <c r="G476" i="10"/>
  <c r="F476" i="10"/>
  <c r="E476" i="10"/>
  <c r="H475" i="10"/>
  <c r="G475" i="10"/>
  <c r="F475" i="10"/>
  <c r="E475" i="10"/>
  <c r="H474" i="10"/>
  <c r="G474" i="10"/>
  <c r="F474" i="10"/>
  <c r="E474" i="10"/>
  <c r="H473" i="10"/>
  <c r="G473" i="10"/>
  <c r="F473" i="10"/>
  <c r="E473" i="10"/>
  <c r="H472" i="10"/>
  <c r="G472" i="10"/>
  <c r="F472" i="10"/>
  <c r="E472" i="10"/>
  <c r="H471" i="10"/>
  <c r="G471" i="10"/>
  <c r="F471" i="10"/>
  <c r="E471" i="10"/>
  <c r="H470" i="10"/>
  <c r="G470" i="10"/>
  <c r="F470" i="10"/>
  <c r="E470" i="10"/>
  <c r="H469" i="10"/>
  <c r="G469" i="10"/>
  <c r="F469" i="10"/>
  <c r="E469" i="10"/>
  <c r="H468" i="10"/>
  <c r="G468" i="10"/>
  <c r="F468" i="10"/>
  <c r="E468" i="10"/>
  <c r="H467" i="10"/>
  <c r="G467" i="10"/>
  <c r="F467" i="10"/>
  <c r="E467" i="10"/>
  <c r="H466" i="10"/>
  <c r="G466" i="10"/>
  <c r="F466" i="10"/>
  <c r="E466" i="10"/>
  <c r="H465" i="10"/>
  <c r="G465" i="10"/>
  <c r="F465" i="10"/>
  <c r="E465" i="10"/>
  <c r="H464" i="10"/>
  <c r="G464" i="10"/>
  <c r="F464" i="10"/>
  <c r="E464" i="10"/>
  <c r="H463" i="10"/>
  <c r="G463" i="10"/>
  <c r="F463" i="10"/>
  <c r="E463" i="10"/>
  <c r="H462" i="10"/>
  <c r="G462" i="10"/>
  <c r="F462" i="10"/>
  <c r="E462" i="10"/>
  <c r="H461" i="10"/>
  <c r="G461" i="10"/>
  <c r="F461" i="10"/>
  <c r="E461" i="10"/>
  <c r="H460" i="10"/>
  <c r="G460" i="10"/>
  <c r="F460" i="10"/>
  <c r="E460" i="10"/>
  <c r="H459" i="10"/>
  <c r="G459" i="10"/>
  <c r="F459" i="10"/>
  <c r="E459" i="10"/>
  <c r="H458" i="10"/>
  <c r="G458" i="10"/>
  <c r="F458" i="10"/>
  <c r="E458" i="10"/>
  <c r="H457" i="10"/>
  <c r="G457" i="10"/>
  <c r="F457" i="10"/>
  <c r="E457" i="10"/>
  <c r="H456" i="10"/>
  <c r="G456" i="10"/>
  <c r="F456" i="10"/>
  <c r="E456" i="10"/>
  <c r="H455" i="10"/>
  <c r="G455" i="10"/>
  <c r="F455" i="10"/>
  <c r="E455" i="10"/>
  <c r="H454" i="10"/>
  <c r="G454" i="10"/>
  <c r="F454" i="10"/>
  <c r="E454" i="10"/>
  <c r="H453" i="10"/>
  <c r="G453" i="10"/>
  <c r="F453" i="10"/>
  <c r="E453" i="10"/>
  <c r="H452" i="10"/>
  <c r="G452" i="10"/>
  <c r="F452" i="10"/>
  <c r="E452" i="10"/>
  <c r="H451" i="10"/>
  <c r="G451" i="10"/>
  <c r="F451" i="10"/>
  <c r="E451" i="10"/>
  <c r="H450" i="10"/>
  <c r="G450" i="10"/>
  <c r="F450" i="10"/>
  <c r="E450" i="10"/>
  <c r="H449" i="10"/>
  <c r="G449" i="10"/>
  <c r="F449" i="10"/>
  <c r="E449" i="10"/>
  <c r="H448" i="10"/>
  <c r="G448" i="10"/>
  <c r="F448" i="10"/>
  <c r="E448" i="10"/>
  <c r="H447" i="10"/>
  <c r="G447" i="10"/>
  <c r="F447" i="10"/>
  <c r="E447" i="10"/>
  <c r="H446" i="10"/>
  <c r="G446" i="10"/>
  <c r="F446" i="10"/>
  <c r="E446" i="10"/>
  <c r="H445" i="10"/>
  <c r="G445" i="10"/>
  <c r="F445" i="10"/>
  <c r="E445" i="10"/>
  <c r="H444" i="10"/>
  <c r="G444" i="10"/>
  <c r="F444" i="10"/>
  <c r="E444" i="10"/>
  <c r="H443" i="10"/>
  <c r="G443" i="10"/>
  <c r="F443" i="10"/>
  <c r="E443" i="10"/>
  <c r="H442" i="10"/>
  <c r="G442" i="10"/>
  <c r="F442" i="10"/>
  <c r="E442" i="10"/>
  <c r="H441" i="10"/>
  <c r="G441" i="10"/>
  <c r="F441" i="10"/>
  <c r="E441" i="10"/>
  <c r="H440" i="10"/>
  <c r="G440" i="10"/>
  <c r="F440" i="10"/>
  <c r="E440" i="10"/>
  <c r="H439" i="10"/>
  <c r="G439" i="10"/>
  <c r="F439" i="10"/>
  <c r="E439" i="10"/>
  <c r="H438" i="10"/>
  <c r="G438" i="10"/>
  <c r="F438" i="10"/>
  <c r="E438" i="10"/>
  <c r="H437" i="10"/>
  <c r="G437" i="10"/>
  <c r="F437" i="10"/>
  <c r="E437" i="10"/>
  <c r="H436" i="10"/>
  <c r="G436" i="10"/>
  <c r="F436" i="10"/>
  <c r="E436" i="10"/>
  <c r="H435" i="10"/>
  <c r="G435" i="10"/>
  <c r="F435" i="10"/>
  <c r="E435" i="10"/>
  <c r="H434" i="10"/>
  <c r="G434" i="10"/>
  <c r="F434" i="10"/>
  <c r="E434" i="10"/>
  <c r="H433" i="10"/>
  <c r="G433" i="10"/>
  <c r="F433" i="10"/>
  <c r="E433" i="10"/>
  <c r="H432" i="10"/>
  <c r="G432" i="10"/>
  <c r="F432" i="10"/>
  <c r="E432" i="10"/>
  <c r="H431" i="10"/>
  <c r="G431" i="10"/>
  <c r="F431" i="10"/>
  <c r="E431" i="10"/>
  <c r="H430" i="10"/>
  <c r="G430" i="10"/>
  <c r="F430" i="10"/>
  <c r="E430" i="10"/>
  <c r="H429" i="10"/>
  <c r="G429" i="10"/>
  <c r="F429" i="10"/>
  <c r="E429" i="10"/>
  <c r="H428" i="10"/>
  <c r="G428" i="10"/>
  <c r="F428" i="10"/>
  <c r="E428" i="10"/>
  <c r="H427" i="10"/>
  <c r="G427" i="10"/>
  <c r="F427" i="10"/>
  <c r="E427" i="10"/>
  <c r="H426" i="10"/>
  <c r="G426" i="10"/>
  <c r="F426" i="10"/>
  <c r="E426" i="10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35" i="1"/>
  <c r="K435" i="1"/>
  <c r="L435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54" i="1"/>
  <c r="K454" i="1"/>
  <c r="L454" i="1"/>
  <c r="J455" i="1"/>
  <c r="K455" i="1"/>
  <c r="L455" i="1"/>
  <c r="J456" i="1"/>
  <c r="K456" i="1"/>
  <c r="L456" i="1"/>
  <c r="J465" i="1"/>
  <c r="K465" i="1"/>
  <c r="L465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66" i="1"/>
  <c r="K466" i="1"/>
  <c r="L466" i="1"/>
  <c r="J467" i="1"/>
  <c r="K467" i="1"/>
  <c r="L467" i="1"/>
  <c r="J468" i="1"/>
  <c r="K468" i="1"/>
  <c r="L468" i="1"/>
  <c r="J477" i="1"/>
  <c r="K477" i="1"/>
  <c r="L477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78" i="1"/>
  <c r="K478" i="1"/>
  <c r="L478" i="1"/>
  <c r="J479" i="1"/>
  <c r="K479" i="1"/>
  <c r="L479" i="1"/>
  <c r="J488" i="1"/>
  <c r="K488" i="1"/>
  <c r="L488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89" i="1"/>
  <c r="K489" i="1"/>
  <c r="L489" i="1"/>
  <c r="J490" i="1"/>
  <c r="K490" i="1"/>
  <c r="L490" i="1"/>
  <c r="J499" i="1"/>
  <c r="K499" i="1"/>
  <c r="L499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00" i="1"/>
  <c r="K500" i="1"/>
  <c r="L500" i="1"/>
  <c r="J501" i="1"/>
  <c r="K501" i="1"/>
  <c r="L501" i="1"/>
  <c r="J510" i="1"/>
  <c r="K510" i="1"/>
  <c r="L510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11" i="1"/>
  <c r="K511" i="1"/>
  <c r="L511" i="1"/>
  <c r="J512" i="1"/>
  <c r="K512" i="1"/>
  <c r="L512" i="1"/>
  <c r="J513" i="1"/>
  <c r="K513" i="1"/>
  <c r="L513" i="1"/>
  <c r="J522" i="1"/>
  <c r="K522" i="1"/>
  <c r="L522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23" i="1"/>
  <c r="K523" i="1"/>
  <c r="L523" i="1"/>
  <c r="J524" i="1"/>
  <c r="K524" i="1"/>
  <c r="L524" i="1"/>
  <c r="J525" i="1"/>
  <c r="K525" i="1"/>
  <c r="L525" i="1"/>
  <c r="J534" i="1"/>
  <c r="K534" i="1"/>
  <c r="L534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35" i="1"/>
  <c r="K535" i="1"/>
  <c r="L535" i="1"/>
  <c r="J544" i="1"/>
  <c r="K544" i="1"/>
  <c r="L544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45" i="1"/>
  <c r="K545" i="1"/>
  <c r="L545" i="1"/>
  <c r="J546" i="1"/>
  <c r="K546" i="1"/>
  <c r="L546" i="1"/>
  <c r="J547" i="1"/>
  <c r="K547" i="1"/>
  <c r="L547" i="1"/>
  <c r="I427" i="1"/>
  <c r="I428" i="1"/>
  <c r="I429" i="1"/>
  <c r="I430" i="1"/>
  <c r="I431" i="1"/>
  <c r="I432" i="1"/>
  <c r="I433" i="1"/>
  <c r="I434" i="1"/>
  <c r="I436" i="1"/>
  <c r="I437" i="1"/>
  <c r="I438" i="1"/>
  <c r="I439" i="1"/>
  <c r="I440" i="1"/>
  <c r="I441" i="1"/>
  <c r="I442" i="1"/>
  <c r="I443" i="1"/>
  <c r="I435" i="1"/>
  <c r="I444" i="1"/>
  <c r="I445" i="1"/>
  <c r="I446" i="1"/>
  <c r="I447" i="1"/>
  <c r="I448" i="1"/>
  <c r="I449" i="1"/>
  <c r="I450" i="1"/>
  <c r="I451" i="1"/>
  <c r="I452" i="1"/>
  <c r="I453" i="1"/>
  <c r="I457" i="1"/>
  <c r="I458" i="1"/>
  <c r="I459" i="1"/>
  <c r="I460" i="1"/>
  <c r="I461" i="1"/>
  <c r="I462" i="1"/>
  <c r="I463" i="1"/>
  <c r="I464" i="1"/>
  <c r="I454" i="1"/>
  <c r="I455" i="1"/>
  <c r="I456" i="1"/>
  <c r="I465" i="1"/>
  <c r="I469" i="1"/>
  <c r="I470" i="1"/>
  <c r="I471" i="1"/>
  <c r="I472" i="1"/>
  <c r="I473" i="1"/>
  <c r="I474" i="1"/>
  <c r="I475" i="1"/>
  <c r="I476" i="1"/>
  <c r="I466" i="1"/>
  <c r="I467" i="1"/>
  <c r="I468" i="1"/>
  <c r="I477" i="1"/>
  <c r="I480" i="1"/>
  <c r="I481" i="1"/>
  <c r="I482" i="1"/>
  <c r="I483" i="1"/>
  <c r="I484" i="1"/>
  <c r="I485" i="1"/>
  <c r="I486" i="1"/>
  <c r="I487" i="1"/>
  <c r="I478" i="1"/>
  <c r="I479" i="1"/>
  <c r="I488" i="1"/>
  <c r="I491" i="1"/>
  <c r="I492" i="1"/>
  <c r="I493" i="1"/>
  <c r="I494" i="1"/>
  <c r="I495" i="1"/>
  <c r="I496" i="1"/>
  <c r="I497" i="1"/>
  <c r="I498" i="1"/>
  <c r="I489" i="1"/>
  <c r="I490" i="1"/>
  <c r="I499" i="1"/>
  <c r="I502" i="1"/>
  <c r="I503" i="1"/>
  <c r="I504" i="1"/>
  <c r="I505" i="1"/>
  <c r="I506" i="1"/>
  <c r="I507" i="1"/>
  <c r="I508" i="1"/>
  <c r="I509" i="1"/>
  <c r="I500" i="1"/>
  <c r="I501" i="1"/>
  <c r="I510" i="1"/>
  <c r="I514" i="1"/>
  <c r="I515" i="1"/>
  <c r="I516" i="1"/>
  <c r="I517" i="1"/>
  <c r="I518" i="1"/>
  <c r="I519" i="1"/>
  <c r="I520" i="1"/>
  <c r="I521" i="1"/>
  <c r="I511" i="1"/>
  <c r="I512" i="1"/>
  <c r="I513" i="1"/>
  <c r="I522" i="1"/>
  <c r="I526" i="1"/>
  <c r="I527" i="1"/>
  <c r="I528" i="1"/>
  <c r="I529" i="1"/>
  <c r="I530" i="1"/>
  <c r="I531" i="1"/>
  <c r="I532" i="1"/>
  <c r="I533" i="1"/>
  <c r="I523" i="1"/>
  <c r="I524" i="1"/>
  <c r="I525" i="1"/>
  <c r="I534" i="1"/>
  <c r="I536" i="1"/>
  <c r="I537" i="1"/>
  <c r="I538" i="1"/>
  <c r="I539" i="1"/>
  <c r="I540" i="1"/>
  <c r="I541" i="1"/>
  <c r="I542" i="1"/>
  <c r="I543" i="1"/>
  <c r="I535" i="1"/>
  <c r="I544" i="1"/>
  <c r="I548" i="1"/>
  <c r="I549" i="1"/>
  <c r="I550" i="1"/>
  <c r="I551" i="1"/>
  <c r="I552" i="1"/>
  <c r="I553" i="1"/>
  <c r="I554" i="1"/>
  <c r="I555" i="1"/>
  <c r="I545" i="1"/>
  <c r="I546" i="1"/>
  <c r="I547" i="1"/>
  <c r="I426" i="1"/>
  <c r="P33" i="7"/>
  <c r="S32" i="7"/>
  <c r="S54" i="7"/>
  <c r="S31" i="7"/>
  <c r="S28" i="7"/>
  <c r="S46" i="7"/>
  <c r="S45" i="7"/>
  <c r="S30" i="7"/>
  <c r="S29" i="7"/>
  <c r="S11" i="7"/>
  <c r="S10" i="7"/>
  <c r="S9" i="7"/>
  <c r="S8" i="7"/>
  <c r="S44" i="7"/>
  <c r="S21" i="7"/>
  <c r="S20" i="7"/>
  <c r="S19" i="7"/>
  <c r="S18" i="7"/>
  <c r="S17" i="7"/>
  <c r="S16" i="7"/>
  <c r="S15" i="7"/>
  <c r="S14" i="7"/>
  <c r="S13" i="7"/>
  <c r="S12" i="7"/>
  <c r="S33" i="7"/>
  <c r="R32" i="7"/>
  <c r="R54" i="7"/>
  <c r="R31" i="7"/>
  <c r="R28" i="7"/>
  <c r="R46" i="7"/>
  <c r="R45" i="7"/>
  <c r="R30" i="7"/>
  <c r="R29" i="7"/>
  <c r="R11" i="7"/>
  <c r="R10" i="7"/>
  <c r="R9" i="7"/>
  <c r="R8" i="7"/>
  <c r="R44" i="7"/>
  <c r="R21" i="7"/>
  <c r="R20" i="7"/>
  <c r="R19" i="7"/>
  <c r="R18" i="7"/>
  <c r="R17" i="7"/>
  <c r="R16" i="7"/>
  <c r="R15" i="7"/>
  <c r="R14" i="7"/>
  <c r="R13" i="7"/>
  <c r="R12" i="7"/>
  <c r="R33" i="7"/>
  <c r="Q32" i="7"/>
  <c r="Q54" i="7"/>
  <c r="Q31" i="7"/>
  <c r="Q28" i="7"/>
  <c r="Q46" i="7"/>
  <c r="Q45" i="7"/>
  <c r="Q30" i="7"/>
  <c r="Q29" i="7"/>
  <c r="Q11" i="7"/>
  <c r="Q10" i="7"/>
  <c r="Q9" i="7"/>
  <c r="Q8" i="7"/>
  <c r="Q44" i="7"/>
  <c r="Q21" i="7"/>
  <c r="Q20" i="7"/>
  <c r="Q19" i="7"/>
  <c r="Q18" i="7"/>
  <c r="Q17" i="7"/>
  <c r="Q16" i="7"/>
  <c r="Q15" i="7"/>
  <c r="Q14" i="7"/>
  <c r="Q13" i="7"/>
  <c r="Q12" i="7"/>
  <c r="Q33" i="7"/>
  <c r="P32" i="7"/>
  <c r="P54" i="7"/>
  <c r="P31" i="7"/>
  <c r="P28" i="7"/>
  <c r="P46" i="7"/>
  <c r="P45" i="7"/>
  <c r="P30" i="7"/>
  <c r="P29" i="7"/>
  <c r="P11" i="7"/>
  <c r="P10" i="7"/>
  <c r="P9" i="7"/>
  <c r="P8" i="7"/>
  <c r="P44" i="7"/>
  <c r="D545" i="1"/>
  <c r="D546" i="1"/>
  <c r="D547" i="1"/>
  <c r="D543" i="1"/>
  <c r="D535" i="1"/>
  <c r="D544" i="1"/>
  <c r="D548" i="1"/>
  <c r="D549" i="1"/>
  <c r="D550" i="1"/>
  <c r="D551" i="1"/>
  <c r="D552" i="1"/>
  <c r="D553" i="1"/>
  <c r="D554" i="1"/>
  <c r="D555" i="1"/>
  <c r="D542" i="1"/>
  <c r="D541" i="1"/>
  <c r="D540" i="1"/>
  <c r="D539" i="1"/>
  <c r="D538" i="1"/>
  <c r="D537" i="1"/>
  <c r="D536" i="1"/>
  <c r="D534" i="1"/>
  <c r="D525" i="1"/>
  <c r="D524" i="1"/>
  <c r="D523" i="1"/>
  <c r="D533" i="1"/>
  <c r="D532" i="1"/>
  <c r="D531" i="1"/>
  <c r="D530" i="1"/>
  <c r="D529" i="1"/>
  <c r="D528" i="1"/>
  <c r="D527" i="1"/>
  <c r="D526" i="1"/>
  <c r="D522" i="1"/>
  <c r="M52" i="6"/>
  <c r="M51" i="6"/>
  <c r="M50" i="6"/>
  <c r="M49" i="6"/>
  <c r="M4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<sst xmlns="http://schemas.openxmlformats.org/spreadsheetml/2006/main" count="7644" uniqueCount="1092">
  <si>
    <t>Sample ID</t>
  </si>
  <si>
    <t>%N</t>
  </si>
  <si>
    <t>d15N      (o/oo vs. AIR)</t>
  </si>
  <si>
    <t>Raw_BD (g/cm^3)   (including &gt; and &lt; 2mm fraction)</t>
  </si>
  <si>
    <t>X</t>
  </si>
  <si>
    <t>Y</t>
  </si>
  <si>
    <t>Field ID</t>
  </si>
  <si>
    <t>Cardinal Direction</t>
  </si>
  <si>
    <t>Section Depth cm (Depth at End of Section )</t>
  </si>
  <si>
    <t>%&gt; 2mm (Percentage Greater than 2mm)</t>
  </si>
  <si>
    <t>BD_2mm (Soil g/cm^3 of soil &lt;2mm)</t>
  </si>
  <si>
    <t>%C (Use up to the Second Decimal Point</t>
  </si>
  <si>
    <t>d13C      (o/oo vs. PDB)</t>
  </si>
  <si>
    <t xml:space="preserve">Total Organic Carbon (After Acidification) </t>
  </si>
  <si>
    <t xml:space="preserve">d13C (after Acidification) </t>
  </si>
  <si>
    <t xml:space="preserve">Total Nitrogen After Acidification </t>
  </si>
  <si>
    <t xml:space="preserve">d15N after Acidification </t>
  </si>
  <si>
    <t xml:space="preserve">DATE in Unix epoch time </t>
  </si>
  <si>
    <t>CSITE</t>
  </si>
  <si>
    <t>Notes</t>
  </si>
  <si>
    <t>20009.CS05.C1</t>
  </si>
  <si>
    <t>CS05</t>
  </si>
  <si>
    <t>Average</t>
  </si>
  <si>
    <t>See Sample ID</t>
  </si>
  <si>
    <t>The labeling convention for the Sample ID:</t>
  </si>
  <si>
    <t>20009.CS05.C2</t>
  </si>
  <si>
    <t>Year(xx) Day(xxx). Site. (North,East,West) of core if applicable. Section</t>
  </si>
  <si>
    <t>20009.CS05.C3</t>
  </si>
  <si>
    <t xml:space="preserve">Three cores taken in the cardinal directions North East and West (Each 15m from eachother) represent a c site. This is incidated by (N.E.W) in the sample ID. If no cardinal direction is indicated the core has been aggragated from the three parent cores.. </t>
  </si>
  <si>
    <t>20009.CS05.C4</t>
  </si>
  <si>
    <t>Duplicates of Samples have been averaged</t>
  </si>
  <si>
    <t>20009.CS05.C5</t>
  </si>
  <si>
    <t>Projection:EPSG:32115 -NAD83/ New York East</t>
  </si>
  <si>
    <t>20009.CS07.C1</t>
  </si>
  <si>
    <t>CS07</t>
  </si>
  <si>
    <t>For some samples, coordinates are not availible, there is still the CSITE location data in the shapefile. Please see the Sites Sheet for more info on sample sites.</t>
  </si>
  <si>
    <t>20009.CS07.C2</t>
  </si>
  <si>
    <t>For Some Samples, the Acidified section had a higher percentage of carbon than the non acidified core. I do not believe this is possible, but did not want to omit data.  Not all samples have acidified data.</t>
  </si>
  <si>
    <t>20009.CS07.C3</t>
  </si>
  <si>
    <t>20009.CS07.C4</t>
  </si>
  <si>
    <t>20009.CS07.C5</t>
  </si>
  <si>
    <t>20329.EF01.18.E.S1</t>
  </si>
  <si>
    <t>EF01</t>
  </si>
  <si>
    <t>East</t>
  </si>
  <si>
    <t>20329.EF01.18.E.S2</t>
  </si>
  <si>
    <t>20329.EF01.18.E.S3</t>
  </si>
  <si>
    <t>20329.EF01.18.E.S4</t>
  </si>
  <si>
    <t>20329.EF01.18.E.S5</t>
  </si>
  <si>
    <t>20329.EF02.18.E.S1</t>
  </si>
  <si>
    <t>EF02</t>
  </si>
  <si>
    <t>20329.EF02.18.E.S2</t>
  </si>
  <si>
    <t>20329.EF02.18.E.S3</t>
  </si>
  <si>
    <t>20329.EF02.18.E.S4</t>
  </si>
  <si>
    <t>20329.EF02.18.E.S5</t>
  </si>
  <si>
    <t>20326.CS01.E.S1</t>
  </si>
  <si>
    <t>CS01</t>
  </si>
  <si>
    <t>20326.CS01.E.S2</t>
  </si>
  <si>
    <t>20326.CS01.E.S3</t>
  </si>
  <si>
    <t>20326.CS01.E.S4</t>
  </si>
  <si>
    <t>20326.CS01.E.S5</t>
  </si>
  <si>
    <t>20326.CS01.E.S6</t>
  </si>
  <si>
    <t>20326.CS01.E.S7</t>
  </si>
  <si>
    <t>20326.CS01.E.S8</t>
  </si>
  <si>
    <t>20326.CS01.E.S9</t>
  </si>
  <si>
    <t>20326.CS01.E.S10</t>
  </si>
  <si>
    <t>20326.CS01.E.S11</t>
  </si>
  <si>
    <t>20326.CS01.E.S12</t>
  </si>
  <si>
    <t>20326.CS01.N.S1</t>
  </si>
  <si>
    <t>North</t>
  </si>
  <si>
    <t>20326.CS01.N.S2</t>
  </si>
  <si>
    <t>20326.CS01.N.S3</t>
  </si>
  <si>
    <t>20326.CS01.N.S4</t>
  </si>
  <si>
    <t>20326.CS01.N.S5</t>
  </si>
  <si>
    <t>20326.CS01.N.S6</t>
  </si>
  <si>
    <t>20326.CS01.N.S7</t>
  </si>
  <si>
    <t>20326.CS01.N.S8</t>
  </si>
  <si>
    <t>20326.CS01.N.S9</t>
  </si>
  <si>
    <t>20326.CS01.N.S10</t>
  </si>
  <si>
    <t>20326.CS01.N.S11</t>
  </si>
  <si>
    <t>20326.CS01.N.S12</t>
  </si>
  <si>
    <t>20326.CS01.W.S1</t>
  </si>
  <si>
    <t>West</t>
  </si>
  <si>
    <t>20326.CS01.W.S2</t>
  </si>
  <si>
    <t>20326.CS01.W.S3</t>
  </si>
  <si>
    <t>20326.CS01.W.S4</t>
  </si>
  <si>
    <t>20326.CS01.W.S5</t>
  </si>
  <si>
    <t>20326.CS01.W.S6</t>
  </si>
  <si>
    <t>20326.CS01.W.S7</t>
  </si>
  <si>
    <t>20326.CS01.W.S8</t>
  </si>
  <si>
    <t>20326.CS01.W.S9</t>
  </si>
  <si>
    <t>20326.CS02.E.S1</t>
  </si>
  <si>
    <t>CS02</t>
  </si>
  <si>
    <t>20326.CS02.E.S2</t>
  </si>
  <si>
    <t>20326.CS02.E.S3</t>
  </si>
  <si>
    <t>20326.CS02.E.S4</t>
  </si>
  <si>
    <t>20326.CS02.E.S5</t>
  </si>
  <si>
    <t>20326.CS02.E.S6</t>
  </si>
  <si>
    <t>20326.CS02.E.S7</t>
  </si>
  <si>
    <t>20326.CS02.E.S8</t>
  </si>
  <si>
    <t>20326.CS02.E.S9</t>
  </si>
  <si>
    <t>20326.CS02.E.S10</t>
  </si>
  <si>
    <t>20326.CS02.N.S1</t>
  </si>
  <si>
    <t>20326.CS02.N.S2</t>
  </si>
  <si>
    <t>20326.CS02.N.S3</t>
  </si>
  <si>
    <t>20326.CS02.N.S4</t>
  </si>
  <si>
    <t>20326.CS02.N.S5</t>
  </si>
  <si>
    <t>20326.CS02.N.S6</t>
  </si>
  <si>
    <t>20326.CS02.N.S7</t>
  </si>
  <si>
    <t>20326.CS02.N.S8</t>
  </si>
  <si>
    <t>20326.CS02.N.S9</t>
  </si>
  <si>
    <t>20326.CS02.N.S10</t>
  </si>
  <si>
    <t>20326.CS02.N.S11</t>
  </si>
  <si>
    <t>20326.CS02.N.S12</t>
  </si>
  <si>
    <t>20326.CS02.W.S1</t>
  </si>
  <si>
    <t>20326.CS02.W.S2</t>
  </si>
  <si>
    <t>20326.CS02.W.S3</t>
  </si>
  <si>
    <t>20326.CS02.W.S4</t>
  </si>
  <si>
    <t>20326.CS02.W.S5</t>
  </si>
  <si>
    <t>20326.CS02.W.S6</t>
  </si>
  <si>
    <t>20326.CS02.W.S7</t>
  </si>
  <si>
    <t>20326.CS02.W.S8</t>
  </si>
  <si>
    <t>20326.CS02.W.S9</t>
  </si>
  <si>
    <t>20326.CS02.W.S10</t>
  </si>
  <si>
    <t>20326.CS02.W.S11</t>
  </si>
  <si>
    <t>20326.CS03.E.S1</t>
  </si>
  <si>
    <t>CS03</t>
  </si>
  <si>
    <t>20326.CS03.E.S2</t>
  </si>
  <si>
    <t>20326.CS03.E.S3</t>
  </si>
  <si>
    <t>20326.CS03.E.S4</t>
  </si>
  <si>
    <t>20326.CS03.E.S5</t>
  </si>
  <si>
    <t>20326.CS03.E.S6</t>
  </si>
  <si>
    <t>20326.CS03.E.S7</t>
  </si>
  <si>
    <t>20326.CS03.E.S8</t>
  </si>
  <si>
    <t>20326.CS03.E.S9</t>
  </si>
  <si>
    <t>20326.CS03.E.S10</t>
  </si>
  <si>
    <t>20326.CS03.N.S1</t>
  </si>
  <si>
    <t>20326.CS03.N.S2</t>
  </si>
  <si>
    <t>20326.CS03.N.S3</t>
  </si>
  <si>
    <t>20326.CS03.N.S4</t>
  </si>
  <si>
    <t>20326.CS03.N.S5</t>
  </si>
  <si>
    <t>20326.CS03.N.S6</t>
  </si>
  <si>
    <t>20326.CS03.N.S7</t>
  </si>
  <si>
    <t>20326.CS03.N.S8</t>
  </si>
  <si>
    <t>20326.CS03.N.S9</t>
  </si>
  <si>
    <t>20326.CS03.N.S10</t>
  </si>
  <si>
    <t>20326.CS03.N.S11</t>
  </si>
  <si>
    <t>20326.CS03.N.S12</t>
  </si>
  <si>
    <t>20326.CS03.W.S1</t>
  </si>
  <si>
    <t>20326.CS03.W.S2</t>
  </si>
  <si>
    <t>20326.CS03.W.S3</t>
  </si>
  <si>
    <t>20326.CS03.W.S4</t>
  </si>
  <si>
    <t>20326.CS03.W.S5</t>
  </si>
  <si>
    <t>20326.CS03.W.S6</t>
  </si>
  <si>
    <t>20326.CS03.W.S7</t>
  </si>
  <si>
    <t>20326.CS03.W.S8</t>
  </si>
  <si>
    <t>20326.CS03.W.S9</t>
  </si>
  <si>
    <t>20326.CS03.W.S10</t>
  </si>
  <si>
    <t>20326.CS03.W.S11</t>
  </si>
  <si>
    <t>20327.CS04.E.S1</t>
  </si>
  <si>
    <t>CS04</t>
  </si>
  <si>
    <t>20327.CS04.E.S2</t>
  </si>
  <si>
    <t>20327.CS04.E.S3</t>
  </si>
  <si>
    <t>20327.CS04.E.S4</t>
  </si>
  <si>
    <t>20327.CS04.E.S5</t>
  </si>
  <si>
    <t>20327.CS04.E.S6</t>
  </si>
  <si>
    <t>20327.CS04.E.S7</t>
  </si>
  <si>
    <t>20327.CS04.E.S8</t>
  </si>
  <si>
    <t>20327.CS04.N.S1</t>
  </si>
  <si>
    <t>20327.CS04.N.S2</t>
  </si>
  <si>
    <t>20327.CS04.N.S3</t>
  </si>
  <si>
    <t>20327.CS04.N.S4</t>
  </si>
  <si>
    <t>20327.CS04.N.S5</t>
  </si>
  <si>
    <t>20327.CS04.N.S6</t>
  </si>
  <si>
    <t>20327.CS04.N.S7</t>
  </si>
  <si>
    <t>20327.CS04.N.S8</t>
  </si>
  <si>
    <t>20327.CS04.N.S9</t>
  </si>
  <si>
    <t>20327.CS04.W.S1</t>
  </si>
  <si>
    <t>20327.CS04.W.S2</t>
  </si>
  <si>
    <t>20327.CS04.W.S3</t>
  </si>
  <si>
    <t>20327.CS04.W.S4</t>
  </si>
  <si>
    <t>20327.CS04.W.S5</t>
  </si>
  <si>
    <t>20327.CS04.W.S6</t>
  </si>
  <si>
    <t>20327.CS04.W.S7</t>
  </si>
  <si>
    <t>20327.CS04.W.S8</t>
  </si>
  <si>
    <t>20327.CS05.E.S1</t>
  </si>
  <si>
    <t>20327.CS05.E.S2</t>
  </si>
  <si>
    <t>20327.CS05.E.S3</t>
  </si>
  <si>
    <t>20327.CS05.E.S4</t>
  </si>
  <si>
    <t>20327.CS05.E.S5</t>
  </si>
  <si>
    <t>20327.CS05.E.S6</t>
  </si>
  <si>
    <t>20327.CS05.E.S7</t>
  </si>
  <si>
    <t>20327.CS05.E.S8</t>
  </si>
  <si>
    <t>20327.CS05.E.S9</t>
  </si>
  <si>
    <t>20327.CS05.E.S10</t>
  </si>
  <si>
    <t>20327.CS05.N.S1</t>
  </si>
  <si>
    <t>20327.CS05.N.S2</t>
  </si>
  <si>
    <t>20327.CS05.N.S3</t>
  </si>
  <si>
    <t>20327.CS05.N.S4</t>
  </si>
  <si>
    <t>20327.CS05.N.S5</t>
  </si>
  <si>
    <t>20327.CS05.N.S6</t>
  </si>
  <si>
    <t>20327.CS05.N.S7</t>
  </si>
  <si>
    <t>20327.CS05.N.S8</t>
  </si>
  <si>
    <t>20327.CS05.N.S9</t>
  </si>
  <si>
    <t>20327.CS05.N.S10</t>
  </si>
  <si>
    <t>20327.CS05.N.S11</t>
  </si>
  <si>
    <t>20327.CS05.N.S12</t>
  </si>
  <si>
    <t>20327.CS05.W.S1</t>
  </si>
  <si>
    <t>20327.CS05.W.S2</t>
  </si>
  <si>
    <t>20327.CS05.W.S3</t>
  </si>
  <si>
    <t>20327.CS05.W.S4</t>
  </si>
  <si>
    <t>20327.CS05.W.S5</t>
  </si>
  <si>
    <t>20327.CS05.W.S6</t>
  </si>
  <si>
    <t>20327.CS05.W.S7</t>
  </si>
  <si>
    <t>20327.CS05.W.S8</t>
  </si>
  <si>
    <t>20327.CS05.W.S9</t>
  </si>
  <si>
    <t>20327.CS05.W.S10</t>
  </si>
  <si>
    <t>20327.CS05.W.S11</t>
  </si>
  <si>
    <t>20327.CS05.W.S12</t>
  </si>
  <si>
    <t>20327.CS06.E.S1</t>
  </si>
  <si>
    <t>CS06</t>
  </si>
  <si>
    <t>20327.CS06.E.S2</t>
  </si>
  <si>
    <t>20327.CS06.E.S3</t>
  </si>
  <si>
    <t>20327.CS06.E.S4</t>
  </si>
  <si>
    <t>20327.CS06.E.S5</t>
  </si>
  <si>
    <t>20327.CS06.E.S6</t>
  </si>
  <si>
    <t>20327.CS06.E.S7</t>
  </si>
  <si>
    <t>20327.CS06.E.S8</t>
  </si>
  <si>
    <t>20327.CS06.E.S9</t>
  </si>
  <si>
    <t>20327.CS06.E.S10</t>
  </si>
  <si>
    <t>20327.CS06.E.S11</t>
  </si>
  <si>
    <t>20327.CS06.E.S12</t>
  </si>
  <si>
    <t>20327.CS06.N.S1</t>
  </si>
  <si>
    <t>20327.CS06.N.S2</t>
  </si>
  <si>
    <t>20327.CS06.N.S3</t>
  </si>
  <si>
    <t>20327.CS06.N.S4</t>
  </si>
  <si>
    <t>20327.CS06.N.S5</t>
  </si>
  <si>
    <t>20327.CS06.N.S6</t>
  </si>
  <si>
    <t>20327.CS06.N.S7</t>
  </si>
  <si>
    <t>20327.CS06.N.S8</t>
  </si>
  <si>
    <t>20327.CS06.N.S9</t>
  </si>
  <si>
    <t>20327.CS06.N.S10</t>
  </si>
  <si>
    <t>20327.CS06.N.S11</t>
  </si>
  <si>
    <t>20327.CS06.W.S1</t>
  </si>
  <si>
    <t>20327.CS06.W.S2</t>
  </si>
  <si>
    <t>20327.CS06.W.S3</t>
  </si>
  <si>
    <t>20327.CS06.W.S4</t>
  </si>
  <si>
    <t>20327.CS06.W.S5</t>
  </si>
  <si>
    <t>20327.CS06.W.S6</t>
  </si>
  <si>
    <t>20327.CS06.W.S7</t>
  </si>
  <si>
    <t>20327.CS06.W.S8</t>
  </si>
  <si>
    <t>20327.CS06.W.S9</t>
  </si>
  <si>
    <t>20327.CS06.W.S10</t>
  </si>
  <si>
    <t>20327.CS06.W.S11</t>
  </si>
  <si>
    <t>20327.CS07.E.S1</t>
  </si>
  <si>
    <t>20327.CS07.E.S2</t>
  </si>
  <si>
    <t>20327.CS07.E.S3</t>
  </si>
  <si>
    <t>20327.CS07.E.S4</t>
  </si>
  <si>
    <t>20327.CS07.E.S5</t>
  </si>
  <si>
    <t>20327.CS07.E.S6</t>
  </si>
  <si>
    <t>20327.CS07.E.S7</t>
  </si>
  <si>
    <t>20327.CS07.E.S8</t>
  </si>
  <si>
    <t>20327.CS07.E.S9</t>
  </si>
  <si>
    <t>20327.CS07.E.S10</t>
  </si>
  <si>
    <t>20327.CS07.E.S11</t>
  </si>
  <si>
    <t>20327.CS07.N.S1</t>
  </si>
  <si>
    <t>20327.CS07.N.S2</t>
  </si>
  <si>
    <t>20327.CS07.N.S3</t>
  </si>
  <si>
    <t>20327.CS07.N.S4</t>
  </si>
  <si>
    <t>20327.CS07.N.S5</t>
  </si>
  <si>
    <t>20327.CS07.N.S6</t>
  </si>
  <si>
    <t>20327.CS07.N.S7</t>
  </si>
  <si>
    <t>20327.CS07.N.S8</t>
  </si>
  <si>
    <t>20327.CS07.N.S9</t>
  </si>
  <si>
    <t>20327.CS07.N.S10</t>
  </si>
  <si>
    <t>20327.CS07.N.S11</t>
  </si>
  <si>
    <t>20327.CS07.W.S1</t>
  </si>
  <si>
    <t>20327.CS07.W.S2</t>
  </si>
  <si>
    <t>20327.CS07.W.S3</t>
  </si>
  <si>
    <t>20327.CS07.W.S4</t>
  </si>
  <si>
    <t>20327.CS07.W.S5</t>
  </si>
  <si>
    <t>20327.CS07.W.S6</t>
  </si>
  <si>
    <t>20327.CS07.W.S7</t>
  </si>
  <si>
    <t>20327.CS07.W.S8</t>
  </si>
  <si>
    <t>20327.CS07.W.S9</t>
  </si>
  <si>
    <t>20329.CS08.E.S1</t>
  </si>
  <si>
    <t>CS08</t>
  </si>
  <si>
    <t>20329.CS08.E.S2</t>
  </si>
  <si>
    <t>20329.CS08.E.S3</t>
  </si>
  <si>
    <t>20329.CS08.E.S4</t>
  </si>
  <si>
    <t>20329.CS08.E.S5</t>
  </si>
  <si>
    <t>20329.CS08.E.S6</t>
  </si>
  <si>
    <t>20329.CS08.E.S7</t>
  </si>
  <si>
    <t>20329.CS08.E.S8</t>
  </si>
  <si>
    <t>20329.CS08.E.S9</t>
  </si>
  <si>
    <t>20329.CS08.E.S10</t>
  </si>
  <si>
    <t>20329.CS08.N.S1</t>
  </si>
  <si>
    <t>20329.CS08.N.S2</t>
  </si>
  <si>
    <t>20329.CS08.N.S3</t>
  </si>
  <si>
    <t>20329.CS08.N.S4</t>
  </si>
  <si>
    <t>20329.CS08.N.S5</t>
  </si>
  <si>
    <t>20329.CS08.N.S6</t>
  </si>
  <si>
    <t>20329.CS08.N.S7</t>
  </si>
  <si>
    <t>20329.CS08.N.S8</t>
  </si>
  <si>
    <t>20329.CS08.W.S1</t>
  </si>
  <si>
    <t>20329.CS08.W.S2</t>
  </si>
  <si>
    <t>20329.CS08.W.S3</t>
  </si>
  <si>
    <t>20329.CS08.W.S4</t>
  </si>
  <si>
    <t>20329.CS08.W.S5</t>
  </si>
  <si>
    <t>20329.CS08.W.S6</t>
  </si>
  <si>
    <t>20329.CS08.W.S7</t>
  </si>
  <si>
    <t>20329.CS08.W.S8</t>
  </si>
  <si>
    <t>20329.CS08.W.S9</t>
  </si>
  <si>
    <t>20329.CS08.W.S10</t>
  </si>
  <si>
    <t>20327.CS12.E.S1</t>
  </si>
  <si>
    <t>CS012</t>
  </si>
  <si>
    <t>20327.CS12.E.S2</t>
  </si>
  <si>
    <t>20327.CS12.E.S3</t>
  </si>
  <si>
    <t>20327.CS12.E.S4</t>
  </si>
  <si>
    <t>20327.CS12.E.S5</t>
  </si>
  <si>
    <t>20327.CS12.E.S6</t>
  </si>
  <si>
    <t>20327.CS12.E.S7</t>
  </si>
  <si>
    <t>20327.CS12.E.S8</t>
  </si>
  <si>
    <t>20327.CS12.E.S9</t>
  </si>
  <si>
    <t>20327.CS12.E.S10</t>
  </si>
  <si>
    <t>20327.CS12.E.S11</t>
  </si>
  <si>
    <t>20327.CS12.N.S1</t>
  </si>
  <si>
    <t>20327.CS12.N.S2</t>
  </si>
  <si>
    <t>20327.CS12.N.S3</t>
  </si>
  <si>
    <t>20327.CS12.N.S4</t>
  </si>
  <si>
    <t>20327.CS12.N.S5</t>
  </si>
  <si>
    <t>20327.CS12.N.S6</t>
  </si>
  <si>
    <t>20327.CS12.N.S7</t>
  </si>
  <si>
    <t>20327.CS12.N.S8</t>
  </si>
  <si>
    <t>20327.CS12.N.S9</t>
  </si>
  <si>
    <t>20327.CS12.N.S10</t>
  </si>
  <si>
    <t>20327.CS12.N.S11</t>
  </si>
  <si>
    <t>20327.CS12.W.S1</t>
  </si>
  <si>
    <t>20327.CS12.W.S2</t>
  </si>
  <si>
    <t>20327.CS12.W.S3</t>
  </si>
  <si>
    <t>20327.CS12.W.S4</t>
  </si>
  <si>
    <t>20327.CS12.W.S5</t>
  </si>
  <si>
    <t>20327.CS12.W.S6</t>
  </si>
  <si>
    <t>20327.CS12.W.S7</t>
  </si>
  <si>
    <t>20327.CS12.W.S8</t>
  </si>
  <si>
    <t>20327.CS12.W.S9</t>
  </si>
  <si>
    <t>20327.CS12.W.S10</t>
  </si>
  <si>
    <t>20329.EF01.18.E.S6</t>
  </si>
  <si>
    <t>20329.EF01.18.E.S7</t>
  </si>
  <si>
    <t>20329.EF01.18.E.S8</t>
  </si>
  <si>
    <t>20329.EF01.18.E.S9</t>
  </si>
  <si>
    <t>20329.EF01.18.E.S10</t>
  </si>
  <si>
    <t>20329.EF01.18.E.S11</t>
  </si>
  <si>
    <t>20329.EF01.19.E.S1</t>
  </si>
  <si>
    <t>20329.EF01.19.E.S2</t>
  </si>
  <si>
    <t>20329.EF01.19.E.S3</t>
  </si>
  <si>
    <t>20329.EF01.19.E.S4</t>
  </si>
  <si>
    <t>20329.EF01.19.E.S5</t>
  </si>
  <si>
    <t>20329.EF01.19.E.S6</t>
  </si>
  <si>
    <t>20329.EF01.19.E.S7</t>
  </si>
  <si>
    <t>20329.EF01.19.E.S8</t>
  </si>
  <si>
    <t>20329.EF01.18.N.S2</t>
  </si>
  <si>
    <t>20329.EF01.18.N.S3</t>
  </si>
  <si>
    <t>20329.EF01.18.N.S4</t>
  </si>
  <si>
    <t>20329.EF01.18.N.S5</t>
  </si>
  <si>
    <t>20329.EF01.18.N.S6</t>
  </si>
  <si>
    <t>20329.EF01.18.N.S7</t>
  </si>
  <si>
    <t>20329.EF01.18.N.S8</t>
  </si>
  <si>
    <t>20329.EF01.18.N.S9</t>
  </si>
  <si>
    <t>20329.EF01.18.N.S10</t>
  </si>
  <si>
    <t>20329.EF01.19.N.S1</t>
  </si>
  <si>
    <t>20329.EF01.19.N.S2</t>
  </si>
  <si>
    <t>20329.EF01.19.N.S3</t>
  </si>
  <si>
    <t>20329.EF01.19.N.S4</t>
  </si>
  <si>
    <t>20329.EF01.19.N.S5</t>
  </si>
  <si>
    <t>20329.EF01.19.N.S6</t>
  </si>
  <si>
    <t>20329.EF01.19.N.S7</t>
  </si>
  <si>
    <t>20329.EF01.19.N.S8</t>
  </si>
  <si>
    <t>20329.EF01.19.N.S9</t>
  </si>
  <si>
    <t>20329.EF01.19.N.S10</t>
  </si>
  <si>
    <t>20329.EF01.18.N.S1</t>
  </si>
  <si>
    <t>20329.EF01.18.W.S1</t>
  </si>
  <si>
    <t>20329.EF01.18.W.S2</t>
  </si>
  <si>
    <t>20329.EF01.18.W.S3</t>
  </si>
  <si>
    <t>20329.EF01.18.W.S4</t>
  </si>
  <si>
    <t>20329.EF01.18.W.S5</t>
  </si>
  <si>
    <t>20329.EF01.18.W.S6</t>
  </si>
  <si>
    <t>20329.EF01.18.W.S7</t>
  </si>
  <si>
    <t>20329.EF01.18.W.S8</t>
  </si>
  <si>
    <t>20329.EF01.18.W.S9</t>
  </si>
  <si>
    <t>20329.EF01.18.W.S10</t>
  </si>
  <si>
    <t>20329.EF01.18.W.S11</t>
  </si>
  <si>
    <t>20329.EF01.19.W.S1</t>
  </si>
  <si>
    <t>20329.EF01.19.W.S2</t>
  </si>
  <si>
    <t>20329.EF01.19.W.S3</t>
  </si>
  <si>
    <t>20329.EF01.19.W.S4</t>
  </si>
  <si>
    <t>20329.EF01.19.W.S5</t>
  </si>
  <si>
    <t>20329.EF01.19.W.S6</t>
  </si>
  <si>
    <t>20329.EF01.19.W.S7</t>
  </si>
  <si>
    <t>20329.EF01.19.W.S8</t>
  </si>
  <si>
    <t>20329.EF01.19.W.S9</t>
  </si>
  <si>
    <t>20329.EF01.19.W.S10</t>
  </si>
  <si>
    <t>20329.EF01.19.W.S11</t>
  </si>
  <si>
    <t>20107.EF01.C1</t>
  </si>
  <si>
    <t>20107.EF01.C2</t>
  </si>
  <si>
    <t>20107.EF01.C3</t>
  </si>
  <si>
    <t>20107.EF01.C4</t>
  </si>
  <si>
    <t>20107.EF01.C5</t>
  </si>
  <si>
    <t>20329.EF02.18.E.S6</t>
  </si>
  <si>
    <t>20329.EF02.18.E.S7</t>
  </si>
  <si>
    <t>20329.EF02.18.E.S8</t>
  </si>
  <si>
    <t>20329.EF02.18.E.S9</t>
  </si>
  <si>
    <t>20329.EF02.19.E.S1</t>
  </si>
  <si>
    <t>20329.EF02.19.E.S2</t>
  </si>
  <si>
    <t>20329.EF02.19.E.S3</t>
  </si>
  <si>
    <t>20329.EF02.19.E.S4</t>
  </si>
  <si>
    <t>20329.EF02.19.E.S5</t>
  </si>
  <si>
    <t>20329.EF02.19.E.S6</t>
  </si>
  <si>
    <t>20329.EF02.19.E.S7</t>
  </si>
  <si>
    <t>20329.EF02.19.E.S8</t>
  </si>
  <si>
    <t>20329.EF02.19.E.S9</t>
  </si>
  <si>
    <t>20329.EF02.19.E.S10</t>
  </si>
  <si>
    <t>20329.EF02.19.E.S11</t>
  </si>
  <si>
    <t>20327.EF02.18.N.S1</t>
  </si>
  <si>
    <t>20327.EF02.18.N.S2</t>
  </si>
  <si>
    <t>20327.EF02.18.N.S3</t>
  </si>
  <si>
    <t>20327.EF02.18.N.S4</t>
  </si>
  <si>
    <t>20327.EF02.18.N.S5</t>
  </si>
  <si>
    <t>20327.EF02.18.N.S6</t>
  </si>
  <si>
    <t>20327.EF02.18.N.S7</t>
  </si>
  <si>
    <t>20327.EF02.18.N.S8</t>
  </si>
  <si>
    <t>20327.EF02.18.N.S9</t>
  </si>
  <si>
    <t>20327.EF02.18.N.S10</t>
  </si>
  <si>
    <t>20327.EF02.19.N.S1</t>
  </si>
  <si>
    <t>20327.EF02.19.N.S2</t>
  </si>
  <si>
    <t>20327.EF02.19.N.S3</t>
  </si>
  <si>
    <t>20327.EF02.19.N.S4</t>
  </si>
  <si>
    <t>20327.EF02.19.N.S5</t>
  </si>
  <si>
    <t>20327.EF02.19.N.S6</t>
  </si>
  <si>
    <t>20327.EF02.19.N.S7</t>
  </si>
  <si>
    <t>20327.EF02.19.N.S8</t>
  </si>
  <si>
    <t>20329.EF02.18.W.S1</t>
  </si>
  <si>
    <t>20329.EF02.18.W.S2</t>
  </si>
  <si>
    <t>20329.EF02.18.W.S3</t>
  </si>
  <si>
    <t>20329.EF02.18.W.S4</t>
  </si>
  <si>
    <t>20329.EF02.18.W.S5</t>
  </si>
  <si>
    <t>20329.EF02.18.W.S6</t>
  </si>
  <si>
    <t>20329.EF02.18.W.S7</t>
  </si>
  <si>
    <t>20329.EF02.18.W.S8</t>
  </si>
  <si>
    <t>20329.EF02.18.W.S9</t>
  </si>
  <si>
    <t>20329.EF02.18.W.S10</t>
  </si>
  <si>
    <t>20329.EF02.18.W.S11</t>
  </si>
  <si>
    <t>20329.EF02.19.W.S1</t>
  </si>
  <si>
    <t>20329.EF02.19.W.S2</t>
  </si>
  <si>
    <t>20329.EF02.19.W.S3</t>
  </si>
  <si>
    <t>20329.EF02.19.W.S4</t>
  </si>
  <si>
    <t>20329.EF02.19.W.S5</t>
  </si>
  <si>
    <t>20329.EF02.19.W.S6</t>
  </si>
  <si>
    <t>20329.EF02.19.W.S7</t>
  </si>
  <si>
    <t>20329.EF02.19.W.S8</t>
  </si>
  <si>
    <t>20329.EF02.19.W.S9</t>
  </si>
  <si>
    <t>20329.EF02.19.W.S10</t>
  </si>
  <si>
    <t>20329.EF02.19.W.S11</t>
  </si>
  <si>
    <t>20107.EF02.C1</t>
  </si>
  <si>
    <t>20107.EF02.C2</t>
  </si>
  <si>
    <t>20107.EF02.C3</t>
  </si>
  <si>
    <t>20107.EF02.C4</t>
  </si>
  <si>
    <t>20107.EF02.C5</t>
  </si>
  <si>
    <t>20350.LH01.E.S1</t>
  </si>
  <si>
    <t>20350.LH01.E.S2</t>
  </si>
  <si>
    <t>20350.LH01.E.S3</t>
  </si>
  <si>
    <t>20350.LH01.E.S4</t>
  </si>
  <si>
    <t>20350.LH01.E.S5</t>
  </si>
  <si>
    <t>20350.LH01.E.S6</t>
  </si>
  <si>
    <t>20350.LH01.E.S7</t>
  </si>
  <si>
    <t>20350.LH01.E.S8</t>
  </si>
  <si>
    <t>20350.LH01.N.S1</t>
  </si>
  <si>
    <t>20350.LH01.N.S2</t>
  </si>
  <si>
    <t>20350.LH01.N.S3</t>
  </si>
  <si>
    <t>20350.LH01.N.S4</t>
  </si>
  <si>
    <t>20350.LH01.N.S5</t>
  </si>
  <si>
    <t>20350.LH01.N.S6</t>
  </si>
  <si>
    <t>20350.LH01.N.S7</t>
  </si>
  <si>
    <t>20350.LH01.N.S8</t>
  </si>
  <si>
    <t>20350.LH01.N.S9</t>
  </si>
  <si>
    <t>20350.LH01.N.S10</t>
  </si>
  <si>
    <t>20350.LH01.W.S1</t>
  </si>
  <si>
    <t>20350.LH01.W.S2</t>
  </si>
  <si>
    <t>20350.LH01.W.S3</t>
  </si>
  <si>
    <t>20350.LH01.W.S4</t>
  </si>
  <si>
    <t>20350.LH01.W.S5</t>
  </si>
  <si>
    <t>20350.LH01.W.S6</t>
  </si>
  <si>
    <t>20350.LH01.W.S7</t>
  </si>
  <si>
    <t>20350.LH01.W.S8</t>
  </si>
  <si>
    <t>20350.LH01.W.S9</t>
  </si>
  <si>
    <t>20350.LH02.E.S1</t>
  </si>
  <si>
    <t>20350.LH02.E.S2</t>
  </si>
  <si>
    <t>20350.LH02.E.S3</t>
  </si>
  <si>
    <t>20350.LH02.E.S4</t>
  </si>
  <si>
    <t>20350.LH02.E.S5</t>
  </si>
  <si>
    <t>20350.LH02.E.S6</t>
  </si>
  <si>
    <t>20350.LH02.E.S7</t>
  </si>
  <si>
    <t>20350.LH02.E.S8</t>
  </si>
  <si>
    <t>20350.LH02.E.S9</t>
  </si>
  <si>
    <t>20350.LH02.E.S10</t>
  </si>
  <si>
    <t>20350.LH02.E.S11</t>
  </si>
  <si>
    <t>20350.LH02.E.S12</t>
  </si>
  <si>
    <t>20350.LH02.N.S1</t>
  </si>
  <si>
    <t>20350.LH02.N.S2</t>
  </si>
  <si>
    <t>20350.LH02.N.S3</t>
  </si>
  <si>
    <t>20350.LH02.N.S4</t>
  </si>
  <si>
    <t>20350.LH02.N.S5</t>
  </si>
  <si>
    <t>20350.LH02.N.S6</t>
  </si>
  <si>
    <t>20350.LH02.N.S7</t>
  </si>
  <si>
    <t>20350.LH02.N.S8</t>
  </si>
  <si>
    <t>20350.LH02.N.S9</t>
  </si>
  <si>
    <t>20350.LH02.N.S10</t>
  </si>
  <si>
    <t>20350.LH02.N.S11</t>
  </si>
  <si>
    <t>20350.LH02.N.S12</t>
  </si>
  <si>
    <t>20350.LH02.W.S1</t>
  </si>
  <si>
    <t>20350.LH02.W.S2</t>
  </si>
  <si>
    <t>20350.LH02.W.S3</t>
  </si>
  <si>
    <t>20350.LH02.W.S4</t>
  </si>
  <si>
    <t>20350.LH02.W.S5</t>
  </si>
  <si>
    <t>20350.LH02.W.S6</t>
  </si>
  <si>
    <t>20350.LH02.W.S7</t>
  </si>
  <si>
    <t>20350.LH02.W.S8</t>
  </si>
  <si>
    <t>20350.LH02.W.S9</t>
  </si>
  <si>
    <t>20350.LH02.W.S10</t>
  </si>
  <si>
    <t>20350.LH02.W.S11</t>
  </si>
  <si>
    <t>20350.LH03.E.S1</t>
  </si>
  <si>
    <t>20350.LH03.E.S2</t>
  </si>
  <si>
    <t>20350.LH03.E.S3</t>
  </si>
  <si>
    <t>20350.LH03.E.S4</t>
  </si>
  <si>
    <t>20350.LH03.E.S5</t>
  </si>
  <si>
    <t>20350.LH03.E.S6</t>
  </si>
  <si>
    <t>20350.LH03.E.S7</t>
  </si>
  <si>
    <t>20350.LH03.E.S8</t>
  </si>
  <si>
    <t>20350.LH03.E.S9</t>
  </si>
  <si>
    <t>20350.LH03.E.S10</t>
  </si>
  <si>
    <t>20350.LH03.E.S11</t>
  </si>
  <si>
    <t>20350.LH03.N.S1</t>
  </si>
  <si>
    <t>20350.LH03.N.S2</t>
  </si>
  <si>
    <t>20350.LH03.N.S3</t>
  </si>
  <si>
    <t>20350.LH03.N.S4</t>
  </si>
  <si>
    <t>20350.LH03.N.S5</t>
  </si>
  <si>
    <t>20350.LH03.N.S6</t>
  </si>
  <si>
    <t>20350.LH03.N.S7</t>
  </si>
  <si>
    <t>20350.LH03.N.S8</t>
  </si>
  <si>
    <t>20350.LH03.N.S9</t>
  </si>
  <si>
    <t>20350.LH03.N.S10</t>
  </si>
  <si>
    <t>20350.LH03.N.S11</t>
  </si>
  <si>
    <t>20350.LH03.W.S1</t>
  </si>
  <si>
    <t>20350.LH03.W.S2</t>
  </si>
  <si>
    <t>20350.LH03.W.S3</t>
  </si>
  <si>
    <t>20350.LH03.W.S4</t>
  </si>
  <si>
    <t>20350.LH03.W.S5</t>
  </si>
  <si>
    <t>20350.LH03.W.S6</t>
  </si>
  <si>
    <t>20350.LH03.W.S7</t>
  </si>
  <si>
    <t>20350.LH03.W.S8</t>
  </si>
  <si>
    <t>20350.LH03.W.S9</t>
  </si>
  <si>
    <t>20350.LH03.W.S10</t>
  </si>
  <si>
    <t>20350.LH03.W.S11</t>
  </si>
  <si>
    <t>20350.LH03.W.S12</t>
  </si>
  <si>
    <t>20350.LH04.E.S1</t>
  </si>
  <si>
    <t>20350.LH04.E.S2</t>
  </si>
  <si>
    <t>20350.LH04.E.S3</t>
  </si>
  <si>
    <t>20350.LH04.E.S4</t>
  </si>
  <si>
    <t>20350.LH04.E.S5</t>
  </si>
  <si>
    <t>20350.LH04.E.S6</t>
  </si>
  <si>
    <t>20350.LH04.E.S7</t>
  </si>
  <si>
    <t>20350.LH04.E.S8</t>
  </si>
  <si>
    <t>20350.LH04.E.S9</t>
  </si>
  <si>
    <t>20350.LH04.E.S10</t>
  </si>
  <si>
    <t>20350.LH04.E.S11</t>
  </si>
  <si>
    <t>20350.LH04.E.S12</t>
  </si>
  <si>
    <t>20350.LH04.N.S1</t>
  </si>
  <si>
    <t>20350.LH04.N.S2</t>
  </si>
  <si>
    <t>20350.LH04.N.S3</t>
  </si>
  <si>
    <t>20350.LH04.N.S4</t>
  </si>
  <si>
    <t>20350.LH04.N.S5</t>
  </si>
  <si>
    <t>20350.LH04.N.S6</t>
  </si>
  <si>
    <t>20350.LH04.N.S7</t>
  </si>
  <si>
    <t>20350.LH04.N.S8</t>
  </si>
  <si>
    <t>20350.LH04.N.S9</t>
  </si>
  <si>
    <t>20350.LH04.N.S10</t>
  </si>
  <si>
    <t>20350.LH04.W.S1</t>
  </si>
  <si>
    <t>20350.LH04.W.S2</t>
  </si>
  <si>
    <t>20350.LH04.W.S3</t>
  </si>
  <si>
    <t>20350.LH04.W.S4</t>
  </si>
  <si>
    <t>20350.LH04.W.S5</t>
  </si>
  <si>
    <t>20350.LH04.W.S6</t>
  </si>
  <si>
    <t>20350.LH04.W.S7</t>
  </si>
  <si>
    <t>20350.LH04.W.S8</t>
  </si>
  <si>
    <t>20350.LH04.W.S9</t>
  </si>
  <si>
    <t>20350.LH04.W.S10</t>
  </si>
  <si>
    <t>20350.LH04.W.S11</t>
  </si>
  <si>
    <t>20350.LH04.W.S12</t>
  </si>
  <si>
    <t>19353.CS01.C1</t>
  </si>
  <si>
    <t>19353.CS01.C2</t>
  </si>
  <si>
    <t>19353.CS01.C3</t>
  </si>
  <si>
    <t>19353.CS01.C4</t>
  </si>
  <si>
    <t>19353.CS01.C5</t>
  </si>
  <si>
    <t>19353.CS02.C1</t>
  </si>
  <si>
    <t>19353.CS02.C2</t>
  </si>
  <si>
    <t>19353.CS02.C3</t>
  </si>
  <si>
    <t>19353.CS02.C4</t>
  </si>
  <si>
    <t>19353.CS02.C5</t>
  </si>
  <si>
    <t>19354.CS04.C1</t>
  </si>
  <si>
    <t>19354.CS04.C2</t>
  </si>
  <si>
    <t>19354.CS04.C3</t>
  </si>
  <si>
    <t>19354.CS04.C4</t>
  </si>
  <si>
    <t>19354.CS04.C5</t>
  </si>
  <si>
    <t>19354.CS06.C1</t>
  </si>
  <si>
    <t>19354.CS06.C2</t>
  </si>
  <si>
    <t>19354.CS06.C3</t>
  </si>
  <si>
    <t>19354.CS06.C4</t>
  </si>
  <si>
    <t>19354.CS06.C5</t>
  </si>
  <si>
    <t>19353.CS08.C1</t>
  </si>
  <si>
    <t>19353.CS08.C2</t>
  </si>
  <si>
    <t>19353.CS08.C3</t>
  </si>
  <si>
    <t>19353.CS08.C4</t>
  </si>
  <si>
    <t>19353.CS08.C5</t>
  </si>
  <si>
    <t>19354.CS12.C1</t>
  </si>
  <si>
    <t>CS12</t>
  </si>
  <si>
    <t>19354.CS12.C2</t>
  </si>
  <si>
    <t>19354.CS12.C3</t>
  </si>
  <si>
    <t>19354.CS12.C4</t>
  </si>
  <si>
    <t>19354.CS12.C5</t>
  </si>
  <si>
    <t>19353.EF01.C1</t>
  </si>
  <si>
    <t>EF00</t>
  </si>
  <si>
    <t>19353.EF01.C2</t>
  </si>
  <si>
    <t>19353.EF01.C3</t>
  </si>
  <si>
    <t>19353.EF01.C4</t>
  </si>
  <si>
    <t>EF03</t>
  </si>
  <si>
    <t>19353.EF01.C5</t>
  </si>
  <si>
    <t>EF04</t>
  </si>
  <si>
    <t>19354.EF02.C1</t>
  </si>
  <si>
    <t>19354.EF02.C2</t>
  </si>
  <si>
    <t>19354.EF02.C3</t>
  </si>
  <si>
    <t>19354.EF02.C4</t>
  </si>
  <si>
    <t>EF05</t>
  </si>
  <si>
    <t>19354.EF02.C5</t>
  </si>
  <si>
    <t>EF06</t>
  </si>
  <si>
    <t>18121.EF01.C1</t>
  </si>
  <si>
    <t>18121.EF01.C2</t>
  </si>
  <si>
    <t>18121.EF01.C3</t>
  </si>
  <si>
    <t>18121.EF01.C4</t>
  </si>
  <si>
    <t>18121.EF01.C5</t>
  </si>
  <si>
    <t>18122.EF02.C1</t>
  </si>
  <si>
    <t>18122.EF02.C2</t>
  </si>
  <si>
    <t>18122.EF02.C3</t>
  </si>
  <si>
    <t>18122.EF02.C4</t>
  </si>
  <si>
    <t>18122.EF02.C5</t>
  </si>
  <si>
    <t>18128.CS01.C1</t>
  </si>
  <si>
    <t>18128.CS01.C2</t>
  </si>
  <si>
    <t>18128.CS01.C3</t>
  </si>
  <si>
    <t>18128.CS01.C4</t>
  </si>
  <si>
    <t>18128.CS01.C5</t>
  </si>
  <si>
    <t>18129.CS04.C1</t>
  </si>
  <si>
    <t>18129.CS04.C2</t>
  </si>
  <si>
    <t>18129.CS04.C3</t>
  </si>
  <si>
    <t>18129.CS04.C4</t>
  </si>
  <si>
    <t>18129.CS04.C5</t>
  </si>
  <si>
    <t>18130.CS08.C1</t>
  </si>
  <si>
    <t>18130.CS08.C2</t>
  </si>
  <si>
    <t>18130.CS08.C3</t>
  </si>
  <si>
    <t>18130.CS08.C4</t>
  </si>
  <si>
    <t>18130.CS08.C5</t>
  </si>
  <si>
    <t>18130.CS12.C1</t>
  </si>
  <si>
    <t>18130.CS12.C2</t>
  </si>
  <si>
    <t>18130.CS12.C3</t>
  </si>
  <si>
    <t>NA</t>
  </si>
  <si>
    <t>18130.CS12.C4</t>
  </si>
  <si>
    <t>18130.CS12.C5</t>
  </si>
  <si>
    <t>18312.CS01.C1</t>
  </si>
  <si>
    <t>18312.CS01.C2</t>
  </si>
  <si>
    <t>18312.CS01.C3</t>
  </si>
  <si>
    <t>18312.CS01.C4</t>
  </si>
  <si>
    <t>18312.CS01.C5</t>
  </si>
  <si>
    <t>18313.CS08.C1</t>
  </si>
  <si>
    <t>18313.CS08.C2</t>
  </si>
  <si>
    <t>18313.CS08.C3</t>
  </si>
  <si>
    <t>18313.CS08.C4</t>
  </si>
  <si>
    <t>18313.CS08.C5</t>
  </si>
  <si>
    <t>18313.EF01.C1</t>
  </si>
  <si>
    <t>18313.EF01.C2</t>
  </si>
  <si>
    <t>18313.EF01.C3</t>
  </si>
  <si>
    <t>18313.EF01.C4</t>
  </si>
  <si>
    <t>18313.EF01.C5</t>
  </si>
  <si>
    <t>18313.EF02.C1</t>
  </si>
  <si>
    <t>18313.EF02.C2</t>
  </si>
  <si>
    <t>18313.EF02.C3</t>
  </si>
  <si>
    <t>18313.EF02.C4</t>
  </si>
  <si>
    <t>18313.EF02.C5</t>
  </si>
  <si>
    <t>18316.CS04.C1</t>
  </si>
  <si>
    <t>18316.CS04.C2</t>
  </si>
  <si>
    <t>18316.CS04.C3</t>
  </si>
  <si>
    <t>18316.CS04.C4</t>
  </si>
  <si>
    <t>18316.CS04.C5</t>
  </si>
  <si>
    <t>18316.CS12.C1</t>
  </si>
  <si>
    <t>18316.CS12.C2</t>
  </si>
  <si>
    <t>18316.CS12.C3</t>
  </si>
  <si>
    <t>18316.CS12.C4</t>
  </si>
  <si>
    <t>18316.CS12.C5</t>
  </si>
  <si>
    <t>18340.CS05.C1</t>
  </si>
  <si>
    <t>18340.CS05.C2</t>
  </si>
  <si>
    <t>18340.CS05.C3</t>
  </si>
  <si>
    <t>18340.CS05.C4</t>
  </si>
  <si>
    <t>18340.CS05.C5</t>
  </si>
  <si>
    <t>18340.CS06.C1</t>
  </si>
  <si>
    <t>18340.CS06.C2</t>
  </si>
  <si>
    <t>18340.CS06.C3</t>
  </si>
  <si>
    <t>18340.CS06.C4</t>
  </si>
  <si>
    <t>18340.CS06.C5</t>
  </si>
  <si>
    <t>18340.CS07.C1</t>
  </si>
  <si>
    <t>18340.CS07.C2</t>
  </si>
  <si>
    <t>18340.CS07.C3</t>
  </si>
  <si>
    <t>18340.CS07.C4</t>
  </si>
  <si>
    <t>18340.CS07.C5</t>
  </si>
  <si>
    <t>18341.CS02.C1</t>
  </si>
  <si>
    <t>18341.CS02.C2</t>
  </si>
  <si>
    <t>18341.CS02.C3</t>
  </si>
  <si>
    <t>18341.CS02.C4</t>
  </si>
  <si>
    <t>18341.CS02.C5</t>
  </si>
  <si>
    <t>X15.100.C1</t>
  </si>
  <si>
    <t>CSITE 08</t>
  </si>
  <si>
    <t>X15.100.C2</t>
  </si>
  <si>
    <t>X15.100.C3</t>
  </si>
  <si>
    <t>X15.100.C4</t>
  </si>
  <si>
    <t>X15.100.C5</t>
  </si>
  <si>
    <t>X15.104.C1</t>
  </si>
  <si>
    <t>CSITE 12</t>
  </si>
  <si>
    <t>X15.104.C2</t>
  </si>
  <si>
    <t>X15.104.C3</t>
  </si>
  <si>
    <t>X15.104.C4</t>
  </si>
  <si>
    <t>X15.104.C5</t>
  </si>
  <si>
    <t>X15.45.C1</t>
  </si>
  <si>
    <t>CSITE 01</t>
  </si>
  <si>
    <t>X15.45.C2</t>
  </si>
  <si>
    <t>X15.45.C3</t>
  </si>
  <si>
    <t>X15.45.C4</t>
  </si>
  <si>
    <t>X15.45.C5</t>
  </si>
  <si>
    <t>X15.46.C1</t>
  </si>
  <si>
    <t>CSITE 02</t>
  </si>
  <si>
    <t>X15.46.C2</t>
  </si>
  <si>
    <t>X15.46.C3</t>
  </si>
  <si>
    <t>X15.46.C4</t>
  </si>
  <si>
    <t>X15.46.C5</t>
  </si>
  <si>
    <t>X15.47.C1</t>
  </si>
  <si>
    <t>CSITE 03</t>
  </si>
  <si>
    <t>X15.47.C2</t>
  </si>
  <si>
    <t>X15.47.C3</t>
  </si>
  <si>
    <t>X15.47.C4</t>
  </si>
  <si>
    <t>X15.47.C5</t>
  </si>
  <si>
    <t>X15.48.C1</t>
  </si>
  <si>
    <t>CSITE 04</t>
  </si>
  <si>
    <t>X15.48.C2</t>
  </si>
  <si>
    <t>X15.48.C3</t>
  </si>
  <si>
    <t>X15.48.C4</t>
  </si>
  <si>
    <t>X15.48.C5</t>
  </si>
  <si>
    <t>X15.49.C1</t>
  </si>
  <si>
    <t>CSITE 05</t>
  </si>
  <si>
    <t>X15.49.C2</t>
  </si>
  <si>
    <t>X15.49.C3</t>
  </si>
  <si>
    <t>X15.49.C4</t>
  </si>
  <si>
    <t>X15.49.C5</t>
  </si>
  <si>
    <t>X15.50.C1</t>
  </si>
  <si>
    <t>CSITE 06</t>
  </si>
  <si>
    <t>X15.50.C2</t>
  </si>
  <si>
    <t>X15.50.C3</t>
  </si>
  <si>
    <t>X15.50.C4</t>
  </si>
  <si>
    <t>X15.50.C5</t>
  </si>
  <si>
    <t>X15.51.C1</t>
  </si>
  <si>
    <t>CSITE 07</t>
  </si>
  <si>
    <t>X15.51.C2</t>
  </si>
  <si>
    <t>X15.51.C3</t>
  </si>
  <si>
    <t>X15.51.C4</t>
  </si>
  <si>
    <t>X15.52.C1</t>
  </si>
  <si>
    <t>X15.52.C2</t>
  </si>
  <si>
    <t>X15.52.C3</t>
  </si>
  <si>
    <t>X15.52.C4</t>
  </si>
  <si>
    <t>X15.52.C5</t>
  </si>
  <si>
    <t>X15.56.C1</t>
  </si>
  <si>
    <t>X15.56.C2</t>
  </si>
  <si>
    <t>X15.56.C3</t>
  </si>
  <si>
    <t>X15.56.C4</t>
  </si>
  <si>
    <t>X15.56.C5</t>
  </si>
  <si>
    <t>X15.93.C1</t>
  </si>
  <si>
    <t>X15.93.C2</t>
  </si>
  <si>
    <t>X15.93.C3</t>
  </si>
  <si>
    <t>X15.93.C4</t>
  </si>
  <si>
    <t>X15.93.C5</t>
  </si>
  <si>
    <t>X15.94.C1</t>
  </si>
  <si>
    <t>X15.94.C2</t>
  </si>
  <si>
    <t>X15.94.C3</t>
  </si>
  <si>
    <t>X15.94.C4</t>
  </si>
  <si>
    <t>X15.94.C5</t>
  </si>
  <si>
    <t>X15.95.C1</t>
  </si>
  <si>
    <t>X15.95.C2</t>
  </si>
  <si>
    <t>X15.95.C3</t>
  </si>
  <si>
    <t>X15.95.C4</t>
  </si>
  <si>
    <t>X15.95.C5</t>
  </si>
  <si>
    <t>X15.96.C1</t>
  </si>
  <si>
    <t>X15.96.C2</t>
  </si>
  <si>
    <t>X15.96.C3</t>
  </si>
  <si>
    <t>X15.96.C4</t>
  </si>
  <si>
    <t>X15.96.C5</t>
  </si>
  <si>
    <t>X15.97.C1</t>
  </si>
  <si>
    <t>X15.97.C2</t>
  </si>
  <si>
    <t>X15.97.C3</t>
  </si>
  <si>
    <t>X15.97.C4</t>
  </si>
  <si>
    <t>X15.97.C5</t>
  </si>
  <si>
    <t>X15.98.C1</t>
  </si>
  <si>
    <t>X15.98.C2</t>
  </si>
  <si>
    <t>X15.98.C3</t>
  </si>
  <si>
    <t>X15.98.C4</t>
  </si>
  <si>
    <t>X15.98.C5</t>
  </si>
  <si>
    <t>X15.99.C1</t>
  </si>
  <si>
    <t>X15.99.C2</t>
  </si>
  <si>
    <t>X15.99.C3</t>
  </si>
  <si>
    <t>X15.99.C4</t>
  </si>
  <si>
    <t>X15.99.C5</t>
  </si>
  <si>
    <t>X11.207.C1</t>
  </si>
  <si>
    <t>X11.207.C2</t>
  </si>
  <si>
    <t>X11.207.C3</t>
  </si>
  <si>
    <t>X11.207.C4</t>
  </si>
  <si>
    <t>X11.208.C1</t>
  </si>
  <si>
    <t>X11.208.C2</t>
  </si>
  <si>
    <t>X11.208.C3</t>
  </si>
  <si>
    <t>X11.208.C4</t>
  </si>
  <si>
    <t>X11.209.C1</t>
  </si>
  <si>
    <t>X11.209.C2</t>
  </si>
  <si>
    <t>X11.209.C3</t>
  </si>
  <si>
    <t>X11.209.C4</t>
  </si>
  <si>
    <t>X11.210.C1</t>
  </si>
  <si>
    <t>X11.210.C2</t>
  </si>
  <si>
    <t>X11.210.C3</t>
  </si>
  <si>
    <t>X11.210.C4</t>
  </si>
  <si>
    <t>X11.211.C1</t>
  </si>
  <si>
    <t>X11.211.C2</t>
  </si>
  <si>
    <t>X11.211.C3</t>
  </si>
  <si>
    <t>X11.211.C4</t>
  </si>
  <si>
    <t>X11.212.C1</t>
  </si>
  <si>
    <t>X11.212.C2</t>
  </si>
  <si>
    <t>X11.212.C3</t>
  </si>
  <si>
    <t>X11.212.C4</t>
  </si>
  <si>
    <t>X11.213.C1</t>
  </si>
  <si>
    <t>X11.213.C2</t>
  </si>
  <si>
    <t>X11.213.C3</t>
  </si>
  <si>
    <t>X11.213.C4</t>
  </si>
  <si>
    <t>X11.214.C1</t>
  </si>
  <si>
    <t>X11.214.C2</t>
  </si>
  <si>
    <t>X11.214.C3</t>
  </si>
  <si>
    <t>X11.214.C4</t>
  </si>
  <si>
    <t>X11.218.C1</t>
  </si>
  <si>
    <t>X11.218.C2</t>
  </si>
  <si>
    <t>X11.218.C3</t>
  </si>
  <si>
    <t>X11.218.C4</t>
  </si>
  <si>
    <t>X11.255.C1</t>
  </si>
  <si>
    <t>X11.255.C2</t>
  </si>
  <si>
    <t>X11.255.C3</t>
  </si>
  <si>
    <t>X11.255.C4</t>
  </si>
  <si>
    <t>X11.255.C5</t>
  </si>
  <si>
    <t>X11.256.C1</t>
  </si>
  <si>
    <t>X11.256.C2</t>
  </si>
  <si>
    <t>X11.256.C3</t>
  </si>
  <si>
    <t>X11.256.C4</t>
  </si>
  <si>
    <t>X11.256.C5</t>
  </si>
  <si>
    <t>X11.257.C1</t>
  </si>
  <si>
    <t>X11.257.C2</t>
  </si>
  <si>
    <t>X11.257.C3</t>
  </si>
  <si>
    <t>X11.257.C4</t>
  </si>
  <si>
    <t>X11.257.C5</t>
  </si>
  <si>
    <t>X11.258.C1</t>
  </si>
  <si>
    <t>X11.258.C2</t>
  </si>
  <si>
    <t>X11.258.C3</t>
  </si>
  <si>
    <t>X11.258.C4</t>
  </si>
  <si>
    <t>X11.258.C5</t>
  </si>
  <si>
    <t>X11.259.C1</t>
  </si>
  <si>
    <t>X11.259.C2</t>
  </si>
  <si>
    <t>X11.259.C3</t>
  </si>
  <si>
    <t>X11.259.C4</t>
  </si>
  <si>
    <t>X11.259.C5</t>
  </si>
  <si>
    <t>X11.260.C1</t>
  </si>
  <si>
    <t>X11.260.C2</t>
  </si>
  <si>
    <t>X11.260.C3</t>
  </si>
  <si>
    <t>X11.260.C4</t>
  </si>
  <si>
    <t>X11.260.C5</t>
  </si>
  <si>
    <t>X11.261.C1</t>
  </si>
  <si>
    <t>X11.261.C2</t>
  </si>
  <si>
    <t>X11.261.C3</t>
  </si>
  <si>
    <t>X11.261.C4</t>
  </si>
  <si>
    <t>X11.261.C5</t>
  </si>
  <si>
    <t>X11.262.C1</t>
  </si>
  <si>
    <t>X11.262.C2</t>
  </si>
  <si>
    <t>X11.262.C3</t>
  </si>
  <si>
    <t>X11.262.C4</t>
  </si>
  <si>
    <t>X11.262.C5</t>
  </si>
  <si>
    <t>X11.266.C1</t>
  </si>
  <si>
    <t>X11.266.C2</t>
  </si>
  <si>
    <t>X11.266.C3</t>
  </si>
  <si>
    <t>X11.266.C4</t>
  </si>
  <si>
    <t>X11.266.C5</t>
  </si>
  <si>
    <t>X11.202.H1</t>
  </si>
  <si>
    <t>X11.202.H2</t>
  </si>
  <si>
    <t>X11.203.H1</t>
  </si>
  <si>
    <t>X11.203.H2</t>
  </si>
  <si>
    <t>X11.204.H1</t>
  </si>
  <si>
    <t>X11.204.H2</t>
  </si>
  <si>
    <t>X11.206.H1</t>
  </si>
  <si>
    <t>CSITE 09</t>
  </si>
  <si>
    <t>X11.206.H2</t>
  </si>
  <si>
    <t>X11.58.H1</t>
  </si>
  <si>
    <t>X11.58.H2</t>
  </si>
  <si>
    <t>X11.46.H1</t>
  </si>
  <si>
    <t>X11.46.H2</t>
  </si>
  <si>
    <t>X11.47.H1</t>
  </si>
  <si>
    <t>X11.47.H2</t>
  </si>
  <si>
    <t>X11.48.H1</t>
  </si>
  <si>
    <t>X11.48.H2</t>
  </si>
  <si>
    <t>X11.49.H1</t>
  </si>
  <si>
    <t>X11.49.H2</t>
  </si>
  <si>
    <t>X11.54.H1</t>
  </si>
  <si>
    <t>X11.54.H2</t>
  </si>
  <si>
    <t>X11.55.H1</t>
  </si>
  <si>
    <t>X11.55.H2</t>
  </si>
  <si>
    <t>X11.56.H1</t>
  </si>
  <si>
    <t>X11.56.H2</t>
  </si>
  <si>
    <t>X11.57.H1</t>
  </si>
  <si>
    <t>X11.57.H2</t>
  </si>
  <si>
    <t>X11.72.H1</t>
  </si>
  <si>
    <t>X11.59.H1</t>
  </si>
  <si>
    <t>CSITE 10</t>
  </si>
  <si>
    <t>X11.59.H2</t>
  </si>
  <si>
    <t>X11.73.H1</t>
  </si>
  <si>
    <t>X11.92.H1</t>
  </si>
  <si>
    <t>X11.205.H1</t>
  </si>
  <si>
    <t>CSITE 11</t>
  </si>
  <si>
    <t>X11.61.H1</t>
  </si>
  <si>
    <t>X11.61.H2</t>
  </si>
  <si>
    <t>X11.64.H1</t>
  </si>
  <si>
    <t>X11.65.H1</t>
  </si>
  <si>
    <t>X11.66.H1</t>
  </si>
  <si>
    <t>X11.67.H1</t>
  </si>
  <si>
    <t>X11.68.H1</t>
  </si>
  <si>
    <t>X11.69.H1</t>
  </si>
  <si>
    <t>X11.70.H1</t>
  </si>
  <si>
    <t>X11.71.H1</t>
  </si>
  <si>
    <t>X11.205.H2</t>
  </si>
  <si>
    <t>X11.60.H1</t>
  </si>
  <si>
    <t>X11.60.H2</t>
  </si>
  <si>
    <t>X11.75.H1</t>
  </si>
  <si>
    <t>X11.86.H1</t>
  </si>
  <si>
    <t>X11.87.H1</t>
  </si>
  <si>
    <t>X11.88.H1</t>
  </si>
  <si>
    <t>X11.89.H1</t>
  </si>
  <si>
    <t>X11.90.H1</t>
  </si>
  <si>
    <t>X11.91.H1</t>
  </si>
  <si>
    <t>X11.74.H1</t>
  </si>
  <si>
    <t>%Total C (organic and inorganic) gC/gSoil</t>
  </si>
  <si>
    <t xml:space="preserve">d13C (V-PDB) </t>
  </si>
  <si>
    <t xml:space="preserve">% N gN/gSoil </t>
  </si>
  <si>
    <t xml:space="preserve">d15N (air) </t>
  </si>
  <si>
    <t>LAB</t>
  </si>
  <si>
    <t>DATE in Unix epoch time</t>
  </si>
  <si>
    <t>Rock Frag Percentage</t>
  </si>
  <si>
    <t>Section Height</t>
  </si>
  <si>
    <t>Bulk Density (g/cm^3) # all soil in core ! including BOTH( &gt;2mm and &lt;2mm fractions)</t>
  </si>
  <si>
    <t>BU</t>
  </si>
  <si>
    <t>For CS9,CS10,CS11 : These Csite are included in the Shapefile, exact core location unknown</t>
  </si>
  <si>
    <t xml:space="preserve"> </t>
  </si>
  <si>
    <t xml:space="preserve">%Total C (organic and inorganic) gC/gSoil </t>
  </si>
  <si>
    <t>d15N after Acidification</t>
  </si>
  <si>
    <t>Depth_cm</t>
  </si>
  <si>
    <t>Depth_cm at end of section</t>
  </si>
  <si>
    <t xml:space="preserve">For Some Samples, the Acidified section had a higher percentage of carbon than the non acidified core. I do not believe this is possible, but did not want to omit data.  </t>
  </si>
  <si>
    <t xml:space="preserve">% N </t>
  </si>
  <si>
    <t>Cardinal D</t>
  </si>
  <si>
    <t>MBL</t>
  </si>
  <si>
    <t>Section Height (cm)</t>
  </si>
  <si>
    <t xml:space="preserve">Three cores taken in the cardinal directions North East and West (Each 15m from eachother) represent a c site. This is incidated by (N.E.W) in the sample ID. If no cardinal direction is indicated in the aggragated core from the three parent cores.. </t>
  </si>
  <si>
    <t>csite</t>
  </si>
  <si>
    <t>field_name</t>
  </si>
  <si>
    <t>soil_group</t>
  </si>
  <si>
    <t>texture</t>
  </si>
  <si>
    <t>CSITE1</t>
  </si>
  <si>
    <t>MC 1</t>
  </si>
  <si>
    <t>Knickerbocker</t>
  </si>
  <si>
    <t>Fine sandy loam</t>
  </si>
  <si>
    <t>CSITE2</t>
  </si>
  <si>
    <t>MC 9</t>
  </si>
  <si>
    <t>Niagara</t>
  </si>
  <si>
    <t>Silt loam</t>
  </si>
  <si>
    <t>CSITE3</t>
  </si>
  <si>
    <t>MC 6</t>
  </si>
  <si>
    <t>CSITE4</t>
  </si>
  <si>
    <t>HM 13</t>
  </si>
  <si>
    <t>Hoosic</t>
  </si>
  <si>
    <t>Gravelly sandy loam</t>
  </si>
  <si>
    <t>CSITE5</t>
  </si>
  <si>
    <t>MS 8</t>
  </si>
  <si>
    <t>Collamer</t>
  </si>
  <si>
    <t>CSITE6</t>
  </si>
  <si>
    <t>CP 5B</t>
  </si>
  <si>
    <t>CSITE7</t>
  </si>
  <si>
    <t>CP 6C</t>
  </si>
  <si>
    <t>CSITE8</t>
  </si>
  <si>
    <t>HF 2A</t>
  </si>
  <si>
    <t>CSITE9</t>
  </si>
  <si>
    <t>RBD 3</t>
  </si>
  <si>
    <t>Nassau</t>
  </si>
  <si>
    <t>Channery silt loam</t>
  </si>
  <si>
    <t>CSITE10</t>
  </si>
  <si>
    <t>RBD 2</t>
  </si>
  <si>
    <t>Blasdell</t>
  </si>
  <si>
    <t>Channery loam</t>
  </si>
  <si>
    <t>CSITE12</t>
  </si>
  <si>
    <t>WA 5B</t>
  </si>
  <si>
    <t>EF1</t>
  </si>
  <si>
    <t>HF 12</t>
  </si>
  <si>
    <t>EF2</t>
  </si>
  <si>
    <t>KBF 1</t>
  </si>
  <si>
    <t>EF3</t>
  </si>
  <si>
    <t>RBD 1</t>
  </si>
  <si>
    <t>Blasdell &amp; Castille</t>
  </si>
  <si>
    <t>Channery loam &amp; gravelly silt loam</t>
  </si>
  <si>
    <t>C11</t>
  </si>
  <si>
    <t>BAS.CHR2</t>
  </si>
  <si>
    <t>BBC</t>
  </si>
  <si>
    <t>Silt Loam</t>
  </si>
  <si>
    <t>BAS1</t>
  </si>
  <si>
    <t>BAS2</t>
  </si>
  <si>
    <t>CP1</t>
  </si>
  <si>
    <t>CP3</t>
  </si>
  <si>
    <t>NT3</t>
  </si>
  <si>
    <t>BAS.CHR1</t>
  </si>
  <si>
    <t>BAS.CHR3</t>
  </si>
  <si>
    <t>BAS3</t>
  </si>
  <si>
    <t>CHR1</t>
  </si>
  <si>
    <t>CHR2</t>
  </si>
  <si>
    <t>CHR3</t>
  </si>
  <si>
    <t>CP.BAS.CHR1</t>
  </si>
  <si>
    <t>CP.BAS.CHR2</t>
  </si>
  <si>
    <t>CP.BAS.CHR3</t>
  </si>
  <si>
    <t>CP.BAS1</t>
  </si>
  <si>
    <t>CP.BAS2</t>
  </si>
  <si>
    <t>CP.BAS3</t>
  </si>
  <si>
    <t>CP.CHR1</t>
  </si>
  <si>
    <t>CP.CHR2</t>
  </si>
  <si>
    <t>CP.CHR3</t>
  </si>
  <si>
    <t>CP2</t>
  </si>
  <si>
    <t>NT1</t>
  </si>
  <si>
    <t>NT2</t>
  </si>
  <si>
    <t>perc_greater_2mm</t>
  </si>
  <si>
    <t>perc_C</t>
  </si>
  <si>
    <t>d13c</t>
  </si>
  <si>
    <t>perc_N</t>
  </si>
  <si>
    <t>field_ID</t>
  </si>
  <si>
    <t>location</t>
  </si>
  <si>
    <t>d15N</t>
  </si>
  <si>
    <t>section_depth_cm</t>
  </si>
  <si>
    <t>E</t>
  </si>
  <si>
    <t>W</t>
  </si>
  <si>
    <t>N</t>
  </si>
  <si>
    <t>management</t>
  </si>
  <si>
    <t>organic</t>
  </si>
  <si>
    <t>conventional</t>
  </si>
  <si>
    <t>bd_under2mm_gcm3</t>
  </si>
  <si>
    <t>replicate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</si>
  <si>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</si>
  <si>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</si>
  <si>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</si>
  <si>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</si>
  <si>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</si>
  <si>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</si>
  <si>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</si>
  <si>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</si>
  <si>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</si>
  <si>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</si>
  <si>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</si>
  <si>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julian_date</t>
  </si>
  <si>
    <t>sample_depth</t>
  </si>
  <si>
    <t>stockC_kgm2</t>
  </si>
  <si>
    <t>stockN_kgm2</t>
  </si>
  <si>
    <t>x_coord</t>
  </si>
  <si>
    <t>y_coord</t>
  </si>
  <si>
    <t>% &gt;2mm</t>
  </si>
  <si>
    <t>bd_all_gcm3</t>
  </si>
  <si>
    <t>bd_fine_gcm3</t>
  </si>
  <si>
    <t>field_id</t>
  </si>
  <si>
    <t>card_direction</t>
  </si>
  <si>
    <t>sect_depth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</si>
</sst>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FFFFFF"/>
      <name val="Calibri"/>
      <family val="2"/>
      <scheme val="minor"/>
    </font>
    <font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83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3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0" fillId="0" borderId="5" xfId="0" applyBorder="1"/>
    <xf numFmtId="0" fontId="11" fillId="0" borderId="9" xfId="0" applyFont="1" applyBorder="1" applyAlignment="1">
      <alignment readingOrder="1"/>
    </xf>
    <xf numFmtId="0" fontId="11" fillId="0" borderId="10" xfId="0" applyFont="1" applyBorder="1" applyAlignment="1">
      <alignment readingOrder="1"/>
    </xf>
    <xf numFmtId="0" fontId="11" fillId="0" borderId="11" xfId="0" applyFont="1" applyBorder="1" applyAlignment="1">
      <alignment readingOrder="1"/>
    </xf>
    <xf numFmtId="0" fontId="11" fillId="0" borderId="12" xfId="0" applyFont="1" applyBorder="1" applyAlignment="1">
      <alignment readingOrder="1"/>
    </xf>
    <xf numFmtId="0" fontId="11" fillId="0" borderId="13" xfId="0" applyFont="1" applyBorder="1" applyAlignment="1">
      <alignment readingOrder="1"/>
    </xf>
    <xf numFmtId="0" fontId="11" fillId="0" borderId="14" xfId="0" applyFont="1" applyBorder="1" applyAlignment="1">
      <alignment readingOrder="1"/>
    </xf>
    <xf numFmtId="0" fontId="11" fillId="0" borderId="15" xfId="0" applyFont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0" fillId="0" borderId="1" xfId="0" applyBorder="1"/>
    <xf numFmtId="165" fontId="0" fillId="0" borderId="2" xfId="0" applyNumberFormat="1" applyBorder="1"/>
    <xf numFmtId="2" fontId="0" fillId="0" borderId="2" xfId="0" applyNumberFormat="1" applyBorder="1"/>
    <xf numFmtId="0" fontId="5" fillId="0" borderId="2" xfId="0" applyFont="1" applyBorder="1"/>
    <xf numFmtId="0" fontId="0" fillId="0" borderId="3" xfId="0" applyBorder="1"/>
    <xf numFmtId="0" fontId="0" fillId="0" borderId="4" xfId="0" applyBorder="1"/>
    <xf numFmtId="165" fontId="0" fillId="0" borderId="5" xfId="0" applyNumberFormat="1" applyBorder="1"/>
    <xf numFmtId="0" fontId="0" fillId="0" borderId="6" xfId="0" applyBorder="1"/>
    <xf numFmtId="2" fontId="0" fillId="0" borderId="5" xfId="0" applyNumberFormat="1" applyBorder="1"/>
    <xf numFmtId="0" fontId="0" fillId="0" borderId="20" xfId="0" applyBorder="1"/>
    <xf numFmtId="0" fontId="0" fillId="0" borderId="18" xfId="0" applyBorder="1"/>
    <xf numFmtId="0" fontId="0" fillId="0" borderId="21" xfId="0" applyBorder="1"/>
    <xf numFmtId="0" fontId="0" fillId="0" borderId="7" xfId="0" applyBorder="1"/>
    <xf numFmtId="0" fontId="0" fillId="0" borderId="8" xfId="0" applyBorder="1"/>
    <xf numFmtId="164" fontId="0" fillId="0" borderId="19" xfId="0" applyNumberFormat="1" applyBorder="1"/>
    <xf numFmtId="164" fontId="0" fillId="0" borderId="22" xfId="0" applyNumberFormat="1" applyBorder="1"/>
    <xf numFmtId="0" fontId="5" fillId="0" borderId="7" xfId="0" applyFont="1" applyBorder="1"/>
    <xf numFmtId="0" fontId="5" fillId="0" borderId="8" xfId="0" applyFont="1" applyBorder="1"/>
    <xf numFmtId="0" fontId="5" fillId="0" borderId="3" xfId="0" applyFont="1" applyBorder="1"/>
    <xf numFmtId="0" fontId="12" fillId="0" borderId="2" xfId="0" applyFont="1" applyBorder="1"/>
    <xf numFmtId="0" fontId="5" fillId="0" borderId="5" xfId="0" applyFont="1" applyBorder="1"/>
    <xf numFmtId="0" fontId="5" fillId="0" borderId="6" xfId="0" applyFont="1" applyBorder="1"/>
    <xf numFmtId="2" fontId="0" fillId="0" borderId="7" xfId="0" applyNumberFormat="1" applyBorder="1"/>
    <xf numFmtId="2" fontId="0" fillId="0" borderId="8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0" fontId="5" fillId="0" borderId="19" xfId="0" applyFont="1" applyBorder="1"/>
    <xf numFmtId="0" fontId="0" fillId="0" borderId="19" xfId="0" applyBorder="1"/>
    <xf numFmtId="0" fontId="0" fillId="0" borderId="22" xfId="0" applyBorder="1"/>
    <xf numFmtId="0" fontId="10" fillId="0" borderId="0" xfId="0" applyFont="1" applyAlignment="1">
      <alignment wrapText="1"/>
    </xf>
    <xf numFmtId="14" fontId="0" fillId="0" borderId="0" xfId="0" applyNumberFormat="1"/>
    <xf numFmtId="0" fontId="13" fillId="0" borderId="0" xfId="0" applyFont="1"/>
    <xf numFmtId="165" fontId="13" fillId="0" borderId="0" xfId="0" applyNumberFormat="1" applyFont="1"/>
    <xf numFmtId="2" fontId="13" fillId="0" borderId="0" xfId="0" applyNumberFormat="1" applyFont="1"/>
    <xf numFmtId="0" fontId="14" fillId="0" borderId="0" xfId="0" applyFont="1"/>
    <xf numFmtId="0" fontId="11" fillId="2" borderId="12" xfId="0" applyFont="1" applyFill="1" applyBorder="1" applyAlignment="1">
      <alignment readingOrder="1"/>
    </xf>
    <xf numFmtId="0" fontId="11" fillId="2" borderId="13" xfId="0" applyFont="1" applyFill="1" applyBorder="1" applyAlignment="1">
      <alignment readingOrder="1"/>
    </xf>
    <xf numFmtId="0" fontId="11" fillId="2" borderId="14" xfId="0" applyFont="1" applyFill="1" applyBorder="1" applyAlignment="1">
      <alignment readingOrder="1"/>
    </xf>
    <xf numFmtId="0" fontId="0" fillId="0" borderId="0" xfId="0" applyBorder="1"/>
    <xf numFmtId="165" fontId="0" fillId="0" borderId="0" xfId="0" applyNumberFormat="1" applyBorder="1"/>
    <xf numFmtId="0" fontId="2" fillId="0" borderId="0" xfId="0" applyFont="1" applyBorder="1" applyAlignment="1">
      <alignment wrapText="1"/>
    </xf>
    <xf numFmtId="0" fontId="13" fillId="0" borderId="0" xfId="0" applyFont="1" applyBorder="1"/>
    <xf numFmtId="2" fontId="0" fillId="0" borderId="0" xfId="0" applyNumberFormat="1" applyBorder="1"/>
    <xf numFmtId="0" fontId="5" fillId="0" borderId="0" xfId="0" applyFont="1" applyBorder="1"/>
    <xf numFmtId="0" fontId="2" fillId="0" borderId="0" xfId="0" applyFont="1" applyBorder="1"/>
    <xf numFmtId="165" fontId="2" fillId="0" borderId="0" xfId="0" applyNumberFormat="1" applyFont="1" applyBorder="1"/>
    <xf numFmtId="0" fontId="13" fillId="0" borderId="0" xfId="0" applyFont="1" applyFill="1" applyBorder="1"/>
    <xf numFmtId="0" fontId="0" fillId="0" borderId="0" xfId="0" applyFont="1" applyBorder="1"/>
    <xf numFmtId="165" fontId="0" fillId="0" borderId="0" xfId="0" applyNumberFormat="1" applyFont="1" applyBorder="1"/>
    <xf numFmtId="2" fontId="0" fillId="0" borderId="0" xfId="0" applyNumberFormat="1" applyFont="1" applyBorder="1"/>
    <xf numFmtId="0" fontId="0" fillId="0" borderId="0" xfId="0" applyFont="1"/>
    <xf numFmtId="0" fontId="0" fillId="3" borderId="0" xfId="0" applyFill="1" applyBorder="1"/>
    <xf numFmtId="165" fontId="0" fillId="3" borderId="0" xfId="0" applyNumberFormat="1" applyFill="1" applyBorder="1"/>
    <xf numFmtId="2" fontId="0" fillId="3" borderId="0" xfId="0" applyNumberFormat="1" applyFill="1" applyBorder="1"/>
    <xf numFmtId="0" fontId="5" fillId="3" borderId="0" xfId="0" applyFont="1" applyFill="1" applyBorder="1"/>
    <xf numFmtId="0" fontId="13" fillId="3" borderId="0" xfId="0" applyFont="1" applyFill="1" applyBorder="1"/>
  </cellXfs>
  <cellStyles count="1">
    <cellStyle name="Normal" xfId="0" builtinId="0"/>
  </cellStyles>
  <dxfs count="32">
    <dxf>
      <numFmt numFmtId="2" formatCode="0.00"/>
    </dxf>
    <dxf>
      <numFmt numFmtId="165" formatCode="0.000"/>
    </dxf>
    <dxf>
      <numFmt numFmtId="165" formatCode="0.0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A3AD32-ABD7-4985-9EB7-4A5654F24C85}" name="Table7" displayName="Table7" ref="A1:S54" totalsRowShown="0">
  <autoFilter ref="A1:S54" xr:uid="{C9A3AD32-ABD7-4985-9EB7-4A5654F24C85}"/>
  <sortState xmlns:xlrd2="http://schemas.microsoft.com/office/spreadsheetml/2017/richdata2" ref="A2:S54">
    <sortCondition ref="K1:K54"/>
  </sortState>
  <tableColumns count="19">
    <tableColumn id="1" xr3:uid="{EA64DBB8-2309-4582-9118-592DBB20DBA5}" name="Sample ID"/>
    <tableColumn id="2" xr3:uid="{497CC2E6-6F7C-4D2D-B8D9-35CCB3FB402B}" name="%Total C (organic and inorganic) gC/gSoil" dataDxfId="31"/>
    <tableColumn id="3" xr3:uid="{49AA0E32-5E48-40DF-A3DD-25A776D17EFD}" name="d13C (V-PDB) " dataDxfId="30"/>
    <tableColumn id="4" xr3:uid="{DE2C43E4-542C-4FCB-88B7-5C7A28788A38}" name="% N gN/gSoil " dataDxfId="29"/>
    <tableColumn id="5" xr3:uid="{D9C6AD33-4199-400F-A72D-DF46025538EF}" name="d15N (air) " dataDxfId="28"/>
    <tableColumn id="6" xr3:uid="{9F493277-3B9B-4998-9D68-13068D0F85DA}" name="Total Organic Carbon (After Acidification) "/>
    <tableColumn id="7" xr3:uid="{E09CA7BA-3E4B-4A7E-A6D5-CC39B2A4A2A9}" name="d13C (after Acidification) "/>
    <tableColumn id="8" xr3:uid="{7AAD945E-7D8F-428F-9032-8CA1ECD290EF}" name="Total Nitrogen After Acidification "/>
    <tableColumn id="9" xr3:uid="{3FAFA213-B152-4591-A7AE-FB04D5FE667B}" name="d15N after Acidification "/>
    <tableColumn id="10" xr3:uid="{E91D897C-FC13-4712-BB76-A165F73F6383}" name="LAB"/>
    <tableColumn id="11" xr3:uid="{39A6560B-8C70-4B08-A68A-AFD0D1F94F2B}" name="CSITE"/>
    <tableColumn id="12" xr3:uid="{4DDF1657-DCB8-42C0-80DF-72ED56063111}" name="DATE in Unix epoch time"/>
    <tableColumn id="13" xr3:uid="{13F9B13A-7878-41EF-88F7-23AD2FB36806}" name="Rock Frag Percentage"/>
    <tableColumn id="14" xr3:uid="{6C0345F3-AB0D-4A57-A281-749598437CFF}" name="Section Height"/>
    <tableColumn id="15" xr3:uid="{7553D611-79EE-498D-AF43-0C6F3C72569C}" name="Bulk Density (g/cm^3) # all soil in core ! including BOTH( &gt;2mm and &lt;2mm fractions)" dataDxfId="27"/>
    <tableColumn id="16" xr3:uid="{065D5C6D-7DA6-4193-B17E-AF0C29F02113}" name="X"/>
    <tableColumn id="17" xr3:uid="{18FAC960-1495-4546-BD5F-55AFD39E9F3B}" name="Y"/>
    <tableColumn id="18" xr3:uid="{B78B2FD9-7FC0-401A-9D6C-5E061C5A1085}" name="Field ID"/>
    <tableColumn id="19" xr3:uid="{31CC9829-9D6F-4640-87C7-F00EDDCCBD72}" name="Cardinal Direc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D1CB9C4-6085-44F7-8311-BE8F9525D2AB}" name="Table6" displayName="Table6" ref="A1:S82" totalsRowShown="0">
  <autoFilter ref="A1:S82" xr:uid="{CD1CB9C4-6085-44F7-8311-BE8F9525D2AB}"/>
  <sortState xmlns:xlrd2="http://schemas.microsoft.com/office/spreadsheetml/2017/richdata2" ref="A2:S82">
    <sortCondition ref="K1:K82"/>
  </sortState>
  <tableColumns count="19">
    <tableColumn id="1" xr3:uid="{248C379F-2A65-41F9-A0B4-1AA8940C2169}" name="Sample ID"/>
    <tableColumn id="2" xr3:uid="{FF8B06EA-788E-4419-9935-A29C6B5D6C34}" name="%Total C (organic and inorganic) gC/gSoil " dataDxfId="26"/>
    <tableColumn id="3" xr3:uid="{6EE174A4-117F-4193-92CF-154CCEF3D69C}" name="d13C (V-PDB) " dataDxfId="25"/>
    <tableColumn id="4" xr3:uid="{CC73E0BB-4337-4DF2-8DD5-6FC65E079EFE}" name="% N gN/gSoil " dataDxfId="24"/>
    <tableColumn id="5" xr3:uid="{A5B21630-2EA8-40C2-B076-E4E807E96376}" name="d15N (air) " dataDxfId="23"/>
    <tableColumn id="6" xr3:uid="{79530FBC-4EA9-4E66-AC7A-1CC7C77A8C3C}" name="Total Organic Carbon (After Acidification) " dataDxfId="22"/>
    <tableColumn id="7" xr3:uid="{2086E6F6-7C59-4167-993D-3FD8BE03F7D0}" name="d13C (after Acidification) " dataDxfId="21"/>
    <tableColumn id="8" xr3:uid="{55050F39-C1ED-48EB-978C-093C414F993E}" name="Total Nitrogen After Acidification " dataDxfId="20"/>
    <tableColumn id="9" xr3:uid="{C20E7868-2C0C-403D-8673-8DA11FB4E922}" name="d15N after Acidification" dataDxfId="19"/>
    <tableColumn id="10" xr3:uid="{B5A7BE2E-0188-4962-B330-EC0D6B9AC616}" name="LAB"/>
    <tableColumn id="11" xr3:uid="{121AE873-BE20-4333-91CB-803D71380F11}" name="CSITE"/>
    <tableColumn id="12" xr3:uid="{0AA6FD66-8A13-492A-8472-F0EEFCFED417}" name="DATE in Unix epoch time"/>
    <tableColumn id="13" xr3:uid="{E163291F-CA68-4B5B-9013-760E945CB53E}" name="Rock Frag Percentage" dataDxfId="18"/>
    <tableColumn id="14" xr3:uid="{29CE6652-0472-4172-80DD-A6BD00C9CA48}" name="Depth_cm"/>
    <tableColumn id="15" xr3:uid="{6257B14B-EAA0-4174-9570-BB6903CAA2FA}" name="Bulk Density (g/cm^3) # all soil in core ! including BOTH( &gt;2mm and &lt;2mm fractions)" dataDxfId="17"/>
    <tableColumn id="16" xr3:uid="{AD7F43C8-9755-4082-A494-0545589EC185}" name="X"/>
    <tableColumn id="17" xr3:uid="{20EE7536-D1E8-4101-81FF-FE27FD54FE3C}" name="Y"/>
    <tableColumn id="18" xr3:uid="{D2432969-6A83-4F1B-B343-CB5259457BA4}" name="Field ID"/>
    <tableColumn id="19" xr3:uid="{C398AEFA-A221-4EB7-9D16-F8DA9AFA82AC}" name="Cardinal Direction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102F9-4EA8-4F7A-B84C-70B6E95561E7}" name="Table5" displayName="Table5" ref="A1:R90" totalsRowShown="0">
  <autoFilter ref="A1:R90" xr:uid="{31F102F9-4EA8-4F7A-B84C-70B6E95561E7}"/>
  <tableColumns count="18">
    <tableColumn id="1" xr3:uid="{BE222FCE-824E-4970-925C-88EE251EB71C}" name="Sample ID"/>
    <tableColumn id="2" xr3:uid="{D5FDBE0D-3859-40EE-924C-569310B86C96}" name="%Total C (organic and inorganic) gC/gSoil" dataDxfId="16"/>
    <tableColumn id="3" xr3:uid="{09AD73D8-F877-4A7E-B812-1EBAB0BBBD62}" name="d13C (V-PDB) " dataDxfId="15"/>
    <tableColumn id="4" xr3:uid="{DBC3F4E9-4AC6-4279-A0BF-1AD785086812}" name="% N gN/gSoil " dataDxfId="14"/>
    <tableColumn id="5" xr3:uid="{5676DAC9-D9B5-4A2A-9C83-660CC4B1AC60}" name="d15N (air) " dataDxfId="13"/>
    <tableColumn id="6" xr3:uid="{DC2FFD17-F477-43AB-8C29-26458B8A3547}" name="Total Organic Carbon (After Acidification) " dataDxfId="12"/>
    <tableColumn id="7" xr3:uid="{A8AE85E3-0AE7-4CD7-A712-EC848990FF00}" name="d13C (after Acidification) " dataDxfId="11"/>
    <tableColumn id="8" xr3:uid="{01642496-3829-4922-AFDF-43C8A3A99B53}" name="Total Nitrogen After Acidification " dataDxfId="10"/>
    <tableColumn id="9" xr3:uid="{E41025D1-F72E-4A61-A5CF-E03086E3BFEB}" name="d15N after Acidification " dataDxfId="9"/>
    <tableColumn id="10" xr3:uid="{542BC2C5-39EB-473B-8AC0-31C35AFF1A7A}" name="LAB"/>
    <tableColumn id="11" xr3:uid="{167870D6-C4B7-4376-8A17-C815ABB4FD81}" name="CSITE"/>
    <tableColumn id="12" xr3:uid="{82F5F6C9-3764-480D-8866-0E615DCB96D5}" name="DATE in Unix epoch time"/>
    <tableColumn id="13" xr3:uid="{5943D982-B9ED-4666-85E3-0AA671579424}" name="Depth_cm at end of section"/>
    <tableColumn id="14" xr3:uid="{7E4B3825-0276-4727-B918-4472786DCCC2}" name="Bulk Density (g/cm^3) # all soil in core ! including BOTH( &gt;2mm and &lt;2mm fractions)" dataDxfId="8"/>
    <tableColumn id="15" xr3:uid="{C954978D-B4E5-4DD9-AC21-9FEB1958C985}" name="X"/>
    <tableColumn id="16" xr3:uid="{24D43AAA-ECE6-4633-8838-139B89813A91}" name="Y"/>
    <tableColumn id="17" xr3:uid="{BEC4A729-B8F5-402A-BA66-2955BB9850A8}" name="Field ID"/>
    <tableColumn id="18" xr3:uid="{E766430F-97F4-48A6-A2E1-2A028494A14B}" name="Cardinal Direction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2662C1-8422-4818-A5A1-3CCEA36195E4}" name="Table4" displayName="Table4" ref="A1:S81" totalsRowShown="0">
  <autoFilter ref="A1:S81" xr:uid="{732662C1-8422-4818-A5A1-3CCEA36195E4}"/>
  <sortState xmlns:xlrd2="http://schemas.microsoft.com/office/spreadsheetml/2017/richdata2" ref="A2:R81">
    <sortCondition ref="A1:A81"/>
  </sortState>
  <tableColumns count="19">
    <tableColumn id="1" xr3:uid="{60ED09BD-6CC5-41D4-B6E4-E816A5583651}" name="Sample ID"/>
    <tableColumn id="2" xr3:uid="{046890D6-EC9C-4741-B2C1-0FDF2D061109}" name="%Total C (organic and inorganic) gC/gSoil "/>
    <tableColumn id="3" xr3:uid="{6D277CB8-C3A9-4525-B2EE-326BCCF898E9}" name="d13C (V-PDB) "/>
    <tableColumn id="4" xr3:uid="{CD8F7A3B-2CF6-485C-BC6C-DCDAF2D53412}" name="% N "/>
    <tableColumn id="5" xr3:uid="{FBCAF78F-81FF-49CF-8108-110223E0F44B}" name="d15N (air) "/>
    <tableColumn id="6" xr3:uid="{91DDE187-EB7D-4C6E-B5DA-DFDF7B43B82F}" name="Total Organic Carbon (After Acidification) " dataDxfId="7"/>
    <tableColumn id="7" xr3:uid="{B8D56882-71AE-4494-BE79-A642D6D84F4D}" name="d13C (after Acidification) " dataDxfId="6"/>
    <tableColumn id="8" xr3:uid="{23FBB1EC-CF02-40F6-AE7D-4BD436EAFADA}" name="Total Nitrogen After Acidification " dataDxfId="5"/>
    <tableColumn id="9" xr3:uid="{C5969A17-1F6B-4536-A8CC-E98E06052E7B}" name="d15N after Acidification"/>
    <tableColumn id="10" xr3:uid="{27B2CF02-9418-419C-A614-1C75E175CFC3}" name="LAB"/>
    <tableColumn id="11" xr3:uid="{236796E4-4035-47D5-A269-156B0B8CBF95}" name="CSITE"/>
    <tableColumn id="12" xr3:uid="{4E6AAD24-8B54-4701-9C5D-39906C4B90D8}" name="DATE in Unix epoch time"/>
    <tableColumn id="13" xr3:uid="{B3FB116C-5171-448A-830C-70CC9B5170E4}" name="Rock Frag Percentage"/>
    <tableColumn id="14" xr3:uid="{67AEB964-DB27-4786-906D-FADC1B9AE4C2}" name="Depth_cm"/>
    <tableColumn id="15" xr3:uid="{1496D574-95F9-4005-914C-C6102AD327D6}" name="Bulk Density (g/cm^3) # all soil in core ! including BOTH( &gt;2mm and &lt;2mm fractions)" dataDxfId="4"/>
    <tableColumn id="16" xr3:uid="{FA33AD95-998F-40E7-A4FC-C946F4A5AEC6}" name="X"/>
    <tableColumn id="17" xr3:uid="{B10362DF-F4DE-44E5-A6FC-BFD6BF35B329}" name="Y"/>
    <tableColumn id="18" xr3:uid="{A68B3C3F-15B9-4BF3-B9FC-C08542EBFD06}" name="Field ID"/>
    <tableColumn id="19" xr3:uid="{FB5B753E-0CA5-4A55-8A06-A91FD8F9D9DD}" name="Cardinal Direction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28D7E2-0F0A-4E2D-9E0A-15045B3AC427}" name="Table3" displayName="Table3" ref="A1:R41" totalsRowShown="0">
  <autoFilter ref="A1:R41" xr:uid="{2428D7E2-0F0A-4E2D-9E0A-15045B3AC427}"/>
  <sortState xmlns:xlrd2="http://schemas.microsoft.com/office/spreadsheetml/2017/richdata2" ref="A2:R41">
    <sortCondition ref="K1:K41"/>
  </sortState>
  <tableColumns count="18">
    <tableColumn id="1" xr3:uid="{0567E7FA-12B3-4AC5-A4DB-639E66130DCA}" name="Sample ID"/>
    <tableColumn id="2" xr3:uid="{5E0E5467-3B5F-40B4-AC46-77020E3C702D}" name="%Total C (organic and inorganic) gC/gSoil "/>
    <tableColumn id="3" xr3:uid="{77715599-BD23-4621-AB28-41992B265AE5}" name="d13C (V-PDB) "/>
    <tableColumn id="4" xr3:uid="{4FAD26E7-7326-41CA-9BD6-3CBB1A486E9A}" name="% N "/>
    <tableColumn id="5" xr3:uid="{A47BB8A2-372F-4A83-AF58-3CE2704AF6EA}" name="d15N (air) "/>
    <tableColumn id="6" xr3:uid="{EE3F5BE2-407F-487E-BF5E-902AAE1B3597}" name="Total Organic Carbon (After Acidification) "/>
    <tableColumn id="7" xr3:uid="{585F47BA-9FB9-4C8D-9DD3-487CA8B662B9}" name="d13C (after Acidification) "/>
    <tableColumn id="8" xr3:uid="{62BF2868-EDB7-46A8-A220-5D5F60B12D12}" name="Total Nitrogen After Acidification "/>
    <tableColumn id="9" xr3:uid="{9FD3D95E-4410-4BD0-BDAD-DDBA077DC2FB}" name="d15N after Acidification "/>
    <tableColumn id="10" xr3:uid="{BCF1EBC2-2E6C-4D5A-81CE-BC758BCF4E53}" name="LAB"/>
    <tableColumn id="11" xr3:uid="{296172D1-856A-438E-81A9-3B113D5771CB}" name="CSITE"/>
    <tableColumn id="12" xr3:uid="{85DBFBF9-763E-4E7D-8354-0637DC1CAF16}" name="DATE in Unix epoch time"/>
    <tableColumn id="13" xr3:uid="{AF4809B9-46CF-4904-A2A1-32C2C7D28DE1}" name="Depth_cm at end of section"/>
    <tableColumn id="18" xr3:uid="{987FF248-3B24-48FB-8E70-99FBF0033CF7}" name="X"/>
    <tableColumn id="17" xr3:uid="{8FEF2BE5-57E8-4623-8DC0-C061AEA45E81}" name="Y"/>
    <tableColumn id="16" xr3:uid="{33EA2412-366B-43E8-96C3-98B111AD1EAB}" name="Field ID"/>
    <tableColumn id="15" xr3:uid="{024E0551-2B19-4AB0-84C3-6424A0A288C9}" name="Cardinal D"/>
    <tableColumn id="14" xr3:uid="{43842F20-0F9F-43FF-8941-72E824033A5A}" name="Bulk Density (g/cm^3) # all soil in core ! including BOTH( &gt;2mm and &lt;2mm fractions)" dataDxfId="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0C31D1-F5A6-445E-A985-0E0346B85310}" name="Table2" displayName="Table2" ref="A1:N555" totalsRowShown="0">
  <autoFilter ref="A1:N555" xr:uid="{6F0C31D1-F5A6-445E-A985-0E0346B85310}"/>
  <sortState xmlns:xlrd2="http://schemas.microsoft.com/office/spreadsheetml/2017/richdata2" ref="A2:N555">
    <sortCondition ref="A2:A555"/>
  </sortState>
  <tableColumns count="14">
    <tableColumn id="1" xr3:uid="{2F20F339-E89E-4DDE-B316-450B09776B11}" name="Sample ID"/>
    <tableColumn id="2" xr3:uid="{B23F13E8-8E12-453C-9A17-02201433040A}" name="Bulk Density (g/cm^3) # all soil in core ! including BOTH( &gt;2mm and &lt;2mm fractions)" dataDxfId="2"/>
    <tableColumn id="3" xr3:uid="{19774014-18C8-4467-895F-ED11A5958ACE}" name="Section Height (cm)"/>
    <tableColumn id="4" xr3:uid="{6E3A5766-C6AE-42C1-8700-752D3C635789}" name="%&gt; 2mm (Percentage Greater than 2mm)">
      <calculatedColumnFormula>NA()</calculatedColumnFormula>
    </tableColumn>
    <tableColumn id="5" xr3:uid="{4B6C8E57-F0AE-4C38-AE69-4EBB2FD70342}" name="BD_2mm (Soil g/cm^3 of soil &lt;2mm)" dataDxfId="1"/>
    <tableColumn id="6" xr3:uid="{D663C458-8E02-4334-A2EC-75A4CBB78294}" name="%C (Use up to the Second Decimal Point" dataDxfId="0"/>
    <tableColumn id="7" xr3:uid="{B5600DF0-34B1-485B-BE8E-73E042A9A620}" name="d13C      (o/oo vs. PDB)"/>
    <tableColumn id="8" xr3:uid="{D80743FC-2A41-4319-ABF6-D08017909544}" name="%N"/>
    <tableColumn id="15" xr3:uid="{AE0E0723-3AC0-4BB7-AD07-25FC58DD9FA4}" name="X"/>
    <tableColumn id="14" xr3:uid="{38EFE0F7-59CD-4ED3-8B53-9CEBDB9F1296}" name="Y"/>
    <tableColumn id="17" xr3:uid="{48CD879F-C3FA-40CD-A8A8-57718984EA61}" name="Field ID"/>
    <tableColumn id="18" xr3:uid="{52C15A2B-1975-4761-A0AC-994C1597931B}" name="Cardinal Direction"/>
    <tableColumn id="9" xr3:uid="{5C80A802-DA70-4AA9-B329-9A011C35A84B}" name="d15N      (o/oo vs. AIR)"/>
    <tableColumn id="10" xr3:uid="{BF25211B-42C6-4ED3-AC18-3A24D9C76376}" name="Section Depth cm (Depth at End of Section 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44E9-E733-4DE3-978C-AE3F0CDB377F}">
  <dimension ref="A1:U898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5" x14ac:dyDescent="0.2"/>
  <cols>
    <col min="1" max="1" width="24" customWidth="1"/>
    <col min="2" max="2" width="27.83203125" customWidth="1"/>
    <col min="3" max="3" width="29" customWidth="1"/>
    <col min="4" max="4" width="61.1640625" customWidth="1"/>
    <col min="5" max="5" width="48.5" customWidth="1"/>
    <col min="6" max="6" width="48.33203125" customWidth="1"/>
    <col min="7" max="7" width="44" customWidth="1"/>
    <col min="8" max="8" width="33.5" customWidth="1"/>
    <col min="9" max="9" width="43.5" customWidth="1"/>
    <col min="10" max="10" width="44.5" customWidth="1"/>
    <col min="11" max="11" width="34.5" customWidth="1"/>
    <col min="12" max="12" width="35.5" customWidth="1"/>
    <col min="13" max="13" width="38.5" customWidth="1"/>
    <col min="14" max="14" width="48" customWidth="1"/>
    <col min="15" max="15" width="38.5" customWidth="1"/>
    <col min="16" max="16" width="40.33203125" customWidth="1"/>
    <col min="17" max="17" width="28.33203125" customWidth="1"/>
    <col min="18" max="18" width="58.5" customWidth="1"/>
    <col min="19" max="19" width="23.5" customWidth="1"/>
    <col min="20" max="20" width="85" customWidth="1"/>
    <col min="21" max="21" width="9.3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ht="16" x14ac:dyDescent="0.2">
      <c r="A2" s="4" t="s">
        <v>20</v>
      </c>
      <c r="B2" s="16">
        <v>0.15</v>
      </c>
      <c r="C2" s="16">
        <v>6.01</v>
      </c>
      <c r="D2" s="28">
        <v>1.40303008</v>
      </c>
      <c r="E2" s="30">
        <v>206923.5949</v>
      </c>
      <c r="F2" s="30">
        <v>367496.74829999998</v>
      </c>
      <c r="G2" s="30" t="s">
        <v>21</v>
      </c>
      <c r="H2" s="16" t="s">
        <v>22</v>
      </c>
      <c r="I2" s="36">
        <v>10</v>
      </c>
      <c r="J2" t="e">
        <f>NA()</f>
        <v>#N/A</v>
      </c>
      <c r="K2" s="2">
        <v>1.40303008</v>
      </c>
      <c r="L2" s="3">
        <v>0.98</v>
      </c>
      <c r="M2">
        <v>-23.68</v>
      </c>
      <c r="N2" s="39" t="e">
        <v>#N/A</v>
      </c>
      <c r="O2" s="39" t="e">
        <v>#N/A</v>
      </c>
      <c r="P2" s="39" t="e">
        <v>#N/A</v>
      </c>
      <c r="Q2" s="39" t="e">
        <v>#N/A</v>
      </c>
      <c r="R2">
        <v>1598918400</v>
      </c>
      <c r="S2" t="s">
        <v>23</v>
      </c>
      <c r="T2" s="9" t="s">
        <v>24</v>
      </c>
      <c r="U2" s="57">
        <v>25569</v>
      </c>
    </row>
    <row r="3" spans="1:21" ht="16" x14ac:dyDescent="0.2">
      <c r="A3" s="27" t="s">
        <v>25</v>
      </c>
      <c r="B3" s="16">
        <v>0.15</v>
      </c>
      <c r="C3" s="16">
        <v>5.57</v>
      </c>
      <c r="D3" s="28">
        <v>1.3236521109999999</v>
      </c>
      <c r="E3" s="30">
        <v>206923.5949</v>
      </c>
      <c r="F3" s="30">
        <v>367496.74829999998</v>
      </c>
      <c r="G3" s="30" t="s">
        <v>21</v>
      </c>
      <c r="H3" s="16" t="s">
        <v>22</v>
      </c>
      <c r="I3" s="31">
        <v>20</v>
      </c>
      <c r="J3" s="16" t="e">
        <f>NA()</f>
        <v>#N/A</v>
      </c>
      <c r="K3" s="28">
        <v>1.3236521109999999</v>
      </c>
      <c r="L3" s="29">
        <v>1.1599999999999999</v>
      </c>
      <c r="M3" s="16">
        <v>-23.74</v>
      </c>
      <c r="N3" s="39" t="e">
        <v>#N/A</v>
      </c>
      <c r="O3" s="39" t="e">
        <v>#N/A</v>
      </c>
      <c r="P3" s="39" t="e">
        <v>#N/A</v>
      </c>
      <c r="Q3" s="39" t="e">
        <v>#N/A</v>
      </c>
      <c r="R3">
        <v>1598918400</v>
      </c>
      <c r="S3" t="s">
        <v>23</v>
      </c>
      <c r="T3" s="15" t="s">
        <v>26</v>
      </c>
    </row>
    <row r="4" spans="1:21" ht="48" x14ac:dyDescent="0.2">
      <c r="A4" s="27" t="s">
        <v>27</v>
      </c>
      <c r="B4" s="16">
        <v>0.08</v>
      </c>
      <c r="C4" s="16">
        <v>5.01</v>
      </c>
      <c r="D4" s="28">
        <v>1.5151961279999999</v>
      </c>
      <c r="E4" s="30">
        <v>206923.5949</v>
      </c>
      <c r="F4" s="30">
        <v>367496.74829999998</v>
      </c>
      <c r="G4" s="30" t="s">
        <v>21</v>
      </c>
      <c r="H4" s="16" t="s">
        <v>22</v>
      </c>
      <c r="I4" s="31">
        <v>30</v>
      </c>
      <c r="J4" s="16" t="e">
        <f>NA()</f>
        <v>#N/A</v>
      </c>
      <c r="K4" s="28">
        <v>1.5151961279999999</v>
      </c>
      <c r="L4" s="29">
        <v>0.4</v>
      </c>
      <c r="M4" s="16">
        <v>-23.16</v>
      </c>
      <c r="N4" s="39" t="e">
        <v>#N/A</v>
      </c>
      <c r="O4" s="39" t="e">
        <v>#N/A</v>
      </c>
      <c r="P4" s="39" t="e">
        <v>#N/A</v>
      </c>
      <c r="Q4" s="39" t="e">
        <v>#N/A</v>
      </c>
      <c r="R4">
        <v>1598918400</v>
      </c>
      <c r="S4" t="s">
        <v>23</v>
      </c>
      <c r="T4" s="7" t="s">
        <v>28</v>
      </c>
    </row>
    <row r="5" spans="1:21" ht="16" x14ac:dyDescent="0.2">
      <c r="A5" s="27" t="s">
        <v>29</v>
      </c>
      <c r="B5" s="16">
        <v>7.0000000000000007E-2</v>
      </c>
      <c r="C5" s="16">
        <v>3.5249999999999999</v>
      </c>
      <c r="D5" s="28">
        <v>1.532940492</v>
      </c>
      <c r="E5" s="30">
        <v>206923.5949</v>
      </c>
      <c r="F5" s="30">
        <v>367496.74829999998</v>
      </c>
      <c r="G5" s="30" t="s">
        <v>21</v>
      </c>
      <c r="H5" s="16" t="s">
        <v>22</v>
      </c>
      <c r="I5" s="31">
        <v>60</v>
      </c>
      <c r="J5" s="16" t="e">
        <f>NA()</f>
        <v>#N/A</v>
      </c>
      <c r="K5" s="28">
        <v>1.532940492</v>
      </c>
      <c r="L5" s="29">
        <v>0.17499999999999999</v>
      </c>
      <c r="M5" s="16">
        <v>-22.63</v>
      </c>
      <c r="N5" s="39" t="e">
        <v>#N/A</v>
      </c>
      <c r="O5" s="39" t="e">
        <v>#N/A</v>
      </c>
      <c r="P5" s="39" t="e">
        <v>#N/A</v>
      </c>
      <c r="Q5" s="39" t="e">
        <v>#N/A</v>
      </c>
      <c r="R5">
        <v>1598918400</v>
      </c>
      <c r="S5" t="s">
        <v>23</v>
      </c>
      <c r="T5" s="56" t="s">
        <v>30</v>
      </c>
    </row>
    <row r="6" spans="1:21" ht="16" x14ac:dyDescent="0.2">
      <c r="A6" s="27" t="s">
        <v>31</v>
      </c>
      <c r="B6" s="16">
        <v>0.04</v>
      </c>
      <c r="C6" s="16">
        <v>3.16</v>
      </c>
      <c r="D6" s="28">
        <v>1.4451012560000001</v>
      </c>
      <c r="E6" s="30">
        <v>206923.5949</v>
      </c>
      <c r="F6" s="30">
        <v>367496.74829999998</v>
      </c>
      <c r="G6" s="30" t="s">
        <v>21</v>
      </c>
      <c r="H6" s="16" t="s">
        <v>22</v>
      </c>
      <c r="I6" s="31">
        <v>100</v>
      </c>
      <c r="J6" s="16" t="e">
        <f>NA()</f>
        <v>#N/A</v>
      </c>
      <c r="K6" s="28">
        <v>1.4451012560000001</v>
      </c>
      <c r="L6" s="29">
        <v>0.11</v>
      </c>
      <c r="M6" s="16">
        <v>-25.34</v>
      </c>
      <c r="N6" s="39" t="e">
        <v>#N/A</v>
      </c>
      <c r="O6" s="39" t="e">
        <v>#N/A</v>
      </c>
      <c r="P6" s="39" t="e">
        <v>#N/A</v>
      </c>
      <c r="Q6" s="39" t="e">
        <v>#N/A</v>
      </c>
      <c r="R6">
        <v>1598918400</v>
      </c>
      <c r="S6" t="s">
        <v>23</v>
      </c>
      <c r="T6" s="6" t="s">
        <v>32</v>
      </c>
    </row>
    <row r="7" spans="1:21" ht="32" x14ac:dyDescent="0.2">
      <c r="A7" s="27" t="s">
        <v>33</v>
      </c>
      <c r="B7" s="16">
        <v>0.17</v>
      </c>
      <c r="C7" s="16">
        <v>5.23</v>
      </c>
      <c r="D7" s="28">
        <v>1.351932879</v>
      </c>
      <c r="E7" s="30">
        <v>207422.44510000001</v>
      </c>
      <c r="F7" s="30">
        <v>366364.82120000001</v>
      </c>
      <c r="G7" s="30" t="s">
        <v>34</v>
      </c>
      <c r="H7" s="16" t="s">
        <v>22</v>
      </c>
      <c r="I7" s="31">
        <v>10</v>
      </c>
      <c r="J7" s="16" t="e">
        <f>NA()</f>
        <v>#N/A</v>
      </c>
      <c r="K7" s="28">
        <v>1.351932879</v>
      </c>
      <c r="L7" s="29">
        <v>1.1499999999999999</v>
      </c>
      <c r="M7" s="16">
        <v>-24.49</v>
      </c>
      <c r="N7" s="39" t="e">
        <v>#N/A</v>
      </c>
      <c r="O7" s="39" t="e">
        <v>#N/A</v>
      </c>
      <c r="P7" s="39" t="e">
        <v>#N/A</v>
      </c>
      <c r="Q7" s="39" t="e">
        <v>#N/A</v>
      </c>
      <c r="R7">
        <v>1598918400</v>
      </c>
      <c r="S7" t="s">
        <v>23</v>
      </c>
      <c r="T7" s="7" t="s">
        <v>35</v>
      </c>
    </row>
    <row r="8" spans="1:21" ht="32" x14ac:dyDescent="0.2">
      <c r="A8" s="27" t="s">
        <v>36</v>
      </c>
      <c r="B8" s="16">
        <v>0.16</v>
      </c>
      <c r="C8" s="16">
        <v>5.0199999999999996</v>
      </c>
      <c r="D8" s="28">
        <v>1.403294786</v>
      </c>
      <c r="E8" s="30">
        <v>207422.44510000001</v>
      </c>
      <c r="F8" s="30">
        <v>366364.82120000001</v>
      </c>
      <c r="G8" s="30" t="s">
        <v>34</v>
      </c>
      <c r="H8" s="16" t="s">
        <v>22</v>
      </c>
      <c r="I8" s="31">
        <v>20</v>
      </c>
      <c r="J8" s="16" t="e">
        <f>NA()</f>
        <v>#N/A</v>
      </c>
      <c r="K8" s="28">
        <v>1.403294786</v>
      </c>
      <c r="L8" s="29">
        <v>1.29</v>
      </c>
      <c r="M8" s="16">
        <v>-24.74</v>
      </c>
      <c r="N8" s="39" t="e">
        <v>#N/A</v>
      </c>
      <c r="O8" s="39" t="e">
        <v>#N/A</v>
      </c>
      <c r="P8" s="39" t="e">
        <v>#N/A</v>
      </c>
      <c r="Q8" s="39" t="e">
        <v>#N/A</v>
      </c>
      <c r="R8">
        <v>1598918400</v>
      </c>
      <c r="S8" t="s">
        <v>23</v>
      </c>
      <c r="T8" s="7" t="s">
        <v>37</v>
      </c>
    </row>
    <row r="9" spans="1:21" ht="16" x14ac:dyDescent="0.2">
      <c r="A9" s="27" t="s">
        <v>38</v>
      </c>
      <c r="B9" s="16">
        <v>0.08</v>
      </c>
      <c r="C9" s="16">
        <v>5.25</v>
      </c>
      <c r="D9" s="28">
        <v>1.5334634229999999</v>
      </c>
      <c r="E9" s="30">
        <v>207422.44510000001</v>
      </c>
      <c r="F9" s="30">
        <v>366364.82120000001</v>
      </c>
      <c r="G9" s="30" t="s">
        <v>34</v>
      </c>
      <c r="H9" s="16" t="s">
        <v>22</v>
      </c>
      <c r="I9" s="31">
        <v>30</v>
      </c>
      <c r="J9" s="16" t="e">
        <f>NA()</f>
        <v>#N/A</v>
      </c>
      <c r="K9" s="28">
        <v>1.5334634229999999</v>
      </c>
      <c r="L9" s="29">
        <v>0.45</v>
      </c>
      <c r="M9" s="16">
        <v>-23.08</v>
      </c>
      <c r="N9" s="39" t="e">
        <v>#N/A</v>
      </c>
      <c r="O9" s="39" t="e">
        <v>#N/A</v>
      </c>
      <c r="P9" s="39" t="e">
        <v>#N/A</v>
      </c>
      <c r="Q9" s="39" t="e">
        <v>#N/A</v>
      </c>
      <c r="R9">
        <v>1598918400</v>
      </c>
      <c r="S9" t="s">
        <v>23</v>
      </c>
    </row>
    <row r="10" spans="1:21" ht="16" x14ac:dyDescent="0.2">
      <c r="A10" s="27" t="s">
        <v>39</v>
      </c>
      <c r="B10" s="16">
        <v>0.09</v>
      </c>
      <c r="C10" s="16">
        <v>1.73</v>
      </c>
      <c r="D10" s="28">
        <v>1.544672491</v>
      </c>
      <c r="E10" s="30">
        <v>207422.44510000001</v>
      </c>
      <c r="F10" s="30">
        <v>366364.82120000001</v>
      </c>
      <c r="G10" s="30" t="s">
        <v>34</v>
      </c>
      <c r="H10" s="16" t="s">
        <v>22</v>
      </c>
      <c r="I10" s="31">
        <v>60</v>
      </c>
      <c r="J10" s="16" t="e">
        <f>NA()</f>
        <v>#N/A</v>
      </c>
      <c r="K10" s="28">
        <v>1.544672491</v>
      </c>
      <c r="L10" s="29">
        <v>1.1399999999999999</v>
      </c>
      <c r="M10" s="16">
        <v>-19.07</v>
      </c>
      <c r="N10" s="39" t="e">
        <v>#N/A</v>
      </c>
      <c r="O10" s="39" t="e">
        <v>#N/A</v>
      </c>
      <c r="P10" s="39" t="e">
        <v>#N/A</v>
      </c>
      <c r="Q10" s="39" t="e">
        <v>#N/A</v>
      </c>
      <c r="R10">
        <v>1598918400</v>
      </c>
      <c r="S10" t="s">
        <v>23</v>
      </c>
    </row>
    <row r="11" spans="1:21" ht="16" x14ac:dyDescent="0.2">
      <c r="A11" s="27" t="s">
        <v>40</v>
      </c>
      <c r="B11" s="16">
        <v>7.0000000000000007E-2</v>
      </c>
      <c r="C11" s="16">
        <v>2.38</v>
      </c>
      <c r="D11" s="28">
        <v>1.504430202</v>
      </c>
      <c r="E11" s="30">
        <v>207422.44510000001</v>
      </c>
      <c r="F11" s="30">
        <v>366364.82120000001</v>
      </c>
      <c r="G11" s="30" t="s">
        <v>34</v>
      </c>
      <c r="H11" s="16" t="s">
        <v>22</v>
      </c>
      <c r="I11" s="31">
        <v>100</v>
      </c>
      <c r="J11" s="16" t="e">
        <f>NA()</f>
        <v>#N/A</v>
      </c>
      <c r="K11" s="28">
        <v>1.504430202</v>
      </c>
      <c r="L11" s="29">
        <v>0.96</v>
      </c>
      <c r="M11" s="16">
        <v>-13.98</v>
      </c>
      <c r="N11" s="39" t="e">
        <v>#N/A</v>
      </c>
      <c r="O11" s="39" t="e">
        <v>#N/A</v>
      </c>
      <c r="P11" s="39" t="e">
        <v>#N/A</v>
      </c>
      <c r="Q11" s="39" t="e">
        <v>#N/A</v>
      </c>
      <c r="R11">
        <v>1598918400</v>
      </c>
      <c r="S11" t="s">
        <v>23</v>
      </c>
    </row>
    <row r="12" spans="1:21" ht="16" x14ac:dyDescent="0.2">
      <c r="A12" s="27" t="s">
        <v>41</v>
      </c>
      <c r="B12" s="16">
        <v>0.16</v>
      </c>
      <c r="C12" s="16">
        <v>4.3</v>
      </c>
      <c r="D12" s="28">
        <v>0.93094835600000003</v>
      </c>
      <c r="E12" s="30">
        <v>207224.80119999999</v>
      </c>
      <c r="F12" s="30">
        <v>364768.04080000002</v>
      </c>
      <c r="G12" s="30" t="s">
        <v>42</v>
      </c>
      <c r="H12" s="30" t="s">
        <v>43</v>
      </c>
      <c r="I12" s="31">
        <v>10</v>
      </c>
      <c r="J12" s="28">
        <v>0.22408963600000001</v>
      </c>
      <c r="K12" s="28">
        <v>0.92886219699999995</v>
      </c>
      <c r="L12" s="29">
        <v>1.6867043479999999</v>
      </c>
      <c r="M12" s="16">
        <v>-21.55</v>
      </c>
      <c r="N12" s="39" t="e">
        <v>#N/A</v>
      </c>
      <c r="O12" s="39" t="e">
        <v>#N/A</v>
      </c>
      <c r="P12" s="39" t="e">
        <v>#N/A</v>
      </c>
      <c r="Q12" s="39" t="e">
        <v>#N/A</v>
      </c>
      <c r="R12" s="15">
        <v>1606176000</v>
      </c>
      <c r="S12" t="s">
        <v>23</v>
      </c>
    </row>
    <row r="13" spans="1:21" ht="16" x14ac:dyDescent="0.2">
      <c r="A13" s="27" t="s">
        <v>44</v>
      </c>
      <c r="B13" s="16">
        <v>0.16</v>
      </c>
      <c r="C13" s="16">
        <v>4.7</v>
      </c>
      <c r="D13" s="28">
        <v>1.374130898</v>
      </c>
      <c r="E13" s="30">
        <v>207224.80119999999</v>
      </c>
      <c r="F13" s="30">
        <v>364768.04080000002</v>
      </c>
      <c r="G13" s="30" t="s">
        <v>42</v>
      </c>
      <c r="H13" s="30" t="s">
        <v>43</v>
      </c>
      <c r="I13" s="31">
        <v>20</v>
      </c>
      <c r="J13" s="28">
        <v>0.50767278199999999</v>
      </c>
      <c r="K13" s="28">
        <v>1.3671548099999999</v>
      </c>
      <c r="L13" s="29">
        <v>1.4858071980000001</v>
      </c>
      <c r="M13" s="16">
        <v>-21.2</v>
      </c>
      <c r="N13" s="39" t="e">
        <v>#N/A</v>
      </c>
      <c r="O13" s="39" t="e">
        <v>#N/A</v>
      </c>
      <c r="P13" s="39" t="e">
        <v>#N/A</v>
      </c>
      <c r="Q13" s="39" t="e">
        <v>#N/A</v>
      </c>
      <c r="R13" s="15">
        <v>1606176000</v>
      </c>
      <c r="S13" t="s">
        <v>23</v>
      </c>
    </row>
    <row r="14" spans="1:21" ht="16" x14ac:dyDescent="0.2">
      <c r="A14" s="27" t="s">
        <v>45</v>
      </c>
      <c r="B14" s="16">
        <v>0.11</v>
      </c>
      <c r="C14" s="16">
        <v>5</v>
      </c>
      <c r="D14" s="28">
        <v>1.421491104</v>
      </c>
      <c r="E14" s="30">
        <v>207224.80119999999</v>
      </c>
      <c r="F14" s="30">
        <v>364768.04080000002</v>
      </c>
      <c r="G14" s="30" t="s">
        <v>42</v>
      </c>
      <c r="H14" s="30" t="s">
        <v>43</v>
      </c>
      <c r="I14" s="31">
        <v>30</v>
      </c>
      <c r="J14" s="28">
        <v>0.32316803100000002</v>
      </c>
      <c r="K14" s="28">
        <v>1.4168973</v>
      </c>
      <c r="L14" s="29">
        <v>1.0520801820000001</v>
      </c>
      <c r="M14" s="16">
        <v>-21.9</v>
      </c>
      <c r="N14" s="39" t="e">
        <v>#N/A</v>
      </c>
      <c r="O14" s="39" t="e">
        <v>#N/A</v>
      </c>
      <c r="P14" s="39" t="e">
        <v>#N/A</v>
      </c>
      <c r="Q14" s="39" t="e">
        <v>#N/A</v>
      </c>
      <c r="R14" s="15">
        <v>1606176000</v>
      </c>
      <c r="S14" t="s">
        <v>23</v>
      </c>
    </row>
    <row r="15" spans="1:21" ht="16" x14ac:dyDescent="0.2">
      <c r="A15" s="27" t="s">
        <v>46</v>
      </c>
      <c r="B15" s="16">
        <v>5.7000000000000002E-2</v>
      </c>
      <c r="C15" s="16">
        <v>6.3</v>
      </c>
      <c r="D15" s="28">
        <v>1.5503735359999999</v>
      </c>
      <c r="E15" s="30">
        <v>207224.80119999999</v>
      </c>
      <c r="F15" s="30">
        <v>364768.04080000002</v>
      </c>
      <c r="G15" s="30" t="s">
        <v>42</v>
      </c>
      <c r="H15" s="30" t="s">
        <v>43</v>
      </c>
      <c r="I15" s="31">
        <v>40</v>
      </c>
      <c r="J15" s="28">
        <v>0.27986303200000001</v>
      </c>
      <c r="K15" s="28">
        <v>1.5460346140000001</v>
      </c>
      <c r="L15" s="29">
        <v>0.49196556800000002</v>
      </c>
      <c r="M15" s="16">
        <v>-22.5</v>
      </c>
      <c r="N15" s="39" t="e">
        <v>#N/A</v>
      </c>
      <c r="O15" s="39" t="e">
        <v>#N/A</v>
      </c>
      <c r="P15" s="39" t="e">
        <v>#N/A</v>
      </c>
      <c r="Q15" s="39" t="e">
        <v>#N/A</v>
      </c>
      <c r="R15" s="15">
        <v>1606176000</v>
      </c>
      <c r="S15" t="s">
        <v>23</v>
      </c>
    </row>
    <row r="16" spans="1:21" ht="16" x14ac:dyDescent="0.2">
      <c r="A16" s="27" t="s">
        <v>47</v>
      </c>
      <c r="B16" s="16">
        <v>4.3999999999999997E-2</v>
      </c>
      <c r="C16" s="16">
        <v>6.4</v>
      </c>
      <c r="D16" s="28">
        <v>1.7626099690000001</v>
      </c>
      <c r="E16" s="30">
        <v>207224.80119999999</v>
      </c>
      <c r="F16" s="30">
        <v>364768.04080000002</v>
      </c>
      <c r="G16" s="30" t="s">
        <v>42</v>
      </c>
      <c r="H16" s="30" t="s">
        <v>43</v>
      </c>
      <c r="I16" s="31">
        <v>50</v>
      </c>
      <c r="J16" s="28">
        <v>0.56690273899999999</v>
      </c>
      <c r="K16" s="28">
        <v>1.7526176849999999</v>
      </c>
      <c r="L16" s="29">
        <v>0.232570529</v>
      </c>
      <c r="M16" s="16">
        <v>-20.9</v>
      </c>
      <c r="N16" s="39" t="e">
        <v>#N/A</v>
      </c>
      <c r="O16" s="39" t="e">
        <v>#N/A</v>
      </c>
      <c r="P16" s="39" t="e">
        <v>#N/A</v>
      </c>
      <c r="Q16" s="39" t="e">
        <v>#N/A</v>
      </c>
      <c r="R16" s="15">
        <v>1606176000</v>
      </c>
      <c r="S16" t="s">
        <v>23</v>
      </c>
    </row>
    <row r="17" spans="1:19" ht="16" x14ac:dyDescent="0.2">
      <c r="A17" s="27" t="s">
        <v>48</v>
      </c>
      <c r="B17" s="16">
        <v>0.14000000000000001</v>
      </c>
      <c r="C17" s="16">
        <v>4.0999999999999996</v>
      </c>
      <c r="D17" s="28">
        <v>1.049476276</v>
      </c>
      <c r="E17" s="30">
        <v>210334.73490000001</v>
      </c>
      <c r="F17" s="30">
        <v>370225.49969999999</v>
      </c>
      <c r="G17" s="30" t="s">
        <v>49</v>
      </c>
      <c r="H17" s="30" t="s">
        <v>43</v>
      </c>
      <c r="I17" s="31">
        <v>10</v>
      </c>
      <c r="J17" s="28">
        <v>20.333422160000001</v>
      </c>
      <c r="K17" s="28">
        <v>0.836081835</v>
      </c>
      <c r="L17" s="29">
        <v>1.4153126599999999</v>
      </c>
      <c r="M17" s="16">
        <v>-23.5</v>
      </c>
      <c r="N17" s="39" t="e">
        <v>#N/A</v>
      </c>
      <c r="O17" s="39" t="e">
        <v>#N/A</v>
      </c>
      <c r="P17" s="39" t="e">
        <v>#N/A</v>
      </c>
      <c r="Q17" s="39" t="e">
        <v>#N/A</v>
      </c>
      <c r="R17" s="15">
        <v>1606176000</v>
      </c>
      <c r="S17" t="s">
        <v>23</v>
      </c>
    </row>
    <row r="18" spans="1:19" ht="16" x14ac:dyDescent="0.2">
      <c r="A18" s="27" t="s">
        <v>50</v>
      </c>
      <c r="B18" s="16">
        <v>8.6999999999999994E-2</v>
      </c>
      <c r="C18" s="16">
        <v>4.9000000000000004</v>
      </c>
      <c r="D18" s="28">
        <v>1.307897716</v>
      </c>
      <c r="E18" s="30">
        <v>210334.73490000001</v>
      </c>
      <c r="F18" s="30">
        <v>370225.49969999999</v>
      </c>
      <c r="G18" s="30" t="s">
        <v>49</v>
      </c>
      <c r="H18" s="30" t="s">
        <v>43</v>
      </c>
      <c r="I18" s="31">
        <v>20</v>
      </c>
      <c r="J18" s="28">
        <v>22.735662380000001</v>
      </c>
      <c r="K18" s="28">
        <v>1.0105385069999999</v>
      </c>
      <c r="L18" s="29">
        <v>0.69326623899999995</v>
      </c>
      <c r="M18" s="16">
        <v>-22.9</v>
      </c>
      <c r="N18" s="39" t="e">
        <v>#N/A</v>
      </c>
      <c r="O18" s="39" t="e">
        <v>#N/A</v>
      </c>
      <c r="P18" s="39" t="e">
        <v>#N/A</v>
      </c>
      <c r="Q18" s="39" t="e">
        <v>#N/A</v>
      </c>
      <c r="R18" s="15">
        <v>1606176000</v>
      </c>
      <c r="S18" t="s">
        <v>23</v>
      </c>
    </row>
    <row r="19" spans="1:19" ht="16" x14ac:dyDescent="0.2">
      <c r="A19" s="27" t="s">
        <v>51</v>
      </c>
      <c r="B19" s="16">
        <v>8.3000000000000004E-2</v>
      </c>
      <c r="C19" s="16">
        <v>5.5</v>
      </c>
      <c r="D19" s="28">
        <v>1.583434767</v>
      </c>
      <c r="E19" s="30">
        <v>210334.73490000001</v>
      </c>
      <c r="F19" s="30">
        <v>370225.49969999999</v>
      </c>
      <c r="G19" s="30" t="s">
        <v>49</v>
      </c>
      <c r="H19" s="30" t="s">
        <v>43</v>
      </c>
      <c r="I19" s="31">
        <v>30</v>
      </c>
      <c r="J19" s="28">
        <v>19.16027991</v>
      </c>
      <c r="K19" s="28">
        <v>1.280044234</v>
      </c>
      <c r="L19" s="29">
        <v>0.64457492000000005</v>
      </c>
      <c r="M19" s="16">
        <v>-23.8</v>
      </c>
      <c r="N19" s="39" t="e">
        <v>#N/A</v>
      </c>
      <c r="O19" s="39" t="e">
        <v>#N/A</v>
      </c>
      <c r="P19" s="39" t="e">
        <v>#N/A</v>
      </c>
      <c r="Q19" s="39" t="e">
        <v>#N/A</v>
      </c>
      <c r="R19" s="15">
        <v>1606176000</v>
      </c>
      <c r="S19" t="s">
        <v>23</v>
      </c>
    </row>
    <row r="20" spans="1:19" ht="16" x14ac:dyDescent="0.2">
      <c r="A20" s="27" t="s">
        <v>52</v>
      </c>
      <c r="B20" s="16">
        <v>7.5999999999999998E-2</v>
      </c>
      <c r="C20" s="16">
        <v>5.2</v>
      </c>
      <c r="D20" s="28">
        <v>1.58564952</v>
      </c>
      <c r="E20" s="30">
        <v>210334.73490000001</v>
      </c>
      <c r="F20" s="30">
        <v>370225.49969999999</v>
      </c>
      <c r="G20" s="30" t="s">
        <v>49</v>
      </c>
      <c r="H20" s="30" t="s">
        <v>43</v>
      </c>
      <c r="I20" s="31">
        <v>40</v>
      </c>
      <c r="J20" s="28">
        <v>25.744119260000002</v>
      </c>
      <c r="K20" s="28">
        <v>1.177438016</v>
      </c>
      <c r="L20" s="29">
        <v>0.57995209800000003</v>
      </c>
      <c r="M20" s="16">
        <v>-24.1</v>
      </c>
      <c r="N20" s="39" t="e">
        <v>#N/A</v>
      </c>
      <c r="O20" s="39" t="e">
        <v>#N/A</v>
      </c>
      <c r="P20" s="39" t="e">
        <v>#N/A</v>
      </c>
      <c r="Q20" s="39" t="e">
        <v>#N/A</v>
      </c>
      <c r="R20" s="15">
        <v>1606176000</v>
      </c>
      <c r="S20" t="s">
        <v>23</v>
      </c>
    </row>
    <row r="21" spans="1:19" ht="16" x14ac:dyDescent="0.2">
      <c r="A21" s="27" t="s">
        <v>53</v>
      </c>
      <c r="B21" s="16">
        <v>4.9000000000000002E-2</v>
      </c>
      <c r="C21" s="16">
        <v>4.8</v>
      </c>
      <c r="D21" s="28">
        <v>2.0728127949999999</v>
      </c>
      <c r="E21" s="30">
        <v>210334.73490000001</v>
      </c>
      <c r="F21" s="30">
        <v>370225.49969999999</v>
      </c>
      <c r="G21" s="30" t="s">
        <v>49</v>
      </c>
      <c r="H21" s="30" t="s">
        <v>43</v>
      </c>
      <c r="I21" s="31">
        <v>50</v>
      </c>
      <c r="J21" s="28">
        <v>22.542137159999999</v>
      </c>
      <c r="K21" s="28">
        <v>1.605556491</v>
      </c>
      <c r="L21" s="29">
        <v>0.22671672300000001</v>
      </c>
      <c r="M21" s="16">
        <v>-24.3</v>
      </c>
      <c r="N21" s="39" t="e">
        <v>#N/A</v>
      </c>
      <c r="O21" s="39" t="e">
        <v>#N/A</v>
      </c>
      <c r="P21" s="39" t="e">
        <v>#N/A</v>
      </c>
      <c r="Q21" s="39" t="e">
        <v>#N/A</v>
      </c>
      <c r="R21" s="15">
        <v>1606176000</v>
      </c>
      <c r="S21" t="s">
        <v>23</v>
      </c>
    </row>
    <row r="22" spans="1:19" ht="16" x14ac:dyDescent="0.2">
      <c r="A22" s="27" t="s">
        <v>54</v>
      </c>
      <c r="B22" s="16">
        <v>0.2</v>
      </c>
      <c r="C22" s="16">
        <v>6.5</v>
      </c>
      <c r="D22" s="28">
        <v>0.95122941699999997</v>
      </c>
      <c r="E22" s="30">
        <v>209805.76439999999</v>
      </c>
      <c r="F22" s="30">
        <v>368632.92560000002</v>
      </c>
      <c r="G22" s="30" t="s">
        <v>55</v>
      </c>
      <c r="H22" s="30" t="s">
        <v>43</v>
      </c>
      <c r="I22" s="31">
        <v>10</v>
      </c>
      <c r="J22" s="28">
        <v>0.35561409300000002</v>
      </c>
      <c r="K22" s="28">
        <v>0.94784671099999995</v>
      </c>
      <c r="L22" s="29">
        <v>2.0485124159999999</v>
      </c>
      <c r="M22" s="16">
        <v>-24.8</v>
      </c>
      <c r="N22" s="39" t="e">
        <v>#N/A</v>
      </c>
      <c r="O22" s="39" t="e">
        <v>#N/A</v>
      </c>
      <c r="P22" s="39" t="e">
        <v>#N/A</v>
      </c>
      <c r="Q22" s="39" t="e">
        <v>#N/A</v>
      </c>
      <c r="R22" s="15">
        <v>1605916800</v>
      </c>
      <c r="S22" t="s">
        <v>23</v>
      </c>
    </row>
    <row r="23" spans="1:19" ht="16" x14ac:dyDescent="0.2">
      <c r="A23" s="27" t="s">
        <v>56</v>
      </c>
      <c r="B23" s="16">
        <v>0.17</v>
      </c>
      <c r="C23" s="16">
        <v>6</v>
      </c>
      <c r="D23" s="28">
        <v>1.1795813020000001</v>
      </c>
      <c r="E23" s="30">
        <v>209805.76439999999</v>
      </c>
      <c r="F23" s="30">
        <v>368632.92560000002</v>
      </c>
      <c r="G23" s="30" t="s">
        <v>55</v>
      </c>
      <c r="H23" s="30" t="s">
        <v>43</v>
      </c>
      <c r="I23" s="31">
        <v>20</v>
      </c>
      <c r="J23" s="28">
        <v>0.27378167199999998</v>
      </c>
      <c r="K23" s="28">
        <v>1.176351825</v>
      </c>
      <c r="L23" s="29">
        <v>1.7064424920000001</v>
      </c>
      <c r="M23" s="16">
        <v>-24.8</v>
      </c>
      <c r="N23" s="39" t="e">
        <v>#N/A</v>
      </c>
      <c r="O23" s="39" t="e">
        <v>#N/A</v>
      </c>
      <c r="P23" s="39" t="e">
        <v>#N/A</v>
      </c>
      <c r="Q23" s="39" t="e">
        <v>#N/A</v>
      </c>
      <c r="R23" s="15">
        <v>1605916800</v>
      </c>
      <c r="S23" t="s">
        <v>23</v>
      </c>
    </row>
    <row r="24" spans="1:19" ht="16" x14ac:dyDescent="0.2">
      <c r="A24" s="27" t="s">
        <v>57</v>
      </c>
      <c r="B24" s="16">
        <v>0.12</v>
      </c>
      <c r="C24" s="16">
        <v>6.2</v>
      </c>
      <c r="D24" s="28">
        <v>1.2875131150000001</v>
      </c>
      <c r="E24" s="30">
        <v>209805.76439999999</v>
      </c>
      <c r="F24" s="30">
        <v>368632.92560000002</v>
      </c>
      <c r="G24" s="30" t="s">
        <v>55</v>
      </c>
      <c r="H24" s="30" t="s">
        <v>43</v>
      </c>
      <c r="I24" s="31">
        <v>30</v>
      </c>
      <c r="J24" s="28">
        <v>0.36006871000000001</v>
      </c>
      <c r="K24" s="28">
        <v>1.2828771830000001</v>
      </c>
      <c r="L24" s="29">
        <v>1.4837344260000001</v>
      </c>
      <c r="M24" s="16">
        <v>-24.6</v>
      </c>
      <c r="N24" s="39" t="e">
        <v>#N/A</v>
      </c>
      <c r="O24" s="39" t="e">
        <v>#N/A</v>
      </c>
      <c r="P24" s="39" t="e">
        <v>#N/A</v>
      </c>
      <c r="Q24" s="39" t="e">
        <v>#N/A</v>
      </c>
      <c r="R24" s="15">
        <v>1605916800</v>
      </c>
      <c r="S24" t="s">
        <v>23</v>
      </c>
    </row>
    <row r="25" spans="1:19" ht="16" x14ac:dyDescent="0.2">
      <c r="A25" s="27" t="s">
        <v>58</v>
      </c>
      <c r="B25" s="16">
        <v>6.5000000000000002E-2</v>
      </c>
      <c r="C25" s="16">
        <v>6.7</v>
      </c>
      <c r="D25" s="28">
        <v>1.3523696599999999</v>
      </c>
      <c r="E25" s="30">
        <v>209805.76439999999</v>
      </c>
      <c r="F25" s="30">
        <v>368632.92560000002</v>
      </c>
      <c r="G25" s="30" t="s">
        <v>55</v>
      </c>
      <c r="H25" s="30" t="s">
        <v>43</v>
      </c>
      <c r="I25" s="31">
        <v>40</v>
      </c>
      <c r="J25" s="28">
        <v>0.74289143700000004</v>
      </c>
      <c r="K25" s="28">
        <v>1.3423230209999999</v>
      </c>
      <c r="L25" s="29">
        <v>0.51855667400000005</v>
      </c>
      <c r="M25" s="16">
        <v>-23.5</v>
      </c>
      <c r="N25" s="39" t="e">
        <v>#N/A</v>
      </c>
      <c r="O25" s="39" t="e">
        <v>#N/A</v>
      </c>
      <c r="P25" s="39" t="e">
        <v>#N/A</v>
      </c>
      <c r="Q25" s="39" t="e">
        <v>#N/A</v>
      </c>
      <c r="R25" s="15">
        <v>1605916800</v>
      </c>
      <c r="S25" t="s">
        <v>23</v>
      </c>
    </row>
    <row r="26" spans="1:19" ht="16" x14ac:dyDescent="0.2">
      <c r="A26" s="27" t="s">
        <v>59</v>
      </c>
      <c r="B26" s="16">
        <v>5.7000000000000002E-2</v>
      </c>
      <c r="C26" s="16">
        <v>6.3</v>
      </c>
      <c r="D26" s="28">
        <v>1.268862677</v>
      </c>
      <c r="E26" s="30">
        <v>209805.76439999999</v>
      </c>
      <c r="F26" s="30">
        <v>368632.92560000002</v>
      </c>
      <c r="G26" s="30" t="s">
        <v>55</v>
      </c>
      <c r="H26" s="30" t="s">
        <v>43</v>
      </c>
      <c r="I26" s="31">
        <v>50</v>
      </c>
      <c r="J26" s="28">
        <v>0.29190300899999999</v>
      </c>
      <c r="K26" s="28">
        <v>1.2651588279999999</v>
      </c>
      <c r="L26" s="29">
        <v>0.392645401</v>
      </c>
      <c r="M26" s="16">
        <v>-23.6</v>
      </c>
      <c r="N26" s="39" t="e">
        <v>#N/A</v>
      </c>
      <c r="O26" s="39" t="e">
        <v>#N/A</v>
      </c>
      <c r="P26" s="39" t="e">
        <v>#N/A</v>
      </c>
      <c r="Q26" s="39" t="e">
        <v>#N/A</v>
      </c>
      <c r="R26" s="15">
        <v>1605916800</v>
      </c>
      <c r="S26" t="s">
        <v>23</v>
      </c>
    </row>
    <row r="27" spans="1:19" ht="16" x14ac:dyDescent="0.2">
      <c r="A27" s="27" t="s">
        <v>60</v>
      </c>
      <c r="B27" s="16">
        <v>0.05</v>
      </c>
      <c r="C27" s="16">
        <v>5.5</v>
      </c>
      <c r="D27" s="28">
        <v>1.359218238</v>
      </c>
      <c r="E27" s="30">
        <v>209805.76439999999</v>
      </c>
      <c r="F27" s="30">
        <v>368632.92560000002</v>
      </c>
      <c r="G27" s="30" t="s">
        <v>55</v>
      </c>
      <c r="H27" s="30" t="s">
        <v>43</v>
      </c>
      <c r="I27" s="31">
        <v>60</v>
      </c>
      <c r="J27" s="28">
        <v>0.15780730900000001</v>
      </c>
      <c r="K27" s="28">
        <v>1.3570732919999999</v>
      </c>
      <c r="L27" s="29">
        <v>0.32984623800000001</v>
      </c>
      <c r="M27" s="16">
        <v>-23.8</v>
      </c>
      <c r="N27" s="39" t="e">
        <v>#N/A</v>
      </c>
      <c r="O27" s="39" t="e">
        <v>#N/A</v>
      </c>
      <c r="P27" s="39" t="e">
        <v>#N/A</v>
      </c>
      <c r="Q27" s="39" t="e">
        <v>#N/A</v>
      </c>
      <c r="R27" s="15">
        <v>1605916800</v>
      </c>
      <c r="S27" t="s">
        <v>23</v>
      </c>
    </row>
    <row r="28" spans="1:19" ht="16" x14ac:dyDescent="0.2">
      <c r="A28" s="27" t="s">
        <v>61</v>
      </c>
      <c r="B28" s="16">
        <v>0.04</v>
      </c>
      <c r="C28" s="16">
        <v>5.4</v>
      </c>
      <c r="D28" s="28">
        <v>1.2722381469999999</v>
      </c>
      <c r="E28" s="30">
        <v>209805.76439999999</v>
      </c>
      <c r="F28" s="30">
        <v>368632.92560000002</v>
      </c>
      <c r="G28" s="30" t="s">
        <v>55</v>
      </c>
      <c r="H28" s="30" t="s">
        <v>43</v>
      </c>
      <c r="I28" s="31">
        <v>70</v>
      </c>
      <c r="J28" s="28">
        <v>0</v>
      </c>
      <c r="K28" s="28">
        <v>1.2722381469999999</v>
      </c>
      <c r="L28" s="29">
        <v>0.21823083400000001</v>
      </c>
      <c r="M28" s="16">
        <v>-23.2</v>
      </c>
      <c r="N28" s="39" t="e">
        <v>#N/A</v>
      </c>
      <c r="O28" s="39" t="e">
        <v>#N/A</v>
      </c>
      <c r="P28" s="39" t="e">
        <v>#N/A</v>
      </c>
      <c r="Q28" s="39" t="e">
        <v>#N/A</v>
      </c>
      <c r="R28" s="15">
        <v>1605916800</v>
      </c>
      <c r="S28" t="s">
        <v>23</v>
      </c>
    </row>
    <row r="29" spans="1:19" ht="16" x14ac:dyDescent="0.2">
      <c r="A29" s="27" t="s">
        <v>62</v>
      </c>
      <c r="B29" s="16">
        <v>3.5000000000000003E-2</v>
      </c>
      <c r="C29" s="16">
        <v>5.7</v>
      </c>
      <c r="D29" s="28">
        <v>1.4409230550000001</v>
      </c>
      <c r="E29" s="30">
        <v>209805.76439999999</v>
      </c>
      <c r="F29" s="30">
        <v>368632.92560000002</v>
      </c>
      <c r="G29" s="30" t="s">
        <v>55</v>
      </c>
      <c r="H29" s="30" t="s">
        <v>43</v>
      </c>
      <c r="I29" s="31">
        <v>80</v>
      </c>
      <c r="J29" s="28">
        <v>0</v>
      </c>
      <c r="K29" s="28">
        <v>1.4409230550000001</v>
      </c>
      <c r="L29" s="29">
        <v>0.20927462899999999</v>
      </c>
      <c r="M29" s="16">
        <v>-24.3</v>
      </c>
      <c r="N29" s="39" t="e">
        <v>#N/A</v>
      </c>
      <c r="O29" s="39" t="e">
        <v>#N/A</v>
      </c>
      <c r="P29" s="39" t="e">
        <v>#N/A</v>
      </c>
      <c r="Q29" s="39" t="e">
        <v>#N/A</v>
      </c>
      <c r="R29" s="15">
        <v>1605916800</v>
      </c>
      <c r="S29" t="s">
        <v>23</v>
      </c>
    </row>
    <row r="30" spans="1:19" ht="16" x14ac:dyDescent="0.2">
      <c r="A30" s="27" t="s">
        <v>63</v>
      </c>
      <c r="B30" s="16">
        <v>2.8000000000000001E-2</v>
      </c>
      <c r="C30" s="16">
        <v>5.0999999999999996</v>
      </c>
      <c r="D30" s="28">
        <v>1.3188702160000001</v>
      </c>
      <c r="E30" s="30">
        <v>209805.76439999999</v>
      </c>
      <c r="F30" s="30">
        <v>368632.92560000002</v>
      </c>
      <c r="G30" s="30" t="s">
        <v>55</v>
      </c>
      <c r="H30" s="30" t="s">
        <v>43</v>
      </c>
      <c r="I30" s="31">
        <v>90</v>
      </c>
      <c r="J30" s="28">
        <v>0</v>
      </c>
      <c r="K30" s="28">
        <v>1.3188702160000001</v>
      </c>
      <c r="L30" s="29">
        <v>0.13798200499999999</v>
      </c>
      <c r="M30" s="16">
        <v>-23.8</v>
      </c>
      <c r="N30" s="39" t="e">
        <v>#N/A</v>
      </c>
      <c r="O30" s="39" t="e">
        <v>#N/A</v>
      </c>
      <c r="P30" s="39" t="e">
        <v>#N/A</v>
      </c>
      <c r="Q30" s="39" t="e">
        <v>#N/A</v>
      </c>
      <c r="R30" s="15">
        <v>1605916800</v>
      </c>
      <c r="S30" t="s">
        <v>23</v>
      </c>
    </row>
    <row r="31" spans="1:19" ht="16" x14ac:dyDescent="0.2">
      <c r="A31" s="27" t="s">
        <v>64</v>
      </c>
      <c r="B31" s="16">
        <v>2.5000000000000001E-2</v>
      </c>
      <c r="C31" s="16">
        <v>4.2</v>
      </c>
      <c r="D31" s="28">
        <v>1.448522203</v>
      </c>
      <c r="E31" s="30">
        <v>209805.76439999999</v>
      </c>
      <c r="F31" s="30">
        <v>368632.92560000002</v>
      </c>
      <c r="G31" s="30" t="s">
        <v>55</v>
      </c>
      <c r="H31" s="30" t="s">
        <v>43</v>
      </c>
      <c r="I31" s="31">
        <v>100</v>
      </c>
      <c r="J31" s="28">
        <v>0</v>
      </c>
      <c r="K31" s="28">
        <v>1.448522203</v>
      </c>
      <c r="L31" s="29">
        <v>0.11936097900000001</v>
      </c>
      <c r="M31" s="16">
        <v>-24.5</v>
      </c>
      <c r="N31" s="39" t="e">
        <v>#N/A</v>
      </c>
      <c r="O31" s="39" t="e">
        <v>#N/A</v>
      </c>
      <c r="P31" s="39" t="e">
        <v>#N/A</v>
      </c>
      <c r="Q31" s="39" t="e">
        <v>#N/A</v>
      </c>
      <c r="R31" s="15">
        <v>1605916800</v>
      </c>
      <c r="S31" t="s">
        <v>23</v>
      </c>
    </row>
    <row r="32" spans="1:19" ht="16" x14ac:dyDescent="0.2">
      <c r="A32" s="27" t="s">
        <v>65</v>
      </c>
      <c r="B32" s="16">
        <v>2.5999999999999999E-2</v>
      </c>
      <c r="C32" s="16">
        <v>3.7</v>
      </c>
      <c r="D32" s="28">
        <v>1.3728718950000001</v>
      </c>
      <c r="E32" s="30">
        <v>209805.76439999999</v>
      </c>
      <c r="F32" s="30">
        <v>368632.92560000002</v>
      </c>
      <c r="G32" s="30" t="s">
        <v>55</v>
      </c>
      <c r="H32" s="30" t="s">
        <v>43</v>
      </c>
      <c r="I32" s="31">
        <v>110</v>
      </c>
      <c r="J32" s="28">
        <v>0</v>
      </c>
      <c r="K32" s="28">
        <v>1.3728718950000001</v>
      </c>
      <c r="L32" s="29">
        <v>0.10381061599999999</v>
      </c>
      <c r="M32" s="16">
        <v>-25.2</v>
      </c>
      <c r="N32" s="39" t="e">
        <v>#N/A</v>
      </c>
      <c r="O32" s="39" t="e">
        <v>#N/A</v>
      </c>
      <c r="P32" s="39" t="e">
        <v>#N/A</v>
      </c>
      <c r="Q32" s="39" t="e">
        <v>#N/A</v>
      </c>
      <c r="R32" s="15">
        <v>1605916800</v>
      </c>
      <c r="S32" t="s">
        <v>23</v>
      </c>
    </row>
    <row r="33" spans="1:19" ht="16" x14ac:dyDescent="0.2">
      <c r="A33" s="27" t="s">
        <v>66</v>
      </c>
      <c r="B33" s="16">
        <v>2.5999999999999999E-2</v>
      </c>
      <c r="C33" s="16">
        <v>2.5</v>
      </c>
      <c r="D33" s="28">
        <v>1.434666252</v>
      </c>
      <c r="E33" s="30">
        <v>209805.76439999999</v>
      </c>
      <c r="F33" s="30">
        <v>368632.92560000002</v>
      </c>
      <c r="G33" s="30" t="s">
        <v>55</v>
      </c>
      <c r="H33" s="30" t="s">
        <v>43</v>
      </c>
      <c r="I33" s="31">
        <v>120</v>
      </c>
      <c r="J33" s="28">
        <v>0</v>
      </c>
      <c r="K33" s="28">
        <v>1.434666252</v>
      </c>
      <c r="L33" s="29">
        <v>0.12614080799999999</v>
      </c>
      <c r="M33" s="16">
        <v>-26.6</v>
      </c>
      <c r="N33" s="39" t="e">
        <v>#N/A</v>
      </c>
      <c r="O33" s="39" t="e">
        <v>#N/A</v>
      </c>
      <c r="P33" s="39" t="e">
        <v>#N/A</v>
      </c>
      <c r="Q33" s="39" t="e">
        <v>#N/A</v>
      </c>
      <c r="R33" s="15">
        <v>1605916800</v>
      </c>
      <c r="S33" t="s">
        <v>23</v>
      </c>
    </row>
    <row r="34" spans="1:19" ht="16" x14ac:dyDescent="0.2">
      <c r="A34" s="27" t="s">
        <v>67</v>
      </c>
      <c r="B34" s="16">
        <v>0.17</v>
      </c>
      <c r="C34" s="16">
        <v>5.5</v>
      </c>
      <c r="D34" s="28">
        <v>1.2442667039999999</v>
      </c>
      <c r="E34" s="30">
        <v>209797.9872</v>
      </c>
      <c r="F34" s="30">
        <v>368645.14059999998</v>
      </c>
      <c r="G34" s="30" t="s">
        <v>55</v>
      </c>
      <c r="H34" s="30" t="s">
        <v>68</v>
      </c>
      <c r="I34" s="31">
        <v>10</v>
      </c>
      <c r="J34" s="28">
        <v>0.54938690400000001</v>
      </c>
      <c r="K34" s="28">
        <v>1.237430866</v>
      </c>
      <c r="L34" s="29">
        <v>1.7056555799999999</v>
      </c>
      <c r="M34" s="16">
        <v>-25.7</v>
      </c>
      <c r="N34" s="39" t="e">
        <v>#N/A</v>
      </c>
      <c r="O34" s="39" t="e">
        <v>#N/A</v>
      </c>
      <c r="P34" s="39" t="e">
        <v>#N/A</v>
      </c>
      <c r="Q34" s="39" t="e">
        <v>#N/A</v>
      </c>
      <c r="R34" s="15">
        <v>1605916800</v>
      </c>
      <c r="S34" t="s">
        <v>23</v>
      </c>
    </row>
    <row r="35" spans="1:19" ht="16" x14ac:dyDescent="0.2">
      <c r="A35" s="27" t="s">
        <v>69</v>
      </c>
      <c r="B35" s="16">
        <v>0.16</v>
      </c>
      <c r="C35" s="16">
        <v>5.8</v>
      </c>
      <c r="D35" s="28">
        <v>1.2392393960000001</v>
      </c>
      <c r="E35" s="30">
        <v>209797.9872</v>
      </c>
      <c r="F35" s="30">
        <v>368645.14059999998</v>
      </c>
      <c r="G35" s="30" t="s">
        <v>55</v>
      </c>
      <c r="H35" s="30" t="s">
        <v>68</v>
      </c>
      <c r="I35" s="31">
        <v>20</v>
      </c>
      <c r="J35" s="28">
        <v>5.8176257000000002E-2</v>
      </c>
      <c r="K35" s="28">
        <v>1.238518453</v>
      </c>
      <c r="L35" s="29">
        <v>1.6152571710000001</v>
      </c>
      <c r="M35" s="16">
        <v>-25.2</v>
      </c>
      <c r="N35" s="39" t="e">
        <v>#N/A</v>
      </c>
      <c r="O35" s="39" t="e">
        <v>#N/A</v>
      </c>
      <c r="P35" s="39" t="e">
        <v>#N/A</v>
      </c>
      <c r="Q35" s="39" t="e">
        <v>#N/A</v>
      </c>
      <c r="R35" s="15">
        <v>1605916800</v>
      </c>
      <c r="S35" t="s">
        <v>23</v>
      </c>
    </row>
    <row r="36" spans="1:19" ht="16" x14ac:dyDescent="0.2">
      <c r="A36" s="27" t="s">
        <v>70</v>
      </c>
      <c r="B36" s="16">
        <v>0.11</v>
      </c>
      <c r="C36" s="16">
        <v>6.5</v>
      </c>
      <c r="D36" s="28">
        <v>1.332390049</v>
      </c>
      <c r="E36" s="30">
        <v>209797.9872</v>
      </c>
      <c r="F36" s="30">
        <v>368645.14059999998</v>
      </c>
      <c r="G36" s="30" t="s">
        <v>55</v>
      </c>
      <c r="H36" s="30" t="s">
        <v>68</v>
      </c>
      <c r="I36" s="31">
        <v>30</v>
      </c>
      <c r="J36" s="28">
        <v>0.111301228</v>
      </c>
      <c r="K36" s="28">
        <v>1.330907082</v>
      </c>
      <c r="L36" s="29">
        <v>1.0862329479999999</v>
      </c>
      <c r="M36" s="16">
        <v>-24.3</v>
      </c>
      <c r="N36" s="39" t="e">
        <v>#N/A</v>
      </c>
      <c r="O36" s="39" t="e">
        <v>#N/A</v>
      </c>
      <c r="P36" s="39" t="e">
        <v>#N/A</v>
      </c>
      <c r="Q36" s="39" t="e">
        <v>#N/A</v>
      </c>
      <c r="R36" s="15">
        <v>1605916800</v>
      </c>
      <c r="S36" t="s">
        <v>23</v>
      </c>
    </row>
    <row r="37" spans="1:19" ht="16" x14ac:dyDescent="0.2">
      <c r="A37" s="27" t="s">
        <v>71</v>
      </c>
      <c r="B37" s="16">
        <v>6.7000000000000004E-2</v>
      </c>
      <c r="C37" s="16">
        <v>6.8</v>
      </c>
      <c r="D37" s="28">
        <v>1.2982682839999999</v>
      </c>
      <c r="E37" s="30">
        <v>209797.9872</v>
      </c>
      <c r="F37" s="30">
        <v>368645.14059999998</v>
      </c>
      <c r="G37" s="30" t="s">
        <v>55</v>
      </c>
      <c r="H37" s="30" t="s">
        <v>68</v>
      </c>
      <c r="I37" s="31">
        <v>40</v>
      </c>
      <c r="J37" s="28">
        <v>0.21923268600000001</v>
      </c>
      <c r="K37" s="28">
        <v>1.295422055</v>
      </c>
      <c r="L37" s="29">
        <v>0.49072934200000001</v>
      </c>
      <c r="M37" s="16">
        <v>-23.1</v>
      </c>
      <c r="N37" s="39" t="e">
        <v>#N/A</v>
      </c>
      <c r="O37" s="39" t="e">
        <v>#N/A</v>
      </c>
      <c r="P37" s="39" t="e">
        <v>#N/A</v>
      </c>
      <c r="Q37" s="39" t="e">
        <v>#N/A</v>
      </c>
      <c r="R37" s="15">
        <v>1605916800</v>
      </c>
      <c r="S37" t="s">
        <v>23</v>
      </c>
    </row>
    <row r="38" spans="1:19" ht="16" x14ac:dyDescent="0.2">
      <c r="A38" s="27" t="s">
        <v>72</v>
      </c>
      <c r="B38" s="16">
        <v>6.0999999999999999E-2</v>
      </c>
      <c r="C38" s="16">
        <v>6.1</v>
      </c>
      <c r="D38" s="28">
        <v>1.206206219</v>
      </c>
      <c r="E38" s="30">
        <v>209797.9872</v>
      </c>
      <c r="F38" s="30">
        <v>368645.14059999998</v>
      </c>
      <c r="G38" s="30" t="s">
        <v>55</v>
      </c>
      <c r="H38" s="30" t="s">
        <v>68</v>
      </c>
      <c r="I38" s="31">
        <v>50</v>
      </c>
      <c r="J38" s="28">
        <v>0.309119011</v>
      </c>
      <c r="K38" s="28">
        <v>1.2024776070000001</v>
      </c>
      <c r="L38" s="29">
        <v>0.42686525199999997</v>
      </c>
      <c r="M38" s="16">
        <v>-23.4</v>
      </c>
      <c r="N38" s="39" t="e">
        <v>#N/A</v>
      </c>
      <c r="O38" s="39" t="e">
        <v>#N/A</v>
      </c>
      <c r="P38" s="39" t="e">
        <v>#N/A</v>
      </c>
      <c r="Q38" s="39" t="e">
        <v>#N/A</v>
      </c>
      <c r="R38" s="15">
        <v>1605916800</v>
      </c>
      <c r="S38" t="s">
        <v>23</v>
      </c>
    </row>
    <row r="39" spans="1:19" ht="16" x14ac:dyDescent="0.2">
      <c r="A39" s="27" t="s">
        <v>73</v>
      </c>
      <c r="B39" s="16">
        <v>5.0999999999999997E-2</v>
      </c>
      <c r="C39" s="16">
        <v>6.6</v>
      </c>
      <c r="D39" s="28">
        <v>1.34377043</v>
      </c>
      <c r="E39" s="30">
        <v>209797.9872</v>
      </c>
      <c r="F39" s="30">
        <v>368645.14059999998</v>
      </c>
      <c r="G39" s="30" t="s">
        <v>55</v>
      </c>
      <c r="H39" s="30" t="s">
        <v>68</v>
      </c>
      <c r="I39" s="31">
        <v>60</v>
      </c>
      <c r="J39" s="28">
        <v>0</v>
      </c>
      <c r="K39" s="28">
        <v>1.34377043</v>
      </c>
      <c r="L39" s="29">
        <v>0.346409996</v>
      </c>
      <c r="M39" s="16">
        <v>-23.4</v>
      </c>
      <c r="N39" s="39" t="e">
        <v>#N/A</v>
      </c>
      <c r="O39" s="39" t="e">
        <v>#N/A</v>
      </c>
      <c r="P39" s="39" t="e">
        <v>#N/A</v>
      </c>
      <c r="Q39" s="39" t="e">
        <v>#N/A</v>
      </c>
      <c r="R39" s="15">
        <v>1605916800</v>
      </c>
      <c r="S39" t="s">
        <v>23</v>
      </c>
    </row>
    <row r="40" spans="1:19" ht="16" x14ac:dyDescent="0.2">
      <c r="A40" s="27" t="s">
        <v>74</v>
      </c>
      <c r="B40" s="16">
        <v>3.1E-2</v>
      </c>
      <c r="C40" s="16">
        <v>4.9000000000000004</v>
      </c>
      <c r="D40" s="28">
        <v>1.42719343</v>
      </c>
      <c r="E40" s="30">
        <v>209797.9872</v>
      </c>
      <c r="F40" s="30">
        <v>368645.14059999998</v>
      </c>
      <c r="G40" s="30" t="s">
        <v>55</v>
      </c>
      <c r="H40" s="30" t="s">
        <v>68</v>
      </c>
      <c r="I40" s="31">
        <v>70</v>
      </c>
      <c r="J40" s="28">
        <v>0</v>
      </c>
      <c r="K40" s="28">
        <v>1.42719343</v>
      </c>
      <c r="L40" s="29">
        <v>0.182906387</v>
      </c>
      <c r="M40" s="16">
        <v>-24.35</v>
      </c>
      <c r="N40" s="39" t="e">
        <v>#N/A</v>
      </c>
      <c r="O40" s="39" t="e">
        <v>#N/A</v>
      </c>
      <c r="P40" s="39" t="e">
        <v>#N/A</v>
      </c>
      <c r="Q40" s="39" t="e">
        <v>#N/A</v>
      </c>
      <c r="R40" s="15">
        <v>1605916800</v>
      </c>
      <c r="S40" t="s">
        <v>23</v>
      </c>
    </row>
    <row r="41" spans="1:19" ht="16" x14ac:dyDescent="0.2">
      <c r="A41" s="27" t="s">
        <v>75</v>
      </c>
      <c r="B41" s="16">
        <v>0.03</v>
      </c>
      <c r="C41" s="16">
        <v>3.2</v>
      </c>
      <c r="D41" s="28">
        <v>1.366109097</v>
      </c>
      <c r="E41" s="30">
        <v>209797.9872</v>
      </c>
      <c r="F41" s="30">
        <v>368645.14059999998</v>
      </c>
      <c r="G41" s="30" t="s">
        <v>55</v>
      </c>
      <c r="H41" s="30" t="s">
        <v>68</v>
      </c>
      <c r="I41" s="31">
        <v>80</v>
      </c>
      <c r="J41" s="28">
        <v>0</v>
      </c>
      <c r="K41" s="28">
        <v>1.366109097</v>
      </c>
      <c r="L41" s="29">
        <v>0.165937749</v>
      </c>
      <c r="M41" s="16">
        <v>-26.1</v>
      </c>
      <c r="N41" s="40" t="e">
        <v>#N/A</v>
      </c>
      <c r="O41" s="40" t="e">
        <v>#N/A</v>
      </c>
      <c r="P41" s="40" t="e">
        <v>#N/A</v>
      </c>
      <c r="Q41" s="40" t="e">
        <v>#N/A</v>
      </c>
      <c r="R41" s="15">
        <v>1605916800</v>
      </c>
      <c r="S41" t="s">
        <v>23</v>
      </c>
    </row>
    <row r="42" spans="1:19" ht="16" x14ac:dyDescent="0.2">
      <c r="A42" s="27" t="s">
        <v>76</v>
      </c>
      <c r="B42" s="16">
        <v>2.7E-2</v>
      </c>
      <c r="C42" s="16">
        <v>2</v>
      </c>
      <c r="D42" s="28">
        <v>1.5324492949999999</v>
      </c>
      <c r="E42" s="30">
        <v>209797.9872</v>
      </c>
      <c r="F42" s="30">
        <v>368645.14059999998</v>
      </c>
      <c r="G42" s="30" t="s">
        <v>55</v>
      </c>
      <c r="H42" s="30" t="s">
        <v>68</v>
      </c>
      <c r="I42" s="31">
        <v>90</v>
      </c>
      <c r="J42" s="28">
        <v>0</v>
      </c>
      <c r="K42" s="28">
        <v>1.5324492949999999</v>
      </c>
      <c r="L42" s="29">
        <v>0.13474830400000001</v>
      </c>
      <c r="M42" s="16">
        <v>-26.7</v>
      </c>
      <c r="N42" s="39" t="e">
        <v>#N/A</v>
      </c>
      <c r="O42" s="39" t="e">
        <v>#N/A</v>
      </c>
      <c r="P42" s="39" t="e">
        <v>#N/A</v>
      </c>
      <c r="Q42" s="39" t="e">
        <v>#N/A</v>
      </c>
      <c r="R42" s="15">
        <v>1605916800</v>
      </c>
      <c r="S42" t="s">
        <v>23</v>
      </c>
    </row>
    <row r="43" spans="1:19" ht="16" x14ac:dyDescent="0.2">
      <c r="A43" s="27" t="s">
        <v>77</v>
      </c>
      <c r="B43" s="16">
        <v>2.7E-2</v>
      </c>
      <c r="C43" s="16">
        <v>2.8</v>
      </c>
      <c r="D43" s="28">
        <v>1.3703262409999999</v>
      </c>
      <c r="E43" s="30">
        <v>209797.9872</v>
      </c>
      <c r="F43" s="30">
        <v>368645.14059999998</v>
      </c>
      <c r="G43" s="30" t="s">
        <v>55</v>
      </c>
      <c r="H43" s="30" t="s">
        <v>68</v>
      </c>
      <c r="I43" s="31">
        <v>100</v>
      </c>
      <c r="J43" s="28">
        <v>0</v>
      </c>
      <c r="K43" s="28">
        <v>1.3703262409999999</v>
      </c>
      <c r="L43" s="29">
        <v>0.15603471299999999</v>
      </c>
      <c r="M43" s="16">
        <v>-27.2</v>
      </c>
      <c r="N43" s="39" t="e">
        <v>#N/A</v>
      </c>
      <c r="O43" s="39" t="e">
        <v>#N/A</v>
      </c>
      <c r="P43" s="39" t="e">
        <v>#N/A</v>
      </c>
      <c r="Q43" s="39" t="e">
        <v>#N/A</v>
      </c>
      <c r="R43" s="15">
        <v>1605916800</v>
      </c>
      <c r="S43" t="s">
        <v>23</v>
      </c>
    </row>
    <row r="44" spans="1:19" ht="16" x14ac:dyDescent="0.2">
      <c r="A44" s="27" t="s">
        <v>78</v>
      </c>
      <c r="B44" s="16">
        <v>2.3E-2</v>
      </c>
      <c r="C44" s="16">
        <v>2.6</v>
      </c>
      <c r="D44" s="28">
        <v>1.450271925</v>
      </c>
      <c r="E44" s="30">
        <v>209797.9872</v>
      </c>
      <c r="F44" s="30">
        <v>368645.14059999998</v>
      </c>
      <c r="G44" s="30" t="s">
        <v>55</v>
      </c>
      <c r="H44" s="30" t="s">
        <v>68</v>
      </c>
      <c r="I44" s="31">
        <v>110</v>
      </c>
      <c r="J44" s="28">
        <v>0</v>
      </c>
      <c r="K44" s="28">
        <v>1.450271925</v>
      </c>
      <c r="L44" s="29">
        <v>0.110271043</v>
      </c>
      <c r="M44" s="16">
        <v>-26.8</v>
      </c>
      <c r="N44" s="39" t="e">
        <v>#N/A</v>
      </c>
      <c r="O44" s="39" t="e">
        <v>#N/A</v>
      </c>
      <c r="P44" s="39" t="e">
        <v>#N/A</v>
      </c>
      <c r="Q44" s="39" t="e">
        <v>#N/A</v>
      </c>
      <c r="R44" s="15">
        <v>1605916800</v>
      </c>
      <c r="S44" t="s">
        <v>23</v>
      </c>
    </row>
    <row r="45" spans="1:19" ht="16" x14ac:dyDescent="0.2">
      <c r="A45" s="27" t="s">
        <v>79</v>
      </c>
      <c r="B45" s="16">
        <v>2.1000000000000001E-2</v>
      </c>
      <c r="C45" s="16">
        <v>1.7</v>
      </c>
      <c r="D45" s="28">
        <v>1.173196108</v>
      </c>
      <c r="E45" s="30">
        <v>209797.9872</v>
      </c>
      <c r="F45" s="30">
        <v>368645.14059999998</v>
      </c>
      <c r="G45" s="30" t="s">
        <v>55</v>
      </c>
      <c r="H45" s="30" t="s">
        <v>68</v>
      </c>
      <c r="I45" s="31">
        <v>120</v>
      </c>
      <c r="J45" s="28">
        <v>0</v>
      </c>
      <c r="K45" s="28">
        <v>1.173196108</v>
      </c>
      <c r="L45" s="29">
        <v>9.9314457999999994E-2</v>
      </c>
      <c r="M45" s="16">
        <v>-27</v>
      </c>
      <c r="N45" s="39" t="e">
        <v>#N/A</v>
      </c>
      <c r="O45" s="39" t="e">
        <v>#N/A</v>
      </c>
      <c r="P45" s="39" t="e">
        <v>#N/A</v>
      </c>
      <c r="Q45" s="39" t="e">
        <v>#N/A</v>
      </c>
      <c r="R45" s="15">
        <v>1605916800</v>
      </c>
      <c r="S45" t="s">
        <v>23</v>
      </c>
    </row>
    <row r="46" spans="1:19" ht="16" x14ac:dyDescent="0.2">
      <c r="A46" s="27" t="s">
        <v>80</v>
      </c>
      <c r="B46" s="16">
        <v>0.19</v>
      </c>
      <c r="C46" s="16">
        <v>6.5</v>
      </c>
      <c r="D46" s="28">
        <v>0.64784019900000001</v>
      </c>
      <c r="E46" s="30">
        <v>209790.071</v>
      </c>
      <c r="F46" s="30">
        <v>368632.98629999999</v>
      </c>
      <c r="G46" s="30" t="s">
        <v>55</v>
      </c>
      <c r="H46" s="30" t="s">
        <v>81</v>
      </c>
      <c r="I46" s="31">
        <v>10</v>
      </c>
      <c r="J46" s="28">
        <v>0.65208036800000002</v>
      </c>
      <c r="K46" s="28">
        <v>0.64361575999999998</v>
      </c>
      <c r="L46" s="29">
        <v>2.0241593349999998</v>
      </c>
      <c r="M46" s="16">
        <v>-24.55</v>
      </c>
      <c r="N46" s="39" t="e">
        <v>#N/A</v>
      </c>
      <c r="O46" s="39" t="e">
        <v>#N/A</v>
      </c>
      <c r="P46" s="39" t="e">
        <v>#N/A</v>
      </c>
      <c r="Q46" s="39" t="e">
        <v>#N/A</v>
      </c>
      <c r="R46" s="15">
        <v>1605916800</v>
      </c>
      <c r="S46" t="s">
        <v>23</v>
      </c>
    </row>
    <row r="47" spans="1:19" ht="16" x14ac:dyDescent="0.2">
      <c r="A47" s="27" t="s">
        <v>82</v>
      </c>
      <c r="B47" s="16">
        <v>0.17</v>
      </c>
      <c r="C47" s="16">
        <v>6.3</v>
      </c>
      <c r="D47" s="28">
        <v>0.78829919999999998</v>
      </c>
      <c r="E47" s="30">
        <v>209790.071</v>
      </c>
      <c r="F47" s="30">
        <v>368632.98629999999</v>
      </c>
      <c r="G47" s="30" t="s">
        <v>55</v>
      </c>
      <c r="H47" s="30" t="s">
        <v>81</v>
      </c>
      <c r="I47" s="31">
        <v>20</v>
      </c>
      <c r="J47" s="28">
        <v>4.2933338000000001E-2</v>
      </c>
      <c r="K47" s="28">
        <v>0.78796075700000001</v>
      </c>
      <c r="L47" s="29">
        <v>1.716536614</v>
      </c>
      <c r="M47" s="16">
        <v>-24.6</v>
      </c>
      <c r="N47" s="39" t="e">
        <v>#N/A</v>
      </c>
      <c r="O47" s="39" t="e">
        <v>#N/A</v>
      </c>
      <c r="P47" s="39" t="e">
        <v>#N/A</v>
      </c>
      <c r="Q47" s="39" t="e">
        <v>#N/A</v>
      </c>
      <c r="R47" s="15">
        <v>1605916800</v>
      </c>
      <c r="S47" t="s">
        <v>23</v>
      </c>
    </row>
    <row r="48" spans="1:19" ht="16" x14ac:dyDescent="0.2">
      <c r="A48" s="27" t="s">
        <v>83</v>
      </c>
      <c r="B48" s="16">
        <v>0.18</v>
      </c>
      <c r="C48" s="16">
        <v>6</v>
      </c>
      <c r="D48" s="28">
        <v>1.1595609149999999</v>
      </c>
      <c r="E48" s="30">
        <v>209790.071</v>
      </c>
      <c r="F48" s="30">
        <v>368632.98629999999</v>
      </c>
      <c r="G48" s="30" t="s">
        <v>55</v>
      </c>
      <c r="H48" s="30" t="s">
        <v>81</v>
      </c>
      <c r="I48" s="31">
        <v>30</v>
      </c>
      <c r="J48" s="28">
        <v>0.21112127</v>
      </c>
      <c r="K48" s="28">
        <v>1.157112835</v>
      </c>
      <c r="L48" s="29">
        <v>1.9123716390000001</v>
      </c>
      <c r="M48" s="16">
        <v>-24.9</v>
      </c>
      <c r="N48" s="39" t="e">
        <v>#N/A</v>
      </c>
      <c r="O48" s="39" t="e">
        <v>#N/A</v>
      </c>
      <c r="P48" s="39" t="e">
        <v>#N/A</v>
      </c>
      <c r="Q48" s="39" t="e">
        <v>#N/A</v>
      </c>
      <c r="R48" s="15">
        <v>1605916800</v>
      </c>
      <c r="S48" t="s">
        <v>23</v>
      </c>
    </row>
    <row r="49" spans="1:19" ht="16" x14ac:dyDescent="0.2">
      <c r="A49" s="27" t="s">
        <v>84</v>
      </c>
      <c r="B49" s="16">
        <v>0.11</v>
      </c>
      <c r="C49" s="16">
        <v>6.4</v>
      </c>
      <c r="D49" s="28">
        <v>1.042007176</v>
      </c>
      <c r="E49" s="30">
        <v>209790.071</v>
      </c>
      <c r="F49" s="30">
        <v>368632.98629999999</v>
      </c>
      <c r="G49" s="30" t="s">
        <v>55</v>
      </c>
      <c r="H49" s="30" t="s">
        <v>81</v>
      </c>
      <c r="I49" s="31">
        <v>40</v>
      </c>
      <c r="J49" s="28">
        <v>0.18623522200000001</v>
      </c>
      <c r="K49" s="28">
        <v>1.0400665920000001</v>
      </c>
      <c r="L49" s="29">
        <v>1.1210554429999999</v>
      </c>
      <c r="M49" s="16">
        <v>-24.5</v>
      </c>
      <c r="N49" s="39" t="e">
        <v>#N/A</v>
      </c>
      <c r="O49" s="39" t="e">
        <v>#N/A</v>
      </c>
      <c r="P49" s="39" t="e">
        <v>#N/A</v>
      </c>
      <c r="Q49" s="39" t="e">
        <v>#N/A</v>
      </c>
      <c r="R49" s="15">
        <v>1605916800</v>
      </c>
      <c r="S49" t="s">
        <v>23</v>
      </c>
    </row>
    <row r="50" spans="1:19" ht="16" x14ac:dyDescent="0.2">
      <c r="A50" s="27" t="s">
        <v>85</v>
      </c>
      <c r="B50" s="16">
        <v>6.3E-2</v>
      </c>
      <c r="C50" s="16">
        <v>6.2</v>
      </c>
      <c r="D50" s="28">
        <v>1.7537841940000001</v>
      </c>
      <c r="E50" s="30">
        <v>209790.071</v>
      </c>
      <c r="F50" s="30">
        <v>368632.98629999999</v>
      </c>
      <c r="G50" s="30" t="s">
        <v>55</v>
      </c>
      <c r="H50" s="30" t="s">
        <v>81</v>
      </c>
      <c r="I50" s="31">
        <v>50</v>
      </c>
      <c r="J50" s="28">
        <v>0.36125981099999999</v>
      </c>
      <c r="K50" s="28">
        <v>1.7474484770000001</v>
      </c>
      <c r="L50" s="29">
        <v>0.48649038900000002</v>
      </c>
      <c r="M50" s="16">
        <v>-24.1</v>
      </c>
      <c r="N50" s="39" t="e">
        <v>#N/A</v>
      </c>
      <c r="O50" s="39" t="e">
        <v>#N/A</v>
      </c>
      <c r="P50" s="39" t="e">
        <v>#N/A</v>
      </c>
      <c r="Q50" s="39" t="e">
        <v>#N/A</v>
      </c>
      <c r="R50" s="15">
        <v>1605916800</v>
      </c>
      <c r="S50" t="s">
        <v>23</v>
      </c>
    </row>
    <row r="51" spans="1:19" ht="16" x14ac:dyDescent="0.2">
      <c r="A51" s="27" t="s">
        <v>86</v>
      </c>
      <c r="B51" s="16">
        <v>4.3999999999999997E-2</v>
      </c>
      <c r="C51" s="16">
        <v>6.5</v>
      </c>
      <c r="D51" s="28">
        <v>1.7029989640000001</v>
      </c>
      <c r="E51" s="30">
        <v>209790.071</v>
      </c>
      <c r="F51" s="30">
        <v>368632.98629999999</v>
      </c>
      <c r="G51" s="30" t="s">
        <v>55</v>
      </c>
      <c r="H51" s="30" t="s">
        <v>81</v>
      </c>
      <c r="I51" s="31">
        <v>60</v>
      </c>
      <c r="J51" s="28">
        <v>0.15332419899999999</v>
      </c>
      <c r="K51" s="28">
        <v>1.7003878539999999</v>
      </c>
      <c r="L51" s="29">
        <v>0.263011579</v>
      </c>
      <c r="M51" s="16">
        <v>-24</v>
      </c>
      <c r="N51" s="39" t="e">
        <v>#N/A</v>
      </c>
      <c r="O51" s="39" t="e">
        <v>#N/A</v>
      </c>
      <c r="P51" s="39" t="e">
        <v>#N/A</v>
      </c>
      <c r="Q51" s="39" t="e">
        <v>#N/A</v>
      </c>
      <c r="R51" s="15">
        <v>1605916800</v>
      </c>
      <c r="S51" t="s">
        <v>23</v>
      </c>
    </row>
    <row r="52" spans="1:19" ht="16" x14ac:dyDescent="0.2">
      <c r="A52" s="27" t="s">
        <v>87</v>
      </c>
      <c r="B52" s="16">
        <v>0.04</v>
      </c>
      <c r="C52" s="16">
        <v>5.9</v>
      </c>
      <c r="D52" s="28">
        <v>1.8309019120000001</v>
      </c>
      <c r="E52" s="30">
        <v>209790.071</v>
      </c>
      <c r="F52" s="30">
        <v>368632.98629999999</v>
      </c>
      <c r="G52" s="30" t="s">
        <v>55</v>
      </c>
      <c r="H52" s="30" t="s">
        <v>81</v>
      </c>
      <c r="I52" s="31">
        <v>70</v>
      </c>
      <c r="J52" s="28">
        <v>2.1491511000000001E-2</v>
      </c>
      <c r="K52" s="28">
        <v>1.8305084229999999</v>
      </c>
      <c r="L52" s="29">
        <v>0.25327596000000002</v>
      </c>
      <c r="M52" s="16">
        <v>-24.4</v>
      </c>
      <c r="N52" s="39" t="e">
        <v>#N/A</v>
      </c>
      <c r="O52" s="39" t="e">
        <v>#N/A</v>
      </c>
      <c r="P52" s="39" t="e">
        <v>#N/A</v>
      </c>
      <c r="Q52" s="39" t="e">
        <v>#N/A</v>
      </c>
      <c r="R52" s="15">
        <v>1605916800</v>
      </c>
      <c r="S52" t="s">
        <v>23</v>
      </c>
    </row>
    <row r="53" spans="1:19" ht="16" x14ac:dyDescent="0.2">
      <c r="A53" s="27" t="s">
        <v>88</v>
      </c>
      <c r="B53" s="16">
        <v>2.7E-2</v>
      </c>
      <c r="C53" s="16">
        <v>5.2</v>
      </c>
      <c r="D53" s="28">
        <v>1.5629376740000001</v>
      </c>
      <c r="E53" s="30">
        <v>209790.071</v>
      </c>
      <c r="F53" s="30">
        <v>368632.98629999999</v>
      </c>
      <c r="G53" s="30" t="s">
        <v>55</v>
      </c>
      <c r="H53" s="30" t="s">
        <v>81</v>
      </c>
      <c r="I53" s="31">
        <v>80</v>
      </c>
      <c r="J53" s="28">
        <v>0</v>
      </c>
      <c r="K53" s="28">
        <v>1.5629376740000001</v>
      </c>
      <c r="L53" s="29">
        <v>0.15359985100000001</v>
      </c>
      <c r="M53" s="16">
        <v>-25.4</v>
      </c>
      <c r="N53" s="39" t="e">
        <v>#N/A</v>
      </c>
      <c r="O53" s="39" t="e">
        <v>#N/A</v>
      </c>
      <c r="P53" s="39" t="e">
        <v>#N/A</v>
      </c>
      <c r="Q53" s="39" t="e">
        <v>#N/A</v>
      </c>
      <c r="R53" s="15">
        <v>1605916800</v>
      </c>
      <c r="S53" t="s">
        <v>23</v>
      </c>
    </row>
    <row r="54" spans="1:19" ht="16" x14ac:dyDescent="0.2">
      <c r="A54" s="27" t="s">
        <v>89</v>
      </c>
      <c r="B54" s="16">
        <v>2.4E-2</v>
      </c>
      <c r="C54" s="16">
        <v>3.3</v>
      </c>
      <c r="D54" s="28">
        <v>1.8855729670000001</v>
      </c>
      <c r="E54" s="30">
        <v>209790.071</v>
      </c>
      <c r="F54" s="30">
        <v>368632.98629999999</v>
      </c>
      <c r="G54" s="30" t="s">
        <v>55</v>
      </c>
      <c r="H54" s="30" t="s">
        <v>81</v>
      </c>
      <c r="I54" s="31">
        <v>90</v>
      </c>
      <c r="J54" s="28">
        <v>0</v>
      </c>
      <c r="K54" s="28">
        <v>1.8855729670000001</v>
      </c>
      <c r="L54" s="29">
        <v>0.121674801</v>
      </c>
      <c r="M54" s="16">
        <v>-26.2</v>
      </c>
      <c r="N54" s="39" t="e">
        <v>#N/A</v>
      </c>
      <c r="O54" s="39" t="e">
        <v>#N/A</v>
      </c>
      <c r="P54" s="39" t="e">
        <v>#N/A</v>
      </c>
      <c r="Q54" s="39" t="e">
        <v>#N/A</v>
      </c>
      <c r="R54" s="15">
        <v>1605916800</v>
      </c>
      <c r="S54" t="s">
        <v>23</v>
      </c>
    </row>
    <row r="55" spans="1:19" ht="16" x14ac:dyDescent="0.2">
      <c r="A55" s="27" t="s">
        <v>90</v>
      </c>
      <c r="B55" s="16">
        <v>0.14499999999999999</v>
      </c>
      <c r="C55" s="16">
        <v>6</v>
      </c>
      <c r="D55" s="28">
        <v>1.3741088269999999</v>
      </c>
      <c r="E55" s="30">
        <v>208978.8602</v>
      </c>
      <c r="F55" s="30">
        <v>368735.93900000001</v>
      </c>
      <c r="G55" s="30" t="s">
        <v>91</v>
      </c>
      <c r="H55" s="30" t="s">
        <v>43</v>
      </c>
      <c r="I55" s="31">
        <v>10</v>
      </c>
      <c r="J55" s="28">
        <v>3.5232383810000001</v>
      </c>
      <c r="K55" s="28">
        <v>1.3256956980000001</v>
      </c>
      <c r="L55" s="29">
        <v>1.3264854850000001</v>
      </c>
      <c r="M55" s="16">
        <v>-24.05</v>
      </c>
      <c r="N55" s="39" t="e">
        <v>#N/A</v>
      </c>
      <c r="O55" s="39" t="e">
        <v>#N/A</v>
      </c>
      <c r="P55" s="39" t="e">
        <v>#N/A</v>
      </c>
      <c r="Q55" s="39" t="e">
        <v>#N/A</v>
      </c>
      <c r="R55" s="15">
        <v>1605916800</v>
      </c>
      <c r="S55" t="s">
        <v>23</v>
      </c>
    </row>
    <row r="56" spans="1:19" ht="16" x14ac:dyDescent="0.2">
      <c r="A56" s="27" t="s">
        <v>92</v>
      </c>
      <c r="B56" s="16">
        <v>0.12</v>
      </c>
      <c r="C56" s="16">
        <v>6.1</v>
      </c>
      <c r="D56" s="28">
        <v>1.483286369</v>
      </c>
      <c r="E56" s="30">
        <v>208978.8602</v>
      </c>
      <c r="F56" s="30">
        <v>368735.93900000001</v>
      </c>
      <c r="G56" s="30" t="s">
        <v>91</v>
      </c>
      <c r="H56" s="30" t="s">
        <v>43</v>
      </c>
      <c r="I56" s="31">
        <v>20</v>
      </c>
      <c r="J56" s="28">
        <v>1.723652154</v>
      </c>
      <c r="K56" s="28">
        <v>1.4577196720000001</v>
      </c>
      <c r="L56" s="29">
        <v>1.157054832</v>
      </c>
      <c r="M56" s="16">
        <v>-24.8</v>
      </c>
      <c r="N56" s="39" t="e">
        <v>#N/A</v>
      </c>
      <c r="O56" s="39" t="e">
        <v>#N/A</v>
      </c>
      <c r="P56" s="39" t="e">
        <v>#N/A</v>
      </c>
      <c r="Q56" s="39" t="e">
        <v>#N/A</v>
      </c>
      <c r="R56" s="15">
        <v>1605916800</v>
      </c>
      <c r="S56" t="s">
        <v>23</v>
      </c>
    </row>
    <row r="57" spans="1:19" ht="16" x14ac:dyDescent="0.2">
      <c r="A57" s="27" t="s">
        <v>93</v>
      </c>
      <c r="B57" s="16">
        <v>7.5999999999999998E-2</v>
      </c>
      <c r="C57" s="16">
        <v>5.7</v>
      </c>
      <c r="D57" s="28">
        <v>1.51392522</v>
      </c>
      <c r="E57" s="30">
        <v>208978.8602</v>
      </c>
      <c r="F57" s="30">
        <v>368735.93900000001</v>
      </c>
      <c r="G57" s="30" t="s">
        <v>91</v>
      </c>
      <c r="H57" s="30" t="s">
        <v>43</v>
      </c>
      <c r="I57" s="31">
        <v>30</v>
      </c>
      <c r="J57" s="28">
        <v>1.495754842</v>
      </c>
      <c r="K57" s="28">
        <v>1.49128061</v>
      </c>
      <c r="L57" s="29">
        <v>0.49707593900000002</v>
      </c>
      <c r="M57" s="16">
        <v>-24.8</v>
      </c>
      <c r="N57" s="39" t="e">
        <v>#N/A</v>
      </c>
      <c r="O57" s="39" t="e">
        <v>#N/A</v>
      </c>
      <c r="P57" s="39" t="e">
        <v>#N/A</v>
      </c>
      <c r="Q57" s="39" t="e">
        <v>#N/A</v>
      </c>
      <c r="R57" s="15">
        <v>1605916800</v>
      </c>
      <c r="S57" t="s">
        <v>23</v>
      </c>
    </row>
    <row r="58" spans="1:19" ht="16" x14ac:dyDescent="0.2">
      <c r="A58" s="27" t="s">
        <v>94</v>
      </c>
      <c r="B58" s="16">
        <v>0.06</v>
      </c>
      <c r="C58" s="16">
        <v>3.9</v>
      </c>
      <c r="D58" s="28">
        <v>1.466196426</v>
      </c>
      <c r="E58" s="30">
        <v>208978.8602</v>
      </c>
      <c r="F58" s="30">
        <v>368735.93900000001</v>
      </c>
      <c r="G58" s="30" t="s">
        <v>91</v>
      </c>
      <c r="H58" s="30" t="s">
        <v>43</v>
      </c>
      <c r="I58" s="31">
        <v>40</v>
      </c>
      <c r="J58" s="28">
        <v>0.20722320899999999</v>
      </c>
      <c r="K58" s="28">
        <v>1.4631581259999999</v>
      </c>
      <c r="L58" s="29">
        <v>0.19562601900000001</v>
      </c>
      <c r="M58" s="16">
        <v>-25.4</v>
      </c>
      <c r="N58" s="39" t="e">
        <v>#N/A</v>
      </c>
      <c r="O58" s="39" t="e">
        <v>#N/A</v>
      </c>
      <c r="P58" s="39" t="e">
        <v>#N/A</v>
      </c>
      <c r="Q58" s="39" t="e">
        <v>#N/A</v>
      </c>
      <c r="R58" s="15">
        <v>1605916800</v>
      </c>
      <c r="S58" t="s">
        <v>23</v>
      </c>
    </row>
    <row r="59" spans="1:19" ht="16" x14ac:dyDescent="0.2">
      <c r="A59" s="27" t="s">
        <v>95</v>
      </c>
      <c r="B59" s="16">
        <v>5.3999999999999999E-2</v>
      </c>
      <c r="C59" s="16">
        <v>3.2</v>
      </c>
      <c r="D59" s="28">
        <v>1.583027054</v>
      </c>
      <c r="E59" s="30">
        <v>208978.8602</v>
      </c>
      <c r="F59" s="30">
        <v>368735.93900000001</v>
      </c>
      <c r="G59" s="30" t="s">
        <v>91</v>
      </c>
      <c r="H59" s="30" t="s">
        <v>43</v>
      </c>
      <c r="I59" s="31">
        <v>50</v>
      </c>
      <c r="J59" s="28">
        <v>1.6272582360000001</v>
      </c>
      <c r="K59" s="28">
        <v>1.557267116</v>
      </c>
      <c r="L59" s="29">
        <v>0.137251764</v>
      </c>
      <c r="M59" s="16">
        <v>-25.9</v>
      </c>
      <c r="N59" s="39" t="e">
        <v>#N/A</v>
      </c>
      <c r="O59" s="39" t="e">
        <v>#N/A</v>
      </c>
      <c r="P59" s="39" t="e">
        <v>#N/A</v>
      </c>
      <c r="Q59" s="39" t="e">
        <v>#N/A</v>
      </c>
      <c r="R59" s="15">
        <v>1605916800</v>
      </c>
      <c r="S59" t="s">
        <v>23</v>
      </c>
    </row>
    <row r="60" spans="1:19" ht="16" x14ac:dyDescent="0.2">
      <c r="A60" s="27" t="s">
        <v>96</v>
      </c>
      <c r="B60" s="16">
        <v>5.5E-2</v>
      </c>
      <c r="C60" s="16">
        <v>3.1</v>
      </c>
      <c r="D60" s="28">
        <v>1.5588151619999999</v>
      </c>
      <c r="E60" s="30">
        <v>208978.8602</v>
      </c>
      <c r="F60" s="30">
        <v>368735.93900000001</v>
      </c>
      <c r="G60" s="30" t="s">
        <v>91</v>
      </c>
      <c r="H60" s="30" t="s">
        <v>43</v>
      </c>
      <c r="I60" s="31">
        <v>60</v>
      </c>
      <c r="J60" s="28">
        <v>5.4338226719999998</v>
      </c>
      <c r="K60" s="28">
        <v>1.4741119110000001</v>
      </c>
      <c r="L60" s="29">
        <v>0.11298140399999999</v>
      </c>
      <c r="M60" s="16">
        <v>-25.8</v>
      </c>
      <c r="N60" s="39" t="e">
        <v>#N/A</v>
      </c>
      <c r="O60" s="39" t="e">
        <v>#N/A</v>
      </c>
      <c r="P60" s="39" t="e">
        <v>#N/A</v>
      </c>
      <c r="Q60" s="39" t="e">
        <v>#N/A</v>
      </c>
      <c r="R60" s="15">
        <v>1605916800</v>
      </c>
      <c r="S60" t="s">
        <v>23</v>
      </c>
    </row>
    <row r="61" spans="1:19" ht="16" x14ac:dyDescent="0.2">
      <c r="A61" s="27" t="s">
        <v>97</v>
      </c>
      <c r="B61" s="16">
        <v>4.8000000000000001E-2</v>
      </c>
      <c r="C61" s="16">
        <v>2.6</v>
      </c>
      <c r="D61" s="28">
        <v>1.463105501</v>
      </c>
      <c r="E61" s="30">
        <v>208978.8602</v>
      </c>
      <c r="F61" s="30">
        <v>368735.93900000001</v>
      </c>
      <c r="G61" s="30" t="s">
        <v>91</v>
      </c>
      <c r="H61" s="30" t="s">
        <v>43</v>
      </c>
      <c r="I61" s="31">
        <v>70</v>
      </c>
      <c r="J61" s="28">
        <v>0.86827335800000005</v>
      </c>
      <c r="K61" s="28">
        <v>1.450401746</v>
      </c>
      <c r="L61" s="29">
        <v>0.122245153</v>
      </c>
      <c r="M61" s="16">
        <v>-26.3</v>
      </c>
      <c r="N61" s="39" t="e">
        <v>#N/A</v>
      </c>
      <c r="O61" s="39" t="e">
        <v>#N/A</v>
      </c>
      <c r="P61" s="39" t="e">
        <v>#N/A</v>
      </c>
      <c r="Q61" s="39" t="e">
        <v>#N/A</v>
      </c>
      <c r="R61" s="15">
        <v>1605916800</v>
      </c>
      <c r="S61" t="s">
        <v>23</v>
      </c>
    </row>
    <row r="62" spans="1:19" ht="16" x14ac:dyDescent="0.2">
      <c r="A62" s="27" t="s">
        <v>98</v>
      </c>
      <c r="B62" s="16">
        <v>5.3999999999999999E-2</v>
      </c>
      <c r="C62" s="16">
        <v>2.8</v>
      </c>
      <c r="D62" s="28">
        <v>1.593533944</v>
      </c>
      <c r="E62" s="30">
        <v>208978.8602</v>
      </c>
      <c r="F62" s="30">
        <v>368735.93900000001</v>
      </c>
      <c r="G62" s="30" t="s">
        <v>91</v>
      </c>
      <c r="H62" s="30" t="s">
        <v>43</v>
      </c>
      <c r="I62" s="31">
        <v>80</v>
      </c>
      <c r="J62" s="28">
        <v>4.4093026340000003</v>
      </c>
      <c r="K62" s="28">
        <v>1.5232702090000001</v>
      </c>
      <c r="L62" s="29">
        <v>0.111998194</v>
      </c>
      <c r="M62" s="16">
        <v>-26</v>
      </c>
      <c r="N62" s="39" t="e">
        <v>#N/A</v>
      </c>
      <c r="O62" s="39" t="e">
        <v>#N/A</v>
      </c>
      <c r="P62" s="39" t="e">
        <v>#N/A</v>
      </c>
      <c r="Q62" s="39" t="e">
        <v>#N/A</v>
      </c>
      <c r="R62" s="15">
        <v>1605916800</v>
      </c>
      <c r="S62" t="s">
        <v>23</v>
      </c>
    </row>
    <row r="63" spans="1:19" ht="16" x14ac:dyDescent="0.2">
      <c r="A63" s="27" t="s">
        <v>99</v>
      </c>
      <c r="B63" s="16">
        <v>4.1000000000000002E-2</v>
      </c>
      <c r="C63" s="16">
        <v>2.9</v>
      </c>
      <c r="D63" s="28">
        <v>1.4689161150000001</v>
      </c>
      <c r="E63" s="30">
        <v>208978.8602</v>
      </c>
      <c r="F63" s="30">
        <v>368735.93900000001</v>
      </c>
      <c r="G63" s="30" t="s">
        <v>91</v>
      </c>
      <c r="H63" s="30" t="s">
        <v>43</v>
      </c>
      <c r="I63" s="31">
        <v>90</v>
      </c>
      <c r="J63" s="28">
        <v>2.4591508630000001</v>
      </c>
      <c r="K63" s="28">
        <v>1.432793252</v>
      </c>
      <c r="L63" s="29">
        <v>0.11707994200000001</v>
      </c>
      <c r="M63" s="16">
        <v>-27.2</v>
      </c>
      <c r="N63" s="39" t="e">
        <v>#N/A</v>
      </c>
      <c r="O63" s="39" t="e">
        <v>#N/A</v>
      </c>
      <c r="P63" s="39" t="e">
        <v>#N/A</v>
      </c>
      <c r="Q63" s="39" t="e">
        <v>#N/A</v>
      </c>
      <c r="R63" s="15">
        <v>1605916800</v>
      </c>
      <c r="S63" t="s">
        <v>23</v>
      </c>
    </row>
    <row r="64" spans="1:19" ht="16" x14ac:dyDescent="0.2">
      <c r="A64" s="27" t="s">
        <v>100</v>
      </c>
      <c r="B64" s="16">
        <v>5.7000000000000002E-2</v>
      </c>
      <c r="C64" s="16">
        <v>2.4</v>
      </c>
      <c r="D64" s="28">
        <v>1.4011773000000001</v>
      </c>
      <c r="E64" s="30">
        <v>208978.8602</v>
      </c>
      <c r="F64" s="30">
        <v>368735.93900000001</v>
      </c>
      <c r="G64" s="30" t="s">
        <v>91</v>
      </c>
      <c r="H64" s="30" t="s">
        <v>43</v>
      </c>
      <c r="I64" s="31">
        <v>100</v>
      </c>
      <c r="J64" s="28">
        <v>16.840188690000002</v>
      </c>
      <c r="K64" s="28">
        <v>1.165216399</v>
      </c>
      <c r="L64" s="29">
        <v>0.132634639</v>
      </c>
      <c r="M64" s="16">
        <v>-27</v>
      </c>
      <c r="N64" s="39" t="e">
        <v>#N/A</v>
      </c>
      <c r="O64" s="39" t="e">
        <v>#N/A</v>
      </c>
      <c r="P64" s="39" t="e">
        <v>#N/A</v>
      </c>
      <c r="Q64" s="39" t="e">
        <v>#N/A</v>
      </c>
      <c r="R64" s="15">
        <v>1605916800</v>
      </c>
      <c r="S64" t="s">
        <v>23</v>
      </c>
    </row>
    <row r="65" spans="1:19" ht="16" x14ac:dyDescent="0.2">
      <c r="A65" s="27" t="s">
        <v>101</v>
      </c>
      <c r="B65" s="16">
        <v>0.155</v>
      </c>
      <c r="C65" s="16">
        <v>6</v>
      </c>
      <c r="D65" s="28">
        <v>1.2865415330000001</v>
      </c>
      <c r="E65" s="30">
        <v>208971.00709999999</v>
      </c>
      <c r="F65" s="30">
        <v>368747.75199999998</v>
      </c>
      <c r="G65" s="30" t="s">
        <v>91</v>
      </c>
      <c r="H65" s="30" t="s">
        <v>68</v>
      </c>
      <c r="I65" s="31">
        <v>10</v>
      </c>
      <c r="J65" s="28">
        <v>1.0449458570000001</v>
      </c>
      <c r="K65" s="28">
        <v>1.27309787</v>
      </c>
      <c r="L65" s="29">
        <v>1.540841812</v>
      </c>
      <c r="M65" s="16">
        <v>-23.3</v>
      </c>
      <c r="N65" s="39" t="e">
        <v>#N/A</v>
      </c>
      <c r="O65" s="39" t="e">
        <v>#N/A</v>
      </c>
      <c r="P65" s="39" t="e">
        <v>#N/A</v>
      </c>
      <c r="Q65" s="39" t="e">
        <v>#N/A</v>
      </c>
      <c r="R65" s="15">
        <v>1605916800</v>
      </c>
      <c r="S65" t="s">
        <v>23</v>
      </c>
    </row>
    <row r="66" spans="1:19" ht="16" x14ac:dyDescent="0.2">
      <c r="A66" s="27" t="s">
        <v>102</v>
      </c>
      <c r="B66" s="16">
        <v>0.12</v>
      </c>
      <c r="C66" s="16">
        <v>6.5</v>
      </c>
      <c r="D66" s="28">
        <v>1.4682996239999999</v>
      </c>
      <c r="E66" s="30">
        <v>208971.00709999999</v>
      </c>
      <c r="F66" s="30">
        <v>368747.75199999998</v>
      </c>
      <c r="G66" s="30" t="s">
        <v>91</v>
      </c>
      <c r="H66" s="30" t="s">
        <v>68</v>
      </c>
      <c r="I66" s="31">
        <v>20</v>
      </c>
      <c r="J66" s="28">
        <v>1.342103515</v>
      </c>
      <c r="K66" s="28">
        <v>1.448593523</v>
      </c>
      <c r="L66" s="29">
        <v>1.047302427</v>
      </c>
      <c r="M66" s="16">
        <v>-24.3</v>
      </c>
      <c r="N66" s="39" t="e">
        <v>#N/A</v>
      </c>
      <c r="O66" s="39" t="e">
        <v>#N/A</v>
      </c>
      <c r="P66" s="39" t="e">
        <v>#N/A</v>
      </c>
      <c r="Q66" s="39" t="e">
        <v>#N/A</v>
      </c>
      <c r="R66" s="15">
        <v>1605916800</v>
      </c>
      <c r="S66" t="s">
        <v>23</v>
      </c>
    </row>
    <row r="67" spans="1:19" ht="16" x14ac:dyDescent="0.2">
      <c r="A67" s="27" t="s">
        <v>103</v>
      </c>
      <c r="B67" s="16">
        <v>8.6999999999999994E-2</v>
      </c>
      <c r="C67" s="16">
        <v>5.3</v>
      </c>
      <c r="D67" s="28">
        <v>1.3654216690000001</v>
      </c>
      <c r="E67" s="30">
        <v>208971.00709999999</v>
      </c>
      <c r="F67" s="30">
        <v>368747.75199999998</v>
      </c>
      <c r="G67" s="30" t="s">
        <v>91</v>
      </c>
      <c r="H67" s="30" t="s">
        <v>68</v>
      </c>
      <c r="I67" s="31">
        <v>30</v>
      </c>
      <c r="J67" s="28">
        <v>3.9783446809999998</v>
      </c>
      <c r="K67" s="28">
        <v>1.3111004879999999</v>
      </c>
      <c r="L67" s="29">
        <v>0.58938990599999996</v>
      </c>
      <c r="M67" s="16">
        <v>-24.7</v>
      </c>
      <c r="N67" s="39" t="e">
        <v>#N/A</v>
      </c>
      <c r="O67" s="39" t="e">
        <v>#N/A</v>
      </c>
      <c r="P67" s="39" t="e">
        <v>#N/A</v>
      </c>
      <c r="Q67" s="39" t="e">
        <v>#N/A</v>
      </c>
      <c r="R67" s="15">
        <v>1605916800</v>
      </c>
      <c r="S67" t="s">
        <v>23</v>
      </c>
    </row>
    <row r="68" spans="1:19" ht="16" x14ac:dyDescent="0.2">
      <c r="A68" s="27" t="s">
        <v>104</v>
      </c>
      <c r="B68" s="16">
        <v>6.5000000000000002E-2</v>
      </c>
      <c r="C68" s="16">
        <v>3.8</v>
      </c>
      <c r="D68" s="28">
        <v>1.4745285319999999</v>
      </c>
      <c r="E68" s="30">
        <v>208971.00709999999</v>
      </c>
      <c r="F68" s="30">
        <v>368747.75199999998</v>
      </c>
      <c r="G68" s="30" t="s">
        <v>91</v>
      </c>
      <c r="H68" s="30" t="s">
        <v>68</v>
      </c>
      <c r="I68" s="31">
        <v>40</v>
      </c>
      <c r="J68" s="28">
        <v>0.109672456</v>
      </c>
      <c r="K68" s="28">
        <v>1.47291138</v>
      </c>
      <c r="L68" s="29">
        <v>0.23210399300000001</v>
      </c>
      <c r="M68" s="16">
        <v>-25.1</v>
      </c>
      <c r="N68" s="39" t="e">
        <v>#N/A</v>
      </c>
      <c r="O68" s="39" t="e">
        <v>#N/A</v>
      </c>
      <c r="P68" s="39" t="e">
        <v>#N/A</v>
      </c>
      <c r="Q68" s="39" t="e">
        <v>#N/A</v>
      </c>
      <c r="R68" s="15">
        <v>1605916800</v>
      </c>
      <c r="S68" t="s">
        <v>23</v>
      </c>
    </row>
    <row r="69" spans="1:19" ht="16" x14ac:dyDescent="0.2">
      <c r="A69" s="27" t="s">
        <v>105</v>
      </c>
      <c r="B69" s="16">
        <v>4.9000000000000002E-2</v>
      </c>
      <c r="C69" s="16">
        <v>3.1</v>
      </c>
      <c r="D69" s="28">
        <v>1.6097505940000001</v>
      </c>
      <c r="E69" s="30">
        <v>208971.00709999999</v>
      </c>
      <c r="F69" s="30">
        <v>368747.75199999998</v>
      </c>
      <c r="G69" s="30" t="s">
        <v>91</v>
      </c>
      <c r="H69" s="30" t="s">
        <v>68</v>
      </c>
      <c r="I69" s="31">
        <v>50</v>
      </c>
      <c r="J69" s="28">
        <v>7.4940536000000002E-2</v>
      </c>
      <c r="K69" s="28">
        <v>1.608544239</v>
      </c>
      <c r="L69" s="29">
        <v>0.14693661199999999</v>
      </c>
      <c r="M69" s="16">
        <v>-25.2</v>
      </c>
      <c r="N69" s="39" t="e">
        <v>#N/A</v>
      </c>
      <c r="O69" s="39" t="e">
        <v>#N/A</v>
      </c>
      <c r="P69" s="39" t="e">
        <v>#N/A</v>
      </c>
      <c r="Q69" s="39" t="e">
        <v>#N/A</v>
      </c>
      <c r="R69" s="15">
        <v>1605916800</v>
      </c>
      <c r="S69" t="s">
        <v>23</v>
      </c>
    </row>
    <row r="70" spans="1:19" ht="16" x14ac:dyDescent="0.2">
      <c r="A70" s="27" t="s">
        <v>106</v>
      </c>
      <c r="B70" s="16">
        <v>5.1999999999999998E-2</v>
      </c>
      <c r="C70" s="16">
        <v>2.4</v>
      </c>
      <c r="D70" s="28">
        <v>1.47518613</v>
      </c>
      <c r="E70" s="30">
        <v>208971.00709999999</v>
      </c>
      <c r="F70" s="30">
        <v>368747.75199999998</v>
      </c>
      <c r="G70" s="30" t="s">
        <v>91</v>
      </c>
      <c r="H70" s="30" t="s">
        <v>68</v>
      </c>
      <c r="I70" s="31">
        <v>60</v>
      </c>
      <c r="J70" s="28">
        <v>6.7695863999999994E-2</v>
      </c>
      <c r="K70" s="28">
        <v>1.47418749</v>
      </c>
      <c r="L70" s="29">
        <v>0.12255614300000001</v>
      </c>
      <c r="M70" s="16">
        <v>-24.9</v>
      </c>
      <c r="N70" s="39" t="e">
        <v>#N/A</v>
      </c>
      <c r="O70" s="39" t="e">
        <v>#N/A</v>
      </c>
      <c r="P70" s="39" t="e">
        <v>#N/A</v>
      </c>
      <c r="Q70" s="39" t="e">
        <v>#N/A</v>
      </c>
      <c r="R70" s="15">
        <v>1605916800</v>
      </c>
      <c r="S70" t="s">
        <v>23</v>
      </c>
    </row>
    <row r="71" spans="1:19" ht="16" x14ac:dyDescent="0.2">
      <c r="A71" s="27" t="s">
        <v>107</v>
      </c>
      <c r="B71" s="16">
        <v>4.3999999999999997E-2</v>
      </c>
      <c r="C71" s="16">
        <v>3.3</v>
      </c>
      <c r="D71" s="28">
        <v>1.611731689</v>
      </c>
      <c r="E71" s="30">
        <v>208971.00709999999</v>
      </c>
      <c r="F71" s="30">
        <v>368747.75199999998</v>
      </c>
      <c r="G71" s="30" t="s">
        <v>91</v>
      </c>
      <c r="H71" s="30" t="s">
        <v>68</v>
      </c>
      <c r="I71" s="31">
        <v>70</v>
      </c>
      <c r="J71" s="28">
        <v>0.27413191599999998</v>
      </c>
      <c r="K71" s="28">
        <v>1.6073134179999999</v>
      </c>
      <c r="L71" s="29">
        <v>0.114625436</v>
      </c>
      <c r="M71" s="16">
        <v>-25.2</v>
      </c>
      <c r="N71" s="39" t="e">
        <v>#N/A</v>
      </c>
      <c r="O71" s="39" t="e">
        <v>#N/A</v>
      </c>
      <c r="P71" s="39" t="e">
        <v>#N/A</v>
      </c>
      <c r="Q71" s="39" t="e">
        <v>#N/A</v>
      </c>
      <c r="R71" s="15">
        <v>1605916800</v>
      </c>
      <c r="S71" t="s">
        <v>23</v>
      </c>
    </row>
    <row r="72" spans="1:19" ht="16" x14ac:dyDescent="0.2">
      <c r="A72" s="27" t="s">
        <v>108</v>
      </c>
      <c r="B72" s="16">
        <v>5.0999999999999997E-2</v>
      </c>
      <c r="C72" s="16">
        <v>2.8</v>
      </c>
      <c r="D72" s="28">
        <v>1.494042256</v>
      </c>
      <c r="E72" s="30">
        <v>208971.00709999999</v>
      </c>
      <c r="F72" s="30">
        <v>368747.75199999998</v>
      </c>
      <c r="G72" s="30" t="s">
        <v>91</v>
      </c>
      <c r="H72" s="30" t="s">
        <v>68</v>
      </c>
      <c r="I72" s="31">
        <v>80</v>
      </c>
      <c r="J72" s="28">
        <v>1.690243138</v>
      </c>
      <c r="K72" s="28">
        <v>1.4687893089999999</v>
      </c>
      <c r="L72" s="29">
        <v>0.11390819100000001</v>
      </c>
      <c r="M72" s="16">
        <v>-26.1</v>
      </c>
      <c r="N72" s="39" t="e">
        <v>#N/A</v>
      </c>
      <c r="O72" s="39" t="e">
        <v>#N/A</v>
      </c>
      <c r="P72" s="39" t="e">
        <v>#N/A</v>
      </c>
      <c r="Q72" s="39" t="e">
        <v>#N/A</v>
      </c>
      <c r="R72" s="15">
        <v>1605916800</v>
      </c>
      <c r="S72" t="s">
        <v>23</v>
      </c>
    </row>
    <row r="73" spans="1:19" ht="16" x14ac:dyDescent="0.2">
      <c r="A73" s="27" t="s">
        <v>109</v>
      </c>
      <c r="B73" s="16">
        <v>4.2000000000000003E-2</v>
      </c>
      <c r="C73" s="16">
        <v>2.9</v>
      </c>
      <c r="D73" s="28">
        <v>1.6097205990000001</v>
      </c>
      <c r="E73" s="30">
        <v>208971.00709999999</v>
      </c>
      <c r="F73" s="30">
        <v>368747.75199999998</v>
      </c>
      <c r="G73" s="30" t="s">
        <v>91</v>
      </c>
      <c r="H73" s="30" t="s">
        <v>68</v>
      </c>
      <c r="I73" s="31">
        <v>90</v>
      </c>
      <c r="J73" s="28">
        <v>2.4822753909999999</v>
      </c>
      <c r="K73" s="28">
        <v>1.569762901</v>
      </c>
      <c r="L73" s="29">
        <v>0.10862711</v>
      </c>
      <c r="M73" s="16">
        <v>-26.4</v>
      </c>
      <c r="N73" s="39" t="e">
        <v>#N/A</v>
      </c>
      <c r="O73" s="39" t="e">
        <v>#N/A</v>
      </c>
      <c r="P73" s="39" t="e">
        <v>#N/A</v>
      </c>
      <c r="Q73" s="39" t="e">
        <v>#N/A</v>
      </c>
      <c r="R73" s="15">
        <v>1605916800</v>
      </c>
      <c r="S73" t="s">
        <v>23</v>
      </c>
    </row>
    <row r="74" spans="1:19" ht="16" x14ac:dyDescent="0.2">
      <c r="A74" s="27" t="s">
        <v>110</v>
      </c>
      <c r="B74" s="16">
        <v>5.6000000000000001E-2</v>
      </c>
      <c r="C74" s="16">
        <v>2.2000000000000002</v>
      </c>
      <c r="D74" s="28">
        <v>1.4857088570000001</v>
      </c>
      <c r="E74" s="30">
        <v>208971.00709999999</v>
      </c>
      <c r="F74" s="30">
        <v>368747.75199999998</v>
      </c>
      <c r="G74" s="30" t="s">
        <v>91</v>
      </c>
      <c r="H74" s="30" t="s">
        <v>68</v>
      </c>
      <c r="I74" s="31">
        <v>100</v>
      </c>
      <c r="J74" s="28">
        <v>4.7035579680000001</v>
      </c>
      <c r="K74" s="28">
        <v>1.41582768</v>
      </c>
      <c r="L74" s="29">
        <v>0.13993185299999999</v>
      </c>
      <c r="M74" s="16">
        <v>-22.1</v>
      </c>
      <c r="N74" s="39" t="e">
        <v>#N/A</v>
      </c>
      <c r="O74" s="39" t="e">
        <v>#N/A</v>
      </c>
      <c r="P74" s="39" t="e">
        <v>#N/A</v>
      </c>
      <c r="Q74" s="39" t="e">
        <v>#N/A</v>
      </c>
      <c r="R74" s="15">
        <v>1605916800</v>
      </c>
      <c r="S74" t="s">
        <v>23</v>
      </c>
    </row>
    <row r="75" spans="1:19" ht="16" x14ac:dyDescent="0.2">
      <c r="A75" s="27" t="s">
        <v>111</v>
      </c>
      <c r="B75" s="16">
        <v>4.8000000000000001E-2</v>
      </c>
      <c r="C75" s="16">
        <v>2.4</v>
      </c>
      <c r="D75" s="28">
        <v>1.554885335</v>
      </c>
      <c r="E75" s="30">
        <v>208971.00709999999</v>
      </c>
      <c r="F75" s="30">
        <v>368747.75199999998</v>
      </c>
      <c r="G75" s="30" t="s">
        <v>91</v>
      </c>
      <c r="H75" s="30" t="s">
        <v>68</v>
      </c>
      <c r="I75" s="31">
        <v>110</v>
      </c>
      <c r="J75" s="28">
        <v>6.1060498340000002</v>
      </c>
      <c r="K75" s="28">
        <v>1.459943261</v>
      </c>
      <c r="L75" s="29">
        <v>0.64422596099999996</v>
      </c>
      <c r="M75" s="16">
        <v>-10.7</v>
      </c>
      <c r="N75" s="39" t="e">
        <v>#N/A</v>
      </c>
      <c r="O75" s="39" t="e">
        <v>#N/A</v>
      </c>
      <c r="P75" s="39" t="e">
        <v>#N/A</v>
      </c>
      <c r="Q75" s="39" t="e">
        <v>#N/A</v>
      </c>
      <c r="R75" s="15">
        <v>1605916800</v>
      </c>
      <c r="S75" t="s">
        <v>23</v>
      </c>
    </row>
    <row r="76" spans="1:19" ht="16" x14ac:dyDescent="0.2">
      <c r="A76" s="27" t="s">
        <v>112</v>
      </c>
      <c r="B76" s="16">
        <v>0.05</v>
      </c>
      <c r="C76" s="16">
        <v>1.7</v>
      </c>
      <c r="D76" s="28">
        <v>1.494588335</v>
      </c>
      <c r="E76" s="30">
        <v>208971.00709999999</v>
      </c>
      <c r="F76" s="30">
        <v>368747.75199999998</v>
      </c>
      <c r="G76" s="30" t="s">
        <v>91</v>
      </c>
      <c r="H76" s="30" t="s">
        <v>68</v>
      </c>
      <c r="I76" s="31">
        <v>120</v>
      </c>
      <c r="J76" s="28">
        <v>12.16390943</v>
      </c>
      <c r="K76" s="28">
        <v>1.312787964</v>
      </c>
      <c r="L76" s="29">
        <v>0.77830311299999999</v>
      </c>
      <c r="M76" s="16">
        <v>-7.8</v>
      </c>
      <c r="N76" s="39" t="e">
        <v>#N/A</v>
      </c>
      <c r="O76" s="39" t="e">
        <v>#N/A</v>
      </c>
      <c r="P76" s="39" t="e">
        <v>#N/A</v>
      </c>
      <c r="Q76" s="39" t="e">
        <v>#N/A</v>
      </c>
      <c r="R76" s="15">
        <v>1605916800</v>
      </c>
      <c r="S76" t="s">
        <v>23</v>
      </c>
    </row>
    <row r="77" spans="1:19" ht="16" x14ac:dyDescent="0.2">
      <c r="A77" s="27" t="s">
        <v>113</v>
      </c>
      <c r="B77" s="16">
        <v>0.14499999999999999</v>
      </c>
      <c r="C77" s="16">
        <v>5.7</v>
      </c>
      <c r="D77" s="28">
        <v>1.3321787599999999</v>
      </c>
      <c r="E77" s="30">
        <v>208963.02679999999</v>
      </c>
      <c r="F77" s="30">
        <v>368735.8345</v>
      </c>
      <c r="G77" s="30" t="s">
        <v>91</v>
      </c>
      <c r="H77" s="30" t="s">
        <v>81</v>
      </c>
      <c r="I77" s="31">
        <v>10</v>
      </c>
      <c r="J77" s="28">
        <v>13.453926020000001</v>
      </c>
      <c r="K77" s="28">
        <v>1.152948415</v>
      </c>
      <c r="L77" s="29">
        <v>1.460131045</v>
      </c>
      <c r="M77" s="16">
        <v>-24.1</v>
      </c>
      <c r="N77" s="39" t="e">
        <v>#N/A</v>
      </c>
      <c r="O77" s="39" t="e">
        <v>#N/A</v>
      </c>
      <c r="P77" s="39" t="e">
        <v>#N/A</v>
      </c>
      <c r="Q77" s="39" t="e">
        <v>#N/A</v>
      </c>
      <c r="R77" s="15">
        <v>1605916800</v>
      </c>
      <c r="S77" t="s">
        <v>23</v>
      </c>
    </row>
    <row r="78" spans="1:19" ht="16" x14ac:dyDescent="0.2">
      <c r="A78" s="27" t="s">
        <v>114</v>
      </c>
      <c r="B78" s="16">
        <v>0.14000000000000001</v>
      </c>
      <c r="C78" s="16">
        <v>6.5</v>
      </c>
      <c r="D78" s="28">
        <v>1.3539515369999999</v>
      </c>
      <c r="E78" s="30">
        <v>208963.02679999999</v>
      </c>
      <c r="F78" s="30">
        <v>368735.8345</v>
      </c>
      <c r="G78" s="30" t="s">
        <v>91</v>
      </c>
      <c r="H78" s="30" t="s">
        <v>81</v>
      </c>
      <c r="I78" s="31">
        <v>20</v>
      </c>
      <c r="J78" s="28">
        <v>5.1363943169999997</v>
      </c>
      <c r="K78" s="28">
        <v>1.2844072470000001</v>
      </c>
      <c r="L78" s="29">
        <v>1.257484711</v>
      </c>
      <c r="M78" s="16">
        <v>-24.8</v>
      </c>
      <c r="N78" s="39" t="e">
        <v>#N/A</v>
      </c>
      <c r="O78" s="39" t="e">
        <v>#N/A</v>
      </c>
      <c r="P78" s="39" t="e">
        <v>#N/A</v>
      </c>
      <c r="Q78" s="39" t="e">
        <v>#N/A</v>
      </c>
      <c r="R78" s="15">
        <v>1605916800</v>
      </c>
      <c r="S78" t="s">
        <v>23</v>
      </c>
    </row>
    <row r="79" spans="1:19" ht="16" x14ac:dyDescent="0.2">
      <c r="A79" s="27" t="s">
        <v>115</v>
      </c>
      <c r="B79" s="16">
        <v>0.1</v>
      </c>
      <c r="C79" s="16">
        <v>6.2</v>
      </c>
      <c r="D79" s="28">
        <v>1.527057807</v>
      </c>
      <c r="E79" s="30">
        <v>208963.02679999999</v>
      </c>
      <c r="F79" s="30">
        <v>368735.8345</v>
      </c>
      <c r="G79" s="30" t="s">
        <v>91</v>
      </c>
      <c r="H79" s="30" t="s">
        <v>81</v>
      </c>
      <c r="I79" s="31">
        <v>30</v>
      </c>
      <c r="J79" s="28">
        <v>5.4592720970000004</v>
      </c>
      <c r="K79" s="28">
        <v>1.443691566</v>
      </c>
      <c r="L79" s="29">
        <v>0.82910410700000003</v>
      </c>
      <c r="M79" s="16">
        <v>-24.6</v>
      </c>
      <c r="N79" s="39" t="e">
        <v>#N/A</v>
      </c>
      <c r="O79" s="39" t="e">
        <v>#N/A</v>
      </c>
      <c r="P79" s="39" t="e">
        <v>#N/A</v>
      </c>
      <c r="Q79" s="39" t="e">
        <v>#N/A</v>
      </c>
      <c r="R79" s="15">
        <v>1605916800</v>
      </c>
      <c r="S79" t="s">
        <v>23</v>
      </c>
    </row>
    <row r="80" spans="1:19" ht="16" x14ac:dyDescent="0.2">
      <c r="A80" s="27" t="s">
        <v>116</v>
      </c>
      <c r="B80" s="16">
        <v>6.8000000000000005E-2</v>
      </c>
      <c r="C80" s="16">
        <v>4.9000000000000004</v>
      </c>
      <c r="D80" s="28">
        <v>1.358760027</v>
      </c>
      <c r="E80" s="30">
        <v>208963.02679999999</v>
      </c>
      <c r="F80" s="30">
        <v>368735.8345</v>
      </c>
      <c r="G80" s="30" t="s">
        <v>91</v>
      </c>
      <c r="H80" s="30" t="s">
        <v>81</v>
      </c>
      <c r="I80" s="31">
        <v>40</v>
      </c>
      <c r="J80" s="28">
        <v>0.33931970500000003</v>
      </c>
      <c r="K80" s="28">
        <v>1.3541494869999999</v>
      </c>
      <c r="L80" s="29">
        <v>0.35743123399999999</v>
      </c>
      <c r="M80" s="16">
        <v>-25</v>
      </c>
      <c r="N80" s="39" t="e">
        <v>#N/A</v>
      </c>
      <c r="O80" s="39" t="e">
        <v>#N/A</v>
      </c>
      <c r="P80" s="39" t="e">
        <v>#N/A</v>
      </c>
      <c r="Q80" s="39" t="e">
        <v>#N/A</v>
      </c>
      <c r="R80" s="15">
        <v>1605916800</v>
      </c>
      <c r="S80" t="s">
        <v>23</v>
      </c>
    </row>
    <row r="81" spans="1:19" ht="16" x14ac:dyDescent="0.2">
      <c r="A81" s="27" t="s">
        <v>117</v>
      </c>
      <c r="B81" s="16">
        <v>5.7000000000000002E-2</v>
      </c>
      <c r="C81" s="16">
        <v>4.5</v>
      </c>
      <c r="D81" s="28">
        <v>1.6320256150000001</v>
      </c>
      <c r="E81" s="30">
        <v>208963.02679999999</v>
      </c>
      <c r="F81" s="30">
        <v>368735.8345</v>
      </c>
      <c r="G81" s="30" t="s">
        <v>91</v>
      </c>
      <c r="H81" s="30" t="s">
        <v>81</v>
      </c>
      <c r="I81" s="31">
        <v>50</v>
      </c>
      <c r="J81" s="28">
        <v>0</v>
      </c>
      <c r="K81" s="28">
        <v>1.6320256150000001</v>
      </c>
      <c r="L81" s="29">
        <v>0.25137362099999999</v>
      </c>
      <c r="M81" s="16">
        <v>-25.6</v>
      </c>
      <c r="N81" s="40" t="e">
        <v>#N/A</v>
      </c>
      <c r="O81" s="40" t="e">
        <v>#N/A</v>
      </c>
      <c r="P81" s="40" t="e">
        <v>#N/A</v>
      </c>
      <c r="Q81" s="40" t="e">
        <v>#N/A</v>
      </c>
      <c r="R81" s="15">
        <v>1605916800</v>
      </c>
      <c r="S81" t="s">
        <v>23</v>
      </c>
    </row>
    <row r="82" spans="1:19" ht="16" x14ac:dyDescent="0.2">
      <c r="A82" s="27" t="s">
        <v>118</v>
      </c>
      <c r="B82" s="16">
        <v>7.0999999999999994E-2</v>
      </c>
      <c r="C82" s="16">
        <v>4.4000000000000004</v>
      </c>
      <c r="D82" s="28">
        <v>1.4783479479999999</v>
      </c>
      <c r="E82" s="30">
        <v>208963.02679999999</v>
      </c>
      <c r="F82" s="30">
        <v>368735.8345</v>
      </c>
      <c r="G82" s="30" t="s">
        <v>91</v>
      </c>
      <c r="H82" s="30" t="s">
        <v>81</v>
      </c>
      <c r="I82" s="31">
        <v>60</v>
      </c>
      <c r="J82" s="28">
        <v>7.5006919459999999</v>
      </c>
      <c r="K82" s="28">
        <v>1.3674616230000001</v>
      </c>
      <c r="L82" s="29">
        <v>0.27065945000000002</v>
      </c>
      <c r="M82" s="16">
        <v>-26</v>
      </c>
      <c r="N82" s="39" t="e">
        <v>#N/A</v>
      </c>
      <c r="O82" s="39" t="e">
        <v>#N/A</v>
      </c>
      <c r="P82" s="39" t="e">
        <v>#N/A</v>
      </c>
      <c r="Q82" s="39" t="e">
        <v>#N/A</v>
      </c>
      <c r="R82" s="15">
        <v>1605916800</v>
      </c>
      <c r="S82" t="s">
        <v>23</v>
      </c>
    </row>
    <row r="83" spans="1:19" ht="16" x14ac:dyDescent="0.2">
      <c r="A83" s="27" t="s">
        <v>119</v>
      </c>
      <c r="B83" s="16">
        <v>5.6000000000000001E-2</v>
      </c>
      <c r="C83" s="16">
        <v>3.4</v>
      </c>
      <c r="D83" s="28">
        <v>1.5889629999999999</v>
      </c>
      <c r="E83" s="30">
        <v>208963.02679999999</v>
      </c>
      <c r="F83" s="30">
        <v>368735.8345</v>
      </c>
      <c r="G83" s="30" t="s">
        <v>91</v>
      </c>
      <c r="H83" s="30" t="s">
        <v>81</v>
      </c>
      <c r="I83" s="31">
        <v>70</v>
      </c>
      <c r="J83" s="28">
        <v>2.5217045530000002</v>
      </c>
      <c r="K83" s="28">
        <v>1.5488940470000001</v>
      </c>
      <c r="L83" s="29">
        <v>0.170052077</v>
      </c>
      <c r="M83" s="16">
        <v>-26</v>
      </c>
      <c r="N83" s="39" t="e">
        <v>#N/A</v>
      </c>
      <c r="O83" s="39" t="e">
        <v>#N/A</v>
      </c>
      <c r="P83" s="39" t="e">
        <v>#N/A</v>
      </c>
      <c r="Q83" s="39" t="e">
        <v>#N/A</v>
      </c>
      <c r="R83" s="15">
        <v>1605916800</v>
      </c>
      <c r="S83" t="s">
        <v>23</v>
      </c>
    </row>
    <row r="84" spans="1:19" ht="16" x14ac:dyDescent="0.2">
      <c r="A84" s="27" t="s">
        <v>120</v>
      </c>
      <c r="B84" s="16">
        <v>5.3999999999999999E-2</v>
      </c>
      <c r="C84" s="16">
        <v>2.5</v>
      </c>
      <c r="D84" s="28">
        <v>1.5579394550000001</v>
      </c>
      <c r="E84" s="30">
        <v>208963.02679999999</v>
      </c>
      <c r="F84" s="30">
        <v>368735.8345</v>
      </c>
      <c r="G84" s="30" t="s">
        <v>91</v>
      </c>
      <c r="H84" s="30" t="s">
        <v>81</v>
      </c>
      <c r="I84" s="31">
        <v>80</v>
      </c>
      <c r="J84" s="28">
        <v>12.39369374</v>
      </c>
      <c r="K84" s="28">
        <v>1.3648532099999999</v>
      </c>
      <c r="L84" s="29">
        <v>0.14062139700000001</v>
      </c>
      <c r="M84" s="16">
        <v>-26.3</v>
      </c>
      <c r="N84" s="39" t="e">
        <v>#N/A</v>
      </c>
      <c r="O84" s="39" t="e">
        <v>#N/A</v>
      </c>
      <c r="P84" s="39" t="e">
        <v>#N/A</v>
      </c>
      <c r="Q84" s="39" t="e">
        <v>#N/A</v>
      </c>
      <c r="R84" s="15">
        <v>1605916800</v>
      </c>
      <c r="S84" t="s">
        <v>23</v>
      </c>
    </row>
    <row r="85" spans="1:19" ht="16" x14ac:dyDescent="0.2">
      <c r="A85" s="27" t="s">
        <v>121</v>
      </c>
      <c r="B85" s="16">
        <v>6.0499999999999998E-2</v>
      </c>
      <c r="C85" s="16">
        <v>2.2999999999999998</v>
      </c>
      <c r="D85" s="28">
        <v>1.379232646</v>
      </c>
      <c r="E85" s="30">
        <v>208963.02679999999</v>
      </c>
      <c r="F85" s="30">
        <v>368735.8345</v>
      </c>
      <c r="G85" s="30" t="s">
        <v>91</v>
      </c>
      <c r="H85" s="30" t="s">
        <v>81</v>
      </c>
      <c r="I85" s="31">
        <v>90</v>
      </c>
      <c r="J85" s="28">
        <v>5.2585581430000001</v>
      </c>
      <c r="K85" s="28">
        <v>1.306704895</v>
      </c>
      <c r="L85" s="29">
        <v>0.14596357500000001</v>
      </c>
      <c r="M85" s="16">
        <v>-25.7</v>
      </c>
      <c r="N85" s="39" t="e">
        <v>#N/A</v>
      </c>
      <c r="O85" s="39" t="e">
        <v>#N/A</v>
      </c>
      <c r="P85" s="39" t="e">
        <v>#N/A</v>
      </c>
      <c r="Q85" s="39" t="e">
        <v>#N/A</v>
      </c>
      <c r="R85" s="15">
        <v>1605916800</v>
      </c>
      <c r="S85" t="s">
        <v>23</v>
      </c>
    </row>
    <row r="86" spans="1:19" ht="16" x14ac:dyDescent="0.2">
      <c r="A86" s="27" t="s">
        <v>122</v>
      </c>
      <c r="B86" s="16">
        <v>6.4000000000000001E-2</v>
      </c>
      <c r="C86" s="16">
        <v>2.7</v>
      </c>
      <c r="D86" s="28">
        <v>1.0469187929999999</v>
      </c>
      <c r="E86" s="30">
        <v>208963.02679999999</v>
      </c>
      <c r="F86" s="30">
        <v>368735.8345</v>
      </c>
      <c r="G86" s="30" t="s">
        <v>91</v>
      </c>
      <c r="H86" s="30" t="s">
        <v>81</v>
      </c>
      <c r="I86" s="31">
        <v>100</v>
      </c>
      <c r="J86" s="28">
        <v>11.659939039999999</v>
      </c>
      <c r="K86" s="28">
        <v>0.92484869999999997</v>
      </c>
      <c r="L86" s="29">
        <v>0.14017526499999999</v>
      </c>
      <c r="M86" s="16">
        <v>-26.4</v>
      </c>
      <c r="N86" s="39" t="e">
        <v>#N/A</v>
      </c>
      <c r="O86" s="39" t="e">
        <v>#N/A</v>
      </c>
      <c r="P86" s="39" t="e">
        <v>#N/A</v>
      </c>
      <c r="Q86" s="39" t="e">
        <v>#N/A</v>
      </c>
      <c r="R86" s="15">
        <v>1605916800</v>
      </c>
      <c r="S86" t="s">
        <v>23</v>
      </c>
    </row>
    <row r="87" spans="1:19" ht="16" x14ac:dyDescent="0.2">
      <c r="A87" s="27" t="s">
        <v>123</v>
      </c>
      <c r="B87" s="16">
        <v>7.0999999999999994E-2</v>
      </c>
      <c r="C87" s="16">
        <v>2.5</v>
      </c>
      <c r="D87" s="28">
        <v>1.680381033</v>
      </c>
      <c r="E87" s="30">
        <v>208963.02679999999</v>
      </c>
      <c r="F87" s="30">
        <v>368735.8345</v>
      </c>
      <c r="G87" s="30" t="s">
        <v>91</v>
      </c>
      <c r="H87" s="30" t="s">
        <v>81</v>
      </c>
      <c r="I87" s="31">
        <v>110</v>
      </c>
      <c r="J87" s="28">
        <v>11.098388809999999</v>
      </c>
      <c r="K87" s="28">
        <v>1.493885812</v>
      </c>
      <c r="L87" s="29">
        <v>0.13391607899999999</v>
      </c>
      <c r="M87" s="16">
        <v>-26.4</v>
      </c>
      <c r="N87" s="39" t="e">
        <v>#N/A</v>
      </c>
      <c r="O87" s="39" t="e">
        <v>#N/A</v>
      </c>
      <c r="P87" s="39" t="e">
        <v>#N/A</v>
      </c>
      <c r="Q87" s="39" t="e">
        <v>#N/A</v>
      </c>
      <c r="R87" s="15">
        <v>1605916800</v>
      </c>
      <c r="S87" t="s">
        <v>23</v>
      </c>
    </row>
    <row r="88" spans="1:19" ht="16" x14ac:dyDescent="0.2">
      <c r="A88" s="27" t="s">
        <v>124</v>
      </c>
      <c r="B88" s="16">
        <v>0.18</v>
      </c>
      <c r="C88" s="16">
        <v>6.2</v>
      </c>
      <c r="D88" s="28">
        <v>1.3328629080000001</v>
      </c>
      <c r="E88" s="30">
        <v>209282.80869999999</v>
      </c>
      <c r="F88" s="30">
        <v>368846.10889999999</v>
      </c>
      <c r="G88" s="30" t="s">
        <v>125</v>
      </c>
      <c r="H88" s="30" t="s">
        <v>43</v>
      </c>
      <c r="I88" s="31">
        <v>10</v>
      </c>
      <c r="J88" s="28">
        <v>1.659943894</v>
      </c>
      <c r="K88" s="28">
        <v>1.310738132</v>
      </c>
      <c r="L88" s="29">
        <v>1.76008108</v>
      </c>
      <c r="M88" s="16">
        <v>-25</v>
      </c>
      <c r="N88" s="39" t="e">
        <v>#N/A</v>
      </c>
      <c r="O88" s="39" t="e">
        <v>#N/A</v>
      </c>
      <c r="P88" s="39" t="e">
        <v>#N/A</v>
      </c>
      <c r="Q88" s="39" t="e">
        <v>#N/A</v>
      </c>
      <c r="R88" s="15">
        <v>1605916800</v>
      </c>
      <c r="S88" t="s">
        <v>23</v>
      </c>
    </row>
    <row r="89" spans="1:19" ht="16" x14ac:dyDescent="0.2">
      <c r="A89" s="27" t="s">
        <v>126</v>
      </c>
      <c r="B89" s="16">
        <v>0.13</v>
      </c>
      <c r="C89" s="16">
        <v>6.4</v>
      </c>
      <c r="D89" s="28">
        <v>1.401744967</v>
      </c>
      <c r="E89" s="30">
        <v>209282.80869999999</v>
      </c>
      <c r="F89" s="30">
        <v>368846.10889999999</v>
      </c>
      <c r="G89" s="30" t="s">
        <v>125</v>
      </c>
      <c r="H89" s="30" t="s">
        <v>43</v>
      </c>
      <c r="I89" s="31">
        <v>20</v>
      </c>
      <c r="J89" s="28">
        <v>2.9912120710000001</v>
      </c>
      <c r="K89" s="28">
        <v>1.359815803</v>
      </c>
      <c r="L89" s="29">
        <v>1.23484561</v>
      </c>
      <c r="M89" s="16">
        <v>-24.3</v>
      </c>
      <c r="N89" s="39" t="e">
        <v>#N/A</v>
      </c>
      <c r="O89" s="39" t="e">
        <v>#N/A</v>
      </c>
      <c r="P89" s="39" t="e">
        <v>#N/A</v>
      </c>
      <c r="Q89" s="39" t="e">
        <v>#N/A</v>
      </c>
      <c r="R89" s="15">
        <v>1605916800</v>
      </c>
      <c r="S89" t="s">
        <v>23</v>
      </c>
    </row>
    <row r="90" spans="1:19" ht="16" x14ac:dyDescent="0.2">
      <c r="A90" s="27" t="s">
        <v>127</v>
      </c>
      <c r="B90" s="16">
        <v>0.11</v>
      </c>
      <c r="C90" s="16">
        <v>6.4</v>
      </c>
      <c r="D90" s="28">
        <v>1.381958215</v>
      </c>
      <c r="E90" s="30">
        <v>209282.80869999999</v>
      </c>
      <c r="F90" s="30">
        <v>368846.10889999999</v>
      </c>
      <c r="G90" s="30" t="s">
        <v>125</v>
      </c>
      <c r="H90" s="30" t="s">
        <v>43</v>
      </c>
      <c r="I90" s="31">
        <v>30</v>
      </c>
      <c r="J90" s="28">
        <v>6.9943572420000004</v>
      </c>
      <c r="K90" s="28">
        <v>1.2852991199999999</v>
      </c>
      <c r="L90" s="29">
        <v>0.89155537399999996</v>
      </c>
      <c r="M90" s="16">
        <v>-23.8</v>
      </c>
      <c r="N90" s="39" t="e">
        <v>#N/A</v>
      </c>
      <c r="O90" s="39" t="e">
        <v>#N/A</v>
      </c>
      <c r="P90" s="39" t="e">
        <v>#N/A</v>
      </c>
      <c r="Q90" s="39" t="e">
        <v>#N/A</v>
      </c>
      <c r="R90" s="15">
        <v>1605916800</v>
      </c>
      <c r="S90" t="s">
        <v>23</v>
      </c>
    </row>
    <row r="91" spans="1:19" ht="16" x14ac:dyDescent="0.2">
      <c r="A91" s="27" t="s">
        <v>128</v>
      </c>
      <c r="B91" s="16">
        <v>8.6999999999999994E-2</v>
      </c>
      <c r="C91" s="16">
        <v>5.0999999999999996</v>
      </c>
      <c r="D91" s="28">
        <v>1.5480521350000001</v>
      </c>
      <c r="E91" s="30">
        <v>209282.80869999999</v>
      </c>
      <c r="F91" s="30">
        <v>368846.10889999999</v>
      </c>
      <c r="G91" s="30" t="s">
        <v>125</v>
      </c>
      <c r="H91" s="30" t="s">
        <v>43</v>
      </c>
      <c r="I91" s="31">
        <v>40</v>
      </c>
      <c r="J91" s="28">
        <v>4.0370912969999999</v>
      </c>
      <c r="K91" s="28">
        <v>1.485555857</v>
      </c>
      <c r="L91" s="29">
        <v>0.41136042900000003</v>
      </c>
      <c r="M91" s="16">
        <v>-23.8</v>
      </c>
      <c r="N91" s="39" t="e">
        <v>#N/A</v>
      </c>
      <c r="O91" s="39" t="e">
        <v>#N/A</v>
      </c>
      <c r="P91" s="39" t="e">
        <v>#N/A</v>
      </c>
      <c r="Q91" s="39" t="e">
        <v>#N/A</v>
      </c>
      <c r="R91" s="15">
        <v>1605916800</v>
      </c>
      <c r="S91" t="s">
        <v>23</v>
      </c>
    </row>
    <row r="92" spans="1:19" ht="16" x14ac:dyDescent="0.2">
      <c r="A92" s="27" t="s">
        <v>129</v>
      </c>
      <c r="B92" s="16">
        <v>8.2000000000000003E-2</v>
      </c>
      <c r="C92" s="16">
        <v>4</v>
      </c>
      <c r="D92" s="28">
        <v>1.4321538300000001</v>
      </c>
      <c r="E92" s="30">
        <v>209282.80869999999</v>
      </c>
      <c r="F92" s="30">
        <v>368846.10889999999</v>
      </c>
      <c r="G92" s="30" t="s">
        <v>125</v>
      </c>
      <c r="H92" s="30" t="s">
        <v>43</v>
      </c>
      <c r="I92" s="31">
        <v>50</v>
      </c>
      <c r="J92" s="28">
        <v>2.2361880059999999</v>
      </c>
      <c r="K92" s="28">
        <v>1.4001281779999999</v>
      </c>
      <c r="L92" s="29">
        <v>0.23711685699999999</v>
      </c>
      <c r="M92" s="16">
        <v>-24.3</v>
      </c>
      <c r="N92" s="39" t="e">
        <v>#N/A</v>
      </c>
      <c r="O92" s="39" t="e">
        <v>#N/A</v>
      </c>
      <c r="P92" s="39" t="e">
        <v>#N/A</v>
      </c>
      <c r="Q92" s="39" t="e">
        <v>#N/A</v>
      </c>
      <c r="R92" s="15">
        <v>1605916800</v>
      </c>
      <c r="S92" t="s">
        <v>23</v>
      </c>
    </row>
    <row r="93" spans="1:19" ht="16" x14ac:dyDescent="0.2">
      <c r="A93" s="27" t="s">
        <v>130</v>
      </c>
      <c r="B93" s="16">
        <v>6.9000000000000006E-2</v>
      </c>
      <c r="C93" s="16">
        <v>3.5</v>
      </c>
      <c r="D93" s="28">
        <v>1.423239181</v>
      </c>
      <c r="E93" s="30">
        <v>209282.80869999999</v>
      </c>
      <c r="F93" s="30">
        <v>368846.10889999999</v>
      </c>
      <c r="G93" s="30" t="s">
        <v>125</v>
      </c>
      <c r="H93" s="30" t="s">
        <v>43</v>
      </c>
      <c r="I93" s="31">
        <v>60</v>
      </c>
      <c r="J93" s="28">
        <v>2.1836293769999999</v>
      </c>
      <c r="K93" s="28">
        <v>1.392160912</v>
      </c>
      <c r="L93" s="29">
        <v>0.194616012</v>
      </c>
      <c r="M93" s="16">
        <v>-25.2</v>
      </c>
      <c r="N93" s="39" t="e">
        <v>#N/A</v>
      </c>
      <c r="O93" s="39" t="e">
        <v>#N/A</v>
      </c>
      <c r="P93" s="39" t="e">
        <v>#N/A</v>
      </c>
      <c r="Q93" s="39" t="e">
        <v>#N/A</v>
      </c>
      <c r="R93" s="15">
        <v>1605916800</v>
      </c>
      <c r="S93" t="s">
        <v>23</v>
      </c>
    </row>
    <row r="94" spans="1:19" ht="16" x14ac:dyDescent="0.2">
      <c r="A94" s="27" t="s">
        <v>131</v>
      </c>
      <c r="B94" s="16">
        <v>7.9000000000000001E-2</v>
      </c>
      <c r="C94" s="16">
        <v>3.1</v>
      </c>
      <c r="D94" s="28">
        <v>1.493588245</v>
      </c>
      <c r="E94" s="30">
        <v>209282.80869999999</v>
      </c>
      <c r="F94" s="30">
        <v>368846.10889999999</v>
      </c>
      <c r="G94" s="30" t="s">
        <v>125</v>
      </c>
      <c r="H94" s="30" t="s">
        <v>43</v>
      </c>
      <c r="I94" s="31">
        <v>70</v>
      </c>
      <c r="J94" s="28">
        <v>4.3155543879999998</v>
      </c>
      <c r="K94" s="28">
        <v>1.429131632</v>
      </c>
      <c r="L94" s="29">
        <v>0.22096333200000001</v>
      </c>
      <c r="M94" s="16">
        <v>-25.7</v>
      </c>
      <c r="N94" s="39" t="e">
        <v>#N/A</v>
      </c>
      <c r="O94" s="39" t="e">
        <v>#N/A</v>
      </c>
      <c r="P94" s="39" t="e">
        <v>#N/A</v>
      </c>
      <c r="Q94" s="39" t="e">
        <v>#N/A</v>
      </c>
      <c r="R94" s="15">
        <v>1605916800</v>
      </c>
      <c r="S94" t="s">
        <v>23</v>
      </c>
    </row>
    <row r="95" spans="1:19" ht="16" x14ac:dyDescent="0.2">
      <c r="A95" s="27" t="s">
        <v>132</v>
      </c>
      <c r="B95" s="16">
        <v>7.0999999999999994E-2</v>
      </c>
      <c r="C95" s="16">
        <v>3.25</v>
      </c>
      <c r="D95" s="28">
        <v>0.81634638299999995</v>
      </c>
      <c r="E95" s="30">
        <v>209282.80869999999</v>
      </c>
      <c r="F95" s="30">
        <v>368846.10889999999</v>
      </c>
      <c r="G95" s="30" t="s">
        <v>125</v>
      </c>
      <c r="H95" s="30" t="s">
        <v>43</v>
      </c>
      <c r="I95" s="31">
        <v>80</v>
      </c>
      <c r="J95" s="28">
        <v>6.2753801889999998</v>
      </c>
      <c r="K95" s="28">
        <v>0.76511754399999998</v>
      </c>
      <c r="L95" s="29">
        <v>0.17826271099999999</v>
      </c>
      <c r="M95" s="16">
        <v>-25.5</v>
      </c>
      <c r="N95" s="39" t="e">
        <v>#N/A</v>
      </c>
      <c r="O95" s="39" t="e">
        <v>#N/A</v>
      </c>
      <c r="P95" s="39" t="e">
        <v>#N/A</v>
      </c>
      <c r="Q95" s="39" t="e">
        <v>#N/A</v>
      </c>
      <c r="R95" s="15">
        <v>1605916800</v>
      </c>
      <c r="S95" t="s">
        <v>23</v>
      </c>
    </row>
    <row r="96" spans="1:19" ht="16" x14ac:dyDescent="0.2">
      <c r="A96" s="27" t="s">
        <v>133</v>
      </c>
      <c r="B96" s="16">
        <v>6.8000000000000005E-2</v>
      </c>
      <c r="C96" s="16">
        <v>3.4</v>
      </c>
      <c r="D96" s="28">
        <v>1.4529746320000001</v>
      </c>
      <c r="E96" s="30">
        <v>209282.80869999999</v>
      </c>
      <c r="F96" s="30">
        <v>368846.10889999999</v>
      </c>
      <c r="G96" s="30" t="s">
        <v>125</v>
      </c>
      <c r="H96" s="30" t="s">
        <v>43</v>
      </c>
      <c r="I96" s="31">
        <v>90</v>
      </c>
      <c r="J96" s="28">
        <v>4.7929339219999996</v>
      </c>
      <c r="K96" s="28">
        <v>1.3833345180000001</v>
      </c>
      <c r="L96" s="29">
        <v>0.25927684499999998</v>
      </c>
      <c r="M96" s="16">
        <v>-27.1</v>
      </c>
      <c r="N96" s="39" t="e">
        <v>#N/A</v>
      </c>
      <c r="O96" s="39" t="e">
        <v>#N/A</v>
      </c>
      <c r="P96" s="39" t="e">
        <v>#N/A</v>
      </c>
      <c r="Q96" s="39" t="e">
        <v>#N/A</v>
      </c>
      <c r="R96" s="15">
        <v>1605916800</v>
      </c>
      <c r="S96" t="s">
        <v>23</v>
      </c>
    </row>
    <row r="97" spans="1:19" ht="16" x14ac:dyDescent="0.2">
      <c r="A97" s="27" t="s">
        <v>134</v>
      </c>
      <c r="B97" s="16">
        <v>6.8000000000000005E-2</v>
      </c>
      <c r="C97" s="16">
        <v>3.5</v>
      </c>
      <c r="D97" s="28">
        <v>1.371879904</v>
      </c>
      <c r="E97" s="30">
        <v>209282.80869999999</v>
      </c>
      <c r="F97" s="30">
        <v>368846.10889999999</v>
      </c>
      <c r="G97" s="30" t="s">
        <v>125</v>
      </c>
      <c r="H97" s="30" t="s">
        <v>43</v>
      </c>
      <c r="I97" s="31">
        <v>100</v>
      </c>
      <c r="J97" s="28">
        <v>3.9753278320000001</v>
      </c>
      <c r="K97" s="28">
        <v>1.3173431799999999</v>
      </c>
      <c r="L97" s="29">
        <v>0.19061004600000001</v>
      </c>
      <c r="M97" s="16">
        <v>-26.2</v>
      </c>
      <c r="N97" s="39" t="e">
        <v>#N/A</v>
      </c>
      <c r="O97" s="39" t="e">
        <v>#N/A</v>
      </c>
      <c r="P97" s="39" t="e">
        <v>#N/A</v>
      </c>
      <c r="Q97" s="39" t="e">
        <v>#N/A</v>
      </c>
      <c r="R97" s="15">
        <v>1605916800</v>
      </c>
      <c r="S97" t="s">
        <v>23</v>
      </c>
    </row>
    <row r="98" spans="1:19" ht="16" x14ac:dyDescent="0.2">
      <c r="A98" s="27" t="s">
        <v>135</v>
      </c>
      <c r="B98" s="16">
        <v>0.15</v>
      </c>
      <c r="C98" s="16">
        <v>5.8</v>
      </c>
      <c r="D98" s="28">
        <v>1.4453664369999999</v>
      </c>
      <c r="E98" s="30">
        <v>209275.03959999999</v>
      </c>
      <c r="F98" s="30">
        <v>368858.30060000002</v>
      </c>
      <c r="G98" s="30" t="s">
        <v>125</v>
      </c>
      <c r="H98" s="30" t="s">
        <v>68</v>
      </c>
      <c r="I98" s="31">
        <v>10</v>
      </c>
      <c r="J98" s="28">
        <v>2.13166353</v>
      </c>
      <c r="K98" s="28">
        <v>1.4145560880000001</v>
      </c>
      <c r="L98" s="29">
        <v>1.4046659990000001</v>
      </c>
      <c r="M98" s="16">
        <v>-25.2</v>
      </c>
      <c r="N98" s="39" t="e">
        <v>#N/A</v>
      </c>
      <c r="O98" s="39" t="e">
        <v>#N/A</v>
      </c>
      <c r="P98" s="39" t="e">
        <v>#N/A</v>
      </c>
      <c r="Q98" s="39" t="e">
        <v>#N/A</v>
      </c>
      <c r="R98" s="15">
        <v>1605916800</v>
      </c>
      <c r="S98" t="s">
        <v>23</v>
      </c>
    </row>
    <row r="99" spans="1:19" ht="16" x14ac:dyDescent="0.2">
      <c r="A99" s="27" t="s">
        <v>136</v>
      </c>
      <c r="B99" s="16">
        <v>0.14000000000000001</v>
      </c>
      <c r="C99" s="16">
        <v>5.7</v>
      </c>
      <c r="D99" s="28">
        <v>1.374557458</v>
      </c>
      <c r="E99" s="30">
        <v>209275.03959999999</v>
      </c>
      <c r="F99" s="30">
        <v>368858.30060000002</v>
      </c>
      <c r="G99" s="30" t="s">
        <v>125</v>
      </c>
      <c r="H99" s="30" t="s">
        <v>68</v>
      </c>
      <c r="I99" s="31">
        <v>20</v>
      </c>
      <c r="J99" s="28">
        <v>1.5924520769999999</v>
      </c>
      <c r="K99" s="28">
        <v>1.3526682889999999</v>
      </c>
      <c r="L99" s="29">
        <v>1.3026621650000001</v>
      </c>
      <c r="M99" s="16">
        <v>-24.5</v>
      </c>
      <c r="N99" s="39" t="e">
        <v>#N/A</v>
      </c>
      <c r="O99" s="39" t="e">
        <v>#N/A</v>
      </c>
      <c r="P99" s="39" t="e">
        <v>#N/A</v>
      </c>
      <c r="Q99" s="39" t="e">
        <v>#N/A</v>
      </c>
      <c r="R99" s="15">
        <v>1605916800</v>
      </c>
      <c r="S99" t="s">
        <v>23</v>
      </c>
    </row>
    <row r="100" spans="1:19" ht="16" x14ac:dyDescent="0.2">
      <c r="A100" s="27" t="s">
        <v>137</v>
      </c>
      <c r="B100" s="16">
        <v>0.11</v>
      </c>
      <c r="C100" s="16">
        <v>6</v>
      </c>
      <c r="D100" s="28">
        <v>1.4772062180000001</v>
      </c>
      <c r="E100" s="30">
        <v>209275.03959999999</v>
      </c>
      <c r="F100" s="30">
        <v>368858.30060000002</v>
      </c>
      <c r="G100" s="30" t="s">
        <v>125</v>
      </c>
      <c r="H100" s="30" t="s">
        <v>68</v>
      </c>
      <c r="I100" s="31">
        <v>30</v>
      </c>
      <c r="J100" s="28">
        <v>3.0499365279999999</v>
      </c>
      <c r="K100" s="28">
        <v>1.432152366</v>
      </c>
      <c r="L100" s="29">
        <v>0.83776756399999996</v>
      </c>
      <c r="M100" s="16">
        <v>-24.1</v>
      </c>
      <c r="N100" s="39" t="e">
        <v>#N/A</v>
      </c>
      <c r="O100" s="39" t="e">
        <v>#N/A</v>
      </c>
      <c r="P100" s="39" t="e">
        <v>#N/A</v>
      </c>
      <c r="Q100" s="39" t="e">
        <v>#N/A</v>
      </c>
      <c r="R100" s="15">
        <v>1605916800</v>
      </c>
      <c r="S100" t="s">
        <v>23</v>
      </c>
    </row>
    <row r="101" spans="1:19" ht="16" x14ac:dyDescent="0.2">
      <c r="A101" s="27" t="s">
        <v>138</v>
      </c>
      <c r="B101" s="16">
        <v>0.09</v>
      </c>
      <c r="C101" s="16">
        <v>4.3</v>
      </c>
      <c r="D101" s="28">
        <v>1.4354179540000001</v>
      </c>
      <c r="E101" s="30">
        <v>209275.03959999999</v>
      </c>
      <c r="F101" s="30">
        <v>368858.30060000002</v>
      </c>
      <c r="G101" s="30" t="s">
        <v>125</v>
      </c>
      <c r="H101" s="30" t="s">
        <v>68</v>
      </c>
      <c r="I101" s="31">
        <v>40</v>
      </c>
      <c r="J101" s="28">
        <v>4.4997167889999998</v>
      </c>
      <c r="K101" s="28">
        <v>1.3708282119999999</v>
      </c>
      <c r="L101" s="29">
        <v>0.35954003699999998</v>
      </c>
      <c r="M101" s="16">
        <v>-24.9</v>
      </c>
      <c r="N101" s="39" t="e">
        <v>#N/A</v>
      </c>
      <c r="O101" s="39" t="e">
        <v>#N/A</v>
      </c>
      <c r="P101" s="39" t="e">
        <v>#N/A</v>
      </c>
      <c r="Q101" s="39" t="e">
        <v>#N/A</v>
      </c>
      <c r="R101" s="15">
        <v>1605916800</v>
      </c>
      <c r="S101" t="s">
        <v>23</v>
      </c>
    </row>
    <row r="102" spans="1:19" ht="16" x14ac:dyDescent="0.2">
      <c r="A102" s="27" t="s">
        <v>139</v>
      </c>
      <c r="B102" s="16">
        <v>7.8E-2</v>
      </c>
      <c r="C102" s="16">
        <v>3.6</v>
      </c>
      <c r="D102" s="28">
        <v>1.497849234</v>
      </c>
      <c r="E102" s="30">
        <v>209275.03959999999</v>
      </c>
      <c r="F102" s="30">
        <v>368858.30060000002</v>
      </c>
      <c r="G102" s="30" t="s">
        <v>125</v>
      </c>
      <c r="H102" s="30" t="s">
        <v>68</v>
      </c>
      <c r="I102" s="31">
        <v>50</v>
      </c>
      <c r="J102" s="28">
        <v>2.8846631249999999</v>
      </c>
      <c r="K102" s="28">
        <v>1.454641329</v>
      </c>
      <c r="L102" s="29">
        <v>0.227459146</v>
      </c>
      <c r="M102" s="16">
        <v>-25.1</v>
      </c>
      <c r="N102" s="39" t="e">
        <v>#N/A</v>
      </c>
      <c r="O102" s="39" t="e">
        <v>#N/A</v>
      </c>
      <c r="P102" s="39" t="e">
        <v>#N/A</v>
      </c>
      <c r="Q102" s="39" t="e">
        <v>#N/A</v>
      </c>
      <c r="R102" s="15">
        <v>1605916800</v>
      </c>
      <c r="S102" t="s">
        <v>23</v>
      </c>
    </row>
    <row r="103" spans="1:19" ht="16" x14ac:dyDescent="0.2">
      <c r="A103" s="27" t="s">
        <v>140</v>
      </c>
      <c r="B103" s="16">
        <v>7.4999999999999997E-2</v>
      </c>
      <c r="C103" s="16">
        <v>3.6</v>
      </c>
      <c r="D103" s="28">
        <v>1.35566882</v>
      </c>
      <c r="E103" s="30">
        <v>209275.03959999999</v>
      </c>
      <c r="F103" s="30">
        <v>368858.30060000002</v>
      </c>
      <c r="G103" s="30" t="s">
        <v>125</v>
      </c>
      <c r="H103" s="30" t="s">
        <v>68</v>
      </c>
      <c r="I103" s="31">
        <v>60</v>
      </c>
      <c r="J103" s="28">
        <v>2.2415172320000001</v>
      </c>
      <c r="K103" s="28">
        <v>1.3252812700000001</v>
      </c>
      <c r="L103" s="29">
        <v>0.247598189</v>
      </c>
      <c r="M103" s="16">
        <v>-25.8</v>
      </c>
      <c r="N103" s="39" t="e">
        <v>#N/A</v>
      </c>
      <c r="O103" s="39" t="e">
        <v>#N/A</v>
      </c>
      <c r="P103" s="39" t="e">
        <v>#N/A</v>
      </c>
      <c r="Q103" s="39" t="e">
        <v>#N/A</v>
      </c>
      <c r="R103" s="15">
        <v>1605916800</v>
      </c>
      <c r="S103" t="s">
        <v>23</v>
      </c>
    </row>
    <row r="104" spans="1:19" ht="16" x14ac:dyDescent="0.2">
      <c r="A104" s="27" t="s">
        <v>141</v>
      </c>
      <c r="B104" s="16">
        <v>7.0999999999999994E-2</v>
      </c>
      <c r="C104" s="16">
        <v>3.2</v>
      </c>
      <c r="D104" s="28">
        <v>1.27514291</v>
      </c>
      <c r="E104" s="30">
        <v>209275.03959999999</v>
      </c>
      <c r="F104" s="30">
        <v>368858.30060000002</v>
      </c>
      <c r="G104" s="30" t="s">
        <v>125</v>
      </c>
      <c r="H104" s="30" t="s">
        <v>68</v>
      </c>
      <c r="I104" s="31">
        <v>70</v>
      </c>
      <c r="J104" s="28">
        <v>4.8330825580000001</v>
      </c>
      <c r="K104" s="28">
        <v>1.2135142000000001</v>
      </c>
      <c r="L104" s="29">
        <v>0.20994849500000001</v>
      </c>
      <c r="M104" s="16">
        <v>-25.9</v>
      </c>
      <c r="N104" s="39" t="e">
        <v>#N/A</v>
      </c>
      <c r="O104" s="39" t="e">
        <v>#N/A</v>
      </c>
      <c r="P104" s="39" t="e">
        <v>#N/A</v>
      </c>
      <c r="Q104" s="39" t="e">
        <v>#N/A</v>
      </c>
      <c r="R104" s="15">
        <v>1605916800</v>
      </c>
      <c r="S104" t="s">
        <v>23</v>
      </c>
    </row>
    <row r="105" spans="1:19" ht="16" x14ac:dyDescent="0.2">
      <c r="A105" s="27" t="s">
        <v>142</v>
      </c>
      <c r="B105" s="16">
        <v>6.7500000000000004E-2</v>
      </c>
      <c r="C105" s="16">
        <v>3</v>
      </c>
      <c r="D105" s="28">
        <v>1.4745335429999999</v>
      </c>
      <c r="E105" s="30">
        <v>209275.03959999999</v>
      </c>
      <c r="F105" s="30">
        <v>368858.30060000002</v>
      </c>
      <c r="G105" s="30" t="s">
        <v>125</v>
      </c>
      <c r="H105" s="30" t="s">
        <v>68</v>
      </c>
      <c r="I105" s="31">
        <v>80</v>
      </c>
      <c r="J105" s="28">
        <v>4.4307024320000004</v>
      </c>
      <c r="K105" s="28">
        <v>1.4092013489999999</v>
      </c>
      <c r="L105" s="29">
        <v>0.165223708</v>
      </c>
      <c r="M105" s="16">
        <v>-25.75</v>
      </c>
      <c r="N105" s="39" t="e">
        <v>#N/A</v>
      </c>
      <c r="O105" s="39" t="e">
        <v>#N/A</v>
      </c>
      <c r="P105" s="39" t="e">
        <v>#N/A</v>
      </c>
      <c r="Q105" s="39" t="e">
        <v>#N/A</v>
      </c>
      <c r="R105" s="15">
        <v>1605916800</v>
      </c>
      <c r="S105" t="s">
        <v>23</v>
      </c>
    </row>
    <row r="106" spans="1:19" ht="16" x14ac:dyDescent="0.2">
      <c r="A106" s="27" t="s">
        <v>143</v>
      </c>
      <c r="B106" s="16">
        <v>5.6000000000000001E-2</v>
      </c>
      <c r="C106" s="16">
        <v>2.9</v>
      </c>
      <c r="D106" s="28">
        <v>1.2435647240000001</v>
      </c>
      <c r="E106" s="30">
        <v>209275.03959999999</v>
      </c>
      <c r="F106" s="30">
        <v>368858.30060000002</v>
      </c>
      <c r="G106" s="30" t="s">
        <v>125</v>
      </c>
      <c r="H106" s="30" t="s">
        <v>68</v>
      </c>
      <c r="I106" s="31">
        <v>90</v>
      </c>
      <c r="J106" s="28">
        <v>5.7881609579999997</v>
      </c>
      <c r="K106" s="28">
        <v>1.1715851960000001</v>
      </c>
      <c r="L106" s="29">
        <v>0.13243566000000001</v>
      </c>
      <c r="M106" s="16">
        <v>-25.7</v>
      </c>
      <c r="N106" s="39" t="e">
        <v>#N/A</v>
      </c>
      <c r="O106" s="39" t="e">
        <v>#N/A</v>
      </c>
      <c r="P106" s="39" t="e">
        <v>#N/A</v>
      </c>
      <c r="Q106" s="39" t="e">
        <v>#N/A</v>
      </c>
      <c r="R106" s="15">
        <v>1605916800</v>
      </c>
      <c r="S106" t="s">
        <v>23</v>
      </c>
    </row>
    <row r="107" spans="1:19" ht="16" x14ac:dyDescent="0.2">
      <c r="A107" s="27" t="s">
        <v>144</v>
      </c>
      <c r="B107" s="16">
        <v>0.06</v>
      </c>
      <c r="C107" s="16">
        <v>2.6</v>
      </c>
      <c r="D107" s="28">
        <v>1.2675035539999999</v>
      </c>
      <c r="E107" s="30">
        <v>209275.03959999999</v>
      </c>
      <c r="F107" s="30">
        <v>368858.30060000002</v>
      </c>
      <c r="G107" s="30" t="s">
        <v>125</v>
      </c>
      <c r="H107" s="30" t="s">
        <v>68</v>
      </c>
      <c r="I107" s="31">
        <v>100</v>
      </c>
      <c r="J107" s="28">
        <v>4.7302904559999996</v>
      </c>
      <c r="K107" s="28">
        <v>1.2075469539999999</v>
      </c>
      <c r="L107" s="29">
        <v>0.24554483499999999</v>
      </c>
      <c r="M107" s="16">
        <v>-21.6</v>
      </c>
      <c r="N107" s="39" t="e">
        <v>#N/A</v>
      </c>
      <c r="O107" s="39" t="e">
        <v>#N/A</v>
      </c>
      <c r="P107" s="39" t="e">
        <v>#N/A</v>
      </c>
      <c r="Q107" s="39" t="e">
        <v>#N/A</v>
      </c>
      <c r="R107" s="15">
        <v>1605916800</v>
      </c>
      <c r="S107" t="s">
        <v>23</v>
      </c>
    </row>
    <row r="108" spans="1:19" ht="16" x14ac:dyDescent="0.2">
      <c r="A108" s="27" t="s">
        <v>145</v>
      </c>
      <c r="B108" s="16">
        <v>4.7E-2</v>
      </c>
      <c r="C108" s="16">
        <v>2.9</v>
      </c>
      <c r="D108" s="28">
        <v>1.29644045</v>
      </c>
      <c r="E108" s="30">
        <v>209275.03959999999</v>
      </c>
      <c r="F108" s="30">
        <v>368858.30060000002</v>
      </c>
      <c r="G108" s="30" t="s">
        <v>125</v>
      </c>
      <c r="H108" s="30" t="s">
        <v>68</v>
      </c>
      <c r="I108" s="31">
        <v>110</v>
      </c>
      <c r="J108" s="28">
        <v>6.815305715</v>
      </c>
      <c r="K108" s="28">
        <v>1.20808407</v>
      </c>
      <c r="L108" s="29">
        <v>0.255614958</v>
      </c>
      <c r="M108" s="16">
        <v>-17.5</v>
      </c>
      <c r="N108" s="39" t="e">
        <v>#N/A</v>
      </c>
      <c r="O108" s="39" t="e">
        <v>#N/A</v>
      </c>
      <c r="P108" s="39" t="e">
        <v>#N/A</v>
      </c>
      <c r="Q108" s="39" t="e">
        <v>#N/A</v>
      </c>
      <c r="R108" s="15">
        <v>1605916800</v>
      </c>
      <c r="S108" t="s">
        <v>23</v>
      </c>
    </row>
    <row r="109" spans="1:19" ht="16" x14ac:dyDescent="0.2">
      <c r="A109" s="27" t="s">
        <v>146</v>
      </c>
      <c r="B109" s="16">
        <v>0.06</v>
      </c>
      <c r="C109" s="16">
        <v>2.5</v>
      </c>
      <c r="D109" s="28">
        <v>1.222911203</v>
      </c>
      <c r="E109" s="30">
        <v>209275.03959999999</v>
      </c>
      <c r="F109" s="30">
        <v>368858.30060000002</v>
      </c>
      <c r="G109" s="30" t="s">
        <v>125</v>
      </c>
      <c r="H109" s="30" t="s">
        <v>68</v>
      </c>
      <c r="I109" s="31">
        <v>120</v>
      </c>
      <c r="J109" s="28">
        <v>92.601140819999998</v>
      </c>
      <c r="K109" s="28">
        <v>9.0481478000000004E-2</v>
      </c>
      <c r="L109" s="29">
        <v>0.30632387599999999</v>
      </c>
      <c r="M109" s="16">
        <v>-17.600000000000001</v>
      </c>
      <c r="N109" s="39" t="e">
        <v>#N/A</v>
      </c>
      <c r="O109" s="39" t="e">
        <v>#N/A</v>
      </c>
      <c r="P109" s="39" t="e">
        <v>#N/A</v>
      </c>
      <c r="Q109" s="39" t="e">
        <v>#N/A</v>
      </c>
      <c r="R109" s="15">
        <v>1605916800</v>
      </c>
      <c r="S109" t="s">
        <v>23</v>
      </c>
    </row>
    <row r="110" spans="1:19" ht="16" x14ac:dyDescent="0.2">
      <c r="A110" s="27" t="s">
        <v>147</v>
      </c>
      <c r="B110" s="16">
        <v>0.20200000000000001</v>
      </c>
      <c r="C110" s="16">
        <v>5.2</v>
      </c>
      <c r="D110" s="28">
        <v>1.2998931410000001</v>
      </c>
      <c r="E110" s="30">
        <v>209267.1158</v>
      </c>
      <c r="F110" s="30">
        <v>368846.10029999999</v>
      </c>
      <c r="G110" s="30" t="s">
        <v>125</v>
      </c>
      <c r="H110" s="30" t="s">
        <v>81</v>
      </c>
      <c r="I110" s="31">
        <v>10</v>
      </c>
      <c r="J110" s="28">
        <v>4.289070701</v>
      </c>
      <c r="K110" s="28">
        <v>1.2441398050000001</v>
      </c>
      <c r="L110" s="29">
        <v>1.84168749</v>
      </c>
      <c r="M110" s="16">
        <v>-24.75</v>
      </c>
      <c r="N110" s="39" t="e">
        <v>#N/A</v>
      </c>
      <c r="O110" s="39" t="e">
        <v>#N/A</v>
      </c>
      <c r="P110" s="39" t="e">
        <v>#N/A</v>
      </c>
      <c r="Q110" s="39" t="e">
        <v>#N/A</v>
      </c>
      <c r="R110" s="15">
        <v>1605916800</v>
      </c>
      <c r="S110" t="s">
        <v>23</v>
      </c>
    </row>
    <row r="111" spans="1:19" ht="16" x14ac:dyDescent="0.2">
      <c r="A111" s="27" t="s">
        <v>148</v>
      </c>
      <c r="B111" s="16">
        <v>0.15</v>
      </c>
      <c r="C111" s="16">
        <v>5.8</v>
      </c>
      <c r="D111" s="28">
        <v>1.4275760129999999</v>
      </c>
      <c r="E111" s="30">
        <v>209267.1158</v>
      </c>
      <c r="F111" s="30">
        <v>368846.10029999999</v>
      </c>
      <c r="G111" s="30" t="s">
        <v>125</v>
      </c>
      <c r="H111" s="30" t="s">
        <v>81</v>
      </c>
      <c r="I111" s="31">
        <v>20</v>
      </c>
      <c r="J111" s="28">
        <v>5.2538624059999997</v>
      </c>
      <c r="K111" s="28">
        <v>1.352573134</v>
      </c>
      <c r="L111" s="29">
        <v>1.3864833000000001</v>
      </c>
      <c r="M111" s="16">
        <v>-24.5</v>
      </c>
      <c r="N111" s="39" t="e">
        <v>#N/A</v>
      </c>
      <c r="O111" s="39" t="e">
        <v>#N/A</v>
      </c>
      <c r="P111" s="39" t="e">
        <v>#N/A</v>
      </c>
      <c r="Q111" s="39" t="e">
        <v>#N/A</v>
      </c>
      <c r="R111" s="15">
        <v>1605916800</v>
      </c>
      <c r="S111" t="s">
        <v>23</v>
      </c>
    </row>
    <row r="112" spans="1:19" ht="16" x14ac:dyDescent="0.2">
      <c r="A112" s="27" t="s">
        <v>149</v>
      </c>
      <c r="B112" s="16">
        <v>8.8999999999999996E-2</v>
      </c>
      <c r="C112" s="16">
        <v>5.7</v>
      </c>
      <c r="D112" s="28">
        <v>1.4189887139999999</v>
      </c>
      <c r="E112" s="30">
        <v>209267.1158</v>
      </c>
      <c r="F112" s="30">
        <v>368846.10029999999</v>
      </c>
      <c r="G112" s="30" t="s">
        <v>125</v>
      </c>
      <c r="H112" s="30" t="s">
        <v>81</v>
      </c>
      <c r="I112" s="31">
        <v>30</v>
      </c>
      <c r="J112" s="28">
        <v>2.1116038920000002</v>
      </c>
      <c r="K112" s="28">
        <v>1.389025293</v>
      </c>
      <c r="L112" s="29">
        <v>0.68639476899999996</v>
      </c>
      <c r="M112" s="16">
        <v>-24.5</v>
      </c>
      <c r="N112" s="39" t="e">
        <v>#N/A</v>
      </c>
      <c r="O112" s="39" t="e">
        <v>#N/A</v>
      </c>
      <c r="P112" s="39" t="e">
        <v>#N/A</v>
      </c>
      <c r="Q112" s="39" t="e">
        <v>#N/A</v>
      </c>
      <c r="R112" s="15">
        <v>1605916800</v>
      </c>
      <c r="S112" t="s">
        <v>23</v>
      </c>
    </row>
    <row r="113" spans="1:19" ht="16" x14ac:dyDescent="0.2">
      <c r="A113" s="27" t="s">
        <v>150</v>
      </c>
      <c r="B113" s="16">
        <v>8.1000000000000003E-2</v>
      </c>
      <c r="C113" s="16">
        <v>5.0999999999999996</v>
      </c>
      <c r="D113" s="28">
        <v>1.5175406739999999</v>
      </c>
      <c r="E113" s="30">
        <v>209267.1158</v>
      </c>
      <c r="F113" s="30">
        <v>368846.10029999999</v>
      </c>
      <c r="G113" s="30" t="s">
        <v>125</v>
      </c>
      <c r="H113" s="30" t="s">
        <v>81</v>
      </c>
      <c r="I113" s="31">
        <v>40</v>
      </c>
      <c r="J113" s="28">
        <v>1.8656902719999999</v>
      </c>
      <c r="K113" s="28">
        <v>1.489228065</v>
      </c>
      <c r="L113" s="29">
        <v>0.41696592900000001</v>
      </c>
      <c r="M113" s="16">
        <v>-23.6</v>
      </c>
      <c r="N113" s="39" t="e">
        <v>#N/A</v>
      </c>
      <c r="O113" s="39" t="e">
        <v>#N/A</v>
      </c>
      <c r="P113" s="39" t="e">
        <v>#N/A</v>
      </c>
      <c r="Q113" s="39" t="e">
        <v>#N/A</v>
      </c>
      <c r="R113" s="15">
        <v>1605916800</v>
      </c>
      <c r="S113" t="s">
        <v>23</v>
      </c>
    </row>
    <row r="114" spans="1:19" ht="16" x14ac:dyDescent="0.2">
      <c r="A114" s="27" t="s">
        <v>151</v>
      </c>
      <c r="B114" s="16">
        <v>7.2999999999999995E-2</v>
      </c>
      <c r="C114" s="16">
        <v>3.4</v>
      </c>
      <c r="D114" s="28">
        <v>1.510219915</v>
      </c>
      <c r="E114" s="30">
        <v>209267.1158</v>
      </c>
      <c r="F114" s="30">
        <v>368846.10029999999</v>
      </c>
      <c r="G114" s="30" t="s">
        <v>125</v>
      </c>
      <c r="H114" s="30" t="s">
        <v>81</v>
      </c>
      <c r="I114" s="31">
        <v>50</v>
      </c>
      <c r="J114" s="28">
        <v>2.5164005039999999</v>
      </c>
      <c r="K114" s="28">
        <v>1.4722167340000001</v>
      </c>
      <c r="L114" s="29">
        <v>0.260914861</v>
      </c>
      <c r="M114" s="16">
        <v>-25</v>
      </c>
      <c r="N114" s="39" t="e">
        <v>#N/A</v>
      </c>
      <c r="O114" s="39" t="e">
        <v>#N/A</v>
      </c>
      <c r="P114" s="39" t="e">
        <v>#N/A</v>
      </c>
      <c r="Q114" s="39" t="e">
        <v>#N/A</v>
      </c>
      <c r="R114" s="15">
        <v>1605916800</v>
      </c>
      <c r="S114" t="s">
        <v>23</v>
      </c>
    </row>
    <row r="115" spans="1:19" ht="16" x14ac:dyDescent="0.2">
      <c r="A115" s="27" t="s">
        <v>152</v>
      </c>
      <c r="B115" s="16">
        <v>6.5000000000000002E-2</v>
      </c>
      <c r="C115" s="16">
        <v>2.8</v>
      </c>
      <c r="D115" s="28">
        <v>1.5401164780000001</v>
      </c>
      <c r="E115" s="30">
        <v>209267.1158</v>
      </c>
      <c r="F115" s="30">
        <v>368846.10029999999</v>
      </c>
      <c r="G115" s="30" t="s">
        <v>125</v>
      </c>
      <c r="H115" s="30" t="s">
        <v>81</v>
      </c>
      <c r="I115" s="31">
        <v>60</v>
      </c>
      <c r="J115" s="28">
        <v>2.6504038240000001</v>
      </c>
      <c r="K115" s="28">
        <v>1.4992971719999999</v>
      </c>
      <c r="L115" s="29">
        <v>0.20330553200000001</v>
      </c>
      <c r="M115" s="16">
        <v>-25.5</v>
      </c>
      <c r="N115" s="39" t="e">
        <v>#N/A</v>
      </c>
      <c r="O115" s="39" t="e">
        <v>#N/A</v>
      </c>
      <c r="P115" s="39" t="e">
        <v>#N/A</v>
      </c>
      <c r="Q115" s="39" t="e">
        <v>#N/A</v>
      </c>
      <c r="R115" s="15">
        <v>1605916800</v>
      </c>
      <c r="S115" t="s">
        <v>23</v>
      </c>
    </row>
    <row r="116" spans="1:19" ht="16" x14ac:dyDescent="0.2">
      <c r="A116" s="27" t="s">
        <v>153</v>
      </c>
      <c r="B116" s="16">
        <v>5.8999999999999997E-2</v>
      </c>
      <c r="C116" s="16">
        <v>2.1</v>
      </c>
      <c r="D116" s="28">
        <v>1.551525297</v>
      </c>
      <c r="E116" s="30">
        <v>209267.1158</v>
      </c>
      <c r="F116" s="30">
        <v>368846.10029999999</v>
      </c>
      <c r="G116" s="30" t="s">
        <v>125</v>
      </c>
      <c r="H116" s="30" t="s">
        <v>81</v>
      </c>
      <c r="I116" s="31">
        <v>70</v>
      </c>
      <c r="J116" s="28">
        <v>3.008794177</v>
      </c>
      <c r="K116" s="28">
        <v>1.5048430939999999</v>
      </c>
      <c r="L116" s="29">
        <v>0.16343307400000001</v>
      </c>
      <c r="M116" s="16">
        <v>-26.1</v>
      </c>
      <c r="N116" s="39" t="e">
        <v>#N/A</v>
      </c>
      <c r="O116" s="39" t="e">
        <v>#N/A</v>
      </c>
      <c r="P116" s="39" t="e">
        <v>#N/A</v>
      </c>
      <c r="Q116" s="39" t="e">
        <v>#N/A</v>
      </c>
      <c r="R116" s="15">
        <v>1605916800</v>
      </c>
      <c r="S116" t="s">
        <v>23</v>
      </c>
    </row>
    <row r="117" spans="1:19" ht="16" x14ac:dyDescent="0.2">
      <c r="A117" s="27" t="s">
        <v>154</v>
      </c>
      <c r="B117" s="16">
        <v>7.0000000000000007E-2</v>
      </c>
      <c r="C117" s="16">
        <v>1.8</v>
      </c>
      <c r="D117" s="28">
        <v>1.229017681</v>
      </c>
      <c r="E117" s="30">
        <v>209267.1158</v>
      </c>
      <c r="F117" s="30">
        <v>368846.10029999999</v>
      </c>
      <c r="G117" s="30" t="s">
        <v>125</v>
      </c>
      <c r="H117" s="30" t="s">
        <v>81</v>
      </c>
      <c r="I117" s="31">
        <v>80</v>
      </c>
      <c r="J117" s="28">
        <v>6.9434978469999997</v>
      </c>
      <c r="K117" s="28">
        <v>1.1436808650000001</v>
      </c>
      <c r="L117" s="29">
        <v>0.169668398</v>
      </c>
      <c r="M117" s="16">
        <v>-25.9</v>
      </c>
      <c r="N117" s="39" t="e">
        <v>#N/A</v>
      </c>
      <c r="O117" s="39" t="e">
        <v>#N/A</v>
      </c>
      <c r="P117" s="39" t="e">
        <v>#N/A</v>
      </c>
      <c r="Q117" s="39" t="e">
        <v>#N/A</v>
      </c>
      <c r="R117" s="15">
        <v>1605916800</v>
      </c>
      <c r="S117" t="s">
        <v>23</v>
      </c>
    </row>
    <row r="118" spans="1:19" ht="16" x14ac:dyDescent="0.2">
      <c r="A118" s="27" t="s">
        <v>155</v>
      </c>
      <c r="B118" s="16">
        <v>0.06</v>
      </c>
      <c r="C118" s="16">
        <v>1.45</v>
      </c>
      <c r="D118" s="28">
        <v>1.3360737439999999</v>
      </c>
      <c r="E118" s="30">
        <v>209267.1158</v>
      </c>
      <c r="F118" s="30">
        <v>368846.10029999999</v>
      </c>
      <c r="G118" s="30" t="s">
        <v>125</v>
      </c>
      <c r="H118" s="30" t="s">
        <v>81</v>
      </c>
      <c r="I118" s="31">
        <v>90</v>
      </c>
      <c r="J118" s="28">
        <v>3.9628204490000001</v>
      </c>
      <c r="K118" s="28">
        <v>1.283127541</v>
      </c>
      <c r="L118" s="29">
        <v>0.13452229800000001</v>
      </c>
      <c r="M118" s="16">
        <v>-25.8</v>
      </c>
      <c r="N118" s="39" t="e">
        <v>#N/A</v>
      </c>
      <c r="O118" s="39" t="e">
        <v>#N/A</v>
      </c>
      <c r="P118" s="39" t="e">
        <v>#N/A</v>
      </c>
      <c r="Q118" s="39" t="e">
        <v>#N/A</v>
      </c>
      <c r="R118" s="15">
        <v>1605916800</v>
      </c>
      <c r="S118" t="s">
        <v>23</v>
      </c>
    </row>
    <row r="119" spans="1:19" ht="16" x14ac:dyDescent="0.2">
      <c r="A119" s="27" t="s">
        <v>156</v>
      </c>
      <c r="B119" s="16">
        <v>5.1999999999999998E-2</v>
      </c>
      <c r="C119" s="16">
        <v>1.5</v>
      </c>
      <c r="D119" s="28">
        <v>1.4241238599999999</v>
      </c>
      <c r="E119" s="30">
        <v>209267.1158</v>
      </c>
      <c r="F119" s="30">
        <v>368846.10029999999</v>
      </c>
      <c r="G119" s="30" t="s">
        <v>125</v>
      </c>
      <c r="H119" s="30" t="s">
        <v>81</v>
      </c>
      <c r="I119" s="31">
        <v>100</v>
      </c>
      <c r="J119" s="28">
        <v>6.6379880870000001</v>
      </c>
      <c r="K119" s="28">
        <v>1.3295906879999999</v>
      </c>
      <c r="L119" s="29">
        <v>0.11652963400000001</v>
      </c>
      <c r="M119" s="16">
        <v>-26.2</v>
      </c>
      <c r="N119" s="39" t="e">
        <v>#N/A</v>
      </c>
      <c r="O119" s="39" t="e">
        <v>#N/A</v>
      </c>
      <c r="P119" s="39" t="e">
        <v>#N/A</v>
      </c>
      <c r="Q119" s="39" t="e">
        <v>#N/A</v>
      </c>
      <c r="R119" s="15">
        <v>1605916800</v>
      </c>
      <c r="S119" t="s">
        <v>23</v>
      </c>
    </row>
    <row r="120" spans="1:19" ht="16" x14ac:dyDescent="0.2">
      <c r="A120" s="27" t="s">
        <v>157</v>
      </c>
      <c r="B120" s="16">
        <v>6.5000000000000002E-2</v>
      </c>
      <c r="C120" s="16">
        <v>1.1000000000000001</v>
      </c>
      <c r="D120" s="28">
        <v>1.1954625510000001</v>
      </c>
      <c r="E120" s="30">
        <v>209267.1158</v>
      </c>
      <c r="F120" s="30">
        <v>368846.10029999999</v>
      </c>
      <c r="G120" s="30" t="s">
        <v>125</v>
      </c>
      <c r="H120" s="30" t="s">
        <v>81</v>
      </c>
      <c r="I120" s="31">
        <v>110</v>
      </c>
      <c r="J120" s="28">
        <v>8.118988302</v>
      </c>
      <c r="K120" s="28">
        <v>1.098403086</v>
      </c>
      <c r="L120" s="29">
        <v>0.71508996499999999</v>
      </c>
      <c r="M120" s="16">
        <v>-13.2</v>
      </c>
      <c r="N120" s="39" t="e">
        <v>#N/A</v>
      </c>
      <c r="O120" s="39" t="e">
        <v>#N/A</v>
      </c>
      <c r="P120" s="39" t="e">
        <v>#N/A</v>
      </c>
      <c r="Q120" s="39" t="e">
        <v>#N/A</v>
      </c>
      <c r="R120" s="15">
        <v>1605916800</v>
      </c>
      <c r="S120" t="s">
        <v>23</v>
      </c>
    </row>
    <row r="121" spans="1:19" ht="16" x14ac:dyDescent="0.2">
      <c r="A121" s="27" t="s">
        <v>158</v>
      </c>
      <c r="B121" s="16">
        <v>0.22</v>
      </c>
      <c r="C121" s="16">
        <v>5.3</v>
      </c>
      <c r="D121" s="28">
        <v>0.982248923</v>
      </c>
      <c r="E121" s="30">
        <v>204917.10279999999</v>
      </c>
      <c r="F121" s="30">
        <v>366095.54619999998</v>
      </c>
      <c r="G121" s="30" t="s">
        <v>159</v>
      </c>
      <c r="H121" s="30" t="s">
        <v>43</v>
      </c>
      <c r="I121" s="31">
        <v>10</v>
      </c>
      <c r="J121" s="28">
        <v>9.1255627490000002</v>
      </c>
      <c r="K121" s="28">
        <v>0.89261318099999998</v>
      </c>
      <c r="L121" s="29">
        <v>2.2007287</v>
      </c>
      <c r="M121" s="16">
        <v>-22.4</v>
      </c>
      <c r="N121" s="40" t="e">
        <v>#N/A</v>
      </c>
      <c r="O121" s="40" t="e">
        <v>#N/A</v>
      </c>
      <c r="P121" s="40" t="e">
        <v>#N/A</v>
      </c>
      <c r="Q121" s="40" t="e">
        <v>#N/A</v>
      </c>
      <c r="R121" s="15">
        <v>1606003200</v>
      </c>
      <c r="S121" t="s">
        <v>23</v>
      </c>
    </row>
    <row r="122" spans="1:19" ht="16" x14ac:dyDescent="0.2">
      <c r="A122" s="27" t="s">
        <v>160</v>
      </c>
      <c r="B122" s="16">
        <v>0.21</v>
      </c>
      <c r="C122" s="16">
        <v>6.2</v>
      </c>
      <c r="D122" s="28">
        <v>1.07820034</v>
      </c>
      <c r="E122" s="30">
        <v>204917.10279999999</v>
      </c>
      <c r="F122" s="30">
        <v>366095.54619999998</v>
      </c>
      <c r="G122" s="30" t="s">
        <v>159</v>
      </c>
      <c r="H122" s="30" t="s">
        <v>43</v>
      </c>
      <c r="I122" s="31">
        <v>20</v>
      </c>
      <c r="J122" s="28">
        <v>9.6118115460000002</v>
      </c>
      <c r="K122" s="28">
        <v>0.97456575499999998</v>
      </c>
      <c r="L122" s="29">
        <v>1.997308498</v>
      </c>
      <c r="M122" s="16">
        <v>-21.2</v>
      </c>
      <c r="N122" s="39" t="e">
        <v>#N/A</v>
      </c>
      <c r="O122" s="39" t="e">
        <v>#N/A</v>
      </c>
      <c r="P122" s="39" t="e">
        <v>#N/A</v>
      </c>
      <c r="Q122" s="39" t="e">
        <v>#N/A</v>
      </c>
      <c r="R122" s="15">
        <v>1606003200</v>
      </c>
      <c r="S122" t="s">
        <v>23</v>
      </c>
    </row>
    <row r="123" spans="1:19" ht="16" x14ac:dyDescent="0.2">
      <c r="A123" s="27" t="s">
        <v>161</v>
      </c>
      <c r="B123" s="16">
        <v>0.16</v>
      </c>
      <c r="C123" s="16">
        <v>7.8</v>
      </c>
      <c r="D123" s="28">
        <v>1.4745469369999999</v>
      </c>
      <c r="E123" s="30">
        <v>204917.10279999999</v>
      </c>
      <c r="F123" s="30">
        <v>366095.54619999998</v>
      </c>
      <c r="G123" s="30" t="s">
        <v>159</v>
      </c>
      <c r="H123" s="30" t="s">
        <v>43</v>
      </c>
      <c r="I123" s="31">
        <v>30</v>
      </c>
      <c r="J123" s="28">
        <v>25.353897809999999</v>
      </c>
      <c r="K123" s="28">
        <v>1.1006918139999999</v>
      </c>
      <c r="L123" s="29">
        <v>1.541874183</v>
      </c>
      <c r="M123" s="16">
        <v>-22.1</v>
      </c>
      <c r="N123" s="39" t="e">
        <v>#N/A</v>
      </c>
      <c r="O123" s="39" t="e">
        <v>#N/A</v>
      </c>
      <c r="P123" s="39" t="e">
        <v>#N/A</v>
      </c>
      <c r="Q123" s="39" t="e">
        <v>#N/A</v>
      </c>
      <c r="R123" s="15">
        <v>1606003200</v>
      </c>
      <c r="S123" t="s">
        <v>23</v>
      </c>
    </row>
    <row r="124" spans="1:19" ht="16" x14ac:dyDescent="0.2">
      <c r="A124" s="27" t="s">
        <v>162</v>
      </c>
      <c r="B124" s="16">
        <v>0.14000000000000001</v>
      </c>
      <c r="C124" s="16">
        <v>7.7</v>
      </c>
      <c r="D124" s="28">
        <v>1.649968916</v>
      </c>
      <c r="E124" s="30">
        <v>204917.10279999999</v>
      </c>
      <c r="F124" s="30">
        <v>366095.54619999998</v>
      </c>
      <c r="G124" s="30" t="s">
        <v>159</v>
      </c>
      <c r="H124" s="30" t="s">
        <v>43</v>
      </c>
      <c r="I124" s="31">
        <v>40</v>
      </c>
      <c r="J124" s="28">
        <v>27.261697000000002</v>
      </c>
      <c r="K124" s="28">
        <v>1.20015939</v>
      </c>
      <c r="L124" s="29">
        <v>1.2447648899999999</v>
      </c>
      <c r="M124" s="16">
        <v>-22.5</v>
      </c>
      <c r="N124" s="39" t="e">
        <v>#N/A</v>
      </c>
      <c r="O124" s="39" t="e">
        <v>#N/A</v>
      </c>
      <c r="P124" s="39" t="e">
        <v>#N/A</v>
      </c>
      <c r="Q124" s="39" t="e">
        <v>#N/A</v>
      </c>
      <c r="R124" s="15">
        <v>1606003200</v>
      </c>
      <c r="S124" t="s">
        <v>23</v>
      </c>
    </row>
    <row r="125" spans="1:19" ht="16" x14ac:dyDescent="0.2">
      <c r="A125" s="27" t="s">
        <v>163</v>
      </c>
      <c r="B125" s="16">
        <v>7.0999999999999994E-2</v>
      </c>
      <c r="C125" s="16">
        <v>5.8</v>
      </c>
      <c r="D125" s="28">
        <v>1.7278291160000001</v>
      </c>
      <c r="E125" s="30">
        <v>204917.10279999999</v>
      </c>
      <c r="F125" s="30">
        <v>366095.54619999998</v>
      </c>
      <c r="G125" s="30" t="s">
        <v>159</v>
      </c>
      <c r="H125" s="30" t="s">
        <v>43</v>
      </c>
      <c r="I125" s="31">
        <v>50</v>
      </c>
      <c r="J125" s="28">
        <v>40.700826560000003</v>
      </c>
      <c r="K125" s="28">
        <v>1.0245883849999999</v>
      </c>
      <c r="L125" s="29">
        <v>0.49855383599999997</v>
      </c>
      <c r="M125" s="16">
        <v>-23.4</v>
      </c>
      <c r="N125" s="39" t="e">
        <v>#N/A</v>
      </c>
      <c r="O125" s="39" t="e">
        <v>#N/A</v>
      </c>
      <c r="P125" s="39" t="e">
        <v>#N/A</v>
      </c>
      <c r="Q125" s="39" t="e">
        <v>#N/A</v>
      </c>
      <c r="R125" s="15">
        <v>1606003200</v>
      </c>
      <c r="S125" t="s">
        <v>23</v>
      </c>
    </row>
    <row r="126" spans="1:19" ht="16" x14ac:dyDescent="0.2">
      <c r="A126" s="27" t="s">
        <v>164</v>
      </c>
      <c r="B126" s="16">
        <v>6.5500000000000003E-2</v>
      </c>
      <c r="C126" s="16">
        <v>5.3</v>
      </c>
      <c r="D126" s="28">
        <v>1.9301814749999999</v>
      </c>
      <c r="E126" s="30">
        <v>204917.10279999999</v>
      </c>
      <c r="F126" s="30">
        <v>366095.54619999998</v>
      </c>
      <c r="G126" s="30" t="s">
        <v>159</v>
      </c>
      <c r="H126" s="30" t="s">
        <v>43</v>
      </c>
      <c r="I126" s="31">
        <v>60</v>
      </c>
      <c r="J126" s="28">
        <v>48.015879550000001</v>
      </c>
      <c r="K126" s="28">
        <v>1.0033878629999999</v>
      </c>
      <c r="L126" s="29">
        <v>0.43354991700000001</v>
      </c>
      <c r="M126" s="16">
        <v>-24.6</v>
      </c>
      <c r="N126" s="39" t="e">
        <v>#N/A</v>
      </c>
      <c r="O126" s="39" t="e">
        <v>#N/A</v>
      </c>
      <c r="P126" s="39" t="e">
        <v>#N/A</v>
      </c>
      <c r="Q126" s="39" t="e">
        <v>#N/A</v>
      </c>
      <c r="R126" s="15">
        <v>1606003200</v>
      </c>
      <c r="S126" t="s">
        <v>23</v>
      </c>
    </row>
    <row r="127" spans="1:19" ht="16" x14ac:dyDescent="0.2">
      <c r="A127" s="27" t="s">
        <v>165</v>
      </c>
      <c r="B127" s="16">
        <v>4.4999999999999998E-2</v>
      </c>
      <c r="C127" s="16">
        <v>4.3</v>
      </c>
      <c r="D127" s="28">
        <v>1.6299471240000001</v>
      </c>
      <c r="E127" s="30">
        <v>204917.10279999999</v>
      </c>
      <c r="F127" s="30">
        <v>366095.54619999998</v>
      </c>
      <c r="G127" s="30" t="s">
        <v>159</v>
      </c>
      <c r="H127" s="30" t="s">
        <v>43</v>
      </c>
      <c r="I127" s="31">
        <v>70</v>
      </c>
      <c r="J127" s="28">
        <v>39.587325710000002</v>
      </c>
      <c r="K127" s="28">
        <v>0.98469464699999998</v>
      </c>
      <c r="L127" s="29">
        <v>0.22146881600000001</v>
      </c>
      <c r="M127" s="16">
        <v>-24.7</v>
      </c>
      <c r="N127" s="39" t="e">
        <v>#N/A</v>
      </c>
      <c r="O127" s="39" t="e">
        <v>#N/A</v>
      </c>
      <c r="P127" s="39" t="e">
        <v>#N/A</v>
      </c>
      <c r="Q127" s="39" t="e">
        <v>#N/A</v>
      </c>
      <c r="R127" s="15">
        <v>1606003200</v>
      </c>
      <c r="S127" t="s">
        <v>23</v>
      </c>
    </row>
    <row r="128" spans="1:19" ht="16" x14ac:dyDescent="0.2">
      <c r="A128" s="27" t="s">
        <v>166</v>
      </c>
      <c r="B128" s="16">
        <v>3.5999999999999997E-2</v>
      </c>
      <c r="C128" s="16">
        <v>3</v>
      </c>
      <c r="D128" s="28">
        <v>1.5836885359999999</v>
      </c>
      <c r="E128" s="30">
        <v>204917.10279999999</v>
      </c>
      <c r="F128" s="30">
        <v>366095.54619999998</v>
      </c>
      <c r="G128" s="30" t="s">
        <v>159</v>
      </c>
      <c r="H128" s="30" t="s">
        <v>43</v>
      </c>
      <c r="I128" s="31">
        <v>80</v>
      </c>
      <c r="J128" s="28">
        <v>35.298195800000002</v>
      </c>
      <c r="K128" s="28">
        <v>1.024675056</v>
      </c>
      <c r="L128" s="29">
        <v>0.14513134999999999</v>
      </c>
      <c r="M128" s="16">
        <v>-26.1</v>
      </c>
      <c r="N128" s="39" t="e">
        <v>#N/A</v>
      </c>
      <c r="O128" s="39" t="e">
        <v>#N/A</v>
      </c>
      <c r="P128" s="39" t="e">
        <v>#N/A</v>
      </c>
      <c r="Q128" s="39" t="e">
        <v>#N/A</v>
      </c>
      <c r="R128" s="15">
        <v>1606003200</v>
      </c>
      <c r="S128" t="s">
        <v>23</v>
      </c>
    </row>
    <row r="129" spans="1:19" ht="16" x14ac:dyDescent="0.2">
      <c r="A129" s="27" t="s">
        <v>167</v>
      </c>
      <c r="B129" s="16">
        <v>0.25</v>
      </c>
      <c r="C129" s="16">
        <v>6.2</v>
      </c>
      <c r="D129" s="28">
        <v>0.86283926499999997</v>
      </c>
      <c r="E129" s="30">
        <v>204909.3089</v>
      </c>
      <c r="F129" s="30">
        <v>366107.59</v>
      </c>
      <c r="G129" s="30" t="s">
        <v>159</v>
      </c>
      <c r="H129" s="30" t="s">
        <v>68</v>
      </c>
      <c r="I129" s="31">
        <v>10</v>
      </c>
      <c r="J129" s="28">
        <v>19.934278970000001</v>
      </c>
      <c r="K129" s="28">
        <v>0.69083847899999995</v>
      </c>
      <c r="L129" s="29">
        <v>2.3901634949999999</v>
      </c>
      <c r="M129" s="16">
        <v>-24.3</v>
      </c>
      <c r="N129" s="39" t="e">
        <v>#N/A</v>
      </c>
      <c r="O129" s="39" t="e">
        <v>#N/A</v>
      </c>
      <c r="P129" s="39" t="e">
        <v>#N/A</v>
      </c>
      <c r="Q129" s="39" t="e">
        <v>#N/A</v>
      </c>
      <c r="R129" s="15">
        <v>1606003200</v>
      </c>
      <c r="S129" t="s">
        <v>23</v>
      </c>
    </row>
    <row r="130" spans="1:19" ht="16" x14ac:dyDescent="0.2">
      <c r="A130" s="27" t="s">
        <v>168</v>
      </c>
      <c r="B130" s="16">
        <v>0.24</v>
      </c>
      <c r="C130" s="16">
        <v>7.2</v>
      </c>
      <c r="D130" s="28">
        <v>1.2793742960000001</v>
      </c>
      <c r="E130" s="30">
        <v>204909.3089</v>
      </c>
      <c r="F130" s="30">
        <v>366107.59</v>
      </c>
      <c r="G130" s="30" t="s">
        <v>159</v>
      </c>
      <c r="H130" s="30" t="s">
        <v>68</v>
      </c>
      <c r="I130" s="31">
        <v>20</v>
      </c>
      <c r="J130" s="28">
        <v>12.238766330000001</v>
      </c>
      <c r="K130" s="28">
        <v>1.122794665</v>
      </c>
      <c r="L130" s="29">
        <v>2.272452559</v>
      </c>
      <c r="M130" s="16">
        <v>-22</v>
      </c>
      <c r="N130" s="39" t="e">
        <v>#N/A</v>
      </c>
      <c r="O130" s="39" t="e">
        <v>#N/A</v>
      </c>
      <c r="P130" s="39" t="e">
        <v>#N/A</v>
      </c>
      <c r="Q130" s="39" t="e">
        <v>#N/A</v>
      </c>
      <c r="R130" s="15">
        <v>1606003200</v>
      </c>
      <c r="S130" t="s">
        <v>23</v>
      </c>
    </row>
    <row r="131" spans="1:19" ht="16" x14ac:dyDescent="0.2">
      <c r="A131" s="27" t="s">
        <v>169</v>
      </c>
      <c r="B131" s="16">
        <v>0.16</v>
      </c>
      <c r="C131" s="16">
        <v>8.3000000000000007</v>
      </c>
      <c r="D131" s="28">
        <v>1.3483020429999999</v>
      </c>
      <c r="E131" s="30">
        <v>204909.3089</v>
      </c>
      <c r="F131" s="30">
        <v>366107.59</v>
      </c>
      <c r="G131" s="30" t="s">
        <v>159</v>
      </c>
      <c r="H131" s="30" t="s">
        <v>68</v>
      </c>
      <c r="I131" s="31">
        <v>30</v>
      </c>
      <c r="J131" s="28">
        <v>33.124084189999998</v>
      </c>
      <c r="K131" s="28">
        <v>0.90168933900000003</v>
      </c>
      <c r="L131" s="29">
        <v>1.4877358490000001</v>
      </c>
      <c r="M131" s="16">
        <v>-22.4</v>
      </c>
      <c r="N131" s="39" t="e">
        <v>#N/A</v>
      </c>
      <c r="O131" s="39" t="e">
        <v>#N/A</v>
      </c>
      <c r="P131" s="39" t="e">
        <v>#N/A</v>
      </c>
      <c r="Q131" s="39" t="e">
        <v>#N/A</v>
      </c>
      <c r="R131" s="15">
        <v>1606003200</v>
      </c>
      <c r="S131" t="s">
        <v>23</v>
      </c>
    </row>
    <row r="132" spans="1:19" ht="16" x14ac:dyDescent="0.2">
      <c r="A132" s="27" t="s">
        <v>170</v>
      </c>
      <c r="B132" s="16">
        <v>8.1000000000000003E-2</v>
      </c>
      <c r="C132" s="16">
        <v>7.1</v>
      </c>
      <c r="D132" s="28">
        <v>1.5810477469999999</v>
      </c>
      <c r="E132" s="30">
        <v>204909.3089</v>
      </c>
      <c r="F132" s="30">
        <v>366107.59</v>
      </c>
      <c r="G132" s="30" t="s">
        <v>159</v>
      </c>
      <c r="H132" s="30" t="s">
        <v>68</v>
      </c>
      <c r="I132" s="31">
        <v>40</v>
      </c>
      <c r="J132" s="28">
        <v>42.740289689999997</v>
      </c>
      <c r="K132" s="28">
        <v>0.90530336</v>
      </c>
      <c r="L132" s="29">
        <v>0.66747065999999999</v>
      </c>
      <c r="M132" s="16">
        <v>-23.5</v>
      </c>
      <c r="N132" s="39" t="e">
        <v>#N/A</v>
      </c>
      <c r="O132" s="39" t="e">
        <v>#N/A</v>
      </c>
      <c r="P132" s="39" t="e">
        <v>#N/A</v>
      </c>
      <c r="Q132" s="39" t="e">
        <v>#N/A</v>
      </c>
      <c r="R132" s="15">
        <v>1606003200</v>
      </c>
      <c r="S132" t="s">
        <v>23</v>
      </c>
    </row>
    <row r="133" spans="1:19" ht="16" x14ac:dyDescent="0.2">
      <c r="A133" s="27" t="s">
        <v>171</v>
      </c>
      <c r="B133" s="16">
        <v>0.06</v>
      </c>
      <c r="C133" s="16">
        <v>5.3</v>
      </c>
      <c r="D133" s="28">
        <v>1.741563161</v>
      </c>
      <c r="E133" s="30">
        <v>204909.3089</v>
      </c>
      <c r="F133" s="30">
        <v>366107.59</v>
      </c>
      <c r="G133" s="30" t="s">
        <v>159</v>
      </c>
      <c r="H133" s="30" t="s">
        <v>68</v>
      </c>
      <c r="I133" s="31">
        <v>50</v>
      </c>
      <c r="J133" s="28">
        <v>28.741229879999999</v>
      </c>
      <c r="K133" s="28">
        <v>1.24101649</v>
      </c>
      <c r="L133" s="29">
        <v>0.39485541899999999</v>
      </c>
      <c r="M133" s="16">
        <v>-23.9</v>
      </c>
      <c r="N133" s="39" t="e">
        <v>#N/A</v>
      </c>
      <c r="O133" s="39" t="e">
        <v>#N/A</v>
      </c>
      <c r="P133" s="39" t="e">
        <v>#N/A</v>
      </c>
      <c r="Q133" s="39" t="e">
        <v>#N/A</v>
      </c>
      <c r="R133" s="15">
        <v>1606003200</v>
      </c>
      <c r="S133" t="s">
        <v>23</v>
      </c>
    </row>
    <row r="134" spans="1:19" ht="16" x14ac:dyDescent="0.2">
      <c r="A134" s="27" t="s">
        <v>172</v>
      </c>
      <c r="B134" s="16">
        <v>5.1999999999999998E-2</v>
      </c>
      <c r="C134" s="16">
        <v>4.9000000000000004</v>
      </c>
      <c r="D134" s="28">
        <v>1.48453279</v>
      </c>
      <c r="E134" s="30">
        <v>204909.3089</v>
      </c>
      <c r="F134" s="30">
        <v>366107.59</v>
      </c>
      <c r="G134" s="30" t="s">
        <v>159</v>
      </c>
      <c r="H134" s="30" t="s">
        <v>68</v>
      </c>
      <c r="I134" s="31">
        <v>60</v>
      </c>
      <c r="J134" s="28">
        <v>29.262259700000001</v>
      </c>
      <c r="K134" s="28">
        <v>1.0501249500000001</v>
      </c>
      <c r="L134" s="29">
        <v>0.31181874900000001</v>
      </c>
      <c r="M134" s="16">
        <v>-24.1</v>
      </c>
      <c r="N134" s="39" t="e">
        <v>#N/A</v>
      </c>
      <c r="O134" s="39" t="e">
        <v>#N/A</v>
      </c>
      <c r="P134" s="39" t="e">
        <v>#N/A</v>
      </c>
      <c r="Q134" s="39" t="e">
        <v>#N/A</v>
      </c>
      <c r="R134" s="15">
        <v>1606003200</v>
      </c>
      <c r="S134" t="s">
        <v>23</v>
      </c>
    </row>
    <row r="135" spans="1:19" ht="16" x14ac:dyDescent="0.2">
      <c r="A135" s="27" t="s">
        <v>173</v>
      </c>
      <c r="B135" s="16">
        <v>4.2000000000000003E-2</v>
      </c>
      <c r="C135" s="16">
        <v>4.0999999999999996</v>
      </c>
      <c r="D135" s="28">
        <v>1.7213103700000001</v>
      </c>
      <c r="E135" s="30">
        <v>204909.3089</v>
      </c>
      <c r="F135" s="30">
        <v>366107.59</v>
      </c>
      <c r="G135" s="30" t="s">
        <v>159</v>
      </c>
      <c r="H135" s="30" t="s">
        <v>68</v>
      </c>
      <c r="I135" s="31">
        <v>70</v>
      </c>
      <c r="J135" s="28">
        <v>44.347276720000004</v>
      </c>
      <c r="K135" s="28">
        <v>0.95795609699999995</v>
      </c>
      <c r="L135" s="29">
        <v>0.21757132300000001</v>
      </c>
      <c r="M135" s="16">
        <v>-24.6</v>
      </c>
      <c r="N135" s="39" t="e">
        <v>#N/A</v>
      </c>
      <c r="O135" s="39" t="e">
        <v>#N/A</v>
      </c>
      <c r="P135" s="39" t="e">
        <v>#N/A</v>
      </c>
      <c r="Q135" s="39" t="e">
        <v>#N/A</v>
      </c>
      <c r="R135" s="15">
        <v>1606003200</v>
      </c>
      <c r="S135" t="s">
        <v>23</v>
      </c>
    </row>
    <row r="136" spans="1:19" ht="16" x14ac:dyDescent="0.2">
      <c r="A136" s="27" t="s">
        <v>174</v>
      </c>
      <c r="B136" s="16">
        <v>4.5999999999999999E-2</v>
      </c>
      <c r="C136" s="16">
        <v>3.35</v>
      </c>
      <c r="D136" s="28">
        <v>1.9817187249999999</v>
      </c>
      <c r="E136" s="30">
        <v>204909.3089</v>
      </c>
      <c r="F136" s="30">
        <v>366107.59</v>
      </c>
      <c r="G136" s="30" t="s">
        <v>159</v>
      </c>
      <c r="H136" s="30" t="s">
        <v>68</v>
      </c>
      <c r="I136" s="31">
        <v>80</v>
      </c>
      <c r="J136" s="28">
        <v>37.01537295</v>
      </c>
      <c r="K136" s="28">
        <v>1.248178148</v>
      </c>
      <c r="L136" s="29">
        <v>0.21824427499999999</v>
      </c>
      <c r="M136" s="16">
        <v>-23.95</v>
      </c>
      <c r="N136" s="39" t="e">
        <v>#N/A</v>
      </c>
      <c r="O136" s="39" t="e">
        <v>#N/A</v>
      </c>
      <c r="P136" s="39" t="e">
        <v>#N/A</v>
      </c>
      <c r="Q136" s="39" t="e">
        <v>#N/A</v>
      </c>
      <c r="R136" s="15">
        <v>1606003200</v>
      </c>
      <c r="S136" t="s">
        <v>23</v>
      </c>
    </row>
    <row r="137" spans="1:19" ht="16" x14ac:dyDescent="0.2">
      <c r="A137" s="27" t="s">
        <v>175</v>
      </c>
      <c r="B137" s="16">
        <v>4.2999999999999997E-2</v>
      </c>
      <c r="C137" s="16">
        <v>2.2999999999999998</v>
      </c>
      <c r="D137" s="28">
        <v>1.5193917560000001</v>
      </c>
      <c r="E137" s="30">
        <v>204909.3089</v>
      </c>
      <c r="F137" s="30">
        <v>366107.59</v>
      </c>
      <c r="G137" s="30" t="s">
        <v>159</v>
      </c>
      <c r="H137" s="30" t="s">
        <v>68</v>
      </c>
      <c r="I137" s="31">
        <v>90</v>
      </c>
      <c r="J137" s="28">
        <v>10.234290919999999</v>
      </c>
      <c r="K137" s="28">
        <v>1.3638927839999999</v>
      </c>
      <c r="L137" s="29">
        <v>0.176407592</v>
      </c>
      <c r="M137" s="16">
        <v>-25</v>
      </c>
      <c r="N137" s="39" t="e">
        <v>#N/A</v>
      </c>
      <c r="O137" s="39" t="e">
        <v>#N/A</v>
      </c>
      <c r="P137" s="39" t="e">
        <v>#N/A</v>
      </c>
      <c r="Q137" s="39" t="e">
        <v>#N/A</v>
      </c>
      <c r="R137" s="15">
        <v>1606003200</v>
      </c>
      <c r="S137" t="s">
        <v>23</v>
      </c>
    </row>
    <row r="138" spans="1:19" ht="16" x14ac:dyDescent="0.2">
      <c r="A138" s="27" t="s">
        <v>176</v>
      </c>
      <c r="B138" s="16">
        <v>0.3</v>
      </c>
      <c r="C138" s="16">
        <v>6</v>
      </c>
      <c r="D138" s="28">
        <v>0.82474009999999998</v>
      </c>
      <c r="E138" s="30">
        <v>204901.3792</v>
      </c>
      <c r="F138" s="30">
        <v>366095.45760000002</v>
      </c>
      <c r="G138" s="30" t="s">
        <v>159</v>
      </c>
      <c r="H138" s="30" t="s">
        <v>81</v>
      </c>
      <c r="I138" s="31">
        <v>10</v>
      </c>
      <c r="J138" s="28">
        <v>13.85634817</v>
      </c>
      <c r="K138" s="28">
        <v>0.71046123999999999</v>
      </c>
      <c r="L138" s="29">
        <v>2.7890321720000002</v>
      </c>
      <c r="M138" s="16">
        <v>-22.6</v>
      </c>
      <c r="N138" s="39" t="e">
        <v>#N/A</v>
      </c>
      <c r="O138" s="39" t="e">
        <v>#N/A</v>
      </c>
      <c r="P138" s="39" t="e">
        <v>#N/A</v>
      </c>
      <c r="Q138" s="39" t="e">
        <v>#N/A</v>
      </c>
      <c r="R138" s="15">
        <v>1606003200</v>
      </c>
      <c r="S138" t="s">
        <v>23</v>
      </c>
    </row>
    <row r="139" spans="1:19" ht="16" x14ac:dyDescent="0.2">
      <c r="A139" s="27" t="s">
        <v>177</v>
      </c>
      <c r="B139" s="16">
        <v>0.23</v>
      </c>
      <c r="C139" s="16">
        <v>7.4</v>
      </c>
      <c r="D139" s="28">
        <v>1.3724585279999999</v>
      </c>
      <c r="E139" s="30">
        <v>204901.3792</v>
      </c>
      <c r="F139" s="30">
        <v>366095.45760000002</v>
      </c>
      <c r="G139" s="30" t="s">
        <v>159</v>
      </c>
      <c r="H139" s="30" t="s">
        <v>81</v>
      </c>
      <c r="I139" s="31">
        <v>20</v>
      </c>
      <c r="J139" s="28">
        <v>14.62751856</v>
      </c>
      <c r="K139" s="28">
        <v>1.1717019019999999</v>
      </c>
      <c r="L139" s="29">
        <v>2.149261568</v>
      </c>
      <c r="M139" s="16">
        <v>-21.7</v>
      </c>
      <c r="N139" s="39" t="e">
        <v>#N/A</v>
      </c>
      <c r="O139" s="39" t="e">
        <v>#N/A</v>
      </c>
      <c r="P139" s="39" t="e">
        <v>#N/A</v>
      </c>
      <c r="Q139" s="39" t="e">
        <v>#N/A</v>
      </c>
      <c r="R139" s="15">
        <v>1606003200</v>
      </c>
      <c r="S139" t="s">
        <v>23</v>
      </c>
    </row>
    <row r="140" spans="1:19" ht="16" x14ac:dyDescent="0.2">
      <c r="A140" s="27" t="s">
        <v>178</v>
      </c>
      <c r="B140" s="16">
        <v>0.16</v>
      </c>
      <c r="C140" s="16">
        <v>7.8</v>
      </c>
      <c r="D140" s="28">
        <v>1.403160701</v>
      </c>
      <c r="E140" s="30">
        <v>204901.3792</v>
      </c>
      <c r="F140" s="30">
        <v>366095.45760000002</v>
      </c>
      <c r="G140" s="30" t="s">
        <v>159</v>
      </c>
      <c r="H140" s="30" t="s">
        <v>81</v>
      </c>
      <c r="I140" s="31">
        <v>30</v>
      </c>
      <c r="J140" s="28">
        <v>17.996133059999998</v>
      </c>
      <c r="K140" s="28">
        <v>1.150646034</v>
      </c>
      <c r="L140" s="29">
        <v>1.504624126</v>
      </c>
      <c r="M140" s="16">
        <v>-22.8</v>
      </c>
      <c r="N140" s="39" t="e">
        <v>#N/A</v>
      </c>
      <c r="O140" s="39" t="e">
        <v>#N/A</v>
      </c>
      <c r="P140" s="39" t="e">
        <v>#N/A</v>
      </c>
      <c r="Q140" s="39" t="e">
        <v>#N/A</v>
      </c>
      <c r="R140" s="15">
        <v>1606003200</v>
      </c>
      <c r="S140" t="s">
        <v>23</v>
      </c>
    </row>
    <row r="141" spans="1:19" ht="16" x14ac:dyDescent="0.2">
      <c r="A141" s="27" t="s">
        <v>179</v>
      </c>
      <c r="B141" s="16">
        <v>0.12</v>
      </c>
      <c r="C141" s="16">
        <v>6.8</v>
      </c>
      <c r="D141" s="28">
        <v>1.4349476409999999</v>
      </c>
      <c r="E141" s="30">
        <v>204901.3792</v>
      </c>
      <c r="F141" s="30">
        <v>366095.45760000002</v>
      </c>
      <c r="G141" s="30" t="s">
        <v>159</v>
      </c>
      <c r="H141" s="30" t="s">
        <v>81</v>
      </c>
      <c r="I141" s="31">
        <v>40</v>
      </c>
      <c r="J141" s="28">
        <v>28.019713849999999</v>
      </c>
      <c r="K141" s="28">
        <v>1.032879418</v>
      </c>
      <c r="L141" s="29">
        <v>1.158983691</v>
      </c>
      <c r="M141" s="16">
        <v>-23.2</v>
      </c>
      <c r="N141" s="39" t="e">
        <v>#N/A</v>
      </c>
      <c r="O141" s="39" t="e">
        <v>#N/A</v>
      </c>
      <c r="P141" s="39" t="e">
        <v>#N/A</v>
      </c>
      <c r="Q141" s="39" t="e">
        <v>#N/A</v>
      </c>
      <c r="R141" s="15">
        <v>1606003200</v>
      </c>
      <c r="S141" t="s">
        <v>23</v>
      </c>
    </row>
    <row r="142" spans="1:19" ht="16" x14ac:dyDescent="0.2">
      <c r="A142" s="27" t="s">
        <v>180</v>
      </c>
      <c r="B142" s="16">
        <v>9.1999999999999998E-2</v>
      </c>
      <c r="C142" s="16">
        <v>6.2</v>
      </c>
      <c r="D142" s="28">
        <v>1.7714287129999999</v>
      </c>
      <c r="E142" s="30">
        <v>204901.3792</v>
      </c>
      <c r="F142" s="30">
        <v>366095.45760000002</v>
      </c>
      <c r="G142" s="30" t="s">
        <v>159</v>
      </c>
      <c r="H142" s="30" t="s">
        <v>81</v>
      </c>
      <c r="I142" s="31">
        <v>50</v>
      </c>
      <c r="J142" s="28">
        <v>25.13161586</v>
      </c>
      <c r="K142" s="28">
        <v>1.3262400539999999</v>
      </c>
      <c r="L142" s="29">
        <v>0.80949969799999999</v>
      </c>
      <c r="M142" s="16">
        <v>-22.8</v>
      </c>
      <c r="N142" s="39" t="e">
        <v>#N/A</v>
      </c>
      <c r="O142" s="39" t="e">
        <v>#N/A</v>
      </c>
      <c r="P142" s="39" t="e">
        <v>#N/A</v>
      </c>
      <c r="Q142" s="39" t="e">
        <v>#N/A</v>
      </c>
      <c r="R142" s="15">
        <v>1606003200</v>
      </c>
      <c r="S142" t="s">
        <v>23</v>
      </c>
    </row>
    <row r="143" spans="1:19" ht="16" x14ac:dyDescent="0.2">
      <c r="A143" s="27" t="s">
        <v>181</v>
      </c>
      <c r="B143" s="16">
        <v>8.1000000000000003E-2</v>
      </c>
      <c r="C143" s="16">
        <v>5.8</v>
      </c>
      <c r="D143" s="28">
        <v>1.520529413</v>
      </c>
      <c r="E143" s="30">
        <v>204901.3792</v>
      </c>
      <c r="F143" s="30">
        <v>366095.45760000002</v>
      </c>
      <c r="G143" s="30" t="s">
        <v>159</v>
      </c>
      <c r="H143" s="30" t="s">
        <v>81</v>
      </c>
      <c r="I143" s="31">
        <v>60</v>
      </c>
      <c r="J143" s="28">
        <v>42.721002300000002</v>
      </c>
      <c r="K143" s="28">
        <v>0.87094400800000005</v>
      </c>
      <c r="L143" s="29">
        <v>0.64523256500000004</v>
      </c>
      <c r="M143" s="16">
        <v>-22.8</v>
      </c>
      <c r="N143" s="39" t="e">
        <v>#N/A</v>
      </c>
      <c r="O143" s="39" t="e">
        <v>#N/A</v>
      </c>
      <c r="P143" s="39" t="e">
        <v>#N/A</v>
      </c>
      <c r="Q143" s="39" t="e">
        <v>#N/A</v>
      </c>
      <c r="R143" s="15">
        <v>1606003200</v>
      </c>
      <c r="S143" t="s">
        <v>23</v>
      </c>
    </row>
    <row r="144" spans="1:19" ht="16" x14ac:dyDescent="0.2">
      <c r="A144" s="27" t="s">
        <v>182</v>
      </c>
      <c r="B144" s="16">
        <v>3.5000000000000003E-2</v>
      </c>
      <c r="C144" s="16">
        <v>3.5</v>
      </c>
      <c r="D144" s="28">
        <v>1.8044786399999999</v>
      </c>
      <c r="E144" s="30">
        <v>204901.3792</v>
      </c>
      <c r="F144" s="30">
        <v>366095.45760000002</v>
      </c>
      <c r="G144" s="30" t="s">
        <v>159</v>
      </c>
      <c r="H144" s="30" t="s">
        <v>81</v>
      </c>
      <c r="I144" s="31">
        <v>70</v>
      </c>
      <c r="J144" s="28">
        <v>39.033998740000001</v>
      </c>
      <c r="K144" s="28">
        <v>1.10011847</v>
      </c>
      <c r="L144" s="29">
        <v>0.196960198</v>
      </c>
      <c r="M144" s="16">
        <v>-23.9</v>
      </c>
      <c r="N144" s="39" t="e">
        <v>#N/A</v>
      </c>
      <c r="O144" s="39" t="e">
        <v>#N/A</v>
      </c>
      <c r="P144" s="39" t="e">
        <v>#N/A</v>
      </c>
      <c r="Q144" s="39" t="e">
        <v>#N/A</v>
      </c>
      <c r="R144" s="15">
        <v>1606003200</v>
      </c>
      <c r="S144" t="s">
        <v>23</v>
      </c>
    </row>
    <row r="145" spans="1:19" ht="16" x14ac:dyDescent="0.2">
      <c r="A145" s="27" t="s">
        <v>183</v>
      </c>
      <c r="B145" s="16">
        <v>3.2000000000000001E-2</v>
      </c>
      <c r="C145" s="16">
        <v>3.4</v>
      </c>
      <c r="D145" s="28">
        <v>1.9525309829999999</v>
      </c>
      <c r="E145" s="30">
        <v>204901.3792</v>
      </c>
      <c r="F145" s="30">
        <v>366095.45760000002</v>
      </c>
      <c r="G145" s="30" t="s">
        <v>159</v>
      </c>
      <c r="H145" s="30" t="s">
        <v>81</v>
      </c>
      <c r="I145" s="31">
        <v>80</v>
      </c>
      <c r="J145" s="28">
        <v>29.788400209999999</v>
      </c>
      <c r="K145" s="28">
        <v>1.370903239</v>
      </c>
      <c r="L145" s="29">
        <v>0.19720782000000001</v>
      </c>
      <c r="M145" s="16">
        <v>-25.7</v>
      </c>
      <c r="N145" s="39" t="e">
        <v>#N/A</v>
      </c>
      <c r="O145" s="39" t="e">
        <v>#N/A</v>
      </c>
      <c r="P145" s="39" t="e">
        <v>#N/A</v>
      </c>
      <c r="Q145" s="39" t="e">
        <v>#N/A</v>
      </c>
      <c r="R145" s="15">
        <v>1606003200</v>
      </c>
      <c r="S145" t="s">
        <v>23</v>
      </c>
    </row>
    <row r="146" spans="1:19" ht="16" x14ac:dyDescent="0.2">
      <c r="A146" s="27" t="s">
        <v>184</v>
      </c>
      <c r="B146" s="16">
        <v>0.155</v>
      </c>
      <c r="C146" s="16">
        <v>6</v>
      </c>
      <c r="D146" s="28">
        <v>0.96174669700000004</v>
      </c>
      <c r="E146" s="30">
        <v>206931.37650000001</v>
      </c>
      <c r="F146" s="30">
        <v>367492.66369999998</v>
      </c>
      <c r="G146" s="30" t="s">
        <v>21</v>
      </c>
      <c r="H146" s="30" t="s">
        <v>43</v>
      </c>
      <c r="I146" s="31">
        <v>10</v>
      </c>
      <c r="J146" s="28">
        <v>4.9789225999999999E-2</v>
      </c>
      <c r="K146" s="28">
        <v>0.96126785100000001</v>
      </c>
      <c r="L146" s="29">
        <v>1.5320380579999999</v>
      </c>
      <c r="M146" s="16">
        <v>-23</v>
      </c>
      <c r="N146" s="39" t="e">
        <v>#N/A</v>
      </c>
      <c r="O146" s="39" t="e">
        <v>#N/A</v>
      </c>
      <c r="P146" s="39" t="e">
        <v>#N/A</v>
      </c>
      <c r="Q146" s="39" t="e">
        <v>#N/A</v>
      </c>
      <c r="R146" s="15">
        <v>1606003200</v>
      </c>
      <c r="S146" t="s">
        <v>23</v>
      </c>
    </row>
    <row r="147" spans="1:19" ht="16" x14ac:dyDescent="0.2">
      <c r="A147" s="27" t="s">
        <v>185</v>
      </c>
      <c r="B147" s="16">
        <v>0.14000000000000001</v>
      </c>
      <c r="C147" s="16">
        <v>6.5</v>
      </c>
      <c r="D147" s="28">
        <v>1.36274523</v>
      </c>
      <c r="E147" s="30">
        <v>206931.37650000001</v>
      </c>
      <c r="F147" s="30">
        <v>367492.66369999998</v>
      </c>
      <c r="G147" s="30" t="s">
        <v>21</v>
      </c>
      <c r="H147" s="30" t="s">
        <v>43</v>
      </c>
      <c r="I147" s="31">
        <v>20</v>
      </c>
      <c r="J147" s="28">
        <v>0.10420974299999999</v>
      </c>
      <c r="K147" s="28">
        <v>1.361325117</v>
      </c>
      <c r="L147" s="29">
        <v>1.2623174770000001</v>
      </c>
      <c r="M147" s="16">
        <v>-23.7</v>
      </c>
      <c r="N147" s="39" t="e">
        <v>#N/A</v>
      </c>
      <c r="O147" s="39" t="e">
        <v>#N/A</v>
      </c>
      <c r="P147" s="39" t="e">
        <v>#N/A</v>
      </c>
      <c r="Q147" s="39" t="e">
        <v>#N/A</v>
      </c>
      <c r="R147" s="15">
        <v>1606003200</v>
      </c>
      <c r="S147" t="s">
        <v>23</v>
      </c>
    </row>
    <row r="148" spans="1:19" ht="16" x14ac:dyDescent="0.2">
      <c r="A148" s="27" t="s">
        <v>186</v>
      </c>
      <c r="B148" s="16">
        <v>0.16</v>
      </c>
      <c r="C148" s="16">
        <v>6.1</v>
      </c>
      <c r="D148" s="28">
        <v>1.2046980439999999</v>
      </c>
      <c r="E148" s="30">
        <v>206931.37650000001</v>
      </c>
      <c r="F148" s="30">
        <v>367492.66369999998</v>
      </c>
      <c r="G148" s="30" t="s">
        <v>21</v>
      </c>
      <c r="H148" s="30" t="s">
        <v>43</v>
      </c>
      <c r="I148" s="31">
        <v>30</v>
      </c>
      <c r="J148" s="28">
        <v>3.6603829999999997E-2</v>
      </c>
      <c r="K148" s="28">
        <v>1.204257079</v>
      </c>
      <c r="L148" s="29">
        <v>1.6298863379999999</v>
      </c>
      <c r="M148" s="16">
        <v>-24.8</v>
      </c>
      <c r="N148" s="39" t="e">
        <v>#N/A</v>
      </c>
      <c r="O148" s="39" t="e">
        <v>#N/A</v>
      </c>
      <c r="P148" s="39" t="e">
        <v>#N/A</v>
      </c>
      <c r="Q148" s="39" t="e">
        <v>#N/A</v>
      </c>
      <c r="R148" s="15">
        <v>1606003200</v>
      </c>
      <c r="S148" t="s">
        <v>23</v>
      </c>
    </row>
    <row r="149" spans="1:19" ht="16" x14ac:dyDescent="0.2">
      <c r="A149" s="27" t="s">
        <v>187</v>
      </c>
      <c r="B149" s="16">
        <v>6.7000000000000004E-2</v>
      </c>
      <c r="C149" s="16">
        <v>6.4</v>
      </c>
      <c r="D149" s="28">
        <v>1.6036968140000001</v>
      </c>
      <c r="E149" s="30">
        <v>206931.37650000001</v>
      </c>
      <c r="F149" s="30">
        <v>367492.66369999998</v>
      </c>
      <c r="G149" s="30" t="s">
        <v>21</v>
      </c>
      <c r="H149" s="30" t="s">
        <v>43</v>
      </c>
      <c r="I149" s="31">
        <v>40</v>
      </c>
      <c r="J149" s="28">
        <v>0</v>
      </c>
      <c r="K149" s="28">
        <v>1.6036968140000001</v>
      </c>
      <c r="L149" s="29">
        <v>0.48981384300000003</v>
      </c>
      <c r="M149" s="16">
        <v>-23.6</v>
      </c>
      <c r="N149" s="39" t="e">
        <v>#N/A</v>
      </c>
      <c r="O149" s="39" t="e">
        <v>#N/A</v>
      </c>
      <c r="P149" s="39" t="e">
        <v>#N/A</v>
      </c>
      <c r="Q149" s="39" t="e">
        <v>#N/A</v>
      </c>
      <c r="R149" s="15">
        <v>1606003200</v>
      </c>
      <c r="S149" t="s">
        <v>23</v>
      </c>
    </row>
    <row r="150" spans="1:19" ht="16" x14ac:dyDescent="0.2">
      <c r="A150" s="27" t="s">
        <v>188</v>
      </c>
      <c r="B150" s="16">
        <v>5.8999999999999997E-2</v>
      </c>
      <c r="C150" s="16">
        <v>5.4</v>
      </c>
      <c r="D150" s="28">
        <v>1.488292186</v>
      </c>
      <c r="E150" s="30">
        <v>206931.37650000001</v>
      </c>
      <c r="F150" s="30">
        <v>367492.66369999998</v>
      </c>
      <c r="G150" s="30" t="s">
        <v>21</v>
      </c>
      <c r="H150" s="30" t="s">
        <v>43</v>
      </c>
      <c r="I150" s="31">
        <v>50</v>
      </c>
      <c r="J150" s="28">
        <v>0.86419352699999996</v>
      </c>
      <c r="K150" s="28">
        <v>1.4754304620000001</v>
      </c>
      <c r="L150" s="29">
        <v>0.311351663</v>
      </c>
      <c r="M150" s="16">
        <v>-23.2</v>
      </c>
      <c r="N150" s="39" t="e">
        <v>#N/A</v>
      </c>
      <c r="O150" s="39" t="e">
        <v>#N/A</v>
      </c>
      <c r="P150" s="39" t="e">
        <v>#N/A</v>
      </c>
      <c r="Q150" s="39" t="e">
        <v>#N/A</v>
      </c>
      <c r="R150" s="15">
        <v>1606003200</v>
      </c>
      <c r="S150" t="s">
        <v>23</v>
      </c>
    </row>
    <row r="151" spans="1:19" ht="16" x14ac:dyDescent="0.2">
      <c r="A151" s="27" t="s">
        <v>189</v>
      </c>
      <c r="B151" s="16">
        <v>4.9500000000000002E-2</v>
      </c>
      <c r="C151" s="16">
        <v>3.9</v>
      </c>
      <c r="D151" s="28">
        <v>1.576278869</v>
      </c>
      <c r="E151" s="30">
        <v>206931.37650000001</v>
      </c>
      <c r="F151" s="30">
        <v>367492.66369999998</v>
      </c>
      <c r="G151" s="30" t="s">
        <v>21</v>
      </c>
      <c r="H151" s="30" t="s">
        <v>43</v>
      </c>
      <c r="I151" s="31">
        <v>60</v>
      </c>
      <c r="J151" s="28">
        <v>4.7597915950000003</v>
      </c>
      <c r="K151" s="28">
        <v>1.50125128</v>
      </c>
      <c r="L151" s="29">
        <v>0.19967794699999999</v>
      </c>
      <c r="M151" s="16">
        <v>-22.85</v>
      </c>
      <c r="N151" s="39" t="e">
        <v>#N/A</v>
      </c>
      <c r="O151" s="39" t="e">
        <v>#N/A</v>
      </c>
      <c r="P151" s="39" t="e">
        <v>#N/A</v>
      </c>
      <c r="Q151" s="39" t="e">
        <v>#N/A</v>
      </c>
      <c r="R151" s="15">
        <v>1606003200</v>
      </c>
      <c r="S151" t="s">
        <v>23</v>
      </c>
    </row>
    <row r="152" spans="1:19" ht="16" x14ac:dyDescent="0.2">
      <c r="A152" s="27" t="s">
        <v>190</v>
      </c>
      <c r="B152" s="16">
        <v>4.5999999999999999E-2</v>
      </c>
      <c r="C152" s="16">
        <v>3.7</v>
      </c>
      <c r="D152" s="28">
        <v>1.660014004</v>
      </c>
      <c r="E152" s="30">
        <v>206931.37650000001</v>
      </c>
      <c r="F152" s="30">
        <v>367492.66369999998</v>
      </c>
      <c r="G152" s="30" t="s">
        <v>21</v>
      </c>
      <c r="H152" s="30" t="s">
        <v>43</v>
      </c>
      <c r="I152" s="31">
        <v>70</v>
      </c>
      <c r="J152" s="28">
        <v>0</v>
      </c>
      <c r="K152" s="28">
        <v>1.660014004</v>
      </c>
      <c r="L152" s="29">
        <v>0.15194749900000001</v>
      </c>
      <c r="M152" s="16">
        <v>-23.6</v>
      </c>
      <c r="N152" s="39" t="e">
        <v>#N/A</v>
      </c>
      <c r="O152" s="39" t="e">
        <v>#N/A</v>
      </c>
      <c r="P152" s="39" t="e">
        <v>#N/A</v>
      </c>
      <c r="Q152" s="39" t="e">
        <v>#N/A</v>
      </c>
      <c r="R152" s="15">
        <v>1606003200</v>
      </c>
      <c r="S152" t="s">
        <v>23</v>
      </c>
    </row>
    <row r="153" spans="1:19" ht="16" x14ac:dyDescent="0.2">
      <c r="A153" s="27" t="s">
        <v>191</v>
      </c>
      <c r="B153" s="16">
        <v>4.5999999999999999E-2</v>
      </c>
      <c r="C153" s="16">
        <v>3</v>
      </c>
      <c r="D153" s="28">
        <v>1.6223391359999999</v>
      </c>
      <c r="E153" s="30">
        <v>206931.37650000001</v>
      </c>
      <c r="F153" s="30">
        <v>367492.66369999998</v>
      </c>
      <c r="G153" s="30" t="s">
        <v>21</v>
      </c>
      <c r="H153" s="30" t="s">
        <v>43</v>
      </c>
      <c r="I153" s="31">
        <v>80</v>
      </c>
      <c r="J153" s="28">
        <v>14.77178423</v>
      </c>
      <c r="K153" s="28">
        <v>1.3826906990000001</v>
      </c>
      <c r="L153" s="29">
        <v>0.152975849</v>
      </c>
      <c r="M153" s="16">
        <v>-24.5</v>
      </c>
      <c r="N153" s="39" t="e">
        <v>#N/A</v>
      </c>
      <c r="O153" s="39" t="e">
        <v>#N/A</v>
      </c>
      <c r="P153" s="39" t="e">
        <v>#N/A</v>
      </c>
      <c r="Q153" s="39" t="e">
        <v>#N/A</v>
      </c>
      <c r="R153" s="15">
        <v>1606003200</v>
      </c>
      <c r="S153" t="s">
        <v>23</v>
      </c>
    </row>
    <row r="154" spans="1:19" ht="16" x14ac:dyDescent="0.2">
      <c r="A154" s="27" t="s">
        <v>192</v>
      </c>
      <c r="B154" s="16">
        <v>5.1999999999999998E-2</v>
      </c>
      <c r="C154" s="16">
        <v>3.5</v>
      </c>
      <c r="D154" s="28">
        <v>1.5311087640000001</v>
      </c>
      <c r="E154" s="30">
        <v>206931.37650000001</v>
      </c>
      <c r="F154" s="30">
        <v>367492.66369999998</v>
      </c>
      <c r="G154" s="30" t="s">
        <v>21</v>
      </c>
      <c r="H154" s="30" t="s">
        <v>43</v>
      </c>
      <c r="I154" s="31">
        <v>90</v>
      </c>
      <c r="J154" s="28">
        <v>0</v>
      </c>
      <c r="K154" s="28">
        <v>1.5311087640000001</v>
      </c>
      <c r="L154" s="29">
        <v>0.197067781</v>
      </c>
      <c r="M154" s="16">
        <v>-25.1</v>
      </c>
      <c r="N154" s="39" t="e">
        <v>#N/A</v>
      </c>
      <c r="O154" s="39" t="e">
        <v>#N/A</v>
      </c>
      <c r="P154" s="39" t="e">
        <v>#N/A</v>
      </c>
      <c r="Q154" s="39" t="e">
        <v>#N/A</v>
      </c>
      <c r="R154" s="15">
        <v>1606003200</v>
      </c>
      <c r="S154" t="s">
        <v>23</v>
      </c>
    </row>
    <row r="155" spans="1:19" ht="16" x14ac:dyDescent="0.2">
      <c r="A155" s="27" t="s">
        <v>193</v>
      </c>
      <c r="B155" s="16">
        <v>5.0999999999999997E-2</v>
      </c>
      <c r="C155" s="16">
        <v>2.8</v>
      </c>
      <c r="D155" s="28">
        <v>1.977074443</v>
      </c>
      <c r="E155" s="30">
        <v>206931.37650000001</v>
      </c>
      <c r="F155" s="30">
        <v>367492.66369999998</v>
      </c>
      <c r="G155" s="30" t="s">
        <v>21</v>
      </c>
      <c r="H155" s="30" t="s">
        <v>43</v>
      </c>
      <c r="I155" s="31">
        <v>93.5</v>
      </c>
      <c r="J155" s="28">
        <v>0</v>
      </c>
      <c r="K155" s="28">
        <v>1.977074443</v>
      </c>
      <c r="L155" s="29">
        <v>0.18720889800000001</v>
      </c>
      <c r="M155" s="16">
        <v>-26.2</v>
      </c>
      <c r="N155" s="39" t="e">
        <v>#N/A</v>
      </c>
      <c r="O155" s="39" t="e">
        <v>#N/A</v>
      </c>
      <c r="P155" s="39" t="e">
        <v>#N/A</v>
      </c>
      <c r="Q155" s="39" t="e">
        <v>#N/A</v>
      </c>
      <c r="R155" s="15">
        <v>1606003200</v>
      </c>
      <c r="S155" t="s">
        <v>23</v>
      </c>
    </row>
    <row r="156" spans="1:19" ht="16" x14ac:dyDescent="0.2">
      <c r="A156" s="27" t="s">
        <v>194</v>
      </c>
      <c r="B156" s="16">
        <v>0.15</v>
      </c>
      <c r="C156" s="16">
        <v>5</v>
      </c>
      <c r="D156" s="28">
        <v>1.0259503219999999</v>
      </c>
      <c r="E156" s="30">
        <v>206923.56589999999</v>
      </c>
      <c r="F156" s="30">
        <v>367504.7965</v>
      </c>
      <c r="G156" s="30" t="s">
        <v>21</v>
      </c>
      <c r="H156" s="30" t="s">
        <v>68</v>
      </c>
      <c r="I156" s="31">
        <v>10</v>
      </c>
      <c r="J156" s="28">
        <v>0.103113358</v>
      </c>
      <c r="K156" s="28">
        <v>1.02489243</v>
      </c>
      <c r="L156" s="29">
        <v>1.579307268</v>
      </c>
      <c r="M156" s="16">
        <v>-22.5</v>
      </c>
      <c r="N156" s="39" t="e">
        <v>#N/A</v>
      </c>
      <c r="O156" s="39" t="e">
        <v>#N/A</v>
      </c>
      <c r="P156" s="39" t="e">
        <v>#N/A</v>
      </c>
      <c r="Q156" s="39" t="e">
        <v>#N/A</v>
      </c>
      <c r="R156" s="15">
        <v>1606003200</v>
      </c>
      <c r="S156" t="s">
        <v>23</v>
      </c>
    </row>
    <row r="157" spans="1:19" ht="16" x14ac:dyDescent="0.2">
      <c r="A157" s="27" t="s">
        <v>195</v>
      </c>
      <c r="B157" s="16">
        <v>0.11</v>
      </c>
      <c r="C157" s="16">
        <v>5.7</v>
      </c>
      <c r="D157" s="28">
        <v>1.381392969</v>
      </c>
      <c r="E157" s="30">
        <v>206923.56589999999</v>
      </c>
      <c r="F157" s="30">
        <v>367504.7965</v>
      </c>
      <c r="G157" s="30" t="s">
        <v>21</v>
      </c>
      <c r="H157" s="30" t="s">
        <v>68</v>
      </c>
      <c r="I157" s="31">
        <v>20</v>
      </c>
      <c r="J157" s="28">
        <v>1.6598610000000001E-3</v>
      </c>
      <c r="K157" s="28">
        <v>1.38137004</v>
      </c>
      <c r="L157" s="29">
        <v>0.88497864599999998</v>
      </c>
      <c r="M157" s="16">
        <v>-24.5</v>
      </c>
      <c r="N157" s="39" t="e">
        <v>#N/A</v>
      </c>
      <c r="O157" s="39" t="e">
        <v>#N/A</v>
      </c>
      <c r="P157" s="39" t="e">
        <v>#N/A</v>
      </c>
      <c r="Q157" s="39" t="e">
        <v>#N/A</v>
      </c>
      <c r="R157" s="15">
        <v>1606003200</v>
      </c>
      <c r="S157" t="s">
        <v>23</v>
      </c>
    </row>
    <row r="158" spans="1:19" ht="16" x14ac:dyDescent="0.2">
      <c r="A158" s="27" t="s">
        <v>196</v>
      </c>
      <c r="B158" s="16">
        <v>9.1999999999999998E-2</v>
      </c>
      <c r="C158" s="16">
        <v>6.05</v>
      </c>
      <c r="D158" s="28">
        <v>1.3316104520000001</v>
      </c>
      <c r="E158" s="30">
        <v>206923.56589999999</v>
      </c>
      <c r="F158" s="30">
        <v>367504.7965</v>
      </c>
      <c r="G158" s="30" t="s">
        <v>21</v>
      </c>
      <c r="H158" s="30" t="s">
        <v>68</v>
      </c>
      <c r="I158" s="31">
        <v>30</v>
      </c>
      <c r="J158" s="28">
        <v>6.7676868000000001E-2</v>
      </c>
      <c r="K158" s="28">
        <v>1.3307092599999999</v>
      </c>
      <c r="L158" s="29">
        <v>0.72038069199999999</v>
      </c>
      <c r="M158" s="16">
        <v>-24.25</v>
      </c>
      <c r="N158" s="39" t="e">
        <v>#N/A</v>
      </c>
      <c r="O158" s="39" t="e">
        <v>#N/A</v>
      </c>
      <c r="P158" s="39" t="e">
        <v>#N/A</v>
      </c>
      <c r="Q158" s="39" t="e">
        <v>#N/A</v>
      </c>
      <c r="R158" s="15">
        <v>1606003200</v>
      </c>
      <c r="S158" t="s">
        <v>23</v>
      </c>
    </row>
    <row r="159" spans="1:19" ht="16" x14ac:dyDescent="0.2">
      <c r="A159" s="27" t="s">
        <v>197</v>
      </c>
      <c r="B159" s="16">
        <v>4.7E-2</v>
      </c>
      <c r="C159" s="16">
        <v>4.9000000000000004</v>
      </c>
      <c r="D159" s="28">
        <v>1.5249433020000001</v>
      </c>
      <c r="E159" s="30">
        <v>206923.56589999999</v>
      </c>
      <c r="F159" s="30">
        <v>367504.7965</v>
      </c>
      <c r="G159" s="30" t="s">
        <v>21</v>
      </c>
      <c r="H159" s="30" t="s">
        <v>68</v>
      </c>
      <c r="I159" s="31">
        <v>40</v>
      </c>
      <c r="J159" s="28">
        <v>0.117239102</v>
      </c>
      <c r="K159" s="28">
        <v>1.523155472</v>
      </c>
      <c r="L159" s="29">
        <v>0.22573389599999999</v>
      </c>
      <c r="M159" s="16">
        <v>-23.7</v>
      </c>
      <c r="N159" s="39" t="e">
        <v>#N/A</v>
      </c>
      <c r="O159" s="39" t="e">
        <v>#N/A</v>
      </c>
      <c r="P159" s="39" t="e">
        <v>#N/A</v>
      </c>
      <c r="Q159" s="39" t="e">
        <v>#N/A</v>
      </c>
      <c r="R159" s="15">
        <v>1606003200</v>
      </c>
      <c r="S159" t="s">
        <v>23</v>
      </c>
    </row>
    <row r="160" spans="1:19" ht="16" x14ac:dyDescent="0.2">
      <c r="A160" s="27" t="s">
        <v>198</v>
      </c>
      <c r="B160" s="16">
        <v>4.2000000000000003E-2</v>
      </c>
      <c r="C160" s="16">
        <v>4</v>
      </c>
      <c r="D160" s="28">
        <v>1.5465520589999999</v>
      </c>
      <c r="E160" s="30">
        <v>206923.56589999999</v>
      </c>
      <c r="F160" s="30">
        <v>367504.7965</v>
      </c>
      <c r="G160" s="30" t="s">
        <v>21</v>
      </c>
      <c r="H160" s="30" t="s">
        <v>68</v>
      </c>
      <c r="I160" s="31">
        <v>50</v>
      </c>
      <c r="J160" s="28">
        <v>6.2438302070000002</v>
      </c>
      <c r="K160" s="28">
        <v>1.4499879739999999</v>
      </c>
      <c r="L160" s="29">
        <v>0.14312725100000001</v>
      </c>
      <c r="M160" s="16">
        <v>-24.1</v>
      </c>
      <c r="N160" s="39" t="e">
        <v>#N/A</v>
      </c>
      <c r="O160" s="39" t="e">
        <v>#N/A</v>
      </c>
      <c r="P160" s="39" t="e">
        <v>#N/A</v>
      </c>
      <c r="Q160" s="39" t="e">
        <v>#N/A</v>
      </c>
      <c r="R160" s="15">
        <v>1606003200</v>
      </c>
      <c r="S160" t="s">
        <v>23</v>
      </c>
    </row>
    <row r="161" spans="1:19" ht="16" x14ac:dyDescent="0.2">
      <c r="A161" s="27" t="s">
        <v>199</v>
      </c>
      <c r="B161" s="16">
        <v>4.7E-2</v>
      </c>
      <c r="C161" s="16">
        <v>4</v>
      </c>
      <c r="D161" s="28">
        <v>1.4372318340000001</v>
      </c>
      <c r="E161" s="30">
        <v>206923.56589999999</v>
      </c>
      <c r="F161" s="30">
        <v>367504.7965</v>
      </c>
      <c r="G161" s="30" t="s">
        <v>21</v>
      </c>
      <c r="H161" s="30" t="s">
        <v>68</v>
      </c>
      <c r="I161" s="31">
        <v>60</v>
      </c>
      <c r="J161" s="28">
        <v>0.64319397499999997</v>
      </c>
      <c r="K161" s="28">
        <v>1.4279876460000001</v>
      </c>
      <c r="L161" s="29">
        <v>0.16635124500000001</v>
      </c>
      <c r="M161" s="16">
        <v>-24.9</v>
      </c>
      <c r="N161" s="40" t="e">
        <v>#N/A</v>
      </c>
      <c r="O161" s="40" t="e">
        <v>#N/A</v>
      </c>
      <c r="P161" s="40" t="e">
        <v>#N/A</v>
      </c>
      <c r="Q161" s="40" t="e">
        <v>#N/A</v>
      </c>
      <c r="R161" s="15">
        <v>1606003200</v>
      </c>
      <c r="S161" t="s">
        <v>23</v>
      </c>
    </row>
    <row r="162" spans="1:19" ht="16" x14ac:dyDescent="0.2">
      <c r="A162" s="27" t="s">
        <v>200</v>
      </c>
      <c r="B162" s="16">
        <v>4.9000000000000002E-2</v>
      </c>
      <c r="C162" s="16">
        <v>2.8</v>
      </c>
      <c r="D162" s="28">
        <v>1.4069018149999999</v>
      </c>
      <c r="E162" s="30">
        <v>206923.56589999999</v>
      </c>
      <c r="F162" s="30">
        <v>367504.7965</v>
      </c>
      <c r="G162" s="30" t="s">
        <v>21</v>
      </c>
      <c r="H162" s="30" t="s">
        <v>68</v>
      </c>
      <c r="I162" s="31">
        <v>70</v>
      </c>
      <c r="J162" s="28">
        <v>0.965074294</v>
      </c>
      <c r="K162" s="28">
        <v>1.3933241670000001</v>
      </c>
      <c r="L162" s="29">
        <v>0.14562130700000001</v>
      </c>
      <c r="M162" s="16">
        <v>-25.8</v>
      </c>
      <c r="N162" s="39" t="e">
        <v>#N/A</v>
      </c>
      <c r="O162" s="39" t="e">
        <v>#N/A</v>
      </c>
      <c r="P162" s="39" t="e">
        <v>#N/A</v>
      </c>
      <c r="Q162" s="39" t="e">
        <v>#N/A</v>
      </c>
      <c r="R162" s="15">
        <v>1606003200</v>
      </c>
      <c r="S162" t="s">
        <v>23</v>
      </c>
    </row>
    <row r="163" spans="1:19" ht="16" x14ac:dyDescent="0.2">
      <c r="A163" s="27" t="s">
        <v>201</v>
      </c>
      <c r="B163" s="16">
        <v>5.7000000000000002E-2</v>
      </c>
      <c r="C163" s="16">
        <v>3.5</v>
      </c>
      <c r="D163" s="28">
        <v>1.6433914220000001</v>
      </c>
      <c r="E163" s="30">
        <v>206923.56589999999</v>
      </c>
      <c r="F163" s="30">
        <v>367504.7965</v>
      </c>
      <c r="G163" s="30" t="s">
        <v>21</v>
      </c>
      <c r="H163" s="30" t="s">
        <v>68</v>
      </c>
      <c r="I163" s="31">
        <v>80</v>
      </c>
      <c r="J163" s="28">
        <v>3.4695952139999999</v>
      </c>
      <c r="K163" s="28">
        <v>1.586372391</v>
      </c>
      <c r="L163" s="29">
        <v>0.19181061899999999</v>
      </c>
      <c r="M163" s="16">
        <v>-24.8</v>
      </c>
      <c r="N163" s="39" t="e">
        <v>#N/A</v>
      </c>
      <c r="O163" s="39" t="e">
        <v>#N/A</v>
      </c>
      <c r="P163" s="39" t="e">
        <v>#N/A</v>
      </c>
      <c r="Q163" s="39" t="e">
        <v>#N/A</v>
      </c>
      <c r="R163" s="15">
        <v>1606003200</v>
      </c>
      <c r="S163" t="s">
        <v>23</v>
      </c>
    </row>
    <row r="164" spans="1:19" ht="16" x14ac:dyDescent="0.2">
      <c r="A164" s="27" t="s">
        <v>202</v>
      </c>
      <c r="B164" s="16">
        <v>4.7E-2</v>
      </c>
      <c r="C164" s="16">
        <v>3.2</v>
      </c>
      <c r="D164" s="28">
        <v>1.4993501440000001</v>
      </c>
      <c r="E164" s="30">
        <v>206923.56589999999</v>
      </c>
      <c r="F164" s="30">
        <v>367504.7965</v>
      </c>
      <c r="G164" s="30" t="s">
        <v>21</v>
      </c>
      <c r="H164" s="30" t="s">
        <v>68</v>
      </c>
      <c r="I164" s="31">
        <v>90</v>
      </c>
      <c r="J164" s="28">
        <v>0</v>
      </c>
      <c r="K164" s="28">
        <v>1.4993501440000001</v>
      </c>
      <c r="L164" s="29">
        <v>0.14345925300000001</v>
      </c>
      <c r="M164" s="16">
        <v>-25.2</v>
      </c>
      <c r="N164" s="39" t="e">
        <v>#N/A</v>
      </c>
      <c r="O164" s="39" t="e">
        <v>#N/A</v>
      </c>
      <c r="P164" s="39" t="e">
        <v>#N/A</v>
      </c>
      <c r="Q164" s="39" t="e">
        <v>#N/A</v>
      </c>
      <c r="R164" s="15">
        <v>1606003200</v>
      </c>
      <c r="S164" t="s">
        <v>23</v>
      </c>
    </row>
    <row r="165" spans="1:19" ht="16" x14ac:dyDescent="0.2">
      <c r="A165" s="27" t="s">
        <v>203</v>
      </c>
      <c r="B165" s="16">
        <v>5.3999999999999999E-2</v>
      </c>
      <c r="C165" s="16">
        <v>3.2</v>
      </c>
      <c r="D165" s="28">
        <v>1.34666197</v>
      </c>
      <c r="E165" s="30">
        <v>206923.56589999999</v>
      </c>
      <c r="F165" s="30">
        <v>367504.7965</v>
      </c>
      <c r="G165" s="30" t="s">
        <v>21</v>
      </c>
      <c r="H165" s="30" t="s">
        <v>68</v>
      </c>
      <c r="I165" s="31">
        <v>100</v>
      </c>
      <c r="J165" s="28">
        <v>0</v>
      </c>
      <c r="K165" s="28">
        <v>1.34666197</v>
      </c>
      <c r="L165" s="29">
        <v>0.15525071800000001</v>
      </c>
      <c r="M165" s="16">
        <v>-25.5</v>
      </c>
      <c r="N165" s="39" t="e">
        <v>#N/A</v>
      </c>
      <c r="O165" s="39" t="e">
        <v>#N/A</v>
      </c>
      <c r="P165" s="39" t="e">
        <v>#N/A</v>
      </c>
      <c r="Q165" s="39" t="e">
        <v>#N/A</v>
      </c>
      <c r="R165" s="15">
        <v>1606003200</v>
      </c>
      <c r="S165" t="s">
        <v>23</v>
      </c>
    </row>
    <row r="166" spans="1:19" ht="16" x14ac:dyDescent="0.2">
      <c r="A166" s="27" t="s">
        <v>204</v>
      </c>
      <c r="B166" s="16">
        <v>4.5999999999999999E-2</v>
      </c>
      <c r="C166" s="16">
        <v>1.8</v>
      </c>
      <c r="D166" s="28">
        <v>1.1804865019999999</v>
      </c>
      <c r="E166" s="30">
        <v>206923.56589999999</v>
      </c>
      <c r="F166" s="30">
        <v>367504.7965</v>
      </c>
      <c r="G166" s="30" t="s">
        <v>21</v>
      </c>
      <c r="H166" s="30" t="s">
        <v>68</v>
      </c>
      <c r="I166" s="31">
        <v>110</v>
      </c>
      <c r="J166" s="28">
        <v>0</v>
      </c>
      <c r="K166" s="28">
        <v>1.1804865019999999</v>
      </c>
      <c r="L166" s="29">
        <v>0.114277873</v>
      </c>
      <c r="M166" s="16">
        <v>-27.1</v>
      </c>
      <c r="N166" s="39" t="e">
        <v>#N/A</v>
      </c>
      <c r="O166" s="39" t="e">
        <v>#N/A</v>
      </c>
      <c r="P166" s="39" t="e">
        <v>#N/A</v>
      </c>
      <c r="Q166" s="39" t="e">
        <v>#N/A</v>
      </c>
      <c r="R166" s="15">
        <v>1606003200</v>
      </c>
      <c r="S166" t="s">
        <v>23</v>
      </c>
    </row>
    <row r="167" spans="1:19" ht="16" x14ac:dyDescent="0.2">
      <c r="A167" s="27" t="s">
        <v>205</v>
      </c>
      <c r="B167" s="16">
        <v>5.3999999999999999E-2</v>
      </c>
      <c r="C167" s="16">
        <v>1.8</v>
      </c>
      <c r="D167" s="28">
        <v>1.437645254</v>
      </c>
      <c r="E167" s="30">
        <v>206923.56589999999</v>
      </c>
      <c r="F167" s="30">
        <v>367504.7965</v>
      </c>
      <c r="G167" s="30" t="s">
        <v>21</v>
      </c>
      <c r="H167" s="30" t="s">
        <v>68</v>
      </c>
      <c r="I167" s="31">
        <v>120</v>
      </c>
      <c r="J167" s="28">
        <v>0</v>
      </c>
      <c r="K167" s="28">
        <v>1.437645254</v>
      </c>
      <c r="L167" s="29">
        <v>9.9863162000000005E-2</v>
      </c>
      <c r="M167" s="16">
        <v>-26.7</v>
      </c>
      <c r="N167" s="39" t="e">
        <v>#N/A</v>
      </c>
      <c r="O167" s="39" t="e">
        <v>#N/A</v>
      </c>
      <c r="P167" s="39" t="e">
        <v>#N/A</v>
      </c>
      <c r="Q167" s="39" t="e">
        <v>#N/A</v>
      </c>
      <c r="R167" s="15">
        <v>1606003200</v>
      </c>
      <c r="S167" t="s">
        <v>23</v>
      </c>
    </row>
    <row r="168" spans="1:19" ht="16" x14ac:dyDescent="0.2">
      <c r="A168" s="27" t="s">
        <v>206</v>
      </c>
      <c r="B168" s="16">
        <v>0.15</v>
      </c>
      <c r="C168" s="16">
        <v>6.6</v>
      </c>
      <c r="D168" s="28">
        <v>1.184002617</v>
      </c>
      <c r="E168" s="30">
        <v>206915.6103</v>
      </c>
      <c r="F168" s="30">
        <v>367492.70419999998</v>
      </c>
      <c r="G168" s="30" t="s">
        <v>21</v>
      </c>
      <c r="H168" s="30" t="s">
        <v>81</v>
      </c>
      <c r="I168" s="31">
        <v>10</v>
      </c>
      <c r="J168" s="28">
        <v>0.16949715800000001</v>
      </c>
      <c r="K168" s="28">
        <v>1.181995766</v>
      </c>
      <c r="L168" s="29">
        <v>1.540078498</v>
      </c>
      <c r="M168" s="16">
        <v>-23.8</v>
      </c>
      <c r="N168" s="39" t="e">
        <v>#N/A</v>
      </c>
      <c r="O168" s="39" t="e">
        <v>#N/A</v>
      </c>
      <c r="P168" s="39" t="e">
        <v>#N/A</v>
      </c>
      <c r="Q168" s="39" t="e">
        <v>#N/A</v>
      </c>
      <c r="R168" s="15">
        <v>1606003200</v>
      </c>
      <c r="S168" t="s">
        <v>23</v>
      </c>
    </row>
    <row r="169" spans="1:19" ht="16" x14ac:dyDescent="0.2">
      <c r="A169" s="27" t="s">
        <v>207</v>
      </c>
      <c r="B169" s="16">
        <v>0.11</v>
      </c>
      <c r="C169" s="16">
        <v>6.6</v>
      </c>
      <c r="D169" s="28">
        <v>1.3794070620000001</v>
      </c>
      <c r="E169" s="30">
        <v>206915.6103</v>
      </c>
      <c r="F169" s="30">
        <v>367492.70419999998</v>
      </c>
      <c r="G169" s="30" t="s">
        <v>21</v>
      </c>
      <c r="H169" s="30" t="s">
        <v>81</v>
      </c>
      <c r="I169" s="31">
        <v>20</v>
      </c>
      <c r="J169" s="28">
        <v>1.4943216E-2</v>
      </c>
      <c r="K169" s="28">
        <v>1.379200934</v>
      </c>
      <c r="L169" s="29">
        <v>0.95437481800000001</v>
      </c>
      <c r="M169" s="16">
        <v>-23.45</v>
      </c>
      <c r="N169" s="39" t="e">
        <v>#N/A</v>
      </c>
      <c r="O169" s="39" t="e">
        <v>#N/A</v>
      </c>
      <c r="P169" s="39" t="e">
        <v>#N/A</v>
      </c>
      <c r="Q169" s="39" t="e">
        <v>#N/A</v>
      </c>
      <c r="R169" s="15">
        <v>1606003200</v>
      </c>
      <c r="S169" t="s">
        <v>23</v>
      </c>
    </row>
    <row r="170" spans="1:19" ht="16" x14ac:dyDescent="0.2">
      <c r="A170" s="27" t="s">
        <v>208</v>
      </c>
      <c r="B170" s="16">
        <v>0.1</v>
      </c>
      <c r="C170" s="16">
        <v>6.6</v>
      </c>
      <c r="D170" s="28">
        <v>1.364757665</v>
      </c>
      <c r="E170" s="30">
        <v>206915.6103</v>
      </c>
      <c r="F170" s="30">
        <v>367492.70419999998</v>
      </c>
      <c r="G170" s="30" t="s">
        <v>21</v>
      </c>
      <c r="H170" s="30" t="s">
        <v>81</v>
      </c>
      <c r="I170" s="31">
        <v>30</v>
      </c>
      <c r="J170" s="28">
        <v>0.10103185000000001</v>
      </c>
      <c r="K170" s="28">
        <v>1.3633788250000001</v>
      </c>
      <c r="L170" s="29">
        <v>0.90053135600000001</v>
      </c>
      <c r="M170" s="16">
        <v>-23.7</v>
      </c>
      <c r="N170" s="39" t="e">
        <v>#N/A</v>
      </c>
      <c r="O170" s="39" t="e">
        <v>#N/A</v>
      </c>
      <c r="P170" s="39" t="e">
        <v>#N/A</v>
      </c>
      <c r="Q170" s="39" t="e">
        <v>#N/A</v>
      </c>
      <c r="R170" s="15">
        <v>1606003200</v>
      </c>
      <c r="S170" t="s">
        <v>23</v>
      </c>
    </row>
    <row r="171" spans="1:19" ht="16" x14ac:dyDescent="0.2">
      <c r="A171" s="27" t="s">
        <v>209</v>
      </c>
      <c r="B171" s="16">
        <v>4.8000000000000001E-2</v>
      </c>
      <c r="C171" s="16">
        <v>7</v>
      </c>
      <c r="D171" s="28">
        <v>1.534629069</v>
      </c>
      <c r="E171" s="30">
        <v>206915.6103</v>
      </c>
      <c r="F171" s="30">
        <v>367492.70419999998</v>
      </c>
      <c r="G171" s="30" t="s">
        <v>21</v>
      </c>
      <c r="H171" s="30" t="s">
        <v>81</v>
      </c>
      <c r="I171" s="31">
        <v>40</v>
      </c>
      <c r="J171" s="28">
        <v>0</v>
      </c>
      <c r="K171" s="28">
        <v>1.534629069</v>
      </c>
      <c r="L171" s="29">
        <v>0.31464378500000001</v>
      </c>
      <c r="M171" s="16">
        <v>-22.5</v>
      </c>
      <c r="N171" s="39" t="e">
        <v>#N/A</v>
      </c>
      <c r="O171" s="39" t="e">
        <v>#N/A</v>
      </c>
      <c r="P171" s="39" t="e">
        <v>#N/A</v>
      </c>
      <c r="Q171" s="39" t="e">
        <v>#N/A</v>
      </c>
      <c r="R171" s="15">
        <v>1606003200</v>
      </c>
      <c r="S171" t="s">
        <v>23</v>
      </c>
    </row>
    <row r="172" spans="1:19" ht="16" x14ac:dyDescent="0.2">
      <c r="A172" s="27" t="s">
        <v>210</v>
      </c>
      <c r="B172" s="16">
        <v>4.4999999999999998E-2</v>
      </c>
      <c r="C172" s="16">
        <v>5.7</v>
      </c>
      <c r="D172" s="28">
        <v>1.6534637590000001</v>
      </c>
      <c r="E172" s="30">
        <v>206915.6103</v>
      </c>
      <c r="F172" s="30">
        <v>367492.70419999998</v>
      </c>
      <c r="G172" s="30" t="s">
        <v>21</v>
      </c>
      <c r="H172" s="30" t="s">
        <v>81</v>
      </c>
      <c r="I172" s="31">
        <v>50</v>
      </c>
      <c r="J172" s="28">
        <v>6.115191598</v>
      </c>
      <c r="K172" s="28">
        <v>1.5523512820000001</v>
      </c>
      <c r="L172" s="29">
        <v>0.22903939800000001</v>
      </c>
      <c r="M172" s="16">
        <v>-22.8</v>
      </c>
      <c r="N172" s="39" t="e">
        <v>#N/A</v>
      </c>
      <c r="O172" s="39" t="e">
        <v>#N/A</v>
      </c>
      <c r="P172" s="39" t="e">
        <v>#N/A</v>
      </c>
      <c r="Q172" s="39" t="e">
        <v>#N/A</v>
      </c>
      <c r="R172" s="15">
        <v>1606003200</v>
      </c>
      <c r="S172" t="s">
        <v>23</v>
      </c>
    </row>
    <row r="173" spans="1:19" ht="16" x14ac:dyDescent="0.2">
      <c r="A173" s="27" t="s">
        <v>211</v>
      </c>
      <c r="B173" s="16">
        <v>3.9E-2</v>
      </c>
      <c r="C173" s="16">
        <v>3.1</v>
      </c>
      <c r="D173" s="28">
        <v>1.368838558</v>
      </c>
      <c r="E173" s="30">
        <v>206915.6103</v>
      </c>
      <c r="F173" s="30">
        <v>367492.70419999998</v>
      </c>
      <c r="G173" s="30" t="s">
        <v>21</v>
      </c>
      <c r="H173" s="30" t="s">
        <v>81</v>
      </c>
      <c r="I173" s="31">
        <v>60</v>
      </c>
      <c r="J173" s="28">
        <v>0</v>
      </c>
      <c r="K173" s="28">
        <v>1.368838558</v>
      </c>
      <c r="L173" s="29">
        <v>0.14717201099999999</v>
      </c>
      <c r="M173" s="16">
        <v>-23.2</v>
      </c>
      <c r="N173" s="39" t="e">
        <v>#N/A</v>
      </c>
      <c r="O173" s="39" t="e">
        <v>#N/A</v>
      </c>
      <c r="P173" s="39" t="e">
        <v>#N/A</v>
      </c>
      <c r="Q173" s="39" t="e">
        <v>#N/A</v>
      </c>
      <c r="R173" s="15">
        <v>1606003200</v>
      </c>
      <c r="S173" t="s">
        <v>23</v>
      </c>
    </row>
    <row r="174" spans="1:19" ht="16" x14ac:dyDescent="0.2">
      <c r="A174" s="27" t="s">
        <v>212</v>
      </c>
      <c r="B174" s="16">
        <v>4.4999999999999998E-2</v>
      </c>
      <c r="C174" s="16">
        <v>2.6</v>
      </c>
      <c r="D174" s="28">
        <v>1.641433463</v>
      </c>
      <c r="E174" s="30">
        <v>206915.6103</v>
      </c>
      <c r="F174" s="30">
        <v>367492.70419999998</v>
      </c>
      <c r="G174" s="30" t="s">
        <v>21</v>
      </c>
      <c r="H174" s="30" t="s">
        <v>81</v>
      </c>
      <c r="I174" s="31">
        <v>70</v>
      </c>
      <c r="J174" s="28">
        <v>1.262316292</v>
      </c>
      <c r="K174" s="28">
        <v>1.6207133810000001</v>
      </c>
      <c r="L174" s="29">
        <v>0.14321737300000001</v>
      </c>
      <c r="M174" s="16">
        <v>-24.1</v>
      </c>
      <c r="N174" s="39" t="e">
        <v>#N/A</v>
      </c>
      <c r="O174" s="39" t="e">
        <v>#N/A</v>
      </c>
      <c r="P174" s="39" t="e">
        <v>#N/A</v>
      </c>
      <c r="Q174" s="39" t="e">
        <v>#N/A</v>
      </c>
      <c r="R174" s="15">
        <v>1606003200</v>
      </c>
      <c r="S174" t="s">
        <v>23</v>
      </c>
    </row>
    <row r="175" spans="1:19" ht="16" x14ac:dyDescent="0.2">
      <c r="A175" s="27" t="s">
        <v>213</v>
      </c>
      <c r="B175" s="16">
        <v>4.7E-2</v>
      </c>
      <c r="C175" s="16">
        <v>2.7</v>
      </c>
      <c r="D175" s="28">
        <v>1.4860506389999999</v>
      </c>
      <c r="E175" s="30">
        <v>206915.6103</v>
      </c>
      <c r="F175" s="30">
        <v>367492.70419999998</v>
      </c>
      <c r="G175" s="30" t="s">
        <v>21</v>
      </c>
      <c r="H175" s="30" t="s">
        <v>81</v>
      </c>
      <c r="I175" s="31">
        <v>80</v>
      </c>
      <c r="J175" s="28">
        <v>0</v>
      </c>
      <c r="K175" s="28">
        <v>1.4860506389999999</v>
      </c>
      <c r="L175" s="29">
        <v>0.12670730499999999</v>
      </c>
      <c r="M175" s="16">
        <v>-24.4</v>
      </c>
      <c r="N175" s="39" t="e">
        <v>#N/A</v>
      </c>
      <c r="O175" s="39" t="e">
        <v>#N/A</v>
      </c>
      <c r="P175" s="39" t="e">
        <v>#N/A</v>
      </c>
      <c r="Q175" s="39" t="e">
        <v>#N/A</v>
      </c>
      <c r="R175" s="15">
        <v>1606003200</v>
      </c>
      <c r="S175" t="s">
        <v>23</v>
      </c>
    </row>
    <row r="176" spans="1:19" ht="16" x14ac:dyDescent="0.2">
      <c r="A176" s="27" t="s">
        <v>214</v>
      </c>
      <c r="B176" s="16">
        <v>4.7E-2</v>
      </c>
      <c r="C176" s="16">
        <v>2.2999999999999998</v>
      </c>
      <c r="D176" s="28">
        <v>1.510681478</v>
      </c>
      <c r="E176" s="30">
        <v>206915.6103</v>
      </c>
      <c r="F176" s="30">
        <v>367492.70419999998</v>
      </c>
      <c r="G176" s="30" t="s">
        <v>21</v>
      </c>
      <c r="H176" s="30" t="s">
        <v>81</v>
      </c>
      <c r="I176" s="31">
        <v>90</v>
      </c>
      <c r="J176" s="28">
        <v>0</v>
      </c>
      <c r="K176" s="28">
        <v>1.510681478</v>
      </c>
      <c r="L176" s="29">
        <v>0.11788053800000001</v>
      </c>
      <c r="M176" s="16">
        <v>-24.6</v>
      </c>
      <c r="N176" s="39" t="e">
        <v>#N/A</v>
      </c>
      <c r="O176" s="39" t="e">
        <v>#N/A</v>
      </c>
      <c r="P176" s="39" t="e">
        <v>#N/A</v>
      </c>
      <c r="Q176" s="39" t="e">
        <v>#N/A</v>
      </c>
      <c r="R176" s="15">
        <v>1606003200</v>
      </c>
      <c r="S176" t="s">
        <v>23</v>
      </c>
    </row>
    <row r="177" spans="1:19" ht="16" x14ac:dyDescent="0.2">
      <c r="A177" s="27" t="s">
        <v>215</v>
      </c>
      <c r="B177" s="16">
        <v>4.7E-2</v>
      </c>
      <c r="C177" s="16">
        <v>2.1</v>
      </c>
      <c r="D177" s="28">
        <v>1.3622280309999999</v>
      </c>
      <c r="E177" s="30">
        <v>206915.6103</v>
      </c>
      <c r="F177" s="30">
        <v>367492.70419999998</v>
      </c>
      <c r="G177" s="30" t="s">
        <v>21</v>
      </c>
      <c r="H177" s="30" t="s">
        <v>81</v>
      </c>
      <c r="I177" s="31">
        <v>100</v>
      </c>
      <c r="J177" s="28">
        <v>0</v>
      </c>
      <c r="K177" s="28">
        <v>1.3622280309999999</v>
      </c>
      <c r="L177" s="29">
        <v>0.114705026</v>
      </c>
      <c r="M177" s="16">
        <v>-25.7</v>
      </c>
      <c r="N177" s="39" t="e">
        <v>#N/A</v>
      </c>
      <c r="O177" s="39" t="e">
        <v>#N/A</v>
      </c>
      <c r="P177" s="39" t="e">
        <v>#N/A</v>
      </c>
      <c r="Q177" s="39" t="e">
        <v>#N/A</v>
      </c>
      <c r="R177" s="15">
        <v>1606003200</v>
      </c>
      <c r="S177" t="s">
        <v>23</v>
      </c>
    </row>
    <row r="178" spans="1:19" ht="16" x14ac:dyDescent="0.2">
      <c r="A178" s="27" t="s">
        <v>216</v>
      </c>
      <c r="B178" s="16">
        <v>4.8000000000000001E-2</v>
      </c>
      <c r="C178" s="16">
        <v>1.6</v>
      </c>
      <c r="D178" s="28">
        <v>1.4293405960000001</v>
      </c>
      <c r="E178" s="30">
        <v>206915.6103</v>
      </c>
      <c r="F178" s="30">
        <v>367492.70419999998</v>
      </c>
      <c r="G178" s="30" t="s">
        <v>21</v>
      </c>
      <c r="H178" s="30" t="s">
        <v>81</v>
      </c>
      <c r="I178" s="31">
        <v>110</v>
      </c>
      <c r="J178" s="28">
        <v>0</v>
      </c>
      <c r="K178" s="28">
        <v>1.4293405960000001</v>
      </c>
      <c r="L178" s="29">
        <v>0.13117405400000001</v>
      </c>
      <c r="M178" s="16">
        <v>-25.2</v>
      </c>
      <c r="N178" s="39" t="e">
        <v>#N/A</v>
      </c>
      <c r="O178" s="39" t="e">
        <v>#N/A</v>
      </c>
      <c r="P178" s="39" t="e">
        <v>#N/A</v>
      </c>
      <c r="Q178" s="39" t="e">
        <v>#N/A</v>
      </c>
      <c r="R178" s="15">
        <v>1606003200</v>
      </c>
      <c r="S178" t="s">
        <v>23</v>
      </c>
    </row>
    <row r="179" spans="1:19" ht="16" x14ac:dyDescent="0.2">
      <c r="A179" s="27" t="s">
        <v>217</v>
      </c>
      <c r="B179" s="16">
        <v>6.0999999999999999E-2</v>
      </c>
      <c r="C179" s="16">
        <v>1.8</v>
      </c>
      <c r="D179" s="28">
        <v>0.989365194</v>
      </c>
      <c r="E179" s="30">
        <v>206915.6103</v>
      </c>
      <c r="F179" s="30">
        <v>367492.70419999998</v>
      </c>
      <c r="G179" s="30" t="s">
        <v>21</v>
      </c>
      <c r="H179" s="30" t="s">
        <v>81</v>
      </c>
      <c r="I179" s="31">
        <v>120</v>
      </c>
      <c r="J179" s="28">
        <v>0</v>
      </c>
      <c r="K179" s="28">
        <v>0.989365194</v>
      </c>
      <c r="L179" s="29">
        <v>0.15579957899999999</v>
      </c>
      <c r="M179" s="16">
        <v>-25.1</v>
      </c>
      <c r="N179" s="39" t="e">
        <v>#N/A</v>
      </c>
      <c r="O179" s="39" t="e">
        <v>#N/A</v>
      </c>
      <c r="P179" s="39" t="e">
        <v>#N/A</v>
      </c>
      <c r="Q179" s="39" t="e">
        <v>#N/A</v>
      </c>
      <c r="R179" s="15">
        <v>1606003200</v>
      </c>
      <c r="S179" t="s">
        <v>23</v>
      </c>
    </row>
    <row r="180" spans="1:19" ht="16" x14ac:dyDescent="0.2">
      <c r="A180" s="27" t="s">
        <v>218</v>
      </c>
      <c r="B180" s="16">
        <v>0.26</v>
      </c>
      <c r="C180" s="16">
        <v>7</v>
      </c>
      <c r="D180" s="28">
        <v>1.071487096</v>
      </c>
      <c r="E180" s="30">
        <v>207137.93659999999</v>
      </c>
      <c r="F180" s="30">
        <v>366992.40720000002</v>
      </c>
      <c r="G180" s="30" t="s">
        <v>219</v>
      </c>
      <c r="H180" s="30" t="s">
        <v>43</v>
      </c>
      <c r="I180" s="31">
        <v>10</v>
      </c>
      <c r="J180" s="28">
        <v>1.214715985</v>
      </c>
      <c r="K180" s="28">
        <v>1.0584715710000001</v>
      </c>
      <c r="L180" s="29">
        <v>2.611895418</v>
      </c>
      <c r="M180" s="16">
        <v>-26.3</v>
      </c>
      <c r="N180" s="39" t="e">
        <v>#N/A</v>
      </c>
      <c r="O180" s="39" t="e">
        <v>#N/A</v>
      </c>
      <c r="P180" s="39" t="e">
        <v>#N/A</v>
      </c>
      <c r="Q180" s="39" t="e">
        <v>#N/A</v>
      </c>
      <c r="R180" s="15">
        <v>1606003200</v>
      </c>
      <c r="S180" t="s">
        <v>23</v>
      </c>
    </row>
    <row r="181" spans="1:19" ht="16" x14ac:dyDescent="0.2">
      <c r="A181" s="27" t="s">
        <v>220</v>
      </c>
      <c r="B181" s="16">
        <v>0.15</v>
      </c>
      <c r="C181" s="16">
        <v>8</v>
      </c>
      <c r="D181" s="28">
        <v>1.403857044</v>
      </c>
      <c r="E181" s="30">
        <v>207137.93659999999</v>
      </c>
      <c r="F181" s="30">
        <v>366992.40720000002</v>
      </c>
      <c r="G181" s="30" t="s">
        <v>219</v>
      </c>
      <c r="H181" s="30" t="s">
        <v>43</v>
      </c>
      <c r="I181" s="31">
        <v>20</v>
      </c>
      <c r="J181" s="28">
        <v>0.107061091</v>
      </c>
      <c r="K181" s="28">
        <v>1.40235406</v>
      </c>
      <c r="L181" s="29">
        <v>1.307325581</v>
      </c>
      <c r="M181" s="16">
        <v>-24.5</v>
      </c>
      <c r="N181" s="39" t="e">
        <v>#N/A</v>
      </c>
      <c r="O181" s="39" t="e">
        <v>#N/A</v>
      </c>
      <c r="P181" s="39" t="e">
        <v>#N/A</v>
      </c>
      <c r="Q181" s="39" t="e">
        <v>#N/A</v>
      </c>
      <c r="R181" s="15">
        <v>1606003200</v>
      </c>
      <c r="S181" t="s">
        <v>23</v>
      </c>
    </row>
    <row r="182" spans="1:19" ht="16" x14ac:dyDescent="0.2">
      <c r="A182" s="27" t="s">
        <v>221</v>
      </c>
      <c r="B182" s="16">
        <v>9.1999999999999998E-2</v>
      </c>
      <c r="C182" s="16">
        <v>6.9</v>
      </c>
      <c r="D182" s="28">
        <v>1.324293854</v>
      </c>
      <c r="E182" s="30">
        <v>207137.93659999999</v>
      </c>
      <c r="F182" s="30">
        <v>366992.40720000002</v>
      </c>
      <c r="G182" s="30" t="s">
        <v>219</v>
      </c>
      <c r="H182" s="30" t="s">
        <v>43</v>
      </c>
      <c r="I182" s="31">
        <v>30</v>
      </c>
      <c r="J182" s="28">
        <v>0.32495917400000002</v>
      </c>
      <c r="K182" s="28">
        <v>1.31999044</v>
      </c>
      <c r="L182" s="29">
        <v>0.58483928100000004</v>
      </c>
      <c r="M182" s="16">
        <v>-24.6</v>
      </c>
      <c r="N182" s="39" t="e">
        <v>#N/A</v>
      </c>
      <c r="O182" s="39" t="e">
        <v>#N/A</v>
      </c>
      <c r="P182" s="39" t="e">
        <v>#N/A</v>
      </c>
      <c r="Q182" s="39" t="e">
        <v>#N/A</v>
      </c>
      <c r="R182" s="15">
        <v>1606003200</v>
      </c>
      <c r="S182" t="s">
        <v>23</v>
      </c>
    </row>
    <row r="183" spans="1:19" ht="16" x14ac:dyDescent="0.2">
      <c r="A183" s="27" t="s">
        <v>222</v>
      </c>
      <c r="B183" s="16">
        <v>7.2999999999999995E-2</v>
      </c>
      <c r="C183" s="16">
        <v>4.9000000000000004</v>
      </c>
      <c r="D183" s="28">
        <v>1.1224820950000001</v>
      </c>
      <c r="E183" s="30">
        <v>207137.93659999999</v>
      </c>
      <c r="F183" s="30">
        <v>366992.40720000002</v>
      </c>
      <c r="G183" s="30" t="s">
        <v>219</v>
      </c>
      <c r="H183" s="30" t="s">
        <v>43</v>
      </c>
      <c r="I183" s="31">
        <v>40</v>
      </c>
      <c r="J183" s="28">
        <v>0.14000527099999999</v>
      </c>
      <c r="K183" s="28">
        <v>1.1209105610000001</v>
      </c>
      <c r="L183" s="29">
        <v>0.26705919</v>
      </c>
      <c r="M183" s="16">
        <v>-25.1</v>
      </c>
      <c r="N183" s="39" t="e">
        <v>#N/A</v>
      </c>
      <c r="O183" s="39" t="e">
        <v>#N/A</v>
      </c>
      <c r="P183" s="39" t="e">
        <v>#N/A</v>
      </c>
      <c r="Q183" s="39" t="e">
        <v>#N/A</v>
      </c>
      <c r="R183" s="15">
        <v>1606003200</v>
      </c>
      <c r="S183" t="s">
        <v>23</v>
      </c>
    </row>
    <row r="184" spans="1:19" ht="16" x14ac:dyDescent="0.2">
      <c r="A184" s="27" t="s">
        <v>223</v>
      </c>
      <c r="B184" s="16">
        <v>7.9000000000000001E-2</v>
      </c>
      <c r="C184" s="16">
        <v>4.4000000000000004</v>
      </c>
      <c r="D184" s="28">
        <v>1.555750446</v>
      </c>
      <c r="E184" s="30">
        <v>207137.93659999999</v>
      </c>
      <c r="F184" s="30">
        <v>366992.40720000002</v>
      </c>
      <c r="G184" s="30" t="s">
        <v>219</v>
      </c>
      <c r="H184" s="30" t="s">
        <v>43</v>
      </c>
      <c r="I184" s="31">
        <v>50</v>
      </c>
      <c r="J184" s="28">
        <v>3.9675323999999998E-2</v>
      </c>
      <c r="K184" s="28">
        <v>1.555133197</v>
      </c>
      <c r="L184" s="29">
        <v>0.23591329</v>
      </c>
      <c r="M184" s="16">
        <v>-26</v>
      </c>
      <c r="N184" s="39" t="e">
        <v>#N/A</v>
      </c>
      <c r="O184" s="39" t="e">
        <v>#N/A</v>
      </c>
      <c r="P184" s="39" t="e">
        <v>#N/A</v>
      </c>
      <c r="Q184" s="39" t="e">
        <v>#N/A</v>
      </c>
      <c r="R184" s="15">
        <v>1606003200</v>
      </c>
      <c r="S184" t="s">
        <v>23</v>
      </c>
    </row>
    <row r="185" spans="1:19" ht="16" x14ac:dyDescent="0.2">
      <c r="A185" s="27" t="s">
        <v>224</v>
      </c>
      <c r="B185" s="16">
        <v>8.6999999999999994E-2</v>
      </c>
      <c r="C185" s="16">
        <v>3.8</v>
      </c>
      <c r="D185" s="28">
        <v>1.401058219</v>
      </c>
      <c r="E185" s="30">
        <v>207137.93659999999</v>
      </c>
      <c r="F185" s="30">
        <v>366992.40720000002</v>
      </c>
      <c r="G185" s="30" t="s">
        <v>219</v>
      </c>
      <c r="H185" s="30" t="s">
        <v>43</v>
      </c>
      <c r="I185" s="31">
        <v>60</v>
      </c>
      <c r="J185" s="28">
        <v>0</v>
      </c>
      <c r="K185" s="28">
        <v>1.401058219</v>
      </c>
      <c r="L185" s="29">
        <v>0.21294057699999999</v>
      </c>
      <c r="M185" s="16">
        <v>-26.2</v>
      </c>
      <c r="N185" s="39" t="e">
        <v>#N/A</v>
      </c>
      <c r="O185" s="39" t="e">
        <v>#N/A</v>
      </c>
      <c r="P185" s="39" t="e">
        <v>#N/A</v>
      </c>
      <c r="Q185" s="39" t="e">
        <v>#N/A</v>
      </c>
      <c r="R185" s="15">
        <v>1606003200</v>
      </c>
      <c r="S185" t="s">
        <v>23</v>
      </c>
    </row>
    <row r="186" spans="1:19" ht="16" x14ac:dyDescent="0.2">
      <c r="A186" s="27" t="s">
        <v>225</v>
      </c>
      <c r="B186" s="16">
        <v>8.3500000000000005E-2</v>
      </c>
      <c r="C186" s="16">
        <v>2.25</v>
      </c>
      <c r="D186" s="28">
        <v>1.5298801790000001</v>
      </c>
      <c r="E186" s="30">
        <v>207137.93659999999</v>
      </c>
      <c r="F186" s="30">
        <v>366992.40720000002</v>
      </c>
      <c r="G186" s="30" t="s">
        <v>219</v>
      </c>
      <c r="H186" s="30" t="s">
        <v>43</v>
      </c>
      <c r="I186" s="31">
        <v>70</v>
      </c>
      <c r="J186" s="28">
        <v>0</v>
      </c>
      <c r="K186" s="28">
        <v>1.5298801790000001</v>
      </c>
      <c r="L186" s="29">
        <v>0.149912666</v>
      </c>
      <c r="M186" s="16">
        <v>-25.25</v>
      </c>
      <c r="N186" s="39" t="e">
        <v>#N/A</v>
      </c>
      <c r="O186" s="39" t="e">
        <v>#N/A</v>
      </c>
      <c r="P186" s="39" t="e">
        <v>#N/A</v>
      </c>
      <c r="Q186" s="39" t="e">
        <v>#N/A</v>
      </c>
      <c r="R186" s="15">
        <v>1606003200</v>
      </c>
      <c r="S186" t="s">
        <v>23</v>
      </c>
    </row>
    <row r="187" spans="1:19" ht="16" x14ac:dyDescent="0.2">
      <c r="A187" s="27" t="s">
        <v>226</v>
      </c>
      <c r="B187" s="16">
        <v>8.6999999999999994E-2</v>
      </c>
      <c r="C187" s="16">
        <v>2.6</v>
      </c>
      <c r="D187" s="28">
        <v>1.377531488</v>
      </c>
      <c r="E187" s="30">
        <v>207137.93659999999</v>
      </c>
      <c r="F187" s="30">
        <v>366992.40720000002</v>
      </c>
      <c r="G187" s="30" t="s">
        <v>219</v>
      </c>
      <c r="H187" s="30" t="s">
        <v>43</v>
      </c>
      <c r="I187" s="31">
        <v>80</v>
      </c>
      <c r="J187" s="28">
        <v>0</v>
      </c>
      <c r="K187" s="28">
        <v>1.377531488</v>
      </c>
      <c r="L187" s="29">
        <v>0.19501564499999999</v>
      </c>
      <c r="M187" s="16">
        <v>-26.3</v>
      </c>
      <c r="N187" s="39" t="e">
        <v>#N/A</v>
      </c>
      <c r="O187" s="39" t="e">
        <v>#N/A</v>
      </c>
      <c r="P187" s="39" t="e">
        <v>#N/A</v>
      </c>
      <c r="Q187" s="39" t="e">
        <v>#N/A</v>
      </c>
      <c r="R187" s="15">
        <v>1606003200</v>
      </c>
      <c r="S187" t="s">
        <v>23</v>
      </c>
    </row>
    <row r="188" spans="1:19" ht="16" x14ac:dyDescent="0.2">
      <c r="A188" s="27" t="s">
        <v>227</v>
      </c>
      <c r="B188" s="16">
        <v>8.3000000000000004E-2</v>
      </c>
      <c r="C188" s="16">
        <v>2.2000000000000002</v>
      </c>
      <c r="D188" s="28">
        <v>1.355668724</v>
      </c>
      <c r="E188" s="30">
        <v>207137.93659999999</v>
      </c>
      <c r="F188" s="30">
        <v>366992.40720000002</v>
      </c>
      <c r="G188" s="30" t="s">
        <v>219</v>
      </c>
      <c r="H188" s="30" t="s">
        <v>43</v>
      </c>
      <c r="I188" s="31">
        <v>90</v>
      </c>
      <c r="J188" s="28">
        <v>0</v>
      </c>
      <c r="K188" s="28">
        <v>1.355668724</v>
      </c>
      <c r="L188" s="29">
        <v>0.25502597999999999</v>
      </c>
      <c r="M188" s="16">
        <v>-15.6</v>
      </c>
      <c r="N188" s="39" t="e">
        <v>#N/A</v>
      </c>
      <c r="O188" s="39" t="e">
        <v>#N/A</v>
      </c>
      <c r="P188" s="39" t="e">
        <v>#N/A</v>
      </c>
      <c r="Q188" s="39" t="e">
        <v>#N/A</v>
      </c>
      <c r="R188" s="15">
        <v>1606003200</v>
      </c>
      <c r="S188" t="s">
        <v>23</v>
      </c>
    </row>
    <row r="189" spans="1:19" ht="16" x14ac:dyDescent="0.2">
      <c r="A189" s="27" t="s">
        <v>228</v>
      </c>
      <c r="B189" s="16">
        <v>7.6999999999999999E-2</v>
      </c>
      <c r="C189" s="16">
        <v>1.8</v>
      </c>
      <c r="D189" s="28">
        <v>1.3422317079999999</v>
      </c>
      <c r="E189" s="30">
        <v>207137.93659999999</v>
      </c>
      <c r="F189" s="30">
        <v>366992.40720000002</v>
      </c>
      <c r="G189" s="30" t="s">
        <v>219</v>
      </c>
      <c r="H189" s="30" t="s">
        <v>43</v>
      </c>
      <c r="I189" s="31">
        <v>100</v>
      </c>
      <c r="J189" s="28">
        <v>0</v>
      </c>
      <c r="K189" s="28">
        <v>1.3422317079999999</v>
      </c>
      <c r="L189" s="29">
        <v>0.30319834400000001</v>
      </c>
      <c r="M189" s="16">
        <v>-13.4</v>
      </c>
      <c r="N189" s="39" t="e">
        <v>#N/A</v>
      </c>
      <c r="O189" s="39" t="e">
        <v>#N/A</v>
      </c>
      <c r="P189" s="39" t="e">
        <v>#N/A</v>
      </c>
      <c r="Q189" s="39" t="e">
        <v>#N/A</v>
      </c>
      <c r="R189" s="15">
        <v>1606003200</v>
      </c>
      <c r="S189" t="s">
        <v>23</v>
      </c>
    </row>
    <row r="190" spans="1:19" ht="16" x14ac:dyDescent="0.2">
      <c r="A190" s="27" t="s">
        <v>229</v>
      </c>
      <c r="B190" s="16">
        <v>7.0999999999999994E-2</v>
      </c>
      <c r="C190" s="16">
        <v>2</v>
      </c>
      <c r="D190" s="28">
        <v>1.270411838</v>
      </c>
      <c r="E190" s="30">
        <v>207137.93659999999</v>
      </c>
      <c r="F190" s="30">
        <v>366992.40720000002</v>
      </c>
      <c r="G190" s="30" t="s">
        <v>219</v>
      </c>
      <c r="H190" s="30" t="s">
        <v>43</v>
      </c>
      <c r="I190" s="31">
        <v>110</v>
      </c>
      <c r="J190" s="28">
        <v>0.119685866</v>
      </c>
      <c r="K190" s="28">
        <v>1.2688913340000001</v>
      </c>
      <c r="L190" s="29">
        <v>0.421148723</v>
      </c>
      <c r="M190" s="16">
        <v>-14.1</v>
      </c>
      <c r="N190" s="39" t="e">
        <v>#N/A</v>
      </c>
      <c r="O190" s="39" t="e">
        <v>#N/A</v>
      </c>
      <c r="P190" s="39" t="e">
        <v>#N/A</v>
      </c>
      <c r="Q190" s="39" t="e">
        <v>#N/A</v>
      </c>
      <c r="R190" s="15">
        <v>1606003200</v>
      </c>
      <c r="S190" t="s">
        <v>23</v>
      </c>
    </row>
    <row r="191" spans="1:19" ht="16" x14ac:dyDescent="0.2">
      <c r="A191" s="27" t="s">
        <v>230</v>
      </c>
      <c r="B191" s="16">
        <v>7.0999999999999994E-2</v>
      </c>
      <c r="C191" s="16">
        <v>1.3</v>
      </c>
      <c r="D191" s="28">
        <v>1.2536318339999999</v>
      </c>
      <c r="E191" s="30">
        <v>207137.93659999999</v>
      </c>
      <c r="F191" s="30">
        <v>366992.40720000002</v>
      </c>
      <c r="G191" s="30" t="s">
        <v>219</v>
      </c>
      <c r="H191" s="30" t="s">
        <v>43</v>
      </c>
      <c r="I191" s="31">
        <v>119.5</v>
      </c>
      <c r="J191" s="28">
        <v>0.85537700900000002</v>
      </c>
      <c r="K191" s="28">
        <v>1.2429085550000001</v>
      </c>
      <c r="L191" s="29">
        <v>0.91145154900000003</v>
      </c>
      <c r="M191" s="16">
        <v>-11.2</v>
      </c>
      <c r="N191" s="39" t="e">
        <v>#N/A</v>
      </c>
      <c r="O191" s="39" t="e">
        <v>#N/A</v>
      </c>
      <c r="P191" s="39" t="e">
        <v>#N/A</v>
      </c>
      <c r="Q191" s="39" t="e">
        <v>#N/A</v>
      </c>
      <c r="R191" s="15">
        <v>1606003200</v>
      </c>
      <c r="S191" t="s">
        <v>23</v>
      </c>
    </row>
    <row r="192" spans="1:19" ht="16" x14ac:dyDescent="0.2">
      <c r="A192" s="27" t="s">
        <v>231</v>
      </c>
      <c r="B192" s="16">
        <v>0.25</v>
      </c>
      <c r="C192" s="16">
        <v>5.7</v>
      </c>
      <c r="D192" s="28">
        <v>0.97787524000000003</v>
      </c>
      <c r="E192" s="30">
        <v>207130.14240000001</v>
      </c>
      <c r="F192" s="30">
        <v>367004.34450000001</v>
      </c>
      <c r="G192" s="30" t="s">
        <v>219</v>
      </c>
      <c r="H192" s="30" t="s">
        <v>68</v>
      </c>
      <c r="I192" s="31">
        <v>10</v>
      </c>
      <c r="J192" s="28">
        <v>7.0776067999999998E-2</v>
      </c>
      <c r="K192" s="28">
        <v>0.97718313899999998</v>
      </c>
      <c r="L192" s="29">
        <v>2.4060760750000001</v>
      </c>
      <c r="M192" s="16">
        <v>-27.1</v>
      </c>
      <c r="N192" s="39" t="e">
        <v>#N/A</v>
      </c>
      <c r="O192" s="39" t="e">
        <v>#N/A</v>
      </c>
      <c r="P192" s="39" t="e">
        <v>#N/A</v>
      </c>
      <c r="Q192" s="39" t="e">
        <v>#N/A</v>
      </c>
      <c r="R192" s="15">
        <v>1606003200</v>
      </c>
      <c r="S192" t="s">
        <v>23</v>
      </c>
    </row>
    <row r="193" spans="1:19" ht="16" x14ac:dyDescent="0.2">
      <c r="A193" s="27" t="s">
        <v>232</v>
      </c>
      <c r="B193" s="16">
        <v>0.16</v>
      </c>
      <c r="C193" s="16">
        <v>7.7</v>
      </c>
      <c r="D193" s="28">
        <v>1.1149136230000001</v>
      </c>
      <c r="E193" s="30">
        <v>207130.14240000001</v>
      </c>
      <c r="F193" s="30">
        <v>367004.34450000001</v>
      </c>
      <c r="G193" s="30" t="s">
        <v>219</v>
      </c>
      <c r="H193" s="30" t="s">
        <v>68</v>
      </c>
      <c r="I193" s="31">
        <v>20</v>
      </c>
      <c r="J193" s="28">
        <v>8.7009341000000004E-2</v>
      </c>
      <c r="K193" s="28">
        <v>1.1139435440000001</v>
      </c>
      <c r="L193" s="29">
        <v>1.2689387990000001</v>
      </c>
      <c r="M193" s="16">
        <v>-24.9</v>
      </c>
      <c r="N193" s="39" t="e">
        <v>#N/A</v>
      </c>
      <c r="O193" s="39" t="e">
        <v>#N/A</v>
      </c>
      <c r="P193" s="39" t="e">
        <v>#N/A</v>
      </c>
      <c r="Q193" s="39" t="e">
        <v>#N/A</v>
      </c>
      <c r="R193" s="15">
        <v>1606003200</v>
      </c>
      <c r="S193" t="s">
        <v>23</v>
      </c>
    </row>
    <row r="194" spans="1:19" ht="16" x14ac:dyDescent="0.2">
      <c r="A194" s="27" t="s">
        <v>233</v>
      </c>
      <c r="B194" s="16">
        <v>0.11</v>
      </c>
      <c r="C194" s="16">
        <v>6.65</v>
      </c>
      <c r="D194" s="28">
        <v>1.319328286</v>
      </c>
      <c r="E194" s="30">
        <v>207130.14240000001</v>
      </c>
      <c r="F194" s="30">
        <v>367004.34450000001</v>
      </c>
      <c r="G194" s="30" t="s">
        <v>219</v>
      </c>
      <c r="H194" s="30" t="s">
        <v>68</v>
      </c>
      <c r="I194" s="31">
        <v>30</v>
      </c>
      <c r="J194" s="28">
        <v>0.10572396100000001</v>
      </c>
      <c r="K194" s="28">
        <v>1.31793344</v>
      </c>
      <c r="L194" s="29">
        <v>0.76540328099999999</v>
      </c>
      <c r="M194" s="16">
        <v>-25.25</v>
      </c>
      <c r="N194" s="39" t="e">
        <v>#N/A</v>
      </c>
      <c r="O194" s="39" t="e">
        <v>#N/A</v>
      </c>
      <c r="P194" s="39" t="e">
        <v>#N/A</v>
      </c>
      <c r="Q194" s="39" t="e">
        <v>#N/A</v>
      </c>
      <c r="R194" s="15">
        <v>1606003200</v>
      </c>
      <c r="S194" t="s">
        <v>23</v>
      </c>
    </row>
    <row r="195" spans="1:19" ht="16" x14ac:dyDescent="0.2">
      <c r="A195" s="27" t="s">
        <v>234</v>
      </c>
      <c r="B195" s="16">
        <v>8.2000000000000003E-2</v>
      </c>
      <c r="C195" s="16">
        <v>4.2</v>
      </c>
      <c r="D195" s="28">
        <v>1.43470798</v>
      </c>
      <c r="E195" s="30">
        <v>207130.14240000001</v>
      </c>
      <c r="F195" s="30">
        <v>367004.34450000001</v>
      </c>
      <c r="G195" s="30" t="s">
        <v>219</v>
      </c>
      <c r="H195" s="30" t="s">
        <v>68</v>
      </c>
      <c r="I195" s="31">
        <v>40</v>
      </c>
      <c r="J195" s="28">
        <v>5.9976010000000003E-2</v>
      </c>
      <c r="K195" s="28">
        <v>1.4338474990000001</v>
      </c>
      <c r="L195" s="29">
        <v>0.35150939199999998</v>
      </c>
      <c r="M195" s="16">
        <v>-25.5</v>
      </c>
      <c r="N195" s="39" t="e">
        <v>#N/A</v>
      </c>
      <c r="O195" s="39" t="e">
        <v>#N/A</v>
      </c>
      <c r="P195" s="39" t="e">
        <v>#N/A</v>
      </c>
      <c r="Q195" s="39" t="e">
        <v>#N/A</v>
      </c>
      <c r="R195" s="15">
        <v>1606003200</v>
      </c>
      <c r="S195" t="s">
        <v>23</v>
      </c>
    </row>
    <row r="196" spans="1:19" ht="16" x14ac:dyDescent="0.2">
      <c r="A196" s="27" t="s">
        <v>235</v>
      </c>
      <c r="B196" s="16">
        <v>7.5999999999999998E-2</v>
      </c>
      <c r="C196" s="16">
        <v>3</v>
      </c>
      <c r="D196" s="28">
        <v>1.387204155</v>
      </c>
      <c r="E196" s="30">
        <v>207130.14240000001</v>
      </c>
      <c r="F196" s="30">
        <v>367004.34450000001</v>
      </c>
      <c r="G196" s="30" t="s">
        <v>219</v>
      </c>
      <c r="H196" s="30" t="s">
        <v>68</v>
      </c>
      <c r="I196" s="31">
        <v>50</v>
      </c>
      <c r="J196" s="28">
        <v>0</v>
      </c>
      <c r="K196" s="28">
        <v>1.387204155</v>
      </c>
      <c r="L196" s="29">
        <v>0.22110429100000001</v>
      </c>
      <c r="M196" s="16">
        <v>-25.4</v>
      </c>
      <c r="N196" s="39" t="e">
        <v>#N/A</v>
      </c>
      <c r="O196" s="39" t="e">
        <v>#N/A</v>
      </c>
      <c r="P196" s="39" t="e">
        <v>#N/A</v>
      </c>
      <c r="Q196" s="39" t="e">
        <v>#N/A</v>
      </c>
      <c r="R196" s="15">
        <v>1606003200</v>
      </c>
      <c r="S196" t="s">
        <v>23</v>
      </c>
    </row>
    <row r="197" spans="1:19" ht="16" x14ac:dyDescent="0.2">
      <c r="A197" s="27" t="s">
        <v>236</v>
      </c>
      <c r="B197" s="16">
        <v>6.9000000000000006E-2</v>
      </c>
      <c r="C197" s="16">
        <v>2.8</v>
      </c>
      <c r="D197" s="28">
        <v>1.508459655</v>
      </c>
      <c r="E197" s="30">
        <v>207130.14240000001</v>
      </c>
      <c r="F197" s="30">
        <v>367004.34450000001</v>
      </c>
      <c r="G197" s="30" t="s">
        <v>219</v>
      </c>
      <c r="H197" s="30" t="s">
        <v>68</v>
      </c>
      <c r="I197" s="31">
        <v>60</v>
      </c>
      <c r="J197" s="28">
        <v>0</v>
      </c>
      <c r="K197" s="28">
        <v>1.508459655</v>
      </c>
      <c r="L197" s="29">
        <v>0.1780139</v>
      </c>
      <c r="M197" s="16">
        <v>-25.6</v>
      </c>
      <c r="N197" s="39" t="e">
        <v>#N/A</v>
      </c>
      <c r="O197" s="39" t="e">
        <v>#N/A</v>
      </c>
      <c r="P197" s="39" t="e">
        <v>#N/A</v>
      </c>
      <c r="Q197" s="39" t="e">
        <v>#N/A</v>
      </c>
      <c r="R197" s="15">
        <v>1606003200</v>
      </c>
      <c r="S197" t="s">
        <v>23</v>
      </c>
    </row>
    <row r="198" spans="1:19" ht="16" x14ac:dyDescent="0.2">
      <c r="A198" s="27" t="s">
        <v>237</v>
      </c>
      <c r="B198" s="16">
        <v>6.8000000000000005E-2</v>
      </c>
      <c r="C198" s="16">
        <v>2.2000000000000002</v>
      </c>
      <c r="D198" s="28">
        <v>1.6277448750000001</v>
      </c>
      <c r="E198" s="30">
        <v>207130.14240000001</v>
      </c>
      <c r="F198" s="30">
        <v>367004.34450000001</v>
      </c>
      <c r="G198" s="30" t="s">
        <v>219</v>
      </c>
      <c r="H198" s="30" t="s">
        <v>68</v>
      </c>
      <c r="I198" s="31">
        <v>70</v>
      </c>
      <c r="J198" s="28">
        <v>0</v>
      </c>
      <c r="K198" s="28">
        <v>1.6277448750000001</v>
      </c>
      <c r="L198" s="29">
        <v>0.160031175</v>
      </c>
      <c r="M198" s="16">
        <v>-25.9</v>
      </c>
      <c r="N198" s="39" t="e">
        <v>#N/A</v>
      </c>
      <c r="O198" s="39" t="e">
        <v>#N/A</v>
      </c>
      <c r="P198" s="39" t="e">
        <v>#N/A</v>
      </c>
      <c r="Q198" s="39" t="e">
        <v>#N/A</v>
      </c>
      <c r="R198" s="15">
        <v>1606003200</v>
      </c>
      <c r="S198" t="s">
        <v>23</v>
      </c>
    </row>
    <row r="199" spans="1:19" ht="16" x14ac:dyDescent="0.2">
      <c r="A199" s="27" t="s">
        <v>238</v>
      </c>
      <c r="B199" s="16">
        <v>5.0999999999999997E-2</v>
      </c>
      <c r="C199" s="16">
        <v>1.2</v>
      </c>
      <c r="D199" s="28">
        <v>1.3959401010000001</v>
      </c>
      <c r="E199" s="30">
        <v>207130.14240000001</v>
      </c>
      <c r="F199" s="30">
        <v>367004.34450000001</v>
      </c>
      <c r="G199" s="30" t="s">
        <v>219</v>
      </c>
      <c r="H199" s="30" t="s">
        <v>68</v>
      </c>
      <c r="I199" s="31">
        <v>80</v>
      </c>
      <c r="J199" s="28">
        <v>0</v>
      </c>
      <c r="K199" s="28">
        <v>1.3959401010000001</v>
      </c>
      <c r="L199" s="29">
        <v>0.116120184</v>
      </c>
      <c r="M199" s="16">
        <v>-25.8</v>
      </c>
      <c r="N199" s="39" t="e">
        <v>#N/A</v>
      </c>
      <c r="O199" s="39" t="e">
        <v>#N/A</v>
      </c>
      <c r="P199" s="39" t="e">
        <v>#N/A</v>
      </c>
      <c r="Q199" s="39" t="e">
        <v>#N/A</v>
      </c>
      <c r="R199" s="15">
        <v>1606003200</v>
      </c>
      <c r="S199" t="s">
        <v>23</v>
      </c>
    </row>
    <row r="200" spans="1:19" ht="16" x14ac:dyDescent="0.2">
      <c r="A200" s="27" t="s">
        <v>239</v>
      </c>
      <c r="B200" s="16">
        <v>5.2999999999999999E-2</v>
      </c>
      <c r="C200" s="16">
        <v>0.8</v>
      </c>
      <c r="D200" s="28">
        <v>1.29141895</v>
      </c>
      <c r="E200" s="30">
        <v>207130.14240000001</v>
      </c>
      <c r="F200" s="30">
        <v>367004.34450000001</v>
      </c>
      <c r="G200" s="30" t="s">
        <v>219</v>
      </c>
      <c r="H200" s="30" t="s">
        <v>68</v>
      </c>
      <c r="I200" s="31">
        <v>90</v>
      </c>
      <c r="J200" s="28">
        <v>0</v>
      </c>
      <c r="K200" s="28">
        <v>1.29141895</v>
      </c>
      <c r="L200" s="29">
        <v>9.9422905000000006E-2</v>
      </c>
      <c r="M200" s="16">
        <v>-26.8</v>
      </c>
      <c r="N200" s="39" t="e">
        <v>#N/A</v>
      </c>
      <c r="O200" s="39" t="e">
        <v>#N/A</v>
      </c>
      <c r="P200" s="39" t="e">
        <v>#N/A</v>
      </c>
      <c r="Q200" s="39" t="e">
        <v>#N/A</v>
      </c>
      <c r="R200" s="15">
        <v>1606003200</v>
      </c>
      <c r="S200" t="s">
        <v>23</v>
      </c>
    </row>
    <row r="201" spans="1:19" ht="16" x14ac:dyDescent="0.2">
      <c r="A201" s="27" t="s">
        <v>240</v>
      </c>
      <c r="B201" s="16">
        <v>7.4999999999999997E-2</v>
      </c>
      <c r="C201" s="16">
        <v>1.3</v>
      </c>
      <c r="D201" s="28">
        <v>1.3207640890000001</v>
      </c>
      <c r="E201" s="30">
        <v>207130.14240000001</v>
      </c>
      <c r="F201" s="30">
        <v>367004.34450000001</v>
      </c>
      <c r="G201" s="30" t="s">
        <v>219</v>
      </c>
      <c r="H201" s="30" t="s">
        <v>68</v>
      </c>
      <c r="I201" s="31">
        <v>100</v>
      </c>
      <c r="J201" s="28">
        <v>0</v>
      </c>
      <c r="K201" s="28">
        <v>1.3207640890000001</v>
      </c>
      <c r="L201" s="29">
        <v>9.6731842999999998E-2</v>
      </c>
      <c r="M201" s="16">
        <v>-25.4</v>
      </c>
      <c r="N201" s="39" t="e">
        <v>#N/A</v>
      </c>
      <c r="O201" s="39" t="e">
        <v>#N/A</v>
      </c>
      <c r="P201" s="39" t="e">
        <v>#N/A</v>
      </c>
      <c r="Q201" s="39" t="e">
        <v>#N/A</v>
      </c>
      <c r="R201" s="15">
        <v>1606003200</v>
      </c>
      <c r="S201" t="s">
        <v>23</v>
      </c>
    </row>
    <row r="202" spans="1:19" ht="16" x14ac:dyDescent="0.2">
      <c r="A202" s="27" t="s">
        <v>241</v>
      </c>
      <c r="B202" s="16">
        <v>5.0999999999999997E-2</v>
      </c>
      <c r="C202" s="16">
        <v>1.1000000000000001</v>
      </c>
      <c r="D202" s="28">
        <v>1.473879451</v>
      </c>
      <c r="E202" s="30">
        <v>207130.14240000001</v>
      </c>
      <c r="F202" s="30">
        <v>367004.34450000001</v>
      </c>
      <c r="G202" s="30" t="s">
        <v>219</v>
      </c>
      <c r="H202" s="30" t="s">
        <v>68</v>
      </c>
      <c r="I202" s="31">
        <v>110</v>
      </c>
      <c r="J202" s="28">
        <v>0</v>
      </c>
      <c r="K202" s="28">
        <v>1.473879451</v>
      </c>
      <c r="L202" s="29">
        <v>0.119686606</v>
      </c>
      <c r="M202" s="16">
        <v>-26.2</v>
      </c>
      <c r="N202" s="39" t="e">
        <v>#N/A</v>
      </c>
      <c r="O202" s="39" t="e">
        <v>#N/A</v>
      </c>
      <c r="P202" s="39" t="e">
        <v>#N/A</v>
      </c>
      <c r="Q202" s="39" t="e">
        <v>#N/A</v>
      </c>
      <c r="R202" s="15">
        <v>1606003200</v>
      </c>
      <c r="S202" t="s">
        <v>23</v>
      </c>
    </row>
    <row r="203" spans="1:19" ht="16" x14ac:dyDescent="0.2">
      <c r="A203" s="27" t="s">
        <v>242</v>
      </c>
      <c r="B203" s="16">
        <v>0.21</v>
      </c>
      <c r="C203" s="16">
        <v>6.1</v>
      </c>
      <c r="D203" s="28">
        <v>1.061577786</v>
      </c>
      <c r="E203" s="30">
        <v>207122.19270000001</v>
      </c>
      <c r="F203" s="30">
        <v>366992.35019999999</v>
      </c>
      <c r="G203" s="30" t="s">
        <v>219</v>
      </c>
      <c r="H203" s="30" t="s">
        <v>81</v>
      </c>
      <c r="I203" s="31">
        <v>10</v>
      </c>
      <c r="J203" s="28">
        <v>5.5962471999999999E-2</v>
      </c>
      <c r="K203" s="28">
        <v>1.0609837</v>
      </c>
      <c r="L203" s="29">
        <v>2.0104447680000002</v>
      </c>
      <c r="M203" s="16">
        <v>-27.5</v>
      </c>
      <c r="N203" s="39" t="e">
        <v>#N/A</v>
      </c>
      <c r="O203" s="39" t="e">
        <v>#N/A</v>
      </c>
      <c r="P203" s="39" t="e">
        <v>#N/A</v>
      </c>
      <c r="Q203" s="39" t="e">
        <v>#N/A</v>
      </c>
      <c r="R203" s="15">
        <v>1606003200</v>
      </c>
      <c r="S203" t="s">
        <v>23</v>
      </c>
    </row>
    <row r="204" spans="1:19" ht="16" x14ac:dyDescent="0.2">
      <c r="A204" s="27" t="s">
        <v>243</v>
      </c>
      <c r="B204" s="16">
        <v>0.13500000000000001</v>
      </c>
      <c r="C204" s="16">
        <v>7.2</v>
      </c>
      <c r="D204" s="28">
        <v>1.3026374089999999</v>
      </c>
      <c r="E204" s="30">
        <v>207122.19270000001</v>
      </c>
      <c r="F204" s="30">
        <v>366992.35019999999</v>
      </c>
      <c r="G204" s="30" t="s">
        <v>219</v>
      </c>
      <c r="H204" s="30" t="s">
        <v>81</v>
      </c>
      <c r="I204" s="31">
        <v>20</v>
      </c>
      <c r="J204" s="28">
        <v>0.58880610499999997</v>
      </c>
      <c r="K204" s="28">
        <v>1.2949674</v>
      </c>
      <c r="L204" s="29">
        <v>1.065527074</v>
      </c>
      <c r="M204" s="16">
        <v>-24.15</v>
      </c>
      <c r="N204" s="39" t="e">
        <v>#N/A</v>
      </c>
      <c r="O204" s="39" t="e">
        <v>#N/A</v>
      </c>
      <c r="P204" s="39" t="e">
        <v>#N/A</v>
      </c>
      <c r="Q204" s="39" t="e">
        <v>#N/A</v>
      </c>
      <c r="R204" s="15">
        <v>1606003200</v>
      </c>
      <c r="S204" t="s">
        <v>23</v>
      </c>
    </row>
    <row r="205" spans="1:19" ht="16" x14ac:dyDescent="0.2">
      <c r="A205" s="27" t="s">
        <v>244</v>
      </c>
      <c r="B205" s="16">
        <v>9.9000000000000005E-2</v>
      </c>
      <c r="C205" s="16">
        <v>6.1</v>
      </c>
      <c r="D205" s="28">
        <v>1.3736032410000001</v>
      </c>
      <c r="E205" s="30">
        <v>207122.19270000001</v>
      </c>
      <c r="F205" s="30">
        <v>366992.35019999999</v>
      </c>
      <c r="G205" s="30" t="s">
        <v>219</v>
      </c>
      <c r="H205" s="30" t="s">
        <v>81</v>
      </c>
      <c r="I205" s="31">
        <v>30</v>
      </c>
      <c r="J205" s="28">
        <v>6.0685583000000001E-2</v>
      </c>
      <c r="K205" s="28">
        <v>1.372769661</v>
      </c>
      <c r="L205" s="29">
        <v>0.71890369499999995</v>
      </c>
      <c r="M205" s="16">
        <v>-24.4</v>
      </c>
      <c r="N205" s="39" t="e">
        <v>#N/A</v>
      </c>
      <c r="O205" s="39" t="e">
        <v>#N/A</v>
      </c>
      <c r="P205" s="39" t="e">
        <v>#N/A</v>
      </c>
      <c r="Q205" s="39" t="e">
        <v>#N/A</v>
      </c>
      <c r="R205" s="15">
        <v>1606003200</v>
      </c>
      <c r="S205" t="s">
        <v>23</v>
      </c>
    </row>
    <row r="206" spans="1:19" ht="16" x14ac:dyDescent="0.2">
      <c r="A206" s="27" t="s">
        <v>245</v>
      </c>
      <c r="B206" s="16">
        <v>6.9000000000000006E-2</v>
      </c>
      <c r="C206" s="16">
        <v>3.3</v>
      </c>
      <c r="D206" s="28">
        <v>1.3444015819999999</v>
      </c>
      <c r="E206" s="30">
        <v>207122.19270000001</v>
      </c>
      <c r="F206" s="30">
        <v>366992.35019999999</v>
      </c>
      <c r="G206" s="30" t="s">
        <v>219</v>
      </c>
      <c r="H206" s="30" t="s">
        <v>81</v>
      </c>
      <c r="I206" s="31">
        <v>40</v>
      </c>
      <c r="J206" s="28">
        <v>0</v>
      </c>
      <c r="K206" s="28">
        <v>1.3444015819999999</v>
      </c>
      <c r="L206" s="29">
        <v>0.29701529199999999</v>
      </c>
      <c r="M206" s="16">
        <v>-24.5</v>
      </c>
      <c r="N206" s="39" t="e">
        <v>#N/A</v>
      </c>
      <c r="O206" s="39" t="e">
        <v>#N/A</v>
      </c>
      <c r="P206" s="39" t="e">
        <v>#N/A</v>
      </c>
      <c r="Q206" s="39" t="e">
        <v>#N/A</v>
      </c>
      <c r="R206" s="15">
        <v>1606003200</v>
      </c>
      <c r="S206" t="s">
        <v>23</v>
      </c>
    </row>
    <row r="207" spans="1:19" ht="16" x14ac:dyDescent="0.2">
      <c r="A207" s="27" t="s">
        <v>246</v>
      </c>
      <c r="B207" s="16">
        <v>6.6000000000000003E-2</v>
      </c>
      <c r="C207" s="16">
        <v>3.1</v>
      </c>
      <c r="D207" s="28">
        <v>1.47224402</v>
      </c>
      <c r="E207" s="30">
        <v>207122.19270000001</v>
      </c>
      <c r="F207" s="30">
        <v>366992.35019999999</v>
      </c>
      <c r="G207" s="30" t="s">
        <v>219</v>
      </c>
      <c r="H207" s="30" t="s">
        <v>81</v>
      </c>
      <c r="I207" s="31">
        <v>50</v>
      </c>
      <c r="J207" s="28">
        <v>0</v>
      </c>
      <c r="K207" s="28">
        <v>1.47224402</v>
      </c>
      <c r="L207" s="29">
        <v>0.24937416800000001</v>
      </c>
      <c r="M207" s="16">
        <v>-25.4</v>
      </c>
      <c r="N207" s="39" t="e">
        <v>#N/A</v>
      </c>
      <c r="O207" s="39" t="e">
        <v>#N/A</v>
      </c>
      <c r="P207" s="39" t="e">
        <v>#N/A</v>
      </c>
      <c r="Q207" s="39" t="e">
        <v>#N/A</v>
      </c>
      <c r="R207" s="15">
        <v>1606003200</v>
      </c>
      <c r="S207" t="s">
        <v>23</v>
      </c>
    </row>
    <row r="208" spans="1:19" ht="16" x14ac:dyDescent="0.2">
      <c r="A208" s="27" t="s">
        <v>247</v>
      </c>
      <c r="B208" s="16">
        <v>5.8999999999999997E-2</v>
      </c>
      <c r="C208" s="16">
        <v>2.9</v>
      </c>
      <c r="D208" s="28">
        <v>1.48252344</v>
      </c>
      <c r="E208" s="30">
        <v>207122.19270000001</v>
      </c>
      <c r="F208" s="30">
        <v>366992.35019999999</v>
      </c>
      <c r="G208" s="30" t="s">
        <v>219</v>
      </c>
      <c r="H208" s="30" t="s">
        <v>81</v>
      </c>
      <c r="I208" s="31">
        <v>60</v>
      </c>
      <c r="J208" s="28">
        <v>0</v>
      </c>
      <c r="K208" s="28">
        <v>1.48252344</v>
      </c>
      <c r="L208" s="29">
        <v>0.18305233600000001</v>
      </c>
      <c r="M208" s="16">
        <v>-25.1</v>
      </c>
      <c r="N208" s="39" t="e">
        <v>#N/A</v>
      </c>
      <c r="O208" s="39" t="e">
        <v>#N/A</v>
      </c>
      <c r="P208" s="39" t="e">
        <v>#N/A</v>
      </c>
      <c r="Q208" s="39" t="e">
        <v>#N/A</v>
      </c>
      <c r="R208" s="15">
        <v>1606003200</v>
      </c>
      <c r="S208" t="s">
        <v>23</v>
      </c>
    </row>
    <row r="209" spans="1:19" ht="16" x14ac:dyDescent="0.2">
      <c r="A209" s="27" t="s">
        <v>248</v>
      </c>
      <c r="B209" s="16">
        <v>5.3999999999999999E-2</v>
      </c>
      <c r="C209" s="16">
        <v>2</v>
      </c>
      <c r="D209" s="28">
        <v>1.429997902</v>
      </c>
      <c r="E209" s="30">
        <v>207122.19270000001</v>
      </c>
      <c r="F209" s="30">
        <v>366992.35019999999</v>
      </c>
      <c r="G209" s="30" t="s">
        <v>219</v>
      </c>
      <c r="H209" s="30" t="s">
        <v>81</v>
      </c>
      <c r="I209" s="31">
        <v>70</v>
      </c>
      <c r="J209" s="28">
        <v>0</v>
      </c>
      <c r="K209" s="28">
        <v>1.429997902</v>
      </c>
      <c r="L209" s="29">
        <v>0.121623339</v>
      </c>
      <c r="M209" s="16">
        <v>-26.4</v>
      </c>
      <c r="N209" s="39" t="e">
        <v>#N/A</v>
      </c>
      <c r="O209" s="39" t="e">
        <v>#N/A</v>
      </c>
      <c r="P209" s="39" t="e">
        <v>#N/A</v>
      </c>
      <c r="Q209" s="39" t="e">
        <v>#N/A</v>
      </c>
      <c r="R209" s="15">
        <v>1606003200</v>
      </c>
      <c r="S209" t="s">
        <v>23</v>
      </c>
    </row>
    <row r="210" spans="1:19" ht="16" x14ac:dyDescent="0.2">
      <c r="A210" s="27" t="s">
        <v>249</v>
      </c>
      <c r="B210" s="16">
        <v>5.7000000000000002E-2</v>
      </c>
      <c r="C210" s="16">
        <v>1</v>
      </c>
      <c r="D210" s="28">
        <v>1.4605851649999999</v>
      </c>
      <c r="E210" s="30">
        <v>207122.19270000001</v>
      </c>
      <c r="F210" s="30">
        <v>366992.35019999999</v>
      </c>
      <c r="G210" s="30" t="s">
        <v>219</v>
      </c>
      <c r="H210" s="30" t="s">
        <v>81</v>
      </c>
      <c r="I210" s="31">
        <v>80</v>
      </c>
      <c r="J210" s="28">
        <v>0</v>
      </c>
      <c r="K210" s="28">
        <v>1.4605851649999999</v>
      </c>
      <c r="L210" s="29">
        <v>8.8795077E-2</v>
      </c>
      <c r="M210" s="16">
        <v>-25.6</v>
      </c>
      <c r="N210" s="40" t="e">
        <v>#N/A</v>
      </c>
      <c r="O210" s="40" t="e">
        <v>#N/A</v>
      </c>
      <c r="P210" s="40" t="e">
        <v>#N/A</v>
      </c>
      <c r="Q210" s="40" t="e">
        <v>#N/A</v>
      </c>
      <c r="R210" s="15">
        <v>1606003200</v>
      </c>
      <c r="S210" t="s">
        <v>23</v>
      </c>
    </row>
    <row r="211" spans="1:19" ht="16" x14ac:dyDescent="0.2">
      <c r="A211" s="27" t="s">
        <v>250</v>
      </c>
      <c r="B211" s="16">
        <v>5.3999999999999999E-2</v>
      </c>
      <c r="C211" s="16">
        <v>1.5</v>
      </c>
      <c r="D211" s="28">
        <v>1.5163301950000001</v>
      </c>
      <c r="E211" s="30">
        <v>207122.19270000001</v>
      </c>
      <c r="F211" s="30">
        <v>366992.35019999999</v>
      </c>
      <c r="G211" s="30" t="s">
        <v>219</v>
      </c>
      <c r="H211" s="30" t="s">
        <v>81</v>
      </c>
      <c r="I211" s="31">
        <v>90</v>
      </c>
      <c r="J211" s="28">
        <v>0</v>
      </c>
      <c r="K211" s="28">
        <v>1.5163301950000001</v>
      </c>
      <c r="L211" s="29">
        <v>7.6721606999999997E-2</v>
      </c>
      <c r="M211" s="16">
        <v>-25.7</v>
      </c>
      <c r="N211" s="39" t="e">
        <v>#N/A</v>
      </c>
      <c r="O211" s="39" t="e">
        <v>#N/A</v>
      </c>
      <c r="P211" s="39" t="e">
        <v>#N/A</v>
      </c>
      <c r="Q211" s="39" t="e">
        <v>#N/A</v>
      </c>
      <c r="R211" s="15">
        <v>1606003200</v>
      </c>
      <c r="S211" t="s">
        <v>23</v>
      </c>
    </row>
    <row r="212" spans="1:19" ht="16" x14ac:dyDescent="0.2">
      <c r="A212" s="27" t="s">
        <v>251</v>
      </c>
      <c r="B212" s="16">
        <v>6.8000000000000005E-2</v>
      </c>
      <c r="C212" s="16">
        <v>1.1000000000000001</v>
      </c>
      <c r="D212" s="28">
        <v>1.303059682</v>
      </c>
      <c r="E212" s="30">
        <v>207122.19270000001</v>
      </c>
      <c r="F212" s="30">
        <v>366992.35019999999</v>
      </c>
      <c r="G212" s="30" t="s">
        <v>219</v>
      </c>
      <c r="H212" s="30" t="s">
        <v>81</v>
      </c>
      <c r="I212" s="31">
        <v>100</v>
      </c>
      <c r="J212" s="28">
        <v>0</v>
      </c>
      <c r="K212" s="28">
        <v>1.303059682</v>
      </c>
      <c r="L212" s="29">
        <v>0.100120812</v>
      </c>
      <c r="M212" s="16">
        <v>-19.600000000000001</v>
      </c>
      <c r="N212" s="39" t="e">
        <v>#N/A</v>
      </c>
      <c r="O212" s="39" t="e">
        <v>#N/A</v>
      </c>
      <c r="P212" s="39" t="e">
        <v>#N/A</v>
      </c>
      <c r="Q212" s="39" t="e">
        <v>#N/A</v>
      </c>
      <c r="R212" s="15">
        <v>1606003200</v>
      </c>
      <c r="S212" t="s">
        <v>23</v>
      </c>
    </row>
    <row r="213" spans="1:19" ht="16" x14ac:dyDescent="0.2">
      <c r="A213" s="27" t="s">
        <v>252</v>
      </c>
      <c r="B213" s="16">
        <v>7.4999999999999997E-2</v>
      </c>
      <c r="C213" s="16">
        <v>1.2</v>
      </c>
      <c r="D213" s="28">
        <v>1.1863932429999999</v>
      </c>
      <c r="E213" s="30">
        <v>207122.19270000001</v>
      </c>
      <c r="F213" s="30">
        <v>366992.35019999999</v>
      </c>
      <c r="G213" s="30" t="s">
        <v>219</v>
      </c>
      <c r="H213" s="30" t="s">
        <v>81</v>
      </c>
      <c r="I213" s="31">
        <v>110</v>
      </c>
      <c r="J213" s="28">
        <v>0</v>
      </c>
      <c r="K213" s="28">
        <v>1.1863932429999999</v>
      </c>
      <c r="L213" s="29">
        <v>0.21022726899999999</v>
      </c>
      <c r="M213" s="16">
        <v>-11.9</v>
      </c>
      <c r="N213" s="39" t="e">
        <v>#N/A</v>
      </c>
      <c r="O213" s="39" t="e">
        <v>#N/A</v>
      </c>
      <c r="P213" s="39" t="e">
        <v>#N/A</v>
      </c>
      <c r="Q213" s="39" t="e">
        <v>#N/A</v>
      </c>
      <c r="R213" s="15">
        <v>1606003200</v>
      </c>
      <c r="S213" t="s">
        <v>23</v>
      </c>
    </row>
    <row r="214" spans="1:19" ht="16" x14ac:dyDescent="0.2">
      <c r="A214" s="27" t="s">
        <v>253</v>
      </c>
      <c r="B214" s="16">
        <v>0.17</v>
      </c>
      <c r="C214" s="16">
        <v>6.15</v>
      </c>
      <c r="D214" s="28">
        <v>1.3475396559999999</v>
      </c>
      <c r="E214" s="30">
        <v>207430.31599999999</v>
      </c>
      <c r="F214" s="30">
        <v>366359.9498</v>
      </c>
      <c r="G214" s="30" t="s">
        <v>34</v>
      </c>
      <c r="H214" s="30" t="s">
        <v>43</v>
      </c>
      <c r="I214" s="31">
        <v>10</v>
      </c>
      <c r="J214" s="28">
        <v>2.1202236719999998</v>
      </c>
      <c r="K214" s="28">
        <v>1.3189688020000001</v>
      </c>
      <c r="L214" s="29">
        <v>1.6309930939999999</v>
      </c>
      <c r="M214" s="16">
        <v>-22.65</v>
      </c>
      <c r="N214" s="39" t="e">
        <v>#N/A</v>
      </c>
      <c r="O214" s="39" t="e">
        <v>#N/A</v>
      </c>
      <c r="P214" s="39" t="e">
        <v>#N/A</v>
      </c>
      <c r="Q214" s="39" t="e">
        <v>#N/A</v>
      </c>
      <c r="R214" s="15">
        <v>1606003200</v>
      </c>
      <c r="S214" t="s">
        <v>23</v>
      </c>
    </row>
    <row r="215" spans="1:19" ht="16" x14ac:dyDescent="0.2">
      <c r="A215" s="27" t="s">
        <v>254</v>
      </c>
      <c r="B215" s="16">
        <v>0.19</v>
      </c>
      <c r="C215" s="16">
        <v>6.4</v>
      </c>
      <c r="D215" s="28">
        <v>1.3331829479999999</v>
      </c>
      <c r="E215" s="30">
        <v>207430.31599999999</v>
      </c>
      <c r="F215" s="30">
        <v>366359.9498</v>
      </c>
      <c r="G215" s="30" t="s">
        <v>34</v>
      </c>
      <c r="H215" s="30" t="s">
        <v>43</v>
      </c>
      <c r="I215" s="31">
        <v>20</v>
      </c>
      <c r="J215" s="28">
        <v>1.497234092</v>
      </c>
      <c r="K215" s="28">
        <v>1.313222079</v>
      </c>
      <c r="L215" s="29">
        <v>1.7265077010000001</v>
      </c>
      <c r="M215" s="16">
        <v>-23.9</v>
      </c>
      <c r="N215" s="39" t="e">
        <v>#N/A</v>
      </c>
      <c r="O215" s="39" t="e">
        <v>#N/A</v>
      </c>
      <c r="P215" s="39" t="e">
        <v>#N/A</v>
      </c>
      <c r="Q215" s="39" t="e">
        <v>#N/A</v>
      </c>
      <c r="R215" s="15">
        <v>1606003200</v>
      </c>
      <c r="S215" t="s">
        <v>23</v>
      </c>
    </row>
    <row r="216" spans="1:19" ht="16" x14ac:dyDescent="0.2">
      <c r="A216" s="27" t="s">
        <v>255</v>
      </c>
      <c r="B216" s="16">
        <v>0.16</v>
      </c>
      <c r="C216" s="16">
        <v>6.4</v>
      </c>
      <c r="D216" s="28">
        <v>1.293948442</v>
      </c>
      <c r="E216" s="30">
        <v>207430.31599999999</v>
      </c>
      <c r="F216" s="30">
        <v>366359.9498</v>
      </c>
      <c r="G216" s="30" t="s">
        <v>34</v>
      </c>
      <c r="H216" s="30" t="s">
        <v>43</v>
      </c>
      <c r="I216" s="31">
        <v>30</v>
      </c>
      <c r="J216" s="28">
        <v>3.6673604919999998</v>
      </c>
      <c r="K216" s="28">
        <v>1.2464946880000001</v>
      </c>
      <c r="L216" s="29">
        <v>1.361897116</v>
      </c>
      <c r="M216" s="16">
        <v>-22.7</v>
      </c>
      <c r="N216" s="39" t="e">
        <v>#N/A</v>
      </c>
      <c r="O216" s="39" t="e">
        <v>#N/A</v>
      </c>
      <c r="P216" s="39" t="e">
        <v>#N/A</v>
      </c>
      <c r="Q216" s="39" t="e">
        <v>#N/A</v>
      </c>
      <c r="R216" s="15">
        <v>1606003200</v>
      </c>
      <c r="S216" t="s">
        <v>23</v>
      </c>
    </row>
    <row r="217" spans="1:19" ht="16" x14ac:dyDescent="0.2">
      <c r="A217" s="27" t="s">
        <v>256</v>
      </c>
      <c r="B217" s="16">
        <v>8.8999999999999996E-2</v>
      </c>
      <c r="C217" s="16">
        <v>4.8</v>
      </c>
      <c r="D217" s="28">
        <v>1.177097938</v>
      </c>
      <c r="E217" s="30">
        <v>207430.31599999999</v>
      </c>
      <c r="F217" s="30">
        <v>366359.9498</v>
      </c>
      <c r="G217" s="30" t="s">
        <v>34</v>
      </c>
      <c r="H217" s="30" t="s">
        <v>43</v>
      </c>
      <c r="I217" s="31">
        <v>40</v>
      </c>
      <c r="J217" s="28">
        <v>0.56481172899999998</v>
      </c>
      <c r="K217" s="28">
        <v>1.1704495509999999</v>
      </c>
      <c r="L217" s="29">
        <v>0.407162368</v>
      </c>
      <c r="M217" s="16">
        <v>-24.6</v>
      </c>
      <c r="N217" s="39" t="e">
        <v>#N/A</v>
      </c>
      <c r="O217" s="39" t="e">
        <v>#N/A</v>
      </c>
      <c r="P217" s="39" t="e">
        <v>#N/A</v>
      </c>
      <c r="Q217" s="39" t="e">
        <v>#N/A</v>
      </c>
      <c r="R217" s="15">
        <v>1606003200</v>
      </c>
      <c r="S217" t="s">
        <v>23</v>
      </c>
    </row>
    <row r="218" spans="1:19" ht="16" x14ac:dyDescent="0.2">
      <c r="A218" s="27" t="s">
        <v>257</v>
      </c>
      <c r="B218" s="16">
        <v>6.6000000000000003E-2</v>
      </c>
      <c r="C218" s="16">
        <v>3.4</v>
      </c>
      <c r="D218" s="28">
        <v>1.5408827110000001</v>
      </c>
      <c r="E218" s="30">
        <v>207430.31599999999</v>
      </c>
      <c r="F218" s="30">
        <v>366359.9498</v>
      </c>
      <c r="G218" s="30" t="s">
        <v>34</v>
      </c>
      <c r="H218" s="30" t="s">
        <v>43</v>
      </c>
      <c r="I218" s="31">
        <v>50</v>
      </c>
      <c r="J218" s="28">
        <v>0.40597409000000001</v>
      </c>
      <c r="K218" s="28">
        <v>1.534627127</v>
      </c>
      <c r="L218" s="29">
        <v>0.191849251</v>
      </c>
      <c r="M218" s="16">
        <v>-24.3</v>
      </c>
      <c r="N218" s="39" t="e">
        <v>#N/A</v>
      </c>
      <c r="O218" s="39" t="e">
        <v>#N/A</v>
      </c>
      <c r="P218" s="39" t="e">
        <v>#N/A</v>
      </c>
      <c r="Q218" s="39" t="e">
        <v>#N/A</v>
      </c>
      <c r="R218" s="15">
        <v>1606003200</v>
      </c>
      <c r="S218" t="s">
        <v>23</v>
      </c>
    </row>
    <row r="219" spans="1:19" ht="16" x14ac:dyDescent="0.2">
      <c r="A219" s="27" t="s">
        <v>258</v>
      </c>
      <c r="B219" s="16">
        <v>0.05</v>
      </c>
      <c r="C219" s="16">
        <v>2.7</v>
      </c>
      <c r="D219" s="28">
        <v>1.6229121449999999</v>
      </c>
      <c r="E219" s="30">
        <v>207430.31599999999</v>
      </c>
      <c r="F219" s="30">
        <v>366359.9498</v>
      </c>
      <c r="G219" s="30" t="s">
        <v>34</v>
      </c>
      <c r="H219" s="30" t="s">
        <v>43</v>
      </c>
      <c r="I219" s="31">
        <v>60</v>
      </c>
      <c r="J219" s="28">
        <v>2.3161551999999998E-2</v>
      </c>
      <c r="K219" s="28">
        <v>1.6225362539999999</v>
      </c>
      <c r="L219" s="29">
        <v>0.122692026</v>
      </c>
      <c r="M219" s="16">
        <v>-25.7</v>
      </c>
      <c r="N219" s="39" t="e">
        <v>#N/A</v>
      </c>
      <c r="O219" s="39" t="e">
        <v>#N/A</v>
      </c>
      <c r="P219" s="39" t="e">
        <v>#N/A</v>
      </c>
      <c r="Q219" s="39" t="e">
        <v>#N/A</v>
      </c>
      <c r="R219" s="15">
        <v>1606003200</v>
      </c>
      <c r="S219" t="s">
        <v>23</v>
      </c>
    </row>
    <row r="220" spans="1:19" ht="16" x14ac:dyDescent="0.2">
      <c r="A220" s="27" t="s">
        <v>259</v>
      </c>
      <c r="B220" s="16">
        <v>5.3999999999999999E-2</v>
      </c>
      <c r="C220" s="16">
        <v>2.35</v>
      </c>
      <c r="D220" s="28">
        <v>1.3722821380000001</v>
      </c>
      <c r="E220" s="30">
        <v>207430.31599999999</v>
      </c>
      <c r="F220" s="30">
        <v>366359.9498</v>
      </c>
      <c r="G220" s="30" t="s">
        <v>34</v>
      </c>
      <c r="H220" s="30" t="s">
        <v>43</v>
      </c>
      <c r="I220" s="31">
        <v>70</v>
      </c>
      <c r="J220" s="28">
        <v>0</v>
      </c>
      <c r="K220" s="28">
        <v>1.3722821380000001</v>
      </c>
      <c r="L220" s="29">
        <v>0.111845561</v>
      </c>
      <c r="M220" s="16">
        <v>-24.4</v>
      </c>
      <c r="N220" s="39" t="e">
        <v>#N/A</v>
      </c>
      <c r="O220" s="39" t="e">
        <v>#N/A</v>
      </c>
      <c r="P220" s="39" t="e">
        <v>#N/A</v>
      </c>
      <c r="Q220" s="39" t="e">
        <v>#N/A</v>
      </c>
      <c r="R220" s="15">
        <v>1606003200</v>
      </c>
      <c r="S220" t="s">
        <v>23</v>
      </c>
    </row>
    <row r="221" spans="1:19" ht="16" x14ac:dyDescent="0.2">
      <c r="A221" s="27" t="s">
        <v>260</v>
      </c>
      <c r="B221" s="16">
        <v>6.2E-2</v>
      </c>
      <c r="C221" s="16">
        <v>1.8</v>
      </c>
      <c r="D221" s="28">
        <v>1.5745523880000001</v>
      </c>
      <c r="E221" s="30">
        <v>207430.31599999999</v>
      </c>
      <c r="F221" s="30">
        <v>366359.9498</v>
      </c>
      <c r="G221" s="30" t="s">
        <v>34</v>
      </c>
      <c r="H221" s="30" t="s">
        <v>43</v>
      </c>
      <c r="I221" s="31">
        <v>80</v>
      </c>
      <c r="J221" s="28">
        <v>0</v>
      </c>
      <c r="K221" s="28">
        <v>1.5745523880000001</v>
      </c>
      <c r="L221" s="29">
        <v>9.5671139000000002E-2</v>
      </c>
      <c r="M221" s="16">
        <v>-25.2</v>
      </c>
      <c r="N221" s="39" t="e">
        <v>#N/A</v>
      </c>
      <c r="O221" s="39" t="e">
        <v>#N/A</v>
      </c>
      <c r="P221" s="39" t="e">
        <v>#N/A</v>
      </c>
      <c r="Q221" s="39" t="e">
        <v>#N/A</v>
      </c>
      <c r="R221" s="15">
        <v>1606003200</v>
      </c>
      <c r="S221" t="s">
        <v>23</v>
      </c>
    </row>
    <row r="222" spans="1:19" ht="16" x14ac:dyDescent="0.2">
      <c r="A222" s="27" t="s">
        <v>261</v>
      </c>
      <c r="B222" s="16">
        <v>5.8999999999999997E-2</v>
      </c>
      <c r="C222" s="16">
        <v>2</v>
      </c>
      <c r="D222" s="28">
        <v>1.4917237590000001</v>
      </c>
      <c r="E222" s="30">
        <v>207430.31599999999</v>
      </c>
      <c r="F222" s="30">
        <v>366359.9498</v>
      </c>
      <c r="G222" s="30" t="s">
        <v>34</v>
      </c>
      <c r="H222" s="30" t="s">
        <v>43</v>
      </c>
      <c r="I222" s="31">
        <v>90</v>
      </c>
      <c r="J222" s="28">
        <v>0</v>
      </c>
      <c r="K222" s="28">
        <v>1.4917237590000001</v>
      </c>
      <c r="L222" s="29">
        <v>9.0646365000000007E-2</v>
      </c>
      <c r="M222" s="16">
        <v>-25.8</v>
      </c>
      <c r="N222" s="39" t="e">
        <v>#N/A</v>
      </c>
      <c r="O222" s="39" t="e">
        <v>#N/A</v>
      </c>
      <c r="P222" s="39" t="e">
        <v>#N/A</v>
      </c>
      <c r="Q222" s="39" t="e">
        <v>#N/A</v>
      </c>
      <c r="R222" s="15">
        <v>1606003200</v>
      </c>
      <c r="S222" t="s">
        <v>23</v>
      </c>
    </row>
    <row r="223" spans="1:19" ht="16" x14ac:dyDescent="0.2">
      <c r="A223" s="27" t="s">
        <v>262</v>
      </c>
      <c r="B223" s="16">
        <v>6.9000000000000006E-2</v>
      </c>
      <c r="C223" s="16">
        <v>2.2000000000000002</v>
      </c>
      <c r="D223" s="28">
        <v>1.543271762</v>
      </c>
      <c r="E223" s="30">
        <v>207430.31599999999</v>
      </c>
      <c r="F223" s="30">
        <v>366359.9498</v>
      </c>
      <c r="G223" s="30" t="s">
        <v>34</v>
      </c>
      <c r="H223" s="30" t="s">
        <v>43</v>
      </c>
      <c r="I223" s="31">
        <v>100</v>
      </c>
      <c r="J223" s="28">
        <v>0</v>
      </c>
      <c r="K223" s="28">
        <v>1.543271762</v>
      </c>
      <c r="L223" s="29">
        <v>0.14513943400000001</v>
      </c>
      <c r="M223" s="16">
        <v>-20.5</v>
      </c>
      <c r="N223" s="39" t="e">
        <v>#N/A</v>
      </c>
      <c r="O223" s="39" t="e">
        <v>#N/A</v>
      </c>
      <c r="P223" s="39" t="e">
        <v>#N/A</v>
      </c>
      <c r="Q223" s="39" t="e">
        <v>#N/A</v>
      </c>
      <c r="R223" s="15">
        <v>1606003200</v>
      </c>
      <c r="S223" t="s">
        <v>23</v>
      </c>
    </row>
    <row r="224" spans="1:19" ht="16" x14ac:dyDescent="0.2">
      <c r="A224" s="27" t="s">
        <v>263</v>
      </c>
      <c r="B224" s="16">
        <v>5.6000000000000001E-2</v>
      </c>
      <c r="C224" s="16">
        <v>1.6</v>
      </c>
      <c r="D224" s="28">
        <v>1.3273479210000001</v>
      </c>
      <c r="E224" s="30">
        <v>207430.31599999999</v>
      </c>
      <c r="F224" s="30">
        <v>366359.9498</v>
      </c>
      <c r="G224" s="30" t="s">
        <v>34</v>
      </c>
      <c r="H224" s="30" t="s">
        <v>43</v>
      </c>
      <c r="I224" s="31">
        <v>108</v>
      </c>
      <c r="J224" s="28">
        <v>0</v>
      </c>
      <c r="K224" s="28">
        <v>1.3273479210000001</v>
      </c>
      <c r="L224" s="29">
        <v>0.16570526699999999</v>
      </c>
      <c r="M224" s="16">
        <v>-21</v>
      </c>
      <c r="N224" s="39" t="e">
        <v>#N/A</v>
      </c>
      <c r="O224" s="39" t="e">
        <v>#N/A</v>
      </c>
      <c r="P224" s="39" t="e">
        <v>#N/A</v>
      </c>
      <c r="Q224" s="39" t="e">
        <v>#N/A</v>
      </c>
      <c r="R224" s="15">
        <v>1606003200</v>
      </c>
      <c r="S224" t="s">
        <v>23</v>
      </c>
    </row>
    <row r="225" spans="1:19" ht="16" x14ac:dyDescent="0.2">
      <c r="A225" s="27" t="s">
        <v>264</v>
      </c>
      <c r="B225" s="16">
        <v>0.18</v>
      </c>
      <c r="C225" s="16">
        <v>6</v>
      </c>
      <c r="D225" s="28">
        <v>1.1070597520000001</v>
      </c>
      <c r="E225" s="30">
        <v>207422.5411</v>
      </c>
      <c r="F225" s="30">
        <v>366372.06430000003</v>
      </c>
      <c r="G225" s="30" t="s">
        <v>34</v>
      </c>
      <c r="H225" s="30" t="s">
        <v>68</v>
      </c>
      <c r="I225" s="31">
        <v>10</v>
      </c>
      <c r="J225" s="28">
        <v>6.6531149510000001</v>
      </c>
      <c r="K225" s="28">
        <v>1.0334057940000001</v>
      </c>
      <c r="L225" s="29">
        <v>1.6623148210000001</v>
      </c>
      <c r="M225" s="16">
        <v>-25.3</v>
      </c>
      <c r="N225" s="39" t="e">
        <v>#N/A</v>
      </c>
      <c r="O225" s="39" t="e">
        <v>#N/A</v>
      </c>
      <c r="P225" s="39" t="e">
        <v>#N/A</v>
      </c>
      <c r="Q225" s="39" t="e">
        <v>#N/A</v>
      </c>
      <c r="R225" s="15">
        <v>1606003200</v>
      </c>
      <c r="S225" t="s">
        <v>23</v>
      </c>
    </row>
    <row r="226" spans="1:19" ht="16" x14ac:dyDescent="0.2">
      <c r="A226" s="27" t="s">
        <v>265</v>
      </c>
      <c r="B226" s="16">
        <v>0.17</v>
      </c>
      <c r="C226" s="16">
        <v>6.6</v>
      </c>
      <c r="D226" s="28">
        <v>1.4297655339999999</v>
      </c>
      <c r="E226" s="30">
        <v>207422.5411</v>
      </c>
      <c r="F226" s="30">
        <v>366372.06430000003</v>
      </c>
      <c r="G226" s="30" t="s">
        <v>34</v>
      </c>
      <c r="H226" s="30" t="s">
        <v>68</v>
      </c>
      <c r="I226" s="31">
        <v>20</v>
      </c>
      <c r="J226" s="28">
        <v>2.8236687950000001</v>
      </c>
      <c r="K226" s="28">
        <v>1.3893936899999999</v>
      </c>
      <c r="L226" s="29">
        <v>1.624664127</v>
      </c>
      <c r="M226" s="16">
        <v>-24.3</v>
      </c>
      <c r="N226" s="39" t="e">
        <v>#N/A</v>
      </c>
      <c r="O226" s="39" t="e">
        <v>#N/A</v>
      </c>
      <c r="P226" s="39" t="e">
        <v>#N/A</v>
      </c>
      <c r="Q226" s="39" t="e">
        <v>#N/A</v>
      </c>
      <c r="R226" s="15">
        <v>1606003200</v>
      </c>
      <c r="S226" t="s">
        <v>23</v>
      </c>
    </row>
    <row r="227" spans="1:19" ht="16" x14ac:dyDescent="0.2">
      <c r="A227" s="27" t="s">
        <v>266</v>
      </c>
      <c r="B227" s="16">
        <v>0.12</v>
      </c>
      <c r="C227" s="16">
        <v>5.7</v>
      </c>
      <c r="D227" s="28">
        <v>1.1281583129999999</v>
      </c>
      <c r="E227" s="30">
        <v>207422.5411</v>
      </c>
      <c r="F227" s="30">
        <v>366372.06430000003</v>
      </c>
      <c r="G227" s="30" t="s">
        <v>34</v>
      </c>
      <c r="H227" s="30" t="s">
        <v>68</v>
      </c>
      <c r="I227" s="31">
        <v>30</v>
      </c>
      <c r="J227" s="28">
        <v>1.3669577319999999</v>
      </c>
      <c r="K227" s="28">
        <v>1.1127368660000001</v>
      </c>
      <c r="L227" s="29">
        <v>0.84765094200000002</v>
      </c>
      <c r="M227" s="16">
        <v>-24.7</v>
      </c>
      <c r="N227" s="39" t="e">
        <v>#N/A</v>
      </c>
      <c r="O227" s="39" t="e">
        <v>#N/A</v>
      </c>
      <c r="P227" s="39" t="e">
        <v>#N/A</v>
      </c>
      <c r="Q227" s="39" t="e">
        <v>#N/A</v>
      </c>
      <c r="R227" s="15">
        <v>1606003200</v>
      </c>
      <c r="S227" t="s">
        <v>23</v>
      </c>
    </row>
    <row r="228" spans="1:19" ht="16" x14ac:dyDescent="0.2">
      <c r="A228" s="27" t="s">
        <v>267</v>
      </c>
      <c r="B228" s="16">
        <v>9.1999999999999998E-2</v>
      </c>
      <c r="C228" s="16">
        <v>3.75</v>
      </c>
      <c r="D228" s="28">
        <v>1.2504455459999999</v>
      </c>
      <c r="E228" s="30">
        <v>207422.5411</v>
      </c>
      <c r="F228" s="30">
        <v>366372.06430000003</v>
      </c>
      <c r="G228" s="30" t="s">
        <v>34</v>
      </c>
      <c r="H228" s="30" t="s">
        <v>68</v>
      </c>
      <c r="I228" s="31">
        <v>40</v>
      </c>
      <c r="J228" s="28">
        <v>1.5997214989999999</v>
      </c>
      <c r="K228" s="28">
        <v>1.2304419</v>
      </c>
      <c r="L228" s="29">
        <v>0.32964821900000002</v>
      </c>
      <c r="M228" s="16">
        <v>-25.3</v>
      </c>
      <c r="N228" s="39" t="e">
        <v>#N/A</v>
      </c>
      <c r="O228" s="39" t="e">
        <v>#N/A</v>
      </c>
      <c r="P228" s="39" t="e">
        <v>#N/A</v>
      </c>
      <c r="Q228" s="39" t="e">
        <v>#N/A</v>
      </c>
      <c r="R228" s="15">
        <v>1606003200</v>
      </c>
      <c r="S228" t="s">
        <v>23</v>
      </c>
    </row>
    <row r="229" spans="1:19" ht="16" x14ac:dyDescent="0.2">
      <c r="A229" s="27" t="s">
        <v>268</v>
      </c>
      <c r="B229" s="16">
        <v>7.5999999999999998E-2</v>
      </c>
      <c r="C229" s="16">
        <v>2.9</v>
      </c>
      <c r="D229" s="28">
        <v>1.402192476</v>
      </c>
      <c r="E229" s="30">
        <v>207422.5411</v>
      </c>
      <c r="F229" s="30">
        <v>366372.06430000003</v>
      </c>
      <c r="G229" s="30" t="s">
        <v>34</v>
      </c>
      <c r="H229" s="30" t="s">
        <v>68</v>
      </c>
      <c r="I229" s="31">
        <v>50</v>
      </c>
      <c r="J229" s="28">
        <v>1.425288117</v>
      </c>
      <c r="K229" s="28">
        <v>1.3822071929999999</v>
      </c>
      <c r="L229" s="29">
        <v>0.19364622500000001</v>
      </c>
      <c r="M229" s="16">
        <v>-25.4</v>
      </c>
      <c r="N229" s="39" t="e">
        <v>#N/A</v>
      </c>
      <c r="O229" s="39" t="e">
        <v>#N/A</v>
      </c>
      <c r="P229" s="39" t="e">
        <v>#N/A</v>
      </c>
      <c r="Q229" s="39" t="e">
        <v>#N/A</v>
      </c>
      <c r="R229" s="15">
        <v>1606003200</v>
      </c>
      <c r="S229" t="s">
        <v>23</v>
      </c>
    </row>
    <row r="230" spans="1:19" ht="16" x14ac:dyDescent="0.2">
      <c r="A230" s="27" t="s">
        <v>269</v>
      </c>
      <c r="B230" s="16">
        <v>5.8000000000000003E-2</v>
      </c>
      <c r="C230" s="16">
        <v>2.8</v>
      </c>
      <c r="D230" s="28">
        <v>1.5234981320000001</v>
      </c>
      <c r="E230" s="30">
        <v>207422.5411</v>
      </c>
      <c r="F230" s="30">
        <v>366372.06430000003</v>
      </c>
      <c r="G230" s="30" t="s">
        <v>34</v>
      </c>
      <c r="H230" s="30" t="s">
        <v>68</v>
      </c>
      <c r="I230" s="31">
        <v>60</v>
      </c>
      <c r="J230" s="28">
        <v>0.209678218</v>
      </c>
      <c r="K230" s="28">
        <v>1.520303688</v>
      </c>
      <c r="L230" s="29">
        <v>0.200929524</v>
      </c>
      <c r="M230" s="16">
        <v>-26.4</v>
      </c>
      <c r="N230" s="39" t="e">
        <v>#N/A</v>
      </c>
      <c r="O230" s="39" t="e">
        <v>#N/A</v>
      </c>
      <c r="P230" s="39" t="e">
        <v>#N/A</v>
      </c>
      <c r="Q230" s="39" t="e">
        <v>#N/A</v>
      </c>
      <c r="R230" s="15">
        <v>1606003200</v>
      </c>
      <c r="S230" t="s">
        <v>23</v>
      </c>
    </row>
    <row r="231" spans="1:19" ht="16" x14ac:dyDescent="0.2">
      <c r="A231" s="27" t="s">
        <v>270</v>
      </c>
      <c r="B231" s="16">
        <v>0.06</v>
      </c>
      <c r="C231" s="16">
        <v>2.2000000000000002</v>
      </c>
      <c r="D231" s="28">
        <v>1.7273197950000001</v>
      </c>
      <c r="E231" s="30">
        <v>207422.5411</v>
      </c>
      <c r="F231" s="30">
        <v>366372.06430000003</v>
      </c>
      <c r="G231" s="30" t="s">
        <v>34</v>
      </c>
      <c r="H231" s="30" t="s">
        <v>68</v>
      </c>
      <c r="I231" s="31">
        <v>70</v>
      </c>
      <c r="J231" s="28">
        <v>0</v>
      </c>
      <c r="K231" s="28">
        <v>1.7273197950000001</v>
      </c>
      <c r="L231" s="29">
        <v>0.118891577</v>
      </c>
      <c r="M231" s="16">
        <v>-25.8</v>
      </c>
      <c r="N231" s="39" t="e">
        <v>#N/A</v>
      </c>
      <c r="O231" s="39" t="e">
        <v>#N/A</v>
      </c>
      <c r="P231" s="39" t="e">
        <v>#N/A</v>
      </c>
      <c r="Q231" s="39" t="e">
        <v>#N/A</v>
      </c>
      <c r="R231" s="15">
        <v>1606003200</v>
      </c>
      <c r="S231" t="s">
        <v>23</v>
      </c>
    </row>
    <row r="232" spans="1:19" ht="16" x14ac:dyDescent="0.2">
      <c r="A232" s="27" t="s">
        <v>271</v>
      </c>
      <c r="B232" s="16">
        <v>6.6000000000000003E-2</v>
      </c>
      <c r="C232" s="16">
        <v>2.6</v>
      </c>
      <c r="D232" s="28">
        <v>1.5631685390000001</v>
      </c>
      <c r="E232" s="30">
        <v>207422.5411</v>
      </c>
      <c r="F232" s="30">
        <v>366372.06430000003</v>
      </c>
      <c r="G232" s="30" t="s">
        <v>34</v>
      </c>
      <c r="H232" s="30" t="s">
        <v>68</v>
      </c>
      <c r="I232" s="31">
        <v>80</v>
      </c>
      <c r="J232" s="28">
        <v>0</v>
      </c>
      <c r="K232" s="28">
        <v>1.5631685390000001</v>
      </c>
      <c r="L232" s="29">
        <v>0.131382368</v>
      </c>
      <c r="M232" s="16">
        <v>-26</v>
      </c>
      <c r="N232" s="39" t="e">
        <v>#N/A</v>
      </c>
      <c r="O232" s="39" t="e">
        <v>#N/A</v>
      </c>
      <c r="P232" s="39" t="e">
        <v>#N/A</v>
      </c>
      <c r="Q232" s="39" t="e">
        <v>#N/A</v>
      </c>
      <c r="R232" s="15">
        <v>1606003200</v>
      </c>
      <c r="S232" t="s">
        <v>23</v>
      </c>
    </row>
    <row r="233" spans="1:19" ht="16" x14ac:dyDescent="0.2">
      <c r="A233" s="27" t="s">
        <v>272</v>
      </c>
      <c r="B233" s="16">
        <v>0.06</v>
      </c>
      <c r="C233" s="16">
        <v>2.2999999999999998</v>
      </c>
      <c r="D233" s="28">
        <v>1.6270128530000001</v>
      </c>
      <c r="E233" s="30">
        <v>207422.5411</v>
      </c>
      <c r="F233" s="30">
        <v>366372.06430000003</v>
      </c>
      <c r="G233" s="30" t="s">
        <v>34</v>
      </c>
      <c r="H233" s="30" t="s">
        <v>68</v>
      </c>
      <c r="I233" s="31">
        <v>90</v>
      </c>
      <c r="J233" s="28">
        <v>0</v>
      </c>
      <c r="K233" s="28">
        <v>1.6270128530000001</v>
      </c>
      <c r="L233" s="29">
        <v>0.10375031</v>
      </c>
      <c r="M233" s="16">
        <v>-25.6</v>
      </c>
      <c r="N233" s="39" t="e">
        <v>#N/A</v>
      </c>
      <c r="O233" s="39" t="e">
        <v>#N/A</v>
      </c>
      <c r="P233" s="39" t="e">
        <v>#N/A</v>
      </c>
      <c r="Q233" s="39" t="e">
        <v>#N/A</v>
      </c>
      <c r="R233" s="15">
        <v>1606003200</v>
      </c>
      <c r="S233" t="s">
        <v>23</v>
      </c>
    </row>
    <row r="234" spans="1:19" ht="16" x14ac:dyDescent="0.2">
      <c r="A234" s="27" t="s">
        <v>273</v>
      </c>
      <c r="B234" s="16">
        <v>6.3E-2</v>
      </c>
      <c r="C234" s="16">
        <v>2.2000000000000002</v>
      </c>
      <c r="D234" s="28">
        <v>1.367192017</v>
      </c>
      <c r="E234" s="30">
        <v>207422.5411</v>
      </c>
      <c r="F234" s="30">
        <v>366372.06430000003</v>
      </c>
      <c r="G234" s="30" t="s">
        <v>34</v>
      </c>
      <c r="H234" s="30" t="s">
        <v>68</v>
      </c>
      <c r="I234" s="31">
        <v>100</v>
      </c>
      <c r="J234" s="28">
        <v>0</v>
      </c>
      <c r="K234" s="28">
        <v>1.367192017</v>
      </c>
      <c r="L234" s="29">
        <v>9.6139671999999995E-2</v>
      </c>
      <c r="M234" s="16">
        <v>-25.7</v>
      </c>
      <c r="N234" s="39" t="e">
        <v>#N/A</v>
      </c>
      <c r="O234" s="39" t="e">
        <v>#N/A</v>
      </c>
      <c r="P234" s="39" t="e">
        <v>#N/A</v>
      </c>
      <c r="Q234" s="39" t="e">
        <v>#N/A</v>
      </c>
      <c r="R234" s="15">
        <v>1606003200</v>
      </c>
      <c r="S234" t="s">
        <v>23</v>
      </c>
    </row>
    <row r="235" spans="1:19" ht="16" x14ac:dyDescent="0.2">
      <c r="A235" s="27" t="s">
        <v>274</v>
      </c>
      <c r="B235" s="16">
        <v>6.0999999999999999E-2</v>
      </c>
      <c r="C235" s="16">
        <v>2.1</v>
      </c>
      <c r="D235" s="28">
        <v>1.676106895</v>
      </c>
      <c r="E235" s="30">
        <v>207422.5411</v>
      </c>
      <c r="F235" s="30">
        <v>366372.06430000003</v>
      </c>
      <c r="G235" s="30" t="s">
        <v>34</v>
      </c>
      <c r="H235" s="30" t="s">
        <v>68</v>
      </c>
      <c r="I235" s="31">
        <v>110</v>
      </c>
      <c r="J235" s="28">
        <v>0</v>
      </c>
      <c r="K235" s="28">
        <v>1.676106895</v>
      </c>
      <c r="L235" s="29">
        <v>0.11806966100000001</v>
      </c>
      <c r="M235" s="16">
        <v>-25.9</v>
      </c>
      <c r="N235" s="39" t="e">
        <v>#N/A</v>
      </c>
      <c r="O235" s="39" t="e">
        <v>#N/A</v>
      </c>
      <c r="P235" s="39" t="e">
        <v>#N/A</v>
      </c>
      <c r="Q235" s="39" t="e">
        <v>#N/A</v>
      </c>
      <c r="R235" s="15">
        <v>1606003200</v>
      </c>
      <c r="S235" t="s">
        <v>23</v>
      </c>
    </row>
    <row r="236" spans="1:19" ht="16" x14ac:dyDescent="0.2">
      <c r="A236" s="27" t="s">
        <v>275</v>
      </c>
      <c r="B236" s="16">
        <v>0.17</v>
      </c>
      <c r="C236" s="16">
        <v>6.5</v>
      </c>
      <c r="D236" s="28">
        <v>1.0720753780000001</v>
      </c>
      <c r="E236" s="30">
        <v>207414.62849999999</v>
      </c>
      <c r="F236" s="30">
        <v>366360.11829999997</v>
      </c>
      <c r="G236" s="30" t="s">
        <v>34</v>
      </c>
      <c r="H236" s="30" t="s">
        <v>81</v>
      </c>
      <c r="I236" s="31">
        <v>10</v>
      </c>
      <c r="J236" s="28">
        <v>1.034814962</v>
      </c>
      <c r="K236" s="28">
        <v>1.0609813809999999</v>
      </c>
      <c r="L236" s="29">
        <v>1.5315795699999999</v>
      </c>
      <c r="M236" s="16">
        <v>-25.1</v>
      </c>
      <c r="N236" s="39" t="e">
        <v>#N/A</v>
      </c>
      <c r="O236" s="39" t="e">
        <v>#N/A</v>
      </c>
      <c r="P236" s="39" t="e">
        <v>#N/A</v>
      </c>
      <c r="Q236" s="39" t="e">
        <v>#N/A</v>
      </c>
      <c r="R236" s="15">
        <v>1606003200</v>
      </c>
      <c r="S236" t="s">
        <v>23</v>
      </c>
    </row>
    <row r="237" spans="1:19" ht="16" x14ac:dyDescent="0.2">
      <c r="A237" s="27" t="s">
        <v>276</v>
      </c>
      <c r="B237" s="16">
        <v>0.18</v>
      </c>
      <c r="C237" s="16">
        <v>6.6</v>
      </c>
      <c r="D237" s="28">
        <v>1.270038333</v>
      </c>
      <c r="E237" s="30">
        <v>207414.62849999999</v>
      </c>
      <c r="F237" s="30">
        <v>366360.11829999997</v>
      </c>
      <c r="G237" s="30" t="s">
        <v>34</v>
      </c>
      <c r="H237" s="30" t="s">
        <v>81</v>
      </c>
      <c r="I237" s="31">
        <v>20</v>
      </c>
      <c r="J237" s="28">
        <v>4.6779672200000002</v>
      </c>
      <c r="K237" s="28">
        <v>1.2106263559999999</v>
      </c>
      <c r="L237" s="29">
        <v>1.5299223399999999</v>
      </c>
      <c r="M237" s="16">
        <v>-23.9</v>
      </c>
      <c r="N237" s="39" t="e">
        <v>#N/A</v>
      </c>
      <c r="O237" s="39" t="e">
        <v>#N/A</v>
      </c>
      <c r="P237" s="39" t="e">
        <v>#N/A</v>
      </c>
      <c r="Q237" s="39" t="e">
        <v>#N/A</v>
      </c>
      <c r="R237" s="15">
        <v>1606003200</v>
      </c>
      <c r="S237" t="s">
        <v>23</v>
      </c>
    </row>
    <row r="238" spans="1:19" ht="16" x14ac:dyDescent="0.2">
      <c r="A238" s="27" t="s">
        <v>277</v>
      </c>
      <c r="B238" s="16">
        <v>0.16</v>
      </c>
      <c r="C238" s="16">
        <v>7</v>
      </c>
      <c r="D238" s="28">
        <v>1.3680456400000001</v>
      </c>
      <c r="E238" s="30">
        <v>207414.62849999999</v>
      </c>
      <c r="F238" s="30">
        <v>366360.11829999997</v>
      </c>
      <c r="G238" s="30" t="s">
        <v>34</v>
      </c>
      <c r="H238" s="30" t="s">
        <v>81</v>
      </c>
      <c r="I238" s="31">
        <v>30</v>
      </c>
      <c r="J238" s="28">
        <v>4.1480791000000004</v>
      </c>
      <c r="K238" s="28">
        <v>1.3112980249999999</v>
      </c>
      <c r="L238" s="29">
        <v>1.4302082970000001</v>
      </c>
      <c r="M238" s="16">
        <v>-23.5</v>
      </c>
      <c r="N238" s="39" t="e">
        <v>#N/A</v>
      </c>
      <c r="O238" s="39" t="e">
        <v>#N/A</v>
      </c>
      <c r="P238" s="39" t="e">
        <v>#N/A</v>
      </c>
      <c r="Q238" s="39" t="e">
        <v>#N/A</v>
      </c>
      <c r="R238" s="15">
        <v>1606003200</v>
      </c>
      <c r="S238" t="s">
        <v>23</v>
      </c>
    </row>
    <row r="239" spans="1:19" ht="16" x14ac:dyDescent="0.2">
      <c r="A239" s="27" t="s">
        <v>278</v>
      </c>
      <c r="B239" s="16">
        <v>0.1</v>
      </c>
      <c r="C239" s="16">
        <v>4.9000000000000004</v>
      </c>
      <c r="D239" s="28">
        <v>1.3128753950000001</v>
      </c>
      <c r="E239" s="30">
        <v>207414.62849999999</v>
      </c>
      <c r="F239" s="30">
        <v>366360.11829999997</v>
      </c>
      <c r="G239" s="30" t="s">
        <v>34</v>
      </c>
      <c r="H239" s="30" t="s">
        <v>81</v>
      </c>
      <c r="I239" s="31">
        <v>40</v>
      </c>
      <c r="J239" s="28">
        <v>1.3917062950000001</v>
      </c>
      <c r="K239" s="28">
        <v>1.294604026</v>
      </c>
      <c r="L239" s="29">
        <v>0.42379736200000001</v>
      </c>
      <c r="M239" s="16">
        <v>-24.4</v>
      </c>
      <c r="N239" s="39" t="e">
        <v>#N/A</v>
      </c>
      <c r="O239" s="39" t="e">
        <v>#N/A</v>
      </c>
      <c r="P239" s="39" t="e">
        <v>#N/A</v>
      </c>
      <c r="Q239" s="39" t="e">
        <v>#N/A</v>
      </c>
      <c r="R239" s="15">
        <v>1606003200</v>
      </c>
      <c r="S239" t="s">
        <v>23</v>
      </c>
    </row>
    <row r="240" spans="1:19" ht="16" x14ac:dyDescent="0.2">
      <c r="A240" s="27" t="s">
        <v>279</v>
      </c>
      <c r="B240" s="16">
        <v>8.1000000000000003E-2</v>
      </c>
      <c r="C240" s="16">
        <v>3.9</v>
      </c>
      <c r="D240" s="28">
        <v>1.396488468</v>
      </c>
      <c r="E240" s="30">
        <v>207414.62849999999</v>
      </c>
      <c r="F240" s="30">
        <v>366360.11829999997</v>
      </c>
      <c r="G240" s="30" t="s">
        <v>34</v>
      </c>
      <c r="H240" s="30" t="s">
        <v>81</v>
      </c>
      <c r="I240" s="31">
        <v>50</v>
      </c>
      <c r="J240" s="28">
        <v>4.3990612670000004</v>
      </c>
      <c r="K240" s="28">
        <v>1.3350560840000001</v>
      </c>
      <c r="L240" s="29">
        <v>0.240997289</v>
      </c>
      <c r="M240" s="16">
        <v>-23.6</v>
      </c>
      <c r="N240" s="39" t="e">
        <v>#N/A</v>
      </c>
      <c r="O240" s="39" t="e">
        <v>#N/A</v>
      </c>
      <c r="P240" s="39" t="e">
        <v>#N/A</v>
      </c>
      <c r="Q240" s="39" t="e">
        <v>#N/A</v>
      </c>
      <c r="R240" s="15">
        <v>1606003200</v>
      </c>
      <c r="S240" t="s">
        <v>23</v>
      </c>
    </row>
    <row r="241" spans="1:19" ht="16" x14ac:dyDescent="0.2">
      <c r="A241" s="27" t="s">
        <v>280</v>
      </c>
      <c r="B241" s="16">
        <v>6.2E-2</v>
      </c>
      <c r="C241" s="16">
        <v>3</v>
      </c>
      <c r="D241" s="28">
        <v>1.457115956</v>
      </c>
      <c r="E241" s="30">
        <v>207414.62849999999</v>
      </c>
      <c r="F241" s="30">
        <v>366360.11829999997</v>
      </c>
      <c r="G241" s="30" t="s">
        <v>34</v>
      </c>
      <c r="H241" s="30" t="s">
        <v>81</v>
      </c>
      <c r="I241" s="31">
        <v>60</v>
      </c>
      <c r="J241" s="28">
        <v>1.153737612</v>
      </c>
      <c r="K241" s="28">
        <v>1.4403046610000001</v>
      </c>
      <c r="L241" s="29">
        <v>0.16380882799999999</v>
      </c>
      <c r="M241" s="16">
        <v>-24.1</v>
      </c>
      <c r="N241" s="39" t="e">
        <v>#N/A</v>
      </c>
      <c r="O241" s="39" t="e">
        <v>#N/A</v>
      </c>
      <c r="P241" s="39" t="e">
        <v>#N/A</v>
      </c>
      <c r="Q241" s="39" t="e">
        <v>#N/A</v>
      </c>
      <c r="R241" s="15">
        <v>1606003200</v>
      </c>
      <c r="S241" t="s">
        <v>23</v>
      </c>
    </row>
    <row r="242" spans="1:19" ht="16" x14ac:dyDescent="0.2">
      <c r="A242" s="27" t="s">
        <v>281</v>
      </c>
      <c r="B242" s="16">
        <v>4.7E-2</v>
      </c>
      <c r="C242" s="16">
        <v>2.2999999999999998</v>
      </c>
      <c r="D242" s="28">
        <v>1.3505671269999999</v>
      </c>
      <c r="E242" s="30">
        <v>207414.62849999999</v>
      </c>
      <c r="F242" s="30">
        <v>366360.11829999997</v>
      </c>
      <c r="G242" s="30" t="s">
        <v>34</v>
      </c>
      <c r="H242" s="30" t="s">
        <v>81</v>
      </c>
      <c r="I242" s="31">
        <v>70</v>
      </c>
      <c r="J242" s="28">
        <v>0</v>
      </c>
      <c r="K242" s="28">
        <v>1.3505671269999999</v>
      </c>
      <c r="L242" s="29">
        <v>0.211204643</v>
      </c>
      <c r="M242" s="16">
        <v>-11.4</v>
      </c>
      <c r="N242" s="39" t="e">
        <v>#N/A</v>
      </c>
      <c r="O242" s="39" t="e">
        <v>#N/A</v>
      </c>
      <c r="P242" s="39" t="e">
        <v>#N/A</v>
      </c>
      <c r="Q242" s="39" t="e">
        <v>#N/A</v>
      </c>
      <c r="R242" s="15">
        <v>1606003200</v>
      </c>
      <c r="S242" t="s">
        <v>23</v>
      </c>
    </row>
    <row r="243" spans="1:19" ht="16" x14ac:dyDescent="0.2">
      <c r="A243" s="27" t="s">
        <v>282</v>
      </c>
      <c r="B243" s="16">
        <v>6.2E-2</v>
      </c>
      <c r="C243" s="16">
        <v>1.9</v>
      </c>
      <c r="D243" s="28">
        <v>1.6250797269999999</v>
      </c>
      <c r="E243" s="30">
        <v>207414.62849999999</v>
      </c>
      <c r="F243" s="30">
        <v>366360.11829999997</v>
      </c>
      <c r="G243" s="30" t="s">
        <v>34</v>
      </c>
      <c r="H243" s="30" t="s">
        <v>81</v>
      </c>
      <c r="I243" s="31">
        <v>80</v>
      </c>
      <c r="J243" s="28">
        <v>0</v>
      </c>
      <c r="K243" s="28">
        <v>1.6250797269999999</v>
      </c>
      <c r="L243" s="29">
        <v>0.55270417100000002</v>
      </c>
      <c r="M243" s="16">
        <v>-7.8</v>
      </c>
      <c r="N243" s="39" t="e">
        <v>#N/A</v>
      </c>
      <c r="O243" s="39" t="e">
        <v>#N/A</v>
      </c>
      <c r="P243" s="39" t="e">
        <v>#N/A</v>
      </c>
      <c r="Q243" s="39" t="e">
        <v>#N/A</v>
      </c>
      <c r="R243" s="15">
        <v>1606003200</v>
      </c>
      <c r="S243" t="s">
        <v>23</v>
      </c>
    </row>
    <row r="244" spans="1:19" ht="16" x14ac:dyDescent="0.2">
      <c r="A244" s="27" t="s">
        <v>283</v>
      </c>
      <c r="B244" s="16">
        <v>0.06</v>
      </c>
      <c r="C244" s="16">
        <v>1.3</v>
      </c>
      <c r="D244" s="28">
        <v>1.48595433</v>
      </c>
      <c r="E244" s="30">
        <v>207414.62849999999</v>
      </c>
      <c r="F244" s="30">
        <v>366360.11829999997</v>
      </c>
      <c r="G244" s="30" t="s">
        <v>34</v>
      </c>
      <c r="H244" s="30" t="s">
        <v>81</v>
      </c>
      <c r="I244" s="31">
        <v>90</v>
      </c>
      <c r="J244" s="28">
        <v>0</v>
      </c>
      <c r="K244" s="28">
        <v>1.48595433</v>
      </c>
      <c r="L244" s="29">
        <v>1.050114454</v>
      </c>
      <c r="M244" s="16">
        <v>-8.5</v>
      </c>
      <c r="N244" s="39" t="e">
        <v>#N/A</v>
      </c>
      <c r="O244" s="39" t="e">
        <v>#N/A</v>
      </c>
      <c r="P244" s="39" t="e">
        <v>#N/A</v>
      </c>
      <c r="Q244" s="39" t="e">
        <v>#N/A</v>
      </c>
      <c r="R244" s="15">
        <v>1606003200</v>
      </c>
      <c r="S244" t="s">
        <v>23</v>
      </c>
    </row>
    <row r="245" spans="1:19" ht="16" x14ac:dyDescent="0.2">
      <c r="A245" s="27" t="s">
        <v>284</v>
      </c>
      <c r="B245" s="16">
        <v>0.14499999999999999</v>
      </c>
      <c r="C245" s="16">
        <v>6.25</v>
      </c>
      <c r="D245" s="28">
        <v>1.4660353880000001</v>
      </c>
      <c r="E245" s="30">
        <v>209875.99900000001</v>
      </c>
      <c r="F245" s="30">
        <v>370193.17210000003</v>
      </c>
      <c r="G245" s="30" t="s">
        <v>285</v>
      </c>
      <c r="H245" s="30" t="s">
        <v>43</v>
      </c>
      <c r="I245" s="31">
        <v>10</v>
      </c>
      <c r="J245" s="28">
        <v>0.87911358799999995</v>
      </c>
      <c r="K245" s="28">
        <v>1.453147271</v>
      </c>
      <c r="L245" s="29">
        <v>1.3208255040000001</v>
      </c>
      <c r="M245" s="16">
        <v>-22.85</v>
      </c>
      <c r="N245" s="39" t="e">
        <v>#N/A</v>
      </c>
      <c r="O245" s="39" t="e">
        <v>#N/A</v>
      </c>
      <c r="P245" s="39" t="e">
        <v>#N/A</v>
      </c>
      <c r="Q245" s="39" t="e">
        <v>#N/A</v>
      </c>
      <c r="R245" s="15">
        <v>1606176000</v>
      </c>
      <c r="S245" t="s">
        <v>23</v>
      </c>
    </row>
    <row r="246" spans="1:19" ht="16" x14ac:dyDescent="0.2">
      <c r="A246" s="27" t="s">
        <v>286</v>
      </c>
      <c r="B246" s="16">
        <v>0.13</v>
      </c>
      <c r="C246" s="16">
        <v>6.5</v>
      </c>
      <c r="D246" s="28">
        <v>1.438731523</v>
      </c>
      <c r="E246" s="30">
        <v>209875.99900000001</v>
      </c>
      <c r="F246" s="30">
        <v>370193.17210000003</v>
      </c>
      <c r="G246" s="30" t="s">
        <v>285</v>
      </c>
      <c r="H246" s="30" t="s">
        <v>43</v>
      </c>
      <c r="I246" s="31">
        <v>20</v>
      </c>
      <c r="J246" s="28">
        <v>1.0343523379999999</v>
      </c>
      <c r="K246" s="28">
        <v>1.42384997</v>
      </c>
      <c r="L246" s="29">
        <v>1.2222643289999999</v>
      </c>
      <c r="M246" s="16">
        <v>-22.8</v>
      </c>
      <c r="N246" s="39" t="e">
        <v>#N/A</v>
      </c>
      <c r="O246" s="39" t="e">
        <v>#N/A</v>
      </c>
      <c r="P246" s="39" t="e">
        <v>#N/A</v>
      </c>
      <c r="Q246" s="39" t="e">
        <v>#N/A</v>
      </c>
      <c r="R246" s="15">
        <v>1606176000</v>
      </c>
      <c r="S246" t="s">
        <v>23</v>
      </c>
    </row>
    <row r="247" spans="1:19" ht="16" x14ac:dyDescent="0.2">
      <c r="A247" s="27" t="s">
        <v>287</v>
      </c>
      <c r="B247" s="16">
        <v>6.7000000000000004E-2</v>
      </c>
      <c r="C247" s="16">
        <v>7.1</v>
      </c>
      <c r="D247" s="28">
        <v>1.5121477290000001</v>
      </c>
      <c r="E247" s="30">
        <v>209875.99900000001</v>
      </c>
      <c r="F247" s="30">
        <v>370193.17210000003</v>
      </c>
      <c r="G247" s="30" t="s">
        <v>285</v>
      </c>
      <c r="H247" s="30" t="s">
        <v>43</v>
      </c>
      <c r="I247" s="31">
        <v>30</v>
      </c>
      <c r="J247" s="28">
        <v>2.4505214749999999</v>
      </c>
      <c r="K247" s="28">
        <v>1.475092224</v>
      </c>
      <c r="L247" s="29">
        <v>0.48646445799999999</v>
      </c>
      <c r="M247" s="16">
        <v>-23.2</v>
      </c>
      <c r="N247" s="39" t="e">
        <v>#N/A</v>
      </c>
      <c r="O247" s="39" t="e">
        <v>#N/A</v>
      </c>
      <c r="P247" s="39" t="e">
        <v>#N/A</v>
      </c>
      <c r="Q247" s="39" t="e">
        <v>#N/A</v>
      </c>
      <c r="R247" s="15">
        <v>1606176000</v>
      </c>
      <c r="S247" t="s">
        <v>23</v>
      </c>
    </row>
    <row r="248" spans="1:19" ht="16" x14ac:dyDescent="0.2">
      <c r="A248" s="27" t="s">
        <v>288</v>
      </c>
      <c r="B248" s="16">
        <v>4.3999999999999997E-2</v>
      </c>
      <c r="C248" s="16">
        <v>6.2</v>
      </c>
      <c r="D248" s="28">
        <v>1.6772422220000001</v>
      </c>
      <c r="E248" s="30">
        <v>209875.99900000001</v>
      </c>
      <c r="F248" s="30">
        <v>370193.17210000003</v>
      </c>
      <c r="G248" s="30" t="s">
        <v>285</v>
      </c>
      <c r="H248" s="30" t="s">
        <v>43</v>
      </c>
      <c r="I248" s="31">
        <v>40</v>
      </c>
      <c r="J248" s="28">
        <v>1.9923724359999999</v>
      </c>
      <c r="K248" s="28">
        <v>1.6438253110000001</v>
      </c>
      <c r="L248" s="29">
        <v>0.22215580700000001</v>
      </c>
      <c r="M248" s="16">
        <v>-23.3</v>
      </c>
      <c r="N248" s="39" t="e">
        <v>#N/A</v>
      </c>
      <c r="O248" s="39" t="e">
        <v>#N/A</v>
      </c>
      <c r="P248" s="39" t="e">
        <v>#N/A</v>
      </c>
      <c r="Q248" s="39" t="e">
        <v>#N/A</v>
      </c>
      <c r="R248" s="15">
        <v>1606176000</v>
      </c>
      <c r="S248" t="s">
        <v>23</v>
      </c>
    </row>
    <row r="249" spans="1:19" ht="16" x14ac:dyDescent="0.2">
      <c r="A249" s="27" t="s">
        <v>289</v>
      </c>
      <c r="B249" s="16">
        <v>4.5999999999999999E-2</v>
      </c>
      <c r="C249" s="16">
        <v>5.6</v>
      </c>
      <c r="D249" s="28">
        <v>1.810028427</v>
      </c>
      <c r="E249" s="30">
        <v>209875.99900000001</v>
      </c>
      <c r="F249" s="30">
        <v>370193.17210000003</v>
      </c>
      <c r="G249" s="30" t="s">
        <v>285</v>
      </c>
      <c r="H249" s="30" t="s">
        <v>43</v>
      </c>
      <c r="I249" s="31">
        <v>50</v>
      </c>
      <c r="J249" s="28">
        <v>2.193826751</v>
      </c>
      <c r="K249" s="28">
        <v>1.7703195389999999</v>
      </c>
      <c r="L249" s="29">
        <v>0.20591287599999999</v>
      </c>
      <c r="M249" s="16">
        <v>-23.9</v>
      </c>
      <c r="N249" s="39" t="e">
        <v>#N/A</v>
      </c>
      <c r="O249" s="39" t="e">
        <v>#N/A</v>
      </c>
      <c r="P249" s="39" t="e">
        <v>#N/A</v>
      </c>
      <c r="Q249" s="39" t="e">
        <v>#N/A</v>
      </c>
      <c r="R249" s="15">
        <v>1606176000</v>
      </c>
      <c r="S249" t="s">
        <v>23</v>
      </c>
    </row>
    <row r="250" spans="1:19" ht="16" x14ac:dyDescent="0.2">
      <c r="A250" s="27" t="s">
        <v>290</v>
      </c>
      <c r="B250" s="16">
        <v>4.5999999999999999E-2</v>
      </c>
      <c r="C250" s="16">
        <v>5.2</v>
      </c>
      <c r="D250" s="28">
        <v>1.7847044460000001</v>
      </c>
      <c r="E250" s="30">
        <v>209875.99900000001</v>
      </c>
      <c r="F250" s="30">
        <v>370193.17210000003</v>
      </c>
      <c r="G250" s="30" t="s">
        <v>285</v>
      </c>
      <c r="H250" s="30" t="s">
        <v>43</v>
      </c>
      <c r="I250" s="31">
        <v>60</v>
      </c>
      <c r="J250" s="28">
        <v>1.221328567</v>
      </c>
      <c r="K250" s="28">
        <v>1.7629073399999999</v>
      </c>
      <c r="L250" s="29">
        <v>0.18215846299999999</v>
      </c>
      <c r="M250" s="16">
        <v>-24.4</v>
      </c>
      <c r="N250" s="40" t="e">
        <v>#N/A</v>
      </c>
      <c r="O250" s="40" t="e">
        <v>#N/A</v>
      </c>
      <c r="P250" s="40" t="e">
        <v>#N/A</v>
      </c>
      <c r="Q250" s="40" t="e">
        <v>#N/A</v>
      </c>
      <c r="R250" s="15">
        <v>1606176000</v>
      </c>
      <c r="S250" t="s">
        <v>23</v>
      </c>
    </row>
    <row r="251" spans="1:19" ht="16" x14ac:dyDescent="0.2">
      <c r="A251" s="27" t="s">
        <v>291</v>
      </c>
      <c r="B251" s="16">
        <v>4.3499999999999997E-2</v>
      </c>
      <c r="C251" s="16">
        <v>4.3499999999999996</v>
      </c>
      <c r="D251" s="28">
        <v>1.7661435649999999</v>
      </c>
      <c r="E251" s="30">
        <v>209875.99900000001</v>
      </c>
      <c r="F251" s="30">
        <v>370193.17210000003</v>
      </c>
      <c r="G251" s="30" t="s">
        <v>285</v>
      </c>
      <c r="H251" s="30" t="s">
        <v>43</v>
      </c>
      <c r="I251" s="31">
        <v>70</v>
      </c>
      <c r="J251" s="28">
        <v>0.54730645899999997</v>
      </c>
      <c r="K251" s="28">
        <v>1.7564773469999999</v>
      </c>
      <c r="L251" s="29">
        <v>0.13336909499999999</v>
      </c>
      <c r="M251" s="16">
        <v>-23.25</v>
      </c>
      <c r="N251" s="39" t="e">
        <v>#N/A</v>
      </c>
      <c r="O251" s="39" t="e">
        <v>#N/A</v>
      </c>
      <c r="P251" s="39" t="e">
        <v>#N/A</v>
      </c>
      <c r="Q251" s="39" t="e">
        <v>#N/A</v>
      </c>
      <c r="R251" s="15">
        <v>1606176000</v>
      </c>
      <c r="S251" t="s">
        <v>23</v>
      </c>
    </row>
    <row r="252" spans="1:19" ht="16" x14ac:dyDescent="0.2">
      <c r="A252" s="27" t="s">
        <v>292</v>
      </c>
      <c r="B252" s="16">
        <v>0.04</v>
      </c>
      <c r="C252" s="16">
        <v>4.4000000000000004</v>
      </c>
      <c r="D252" s="28">
        <v>1.586354942</v>
      </c>
      <c r="E252" s="30">
        <v>209875.99900000001</v>
      </c>
      <c r="F252" s="30">
        <v>370193.17210000003</v>
      </c>
      <c r="G252" s="30" t="s">
        <v>285</v>
      </c>
      <c r="H252" s="30" t="s">
        <v>43</v>
      </c>
      <c r="I252" s="31">
        <v>80</v>
      </c>
      <c r="J252" s="28">
        <v>0.29650488699999999</v>
      </c>
      <c r="K252" s="28">
        <v>1.5816513219999999</v>
      </c>
      <c r="L252" s="29">
        <v>0.13185395</v>
      </c>
      <c r="M252" s="16">
        <v>-23.5</v>
      </c>
      <c r="N252" s="39" t="e">
        <v>#N/A</v>
      </c>
      <c r="O252" s="39" t="e">
        <v>#N/A</v>
      </c>
      <c r="P252" s="39" t="e">
        <v>#N/A</v>
      </c>
      <c r="Q252" s="39" t="e">
        <v>#N/A</v>
      </c>
      <c r="R252" s="15">
        <v>1606176000</v>
      </c>
      <c r="S252" t="s">
        <v>23</v>
      </c>
    </row>
    <row r="253" spans="1:19" ht="16" x14ac:dyDescent="0.2">
      <c r="A253" s="27" t="s">
        <v>293</v>
      </c>
      <c r="B253" s="16">
        <v>3.5000000000000003E-2</v>
      </c>
      <c r="C253" s="16">
        <v>4.4000000000000004</v>
      </c>
      <c r="D253" s="28">
        <v>1.394464489</v>
      </c>
      <c r="E253" s="30">
        <v>209875.99900000001</v>
      </c>
      <c r="F253" s="30">
        <v>370193.17210000003</v>
      </c>
      <c r="G253" s="30" t="s">
        <v>285</v>
      </c>
      <c r="H253" s="30" t="s">
        <v>43</v>
      </c>
      <c r="I253" s="31">
        <v>90</v>
      </c>
      <c r="J253" s="28">
        <v>0.199936687</v>
      </c>
      <c r="K253" s="28">
        <v>1.3916764429999999</v>
      </c>
      <c r="L253" s="29">
        <v>0.13826179999999999</v>
      </c>
      <c r="M253" s="16">
        <v>-24.9</v>
      </c>
      <c r="N253" s="39" t="e">
        <v>#N/A</v>
      </c>
      <c r="O253" s="39" t="e">
        <v>#N/A</v>
      </c>
      <c r="P253" s="39" t="e">
        <v>#N/A</v>
      </c>
      <c r="Q253" s="39" t="e">
        <v>#N/A</v>
      </c>
      <c r="R253" s="15">
        <v>1606176000</v>
      </c>
      <c r="S253" t="s">
        <v>23</v>
      </c>
    </row>
    <row r="254" spans="1:19" ht="16" x14ac:dyDescent="0.2">
      <c r="A254" s="27" t="s">
        <v>294</v>
      </c>
      <c r="B254" s="16">
        <v>2.9000000000000001E-2</v>
      </c>
      <c r="C254" s="16">
        <v>4.0999999999999996</v>
      </c>
      <c r="D254" s="28">
        <v>1.249627094</v>
      </c>
      <c r="E254" s="30">
        <v>209875.99900000001</v>
      </c>
      <c r="F254" s="30">
        <v>370193.17210000003</v>
      </c>
      <c r="G254" s="30" t="s">
        <v>285</v>
      </c>
      <c r="H254" s="30" t="s">
        <v>43</v>
      </c>
      <c r="I254" s="31">
        <v>100</v>
      </c>
      <c r="J254" s="28">
        <v>0</v>
      </c>
      <c r="K254" s="28">
        <v>1.249627094</v>
      </c>
      <c r="L254" s="29">
        <v>9.8766719000000003E-2</v>
      </c>
      <c r="M254" s="16">
        <v>-25</v>
      </c>
      <c r="N254" s="39" t="e">
        <v>#N/A</v>
      </c>
      <c r="O254" s="39" t="e">
        <v>#N/A</v>
      </c>
      <c r="P254" s="39" t="e">
        <v>#N/A</v>
      </c>
      <c r="Q254" s="39" t="e">
        <v>#N/A</v>
      </c>
      <c r="R254" s="15">
        <v>1606176000</v>
      </c>
      <c r="S254" t="s">
        <v>23</v>
      </c>
    </row>
    <row r="255" spans="1:19" ht="16" x14ac:dyDescent="0.2">
      <c r="A255" s="27" t="s">
        <v>295</v>
      </c>
      <c r="B255" s="16">
        <v>0.15</v>
      </c>
      <c r="C255" s="16">
        <v>5.7</v>
      </c>
      <c r="D255" s="28">
        <v>1.5261082130000001</v>
      </c>
      <c r="E255" s="30">
        <v>209868.28450000001</v>
      </c>
      <c r="F255" s="30">
        <v>370205.22879999998</v>
      </c>
      <c r="G255" s="30" t="s">
        <v>285</v>
      </c>
      <c r="H255" s="30" t="s">
        <v>68</v>
      </c>
      <c r="I255" s="31">
        <v>10</v>
      </c>
      <c r="J255" s="28">
        <v>10.35583638</v>
      </c>
      <c r="K255" s="28">
        <v>1.368066944</v>
      </c>
      <c r="L255" s="29">
        <v>1.3354407660000001</v>
      </c>
      <c r="M255" s="16">
        <v>-23.5</v>
      </c>
      <c r="N255" s="39" t="e">
        <v>#N/A</v>
      </c>
      <c r="O255" s="39" t="e">
        <v>#N/A</v>
      </c>
      <c r="P255" s="39" t="e">
        <v>#N/A</v>
      </c>
      <c r="Q255" s="39" t="e">
        <v>#N/A</v>
      </c>
      <c r="R255" s="15">
        <v>1606176000</v>
      </c>
      <c r="S255" t="s">
        <v>23</v>
      </c>
    </row>
    <row r="256" spans="1:19" ht="16" x14ac:dyDescent="0.2">
      <c r="A256" s="27" t="s">
        <v>296</v>
      </c>
      <c r="B256" s="16">
        <v>0.14000000000000001</v>
      </c>
      <c r="C256" s="16">
        <v>5.9</v>
      </c>
      <c r="D256" s="28">
        <v>1.5363479799999999</v>
      </c>
      <c r="E256" s="30">
        <v>209868.28450000001</v>
      </c>
      <c r="F256" s="30">
        <v>370205.22879999998</v>
      </c>
      <c r="G256" s="30" t="s">
        <v>285</v>
      </c>
      <c r="H256" s="30" t="s">
        <v>68</v>
      </c>
      <c r="I256" s="31">
        <v>20</v>
      </c>
      <c r="J256" s="28">
        <v>6.070425578</v>
      </c>
      <c r="K256" s="28">
        <v>1.443085119</v>
      </c>
      <c r="L256" s="29">
        <v>1.2360586600000001</v>
      </c>
      <c r="M256" s="16">
        <v>-23.3</v>
      </c>
      <c r="N256" s="39" t="e">
        <v>#N/A</v>
      </c>
      <c r="O256" s="39" t="e">
        <v>#N/A</v>
      </c>
      <c r="P256" s="39" t="e">
        <v>#N/A</v>
      </c>
      <c r="Q256" s="39" t="e">
        <v>#N/A</v>
      </c>
      <c r="R256" s="15">
        <v>1606176000</v>
      </c>
      <c r="S256" t="s">
        <v>23</v>
      </c>
    </row>
    <row r="257" spans="1:19" ht="16" x14ac:dyDescent="0.2">
      <c r="A257" s="27" t="s">
        <v>297</v>
      </c>
      <c r="B257" s="16">
        <v>7.3999999999999996E-2</v>
      </c>
      <c r="C257" s="16">
        <v>6.3</v>
      </c>
      <c r="D257" s="28">
        <v>1.4971269439999999</v>
      </c>
      <c r="E257" s="30">
        <v>209868.28450000001</v>
      </c>
      <c r="F257" s="30">
        <v>370205.22879999998</v>
      </c>
      <c r="G257" s="30" t="s">
        <v>285</v>
      </c>
      <c r="H257" s="30" t="s">
        <v>68</v>
      </c>
      <c r="I257" s="31">
        <v>30</v>
      </c>
      <c r="J257" s="28">
        <v>7.0252396859999999</v>
      </c>
      <c r="K257" s="28">
        <v>1.3919501869999999</v>
      </c>
      <c r="L257" s="29">
        <v>0.56535526300000005</v>
      </c>
      <c r="M257" s="16">
        <v>-23.8</v>
      </c>
      <c r="N257" s="39" t="e">
        <v>#N/A</v>
      </c>
      <c r="O257" s="39" t="e">
        <v>#N/A</v>
      </c>
      <c r="P257" s="39" t="e">
        <v>#N/A</v>
      </c>
      <c r="Q257" s="39" t="e">
        <v>#N/A</v>
      </c>
      <c r="R257" s="15">
        <v>1606176000</v>
      </c>
      <c r="S257" t="s">
        <v>23</v>
      </c>
    </row>
    <row r="258" spans="1:19" ht="16" x14ac:dyDescent="0.2">
      <c r="A258" s="27" t="s">
        <v>298</v>
      </c>
      <c r="B258" s="16">
        <v>5.5E-2</v>
      </c>
      <c r="C258" s="16">
        <v>6.2</v>
      </c>
      <c r="D258" s="28">
        <v>1.5278487409999999</v>
      </c>
      <c r="E258" s="30">
        <v>209868.28450000001</v>
      </c>
      <c r="F258" s="30">
        <v>370205.22879999998</v>
      </c>
      <c r="G258" s="30" t="s">
        <v>285</v>
      </c>
      <c r="H258" s="30" t="s">
        <v>68</v>
      </c>
      <c r="I258" s="31">
        <v>40</v>
      </c>
      <c r="J258" s="28">
        <v>3.0465444289999999</v>
      </c>
      <c r="K258" s="28">
        <v>1.481302151</v>
      </c>
      <c r="L258" s="29">
        <v>0.38715060200000001</v>
      </c>
      <c r="M258" s="16">
        <v>-23.8</v>
      </c>
      <c r="N258" s="39" t="e">
        <v>#N/A</v>
      </c>
      <c r="O258" s="39" t="e">
        <v>#N/A</v>
      </c>
      <c r="P258" s="39" t="e">
        <v>#N/A</v>
      </c>
      <c r="Q258" s="39" t="e">
        <v>#N/A</v>
      </c>
      <c r="R258" s="15">
        <v>1606176000</v>
      </c>
      <c r="S258" t="s">
        <v>23</v>
      </c>
    </row>
    <row r="259" spans="1:19" ht="16" x14ac:dyDescent="0.2">
      <c r="A259" s="27" t="s">
        <v>299</v>
      </c>
      <c r="B259" s="16">
        <v>0.04</v>
      </c>
      <c r="C259" s="16">
        <v>5</v>
      </c>
      <c r="D259" s="28">
        <v>1.7168754100000001</v>
      </c>
      <c r="E259" s="30">
        <v>209868.28450000001</v>
      </c>
      <c r="F259" s="30">
        <v>370205.22879999998</v>
      </c>
      <c r="G259" s="30" t="s">
        <v>285</v>
      </c>
      <c r="H259" s="30" t="s">
        <v>68</v>
      </c>
      <c r="I259" s="31">
        <v>50</v>
      </c>
      <c r="J259" s="28">
        <v>1.1707430160000001</v>
      </c>
      <c r="K259" s="28">
        <v>1.6967752110000001</v>
      </c>
      <c r="L259" s="29">
        <v>0.207284627</v>
      </c>
      <c r="M259" s="16">
        <v>-23.35</v>
      </c>
      <c r="N259" s="39" t="e">
        <v>#N/A</v>
      </c>
      <c r="O259" s="39" t="e">
        <v>#N/A</v>
      </c>
      <c r="P259" s="39" t="e">
        <v>#N/A</v>
      </c>
      <c r="Q259" s="39" t="e">
        <v>#N/A</v>
      </c>
      <c r="R259" s="15">
        <v>1606176000</v>
      </c>
      <c r="S259" t="s">
        <v>23</v>
      </c>
    </row>
    <row r="260" spans="1:19" ht="16" x14ac:dyDescent="0.2">
      <c r="A260" s="27" t="s">
        <v>300</v>
      </c>
      <c r="B260" s="16">
        <v>2.9000000000000001E-2</v>
      </c>
      <c r="C260" s="16">
        <v>3.7</v>
      </c>
      <c r="D260" s="28">
        <v>1.695540453</v>
      </c>
      <c r="E260" s="30">
        <v>209868.28450000001</v>
      </c>
      <c r="F260" s="30">
        <v>370205.22879999998</v>
      </c>
      <c r="G260" s="30" t="s">
        <v>285</v>
      </c>
      <c r="H260" s="30" t="s">
        <v>68</v>
      </c>
      <c r="I260" s="31">
        <v>60</v>
      </c>
      <c r="J260" s="28">
        <v>0.231100471</v>
      </c>
      <c r="K260" s="28">
        <v>1.691622051</v>
      </c>
      <c r="L260" s="29">
        <v>0.10908997099999999</v>
      </c>
      <c r="M260" s="16">
        <v>-24.7</v>
      </c>
      <c r="N260" s="39" t="e">
        <v>#N/A</v>
      </c>
      <c r="O260" s="39" t="e">
        <v>#N/A</v>
      </c>
      <c r="P260" s="39" t="e">
        <v>#N/A</v>
      </c>
      <c r="Q260" s="39" t="e">
        <v>#N/A</v>
      </c>
      <c r="R260" s="15">
        <v>1606176000</v>
      </c>
      <c r="S260" t="s">
        <v>23</v>
      </c>
    </row>
    <row r="261" spans="1:19" ht="16" x14ac:dyDescent="0.2">
      <c r="A261" s="27" t="s">
        <v>301</v>
      </c>
      <c r="B261" s="16">
        <v>2.9000000000000001E-2</v>
      </c>
      <c r="C261" s="16">
        <v>3.3</v>
      </c>
      <c r="D261" s="28">
        <v>1.477680487</v>
      </c>
      <c r="E261" s="30">
        <v>209868.28450000001</v>
      </c>
      <c r="F261" s="30">
        <v>370205.22879999998</v>
      </c>
      <c r="G261" s="30" t="s">
        <v>285</v>
      </c>
      <c r="H261" s="30" t="s">
        <v>68</v>
      </c>
      <c r="I261" s="31">
        <v>70</v>
      </c>
      <c r="J261" s="28">
        <v>4.1180056E-2</v>
      </c>
      <c r="K261" s="28">
        <v>1.4770719779999999</v>
      </c>
      <c r="L261" s="29">
        <v>9.0581757999999998E-2</v>
      </c>
      <c r="M261" s="16">
        <v>-26.4</v>
      </c>
      <c r="N261" s="39" t="e">
        <v>#N/A</v>
      </c>
      <c r="O261" s="39" t="e">
        <v>#N/A</v>
      </c>
      <c r="P261" s="39" t="e">
        <v>#N/A</v>
      </c>
      <c r="Q261" s="39" t="e">
        <v>#N/A</v>
      </c>
      <c r="R261" s="15">
        <v>1606176000</v>
      </c>
      <c r="S261" t="s">
        <v>23</v>
      </c>
    </row>
    <row r="262" spans="1:19" ht="16" x14ac:dyDescent="0.2">
      <c r="A262" s="27" t="s">
        <v>302</v>
      </c>
      <c r="B262" s="16">
        <v>2.9000000000000001E-2</v>
      </c>
      <c r="C262" s="16">
        <v>3.5</v>
      </c>
      <c r="D262" s="28">
        <v>1.5238311550000001</v>
      </c>
      <c r="E262" s="30">
        <v>209868.28450000001</v>
      </c>
      <c r="F262" s="30">
        <v>370205.22879999998</v>
      </c>
      <c r="G262" s="30" t="s">
        <v>285</v>
      </c>
      <c r="H262" s="30" t="s">
        <v>68</v>
      </c>
      <c r="I262" s="31">
        <v>80</v>
      </c>
      <c r="J262" s="28">
        <v>0</v>
      </c>
      <c r="K262" s="28">
        <v>1.5238311550000001</v>
      </c>
      <c r="L262" s="29">
        <v>9.0612917000000001E-2</v>
      </c>
      <c r="M262" s="16">
        <v>-25.8</v>
      </c>
      <c r="N262" s="39" t="e">
        <v>#N/A</v>
      </c>
      <c r="O262" s="39" t="e">
        <v>#N/A</v>
      </c>
      <c r="P262" s="39" t="e">
        <v>#N/A</v>
      </c>
      <c r="Q262" s="39" t="e">
        <v>#N/A</v>
      </c>
      <c r="R262" s="15">
        <v>1606176000</v>
      </c>
      <c r="S262" t="s">
        <v>23</v>
      </c>
    </row>
    <row r="263" spans="1:19" ht="16" x14ac:dyDescent="0.2">
      <c r="A263" s="27" t="s">
        <v>303</v>
      </c>
      <c r="B263" s="16">
        <v>0.13</v>
      </c>
      <c r="C263" s="16">
        <v>5.4</v>
      </c>
      <c r="D263" s="28">
        <v>1.382451428</v>
      </c>
      <c r="E263" s="30">
        <v>209860.30239999999</v>
      </c>
      <c r="F263" s="30">
        <v>370193.5062</v>
      </c>
      <c r="G263" s="30" t="s">
        <v>285</v>
      </c>
      <c r="H263" s="30" t="s">
        <v>81</v>
      </c>
      <c r="I263" s="31">
        <v>10</v>
      </c>
      <c r="J263" s="28">
        <v>1.85236975</v>
      </c>
      <c r="K263" s="28">
        <v>1.356843316</v>
      </c>
      <c r="L263" s="29">
        <v>1.156079458</v>
      </c>
      <c r="M263" s="16">
        <v>-22.7</v>
      </c>
      <c r="N263" s="39" t="e">
        <v>#N/A</v>
      </c>
      <c r="O263" s="39" t="e">
        <v>#N/A</v>
      </c>
      <c r="P263" s="39" t="e">
        <v>#N/A</v>
      </c>
      <c r="Q263" s="39" t="e">
        <v>#N/A</v>
      </c>
      <c r="R263" s="15">
        <v>1606176000</v>
      </c>
      <c r="S263" t="s">
        <v>23</v>
      </c>
    </row>
    <row r="264" spans="1:19" ht="16" x14ac:dyDescent="0.2">
      <c r="A264" s="27" t="s">
        <v>304</v>
      </c>
      <c r="B264" s="16">
        <v>0.13</v>
      </c>
      <c r="C264" s="16">
        <v>5.5</v>
      </c>
      <c r="D264" s="28">
        <v>1.4043134020000001</v>
      </c>
      <c r="E264" s="30">
        <v>209860.30239999999</v>
      </c>
      <c r="F264" s="30">
        <v>370193.5062</v>
      </c>
      <c r="G264" s="30" t="s">
        <v>285</v>
      </c>
      <c r="H264" s="30" t="s">
        <v>81</v>
      </c>
      <c r="I264" s="31">
        <v>20</v>
      </c>
      <c r="J264" s="28">
        <v>1.3814984960000001</v>
      </c>
      <c r="K264" s="28">
        <v>1.384912833</v>
      </c>
      <c r="L264" s="29">
        <v>1.178208312</v>
      </c>
      <c r="M264" s="16">
        <v>-22.7</v>
      </c>
      <c r="N264" s="39" t="e">
        <v>#N/A</v>
      </c>
      <c r="O264" s="39" t="e">
        <v>#N/A</v>
      </c>
      <c r="P264" s="39" t="e">
        <v>#N/A</v>
      </c>
      <c r="Q264" s="39" t="e">
        <v>#N/A</v>
      </c>
      <c r="R264" s="15">
        <v>1606176000</v>
      </c>
      <c r="S264" t="s">
        <v>23</v>
      </c>
    </row>
    <row r="265" spans="1:19" ht="16" x14ac:dyDescent="0.2">
      <c r="A265" s="27" t="s">
        <v>305</v>
      </c>
      <c r="B265" s="16">
        <v>6.5000000000000002E-2</v>
      </c>
      <c r="C265" s="16">
        <v>5.25</v>
      </c>
      <c r="D265" s="28">
        <v>1.4514748079999999</v>
      </c>
      <c r="E265" s="30">
        <v>209860.30239999999</v>
      </c>
      <c r="F265" s="30">
        <v>370193.5062</v>
      </c>
      <c r="G265" s="30" t="s">
        <v>285</v>
      </c>
      <c r="H265" s="30" t="s">
        <v>81</v>
      </c>
      <c r="I265" s="31">
        <v>30</v>
      </c>
      <c r="J265" s="28">
        <v>0.163129422</v>
      </c>
      <c r="K265" s="28">
        <v>1.449107025</v>
      </c>
      <c r="L265" s="29">
        <v>0.41824967699999999</v>
      </c>
      <c r="M265" s="16">
        <v>-23.1</v>
      </c>
      <c r="N265" s="39" t="e">
        <v>#N/A</v>
      </c>
      <c r="O265" s="39" t="e">
        <v>#N/A</v>
      </c>
      <c r="P265" s="39" t="e">
        <v>#N/A</v>
      </c>
      <c r="Q265" s="39" t="e">
        <v>#N/A</v>
      </c>
      <c r="R265" s="15">
        <v>1606176000</v>
      </c>
      <c r="S265" t="s">
        <v>23</v>
      </c>
    </row>
    <row r="266" spans="1:19" ht="16" x14ac:dyDescent="0.2">
      <c r="A266" s="27" t="s">
        <v>306</v>
      </c>
      <c r="B266" s="16">
        <v>6.5000000000000002E-2</v>
      </c>
      <c r="C266" s="16">
        <v>5.2</v>
      </c>
      <c r="D266" s="28">
        <v>1.354978365</v>
      </c>
      <c r="E266" s="30">
        <v>209860.30239999999</v>
      </c>
      <c r="F266" s="30">
        <v>370193.5062</v>
      </c>
      <c r="G266" s="30" t="s">
        <v>285</v>
      </c>
      <c r="H266" s="30" t="s">
        <v>81</v>
      </c>
      <c r="I266" s="31">
        <v>40</v>
      </c>
      <c r="J266" s="28">
        <v>0.45571725600000001</v>
      </c>
      <c r="K266" s="28">
        <v>1.3488034950000001</v>
      </c>
      <c r="L266" s="29">
        <v>0.54988539800000003</v>
      </c>
      <c r="M266" s="16">
        <v>-24.2</v>
      </c>
      <c r="N266" s="39" t="e">
        <v>#N/A</v>
      </c>
      <c r="O266" s="39" t="e">
        <v>#N/A</v>
      </c>
      <c r="P266" s="39" t="e">
        <v>#N/A</v>
      </c>
      <c r="Q266" s="39" t="e">
        <v>#N/A</v>
      </c>
      <c r="R266" s="15">
        <v>1606176000</v>
      </c>
      <c r="S266" t="s">
        <v>23</v>
      </c>
    </row>
    <row r="267" spans="1:19" ht="16" x14ac:dyDescent="0.2">
      <c r="A267" s="27" t="s">
        <v>307</v>
      </c>
      <c r="B267" s="16">
        <v>8.1000000000000003E-2</v>
      </c>
      <c r="C267" s="16">
        <v>5.5</v>
      </c>
      <c r="D267" s="28">
        <v>1.5281875840000001</v>
      </c>
      <c r="E267" s="30">
        <v>209860.30239999999</v>
      </c>
      <c r="F267" s="30">
        <v>370193.5062</v>
      </c>
      <c r="G267" s="30" t="s">
        <v>285</v>
      </c>
      <c r="H267" s="30" t="s">
        <v>81</v>
      </c>
      <c r="I267" s="31">
        <v>50</v>
      </c>
      <c r="J267" s="28">
        <v>0.67424168200000001</v>
      </c>
      <c r="K267" s="28">
        <v>1.517883906</v>
      </c>
      <c r="L267" s="29">
        <v>0.59994467200000001</v>
      </c>
      <c r="M267" s="16">
        <v>-23.8</v>
      </c>
      <c r="N267" s="39" t="e">
        <v>#N/A</v>
      </c>
      <c r="O267" s="39" t="e">
        <v>#N/A</v>
      </c>
      <c r="P267" s="39" t="e">
        <v>#N/A</v>
      </c>
      <c r="Q267" s="39" t="e">
        <v>#N/A</v>
      </c>
      <c r="R267" s="15">
        <v>1606176000</v>
      </c>
      <c r="S267" t="s">
        <v>23</v>
      </c>
    </row>
    <row r="268" spans="1:19" ht="16" x14ac:dyDescent="0.2">
      <c r="A268" s="27" t="s">
        <v>308</v>
      </c>
      <c r="B268" s="16">
        <v>0.1</v>
      </c>
      <c r="C268" s="16">
        <v>5.9</v>
      </c>
      <c r="D268" s="28">
        <v>1.37843581</v>
      </c>
      <c r="E268" s="30">
        <v>209860.30239999999</v>
      </c>
      <c r="F268" s="30">
        <v>370193.5062</v>
      </c>
      <c r="G268" s="30" t="s">
        <v>285</v>
      </c>
      <c r="H268" s="30" t="s">
        <v>81</v>
      </c>
      <c r="I268" s="31">
        <v>60</v>
      </c>
      <c r="J268" s="28">
        <v>2.1902647540000002</v>
      </c>
      <c r="K268" s="28">
        <v>1.348244416</v>
      </c>
      <c r="L268" s="29">
        <v>0.83873893200000005</v>
      </c>
      <c r="M268" s="16">
        <v>-24.2</v>
      </c>
      <c r="N268" s="39" t="e">
        <v>#N/A</v>
      </c>
      <c r="O268" s="39" t="e">
        <v>#N/A</v>
      </c>
      <c r="P268" s="39" t="e">
        <v>#N/A</v>
      </c>
      <c r="Q268" s="39" t="e">
        <v>#N/A</v>
      </c>
      <c r="R268" s="15">
        <v>1606176000</v>
      </c>
      <c r="S268" t="s">
        <v>23</v>
      </c>
    </row>
    <row r="269" spans="1:19" ht="16" x14ac:dyDescent="0.2">
      <c r="A269" s="27" t="s">
        <v>309</v>
      </c>
      <c r="B269" s="16">
        <v>6.5000000000000002E-2</v>
      </c>
      <c r="C269" s="16">
        <v>5.5</v>
      </c>
      <c r="D269" s="28">
        <v>1.580730145</v>
      </c>
      <c r="E269" s="30">
        <v>209860.30239999999</v>
      </c>
      <c r="F269" s="30">
        <v>370193.5062</v>
      </c>
      <c r="G269" s="30" t="s">
        <v>285</v>
      </c>
      <c r="H269" s="30" t="s">
        <v>81</v>
      </c>
      <c r="I269" s="31">
        <v>70</v>
      </c>
      <c r="J269" s="28">
        <v>0.610283358</v>
      </c>
      <c r="K269" s="28">
        <v>1.571083212</v>
      </c>
      <c r="L269" s="29">
        <v>0.47018892600000001</v>
      </c>
      <c r="M269" s="16">
        <v>-23.9</v>
      </c>
      <c r="N269" s="39" t="e">
        <v>#N/A</v>
      </c>
      <c r="O269" s="39" t="e">
        <v>#N/A</v>
      </c>
      <c r="P269" s="39" t="e">
        <v>#N/A</v>
      </c>
      <c r="Q269" s="39" t="e">
        <v>#N/A</v>
      </c>
      <c r="R269" s="15">
        <v>1606176000</v>
      </c>
      <c r="S269" t="s">
        <v>23</v>
      </c>
    </row>
    <row r="270" spans="1:19" ht="16" x14ac:dyDescent="0.2">
      <c r="A270" s="27" t="s">
        <v>310</v>
      </c>
      <c r="B270" s="16">
        <v>6.6000000000000003E-2</v>
      </c>
      <c r="C270" s="16">
        <v>5.2</v>
      </c>
      <c r="D270" s="28">
        <v>1.5919581249999999</v>
      </c>
      <c r="E270" s="30">
        <v>209860.30239999999</v>
      </c>
      <c r="F270" s="30">
        <v>370193.5062</v>
      </c>
      <c r="G270" s="30" t="s">
        <v>285</v>
      </c>
      <c r="H270" s="30" t="s">
        <v>81</v>
      </c>
      <c r="I270" s="31">
        <v>80</v>
      </c>
      <c r="J270" s="28">
        <v>1.639452634</v>
      </c>
      <c r="K270" s="28">
        <v>1.5658587260000001</v>
      </c>
      <c r="L270" s="29">
        <v>0.44918388100000001</v>
      </c>
      <c r="M270" s="16">
        <v>-23.9</v>
      </c>
      <c r="N270" s="39" t="e">
        <v>#N/A</v>
      </c>
      <c r="O270" s="39" t="e">
        <v>#N/A</v>
      </c>
      <c r="P270" s="39" t="e">
        <v>#N/A</v>
      </c>
      <c r="Q270" s="39" t="e">
        <v>#N/A</v>
      </c>
      <c r="R270" s="15">
        <v>1606176000</v>
      </c>
      <c r="S270" t="s">
        <v>23</v>
      </c>
    </row>
    <row r="271" spans="1:19" ht="16" x14ac:dyDescent="0.2">
      <c r="A271" s="27" t="s">
        <v>311</v>
      </c>
      <c r="B271" s="16">
        <v>5.7000000000000002E-2</v>
      </c>
      <c r="C271" s="16">
        <v>4.5999999999999996</v>
      </c>
      <c r="D271" s="28">
        <v>1.6664868500000001</v>
      </c>
      <c r="E271" s="30">
        <v>209860.30239999999</v>
      </c>
      <c r="F271" s="30">
        <v>370193.5062</v>
      </c>
      <c r="G271" s="30" t="s">
        <v>285</v>
      </c>
      <c r="H271" s="30" t="s">
        <v>81</v>
      </c>
      <c r="I271" s="31">
        <v>90</v>
      </c>
      <c r="J271" s="28">
        <v>0.29607820400000001</v>
      </c>
      <c r="K271" s="28">
        <v>1.6615527459999999</v>
      </c>
      <c r="L271" s="29">
        <v>0.37168725600000002</v>
      </c>
      <c r="M271" s="16">
        <v>-24.1</v>
      </c>
      <c r="N271" s="39" t="e">
        <v>#N/A</v>
      </c>
      <c r="O271" s="39" t="e">
        <v>#N/A</v>
      </c>
      <c r="P271" s="39" t="e">
        <v>#N/A</v>
      </c>
      <c r="Q271" s="39" t="e">
        <v>#N/A</v>
      </c>
      <c r="R271" s="15">
        <v>1606176000</v>
      </c>
      <c r="S271" t="s">
        <v>23</v>
      </c>
    </row>
    <row r="272" spans="1:19" ht="16" x14ac:dyDescent="0.2">
      <c r="A272" s="27" t="s">
        <v>312</v>
      </c>
      <c r="B272" s="16">
        <v>2.7E-2</v>
      </c>
      <c r="C272" s="16">
        <v>3.7</v>
      </c>
      <c r="D272" s="28">
        <v>1.3098859030000001</v>
      </c>
      <c r="E272" s="30">
        <v>209860.30239999999</v>
      </c>
      <c r="F272" s="30">
        <v>370193.5062</v>
      </c>
      <c r="G272" s="30" t="s">
        <v>285</v>
      </c>
      <c r="H272" s="30" t="s">
        <v>81</v>
      </c>
      <c r="I272" s="31">
        <v>100</v>
      </c>
      <c r="J272" s="28">
        <v>0</v>
      </c>
      <c r="K272" s="28">
        <v>1.3098859030000001</v>
      </c>
      <c r="L272" s="29">
        <v>0.12000242</v>
      </c>
      <c r="M272" s="16">
        <v>-25.9</v>
      </c>
      <c r="N272" s="39" t="e">
        <v>#N/A</v>
      </c>
      <c r="O272" s="39" t="e">
        <v>#N/A</v>
      </c>
      <c r="P272" s="39" t="e">
        <v>#N/A</v>
      </c>
      <c r="Q272" s="39" t="e">
        <v>#N/A</v>
      </c>
      <c r="R272" s="15">
        <v>1606176000</v>
      </c>
      <c r="S272" t="s">
        <v>23</v>
      </c>
    </row>
    <row r="273" spans="1:19" ht="16" x14ac:dyDescent="0.2">
      <c r="A273" s="27" t="s">
        <v>313</v>
      </c>
      <c r="B273" s="16">
        <v>9.6500000000000002E-2</v>
      </c>
      <c r="C273" s="16">
        <v>5.05</v>
      </c>
      <c r="D273" s="28">
        <v>1.4643327820000001</v>
      </c>
      <c r="E273" s="30">
        <v>208120.5123</v>
      </c>
      <c r="F273" s="30">
        <v>365491.67170000001</v>
      </c>
      <c r="G273" s="30" t="s">
        <v>314</v>
      </c>
      <c r="H273" s="30" t="s">
        <v>43</v>
      </c>
      <c r="I273" s="31">
        <v>10</v>
      </c>
      <c r="J273" s="28">
        <v>9.1026446999999996E-2</v>
      </c>
      <c r="K273" s="28">
        <v>1.462999852</v>
      </c>
      <c r="L273" s="29">
        <v>0.80018222800000005</v>
      </c>
      <c r="M273" s="16">
        <v>-22.05</v>
      </c>
      <c r="N273" s="39" t="e">
        <v>#N/A</v>
      </c>
      <c r="O273" s="39" t="e">
        <v>#N/A</v>
      </c>
      <c r="P273" s="39" t="e">
        <v>#N/A</v>
      </c>
      <c r="Q273" s="39" t="e">
        <v>#N/A</v>
      </c>
      <c r="R273" s="15">
        <v>1606003200</v>
      </c>
      <c r="S273" t="s">
        <v>23</v>
      </c>
    </row>
    <row r="274" spans="1:19" ht="16" x14ac:dyDescent="0.2">
      <c r="A274" s="27" t="s">
        <v>315</v>
      </c>
      <c r="B274" s="16">
        <v>0.1</v>
      </c>
      <c r="C274" s="16">
        <v>4.9000000000000004</v>
      </c>
      <c r="D274" s="28">
        <v>1.4799865999999999</v>
      </c>
      <c r="E274" s="30">
        <v>208120.5123</v>
      </c>
      <c r="F274" s="30">
        <v>365491.67170000001</v>
      </c>
      <c r="G274" s="30" t="s">
        <v>314</v>
      </c>
      <c r="H274" s="30" t="s">
        <v>43</v>
      </c>
      <c r="I274" s="31">
        <v>20</v>
      </c>
      <c r="J274" s="28">
        <v>0</v>
      </c>
      <c r="K274" s="28">
        <v>1.4799865999999999</v>
      </c>
      <c r="L274" s="29">
        <v>0.87509480399999995</v>
      </c>
      <c r="M274" s="16">
        <v>-22</v>
      </c>
      <c r="N274" s="39" t="e">
        <v>#N/A</v>
      </c>
      <c r="O274" s="39" t="e">
        <v>#N/A</v>
      </c>
      <c r="P274" s="39" t="e">
        <v>#N/A</v>
      </c>
      <c r="Q274" s="39" t="e">
        <v>#N/A</v>
      </c>
      <c r="R274" s="15">
        <v>1606003200</v>
      </c>
      <c r="S274" t="s">
        <v>23</v>
      </c>
    </row>
    <row r="275" spans="1:19" ht="16" x14ac:dyDescent="0.2">
      <c r="A275" s="27" t="s">
        <v>316</v>
      </c>
      <c r="B275" s="16">
        <v>0.12</v>
      </c>
      <c r="C275" s="16">
        <v>5.6</v>
      </c>
      <c r="D275" s="28">
        <v>1.430468289</v>
      </c>
      <c r="E275" s="30">
        <v>208120.5123</v>
      </c>
      <c r="F275" s="30">
        <v>365491.67170000001</v>
      </c>
      <c r="G275" s="30" t="s">
        <v>314</v>
      </c>
      <c r="H275" s="30" t="s">
        <v>43</v>
      </c>
      <c r="I275" s="31">
        <v>30</v>
      </c>
      <c r="J275" s="28">
        <v>9.3672965999999996E-2</v>
      </c>
      <c r="K275" s="28">
        <v>1.4291283260000001</v>
      </c>
      <c r="L275" s="29">
        <v>1.041618736</v>
      </c>
      <c r="M275" s="16">
        <v>-22.7</v>
      </c>
      <c r="N275" s="39" t="e">
        <v>#N/A</v>
      </c>
      <c r="O275" s="39" t="e">
        <v>#N/A</v>
      </c>
      <c r="P275" s="39" t="e">
        <v>#N/A</v>
      </c>
      <c r="Q275" s="39" t="e">
        <v>#N/A</v>
      </c>
      <c r="R275" s="15">
        <v>1606003200</v>
      </c>
      <c r="S275" t="s">
        <v>23</v>
      </c>
    </row>
    <row r="276" spans="1:19" ht="16" x14ac:dyDescent="0.2">
      <c r="A276" s="27" t="s">
        <v>317</v>
      </c>
      <c r="B276" s="16">
        <v>6.5000000000000002E-2</v>
      </c>
      <c r="C276" s="16">
        <v>5.9</v>
      </c>
      <c r="D276" s="28">
        <v>1.5092803379999999</v>
      </c>
      <c r="E276" s="30">
        <v>208120.5123</v>
      </c>
      <c r="F276" s="30">
        <v>365491.67170000001</v>
      </c>
      <c r="G276" s="30" t="s">
        <v>314</v>
      </c>
      <c r="H276" s="30" t="s">
        <v>43</v>
      </c>
      <c r="I276" s="31">
        <v>40</v>
      </c>
      <c r="J276" s="28">
        <v>1.1578285749999999</v>
      </c>
      <c r="K276" s="28">
        <v>1.4918054590000001</v>
      </c>
      <c r="L276" s="29">
        <v>0.46914718999999999</v>
      </c>
      <c r="M276" s="16">
        <v>-22.8</v>
      </c>
      <c r="N276" s="39" t="e">
        <v>#N/A</v>
      </c>
      <c r="O276" s="39" t="e">
        <v>#N/A</v>
      </c>
      <c r="P276" s="39" t="e">
        <v>#N/A</v>
      </c>
      <c r="Q276" s="39" t="e">
        <v>#N/A</v>
      </c>
      <c r="R276" s="15">
        <v>1606003200</v>
      </c>
      <c r="S276" t="s">
        <v>23</v>
      </c>
    </row>
    <row r="277" spans="1:19" ht="16" x14ac:dyDescent="0.2">
      <c r="A277" s="27" t="s">
        <v>318</v>
      </c>
      <c r="B277" s="16">
        <v>5.1999999999999998E-2</v>
      </c>
      <c r="C277" s="16">
        <v>5.8</v>
      </c>
      <c r="D277" s="28">
        <v>1.381877432</v>
      </c>
      <c r="E277" s="30">
        <v>208120.5123</v>
      </c>
      <c r="F277" s="30">
        <v>365491.67170000001</v>
      </c>
      <c r="G277" s="30" t="s">
        <v>314</v>
      </c>
      <c r="H277" s="30" t="s">
        <v>43</v>
      </c>
      <c r="I277" s="31">
        <v>50</v>
      </c>
      <c r="J277" s="28">
        <v>0.22588360399999999</v>
      </c>
      <c r="K277" s="28">
        <v>1.3787559970000001</v>
      </c>
      <c r="L277" s="29">
        <v>0.30191996900000001</v>
      </c>
      <c r="M277" s="16">
        <v>-22.2</v>
      </c>
      <c r="N277" s="39" t="e">
        <v>#N/A</v>
      </c>
      <c r="O277" s="39" t="e">
        <v>#N/A</v>
      </c>
      <c r="P277" s="39" t="e">
        <v>#N/A</v>
      </c>
      <c r="Q277" s="39" t="e">
        <v>#N/A</v>
      </c>
      <c r="R277" s="15">
        <v>1606003200</v>
      </c>
      <c r="S277" t="s">
        <v>23</v>
      </c>
    </row>
    <row r="278" spans="1:19" ht="16" x14ac:dyDescent="0.2">
      <c r="A278" s="27" t="s">
        <v>319</v>
      </c>
      <c r="B278" s="16">
        <v>4.2000000000000003E-2</v>
      </c>
      <c r="C278" s="16">
        <v>5.2</v>
      </c>
      <c r="D278" s="28">
        <v>1.5014122400000001</v>
      </c>
      <c r="E278" s="30">
        <v>208120.5123</v>
      </c>
      <c r="F278" s="30">
        <v>365491.67170000001</v>
      </c>
      <c r="G278" s="30" t="s">
        <v>314</v>
      </c>
      <c r="H278" s="30" t="s">
        <v>43</v>
      </c>
      <c r="I278" s="31">
        <v>60</v>
      </c>
      <c r="J278" s="28">
        <v>0.38236170400000002</v>
      </c>
      <c r="K278" s="28">
        <v>1.495671414</v>
      </c>
      <c r="L278" s="29">
        <v>0.195571468</v>
      </c>
      <c r="M278" s="16">
        <v>-22.5</v>
      </c>
      <c r="N278" s="39" t="e">
        <v>#N/A</v>
      </c>
      <c r="O278" s="39" t="e">
        <v>#N/A</v>
      </c>
      <c r="P278" s="39" t="e">
        <v>#N/A</v>
      </c>
      <c r="Q278" s="39" t="e">
        <v>#N/A</v>
      </c>
      <c r="R278" s="15">
        <v>1606003200</v>
      </c>
      <c r="S278" t="s">
        <v>23</v>
      </c>
    </row>
    <row r="279" spans="1:19" ht="16" x14ac:dyDescent="0.2">
      <c r="A279" s="27" t="s">
        <v>320</v>
      </c>
      <c r="B279" s="16">
        <v>3.5000000000000003E-2</v>
      </c>
      <c r="C279" s="16">
        <v>4.5999999999999996</v>
      </c>
      <c r="D279" s="28">
        <v>1.652923522</v>
      </c>
      <c r="E279" s="30">
        <v>208120.5123</v>
      </c>
      <c r="F279" s="30">
        <v>365491.67170000001</v>
      </c>
      <c r="G279" s="30" t="s">
        <v>314</v>
      </c>
      <c r="H279" s="30" t="s">
        <v>43</v>
      </c>
      <c r="I279" s="31">
        <v>70</v>
      </c>
      <c r="J279" s="28">
        <v>0</v>
      </c>
      <c r="K279" s="28">
        <v>1.652923522</v>
      </c>
      <c r="L279" s="29">
        <v>0.163205086</v>
      </c>
      <c r="M279" s="16">
        <v>-24.1</v>
      </c>
      <c r="N279" s="39" t="e">
        <v>#N/A</v>
      </c>
      <c r="O279" s="39" t="e">
        <v>#N/A</v>
      </c>
      <c r="P279" s="39" t="e">
        <v>#N/A</v>
      </c>
      <c r="Q279" s="39" t="e">
        <v>#N/A</v>
      </c>
      <c r="R279" s="15">
        <v>1606003200</v>
      </c>
      <c r="S279" t="s">
        <v>23</v>
      </c>
    </row>
    <row r="280" spans="1:19" ht="16" x14ac:dyDescent="0.2">
      <c r="A280" s="27" t="s">
        <v>321</v>
      </c>
      <c r="B280" s="16">
        <v>3.0499999999999999E-2</v>
      </c>
      <c r="C280" s="16">
        <v>4.0999999999999996</v>
      </c>
      <c r="D280" s="28">
        <v>1.3500027139999999</v>
      </c>
      <c r="E280" s="30">
        <v>208120.5123</v>
      </c>
      <c r="F280" s="30">
        <v>365491.67170000001</v>
      </c>
      <c r="G280" s="30" t="s">
        <v>314</v>
      </c>
      <c r="H280" s="30" t="s">
        <v>43</v>
      </c>
      <c r="I280" s="31">
        <v>80</v>
      </c>
      <c r="J280" s="28">
        <v>0.16820580500000001</v>
      </c>
      <c r="K280" s="28">
        <v>1.347731931</v>
      </c>
      <c r="L280" s="29">
        <v>0.123583344</v>
      </c>
      <c r="M280" s="16">
        <v>-25</v>
      </c>
      <c r="N280" s="39" t="e">
        <v>#N/A</v>
      </c>
      <c r="O280" s="39" t="e">
        <v>#N/A</v>
      </c>
      <c r="P280" s="39" t="e">
        <v>#N/A</v>
      </c>
      <c r="Q280" s="39" t="e">
        <v>#N/A</v>
      </c>
      <c r="R280" s="15">
        <v>1606003200</v>
      </c>
      <c r="S280" t="s">
        <v>23</v>
      </c>
    </row>
    <row r="281" spans="1:19" ht="16" x14ac:dyDescent="0.2">
      <c r="A281" s="27" t="s">
        <v>322</v>
      </c>
      <c r="B281" s="16">
        <v>2.5999999999999999E-2</v>
      </c>
      <c r="C281" s="16">
        <v>2.9</v>
      </c>
      <c r="D281" s="28">
        <v>1.5064232369999999</v>
      </c>
      <c r="E281" s="30">
        <v>208120.5123</v>
      </c>
      <c r="F281" s="30">
        <v>365491.67170000001</v>
      </c>
      <c r="G281" s="30" t="s">
        <v>314</v>
      </c>
      <c r="H281" s="30" t="s">
        <v>43</v>
      </c>
      <c r="I281" s="31">
        <v>90</v>
      </c>
      <c r="J281" s="28">
        <v>1.9809499000000001E-2</v>
      </c>
      <c r="K281" s="28">
        <v>1.5061248229999999</v>
      </c>
      <c r="L281" s="29">
        <v>0.10279571699999999</v>
      </c>
      <c r="M281" s="16">
        <v>-25</v>
      </c>
      <c r="N281" s="39" t="e">
        <v>#N/A</v>
      </c>
      <c r="O281" s="39" t="e">
        <v>#N/A</v>
      </c>
      <c r="P281" s="39" t="e">
        <v>#N/A</v>
      </c>
      <c r="Q281" s="39" t="e">
        <v>#N/A</v>
      </c>
      <c r="R281" s="15">
        <v>1606003200</v>
      </c>
      <c r="S281" t="s">
        <v>23</v>
      </c>
    </row>
    <row r="282" spans="1:19" ht="16" x14ac:dyDescent="0.2">
      <c r="A282" s="27" t="s">
        <v>323</v>
      </c>
      <c r="B282" s="16">
        <v>2.5999999999999999E-2</v>
      </c>
      <c r="C282" s="16">
        <v>2.9</v>
      </c>
      <c r="D282" s="28">
        <v>1.5677667900000001</v>
      </c>
      <c r="E282" s="30">
        <v>208120.5123</v>
      </c>
      <c r="F282" s="30">
        <v>365491.67170000001</v>
      </c>
      <c r="G282" s="30" t="s">
        <v>314</v>
      </c>
      <c r="H282" s="30" t="s">
        <v>43</v>
      </c>
      <c r="I282" s="31">
        <v>100</v>
      </c>
      <c r="J282" s="28">
        <v>7.967863E-2</v>
      </c>
      <c r="K282" s="28">
        <v>1.566517615</v>
      </c>
      <c r="L282" s="29">
        <v>8.4805353E-2</v>
      </c>
      <c r="M282" s="16">
        <v>-27.5</v>
      </c>
      <c r="N282" s="39" t="e">
        <v>#N/A</v>
      </c>
      <c r="O282" s="39" t="e">
        <v>#N/A</v>
      </c>
      <c r="P282" s="39" t="e">
        <v>#N/A</v>
      </c>
      <c r="Q282" s="39" t="e">
        <v>#N/A</v>
      </c>
      <c r="R282" s="15">
        <v>1606003200</v>
      </c>
      <c r="S282" t="s">
        <v>23</v>
      </c>
    </row>
    <row r="283" spans="1:19" ht="16" x14ac:dyDescent="0.2">
      <c r="A283" s="27" t="s">
        <v>324</v>
      </c>
      <c r="B283" s="16">
        <v>2.5000000000000001E-2</v>
      </c>
      <c r="C283" s="16">
        <v>3.1</v>
      </c>
      <c r="D283" s="28">
        <v>1.671664963</v>
      </c>
      <c r="E283" s="30">
        <v>208120.5123</v>
      </c>
      <c r="F283" s="30">
        <v>365491.67170000001</v>
      </c>
      <c r="G283" s="30" t="s">
        <v>314</v>
      </c>
      <c r="H283" s="30" t="s">
        <v>43</v>
      </c>
      <c r="I283" s="31">
        <v>110</v>
      </c>
      <c r="J283" s="28">
        <v>0.25717177400000002</v>
      </c>
      <c r="K283" s="28">
        <v>1.667365913</v>
      </c>
      <c r="L283" s="29">
        <v>7.6715329999999998E-2</v>
      </c>
      <c r="M283" s="16">
        <v>-26.9</v>
      </c>
      <c r="N283" s="39" t="e">
        <v>#N/A</v>
      </c>
      <c r="O283" s="39" t="e">
        <v>#N/A</v>
      </c>
      <c r="P283" s="39" t="e">
        <v>#N/A</v>
      </c>
      <c r="Q283" s="39" t="e">
        <v>#N/A</v>
      </c>
      <c r="R283" s="15">
        <v>1606003200</v>
      </c>
      <c r="S283" t="s">
        <v>23</v>
      </c>
    </row>
    <row r="284" spans="1:19" ht="16" x14ac:dyDescent="0.2">
      <c r="A284" s="27" t="s">
        <v>325</v>
      </c>
      <c r="B284" s="16">
        <v>0.1</v>
      </c>
      <c r="C284" s="16">
        <v>5</v>
      </c>
      <c r="D284" s="28">
        <v>1.3215758310000001</v>
      </c>
      <c r="E284" s="30">
        <v>208112.7346</v>
      </c>
      <c r="F284" s="30">
        <v>365503.91110000003</v>
      </c>
      <c r="G284" s="30" t="s">
        <v>314</v>
      </c>
      <c r="H284" s="30" t="s">
        <v>68</v>
      </c>
      <c r="I284" s="31">
        <v>10</v>
      </c>
      <c r="J284" s="28">
        <v>0.54469984100000002</v>
      </c>
      <c r="K284" s="28">
        <v>1.31437721</v>
      </c>
      <c r="L284" s="29">
        <v>0.85926555000000004</v>
      </c>
      <c r="M284" s="16">
        <v>-23.3</v>
      </c>
      <c r="N284" s="39" t="e">
        <v>#N/A</v>
      </c>
      <c r="O284" s="39" t="e">
        <v>#N/A</v>
      </c>
      <c r="P284" s="39" t="e">
        <v>#N/A</v>
      </c>
      <c r="Q284" s="39" t="e">
        <v>#N/A</v>
      </c>
      <c r="R284" s="15">
        <v>1606003200</v>
      </c>
      <c r="S284" t="s">
        <v>23</v>
      </c>
    </row>
    <row r="285" spans="1:19" ht="16" x14ac:dyDescent="0.2">
      <c r="A285" s="27" t="s">
        <v>326</v>
      </c>
      <c r="B285" s="16">
        <v>0.11</v>
      </c>
      <c r="C285" s="16">
        <v>5.5</v>
      </c>
      <c r="D285" s="28">
        <v>1.330588232</v>
      </c>
      <c r="E285" s="30">
        <v>208112.7346</v>
      </c>
      <c r="F285" s="30">
        <v>365503.91110000003</v>
      </c>
      <c r="G285" s="30" t="s">
        <v>314</v>
      </c>
      <c r="H285" s="30" t="s">
        <v>68</v>
      </c>
      <c r="I285" s="31">
        <v>20</v>
      </c>
      <c r="J285" s="28">
        <v>0.21132922800000001</v>
      </c>
      <c r="K285" s="28">
        <v>1.327776311</v>
      </c>
      <c r="L285" s="29">
        <v>1.022570848</v>
      </c>
      <c r="M285" s="16">
        <v>-22.6</v>
      </c>
      <c r="N285" s="39" t="e">
        <v>#N/A</v>
      </c>
      <c r="O285" s="39" t="e">
        <v>#N/A</v>
      </c>
      <c r="P285" s="39" t="e">
        <v>#N/A</v>
      </c>
      <c r="Q285" s="39" t="e">
        <v>#N/A</v>
      </c>
      <c r="R285" s="15">
        <v>1606003200</v>
      </c>
      <c r="S285" t="s">
        <v>23</v>
      </c>
    </row>
    <row r="286" spans="1:19" ht="16" x14ac:dyDescent="0.2">
      <c r="A286" s="27" t="s">
        <v>327</v>
      </c>
      <c r="B286" s="16">
        <v>0.09</v>
      </c>
      <c r="C286" s="16">
        <v>5.6</v>
      </c>
      <c r="D286" s="28">
        <v>1.3888730439999999</v>
      </c>
      <c r="E286" s="30">
        <v>208112.7346</v>
      </c>
      <c r="F286" s="30">
        <v>365503.91110000003</v>
      </c>
      <c r="G286" s="30" t="s">
        <v>314</v>
      </c>
      <c r="H286" s="30" t="s">
        <v>68</v>
      </c>
      <c r="I286" s="31">
        <v>30</v>
      </c>
      <c r="J286" s="28">
        <v>4.4936339999999998E-2</v>
      </c>
      <c r="K286" s="28">
        <v>1.3882489360000001</v>
      </c>
      <c r="L286" s="29">
        <v>0.78964542199999999</v>
      </c>
      <c r="M286" s="16">
        <v>-22.1</v>
      </c>
      <c r="N286" s="39" t="e">
        <v>#N/A</v>
      </c>
      <c r="O286" s="39" t="e">
        <v>#N/A</v>
      </c>
      <c r="P286" s="39" t="e">
        <v>#N/A</v>
      </c>
      <c r="Q286" s="39" t="e">
        <v>#N/A</v>
      </c>
      <c r="R286" s="15">
        <v>1606003200</v>
      </c>
      <c r="S286" t="s">
        <v>23</v>
      </c>
    </row>
    <row r="287" spans="1:19" ht="16" x14ac:dyDescent="0.2">
      <c r="A287" s="27" t="s">
        <v>328</v>
      </c>
      <c r="B287" s="16">
        <v>4.2000000000000003E-2</v>
      </c>
      <c r="C287" s="16">
        <v>6.3</v>
      </c>
      <c r="D287" s="28">
        <v>1.489187249</v>
      </c>
      <c r="E287" s="30">
        <v>208112.7346</v>
      </c>
      <c r="F287" s="30">
        <v>365503.91110000003</v>
      </c>
      <c r="G287" s="30" t="s">
        <v>314</v>
      </c>
      <c r="H287" s="30" t="s">
        <v>68</v>
      </c>
      <c r="I287" s="31">
        <v>40</v>
      </c>
      <c r="J287" s="28">
        <v>0.115936268</v>
      </c>
      <c r="K287" s="28">
        <v>1.487460741</v>
      </c>
      <c r="L287" s="29">
        <v>0.26425019199999999</v>
      </c>
      <c r="M287" s="16">
        <v>-22.7</v>
      </c>
      <c r="N287" s="39" t="e">
        <v>#N/A</v>
      </c>
      <c r="O287" s="39" t="e">
        <v>#N/A</v>
      </c>
      <c r="P287" s="39" t="e">
        <v>#N/A</v>
      </c>
      <c r="Q287" s="39" t="e">
        <v>#N/A</v>
      </c>
      <c r="R287" s="15">
        <v>1606003200</v>
      </c>
      <c r="S287" t="s">
        <v>23</v>
      </c>
    </row>
    <row r="288" spans="1:19" ht="16" x14ac:dyDescent="0.2">
      <c r="A288" s="27" t="s">
        <v>329</v>
      </c>
      <c r="B288" s="16">
        <v>4.1000000000000002E-2</v>
      </c>
      <c r="C288" s="16">
        <v>5.0999999999999996</v>
      </c>
      <c r="D288" s="28">
        <v>1.4934893440000001</v>
      </c>
      <c r="E288" s="30">
        <v>208112.7346</v>
      </c>
      <c r="F288" s="30">
        <v>365503.91110000003</v>
      </c>
      <c r="G288" s="30" t="s">
        <v>314</v>
      </c>
      <c r="H288" s="30" t="s">
        <v>68</v>
      </c>
      <c r="I288" s="31">
        <v>50</v>
      </c>
      <c r="J288" s="28">
        <v>0.346015087</v>
      </c>
      <c r="K288" s="28">
        <v>1.4883216459999999</v>
      </c>
      <c r="L288" s="29">
        <v>0.206304819</v>
      </c>
      <c r="M288" s="16">
        <v>-22.7</v>
      </c>
      <c r="N288" s="39" t="e">
        <v>#N/A</v>
      </c>
      <c r="O288" s="39" t="e">
        <v>#N/A</v>
      </c>
      <c r="P288" s="39" t="e">
        <v>#N/A</v>
      </c>
      <c r="Q288" s="39" t="e">
        <v>#N/A</v>
      </c>
      <c r="R288" s="15">
        <v>1606003200</v>
      </c>
      <c r="S288" t="s">
        <v>23</v>
      </c>
    </row>
    <row r="289" spans="1:19" ht="16" x14ac:dyDescent="0.2">
      <c r="A289" s="27" t="s">
        <v>330</v>
      </c>
      <c r="B289" s="16">
        <v>0.04</v>
      </c>
      <c r="C289" s="16">
        <v>4.7</v>
      </c>
      <c r="D289" s="28">
        <v>1.600595322</v>
      </c>
      <c r="E289" s="30">
        <v>208112.7346</v>
      </c>
      <c r="F289" s="30">
        <v>365503.91110000003</v>
      </c>
      <c r="G289" s="30" t="s">
        <v>314</v>
      </c>
      <c r="H289" s="30" t="s">
        <v>68</v>
      </c>
      <c r="I289" s="31">
        <v>60</v>
      </c>
      <c r="J289" s="28">
        <v>0.37033961599999998</v>
      </c>
      <c r="K289" s="28">
        <v>1.594667684</v>
      </c>
      <c r="L289" s="29">
        <v>0.185863418</v>
      </c>
      <c r="M289" s="16">
        <v>-22.7</v>
      </c>
      <c r="N289" s="39" t="e">
        <v>#N/A</v>
      </c>
      <c r="O289" s="39" t="e">
        <v>#N/A</v>
      </c>
      <c r="P289" s="39" t="e">
        <v>#N/A</v>
      </c>
      <c r="Q289" s="39" t="e">
        <v>#N/A</v>
      </c>
      <c r="R289" s="15">
        <v>1606003200</v>
      </c>
      <c r="S289" t="s">
        <v>23</v>
      </c>
    </row>
    <row r="290" spans="1:19" ht="16" x14ac:dyDescent="0.2">
      <c r="A290" s="27" t="s">
        <v>331</v>
      </c>
      <c r="B290" s="16">
        <v>3.4000000000000002E-2</v>
      </c>
      <c r="C290" s="16">
        <v>3.8</v>
      </c>
      <c r="D290" s="28">
        <v>1.518936793</v>
      </c>
      <c r="E290" s="30">
        <v>208112.7346</v>
      </c>
      <c r="F290" s="30">
        <v>365503.91110000003</v>
      </c>
      <c r="G290" s="30" t="s">
        <v>314</v>
      </c>
      <c r="H290" s="30" t="s">
        <v>68</v>
      </c>
      <c r="I290" s="31">
        <v>70</v>
      </c>
      <c r="J290" s="28">
        <v>0.132919805</v>
      </c>
      <c r="K290" s="28">
        <v>1.5169178249999999</v>
      </c>
      <c r="L290" s="29">
        <v>0.132830005</v>
      </c>
      <c r="M290" s="16">
        <v>-24</v>
      </c>
      <c r="N290" s="40" t="e">
        <v>#N/A</v>
      </c>
      <c r="O290" s="40" t="e">
        <v>#N/A</v>
      </c>
      <c r="P290" s="40" t="e">
        <v>#N/A</v>
      </c>
      <c r="Q290" s="40" t="e">
        <v>#N/A</v>
      </c>
      <c r="R290" s="15">
        <v>1606003200</v>
      </c>
      <c r="S290" t="s">
        <v>23</v>
      </c>
    </row>
    <row r="291" spans="1:19" ht="16" x14ac:dyDescent="0.2">
      <c r="A291" s="27" t="s">
        <v>332</v>
      </c>
      <c r="B291" s="16">
        <v>3.3000000000000002E-2</v>
      </c>
      <c r="C291" s="16">
        <v>2.8</v>
      </c>
      <c r="D291" s="28">
        <v>1.8181044749999999</v>
      </c>
      <c r="E291" s="30">
        <v>208112.7346</v>
      </c>
      <c r="F291" s="30">
        <v>365503.91110000003</v>
      </c>
      <c r="G291" s="30" t="s">
        <v>314</v>
      </c>
      <c r="H291" s="30" t="s">
        <v>68</v>
      </c>
      <c r="I291" s="31">
        <v>80</v>
      </c>
      <c r="J291" s="28">
        <v>1.171215881</v>
      </c>
      <c r="K291" s="28">
        <v>1.796810547</v>
      </c>
      <c r="L291" s="29">
        <v>0.136022796</v>
      </c>
      <c r="M291" s="16">
        <v>-24.8</v>
      </c>
      <c r="N291" s="39" t="e">
        <v>#N/A</v>
      </c>
      <c r="O291" s="39" t="e">
        <v>#N/A</v>
      </c>
      <c r="P291" s="39" t="e">
        <v>#N/A</v>
      </c>
      <c r="Q291" s="39" t="e">
        <v>#N/A</v>
      </c>
      <c r="R291" s="15">
        <v>1606003200</v>
      </c>
      <c r="S291" t="s">
        <v>23</v>
      </c>
    </row>
    <row r="292" spans="1:19" ht="16" x14ac:dyDescent="0.2">
      <c r="A292" s="27" t="s">
        <v>333</v>
      </c>
      <c r="B292" s="16">
        <v>2.5999999999999999E-2</v>
      </c>
      <c r="C292" s="16">
        <v>2</v>
      </c>
      <c r="D292" s="28">
        <v>2.1992246070000001</v>
      </c>
      <c r="E292" s="30">
        <v>208112.7346</v>
      </c>
      <c r="F292" s="30">
        <v>365503.91110000003</v>
      </c>
      <c r="G292" s="30" t="s">
        <v>314</v>
      </c>
      <c r="H292" s="30" t="s">
        <v>68</v>
      </c>
      <c r="I292" s="31">
        <v>90</v>
      </c>
      <c r="J292" s="28">
        <v>1.681033059</v>
      </c>
      <c r="K292" s="28">
        <v>2.162254914</v>
      </c>
      <c r="L292" s="29">
        <v>9.6789315000000001E-2</v>
      </c>
      <c r="M292" s="16">
        <v>-24.6</v>
      </c>
      <c r="N292" s="39" t="e">
        <v>#N/A</v>
      </c>
      <c r="O292" s="39" t="e">
        <v>#N/A</v>
      </c>
      <c r="P292" s="39" t="e">
        <v>#N/A</v>
      </c>
      <c r="Q292" s="39" t="e">
        <v>#N/A</v>
      </c>
      <c r="R292" s="15">
        <v>1606003200</v>
      </c>
      <c r="S292" t="s">
        <v>23</v>
      </c>
    </row>
    <row r="293" spans="1:19" ht="16" x14ac:dyDescent="0.2">
      <c r="A293" s="27" t="s">
        <v>334</v>
      </c>
      <c r="B293" s="16">
        <v>2.5999999999999999E-2</v>
      </c>
      <c r="C293" s="16">
        <v>2.2999999999999998</v>
      </c>
      <c r="D293" s="28">
        <v>1.855958521</v>
      </c>
      <c r="E293" s="30">
        <v>208112.7346</v>
      </c>
      <c r="F293" s="30">
        <v>365503.91110000003</v>
      </c>
      <c r="G293" s="30" t="s">
        <v>314</v>
      </c>
      <c r="H293" s="30" t="s">
        <v>68</v>
      </c>
      <c r="I293" s="31">
        <v>100</v>
      </c>
      <c r="J293" s="28">
        <v>0.38542047400000001</v>
      </c>
      <c r="K293" s="28">
        <v>1.8488052770000001</v>
      </c>
      <c r="L293" s="29">
        <v>9.1177605999999994E-2</v>
      </c>
      <c r="M293" s="16">
        <v>-27.1</v>
      </c>
      <c r="N293" s="39" t="e">
        <v>#N/A</v>
      </c>
      <c r="O293" s="39" t="e">
        <v>#N/A</v>
      </c>
      <c r="P293" s="39" t="e">
        <v>#N/A</v>
      </c>
      <c r="Q293" s="39" t="e">
        <v>#N/A</v>
      </c>
      <c r="R293" s="15">
        <v>1606003200</v>
      </c>
      <c r="S293" t="s">
        <v>23</v>
      </c>
    </row>
    <row r="294" spans="1:19" ht="16" x14ac:dyDescent="0.2">
      <c r="A294" s="27" t="s">
        <v>335</v>
      </c>
      <c r="B294" s="16">
        <v>2.9000000000000001E-2</v>
      </c>
      <c r="C294" s="16">
        <v>2.2000000000000002</v>
      </c>
      <c r="D294" s="28">
        <v>2.100620063</v>
      </c>
      <c r="E294" s="30">
        <v>208112.7346</v>
      </c>
      <c r="F294" s="30">
        <v>365503.91110000003</v>
      </c>
      <c r="G294" s="30" t="s">
        <v>314</v>
      </c>
      <c r="H294" s="30" t="s">
        <v>68</v>
      </c>
      <c r="I294" s="31">
        <v>110</v>
      </c>
      <c r="J294" s="28">
        <v>8.9440746339999997</v>
      </c>
      <c r="K294" s="28">
        <v>1.9127390369999999</v>
      </c>
      <c r="L294" s="29">
        <v>9.4660544999999999E-2</v>
      </c>
      <c r="M294" s="16">
        <v>-26.5</v>
      </c>
      <c r="N294" s="39" t="e">
        <v>#N/A</v>
      </c>
      <c r="O294" s="39" t="e">
        <v>#N/A</v>
      </c>
      <c r="P294" s="39" t="e">
        <v>#N/A</v>
      </c>
      <c r="Q294" s="39" t="e">
        <v>#N/A</v>
      </c>
      <c r="R294" s="15">
        <v>1606003200</v>
      </c>
      <c r="S294" t="s">
        <v>23</v>
      </c>
    </row>
    <row r="295" spans="1:19" ht="16" x14ac:dyDescent="0.2">
      <c r="A295" s="27" t="s">
        <v>336</v>
      </c>
      <c r="B295" s="16">
        <v>0.11</v>
      </c>
      <c r="C295" s="16">
        <v>4.5</v>
      </c>
      <c r="D295" s="28">
        <v>1.441027675</v>
      </c>
      <c r="E295" s="30">
        <v>208104.71950000001</v>
      </c>
      <c r="F295" s="30">
        <v>365491.68969999999</v>
      </c>
      <c r="G295" s="30" t="s">
        <v>314</v>
      </c>
      <c r="H295" s="30" t="s">
        <v>81</v>
      </c>
      <c r="I295" s="31">
        <v>10</v>
      </c>
      <c r="J295" s="28">
        <v>0.49894263799999999</v>
      </c>
      <c r="K295" s="28">
        <v>1.4338377739999999</v>
      </c>
      <c r="L295" s="29">
        <v>0.898295442</v>
      </c>
      <c r="M295" s="16">
        <v>-23.4</v>
      </c>
      <c r="N295" s="39" t="e">
        <v>#N/A</v>
      </c>
      <c r="O295" s="39" t="e">
        <v>#N/A</v>
      </c>
      <c r="P295" s="39" t="e">
        <v>#N/A</v>
      </c>
      <c r="Q295" s="39" t="e">
        <v>#N/A</v>
      </c>
      <c r="R295" s="15">
        <v>1606003200</v>
      </c>
      <c r="S295" t="s">
        <v>23</v>
      </c>
    </row>
    <row r="296" spans="1:19" ht="16" x14ac:dyDescent="0.2">
      <c r="A296" s="27" t="s">
        <v>337</v>
      </c>
      <c r="B296" s="16">
        <v>0.14499999999999999</v>
      </c>
      <c r="C296" s="16">
        <v>4.8499999999999996</v>
      </c>
      <c r="D296" s="28">
        <v>1.4782836690000001</v>
      </c>
      <c r="E296" s="30">
        <v>208104.71950000001</v>
      </c>
      <c r="F296" s="30">
        <v>365491.68969999999</v>
      </c>
      <c r="G296" s="30" t="s">
        <v>314</v>
      </c>
      <c r="H296" s="30" t="s">
        <v>81</v>
      </c>
      <c r="I296" s="31">
        <v>20</v>
      </c>
      <c r="J296" s="28">
        <v>0.98602986299999995</v>
      </c>
      <c r="K296" s="28">
        <v>1.463707351</v>
      </c>
      <c r="L296" s="29">
        <v>1.4035383889999999</v>
      </c>
      <c r="M296" s="16">
        <v>-22.4</v>
      </c>
      <c r="N296" s="39" t="e">
        <v>#N/A</v>
      </c>
      <c r="O296" s="39" t="e">
        <v>#N/A</v>
      </c>
      <c r="P296" s="39" t="e">
        <v>#N/A</v>
      </c>
      <c r="Q296" s="39" t="e">
        <v>#N/A</v>
      </c>
      <c r="R296" s="15">
        <v>1606003200</v>
      </c>
      <c r="S296" t="s">
        <v>23</v>
      </c>
    </row>
    <row r="297" spans="1:19" ht="16" x14ac:dyDescent="0.2">
      <c r="A297" s="27" t="s">
        <v>338</v>
      </c>
      <c r="B297" s="16">
        <v>7.5999999999999998E-2</v>
      </c>
      <c r="C297" s="16">
        <v>5.6</v>
      </c>
      <c r="D297" s="28">
        <v>1.4785514989999999</v>
      </c>
      <c r="E297" s="30">
        <v>208104.71950000001</v>
      </c>
      <c r="F297" s="30">
        <v>365491.68969999999</v>
      </c>
      <c r="G297" s="30" t="s">
        <v>314</v>
      </c>
      <c r="H297" s="30" t="s">
        <v>81</v>
      </c>
      <c r="I297" s="31">
        <v>30</v>
      </c>
      <c r="J297" s="28">
        <v>0.124643291</v>
      </c>
      <c r="K297" s="28">
        <v>1.476708584</v>
      </c>
      <c r="L297" s="29">
        <v>0.57731869999999996</v>
      </c>
      <c r="M297" s="16">
        <v>-21.8</v>
      </c>
      <c r="N297" s="39" t="e">
        <v>#N/A</v>
      </c>
      <c r="O297" s="39" t="e">
        <v>#N/A</v>
      </c>
      <c r="P297" s="39" t="e">
        <v>#N/A</v>
      </c>
      <c r="Q297" s="39" t="e">
        <v>#N/A</v>
      </c>
      <c r="R297" s="15">
        <v>1606003200</v>
      </c>
      <c r="S297" t="s">
        <v>23</v>
      </c>
    </row>
    <row r="298" spans="1:19" ht="16" x14ac:dyDescent="0.2">
      <c r="A298" s="27" t="s">
        <v>339</v>
      </c>
      <c r="B298" s="16">
        <v>4.7E-2</v>
      </c>
      <c r="C298" s="16">
        <v>4.9000000000000004</v>
      </c>
      <c r="D298" s="28">
        <v>1.5289521690000001</v>
      </c>
      <c r="E298" s="30">
        <v>208104.71950000001</v>
      </c>
      <c r="F298" s="30">
        <v>365491.68969999999</v>
      </c>
      <c r="G298" s="30" t="s">
        <v>314</v>
      </c>
      <c r="H298" s="30" t="s">
        <v>81</v>
      </c>
      <c r="I298" s="31">
        <v>40</v>
      </c>
      <c r="J298" s="28">
        <v>0.225477288</v>
      </c>
      <c r="K298" s="28">
        <v>1.5255047289999999</v>
      </c>
      <c r="L298" s="29">
        <v>0.24973289500000001</v>
      </c>
      <c r="M298" s="16">
        <v>-21.9</v>
      </c>
      <c r="N298" s="39" t="e">
        <v>#N/A</v>
      </c>
      <c r="O298" s="39" t="e">
        <v>#N/A</v>
      </c>
      <c r="P298" s="39" t="e">
        <v>#N/A</v>
      </c>
      <c r="Q298" s="39" t="e">
        <v>#N/A</v>
      </c>
      <c r="R298" s="15">
        <v>1606003200</v>
      </c>
      <c r="S298" t="s">
        <v>23</v>
      </c>
    </row>
    <row r="299" spans="1:19" ht="16" x14ac:dyDescent="0.2">
      <c r="A299" s="27" t="s">
        <v>340</v>
      </c>
      <c r="B299" s="16">
        <v>4.2000000000000003E-2</v>
      </c>
      <c r="C299" s="16">
        <v>4.4000000000000004</v>
      </c>
      <c r="D299" s="28">
        <v>1.5656543469999999</v>
      </c>
      <c r="E299" s="30">
        <v>208104.71950000001</v>
      </c>
      <c r="F299" s="30">
        <v>365491.68969999999</v>
      </c>
      <c r="G299" s="30" t="s">
        <v>314</v>
      </c>
      <c r="H299" s="30" t="s">
        <v>81</v>
      </c>
      <c r="I299" s="31">
        <v>50</v>
      </c>
      <c r="J299" s="28">
        <v>0.17910150699999999</v>
      </c>
      <c r="K299" s="28">
        <v>1.5628502369999999</v>
      </c>
      <c r="L299" s="29">
        <v>0.176888147</v>
      </c>
      <c r="M299" s="16">
        <v>-23.1</v>
      </c>
      <c r="N299" s="39" t="e">
        <v>#N/A</v>
      </c>
      <c r="O299" s="39" t="e">
        <v>#N/A</v>
      </c>
      <c r="P299" s="39" t="e">
        <v>#N/A</v>
      </c>
      <c r="Q299" s="39" t="e">
        <v>#N/A</v>
      </c>
      <c r="R299" s="15">
        <v>1606003200</v>
      </c>
      <c r="S299" t="s">
        <v>23</v>
      </c>
    </row>
    <row r="300" spans="1:19" ht="16" x14ac:dyDescent="0.2">
      <c r="A300" s="27" t="s">
        <v>341</v>
      </c>
      <c r="B300" s="16">
        <v>3.2000000000000001E-2</v>
      </c>
      <c r="C300" s="16">
        <v>3.2</v>
      </c>
      <c r="D300" s="28">
        <v>1.542509862</v>
      </c>
      <c r="E300" s="30">
        <v>208104.71950000001</v>
      </c>
      <c r="F300" s="30">
        <v>365491.68969999999</v>
      </c>
      <c r="G300" s="30" t="s">
        <v>314</v>
      </c>
      <c r="H300" s="30" t="s">
        <v>81</v>
      </c>
      <c r="I300" s="31">
        <v>60</v>
      </c>
      <c r="J300" s="28">
        <v>0.21720529199999999</v>
      </c>
      <c r="K300" s="28">
        <v>1.539159449</v>
      </c>
      <c r="L300" s="29">
        <v>0.10627062900000001</v>
      </c>
      <c r="M300" s="16">
        <v>-24.2</v>
      </c>
      <c r="N300" s="39" t="e">
        <v>#N/A</v>
      </c>
      <c r="O300" s="39" t="e">
        <v>#N/A</v>
      </c>
      <c r="P300" s="39" t="e">
        <v>#N/A</v>
      </c>
      <c r="Q300" s="39" t="e">
        <v>#N/A</v>
      </c>
      <c r="R300" s="15">
        <v>1606003200</v>
      </c>
      <c r="S300" t="s">
        <v>23</v>
      </c>
    </row>
    <row r="301" spans="1:19" ht="16" x14ac:dyDescent="0.2">
      <c r="A301" s="27" t="s">
        <v>342</v>
      </c>
      <c r="B301" s="16">
        <v>2.8000000000000001E-2</v>
      </c>
      <c r="C301" s="16">
        <v>2.8</v>
      </c>
      <c r="D301" s="28">
        <v>1.431259944</v>
      </c>
      <c r="E301" s="30">
        <v>208104.71950000001</v>
      </c>
      <c r="F301" s="30">
        <v>365491.68969999999</v>
      </c>
      <c r="G301" s="30" t="s">
        <v>314</v>
      </c>
      <c r="H301" s="30" t="s">
        <v>81</v>
      </c>
      <c r="I301" s="31">
        <v>70</v>
      </c>
      <c r="J301" s="28">
        <v>1.1404631679999999</v>
      </c>
      <c r="K301" s="28">
        <v>1.4149369519999999</v>
      </c>
      <c r="L301" s="29">
        <v>8.4869954999999997E-2</v>
      </c>
      <c r="M301" s="16">
        <v>-25.6</v>
      </c>
      <c r="N301" s="39" t="e">
        <v>#N/A</v>
      </c>
      <c r="O301" s="39" t="e">
        <v>#N/A</v>
      </c>
      <c r="P301" s="39" t="e">
        <v>#N/A</v>
      </c>
      <c r="Q301" s="39" t="e">
        <v>#N/A</v>
      </c>
      <c r="R301" s="15">
        <v>1606003200</v>
      </c>
      <c r="S301" t="s">
        <v>23</v>
      </c>
    </row>
    <row r="302" spans="1:19" ht="16" x14ac:dyDescent="0.2">
      <c r="A302" s="27" t="s">
        <v>343</v>
      </c>
      <c r="B302" s="16">
        <v>2.5999999999999999E-2</v>
      </c>
      <c r="C302" s="16">
        <v>2.9</v>
      </c>
      <c r="D302" s="28">
        <v>1.596088162</v>
      </c>
      <c r="E302" s="30">
        <v>208104.71950000001</v>
      </c>
      <c r="F302" s="30">
        <v>365491.68969999999</v>
      </c>
      <c r="G302" s="30" t="s">
        <v>314</v>
      </c>
      <c r="H302" s="30" t="s">
        <v>81</v>
      </c>
      <c r="I302" s="31">
        <v>80</v>
      </c>
      <c r="J302" s="28">
        <v>1.544395126</v>
      </c>
      <c r="K302" s="28">
        <v>1.5714382549999999</v>
      </c>
      <c r="L302" s="29">
        <v>7.5984042000000002E-2</v>
      </c>
      <c r="M302" s="16">
        <v>-27.2</v>
      </c>
      <c r="N302" s="39" t="e">
        <v>#N/A</v>
      </c>
      <c r="O302" s="39" t="e">
        <v>#N/A</v>
      </c>
      <c r="P302" s="39" t="e">
        <v>#N/A</v>
      </c>
      <c r="Q302" s="39" t="e">
        <v>#N/A</v>
      </c>
      <c r="R302" s="15">
        <v>1606003200</v>
      </c>
      <c r="S302" t="s">
        <v>23</v>
      </c>
    </row>
    <row r="303" spans="1:19" ht="16" x14ac:dyDescent="0.2">
      <c r="A303" s="27" t="s">
        <v>344</v>
      </c>
      <c r="B303" s="16">
        <v>2.5000000000000001E-2</v>
      </c>
      <c r="C303" s="16">
        <v>1.7</v>
      </c>
      <c r="D303" s="28">
        <v>1.7001270939999999</v>
      </c>
      <c r="E303" s="30">
        <v>208104.71950000001</v>
      </c>
      <c r="F303" s="30">
        <v>365491.68969999999</v>
      </c>
      <c r="G303" s="30" t="s">
        <v>314</v>
      </c>
      <c r="H303" s="30" t="s">
        <v>81</v>
      </c>
      <c r="I303" s="31">
        <v>90</v>
      </c>
      <c r="J303" s="28">
        <v>0.100843115</v>
      </c>
      <c r="K303" s="28">
        <v>1.6984126319999999</v>
      </c>
      <c r="L303" s="29">
        <v>7.7378423000000002E-2</v>
      </c>
      <c r="M303" s="16">
        <v>-27.8</v>
      </c>
      <c r="N303" s="39" t="e">
        <v>#N/A</v>
      </c>
      <c r="O303" s="39" t="e">
        <v>#N/A</v>
      </c>
      <c r="P303" s="39" t="e">
        <v>#N/A</v>
      </c>
      <c r="Q303" s="39" t="e">
        <v>#N/A</v>
      </c>
      <c r="R303" s="15">
        <v>1606003200</v>
      </c>
      <c r="S303" t="s">
        <v>23</v>
      </c>
    </row>
    <row r="304" spans="1:19" ht="16" x14ac:dyDescent="0.2">
      <c r="A304" s="27" t="s">
        <v>345</v>
      </c>
      <c r="B304" s="16">
        <v>2.7E-2</v>
      </c>
      <c r="C304" s="16">
        <v>1.6</v>
      </c>
      <c r="D304" s="28">
        <v>1.872682999</v>
      </c>
      <c r="E304" s="30">
        <v>208104.71950000001</v>
      </c>
      <c r="F304" s="30">
        <v>365491.68969999999</v>
      </c>
      <c r="G304" s="30" t="s">
        <v>314</v>
      </c>
      <c r="H304" s="30" t="s">
        <v>81</v>
      </c>
      <c r="I304" s="31">
        <v>100</v>
      </c>
      <c r="J304" s="28">
        <v>0.54079978799999995</v>
      </c>
      <c r="K304" s="28">
        <v>1.8625555330000001</v>
      </c>
      <c r="L304" s="29">
        <v>9.3451419999999993E-2</v>
      </c>
      <c r="M304" s="16">
        <v>-27.3</v>
      </c>
      <c r="N304" s="39" t="e">
        <v>#N/A</v>
      </c>
      <c r="O304" s="39" t="e">
        <v>#N/A</v>
      </c>
      <c r="P304" s="39" t="e">
        <v>#N/A</v>
      </c>
      <c r="Q304" s="39" t="e">
        <v>#N/A</v>
      </c>
      <c r="R304" s="15">
        <v>1606003200</v>
      </c>
      <c r="S304" t="s">
        <v>23</v>
      </c>
    </row>
    <row r="305" spans="1:19" ht="16" x14ac:dyDescent="0.2">
      <c r="A305" s="27" t="s">
        <v>346</v>
      </c>
      <c r="B305" s="16">
        <v>4.1000000000000002E-2</v>
      </c>
      <c r="C305" s="16">
        <v>5.5</v>
      </c>
      <c r="D305" s="28">
        <v>1.530168435</v>
      </c>
      <c r="E305" s="30">
        <v>207224.80119999999</v>
      </c>
      <c r="F305" s="30">
        <v>364768.04080000002</v>
      </c>
      <c r="G305" s="30" t="s">
        <v>42</v>
      </c>
      <c r="H305" s="30" t="s">
        <v>43</v>
      </c>
      <c r="I305" s="31">
        <v>60</v>
      </c>
      <c r="J305" s="28">
        <v>0.87501871499999995</v>
      </c>
      <c r="K305" s="28">
        <v>1.5167791740000001</v>
      </c>
      <c r="L305" s="29">
        <v>0.18517167400000001</v>
      </c>
      <c r="M305" s="16">
        <v>-21.2</v>
      </c>
      <c r="N305" s="39" t="e">
        <v>#N/A</v>
      </c>
      <c r="O305" s="39" t="e">
        <v>#N/A</v>
      </c>
      <c r="P305" s="39" t="e">
        <v>#N/A</v>
      </c>
      <c r="Q305" s="39" t="e">
        <v>#N/A</v>
      </c>
      <c r="R305" s="15">
        <v>1606176000</v>
      </c>
      <c r="S305" t="s">
        <v>23</v>
      </c>
    </row>
    <row r="306" spans="1:19" ht="16" x14ac:dyDescent="0.2">
      <c r="A306" s="27" t="s">
        <v>347</v>
      </c>
      <c r="B306" s="16">
        <v>3.9E-2</v>
      </c>
      <c r="C306" s="16">
        <v>5.2</v>
      </c>
      <c r="D306" s="28">
        <v>1.5898376030000001</v>
      </c>
      <c r="E306" s="30">
        <v>207224.80119999999</v>
      </c>
      <c r="F306" s="30">
        <v>364768.04080000002</v>
      </c>
      <c r="G306" s="30" t="s">
        <v>42</v>
      </c>
      <c r="H306" s="30" t="s">
        <v>43</v>
      </c>
      <c r="I306" s="31">
        <v>70</v>
      </c>
      <c r="J306" s="28">
        <v>0.114297073</v>
      </c>
      <c r="K306" s="28">
        <v>1.588020465</v>
      </c>
      <c r="L306" s="29">
        <v>0.16576269900000001</v>
      </c>
      <c r="M306" s="16">
        <v>-21.9</v>
      </c>
      <c r="N306" s="39" t="e">
        <v>#N/A</v>
      </c>
      <c r="O306" s="39" t="e">
        <v>#N/A</v>
      </c>
      <c r="P306" s="39" t="e">
        <v>#N/A</v>
      </c>
      <c r="Q306" s="39" t="e">
        <v>#N/A</v>
      </c>
      <c r="R306" s="15">
        <v>1606176000</v>
      </c>
      <c r="S306" t="s">
        <v>23</v>
      </c>
    </row>
    <row r="307" spans="1:19" ht="16" x14ac:dyDescent="0.2">
      <c r="A307" s="27" t="s">
        <v>348</v>
      </c>
      <c r="B307" s="16">
        <v>3.3500000000000002E-2</v>
      </c>
      <c r="C307" s="16">
        <v>3.8</v>
      </c>
      <c r="D307" s="28">
        <v>1.495895499</v>
      </c>
      <c r="E307" s="30">
        <v>207224.80119999999</v>
      </c>
      <c r="F307" s="30">
        <v>364768.04080000002</v>
      </c>
      <c r="G307" s="30" t="s">
        <v>42</v>
      </c>
      <c r="H307" s="30" t="s">
        <v>43</v>
      </c>
      <c r="I307" s="31">
        <v>80</v>
      </c>
      <c r="J307" s="28">
        <v>0</v>
      </c>
      <c r="K307" s="28">
        <v>1.495895499</v>
      </c>
      <c r="L307" s="29">
        <v>0.13610828599999999</v>
      </c>
      <c r="M307" s="16">
        <v>-23.15</v>
      </c>
      <c r="N307" s="39" t="e">
        <v>#N/A</v>
      </c>
      <c r="O307" s="39" t="e">
        <v>#N/A</v>
      </c>
      <c r="P307" s="39" t="e">
        <v>#N/A</v>
      </c>
      <c r="Q307" s="39" t="e">
        <v>#N/A</v>
      </c>
      <c r="R307" s="15">
        <v>1606176000</v>
      </c>
      <c r="S307" t="s">
        <v>23</v>
      </c>
    </row>
    <row r="308" spans="1:19" ht="16" x14ac:dyDescent="0.2">
      <c r="A308" s="27" t="s">
        <v>349</v>
      </c>
      <c r="B308" s="16">
        <v>0.03</v>
      </c>
      <c r="C308" s="16">
        <v>2.9</v>
      </c>
      <c r="D308" s="28">
        <v>1.484127151</v>
      </c>
      <c r="E308" s="30">
        <v>207224.80119999999</v>
      </c>
      <c r="F308" s="30">
        <v>364768.04080000002</v>
      </c>
      <c r="G308" s="30" t="s">
        <v>42</v>
      </c>
      <c r="H308" s="30" t="s">
        <v>43</v>
      </c>
      <c r="I308" s="31">
        <v>90</v>
      </c>
      <c r="J308" s="28">
        <v>0</v>
      </c>
      <c r="K308" s="28">
        <v>1.484127151</v>
      </c>
      <c r="L308" s="29">
        <v>0.12537274100000001</v>
      </c>
      <c r="M308" s="16">
        <v>-25.2</v>
      </c>
      <c r="N308" s="39" t="e">
        <v>#N/A</v>
      </c>
      <c r="O308" s="39" t="e">
        <v>#N/A</v>
      </c>
      <c r="P308" s="39" t="e">
        <v>#N/A</v>
      </c>
      <c r="Q308" s="39" t="e">
        <v>#N/A</v>
      </c>
      <c r="R308" s="15">
        <v>1606176000</v>
      </c>
      <c r="S308" t="s">
        <v>23</v>
      </c>
    </row>
    <row r="309" spans="1:19" ht="16" x14ac:dyDescent="0.2">
      <c r="A309" s="27" t="s">
        <v>350</v>
      </c>
      <c r="B309" s="16">
        <v>2.8000000000000001E-2</v>
      </c>
      <c r="C309" s="16">
        <v>2.9</v>
      </c>
      <c r="D309" s="28">
        <v>1.2945954749999999</v>
      </c>
      <c r="E309" s="30">
        <v>207224.80119999999</v>
      </c>
      <c r="F309" s="30">
        <v>364768.04080000002</v>
      </c>
      <c r="G309" s="30" t="s">
        <v>42</v>
      </c>
      <c r="H309" s="30" t="s">
        <v>43</v>
      </c>
      <c r="I309" s="31">
        <v>100</v>
      </c>
      <c r="J309" s="28">
        <v>2.1607965E-2</v>
      </c>
      <c r="K309" s="28">
        <v>1.294315739</v>
      </c>
      <c r="L309" s="29">
        <v>0.12226912099999999</v>
      </c>
      <c r="M309" s="16">
        <v>-26.1</v>
      </c>
      <c r="N309" s="39" t="e">
        <v>#N/A</v>
      </c>
      <c r="O309" s="39" t="e">
        <v>#N/A</v>
      </c>
      <c r="P309" s="39" t="e">
        <v>#N/A</v>
      </c>
      <c r="Q309" s="39" t="e">
        <v>#N/A</v>
      </c>
      <c r="R309" s="15">
        <v>1606176000</v>
      </c>
      <c r="S309" t="s">
        <v>23</v>
      </c>
    </row>
    <row r="310" spans="1:19" ht="16" x14ac:dyDescent="0.2">
      <c r="A310" s="27" t="s">
        <v>351</v>
      </c>
      <c r="B310" s="16">
        <v>2.4E-2</v>
      </c>
      <c r="C310" s="16">
        <v>3.6</v>
      </c>
      <c r="D310" s="28">
        <v>1.4918772010000001</v>
      </c>
      <c r="E310" s="30">
        <v>207224.80119999999</v>
      </c>
      <c r="F310" s="30">
        <v>364768.04080000002</v>
      </c>
      <c r="G310" s="30" t="s">
        <v>42</v>
      </c>
      <c r="H310" s="30" t="s">
        <v>43</v>
      </c>
      <c r="I310" s="31">
        <v>110</v>
      </c>
      <c r="J310" s="28">
        <v>0.140649303</v>
      </c>
      <c r="K310" s="28">
        <v>1.4897788860000001</v>
      </c>
      <c r="L310" s="29">
        <v>8.8233267000000004E-2</v>
      </c>
      <c r="M310" s="16">
        <v>-27.9</v>
      </c>
      <c r="N310" s="39" t="e">
        <v>#N/A</v>
      </c>
      <c r="O310" s="39" t="e">
        <v>#N/A</v>
      </c>
      <c r="P310" s="39" t="e">
        <v>#N/A</v>
      </c>
      <c r="Q310" s="39" t="e">
        <v>#N/A</v>
      </c>
      <c r="R310" s="15">
        <v>1606176000</v>
      </c>
      <c r="S310" t="s">
        <v>23</v>
      </c>
    </row>
    <row r="311" spans="1:19" ht="16" x14ac:dyDescent="0.2">
      <c r="A311" s="27" t="s">
        <v>352</v>
      </c>
      <c r="B311" s="16">
        <v>0.155</v>
      </c>
      <c r="C311" s="16">
        <v>5</v>
      </c>
      <c r="D311" s="28">
        <v>1.269079292</v>
      </c>
      <c r="E311" s="30">
        <v>207224.80119999999</v>
      </c>
      <c r="F311" s="30">
        <v>364768.04080000002</v>
      </c>
      <c r="G311" s="30" t="s">
        <v>42</v>
      </c>
      <c r="H311" s="30" t="s">
        <v>43</v>
      </c>
      <c r="I311" s="31">
        <v>10</v>
      </c>
      <c r="J311" s="28">
        <v>2.3711712899999999</v>
      </c>
      <c r="K311" s="28">
        <v>1.238987249</v>
      </c>
      <c r="L311" s="29">
        <v>1.5090176390000001</v>
      </c>
      <c r="M311" s="16">
        <v>-21.25</v>
      </c>
      <c r="N311" s="39" t="e">
        <v>#N/A</v>
      </c>
      <c r="O311" s="39" t="e">
        <v>#N/A</v>
      </c>
      <c r="P311" s="39" t="e">
        <v>#N/A</v>
      </c>
      <c r="Q311" s="39" t="e">
        <v>#N/A</v>
      </c>
      <c r="R311" s="15">
        <v>1606176000</v>
      </c>
      <c r="S311" t="s">
        <v>23</v>
      </c>
    </row>
    <row r="312" spans="1:19" ht="16" x14ac:dyDescent="0.2">
      <c r="A312" s="27" t="s">
        <v>353</v>
      </c>
      <c r="B312" s="16">
        <v>0.13</v>
      </c>
      <c r="C312" s="16">
        <v>5.2</v>
      </c>
      <c r="D312" s="28">
        <v>1.393059542</v>
      </c>
      <c r="E312" s="30">
        <v>207224.80119999999</v>
      </c>
      <c r="F312" s="30">
        <v>364768.04080000002</v>
      </c>
      <c r="G312" s="30" t="s">
        <v>42</v>
      </c>
      <c r="H312" s="30" t="s">
        <v>43</v>
      </c>
      <c r="I312" s="31">
        <v>20</v>
      </c>
      <c r="J312" s="28">
        <v>3.5345386799999998</v>
      </c>
      <c r="K312" s="28">
        <v>1.3438213139999999</v>
      </c>
      <c r="L312" s="29">
        <v>1.169151936</v>
      </c>
      <c r="M312" s="16">
        <v>-21.5</v>
      </c>
      <c r="N312" s="39" t="e">
        <v>#N/A</v>
      </c>
      <c r="O312" s="39" t="e">
        <v>#N/A</v>
      </c>
      <c r="P312" s="39" t="e">
        <v>#N/A</v>
      </c>
      <c r="Q312" s="39" t="e">
        <v>#N/A</v>
      </c>
      <c r="R312" s="15">
        <v>1606176000</v>
      </c>
      <c r="S312" t="s">
        <v>23</v>
      </c>
    </row>
    <row r="313" spans="1:19" ht="16" x14ac:dyDescent="0.2">
      <c r="A313" s="27" t="s">
        <v>354</v>
      </c>
      <c r="B313" s="16">
        <v>0.1</v>
      </c>
      <c r="C313" s="16">
        <v>5.4</v>
      </c>
      <c r="D313" s="28">
        <v>1.3473057450000001</v>
      </c>
      <c r="E313" s="30">
        <v>207224.80119999999</v>
      </c>
      <c r="F313" s="30">
        <v>364768.04080000002</v>
      </c>
      <c r="G313" s="30" t="s">
        <v>42</v>
      </c>
      <c r="H313" s="30" t="s">
        <v>43</v>
      </c>
      <c r="I313" s="31">
        <v>30</v>
      </c>
      <c r="J313" s="28">
        <v>4.2024438569999996</v>
      </c>
      <c r="K313" s="28">
        <v>1.2906859770000001</v>
      </c>
      <c r="L313" s="29">
        <v>0.85866207100000003</v>
      </c>
      <c r="M313" s="16">
        <v>-22.6</v>
      </c>
      <c r="N313" s="39" t="e">
        <v>#N/A</v>
      </c>
      <c r="O313" s="39" t="e">
        <v>#N/A</v>
      </c>
      <c r="P313" s="39" t="e">
        <v>#N/A</v>
      </c>
      <c r="Q313" s="39" t="e">
        <v>#N/A</v>
      </c>
      <c r="R313" s="15">
        <v>1606176000</v>
      </c>
      <c r="S313" t="s">
        <v>23</v>
      </c>
    </row>
    <row r="314" spans="1:19" ht="16" x14ac:dyDescent="0.2">
      <c r="A314" s="27" t="s">
        <v>355</v>
      </c>
      <c r="B314" s="16">
        <v>8.3000000000000004E-2</v>
      </c>
      <c r="C314" s="16">
        <v>5.5</v>
      </c>
      <c r="D314" s="28">
        <v>1.447878657</v>
      </c>
      <c r="E314" s="30">
        <v>207224.80119999999</v>
      </c>
      <c r="F314" s="30">
        <v>364768.04080000002</v>
      </c>
      <c r="G314" s="30" t="s">
        <v>42</v>
      </c>
      <c r="H314" s="30" t="s">
        <v>43</v>
      </c>
      <c r="I314" s="31">
        <v>40</v>
      </c>
      <c r="J314" s="28">
        <v>2.0096688500000002</v>
      </c>
      <c r="K314" s="28">
        <v>1.418781091</v>
      </c>
      <c r="L314" s="29">
        <v>0.70762232700000005</v>
      </c>
      <c r="M314" s="16">
        <v>-23.5</v>
      </c>
      <c r="N314" s="39" t="e">
        <v>#N/A</v>
      </c>
      <c r="O314" s="39" t="e">
        <v>#N/A</v>
      </c>
      <c r="P314" s="39" t="e">
        <v>#N/A</v>
      </c>
      <c r="Q314" s="39" t="e">
        <v>#N/A</v>
      </c>
      <c r="R314" s="15">
        <v>1606176000</v>
      </c>
      <c r="S314" t="s">
        <v>23</v>
      </c>
    </row>
    <row r="315" spans="1:19" ht="16" x14ac:dyDescent="0.2">
      <c r="A315" s="27" t="s">
        <v>356</v>
      </c>
      <c r="B315" s="16">
        <v>0.05</v>
      </c>
      <c r="C315" s="16">
        <v>5.7</v>
      </c>
      <c r="D315" s="28">
        <v>1.7974030839999999</v>
      </c>
      <c r="E315" s="30">
        <v>207224.80119999999</v>
      </c>
      <c r="F315" s="30">
        <v>364768.04080000002</v>
      </c>
      <c r="G315" s="30" t="s">
        <v>42</v>
      </c>
      <c r="H315" s="30" t="s">
        <v>43</v>
      </c>
      <c r="I315" s="31">
        <v>50</v>
      </c>
      <c r="J315" s="28">
        <v>5.1331175269999996</v>
      </c>
      <c r="K315" s="28">
        <v>1.705140272</v>
      </c>
      <c r="L315" s="29">
        <v>0.29465600600000003</v>
      </c>
      <c r="M315" s="16">
        <v>-22.5</v>
      </c>
      <c r="N315" s="39" t="e">
        <v>#N/A</v>
      </c>
      <c r="O315" s="39" t="e">
        <v>#N/A</v>
      </c>
      <c r="P315" s="39" t="e">
        <v>#N/A</v>
      </c>
      <c r="Q315" s="39" t="e">
        <v>#N/A</v>
      </c>
      <c r="R315" s="15">
        <v>1606176000</v>
      </c>
      <c r="S315" t="s">
        <v>23</v>
      </c>
    </row>
    <row r="316" spans="1:19" ht="16" x14ac:dyDescent="0.2">
      <c r="A316" s="27" t="s">
        <v>357</v>
      </c>
      <c r="B316" s="16">
        <v>4.7E-2</v>
      </c>
      <c r="C316" s="16">
        <v>4.7</v>
      </c>
      <c r="D316" s="28">
        <v>1.8168607059999999</v>
      </c>
      <c r="E316" s="30">
        <v>207224.80119999999</v>
      </c>
      <c r="F316" s="30">
        <v>364768.04080000002</v>
      </c>
      <c r="G316" s="30" t="s">
        <v>42</v>
      </c>
      <c r="H316" s="30" t="s">
        <v>43</v>
      </c>
      <c r="I316" s="31">
        <v>60</v>
      </c>
      <c r="J316" s="28">
        <v>10.46359805</v>
      </c>
      <c r="K316" s="28">
        <v>1.6267517039999999</v>
      </c>
      <c r="L316" s="29">
        <v>0.22773095400000001</v>
      </c>
      <c r="M316" s="16">
        <v>-22.9</v>
      </c>
      <c r="N316" s="39" t="e">
        <v>#N/A</v>
      </c>
      <c r="O316" s="39" t="e">
        <v>#N/A</v>
      </c>
      <c r="P316" s="39" t="e">
        <v>#N/A</v>
      </c>
      <c r="Q316" s="39" t="e">
        <v>#N/A</v>
      </c>
      <c r="R316" s="15">
        <v>1606176000</v>
      </c>
      <c r="S316" t="s">
        <v>23</v>
      </c>
    </row>
    <row r="317" spans="1:19" ht="16" x14ac:dyDescent="0.2">
      <c r="A317" s="27" t="s">
        <v>358</v>
      </c>
      <c r="B317" s="16">
        <v>4.2999999999999997E-2</v>
      </c>
      <c r="C317" s="16">
        <v>3.9</v>
      </c>
      <c r="D317" s="28">
        <v>1.7487105199999999</v>
      </c>
      <c r="E317" s="30">
        <v>207224.80119999999</v>
      </c>
      <c r="F317" s="30">
        <v>364768.04080000002</v>
      </c>
      <c r="G317" s="30" t="s">
        <v>42</v>
      </c>
      <c r="H317" s="30" t="s">
        <v>43</v>
      </c>
      <c r="I317" s="31">
        <v>70</v>
      </c>
      <c r="J317" s="28">
        <v>1.308221683</v>
      </c>
      <c r="K317" s="28">
        <v>1.72583351</v>
      </c>
      <c r="L317" s="29">
        <v>0.15850551199999999</v>
      </c>
      <c r="M317" s="16">
        <v>-23.1</v>
      </c>
      <c r="N317" s="39" t="e">
        <v>#N/A</v>
      </c>
      <c r="O317" s="39" t="e">
        <v>#N/A</v>
      </c>
      <c r="P317" s="39" t="e">
        <v>#N/A</v>
      </c>
      <c r="Q317" s="39" t="e">
        <v>#N/A</v>
      </c>
      <c r="R317" s="15">
        <v>1606176000</v>
      </c>
      <c r="S317" t="s">
        <v>23</v>
      </c>
    </row>
    <row r="318" spans="1:19" ht="16" x14ac:dyDescent="0.2">
      <c r="A318" s="27" t="s">
        <v>359</v>
      </c>
      <c r="B318" s="16">
        <v>4.1000000000000002E-2</v>
      </c>
      <c r="C318" s="16">
        <v>3.35</v>
      </c>
      <c r="D318" s="28">
        <v>2.0225676039999998</v>
      </c>
      <c r="E318" s="30">
        <v>207224.80119999999</v>
      </c>
      <c r="F318" s="30">
        <v>364768.04080000002</v>
      </c>
      <c r="G318" s="30" t="s">
        <v>42</v>
      </c>
      <c r="H318" s="30" t="s">
        <v>43</v>
      </c>
      <c r="I318" s="31">
        <v>75</v>
      </c>
      <c r="J318" s="28">
        <v>8.4410532999999996E-2</v>
      </c>
      <c r="K318" s="28">
        <v>2.0208603429999998</v>
      </c>
      <c r="L318" s="29">
        <v>0.158123289</v>
      </c>
      <c r="M318" s="16">
        <v>-24</v>
      </c>
      <c r="N318" s="39" t="e">
        <v>#N/A</v>
      </c>
      <c r="O318" s="39" t="e">
        <v>#N/A</v>
      </c>
      <c r="P318" s="39" t="e">
        <v>#N/A</v>
      </c>
      <c r="Q318" s="39" t="e">
        <v>#N/A</v>
      </c>
      <c r="R318" s="15">
        <v>1606176000</v>
      </c>
      <c r="S318" t="s">
        <v>23</v>
      </c>
    </row>
    <row r="319" spans="1:19" ht="16" x14ac:dyDescent="0.2">
      <c r="A319" s="27" t="s">
        <v>360</v>
      </c>
      <c r="B319" s="16">
        <v>0.1</v>
      </c>
      <c r="C319" s="16">
        <v>4.8</v>
      </c>
      <c r="D319" s="28">
        <v>1.4800589740000001</v>
      </c>
      <c r="E319" s="30">
        <v>207084.47579999999</v>
      </c>
      <c r="F319" s="30">
        <v>364768.71610000002</v>
      </c>
      <c r="G319" s="30" t="s">
        <v>42</v>
      </c>
      <c r="H319" s="30" t="s">
        <v>68</v>
      </c>
      <c r="I319" s="31">
        <v>20</v>
      </c>
      <c r="J319" s="28">
        <v>2.415363294</v>
      </c>
      <c r="K319" s="28">
        <v>1.4443101730000001</v>
      </c>
      <c r="L319" s="29">
        <v>0.807919108</v>
      </c>
      <c r="M319" s="16">
        <v>-22.1</v>
      </c>
      <c r="N319" s="39" t="e">
        <v>#N/A</v>
      </c>
      <c r="O319" s="39" t="e">
        <v>#N/A</v>
      </c>
      <c r="P319" s="39" t="e">
        <v>#N/A</v>
      </c>
      <c r="Q319" s="39" t="e">
        <v>#N/A</v>
      </c>
      <c r="R319" s="15">
        <v>1606176000</v>
      </c>
      <c r="S319" t="s">
        <v>23</v>
      </c>
    </row>
    <row r="320" spans="1:19" ht="16" x14ac:dyDescent="0.2">
      <c r="A320" s="27" t="s">
        <v>361</v>
      </c>
      <c r="B320" s="16">
        <v>9.4E-2</v>
      </c>
      <c r="C320" s="16">
        <v>4.8</v>
      </c>
      <c r="D320" s="28">
        <v>1.4904553169999999</v>
      </c>
      <c r="E320" s="30">
        <v>207084.47579999999</v>
      </c>
      <c r="F320" s="30">
        <v>364768.71610000002</v>
      </c>
      <c r="G320" s="30" t="s">
        <v>42</v>
      </c>
      <c r="H320" s="30" t="s">
        <v>68</v>
      </c>
      <c r="I320" s="31">
        <v>30</v>
      </c>
      <c r="J320" s="28">
        <v>1.5038217300000001</v>
      </c>
      <c r="K320" s="28">
        <v>1.4680415259999999</v>
      </c>
      <c r="L320" s="29">
        <v>0.83577960500000004</v>
      </c>
      <c r="M320" s="16">
        <v>-21.7</v>
      </c>
      <c r="N320" s="39" t="e">
        <v>#N/A</v>
      </c>
      <c r="O320" s="39" t="e">
        <v>#N/A</v>
      </c>
      <c r="P320" s="39" t="e">
        <v>#N/A</v>
      </c>
      <c r="Q320" s="39" t="e">
        <v>#N/A</v>
      </c>
      <c r="R320" s="15">
        <v>1606176000</v>
      </c>
      <c r="S320" t="s">
        <v>23</v>
      </c>
    </row>
    <row r="321" spans="1:19" ht="16" x14ac:dyDescent="0.2">
      <c r="A321" s="27" t="s">
        <v>362</v>
      </c>
      <c r="B321" s="16">
        <v>5.2499999999999998E-2</v>
      </c>
      <c r="C321" s="16">
        <v>5.9</v>
      </c>
      <c r="D321" s="28">
        <v>1.552428039</v>
      </c>
      <c r="E321" s="30">
        <v>207084.47579999999</v>
      </c>
      <c r="F321" s="30">
        <v>364768.71610000002</v>
      </c>
      <c r="G321" s="30" t="s">
        <v>42</v>
      </c>
      <c r="H321" s="30" t="s">
        <v>68</v>
      </c>
      <c r="I321" s="31">
        <v>40</v>
      </c>
      <c r="J321" s="28">
        <v>1.4358821479999999</v>
      </c>
      <c r="K321" s="28">
        <v>1.5301370009999999</v>
      </c>
      <c r="L321" s="29">
        <v>0.39106192699999998</v>
      </c>
      <c r="M321" s="16">
        <v>-23.65</v>
      </c>
      <c r="N321" s="39" t="e">
        <v>#N/A</v>
      </c>
      <c r="O321" s="39" t="e">
        <v>#N/A</v>
      </c>
      <c r="P321" s="39" t="e">
        <v>#N/A</v>
      </c>
      <c r="Q321" s="39" t="e">
        <v>#N/A</v>
      </c>
      <c r="R321" s="15">
        <v>1606176000</v>
      </c>
      <c r="S321" t="s">
        <v>23</v>
      </c>
    </row>
    <row r="322" spans="1:19" ht="16" x14ac:dyDescent="0.2">
      <c r="A322" s="27" t="s">
        <v>363</v>
      </c>
      <c r="B322" s="16">
        <v>4.4999999999999998E-2</v>
      </c>
      <c r="C322" s="16">
        <v>5.3</v>
      </c>
      <c r="D322" s="28">
        <v>1.450412751</v>
      </c>
      <c r="E322" s="30">
        <v>207084.47579999999</v>
      </c>
      <c r="F322" s="30">
        <v>364768.71610000002</v>
      </c>
      <c r="G322" s="30" t="s">
        <v>42</v>
      </c>
      <c r="H322" s="30" t="s">
        <v>68</v>
      </c>
      <c r="I322" s="31">
        <v>50</v>
      </c>
      <c r="J322" s="28">
        <v>3.0564004229999999</v>
      </c>
      <c r="K322" s="28">
        <v>1.40608233</v>
      </c>
      <c r="L322" s="29">
        <v>0.21817730099999999</v>
      </c>
      <c r="M322" s="16">
        <v>-22.9</v>
      </c>
      <c r="N322" s="39" t="e">
        <v>#N/A</v>
      </c>
      <c r="O322" s="39" t="e">
        <v>#N/A</v>
      </c>
      <c r="P322" s="39" t="e">
        <v>#N/A</v>
      </c>
      <c r="Q322" s="39" t="e">
        <v>#N/A</v>
      </c>
      <c r="R322" s="15">
        <v>1606176000</v>
      </c>
      <c r="S322" t="s">
        <v>23</v>
      </c>
    </row>
    <row r="323" spans="1:19" ht="16" x14ac:dyDescent="0.2">
      <c r="A323" s="27" t="s">
        <v>364</v>
      </c>
      <c r="B323" s="16">
        <v>4.2999999999999997E-2</v>
      </c>
      <c r="C323" s="16">
        <v>4.5</v>
      </c>
      <c r="D323" s="28">
        <v>1.5728871170000001</v>
      </c>
      <c r="E323" s="30">
        <v>207084.47579999999</v>
      </c>
      <c r="F323" s="30">
        <v>364768.71610000002</v>
      </c>
      <c r="G323" s="30" t="s">
        <v>42</v>
      </c>
      <c r="H323" s="30" t="s">
        <v>68</v>
      </c>
      <c r="I323" s="31">
        <v>60</v>
      </c>
      <c r="J323" s="28">
        <v>1.5771242050000001</v>
      </c>
      <c r="K323" s="28">
        <v>1.5480807329999999</v>
      </c>
      <c r="L323" s="29">
        <v>0.17938326399999999</v>
      </c>
      <c r="M323" s="16">
        <v>-23.1</v>
      </c>
      <c r="N323" s="39" t="e">
        <v>#N/A</v>
      </c>
      <c r="O323" s="39" t="e">
        <v>#N/A</v>
      </c>
      <c r="P323" s="39" t="e">
        <v>#N/A</v>
      </c>
      <c r="Q323" s="39" t="e">
        <v>#N/A</v>
      </c>
      <c r="R323" s="15">
        <v>1606176000</v>
      </c>
      <c r="S323" t="s">
        <v>23</v>
      </c>
    </row>
    <row r="324" spans="1:19" ht="16" x14ac:dyDescent="0.2">
      <c r="A324" s="27" t="s">
        <v>365</v>
      </c>
      <c r="B324" s="16">
        <v>4.2000000000000003E-2</v>
      </c>
      <c r="C324" s="16">
        <v>3.8</v>
      </c>
      <c r="D324" s="28">
        <v>1.294617192</v>
      </c>
      <c r="E324" s="30">
        <v>207084.47579999999</v>
      </c>
      <c r="F324" s="30">
        <v>364768.71610000002</v>
      </c>
      <c r="G324" s="30" t="s">
        <v>42</v>
      </c>
      <c r="H324" s="30" t="s">
        <v>68</v>
      </c>
      <c r="I324" s="31">
        <v>70</v>
      </c>
      <c r="J324" s="28">
        <v>2.63062767</v>
      </c>
      <c r="K324" s="28">
        <v>1.260560634</v>
      </c>
      <c r="L324" s="29">
        <v>0.15708585999999999</v>
      </c>
      <c r="M324" s="16">
        <v>-24.5</v>
      </c>
      <c r="N324" s="39" t="e">
        <v>#N/A</v>
      </c>
      <c r="O324" s="39" t="e">
        <v>#N/A</v>
      </c>
      <c r="P324" s="39" t="e">
        <v>#N/A</v>
      </c>
      <c r="Q324" s="39" t="e">
        <v>#N/A</v>
      </c>
      <c r="R324" s="15">
        <v>1606176000</v>
      </c>
      <c r="S324" t="s">
        <v>23</v>
      </c>
    </row>
    <row r="325" spans="1:19" ht="16" x14ac:dyDescent="0.2">
      <c r="A325" s="27" t="s">
        <v>366</v>
      </c>
      <c r="B325" s="16">
        <v>4.8000000000000001E-2</v>
      </c>
      <c r="C325" s="16">
        <v>3.4</v>
      </c>
      <c r="D325" s="28">
        <v>1.8100572450000001</v>
      </c>
      <c r="E325" s="30">
        <v>207084.47579999999</v>
      </c>
      <c r="F325" s="30">
        <v>364768.71610000002</v>
      </c>
      <c r="G325" s="30" t="s">
        <v>42</v>
      </c>
      <c r="H325" s="30" t="s">
        <v>68</v>
      </c>
      <c r="I325" s="31">
        <v>80</v>
      </c>
      <c r="J325" s="28">
        <v>2.8731639539999998</v>
      </c>
      <c r="K325" s="28">
        <v>1.758051333</v>
      </c>
      <c r="L325" s="29">
        <v>0.174582243</v>
      </c>
      <c r="M325" s="16">
        <v>-25</v>
      </c>
      <c r="N325" s="39" t="e">
        <v>#N/A</v>
      </c>
      <c r="O325" s="39" t="e">
        <v>#N/A</v>
      </c>
      <c r="P325" s="39" t="e">
        <v>#N/A</v>
      </c>
      <c r="Q325" s="39" t="e">
        <v>#N/A</v>
      </c>
      <c r="R325" s="15">
        <v>1606176000</v>
      </c>
      <c r="S325" t="s">
        <v>23</v>
      </c>
    </row>
    <row r="326" spans="1:19" ht="16" x14ac:dyDescent="0.2">
      <c r="A326" s="27" t="s">
        <v>367</v>
      </c>
      <c r="B326" s="16">
        <v>4.7E-2</v>
      </c>
      <c r="C326" s="16">
        <v>3.3</v>
      </c>
      <c r="D326" s="28">
        <v>1.4618016739999999</v>
      </c>
      <c r="E326" s="30">
        <v>207084.47579999999</v>
      </c>
      <c r="F326" s="30">
        <v>364768.71610000002</v>
      </c>
      <c r="G326" s="30" t="s">
        <v>42</v>
      </c>
      <c r="H326" s="30" t="s">
        <v>68</v>
      </c>
      <c r="I326" s="31">
        <v>90</v>
      </c>
      <c r="J326" s="28">
        <v>2.4649757650000002</v>
      </c>
      <c r="K326" s="28">
        <v>1.4257686169999999</v>
      </c>
      <c r="L326" s="29">
        <v>0.180125905</v>
      </c>
      <c r="M326" s="16">
        <v>-25.6</v>
      </c>
      <c r="N326" s="39" t="e">
        <v>#N/A</v>
      </c>
      <c r="O326" s="39" t="e">
        <v>#N/A</v>
      </c>
      <c r="P326" s="39" t="e">
        <v>#N/A</v>
      </c>
      <c r="Q326" s="39" t="e">
        <v>#N/A</v>
      </c>
      <c r="R326" s="15">
        <v>1606176000</v>
      </c>
      <c r="S326" t="s">
        <v>23</v>
      </c>
    </row>
    <row r="327" spans="1:19" ht="16" x14ac:dyDescent="0.2">
      <c r="A327" s="27" t="s">
        <v>368</v>
      </c>
      <c r="B327" s="16">
        <v>4.7E-2</v>
      </c>
      <c r="C327" s="16">
        <v>2.7</v>
      </c>
      <c r="D327" s="28">
        <v>1.641523431</v>
      </c>
      <c r="E327" s="30">
        <v>207084.47579999999</v>
      </c>
      <c r="F327" s="30">
        <v>364768.71610000002</v>
      </c>
      <c r="G327" s="30" t="s">
        <v>42</v>
      </c>
      <c r="H327" s="30" t="s">
        <v>68</v>
      </c>
      <c r="I327" s="31">
        <v>100</v>
      </c>
      <c r="J327" s="28">
        <v>5.5877867659999998</v>
      </c>
      <c r="K327" s="28">
        <v>1.5497986020000001</v>
      </c>
      <c r="L327" s="29">
        <v>0.159010551</v>
      </c>
      <c r="M327" s="16">
        <v>-26.4</v>
      </c>
      <c r="N327" s="39" t="e">
        <v>#N/A</v>
      </c>
      <c r="O327" s="39" t="e">
        <v>#N/A</v>
      </c>
      <c r="P327" s="39" t="e">
        <v>#N/A</v>
      </c>
      <c r="Q327" s="39" t="e">
        <v>#N/A</v>
      </c>
      <c r="R327" s="15">
        <v>1606176000</v>
      </c>
      <c r="S327" t="s">
        <v>23</v>
      </c>
    </row>
    <row r="328" spans="1:19" ht="16" x14ac:dyDescent="0.2">
      <c r="A328" s="27" t="s">
        <v>369</v>
      </c>
      <c r="B328" s="16">
        <v>9.1999999999999998E-2</v>
      </c>
      <c r="C328" s="16">
        <v>4.7</v>
      </c>
      <c r="D328" s="28">
        <v>1.687126304</v>
      </c>
      <c r="E328" s="30">
        <v>207084.47579999999</v>
      </c>
      <c r="F328" s="30">
        <v>364768.71610000002</v>
      </c>
      <c r="G328" s="30" t="s">
        <v>42</v>
      </c>
      <c r="H328" s="30" t="s">
        <v>68</v>
      </c>
      <c r="I328" s="31">
        <v>10</v>
      </c>
      <c r="J328" s="28">
        <v>0.30085435999999999</v>
      </c>
      <c r="K328" s="28">
        <v>1.6820505109999999</v>
      </c>
      <c r="L328" s="29">
        <v>0.771976938</v>
      </c>
      <c r="M328" s="16">
        <v>-22.2</v>
      </c>
      <c r="N328" s="39" t="e">
        <v>#N/A</v>
      </c>
      <c r="O328" s="39" t="e">
        <v>#N/A</v>
      </c>
      <c r="P328" s="39" t="e">
        <v>#N/A</v>
      </c>
      <c r="Q328" s="39" t="e">
        <v>#N/A</v>
      </c>
      <c r="R328" s="15">
        <v>1606176000</v>
      </c>
      <c r="S328" t="s">
        <v>23</v>
      </c>
    </row>
    <row r="329" spans="1:19" ht="16" x14ac:dyDescent="0.2">
      <c r="A329" s="27" t="s">
        <v>370</v>
      </c>
      <c r="B329" s="16">
        <v>8.7999999999999995E-2</v>
      </c>
      <c r="C329" s="16">
        <v>4.9000000000000004</v>
      </c>
      <c r="D329" s="28">
        <v>1.6624450770000001</v>
      </c>
      <c r="E329" s="30">
        <v>207084.47579999999</v>
      </c>
      <c r="F329" s="30">
        <v>364768.71610000002</v>
      </c>
      <c r="G329" s="30" t="s">
        <v>42</v>
      </c>
      <c r="H329" s="30" t="s">
        <v>68</v>
      </c>
      <c r="I329" s="31">
        <v>20</v>
      </c>
      <c r="J329" s="28">
        <v>0.207544062</v>
      </c>
      <c r="K329" s="28">
        <v>1.6589947709999999</v>
      </c>
      <c r="L329" s="29">
        <v>0.69684916299999999</v>
      </c>
      <c r="M329" s="16">
        <v>-22.1</v>
      </c>
      <c r="N329" s="39" t="e">
        <v>#N/A</v>
      </c>
      <c r="O329" s="39" t="e">
        <v>#N/A</v>
      </c>
      <c r="P329" s="39" t="e">
        <v>#N/A</v>
      </c>
      <c r="Q329" s="39" t="e">
        <v>#N/A</v>
      </c>
      <c r="R329" s="15">
        <v>1606176000</v>
      </c>
      <c r="S329" t="s">
        <v>23</v>
      </c>
    </row>
    <row r="330" spans="1:19" ht="16" x14ac:dyDescent="0.2">
      <c r="A330" s="27" t="s">
        <v>371</v>
      </c>
      <c r="B330" s="16">
        <v>7.0999999999999994E-2</v>
      </c>
      <c r="C330" s="16">
        <v>4.9000000000000004</v>
      </c>
      <c r="D330" s="28">
        <v>1.6264625539999999</v>
      </c>
      <c r="E330" s="30">
        <v>207084.47579999999</v>
      </c>
      <c r="F330" s="30">
        <v>364768.71610000002</v>
      </c>
      <c r="G330" s="30" t="s">
        <v>42</v>
      </c>
      <c r="H330" s="30" t="s">
        <v>68</v>
      </c>
      <c r="I330" s="31">
        <v>30</v>
      </c>
      <c r="J330" s="28">
        <v>0.142771764</v>
      </c>
      <c r="K330" s="28">
        <v>1.624140425</v>
      </c>
      <c r="L330" s="29">
        <v>0.55563233000000001</v>
      </c>
      <c r="M330" s="16">
        <v>-22.4</v>
      </c>
      <c r="N330" s="40" t="e">
        <v>#N/A</v>
      </c>
      <c r="O330" s="40" t="e">
        <v>#N/A</v>
      </c>
      <c r="P330" s="40" t="e">
        <v>#N/A</v>
      </c>
      <c r="Q330" s="40" t="e">
        <v>#N/A</v>
      </c>
      <c r="R330" s="15">
        <v>1606176000</v>
      </c>
      <c r="S330" t="s">
        <v>23</v>
      </c>
    </row>
    <row r="331" spans="1:19" ht="16" x14ac:dyDescent="0.2">
      <c r="A331" s="27" t="s">
        <v>372</v>
      </c>
      <c r="B331" s="16">
        <v>4.9000000000000002E-2</v>
      </c>
      <c r="C331" s="16">
        <v>5.3</v>
      </c>
      <c r="D331" s="28">
        <v>1.5247797400000001</v>
      </c>
      <c r="E331" s="30">
        <v>207084.47579999999</v>
      </c>
      <c r="F331" s="30">
        <v>364768.71610000002</v>
      </c>
      <c r="G331" s="30" t="s">
        <v>42</v>
      </c>
      <c r="H331" s="30" t="s">
        <v>68</v>
      </c>
      <c r="I331" s="31">
        <v>40</v>
      </c>
      <c r="J331" s="28">
        <v>5.6577085999999999E-2</v>
      </c>
      <c r="K331" s="28">
        <v>1.5239170639999999</v>
      </c>
      <c r="L331" s="29">
        <v>0.29256759700000001</v>
      </c>
      <c r="M331" s="16">
        <v>-23.1</v>
      </c>
      <c r="N331" s="39" t="e">
        <v>#N/A</v>
      </c>
      <c r="O331" s="39" t="e">
        <v>#N/A</v>
      </c>
      <c r="P331" s="39" t="e">
        <v>#N/A</v>
      </c>
      <c r="Q331" s="39" t="e">
        <v>#N/A</v>
      </c>
      <c r="R331" s="15">
        <v>1606176000</v>
      </c>
      <c r="S331" t="s">
        <v>23</v>
      </c>
    </row>
    <row r="332" spans="1:19" ht="16" x14ac:dyDescent="0.2">
      <c r="A332" s="27" t="s">
        <v>373</v>
      </c>
      <c r="B332" s="16">
        <v>4.7E-2</v>
      </c>
      <c r="C332" s="16">
        <v>4.5</v>
      </c>
      <c r="D332" s="28">
        <v>1.5886400890000001</v>
      </c>
      <c r="E332" s="30">
        <v>207084.47579999999</v>
      </c>
      <c r="F332" s="30">
        <v>364768.71610000002</v>
      </c>
      <c r="G332" s="30" t="s">
        <v>42</v>
      </c>
      <c r="H332" s="30" t="s">
        <v>68</v>
      </c>
      <c r="I332" s="31">
        <v>50</v>
      </c>
      <c r="J332" s="28">
        <v>6.9406573999999999E-2</v>
      </c>
      <c r="K332" s="28">
        <v>1.5875374689999999</v>
      </c>
      <c r="L332" s="29">
        <v>0.215122698</v>
      </c>
      <c r="M332" s="16">
        <v>-23</v>
      </c>
      <c r="N332" s="39" t="e">
        <v>#N/A</v>
      </c>
      <c r="O332" s="39" t="e">
        <v>#N/A</v>
      </c>
      <c r="P332" s="39" t="e">
        <v>#N/A</v>
      </c>
      <c r="Q332" s="39" t="e">
        <v>#N/A</v>
      </c>
      <c r="R332" s="15">
        <v>1606176000</v>
      </c>
      <c r="S332" t="s">
        <v>23</v>
      </c>
    </row>
    <row r="333" spans="1:19" ht="16" x14ac:dyDescent="0.2">
      <c r="A333" s="27" t="s">
        <v>374</v>
      </c>
      <c r="B333" s="16">
        <v>4.2000000000000003E-2</v>
      </c>
      <c r="C333" s="16">
        <v>4.2</v>
      </c>
      <c r="D333" s="28">
        <v>1.506529223</v>
      </c>
      <c r="E333" s="30">
        <v>207084.47579999999</v>
      </c>
      <c r="F333" s="30">
        <v>364768.71610000002</v>
      </c>
      <c r="G333" s="30" t="s">
        <v>42</v>
      </c>
      <c r="H333" s="30" t="s">
        <v>68</v>
      </c>
      <c r="I333" s="31">
        <v>60</v>
      </c>
      <c r="J333" s="28">
        <v>5.8259538E-2</v>
      </c>
      <c r="K333" s="28">
        <v>1.5056515260000001</v>
      </c>
      <c r="L333" s="29">
        <v>0.15787831699999999</v>
      </c>
      <c r="M333" s="16">
        <v>-24.7</v>
      </c>
      <c r="N333" s="39" t="e">
        <v>#N/A</v>
      </c>
      <c r="O333" s="39" t="e">
        <v>#N/A</v>
      </c>
      <c r="P333" s="39" t="e">
        <v>#N/A</v>
      </c>
      <c r="Q333" s="39" t="e">
        <v>#N/A</v>
      </c>
      <c r="R333" s="15">
        <v>1606176000</v>
      </c>
      <c r="S333" t="s">
        <v>23</v>
      </c>
    </row>
    <row r="334" spans="1:19" ht="16" x14ac:dyDescent="0.2">
      <c r="A334" s="27" t="s">
        <v>375</v>
      </c>
      <c r="B334" s="16">
        <v>4.3499999999999997E-2</v>
      </c>
      <c r="C334" s="16">
        <v>3.4</v>
      </c>
      <c r="D334" s="28">
        <v>1.561158217</v>
      </c>
      <c r="E334" s="30">
        <v>207084.47579999999</v>
      </c>
      <c r="F334" s="30">
        <v>364768.71610000002</v>
      </c>
      <c r="G334" s="30" t="s">
        <v>42</v>
      </c>
      <c r="H334" s="30" t="s">
        <v>68</v>
      </c>
      <c r="I334" s="31">
        <v>70</v>
      </c>
      <c r="J334" s="28">
        <v>8.5768951999999996E-2</v>
      </c>
      <c r="K334" s="28">
        <v>1.5598192280000001</v>
      </c>
      <c r="L334" s="29">
        <v>0.16527900500000001</v>
      </c>
      <c r="M334" s="16">
        <v>-24.2</v>
      </c>
      <c r="N334" s="39" t="e">
        <v>#N/A</v>
      </c>
      <c r="O334" s="39" t="e">
        <v>#N/A</v>
      </c>
      <c r="P334" s="39" t="e">
        <v>#N/A</v>
      </c>
      <c r="Q334" s="39" t="e">
        <v>#N/A</v>
      </c>
      <c r="R334" s="15">
        <v>1606176000</v>
      </c>
      <c r="S334" t="s">
        <v>23</v>
      </c>
    </row>
    <row r="335" spans="1:19" ht="16" x14ac:dyDescent="0.2">
      <c r="A335" s="27" t="s">
        <v>376</v>
      </c>
      <c r="B335" s="16">
        <v>0.04</v>
      </c>
      <c r="C335" s="16">
        <v>3.3</v>
      </c>
      <c r="D335" s="28">
        <v>1.4845566290000001</v>
      </c>
      <c r="E335" s="30">
        <v>207084.47579999999</v>
      </c>
      <c r="F335" s="30">
        <v>364768.71610000002</v>
      </c>
      <c r="G335" s="30" t="s">
        <v>42</v>
      </c>
      <c r="H335" s="30" t="s">
        <v>68</v>
      </c>
      <c r="I335" s="31">
        <v>80</v>
      </c>
      <c r="J335" s="28">
        <v>0.117374773</v>
      </c>
      <c r="K335" s="28">
        <v>1.4828141340000001</v>
      </c>
      <c r="L335" s="29">
        <v>0.13959053499999999</v>
      </c>
      <c r="M335" s="16">
        <v>-24.9</v>
      </c>
      <c r="N335" s="39" t="e">
        <v>#N/A</v>
      </c>
      <c r="O335" s="39" t="e">
        <v>#N/A</v>
      </c>
      <c r="P335" s="39" t="e">
        <v>#N/A</v>
      </c>
      <c r="Q335" s="39" t="e">
        <v>#N/A</v>
      </c>
      <c r="R335" s="15">
        <v>1606176000</v>
      </c>
      <c r="S335" t="s">
        <v>23</v>
      </c>
    </row>
    <row r="336" spans="1:19" ht="16" x14ac:dyDescent="0.2">
      <c r="A336" s="27" t="s">
        <v>377</v>
      </c>
      <c r="B336" s="16">
        <v>0.04</v>
      </c>
      <c r="C336" s="16">
        <v>2.8</v>
      </c>
      <c r="D336" s="28">
        <v>1.7731234469999999</v>
      </c>
      <c r="E336" s="30">
        <v>207084.47579999999</v>
      </c>
      <c r="F336" s="30">
        <v>364768.71610000002</v>
      </c>
      <c r="G336" s="30" t="s">
        <v>42</v>
      </c>
      <c r="H336" s="30" t="s">
        <v>68</v>
      </c>
      <c r="I336" s="31">
        <v>90</v>
      </c>
      <c r="J336" s="28">
        <v>5.3330666999999998E-2</v>
      </c>
      <c r="K336" s="28">
        <v>1.7721778290000001</v>
      </c>
      <c r="L336" s="29">
        <v>0.14664660099999999</v>
      </c>
      <c r="M336" s="16">
        <v>-26.5</v>
      </c>
      <c r="N336" s="39" t="e">
        <v>#N/A</v>
      </c>
      <c r="O336" s="39" t="e">
        <v>#N/A</v>
      </c>
      <c r="P336" s="39" t="e">
        <v>#N/A</v>
      </c>
      <c r="Q336" s="39" t="e">
        <v>#N/A</v>
      </c>
      <c r="R336" s="15">
        <v>1606176000</v>
      </c>
      <c r="S336" t="s">
        <v>23</v>
      </c>
    </row>
    <row r="337" spans="1:19" ht="16" x14ac:dyDescent="0.2">
      <c r="A337" s="27" t="s">
        <v>378</v>
      </c>
      <c r="B337" s="16">
        <v>3.5999999999999997E-2</v>
      </c>
      <c r="C337" s="16">
        <v>2.8</v>
      </c>
      <c r="D337" s="28">
        <v>1.686800332</v>
      </c>
      <c r="E337" s="30">
        <v>207084.47579999999</v>
      </c>
      <c r="F337" s="30">
        <v>364768.71610000002</v>
      </c>
      <c r="G337" s="30" t="s">
        <v>42</v>
      </c>
      <c r="H337" s="30" t="s">
        <v>68</v>
      </c>
      <c r="I337" s="31">
        <v>100</v>
      </c>
      <c r="J337" s="28">
        <v>0.13075789900000001</v>
      </c>
      <c r="K337" s="28">
        <v>1.684594707</v>
      </c>
      <c r="L337" s="29">
        <v>0.138689064</v>
      </c>
      <c r="M337" s="16">
        <v>-26.2</v>
      </c>
      <c r="N337" s="39" t="e">
        <v>#N/A</v>
      </c>
      <c r="O337" s="39" t="e">
        <v>#N/A</v>
      </c>
      <c r="P337" s="39" t="e">
        <v>#N/A</v>
      </c>
      <c r="Q337" s="39" t="e">
        <v>#N/A</v>
      </c>
      <c r="R337" s="15">
        <v>1606176000</v>
      </c>
      <c r="S337" t="s">
        <v>23</v>
      </c>
    </row>
    <row r="338" spans="1:19" ht="16" x14ac:dyDescent="0.2">
      <c r="A338" s="27" t="s">
        <v>379</v>
      </c>
      <c r="B338" s="16">
        <v>0.11</v>
      </c>
      <c r="C338" s="16">
        <v>4.3</v>
      </c>
      <c r="D338" s="28">
        <v>1.3897952579999999</v>
      </c>
      <c r="E338" s="30">
        <v>207153.81330000001</v>
      </c>
      <c r="F338" s="30">
        <v>364647.0932</v>
      </c>
      <c r="G338" s="30" t="s">
        <v>42</v>
      </c>
      <c r="H338" s="30" t="s">
        <v>81</v>
      </c>
      <c r="I338" s="31">
        <v>10</v>
      </c>
      <c r="J338" s="28">
        <v>1.8656347769999999</v>
      </c>
      <c r="K338" s="28">
        <v>1.3638667550000001</v>
      </c>
      <c r="L338" s="29">
        <v>0.97646517300000002</v>
      </c>
      <c r="M338" s="16">
        <v>-22.4</v>
      </c>
      <c r="N338" s="39" t="e">
        <v>#N/A</v>
      </c>
      <c r="O338" s="39" t="e">
        <v>#N/A</v>
      </c>
      <c r="P338" s="39" t="e">
        <v>#N/A</v>
      </c>
      <c r="Q338" s="39" t="e">
        <v>#N/A</v>
      </c>
      <c r="R338" s="15">
        <v>1606176000</v>
      </c>
      <c r="S338" t="s">
        <v>23</v>
      </c>
    </row>
    <row r="339" spans="1:19" ht="16" x14ac:dyDescent="0.2">
      <c r="A339" s="27" t="s">
        <v>380</v>
      </c>
      <c r="B339" s="16">
        <v>0.11</v>
      </c>
      <c r="C339" s="16">
        <v>4.5</v>
      </c>
      <c r="D339" s="28">
        <v>1.5649328739999999</v>
      </c>
      <c r="E339" s="30">
        <v>207153.81330000001</v>
      </c>
      <c r="F339" s="30">
        <v>364647.0932</v>
      </c>
      <c r="G339" s="30" t="s">
        <v>42</v>
      </c>
      <c r="H339" s="30" t="s">
        <v>81</v>
      </c>
      <c r="I339" s="31">
        <v>10</v>
      </c>
      <c r="J339" s="28">
        <v>1.942131077</v>
      </c>
      <c r="K339" s="28">
        <v>1.5345398260000001</v>
      </c>
      <c r="L339" s="29">
        <v>0.95104343499999999</v>
      </c>
      <c r="M339" s="16">
        <v>-22.2</v>
      </c>
      <c r="N339" s="39" t="e">
        <v>#N/A</v>
      </c>
      <c r="O339" s="39" t="e">
        <v>#N/A</v>
      </c>
      <c r="P339" s="39" t="e">
        <v>#N/A</v>
      </c>
      <c r="Q339" s="39" t="e">
        <v>#N/A</v>
      </c>
      <c r="R339" s="15">
        <v>1606176000</v>
      </c>
      <c r="S339" t="s">
        <v>23</v>
      </c>
    </row>
    <row r="340" spans="1:19" ht="16" x14ac:dyDescent="0.2">
      <c r="A340" s="27" t="s">
        <v>381</v>
      </c>
      <c r="B340" s="16">
        <v>0.12</v>
      </c>
      <c r="C340" s="16">
        <v>4.8</v>
      </c>
      <c r="D340" s="28">
        <v>1.503467876</v>
      </c>
      <c r="E340" s="30">
        <v>207153.81330000001</v>
      </c>
      <c r="F340" s="30">
        <v>364647.0932</v>
      </c>
      <c r="G340" s="30" t="s">
        <v>42</v>
      </c>
      <c r="H340" s="30" t="s">
        <v>81</v>
      </c>
      <c r="I340" s="31">
        <v>20</v>
      </c>
      <c r="J340" s="28">
        <v>0.72104176399999997</v>
      </c>
      <c r="K340" s="28">
        <v>1.492627245</v>
      </c>
      <c r="L340" s="29">
        <v>1.04766011</v>
      </c>
      <c r="M340" s="16">
        <v>-22.4</v>
      </c>
      <c r="N340" s="39" t="e">
        <v>#N/A</v>
      </c>
      <c r="O340" s="39" t="e">
        <v>#N/A</v>
      </c>
      <c r="P340" s="39" t="e">
        <v>#N/A</v>
      </c>
      <c r="Q340" s="39" t="e">
        <v>#N/A</v>
      </c>
      <c r="R340" s="15">
        <v>1606176000</v>
      </c>
      <c r="S340" t="s">
        <v>23</v>
      </c>
    </row>
    <row r="341" spans="1:19" ht="16" x14ac:dyDescent="0.2">
      <c r="A341" s="27" t="s">
        <v>382</v>
      </c>
      <c r="B341" s="16">
        <v>0.08</v>
      </c>
      <c r="C341" s="16">
        <v>4.95</v>
      </c>
      <c r="D341" s="28">
        <v>1.5069700399999999</v>
      </c>
      <c r="E341" s="30">
        <v>207153.81330000001</v>
      </c>
      <c r="F341" s="30">
        <v>364647.0932</v>
      </c>
      <c r="G341" s="30" t="s">
        <v>42</v>
      </c>
      <c r="H341" s="30" t="s">
        <v>81</v>
      </c>
      <c r="I341" s="31">
        <v>30</v>
      </c>
      <c r="J341" s="28">
        <v>0.433868217</v>
      </c>
      <c r="K341" s="28">
        <v>1.5004317760000001</v>
      </c>
      <c r="L341" s="29">
        <v>0.68868873100000005</v>
      </c>
      <c r="M341" s="16">
        <v>-22.7</v>
      </c>
      <c r="N341" s="39" t="e">
        <v>#N/A</v>
      </c>
      <c r="O341" s="39" t="e">
        <v>#N/A</v>
      </c>
      <c r="P341" s="39" t="e">
        <v>#N/A</v>
      </c>
      <c r="Q341" s="39" t="e">
        <v>#N/A</v>
      </c>
      <c r="R341" s="15">
        <v>1606176000</v>
      </c>
      <c r="S341" t="s">
        <v>23</v>
      </c>
    </row>
    <row r="342" spans="1:19" ht="16" x14ac:dyDescent="0.2">
      <c r="A342" s="27" t="s">
        <v>383</v>
      </c>
      <c r="B342" s="16">
        <v>7.2999999999999995E-2</v>
      </c>
      <c r="C342" s="16">
        <v>4.7</v>
      </c>
      <c r="D342" s="28">
        <v>1.4735695150000001</v>
      </c>
      <c r="E342" s="30">
        <v>207153.81330000001</v>
      </c>
      <c r="F342" s="30">
        <v>364647.0932</v>
      </c>
      <c r="G342" s="30" t="s">
        <v>42</v>
      </c>
      <c r="H342" s="30" t="s">
        <v>81</v>
      </c>
      <c r="I342" s="31">
        <v>40</v>
      </c>
      <c r="J342" s="28">
        <v>0.28113578900000002</v>
      </c>
      <c r="K342" s="28">
        <v>1.4694267839999999</v>
      </c>
      <c r="L342" s="29">
        <v>0.64900472200000003</v>
      </c>
      <c r="M342" s="16">
        <v>-23.6</v>
      </c>
      <c r="N342" s="39" t="e">
        <v>#N/A</v>
      </c>
      <c r="O342" s="39" t="e">
        <v>#N/A</v>
      </c>
      <c r="P342" s="39" t="e">
        <v>#N/A</v>
      </c>
      <c r="Q342" s="39" t="e">
        <v>#N/A</v>
      </c>
      <c r="R342" s="15">
        <v>1606176000</v>
      </c>
      <c r="S342" t="s">
        <v>23</v>
      </c>
    </row>
    <row r="343" spans="1:19" ht="16" x14ac:dyDescent="0.2">
      <c r="A343" s="27" t="s">
        <v>384</v>
      </c>
      <c r="B343" s="16">
        <v>5.8999999999999997E-2</v>
      </c>
      <c r="C343" s="16">
        <v>5.2</v>
      </c>
      <c r="D343" s="28">
        <v>1.4240283389999999</v>
      </c>
      <c r="E343" s="30">
        <v>207153.81330000001</v>
      </c>
      <c r="F343" s="30">
        <v>364647.0932</v>
      </c>
      <c r="G343" s="30" t="s">
        <v>42</v>
      </c>
      <c r="H343" s="30" t="s">
        <v>81</v>
      </c>
      <c r="I343" s="31">
        <v>50</v>
      </c>
      <c r="J343" s="28">
        <v>0.87482503499999997</v>
      </c>
      <c r="K343" s="28">
        <v>1.411570583</v>
      </c>
      <c r="L343" s="29">
        <v>0.51108373600000001</v>
      </c>
      <c r="M343" s="16">
        <v>-23.2</v>
      </c>
      <c r="N343" s="39" t="e">
        <v>#N/A</v>
      </c>
      <c r="O343" s="39" t="e">
        <v>#N/A</v>
      </c>
      <c r="P343" s="39" t="e">
        <v>#N/A</v>
      </c>
      <c r="Q343" s="39" t="e">
        <v>#N/A</v>
      </c>
      <c r="R343" s="15">
        <v>1606176000</v>
      </c>
      <c r="S343" t="s">
        <v>23</v>
      </c>
    </row>
    <row r="344" spans="1:19" ht="16" x14ac:dyDescent="0.2">
      <c r="A344" s="27" t="s">
        <v>385</v>
      </c>
      <c r="B344" s="16">
        <v>4.9000000000000002E-2</v>
      </c>
      <c r="C344" s="16">
        <v>6.1</v>
      </c>
      <c r="D344" s="28">
        <v>1.4164755710000001</v>
      </c>
      <c r="E344" s="30">
        <v>207153.81330000001</v>
      </c>
      <c r="F344" s="30">
        <v>364647.0932</v>
      </c>
      <c r="G344" s="30" t="s">
        <v>42</v>
      </c>
      <c r="H344" s="30" t="s">
        <v>81</v>
      </c>
      <c r="I344" s="31">
        <v>60</v>
      </c>
      <c r="J344" s="28">
        <v>4.5623324509999996</v>
      </c>
      <c r="K344" s="28">
        <v>1.3518512460000001</v>
      </c>
      <c r="L344" s="29">
        <v>0.36039121699999999</v>
      </c>
      <c r="M344" s="16">
        <v>-23</v>
      </c>
      <c r="N344" s="39" t="e">
        <v>#N/A</v>
      </c>
      <c r="O344" s="39" t="e">
        <v>#N/A</v>
      </c>
      <c r="P344" s="39" t="e">
        <v>#N/A</v>
      </c>
      <c r="Q344" s="39" t="e">
        <v>#N/A</v>
      </c>
      <c r="R344" s="15">
        <v>1606176000</v>
      </c>
      <c r="S344" t="s">
        <v>23</v>
      </c>
    </row>
    <row r="345" spans="1:19" ht="16" x14ac:dyDescent="0.2">
      <c r="A345" s="27" t="s">
        <v>386</v>
      </c>
      <c r="B345" s="16">
        <v>4.2000000000000003E-2</v>
      </c>
      <c r="C345" s="16">
        <v>4.7</v>
      </c>
      <c r="D345" s="28">
        <v>1.614320805</v>
      </c>
      <c r="E345" s="30">
        <v>207153.81330000001</v>
      </c>
      <c r="F345" s="30">
        <v>364647.0932</v>
      </c>
      <c r="G345" s="30" t="s">
        <v>42</v>
      </c>
      <c r="H345" s="30" t="s">
        <v>81</v>
      </c>
      <c r="I345" s="31">
        <v>70</v>
      </c>
      <c r="J345" s="28">
        <v>8.6254084629999994</v>
      </c>
      <c r="K345" s="28">
        <v>1.4750790410000001</v>
      </c>
      <c r="L345" s="29">
        <v>0.19814654900000001</v>
      </c>
      <c r="M345" s="16">
        <v>-23</v>
      </c>
      <c r="N345" s="39" t="e">
        <v>#N/A</v>
      </c>
      <c r="O345" s="39" t="e">
        <v>#N/A</v>
      </c>
      <c r="P345" s="39" t="e">
        <v>#N/A</v>
      </c>
      <c r="Q345" s="39" t="e">
        <v>#N/A</v>
      </c>
      <c r="R345" s="15">
        <v>1606176000</v>
      </c>
      <c r="S345" t="s">
        <v>23</v>
      </c>
    </row>
    <row r="346" spans="1:19" ht="16" x14ac:dyDescent="0.2">
      <c r="A346" s="27" t="s">
        <v>387</v>
      </c>
      <c r="B346" s="16">
        <v>4.2999999999999997E-2</v>
      </c>
      <c r="C346" s="16">
        <v>4.0999999999999996</v>
      </c>
      <c r="D346" s="28">
        <v>1.5723599539999999</v>
      </c>
      <c r="E346" s="30">
        <v>207153.81330000001</v>
      </c>
      <c r="F346" s="30">
        <v>364647.0932</v>
      </c>
      <c r="G346" s="30" t="s">
        <v>42</v>
      </c>
      <c r="H346" s="30" t="s">
        <v>81</v>
      </c>
      <c r="I346" s="31">
        <v>80</v>
      </c>
      <c r="J346" s="28">
        <v>5.3776385219999998</v>
      </c>
      <c r="K346" s="28">
        <v>1.4878041200000001</v>
      </c>
      <c r="L346" s="29">
        <v>0.19459528300000001</v>
      </c>
      <c r="M346" s="16">
        <v>-23.8</v>
      </c>
      <c r="N346" s="39" t="e">
        <v>#N/A</v>
      </c>
      <c r="O346" s="39" t="e">
        <v>#N/A</v>
      </c>
      <c r="P346" s="39" t="e">
        <v>#N/A</v>
      </c>
      <c r="Q346" s="39" t="e">
        <v>#N/A</v>
      </c>
      <c r="R346" s="15">
        <v>1606176000</v>
      </c>
      <c r="S346" t="s">
        <v>23</v>
      </c>
    </row>
    <row r="347" spans="1:19" ht="16" x14ac:dyDescent="0.2">
      <c r="A347" s="27" t="s">
        <v>388</v>
      </c>
      <c r="B347" s="16">
        <v>3.9E-2</v>
      </c>
      <c r="C347" s="16">
        <v>3.8</v>
      </c>
      <c r="D347" s="28">
        <v>1.6875744619999999</v>
      </c>
      <c r="E347" s="30">
        <v>207153.81330000001</v>
      </c>
      <c r="F347" s="30">
        <v>364647.0932</v>
      </c>
      <c r="G347" s="30" t="s">
        <v>42</v>
      </c>
      <c r="H347" s="30" t="s">
        <v>81</v>
      </c>
      <c r="I347" s="31">
        <v>90</v>
      </c>
      <c r="J347" s="28">
        <v>5.4560827610000002</v>
      </c>
      <c r="K347" s="28">
        <v>1.595499003</v>
      </c>
      <c r="L347" s="29">
        <v>0.16815012600000001</v>
      </c>
      <c r="M347" s="16">
        <v>-24.7</v>
      </c>
      <c r="N347" s="39" t="e">
        <v>#N/A</v>
      </c>
      <c r="O347" s="39" t="e">
        <v>#N/A</v>
      </c>
      <c r="P347" s="39" t="e">
        <v>#N/A</v>
      </c>
      <c r="Q347" s="39" t="e">
        <v>#N/A</v>
      </c>
      <c r="R347" s="15">
        <v>1606176000</v>
      </c>
      <c r="S347" t="s">
        <v>23</v>
      </c>
    </row>
    <row r="348" spans="1:19" ht="16" x14ac:dyDescent="0.2">
      <c r="A348" s="27" t="s">
        <v>389</v>
      </c>
      <c r="B348" s="16">
        <v>3.4000000000000002E-2</v>
      </c>
      <c r="C348" s="16">
        <v>4.4000000000000004</v>
      </c>
      <c r="D348" s="28">
        <v>1.620224627</v>
      </c>
      <c r="E348" s="30">
        <v>207153.81330000001</v>
      </c>
      <c r="F348" s="30">
        <v>364647.0932</v>
      </c>
      <c r="G348" s="30" t="s">
        <v>42</v>
      </c>
      <c r="H348" s="30" t="s">
        <v>81</v>
      </c>
      <c r="I348" s="31">
        <v>100</v>
      </c>
      <c r="J348" s="28">
        <v>6.5759338290000002</v>
      </c>
      <c r="K348" s="28">
        <v>1.513679727</v>
      </c>
      <c r="L348" s="29">
        <v>0.12967246199999999</v>
      </c>
      <c r="M348" s="16">
        <v>-25.5</v>
      </c>
      <c r="N348" s="39" t="e">
        <v>#N/A</v>
      </c>
      <c r="O348" s="39" t="e">
        <v>#N/A</v>
      </c>
      <c r="P348" s="39" t="e">
        <v>#N/A</v>
      </c>
      <c r="Q348" s="39" t="e">
        <v>#N/A</v>
      </c>
      <c r="R348" s="15">
        <v>1606176000</v>
      </c>
      <c r="S348" t="s">
        <v>23</v>
      </c>
    </row>
    <row r="349" spans="1:19" ht="16" x14ac:dyDescent="0.2">
      <c r="A349" s="27" t="s">
        <v>390</v>
      </c>
      <c r="B349" s="16">
        <v>2.9000000000000001E-2</v>
      </c>
      <c r="C349" s="16">
        <v>2.1</v>
      </c>
      <c r="D349" s="28">
        <v>1.0914423099999999</v>
      </c>
      <c r="E349" s="30">
        <v>207153.81330000001</v>
      </c>
      <c r="F349" s="30">
        <v>364647.0932</v>
      </c>
      <c r="G349" s="30" t="s">
        <v>42</v>
      </c>
      <c r="H349" s="30" t="s">
        <v>81</v>
      </c>
      <c r="I349" s="31">
        <v>110</v>
      </c>
      <c r="J349" s="28">
        <v>8.0537806179999993</v>
      </c>
      <c r="K349" s="28">
        <v>1.0035399410000001</v>
      </c>
      <c r="L349" s="29">
        <v>0.122579076</v>
      </c>
      <c r="M349" s="16">
        <v>-27.3</v>
      </c>
      <c r="N349" s="39" t="e">
        <v>#N/A</v>
      </c>
      <c r="O349" s="39" t="e">
        <v>#N/A</v>
      </c>
      <c r="P349" s="39" t="e">
        <v>#N/A</v>
      </c>
      <c r="Q349" s="39" t="e">
        <v>#N/A</v>
      </c>
      <c r="R349" s="15">
        <v>1606176000</v>
      </c>
      <c r="S349" t="s">
        <v>23</v>
      </c>
    </row>
    <row r="350" spans="1:19" ht="16" x14ac:dyDescent="0.2">
      <c r="A350" s="27" t="s">
        <v>391</v>
      </c>
      <c r="B350" s="16">
        <v>0.14000000000000001</v>
      </c>
      <c r="C350" s="16">
        <v>5.4</v>
      </c>
      <c r="D350" s="28">
        <v>1.4598271</v>
      </c>
      <c r="E350" s="30">
        <v>207153.81330000001</v>
      </c>
      <c r="F350" s="30">
        <v>364647.0932</v>
      </c>
      <c r="G350" s="30" t="s">
        <v>42</v>
      </c>
      <c r="H350" s="30" t="s">
        <v>81</v>
      </c>
      <c r="I350" s="31">
        <v>10</v>
      </c>
      <c r="J350" s="28">
        <v>4.0547735520000003</v>
      </c>
      <c r="K350" s="28">
        <v>1.400634417</v>
      </c>
      <c r="L350" s="29">
        <v>1.412246573</v>
      </c>
      <c r="M350" s="16">
        <v>-22.8</v>
      </c>
      <c r="N350" s="39" t="e">
        <v>#N/A</v>
      </c>
      <c r="O350" s="39" t="e">
        <v>#N/A</v>
      </c>
      <c r="P350" s="39" t="e">
        <v>#N/A</v>
      </c>
      <c r="Q350" s="39" t="e">
        <v>#N/A</v>
      </c>
      <c r="R350" s="15">
        <v>1606176000</v>
      </c>
      <c r="S350" t="s">
        <v>23</v>
      </c>
    </row>
    <row r="351" spans="1:19" ht="16" x14ac:dyDescent="0.2">
      <c r="A351" s="27" t="s">
        <v>392</v>
      </c>
      <c r="B351" s="16">
        <v>0.14000000000000001</v>
      </c>
      <c r="C351" s="16">
        <v>5.6</v>
      </c>
      <c r="D351" s="28">
        <v>1.4008197010000001</v>
      </c>
      <c r="E351" s="30">
        <v>207153.81330000001</v>
      </c>
      <c r="F351" s="30">
        <v>364647.0932</v>
      </c>
      <c r="G351" s="30" t="s">
        <v>42</v>
      </c>
      <c r="H351" s="30" t="s">
        <v>81</v>
      </c>
      <c r="I351" s="31">
        <v>20</v>
      </c>
      <c r="J351" s="28">
        <v>3.2141849150000001</v>
      </c>
      <c r="K351" s="28">
        <v>1.355794766</v>
      </c>
      <c r="L351" s="29">
        <v>1.3092866249999999</v>
      </c>
      <c r="M351" s="16">
        <v>-22.6</v>
      </c>
      <c r="N351" s="39" t="e">
        <v>#N/A</v>
      </c>
      <c r="O351" s="39" t="e">
        <v>#N/A</v>
      </c>
      <c r="P351" s="39" t="e">
        <v>#N/A</v>
      </c>
      <c r="Q351" s="39" t="e">
        <v>#N/A</v>
      </c>
      <c r="R351" s="15">
        <v>1606176000</v>
      </c>
      <c r="S351" t="s">
        <v>23</v>
      </c>
    </row>
    <row r="352" spans="1:19" ht="16" x14ac:dyDescent="0.2">
      <c r="A352" s="27" t="s">
        <v>393</v>
      </c>
      <c r="B352" s="16">
        <v>0.11</v>
      </c>
      <c r="C352" s="16">
        <v>5.7</v>
      </c>
      <c r="D352" s="28">
        <v>1.4802509669999999</v>
      </c>
      <c r="E352" s="30">
        <v>207153.81330000001</v>
      </c>
      <c r="F352" s="30">
        <v>364647.0932</v>
      </c>
      <c r="G352" s="30" t="s">
        <v>42</v>
      </c>
      <c r="H352" s="30" t="s">
        <v>81</v>
      </c>
      <c r="I352" s="31">
        <v>30</v>
      </c>
      <c r="J352" s="28">
        <v>2.0476507829999999</v>
      </c>
      <c r="K352" s="28">
        <v>1.449940596</v>
      </c>
      <c r="L352" s="29">
        <v>1.0581228439999999</v>
      </c>
      <c r="M352" s="16">
        <v>-23.1</v>
      </c>
      <c r="N352" s="39" t="e">
        <v>#N/A</v>
      </c>
      <c r="O352" s="39" t="e">
        <v>#N/A</v>
      </c>
      <c r="P352" s="39" t="e">
        <v>#N/A</v>
      </c>
      <c r="Q352" s="39" t="e">
        <v>#N/A</v>
      </c>
      <c r="R352" s="15">
        <v>1606176000</v>
      </c>
      <c r="S352" t="s">
        <v>23</v>
      </c>
    </row>
    <row r="353" spans="1:19" ht="16" x14ac:dyDescent="0.2">
      <c r="A353" s="27" t="s">
        <v>394</v>
      </c>
      <c r="B353" s="16">
        <v>7.6999999999999999E-2</v>
      </c>
      <c r="C353" s="16">
        <v>6</v>
      </c>
      <c r="D353" s="28">
        <v>1.539637497</v>
      </c>
      <c r="E353" s="30">
        <v>207153.81330000001</v>
      </c>
      <c r="F353" s="30">
        <v>364647.0932</v>
      </c>
      <c r="G353" s="30" t="s">
        <v>42</v>
      </c>
      <c r="H353" s="30" t="s">
        <v>81</v>
      </c>
      <c r="I353" s="31">
        <v>40</v>
      </c>
      <c r="J353" s="28">
        <v>4.2245071410000001</v>
      </c>
      <c r="K353" s="28">
        <v>1.474595401</v>
      </c>
      <c r="L353" s="29">
        <v>0.84146701800000001</v>
      </c>
      <c r="M353" s="16">
        <v>-24</v>
      </c>
      <c r="N353" s="39" t="e">
        <v>#N/A</v>
      </c>
      <c r="O353" s="39" t="e">
        <v>#N/A</v>
      </c>
      <c r="P353" s="39" t="e">
        <v>#N/A</v>
      </c>
      <c r="Q353" s="39" t="e">
        <v>#N/A</v>
      </c>
      <c r="R353" s="15">
        <v>1606176000</v>
      </c>
      <c r="S353" t="s">
        <v>23</v>
      </c>
    </row>
    <row r="354" spans="1:19" ht="16" x14ac:dyDescent="0.2">
      <c r="A354" s="27" t="s">
        <v>395</v>
      </c>
      <c r="B354" s="16">
        <v>5.3999999999999999E-2</v>
      </c>
      <c r="C354" s="16">
        <v>6.3</v>
      </c>
      <c r="D354" s="28">
        <v>1.6392908530000001</v>
      </c>
      <c r="E354" s="30">
        <v>207153.81330000001</v>
      </c>
      <c r="F354" s="30">
        <v>364647.0932</v>
      </c>
      <c r="G354" s="30" t="s">
        <v>42</v>
      </c>
      <c r="H354" s="30" t="s">
        <v>81</v>
      </c>
      <c r="I354" s="31">
        <v>50</v>
      </c>
      <c r="J354" s="28">
        <v>11.08711066</v>
      </c>
      <c r="K354" s="28">
        <v>1.4575408620000001</v>
      </c>
      <c r="L354" s="29">
        <v>0.46614461699999998</v>
      </c>
      <c r="M354" s="16">
        <v>-23.1</v>
      </c>
      <c r="N354" s="39" t="e">
        <v>#N/A</v>
      </c>
      <c r="O354" s="39" t="e">
        <v>#N/A</v>
      </c>
      <c r="P354" s="39" t="e">
        <v>#N/A</v>
      </c>
      <c r="Q354" s="39" t="e">
        <v>#N/A</v>
      </c>
      <c r="R354" s="15">
        <v>1606176000</v>
      </c>
      <c r="S354" t="s">
        <v>23</v>
      </c>
    </row>
    <row r="355" spans="1:19" ht="16" x14ac:dyDescent="0.2">
      <c r="A355" s="27" t="s">
        <v>396</v>
      </c>
      <c r="B355" s="16">
        <v>4.9000000000000002E-2</v>
      </c>
      <c r="C355" s="16">
        <v>5.6</v>
      </c>
      <c r="D355" s="28">
        <v>1.520347417</v>
      </c>
      <c r="E355" s="30">
        <v>207153.81330000001</v>
      </c>
      <c r="F355" s="30">
        <v>364647.0932</v>
      </c>
      <c r="G355" s="30" t="s">
        <v>42</v>
      </c>
      <c r="H355" s="30" t="s">
        <v>81</v>
      </c>
      <c r="I355" s="31">
        <v>60</v>
      </c>
      <c r="J355" s="28">
        <v>25.204867549999999</v>
      </c>
      <c r="K355" s="28">
        <v>1.1371458640000001</v>
      </c>
      <c r="L355" s="29">
        <v>0.26676410499999997</v>
      </c>
      <c r="M355" s="16">
        <v>-22.6</v>
      </c>
      <c r="N355" s="39" t="e">
        <v>#N/A</v>
      </c>
      <c r="O355" s="39" t="e">
        <v>#N/A</v>
      </c>
      <c r="P355" s="39" t="e">
        <v>#N/A</v>
      </c>
      <c r="Q355" s="39" t="e">
        <v>#N/A</v>
      </c>
      <c r="R355" s="15">
        <v>1606176000</v>
      </c>
      <c r="S355" t="s">
        <v>23</v>
      </c>
    </row>
    <row r="356" spans="1:19" ht="16" x14ac:dyDescent="0.2">
      <c r="A356" s="27" t="s">
        <v>397</v>
      </c>
      <c r="B356" s="16">
        <v>4.5999999999999999E-2</v>
      </c>
      <c r="C356" s="16">
        <v>4.3</v>
      </c>
      <c r="D356" s="28">
        <v>1.7899866010000001</v>
      </c>
      <c r="E356" s="30">
        <v>207153.81330000001</v>
      </c>
      <c r="F356" s="30">
        <v>364647.0932</v>
      </c>
      <c r="G356" s="30" t="s">
        <v>42</v>
      </c>
      <c r="H356" s="30" t="s">
        <v>81</v>
      </c>
      <c r="I356" s="31">
        <v>70</v>
      </c>
      <c r="J356" s="28">
        <v>10.20835394</v>
      </c>
      <c r="K356" s="28">
        <v>1.6072584329999999</v>
      </c>
      <c r="L356" s="29">
        <v>0.21146679099999999</v>
      </c>
      <c r="M356" s="16">
        <v>-23.2</v>
      </c>
      <c r="N356" s="39" t="e">
        <v>#N/A</v>
      </c>
      <c r="O356" s="39" t="e">
        <v>#N/A</v>
      </c>
      <c r="P356" s="39" t="e">
        <v>#N/A</v>
      </c>
      <c r="Q356" s="39" t="e">
        <v>#N/A</v>
      </c>
      <c r="R356" s="15">
        <v>1606176000</v>
      </c>
      <c r="S356" t="s">
        <v>23</v>
      </c>
    </row>
    <row r="357" spans="1:19" ht="16" x14ac:dyDescent="0.2">
      <c r="A357" s="27" t="s">
        <v>398</v>
      </c>
      <c r="B357" s="16">
        <v>4.8000000000000001E-2</v>
      </c>
      <c r="C357" s="16">
        <v>4.5999999999999996</v>
      </c>
      <c r="D357" s="28">
        <v>1.5049840569999999</v>
      </c>
      <c r="E357" s="30">
        <v>207153.81330000001</v>
      </c>
      <c r="F357" s="30">
        <v>364647.0932</v>
      </c>
      <c r="G357" s="30" t="s">
        <v>42</v>
      </c>
      <c r="H357" s="30" t="s">
        <v>81</v>
      </c>
      <c r="I357" s="31">
        <v>80</v>
      </c>
      <c r="J357" s="28">
        <v>10.412570430000001</v>
      </c>
      <c r="K357" s="28">
        <v>1.3482765320000001</v>
      </c>
      <c r="L357" s="29">
        <v>0.24375739599999999</v>
      </c>
      <c r="M357" s="16">
        <v>-23.9</v>
      </c>
      <c r="N357" s="39" t="e">
        <v>#N/A</v>
      </c>
      <c r="O357" s="39" t="e">
        <v>#N/A</v>
      </c>
      <c r="P357" s="39" t="e">
        <v>#N/A</v>
      </c>
      <c r="Q357" s="39" t="e">
        <v>#N/A</v>
      </c>
      <c r="R357" s="15">
        <v>1606176000</v>
      </c>
      <c r="S357" t="s">
        <v>23</v>
      </c>
    </row>
    <row r="358" spans="1:19" ht="16" x14ac:dyDescent="0.2">
      <c r="A358" s="27" t="s">
        <v>399</v>
      </c>
      <c r="B358" s="16">
        <v>3.9E-2</v>
      </c>
      <c r="C358" s="16">
        <v>3.9</v>
      </c>
      <c r="D358" s="28">
        <v>1.697616909</v>
      </c>
      <c r="E358" s="30">
        <v>207153.81330000001</v>
      </c>
      <c r="F358" s="30">
        <v>364647.0932</v>
      </c>
      <c r="G358" s="30" t="s">
        <v>42</v>
      </c>
      <c r="H358" s="30" t="s">
        <v>81</v>
      </c>
      <c r="I358" s="31">
        <v>90</v>
      </c>
      <c r="J358" s="28">
        <v>12.73057202</v>
      </c>
      <c r="K358" s="28">
        <v>1.481500566</v>
      </c>
      <c r="L358" s="29">
        <v>0.16075357700000001</v>
      </c>
      <c r="M358" s="16">
        <v>-24.3</v>
      </c>
      <c r="N358" s="39" t="e">
        <v>#N/A</v>
      </c>
      <c r="O358" s="39" t="e">
        <v>#N/A</v>
      </c>
      <c r="P358" s="39" t="e">
        <v>#N/A</v>
      </c>
      <c r="Q358" s="39" t="e">
        <v>#N/A</v>
      </c>
      <c r="R358" s="15">
        <v>1606176000</v>
      </c>
      <c r="S358" t="s">
        <v>23</v>
      </c>
    </row>
    <row r="359" spans="1:19" ht="16" x14ac:dyDescent="0.2">
      <c r="A359" s="27" t="s">
        <v>400</v>
      </c>
      <c r="B359" s="16">
        <v>3.1E-2</v>
      </c>
      <c r="C359" s="16">
        <v>2.2999999999999998</v>
      </c>
      <c r="D359" s="28">
        <v>1.4816868830000001</v>
      </c>
      <c r="E359" s="30">
        <v>207153.81330000001</v>
      </c>
      <c r="F359" s="30">
        <v>364647.0932</v>
      </c>
      <c r="G359" s="30" t="s">
        <v>42</v>
      </c>
      <c r="H359" s="30" t="s">
        <v>81</v>
      </c>
      <c r="I359" s="31">
        <v>100</v>
      </c>
      <c r="J359" s="28">
        <v>16.641993379999999</v>
      </c>
      <c r="K359" s="28">
        <v>1.23510465</v>
      </c>
      <c r="L359" s="29">
        <v>0.111338242</v>
      </c>
      <c r="M359" s="16">
        <v>-26.1</v>
      </c>
      <c r="N359" s="39" t="e">
        <v>#N/A</v>
      </c>
      <c r="O359" s="39" t="e">
        <v>#N/A</v>
      </c>
      <c r="P359" s="39" t="e">
        <v>#N/A</v>
      </c>
      <c r="Q359" s="39" t="e">
        <v>#N/A</v>
      </c>
      <c r="R359" s="15">
        <v>1606176000</v>
      </c>
      <c r="S359" t="s">
        <v>23</v>
      </c>
    </row>
    <row r="360" spans="1:19" ht="16" x14ac:dyDescent="0.2">
      <c r="A360" s="27" t="s">
        <v>401</v>
      </c>
      <c r="B360" s="16">
        <v>2.8000000000000001E-2</v>
      </c>
      <c r="C360" s="16">
        <v>2.7</v>
      </c>
      <c r="D360" s="28">
        <v>1.2057807570000001</v>
      </c>
      <c r="E360" s="30">
        <v>207153.81330000001</v>
      </c>
      <c r="F360" s="30">
        <v>364647.0932</v>
      </c>
      <c r="G360" s="30" t="s">
        <v>42</v>
      </c>
      <c r="H360" s="30" t="s">
        <v>81</v>
      </c>
      <c r="I360" s="31">
        <v>110</v>
      </c>
      <c r="J360" s="28">
        <v>10.75147389</v>
      </c>
      <c r="K360" s="28">
        <v>1.0761415539999999</v>
      </c>
      <c r="L360" s="29">
        <v>0.116790042</v>
      </c>
      <c r="M360" s="16">
        <v>-26.6</v>
      </c>
      <c r="N360" s="39" t="e">
        <v>#N/A</v>
      </c>
      <c r="O360" s="39" t="e">
        <v>#N/A</v>
      </c>
      <c r="P360" s="39" t="e">
        <v>#N/A</v>
      </c>
      <c r="Q360" s="39" t="e">
        <v>#N/A</v>
      </c>
      <c r="R360" s="15">
        <v>1606176000</v>
      </c>
      <c r="S360" t="s">
        <v>23</v>
      </c>
    </row>
    <row r="361" spans="1:19" ht="16" x14ac:dyDescent="0.2">
      <c r="A361" s="27" t="s">
        <v>402</v>
      </c>
      <c r="B361" s="16">
        <v>0.11</v>
      </c>
      <c r="C361" s="16">
        <v>4.5999999999999996</v>
      </c>
      <c r="D361" s="28">
        <v>1.42731297</v>
      </c>
      <c r="E361" s="30">
        <v>207160.9541</v>
      </c>
      <c r="F361" s="30">
        <v>364717.0062</v>
      </c>
      <c r="G361" s="30" t="s">
        <v>42</v>
      </c>
      <c r="H361" s="16" t="s">
        <v>22</v>
      </c>
      <c r="I361" s="31">
        <v>10</v>
      </c>
      <c r="J361" s="16" t="e">
        <f>NA()</f>
        <v>#N/A</v>
      </c>
      <c r="K361" s="28">
        <v>1.42731297</v>
      </c>
      <c r="L361" s="29">
        <v>0.96</v>
      </c>
      <c r="M361" s="16">
        <v>-21.4</v>
      </c>
      <c r="N361" s="39" t="e">
        <v>#N/A</v>
      </c>
      <c r="O361" s="39" t="e">
        <v>#N/A</v>
      </c>
      <c r="P361" s="39" t="e">
        <v>#N/A</v>
      </c>
      <c r="Q361" s="39" t="e">
        <v>#N/A</v>
      </c>
      <c r="R361" s="15">
        <v>1586995200</v>
      </c>
      <c r="S361" t="s">
        <v>23</v>
      </c>
    </row>
    <row r="362" spans="1:19" ht="16" x14ac:dyDescent="0.2">
      <c r="A362" s="27" t="s">
        <v>403</v>
      </c>
      <c r="B362" s="16">
        <v>0.1</v>
      </c>
      <c r="C362" s="16">
        <v>4.5</v>
      </c>
      <c r="D362" s="28">
        <v>1.5246517660000001</v>
      </c>
      <c r="E362" s="30">
        <v>207160.9541</v>
      </c>
      <c r="F362" s="30">
        <v>364717.0062</v>
      </c>
      <c r="G362" s="30" t="s">
        <v>42</v>
      </c>
      <c r="H362" s="16" t="s">
        <v>22</v>
      </c>
      <c r="I362" s="31">
        <v>20</v>
      </c>
      <c r="J362" s="16" t="e">
        <f>NA()</f>
        <v>#N/A</v>
      </c>
      <c r="K362" s="28">
        <v>1.5246517660000001</v>
      </c>
      <c r="L362" s="29">
        <v>0.83</v>
      </c>
      <c r="M362" s="16">
        <v>-22</v>
      </c>
      <c r="N362" s="39" t="e">
        <v>#N/A</v>
      </c>
      <c r="O362" s="39" t="e">
        <v>#N/A</v>
      </c>
      <c r="P362" s="39" t="e">
        <v>#N/A</v>
      </c>
      <c r="Q362" s="39" t="e">
        <v>#N/A</v>
      </c>
      <c r="R362" s="15">
        <v>1586995200</v>
      </c>
      <c r="S362" t="s">
        <v>23</v>
      </c>
    </row>
    <row r="363" spans="1:19" ht="16" x14ac:dyDescent="0.2">
      <c r="A363" s="27" t="s">
        <v>404</v>
      </c>
      <c r="B363" s="16">
        <v>7.0000000000000007E-2</v>
      </c>
      <c r="C363" s="16">
        <v>4.3</v>
      </c>
      <c r="D363" s="28">
        <v>1.51269114</v>
      </c>
      <c r="E363" s="30">
        <v>207160.9541</v>
      </c>
      <c r="F363" s="30">
        <v>364717.0062</v>
      </c>
      <c r="G363" s="30" t="s">
        <v>42</v>
      </c>
      <c r="H363" s="16" t="s">
        <v>22</v>
      </c>
      <c r="I363" s="31">
        <v>30</v>
      </c>
      <c r="J363" s="16" t="e">
        <f>NA()</f>
        <v>#N/A</v>
      </c>
      <c r="K363" s="28">
        <v>1.51269114</v>
      </c>
      <c r="L363" s="29">
        <v>0.56499999999999995</v>
      </c>
      <c r="M363" s="16">
        <v>-22.4</v>
      </c>
      <c r="N363" s="39" t="e">
        <v>#N/A</v>
      </c>
      <c r="O363" s="39" t="e">
        <v>#N/A</v>
      </c>
      <c r="P363" s="39" t="e">
        <v>#N/A</v>
      </c>
      <c r="Q363" s="39" t="e">
        <v>#N/A</v>
      </c>
      <c r="R363" s="15">
        <v>1586995200</v>
      </c>
      <c r="S363" t="s">
        <v>23</v>
      </c>
    </row>
    <row r="364" spans="1:19" ht="16" x14ac:dyDescent="0.2">
      <c r="A364" s="27" t="s">
        <v>405</v>
      </c>
      <c r="B364" s="16">
        <v>0.04</v>
      </c>
      <c r="C364" s="16">
        <v>4.4000000000000004</v>
      </c>
      <c r="D364" s="28">
        <v>1.549094081</v>
      </c>
      <c r="E364" s="30">
        <v>207160.9541</v>
      </c>
      <c r="F364" s="30">
        <v>364717.0062</v>
      </c>
      <c r="G364" s="30" t="s">
        <v>42</v>
      </c>
      <c r="H364" s="16" t="s">
        <v>22</v>
      </c>
      <c r="I364" s="31">
        <v>60</v>
      </c>
      <c r="J364" s="16" t="e">
        <f>NA()</f>
        <v>#N/A</v>
      </c>
      <c r="K364" s="28">
        <v>1.549094081</v>
      </c>
      <c r="L364" s="29">
        <v>0.18</v>
      </c>
      <c r="M364" s="16">
        <v>-21.9</v>
      </c>
      <c r="N364" s="39" t="e">
        <v>#N/A</v>
      </c>
      <c r="O364" s="39" t="e">
        <v>#N/A</v>
      </c>
      <c r="P364" s="39" t="e">
        <v>#N/A</v>
      </c>
      <c r="Q364" s="39" t="e">
        <v>#N/A</v>
      </c>
      <c r="R364" s="15">
        <v>1586995200</v>
      </c>
      <c r="S364" t="s">
        <v>23</v>
      </c>
    </row>
    <row r="365" spans="1:19" ht="16" x14ac:dyDescent="0.2">
      <c r="A365" s="27" t="s">
        <v>406</v>
      </c>
      <c r="B365" s="16">
        <v>0.03</v>
      </c>
      <c r="C365" s="16">
        <v>2.6</v>
      </c>
      <c r="D365" s="28">
        <v>1.4995410440000001</v>
      </c>
      <c r="E365" s="30">
        <v>207160.9541</v>
      </c>
      <c r="F365" s="30">
        <v>364717.0062</v>
      </c>
      <c r="G365" s="30" t="s">
        <v>42</v>
      </c>
      <c r="H365" s="16" t="s">
        <v>22</v>
      </c>
      <c r="I365" s="31">
        <v>100</v>
      </c>
      <c r="J365" s="16" t="e">
        <f>NA()</f>
        <v>#N/A</v>
      </c>
      <c r="K365" s="28">
        <v>1.4995410440000001</v>
      </c>
      <c r="L365" s="29">
        <v>0.11</v>
      </c>
      <c r="M365" s="16">
        <v>-24.8</v>
      </c>
      <c r="N365" s="39" t="e">
        <v>#N/A</v>
      </c>
      <c r="O365" s="39" t="e">
        <v>#N/A</v>
      </c>
      <c r="P365" s="39" t="e">
        <v>#N/A</v>
      </c>
      <c r="Q365" s="39" t="e">
        <v>#N/A</v>
      </c>
      <c r="R365" s="15">
        <v>1586995200</v>
      </c>
      <c r="S365" t="s">
        <v>23</v>
      </c>
    </row>
    <row r="366" spans="1:19" ht="16" x14ac:dyDescent="0.2">
      <c r="A366" s="27" t="s">
        <v>407</v>
      </c>
      <c r="B366" s="16">
        <v>3.6999999999999998E-2</v>
      </c>
      <c r="C366" s="16">
        <v>3.7</v>
      </c>
      <c r="D366" s="28">
        <v>1.654313782</v>
      </c>
      <c r="E366" s="30">
        <v>210334.73490000001</v>
      </c>
      <c r="F366" s="30">
        <v>370225.49969999999</v>
      </c>
      <c r="G366" s="30" t="s">
        <v>49</v>
      </c>
      <c r="H366" s="30" t="s">
        <v>43</v>
      </c>
      <c r="I366" s="31">
        <v>60</v>
      </c>
      <c r="J366" s="28">
        <v>2.2004608289999998</v>
      </c>
      <c r="K366" s="28">
        <v>1.6179112550000001</v>
      </c>
      <c r="L366" s="29">
        <v>0.112320594</v>
      </c>
      <c r="M366" s="16">
        <v>-26.3</v>
      </c>
      <c r="N366" s="39" t="e">
        <v>#N/A</v>
      </c>
      <c r="O366" s="39" t="e">
        <v>#N/A</v>
      </c>
      <c r="P366" s="39" t="e">
        <v>#N/A</v>
      </c>
      <c r="Q366" s="39" t="e">
        <v>#N/A</v>
      </c>
      <c r="R366" s="15">
        <v>1606176000</v>
      </c>
      <c r="S366" t="s">
        <v>23</v>
      </c>
    </row>
    <row r="367" spans="1:19" ht="16" x14ac:dyDescent="0.2">
      <c r="A367" s="27" t="s">
        <v>408</v>
      </c>
      <c r="B367" s="16">
        <v>3.7999999999999999E-2</v>
      </c>
      <c r="C367" s="16">
        <v>3.5</v>
      </c>
      <c r="D367" s="28">
        <v>2.132857622</v>
      </c>
      <c r="E367" s="30">
        <v>210334.73490000001</v>
      </c>
      <c r="F367" s="30">
        <v>370225.49969999999</v>
      </c>
      <c r="G367" s="30" t="s">
        <v>49</v>
      </c>
      <c r="H367" s="30" t="s">
        <v>43</v>
      </c>
      <c r="I367" s="31">
        <v>70</v>
      </c>
      <c r="J367" s="28">
        <v>2.3820224720000001</v>
      </c>
      <c r="K367" s="28">
        <v>2.0820524740000002</v>
      </c>
      <c r="L367" s="29">
        <v>0.10757443</v>
      </c>
      <c r="M367" s="16">
        <v>-26.5</v>
      </c>
      <c r="N367" s="39" t="e">
        <v>#N/A</v>
      </c>
      <c r="O367" s="39" t="e">
        <v>#N/A</v>
      </c>
      <c r="P367" s="39" t="e">
        <v>#N/A</v>
      </c>
      <c r="Q367" s="39" t="e">
        <v>#N/A</v>
      </c>
      <c r="R367" s="15">
        <v>1606176000</v>
      </c>
      <c r="S367" t="s">
        <v>23</v>
      </c>
    </row>
    <row r="368" spans="1:19" ht="16" x14ac:dyDescent="0.2">
      <c r="A368" s="27" t="s">
        <v>409</v>
      </c>
      <c r="B368" s="16">
        <v>3.5999999999999997E-2</v>
      </c>
      <c r="C368" s="16">
        <v>3.35</v>
      </c>
      <c r="D368" s="28">
        <v>1.9482885729999999</v>
      </c>
      <c r="E368" s="30">
        <v>210334.73490000001</v>
      </c>
      <c r="F368" s="30">
        <v>370225.49969999999</v>
      </c>
      <c r="G368" s="30" t="s">
        <v>49</v>
      </c>
      <c r="H368" s="30" t="s">
        <v>43</v>
      </c>
      <c r="I368" s="31">
        <v>80</v>
      </c>
      <c r="J368" s="28">
        <v>21.78898319</v>
      </c>
      <c r="K368" s="28">
        <v>1.523776303</v>
      </c>
      <c r="L368" s="29">
        <v>8.6143010000000006E-2</v>
      </c>
      <c r="M368" s="16">
        <v>-26.1</v>
      </c>
      <c r="N368" s="39" t="e">
        <v>#N/A</v>
      </c>
      <c r="O368" s="39" t="e">
        <v>#N/A</v>
      </c>
      <c r="P368" s="39" t="e">
        <v>#N/A</v>
      </c>
      <c r="Q368" s="39" t="e">
        <v>#N/A</v>
      </c>
      <c r="R368" s="15">
        <v>1606176000</v>
      </c>
      <c r="S368" t="s">
        <v>23</v>
      </c>
    </row>
    <row r="369" spans="1:19" ht="16" x14ac:dyDescent="0.2">
      <c r="A369" s="27" t="s">
        <v>410</v>
      </c>
      <c r="B369" s="16">
        <v>3.5999999999999997E-2</v>
      </c>
      <c r="C369" s="16">
        <v>2.8</v>
      </c>
      <c r="D369" s="28">
        <v>1.4741552149999999</v>
      </c>
      <c r="E369" s="30">
        <v>210334.73490000001</v>
      </c>
      <c r="F369" s="30">
        <v>370225.49969999999</v>
      </c>
      <c r="G369" s="30" t="s">
        <v>49</v>
      </c>
      <c r="H369" s="30" t="s">
        <v>43</v>
      </c>
      <c r="I369" s="31">
        <v>90</v>
      </c>
      <c r="J369" s="28">
        <v>24.181062109999999</v>
      </c>
      <c r="K369" s="28">
        <v>1.1176888270000001</v>
      </c>
      <c r="L369" s="29">
        <v>0.104151961</v>
      </c>
      <c r="M369" s="16">
        <v>-27.6</v>
      </c>
      <c r="N369" s="39" t="e">
        <v>#N/A</v>
      </c>
      <c r="O369" s="39" t="e">
        <v>#N/A</v>
      </c>
      <c r="P369" s="39" t="e">
        <v>#N/A</v>
      </c>
      <c r="Q369" s="39" t="e">
        <v>#N/A</v>
      </c>
      <c r="R369" s="15">
        <v>1606176000</v>
      </c>
      <c r="S369" t="s">
        <v>23</v>
      </c>
    </row>
    <row r="370" spans="1:19" ht="16" x14ac:dyDescent="0.2">
      <c r="A370" s="27" t="s">
        <v>411</v>
      </c>
      <c r="B370" s="16">
        <v>0.13500000000000001</v>
      </c>
      <c r="C370" s="16">
        <v>4</v>
      </c>
      <c r="D370" s="28">
        <v>1.3912187389999999</v>
      </c>
      <c r="E370" s="30">
        <v>210334.73490000001</v>
      </c>
      <c r="F370" s="30">
        <v>370225.49969999999</v>
      </c>
      <c r="G370" s="30" t="s">
        <v>49</v>
      </c>
      <c r="H370" s="30" t="s">
        <v>43</v>
      </c>
      <c r="I370" s="31">
        <v>10</v>
      </c>
      <c r="J370" s="28">
        <v>6.1497768229999998</v>
      </c>
      <c r="K370" s="28">
        <v>1.305661892</v>
      </c>
      <c r="L370" s="29">
        <v>1.403197609</v>
      </c>
      <c r="M370" s="16">
        <v>-23</v>
      </c>
      <c r="N370" s="39" t="e">
        <v>#N/A</v>
      </c>
      <c r="O370" s="39" t="e">
        <v>#N/A</v>
      </c>
      <c r="P370" s="39" t="e">
        <v>#N/A</v>
      </c>
      <c r="Q370" s="39" t="e">
        <v>#N/A</v>
      </c>
      <c r="R370" s="15">
        <v>1606176000</v>
      </c>
      <c r="S370" t="s">
        <v>23</v>
      </c>
    </row>
    <row r="371" spans="1:19" ht="16" x14ac:dyDescent="0.2">
      <c r="A371" s="27" t="s">
        <v>412</v>
      </c>
      <c r="B371" s="16">
        <v>0.1</v>
      </c>
      <c r="C371" s="16">
        <v>5.0999999999999996</v>
      </c>
      <c r="D371" s="28">
        <v>1.588518415</v>
      </c>
      <c r="E371" s="30">
        <v>210334.73490000001</v>
      </c>
      <c r="F371" s="30">
        <v>370225.49969999999</v>
      </c>
      <c r="G371" s="30" t="s">
        <v>49</v>
      </c>
      <c r="H371" s="30" t="s">
        <v>43</v>
      </c>
      <c r="I371" s="31">
        <v>20</v>
      </c>
      <c r="J371" s="28">
        <v>8.0139140859999998</v>
      </c>
      <c r="K371" s="28">
        <v>1.4612159140000001</v>
      </c>
      <c r="L371" s="29">
        <v>0.97551836199999997</v>
      </c>
      <c r="M371" s="16">
        <v>-23.6</v>
      </c>
      <c r="N371" s="39" t="e">
        <v>#N/A</v>
      </c>
      <c r="O371" s="39" t="e">
        <v>#N/A</v>
      </c>
      <c r="P371" s="39" t="e">
        <v>#N/A</v>
      </c>
      <c r="Q371" s="39" t="e">
        <v>#N/A</v>
      </c>
      <c r="R371" s="15">
        <v>1606176000</v>
      </c>
      <c r="S371" t="s">
        <v>23</v>
      </c>
    </row>
    <row r="372" spans="1:19" ht="16" x14ac:dyDescent="0.2">
      <c r="A372" s="27" t="s">
        <v>413</v>
      </c>
      <c r="B372" s="16">
        <v>0.1</v>
      </c>
      <c r="C372" s="16">
        <v>5.6</v>
      </c>
      <c r="D372" s="28">
        <v>1.630811926</v>
      </c>
      <c r="E372" s="30">
        <v>210334.73490000001</v>
      </c>
      <c r="F372" s="30">
        <v>370225.49969999999</v>
      </c>
      <c r="G372" s="30" t="s">
        <v>49</v>
      </c>
      <c r="H372" s="30" t="s">
        <v>43</v>
      </c>
      <c r="I372" s="31">
        <v>30</v>
      </c>
      <c r="J372" s="28">
        <v>7.3965616519999999</v>
      </c>
      <c r="K372" s="28">
        <v>1.5101879170000001</v>
      </c>
      <c r="L372" s="29">
        <v>1.1783608240000001</v>
      </c>
      <c r="M372" s="16">
        <v>-24.8</v>
      </c>
      <c r="N372" s="39" t="e">
        <v>#N/A</v>
      </c>
      <c r="O372" s="39" t="e">
        <v>#N/A</v>
      </c>
      <c r="P372" s="39" t="e">
        <v>#N/A</v>
      </c>
      <c r="Q372" s="39" t="e">
        <v>#N/A</v>
      </c>
      <c r="R372" s="15">
        <v>1606176000</v>
      </c>
      <c r="S372" t="s">
        <v>23</v>
      </c>
    </row>
    <row r="373" spans="1:19" ht="16" x14ac:dyDescent="0.2">
      <c r="A373" s="27" t="s">
        <v>414</v>
      </c>
      <c r="B373" s="16">
        <v>8.7999999999999995E-2</v>
      </c>
      <c r="C373" s="16">
        <v>5.8</v>
      </c>
      <c r="D373" s="28">
        <v>1.5999294289999999</v>
      </c>
      <c r="E373" s="30">
        <v>210334.73490000001</v>
      </c>
      <c r="F373" s="30">
        <v>370225.49969999999</v>
      </c>
      <c r="G373" s="30" t="s">
        <v>49</v>
      </c>
      <c r="H373" s="30" t="s">
        <v>43</v>
      </c>
      <c r="I373" s="31">
        <v>40</v>
      </c>
      <c r="J373" s="28">
        <v>8.9390489169999992</v>
      </c>
      <c r="K373" s="28">
        <v>1.4569109549999999</v>
      </c>
      <c r="L373" s="29">
        <v>0.80910551600000002</v>
      </c>
      <c r="M373" s="16">
        <v>-23.8</v>
      </c>
      <c r="N373" s="39" t="e">
        <v>#N/A</v>
      </c>
      <c r="O373" s="39" t="e">
        <v>#N/A</v>
      </c>
      <c r="P373" s="39" t="e">
        <v>#N/A</v>
      </c>
      <c r="Q373" s="39" t="e">
        <v>#N/A</v>
      </c>
      <c r="R373" s="15">
        <v>1606176000</v>
      </c>
      <c r="S373" t="s">
        <v>23</v>
      </c>
    </row>
    <row r="374" spans="1:19" ht="16" x14ac:dyDescent="0.2">
      <c r="A374" s="27" t="s">
        <v>415</v>
      </c>
      <c r="B374" s="16">
        <v>5.8000000000000003E-2</v>
      </c>
      <c r="C374" s="16">
        <v>5.5</v>
      </c>
      <c r="D374" s="28">
        <v>1.5809599089999999</v>
      </c>
      <c r="E374" s="30">
        <v>210334.73490000001</v>
      </c>
      <c r="F374" s="30">
        <v>370225.49969999999</v>
      </c>
      <c r="G374" s="30" t="s">
        <v>49</v>
      </c>
      <c r="H374" s="30" t="s">
        <v>43</v>
      </c>
      <c r="I374" s="31">
        <v>50</v>
      </c>
      <c r="J374" s="28">
        <v>10.463854830000001</v>
      </c>
      <c r="K374" s="28">
        <v>1.415530559</v>
      </c>
      <c r="L374" s="29">
        <v>0.34407901400000002</v>
      </c>
      <c r="M374" s="16">
        <v>-23.7</v>
      </c>
      <c r="N374" s="39" t="e">
        <v>#N/A</v>
      </c>
      <c r="O374" s="39" t="e">
        <v>#N/A</v>
      </c>
      <c r="P374" s="39" t="e">
        <v>#N/A</v>
      </c>
      <c r="Q374" s="39" t="e">
        <v>#N/A</v>
      </c>
      <c r="R374" s="15">
        <v>1606176000</v>
      </c>
      <c r="S374" t="s">
        <v>23</v>
      </c>
    </row>
    <row r="375" spans="1:19" ht="16" x14ac:dyDescent="0.2">
      <c r="A375" s="27" t="s">
        <v>416</v>
      </c>
      <c r="B375" s="16">
        <v>4.7E-2</v>
      </c>
      <c r="C375" s="16">
        <v>4.3</v>
      </c>
      <c r="D375" s="28">
        <v>1.7792175219999999</v>
      </c>
      <c r="E375" s="30">
        <v>210334.73490000001</v>
      </c>
      <c r="F375" s="30">
        <v>370225.49969999999</v>
      </c>
      <c r="G375" s="30" t="s">
        <v>49</v>
      </c>
      <c r="H375" s="30" t="s">
        <v>43</v>
      </c>
      <c r="I375" s="31">
        <v>60</v>
      </c>
      <c r="J375" s="28">
        <v>12.01339956</v>
      </c>
      <c r="K375" s="28">
        <v>1.565473012</v>
      </c>
      <c r="L375" s="29">
        <v>0.20931560699999999</v>
      </c>
      <c r="M375" s="16">
        <v>-24.3</v>
      </c>
      <c r="N375" s="39" t="e">
        <v>#N/A</v>
      </c>
      <c r="O375" s="39" t="e">
        <v>#N/A</v>
      </c>
      <c r="P375" s="39" t="e">
        <v>#N/A</v>
      </c>
      <c r="Q375" s="39" t="e">
        <v>#N/A</v>
      </c>
      <c r="R375" s="15">
        <v>1606176000</v>
      </c>
      <c r="S375" t="s">
        <v>23</v>
      </c>
    </row>
    <row r="376" spans="1:19" ht="16" x14ac:dyDescent="0.2">
      <c r="A376" s="27" t="s">
        <v>417</v>
      </c>
      <c r="B376" s="16">
        <v>4.2999999999999997E-2</v>
      </c>
      <c r="C376" s="16">
        <v>3.9</v>
      </c>
      <c r="D376" s="28">
        <v>1.8928851799999999</v>
      </c>
      <c r="E376" s="30">
        <v>210334.73490000001</v>
      </c>
      <c r="F376" s="30">
        <v>370225.49969999999</v>
      </c>
      <c r="G376" s="30" t="s">
        <v>49</v>
      </c>
      <c r="H376" s="30" t="s">
        <v>43</v>
      </c>
      <c r="I376" s="31">
        <v>70</v>
      </c>
      <c r="J376" s="28">
        <v>9.6022538950000005</v>
      </c>
      <c r="K376" s="28">
        <v>1.711125539</v>
      </c>
      <c r="L376" s="29">
        <v>0.14806259899999999</v>
      </c>
      <c r="M376" s="16">
        <v>-24.3</v>
      </c>
      <c r="N376" s="39" t="e">
        <v>#N/A</v>
      </c>
      <c r="O376" s="39" t="e">
        <v>#N/A</v>
      </c>
      <c r="P376" s="39" t="e">
        <v>#N/A</v>
      </c>
      <c r="Q376" s="39" t="e">
        <v>#N/A</v>
      </c>
      <c r="R376" s="15">
        <v>1606176000</v>
      </c>
      <c r="S376" t="s">
        <v>23</v>
      </c>
    </row>
    <row r="377" spans="1:19" ht="16" x14ac:dyDescent="0.2">
      <c r="A377" s="27" t="s">
        <v>418</v>
      </c>
      <c r="B377" s="16">
        <v>4.0500000000000001E-2</v>
      </c>
      <c r="C377" s="16">
        <v>2.6</v>
      </c>
      <c r="D377" s="28">
        <v>1.138091889</v>
      </c>
      <c r="E377" s="30">
        <v>210334.73490000001</v>
      </c>
      <c r="F377" s="30">
        <v>370225.49969999999</v>
      </c>
      <c r="G377" s="30" t="s">
        <v>49</v>
      </c>
      <c r="H377" s="30" t="s">
        <v>43</v>
      </c>
      <c r="I377" s="31">
        <v>80</v>
      </c>
      <c r="J377" s="28">
        <v>16.954089960000001</v>
      </c>
      <c r="K377" s="28">
        <v>0.94513876600000002</v>
      </c>
      <c r="L377" s="29">
        <v>0.143277139</v>
      </c>
      <c r="M377" s="16">
        <v>-25.1</v>
      </c>
      <c r="N377" s="39" t="e">
        <v>#N/A</v>
      </c>
      <c r="O377" s="39" t="e">
        <v>#N/A</v>
      </c>
      <c r="P377" s="39" t="e">
        <v>#N/A</v>
      </c>
      <c r="Q377" s="39" t="e">
        <v>#N/A</v>
      </c>
      <c r="R377" s="15">
        <v>1606176000</v>
      </c>
      <c r="S377" t="s">
        <v>23</v>
      </c>
    </row>
    <row r="378" spans="1:19" ht="16" x14ac:dyDescent="0.2">
      <c r="A378" s="27" t="s">
        <v>419</v>
      </c>
      <c r="B378" s="16">
        <v>4.3999999999999997E-2</v>
      </c>
      <c r="C378" s="16">
        <v>3.3</v>
      </c>
      <c r="D378" s="28">
        <v>1.544540816</v>
      </c>
      <c r="E378" s="30">
        <v>210334.73490000001</v>
      </c>
      <c r="F378" s="30">
        <v>370225.49969999999</v>
      </c>
      <c r="G378" s="30" t="s">
        <v>49</v>
      </c>
      <c r="H378" s="30" t="s">
        <v>43</v>
      </c>
      <c r="I378" s="31">
        <v>90</v>
      </c>
      <c r="J378" s="28">
        <v>45.161397170000001</v>
      </c>
      <c r="K378" s="28">
        <v>0.84700460300000002</v>
      </c>
      <c r="L378" s="29">
        <v>0.16293413500000001</v>
      </c>
      <c r="M378" s="16">
        <v>-26</v>
      </c>
      <c r="N378" s="39" t="e">
        <v>#N/A</v>
      </c>
      <c r="O378" s="39" t="e">
        <v>#N/A</v>
      </c>
      <c r="P378" s="39" t="e">
        <v>#N/A</v>
      </c>
      <c r="Q378" s="39" t="e">
        <v>#N/A</v>
      </c>
      <c r="R378" s="15">
        <v>1606176000</v>
      </c>
      <c r="S378" t="s">
        <v>23</v>
      </c>
    </row>
    <row r="379" spans="1:19" ht="16" x14ac:dyDescent="0.2">
      <c r="A379" s="27" t="s">
        <v>420</v>
      </c>
      <c r="B379" s="16">
        <v>3.6999999999999998E-2</v>
      </c>
      <c r="C379" s="16">
        <v>2.5</v>
      </c>
      <c r="D379" s="28">
        <v>1.742089271</v>
      </c>
      <c r="E379" s="30">
        <v>210334.73490000001</v>
      </c>
      <c r="F379" s="30">
        <v>370225.49969999999</v>
      </c>
      <c r="G379" s="30" t="s">
        <v>49</v>
      </c>
      <c r="H379" s="30" t="s">
        <v>43</v>
      </c>
      <c r="I379" s="31">
        <v>100</v>
      </c>
      <c r="J379" s="28">
        <v>30.000164380000001</v>
      </c>
      <c r="K379" s="28">
        <v>1.2194596259999999</v>
      </c>
      <c r="L379" s="29">
        <v>0.124535572</v>
      </c>
      <c r="M379" s="16">
        <v>-26.2</v>
      </c>
      <c r="N379" s="39" t="e">
        <v>#N/A</v>
      </c>
      <c r="O379" s="39" t="e">
        <v>#N/A</v>
      </c>
      <c r="P379" s="39" t="e">
        <v>#N/A</v>
      </c>
      <c r="Q379" s="39" t="e">
        <v>#N/A</v>
      </c>
      <c r="R379" s="15">
        <v>1606176000</v>
      </c>
      <c r="S379" t="s">
        <v>23</v>
      </c>
    </row>
    <row r="380" spans="1:19" ht="16" x14ac:dyDescent="0.2">
      <c r="A380" s="27" t="s">
        <v>421</v>
      </c>
      <c r="B380" s="16">
        <v>3.6999999999999998E-2</v>
      </c>
      <c r="C380" s="16">
        <v>2.5</v>
      </c>
      <c r="D380" s="28">
        <v>1.7593169790000001</v>
      </c>
      <c r="E380" s="30">
        <v>210334.73490000001</v>
      </c>
      <c r="F380" s="30">
        <v>370225.49969999999</v>
      </c>
      <c r="G380" s="30" t="s">
        <v>49</v>
      </c>
      <c r="H380" s="30" t="s">
        <v>43</v>
      </c>
      <c r="I380" s="31">
        <v>110</v>
      </c>
      <c r="J380" s="28">
        <v>12.07148847</v>
      </c>
      <c r="K380" s="28">
        <v>1.5469412330000001</v>
      </c>
      <c r="L380" s="29">
        <v>0.110716259</v>
      </c>
      <c r="M380" s="16">
        <v>-26.5</v>
      </c>
      <c r="N380" s="39" t="e">
        <v>#N/A</v>
      </c>
      <c r="O380" s="39" t="e">
        <v>#N/A</v>
      </c>
      <c r="P380" s="39" t="e">
        <v>#N/A</v>
      </c>
      <c r="Q380" s="39" t="e">
        <v>#N/A</v>
      </c>
      <c r="R380" s="15">
        <v>1606176000</v>
      </c>
      <c r="S380" t="s">
        <v>23</v>
      </c>
    </row>
    <row r="381" spans="1:19" ht="16" x14ac:dyDescent="0.2">
      <c r="A381" s="27" t="s">
        <v>422</v>
      </c>
      <c r="B381" s="16">
        <v>0.13</v>
      </c>
      <c r="C381" s="16">
        <v>4.5</v>
      </c>
      <c r="D381" s="28">
        <v>1.350992628</v>
      </c>
      <c r="E381" s="30">
        <v>210265.02439999999</v>
      </c>
      <c r="F381" s="30">
        <v>370347.01779999997</v>
      </c>
      <c r="G381" s="30" t="s">
        <v>49</v>
      </c>
      <c r="H381" s="30" t="s">
        <v>68</v>
      </c>
      <c r="I381" s="31">
        <v>10</v>
      </c>
      <c r="J381" s="28">
        <v>5.0892650130000003</v>
      </c>
      <c r="K381" s="28">
        <v>1.2822370329999999</v>
      </c>
      <c r="L381" s="29">
        <v>1.1494810630000001</v>
      </c>
      <c r="M381" s="16">
        <v>-22.9</v>
      </c>
      <c r="N381" s="39" t="e">
        <v>#N/A</v>
      </c>
      <c r="O381" s="39" t="e">
        <v>#N/A</v>
      </c>
      <c r="P381" s="39" t="e">
        <v>#N/A</v>
      </c>
      <c r="Q381" s="39" t="e">
        <v>#N/A</v>
      </c>
      <c r="R381" s="15">
        <v>1606003200</v>
      </c>
      <c r="S381" t="s">
        <v>23</v>
      </c>
    </row>
    <row r="382" spans="1:19" ht="16" x14ac:dyDescent="0.2">
      <c r="A382" s="27" t="s">
        <v>423</v>
      </c>
      <c r="B382" s="16">
        <v>8.5999999999999993E-2</v>
      </c>
      <c r="C382" s="16">
        <v>5</v>
      </c>
      <c r="D382" s="28">
        <v>1.443952667</v>
      </c>
      <c r="E382" s="30">
        <v>210265.02439999999</v>
      </c>
      <c r="F382" s="30">
        <v>370347.01779999997</v>
      </c>
      <c r="G382" s="30" t="s">
        <v>49</v>
      </c>
      <c r="H382" s="30" t="s">
        <v>68</v>
      </c>
      <c r="I382" s="31">
        <v>20</v>
      </c>
      <c r="J382" s="28">
        <v>5.5821003720000002</v>
      </c>
      <c r="K382" s="28">
        <v>1.3633497800000001</v>
      </c>
      <c r="L382" s="29">
        <v>0.72351012100000001</v>
      </c>
      <c r="M382" s="16">
        <v>-22.3</v>
      </c>
      <c r="N382" s="39" t="e">
        <v>#N/A</v>
      </c>
      <c r="O382" s="39" t="e">
        <v>#N/A</v>
      </c>
      <c r="P382" s="39" t="e">
        <v>#N/A</v>
      </c>
      <c r="Q382" s="39" t="e">
        <v>#N/A</v>
      </c>
      <c r="R382" s="15">
        <v>1606003200</v>
      </c>
      <c r="S382" t="s">
        <v>23</v>
      </c>
    </row>
    <row r="383" spans="1:19" ht="16" x14ac:dyDescent="0.2">
      <c r="A383" s="27" t="s">
        <v>424</v>
      </c>
      <c r="B383" s="16">
        <v>7.0999999999999994E-2</v>
      </c>
      <c r="C383" s="16">
        <v>5.4</v>
      </c>
      <c r="D383" s="28">
        <v>1.5872981209999999</v>
      </c>
      <c r="E383" s="30">
        <v>210265.02439999999</v>
      </c>
      <c r="F383" s="30">
        <v>370347.01779999997</v>
      </c>
      <c r="G383" s="30" t="s">
        <v>49</v>
      </c>
      <c r="H383" s="30" t="s">
        <v>68</v>
      </c>
      <c r="I383" s="31">
        <v>30</v>
      </c>
      <c r="J383" s="28">
        <v>6.2575409479999999</v>
      </c>
      <c r="K383" s="28">
        <v>1.4879722909999999</v>
      </c>
      <c r="L383" s="29">
        <v>0.57373394099999997</v>
      </c>
      <c r="M383" s="16">
        <v>-23</v>
      </c>
      <c r="N383" s="39" t="e">
        <v>#N/A</v>
      </c>
      <c r="O383" s="39" t="e">
        <v>#N/A</v>
      </c>
      <c r="P383" s="39" t="e">
        <v>#N/A</v>
      </c>
      <c r="Q383" s="39" t="e">
        <v>#N/A</v>
      </c>
      <c r="R383" s="15">
        <v>1606003200</v>
      </c>
      <c r="S383" t="s">
        <v>23</v>
      </c>
    </row>
    <row r="384" spans="1:19" ht="16" x14ac:dyDescent="0.2">
      <c r="A384" s="27" t="s">
        <v>425</v>
      </c>
      <c r="B384" s="16">
        <v>5.8000000000000003E-2</v>
      </c>
      <c r="C384" s="16">
        <v>4.8</v>
      </c>
      <c r="D384" s="28">
        <v>1.71670776</v>
      </c>
      <c r="E384" s="30">
        <v>210265.02439999999</v>
      </c>
      <c r="F384" s="30">
        <v>370347.01779999997</v>
      </c>
      <c r="G384" s="30" t="s">
        <v>49</v>
      </c>
      <c r="H384" s="30" t="s">
        <v>68</v>
      </c>
      <c r="I384" s="31">
        <v>40</v>
      </c>
      <c r="J384" s="28">
        <v>10.199156090000001</v>
      </c>
      <c r="K384" s="28">
        <v>1.5416180559999999</v>
      </c>
      <c r="L384" s="29">
        <v>0.33652958199999999</v>
      </c>
      <c r="M384" s="16">
        <v>-22.6</v>
      </c>
      <c r="N384" s="39" t="e">
        <v>#N/A</v>
      </c>
      <c r="O384" s="39" t="e">
        <v>#N/A</v>
      </c>
      <c r="P384" s="39" t="e">
        <v>#N/A</v>
      </c>
      <c r="Q384" s="39" t="e">
        <v>#N/A</v>
      </c>
      <c r="R384" s="15">
        <v>1606003200</v>
      </c>
      <c r="S384" t="s">
        <v>23</v>
      </c>
    </row>
    <row r="385" spans="1:19" ht="16" x14ac:dyDescent="0.2">
      <c r="A385" s="27" t="s">
        <v>426</v>
      </c>
      <c r="B385" s="16">
        <v>4.7E-2</v>
      </c>
      <c r="C385" s="16">
        <v>4.3</v>
      </c>
      <c r="D385" s="28">
        <v>1.6029812299999999</v>
      </c>
      <c r="E385" s="30">
        <v>210265.02439999999</v>
      </c>
      <c r="F385" s="30">
        <v>370347.01779999997</v>
      </c>
      <c r="G385" s="30" t="s">
        <v>49</v>
      </c>
      <c r="H385" s="30" t="s">
        <v>68</v>
      </c>
      <c r="I385" s="31">
        <v>50</v>
      </c>
      <c r="J385" s="28">
        <v>7.015244762</v>
      </c>
      <c r="K385" s="28">
        <v>1.490528173</v>
      </c>
      <c r="L385" s="29">
        <v>0.18232832099999999</v>
      </c>
      <c r="M385" s="16">
        <v>-23.2</v>
      </c>
      <c r="N385" s="39" t="e">
        <v>#N/A</v>
      </c>
      <c r="O385" s="39" t="e">
        <v>#N/A</v>
      </c>
      <c r="P385" s="39" t="e">
        <v>#N/A</v>
      </c>
      <c r="Q385" s="39" t="e">
        <v>#N/A</v>
      </c>
      <c r="R385" s="15">
        <v>1606003200</v>
      </c>
      <c r="S385" t="s">
        <v>23</v>
      </c>
    </row>
    <row r="386" spans="1:19" ht="16" x14ac:dyDescent="0.2">
      <c r="A386" s="27" t="s">
        <v>427</v>
      </c>
      <c r="B386" s="16">
        <v>3.7499999999999999E-2</v>
      </c>
      <c r="C386" s="16">
        <v>3.25</v>
      </c>
      <c r="D386" s="28">
        <v>1.490366689</v>
      </c>
      <c r="E386" s="30">
        <v>210265.02439999999</v>
      </c>
      <c r="F386" s="30">
        <v>370347.01779999997</v>
      </c>
      <c r="G386" s="30" t="s">
        <v>49</v>
      </c>
      <c r="H386" s="30" t="s">
        <v>68</v>
      </c>
      <c r="I386" s="31">
        <v>60</v>
      </c>
      <c r="J386" s="28">
        <v>12.02497151</v>
      </c>
      <c r="K386" s="28">
        <v>1.3111505189999999</v>
      </c>
      <c r="L386" s="29">
        <v>0.11153381499999999</v>
      </c>
      <c r="M386" s="16">
        <v>-24</v>
      </c>
      <c r="N386" s="39" t="e">
        <v>#N/A</v>
      </c>
      <c r="O386" s="39" t="e">
        <v>#N/A</v>
      </c>
      <c r="P386" s="39" t="e">
        <v>#N/A</v>
      </c>
      <c r="Q386" s="39" t="e">
        <v>#N/A</v>
      </c>
      <c r="R386" s="15">
        <v>1606003200</v>
      </c>
      <c r="S386" t="s">
        <v>23</v>
      </c>
    </row>
    <row r="387" spans="1:19" ht="16" x14ac:dyDescent="0.2">
      <c r="A387" s="27" t="s">
        <v>428</v>
      </c>
      <c r="B387" s="16">
        <v>3.5999999999999997E-2</v>
      </c>
      <c r="C387" s="16">
        <v>2.9</v>
      </c>
      <c r="D387" s="28">
        <v>1.627267595</v>
      </c>
      <c r="E387" s="30">
        <v>210265.02439999999</v>
      </c>
      <c r="F387" s="30">
        <v>370347.01779999997</v>
      </c>
      <c r="G387" s="30" t="s">
        <v>49</v>
      </c>
      <c r="H387" s="30" t="s">
        <v>68</v>
      </c>
      <c r="I387" s="31">
        <v>70</v>
      </c>
      <c r="J387" s="28">
        <v>1.1890469530000001</v>
      </c>
      <c r="K387" s="28">
        <v>1.6079186190000001</v>
      </c>
      <c r="L387" s="29">
        <v>0.10966242</v>
      </c>
      <c r="M387" s="16">
        <v>-25.4</v>
      </c>
      <c r="N387" s="39" t="e">
        <v>#N/A</v>
      </c>
      <c r="O387" s="39" t="e">
        <v>#N/A</v>
      </c>
      <c r="P387" s="39" t="e">
        <v>#N/A</v>
      </c>
      <c r="Q387" s="39" t="e">
        <v>#N/A</v>
      </c>
      <c r="R387" s="15">
        <v>1606003200</v>
      </c>
      <c r="S387" t="s">
        <v>23</v>
      </c>
    </row>
    <row r="388" spans="1:19" ht="16" x14ac:dyDescent="0.2">
      <c r="A388" s="27" t="s">
        <v>429</v>
      </c>
      <c r="B388" s="16">
        <v>3.4000000000000002E-2</v>
      </c>
      <c r="C388" s="16">
        <v>2.6</v>
      </c>
      <c r="D388" s="28">
        <v>1.730541192</v>
      </c>
      <c r="E388" s="30">
        <v>210265.02439999999</v>
      </c>
      <c r="F388" s="30">
        <v>370347.01779999997</v>
      </c>
      <c r="G388" s="30" t="s">
        <v>49</v>
      </c>
      <c r="H388" s="30" t="s">
        <v>68</v>
      </c>
      <c r="I388" s="31">
        <v>80</v>
      </c>
      <c r="J388" s="28">
        <v>3.906649722</v>
      </c>
      <c r="K388" s="28">
        <v>1.6629350089999999</v>
      </c>
      <c r="L388" s="29">
        <v>9.0742674999999995E-2</v>
      </c>
      <c r="M388" s="16">
        <v>-25.6</v>
      </c>
      <c r="N388" s="39" t="e">
        <v>#N/A</v>
      </c>
      <c r="O388" s="39" t="e">
        <v>#N/A</v>
      </c>
      <c r="P388" s="39" t="e">
        <v>#N/A</v>
      </c>
      <c r="Q388" s="39" t="e">
        <v>#N/A</v>
      </c>
      <c r="R388" s="15">
        <v>1606003200</v>
      </c>
      <c r="S388" t="s">
        <v>23</v>
      </c>
    </row>
    <row r="389" spans="1:19" ht="16" x14ac:dyDescent="0.2">
      <c r="A389" s="27" t="s">
        <v>430</v>
      </c>
      <c r="B389" s="16">
        <v>3.1E-2</v>
      </c>
      <c r="C389" s="16">
        <v>3.2</v>
      </c>
      <c r="D389" s="28">
        <v>1.9814850239999999</v>
      </c>
      <c r="E389" s="30">
        <v>210265.02439999999</v>
      </c>
      <c r="F389" s="30">
        <v>370347.01779999997</v>
      </c>
      <c r="G389" s="30" t="s">
        <v>49</v>
      </c>
      <c r="H389" s="30" t="s">
        <v>68</v>
      </c>
      <c r="I389" s="31">
        <v>90</v>
      </c>
      <c r="J389" s="28">
        <v>2.8154935440000002</v>
      </c>
      <c r="K389" s="28">
        <v>1.9256964409999999</v>
      </c>
      <c r="L389" s="29">
        <v>8.4292562000000001E-2</v>
      </c>
      <c r="M389" s="16">
        <v>-26.8</v>
      </c>
      <c r="N389" s="39" t="e">
        <v>#N/A</v>
      </c>
      <c r="O389" s="39" t="e">
        <v>#N/A</v>
      </c>
      <c r="P389" s="39" t="e">
        <v>#N/A</v>
      </c>
      <c r="Q389" s="39" t="e">
        <v>#N/A</v>
      </c>
      <c r="R389" s="15">
        <v>1606003200</v>
      </c>
      <c r="S389" t="s">
        <v>23</v>
      </c>
    </row>
    <row r="390" spans="1:19" ht="16" x14ac:dyDescent="0.2">
      <c r="A390" s="27" t="s">
        <v>431</v>
      </c>
      <c r="B390" s="16">
        <v>2.7E-2</v>
      </c>
      <c r="C390" s="16">
        <v>3.3</v>
      </c>
      <c r="D390" s="28">
        <v>1.56702344</v>
      </c>
      <c r="E390" s="30">
        <v>210265.02439999999</v>
      </c>
      <c r="F390" s="30">
        <v>370347.01779999997</v>
      </c>
      <c r="G390" s="30" t="s">
        <v>49</v>
      </c>
      <c r="H390" s="30" t="s">
        <v>68</v>
      </c>
      <c r="I390" s="31">
        <v>100</v>
      </c>
      <c r="J390" s="28">
        <v>0</v>
      </c>
      <c r="K390" s="28">
        <v>1.56702344</v>
      </c>
      <c r="L390" s="29">
        <v>6.6884665999999995E-2</v>
      </c>
      <c r="M390" s="16">
        <v>-25.6</v>
      </c>
      <c r="N390" s="39" t="e">
        <v>#N/A</v>
      </c>
      <c r="O390" s="39" t="e">
        <v>#N/A</v>
      </c>
      <c r="P390" s="39" t="e">
        <v>#N/A</v>
      </c>
      <c r="Q390" s="39" t="e">
        <v>#N/A</v>
      </c>
      <c r="R390" s="15">
        <v>1606003200</v>
      </c>
      <c r="S390" t="s">
        <v>23</v>
      </c>
    </row>
    <row r="391" spans="1:19" ht="16" x14ac:dyDescent="0.2">
      <c r="A391" s="27" t="s">
        <v>432</v>
      </c>
      <c r="B391" s="16">
        <v>0.17</v>
      </c>
      <c r="C391" s="16">
        <v>3.1</v>
      </c>
      <c r="D391" s="28">
        <v>0.66759236300000002</v>
      </c>
      <c r="E391" s="30">
        <v>210265.02439999999</v>
      </c>
      <c r="F391" s="30">
        <v>370347.01779999997</v>
      </c>
      <c r="G391" s="30" t="s">
        <v>49</v>
      </c>
      <c r="H391" s="30" t="s">
        <v>68</v>
      </c>
      <c r="I391" s="31">
        <v>10</v>
      </c>
      <c r="J391" s="28">
        <v>4.9113595959999996</v>
      </c>
      <c r="K391" s="28">
        <v>0.63480450099999997</v>
      </c>
      <c r="L391" s="29">
        <v>1.7435477290000001</v>
      </c>
      <c r="M391" s="16">
        <v>-22</v>
      </c>
      <c r="N391" s="39" t="e">
        <v>#N/A</v>
      </c>
      <c r="O391" s="39" t="e">
        <v>#N/A</v>
      </c>
      <c r="P391" s="39" t="e">
        <v>#N/A</v>
      </c>
      <c r="Q391" s="39" t="e">
        <v>#N/A</v>
      </c>
      <c r="R391" s="15">
        <v>1606003200</v>
      </c>
      <c r="S391" t="s">
        <v>23</v>
      </c>
    </row>
    <row r="392" spans="1:19" ht="16" x14ac:dyDescent="0.2">
      <c r="A392" s="27" t="s">
        <v>433</v>
      </c>
      <c r="B392" s="16">
        <v>0.11</v>
      </c>
      <c r="C392" s="16">
        <v>3.7</v>
      </c>
      <c r="D392" s="28">
        <v>1.340949419</v>
      </c>
      <c r="E392" s="30">
        <v>210265.02439999999</v>
      </c>
      <c r="F392" s="30">
        <v>370347.01779999997</v>
      </c>
      <c r="G392" s="30" t="s">
        <v>49</v>
      </c>
      <c r="H392" s="30" t="s">
        <v>68</v>
      </c>
      <c r="I392" s="31">
        <v>20</v>
      </c>
      <c r="J392" s="28">
        <v>8.4587873239999993</v>
      </c>
      <c r="K392" s="28">
        <v>1.2275213599999999</v>
      </c>
      <c r="L392" s="29">
        <v>0.98151355299999998</v>
      </c>
      <c r="M392" s="16">
        <v>-23</v>
      </c>
      <c r="N392" s="39" t="e">
        <v>#N/A</v>
      </c>
      <c r="O392" s="39" t="e">
        <v>#N/A</v>
      </c>
      <c r="P392" s="39" t="e">
        <v>#N/A</v>
      </c>
      <c r="Q392" s="39" t="e">
        <v>#N/A</v>
      </c>
      <c r="R392" s="15">
        <v>1606003200</v>
      </c>
      <c r="S392" t="s">
        <v>23</v>
      </c>
    </row>
    <row r="393" spans="1:19" ht="16" x14ac:dyDescent="0.2">
      <c r="A393" s="27" t="s">
        <v>434</v>
      </c>
      <c r="B393" s="16">
        <v>7.1999999999999995E-2</v>
      </c>
      <c r="C393" s="16">
        <v>4.5</v>
      </c>
      <c r="D393" s="28">
        <v>1.7278960670000001</v>
      </c>
      <c r="E393" s="30">
        <v>210265.02439999999</v>
      </c>
      <c r="F393" s="30">
        <v>370347.01779999997</v>
      </c>
      <c r="G393" s="30" t="s">
        <v>49</v>
      </c>
      <c r="H393" s="30" t="s">
        <v>68</v>
      </c>
      <c r="I393" s="31">
        <v>30</v>
      </c>
      <c r="J393" s="28">
        <v>11.23916453</v>
      </c>
      <c r="K393" s="28">
        <v>1.5336949849999999</v>
      </c>
      <c r="L393" s="29">
        <v>0.57507567999999998</v>
      </c>
      <c r="M393" s="16">
        <v>-23.5</v>
      </c>
      <c r="N393" s="39" t="e">
        <v>#N/A</v>
      </c>
      <c r="O393" s="39" t="e">
        <v>#N/A</v>
      </c>
      <c r="P393" s="39" t="e">
        <v>#N/A</v>
      </c>
      <c r="Q393" s="39" t="e">
        <v>#N/A</v>
      </c>
      <c r="R393" s="15">
        <v>1606003200</v>
      </c>
      <c r="S393" t="s">
        <v>23</v>
      </c>
    </row>
    <row r="394" spans="1:19" ht="16" x14ac:dyDescent="0.2">
      <c r="A394" s="27" t="s">
        <v>435</v>
      </c>
      <c r="B394" s="16">
        <v>7.5499999999999998E-2</v>
      </c>
      <c r="C394" s="16">
        <v>4.6500000000000004</v>
      </c>
      <c r="D394" s="28">
        <v>1.6855427270000001</v>
      </c>
      <c r="E394" s="30">
        <v>210265.02439999999</v>
      </c>
      <c r="F394" s="30">
        <v>370347.01779999997</v>
      </c>
      <c r="G394" s="30" t="s">
        <v>49</v>
      </c>
      <c r="H394" s="30" t="s">
        <v>68</v>
      </c>
      <c r="I394" s="31">
        <v>40</v>
      </c>
      <c r="J394" s="28">
        <v>23.978373359999999</v>
      </c>
      <c r="K394" s="28">
        <v>1.281376998</v>
      </c>
      <c r="L394" s="29">
        <v>0.59705180000000002</v>
      </c>
      <c r="M394" s="16">
        <v>-24.75</v>
      </c>
      <c r="N394" s="39" t="e">
        <v>#N/A</v>
      </c>
      <c r="O394" s="39" t="e">
        <v>#N/A</v>
      </c>
      <c r="P394" s="39" t="e">
        <v>#N/A</v>
      </c>
      <c r="Q394" s="39" t="e">
        <v>#N/A</v>
      </c>
      <c r="R394" s="15">
        <v>1606003200</v>
      </c>
      <c r="S394" t="s">
        <v>23</v>
      </c>
    </row>
    <row r="395" spans="1:19" ht="16" x14ac:dyDescent="0.2">
      <c r="A395" s="27" t="s">
        <v>436</v>
      </c>
      <c r="B395" s="16">
        <v>4.8000000000000001E-2</v>
      </c>
      <c r="C395" s="16">
        <v>3.9</v>
      </c>
      <c r="D395" s="28">
        <v>1.7325679970000001</v>
      </c>
      <c r="E395" s="30">
        <v>210265.02439999999</v>
      </c>
      <c r="F395" s="30">
        <v>370347.01779999997</v>
      </c>
      <c r="G395" s="30" t="s">
        <v>49</v>
      </c>
      <c r="H395" s="30" t="s">
        <v>68</v>
      </c>
      <c r="I395" s="31">
        <v>50</v>
      </c>
      <c r="J395" s="28">
        <v>33.763035680000002</v>
      </c>
      <c r="K395" s="28">
        <v>1.147600446</v>
      </c>
      <c r="L395" s="29">
        <v>0.25977882299999999</v>
      </c>
      <c r="M395" s="16">
        <v>-25.3</v>
      </c>
      <c r="N395" s="39" t="e">
        <v>#N/A</v>
      </c>
      <c r="O395" s="39" t="e">
        <v>#N/A</v>
      </c>
      <c r="P395" s="39" t="e">
        <v>#N/A</v>
      </c>
      <c r="Q395" s="39" t="e">
        <v>#N/A</v>
      </c>
      <c r="R395" s="15">
        <v>1606003200</v>
      </c>
      <c r="S395" t="s">
        <v>23</v>
      </c>
    </row>
    <row r="396" spans="1:19" ht="16" x14ac:dyDescent="0.2">
      <c r="A396" s="27" t="s">
        <v>437</v>
      </c>
      <c r="B396" s="16">
        <v>4.1000000000000002E-2</v>
      </c>
      <c r="C396" s="16">
        <v>3.2</v>
      </c>
      <c r="D396" s="28">
        <v>1.90925795</v>
      </c>
      <c r="E396" s="30">
        <v>210265.02439999999</v>
      </c>
      <c r="F396" s="30">
        <v>370347.01779999997</v>
      </c>
      <c r="G396" s="30" t="s">
        <v>49</v>
      </c>
      <c r="H396" s="30" t="s">
        <v>68</v>
      </c>
      <c r="I396" s="31">
        <v>60</v>
      </c>
      <c r="J396" s="28">
        <v>29.74618787</v>
      </c>
      <c r="K396" s="28">
        <v>1.341326494</v>
      </c>
      <c r="L396" s="29">
        <v>0.15987209399999999</v>
      </c>
      <c r="M396" s="16">
        <v>-25.6</v>
      </c>
      <c r="N396" s="39" t="e">
        <v>#N/A</v>
      </c>
      <c r="O396" s="39" t="e">
        <v>#N/A</v>
      </c>
      <c r="P396" s="39" t="e">
        <v>#N/A</v>
      </c>
      <c r="Q396" s="39" t="e">
        <v>#N/A</v>
      </c>
      <c r="R396" s="15">
        <v>1606003200</v>
      </c>
      <c r="S396" t="s">
        <v>23</v>
      </c>
    </row>
    <row r="397" spans="1:19" ht="16" x14ac:dyDescent="0.2">
      <c r="A397" s="27" t="s">
        <v>438</v>
      </c>
      <c r="B397" s="16">
        <v>3.4000000000000002E-2</v>
      </c>
      <c r="C397" s="16">
        <v>3.8</v>
      </c>
      <c r="D397" s="28">
        <v>2.1304394640000002</v>
      </c>
      <c r="E397" s="30">
        <v>210265.02439999999</v>
      </c>
      <c r="F397" s="30">
        <v>370347.01779999997</v>
      </c>
      <c r="G397" s="30" t="s">
        <v>49</v>
      </c>
      <c r="H397" s="30" t="s">
        <v>68</v>
      </c>
      <c r="I397" s="31">
        <v>70</v>
      </c>
      <c r="J397" s="28">
        <v>8.5334662019999996</v>
      </c>
      <c r="K397" s="28">
        <v>1.9486391320000001</v>
      </c>
      <c r="L397" s="29">
        <v>0.118759219</v>
      </c>
      <c r="M397" s="16">
        <v>-25.6</v>
      </c>
      <c r="N397" s="39" t="e">
        <v>#N/A</v>
      </c>
      <c r="O397" s="39" t="e">
        <v>#N/A</v>
      </c>
      <c r="P397" s="39" t="e">
        <v>#N/A</v>
      </c>
      <c r="Q397" s="39" t="e">
        <v>#N/A</v>
      </c>
      <c r="R397" s="15">
        <v>1606003200</v>
      </c>
      <c r="S397" t="s">
        <v>23</v>
      </c>
    </row>
    <row r="398" spans="1:19" ht="16" x14ac:dyDescent="0.2">
      <c r="A398" s="27" t="s">
        <v>439</v>
      </c>
      <c r="B398" s="16">
        <v>3.1E-2</v>
      </c>
      <c r="C398" s="16">
        <v>2.1</v>
      </c>
      <c r="D398" s="28">
        <v>1.812583737</v>
      </c>
      <c r="E398" s="30">
        <v>210265.02439999999</v>
      </c>
      <c r="F398" s="30">
        <v>370347.01779999997</v>
      </c>
      <c r="G398" s="30" t="s">
        <v>49</v>
      </c>
      <c r="H398" s="30" t="s">
        <v>68</v>
      </c>
      <c r="I398" s="31">
        <v>80</v>
      </c>
      <c r="J398" s="28">
        <v>2.7259826409999999</v>
      </c>
      <c r="K398" s="28">
        <v>1.7631730189999999</v>
      </c>
      <c r="L398" s="29">
        <v>7.3958246000000005E-2</v>
      </c>
      <c r="M398" s="16">
        <v>-25.3</v>
      </c>
      <c r="N398" s="39" t="e">
        <v>#N/A</v>
      </c>
      <c r="O398" s="39" t="e">
        <v>#N/A</v>
      </c>
      <c r="P398" s="39" t="e">
        <v>#N/A</v>
      </c>
      <c r="Q398" s="39" t="e">
        <v>#N/A</v>
      </c>
      <c r="R398" s="15">
        <v>1606003200</v>
      </c>
      <c r="S398" t="s">
        <v>23</v>
      </c>
    </row>
    <row r="399" spans="1:19" ht="16" x14ac:dyDescent="0.2">
      <c r="A399" s="27" t="s">
        <v>440</v>
      </c>
      <c r="B399" s="16">
        <v>0.11</v>
      </c>
      <c r="C399" s="16">
        <v>4.2</v>
      </c>
      <c r="D399" s="28">
        <v>1.3635786990000001</v>
      </c>
      <c r="E399" s="30">
        <v>210194.4284</v>
      </c>
      <c r="F399" s="30">
        <v>370226.23100000003</v>
      </c>
      <c r="G399" s="30" t="s">
        <v>49</v>
      </c>
      <c r="H399" s="30" t="s">
        <v>81</v>
      </c>
      <c r="I399" s="31">
        <v>10</v>
      </c>
      <c r="J399" s="28">
        <v>3.4639004149999999</v>
      </c>
      <c r="K399" s="28">
        <v>1.316345691</v>
      </c>
      <c r="L399" s="29">
        <v>1.0673044890000001</v>
      </c>
      <c r="M399" s="16">
        <v>-22.7</v>
      </c>
      <c r="N399" s="39" t="e">
        <v>#N/A</v>
      </c>
      <c r="O399" s="39" t="e">
        <v>#N/A</v>
      </c>
      <c r="P399" s="39" t="e">
        <v>#N/A</v>
      </c>
      <c r="Q399" s="39" t="e">
        <v>#N/A</v>
      </c>
      <c r="R399" s="15">
        <v>1606176000</v>
      </c>
      <c r="S399" t="s">
        <v>23</v>
      </c>
    </row>
    <row r="400" spans="1:19" ht="16" x14ac:dyDescent="0.2">
      <c r="A400" s="27" t="s">
        <v>441</v>
      </c>
      <c r="B400" s="16">
        <v>8.4000000000000005E-2</v>
      </c>
      <c r="C400" s="16">
        <v>4.8</v>
      </c>
      <c r="D400" s="28">
        <v>1.574330805</v>
      </c>
      <c r="E400" s="30">
        <v>210194.4284</v>
      </c>
      <c r="F400" s="30">
        <v>370226.23100000003</v>
      </c>
      <c r="G400" s="30" t="s">
        <v>49</v>
      </c>
      <c r="H400" s="30" t="s">
        <v>81</v>
      </c>
      <c r="I400" s="31">
        <v>20</v>
      </c>
      <c r="J400" s="28">
        <v>5.8186514770000004</v>
      </c>
      <c r="K400" s="28">
        <v>1.4827259820000001</v>
      </c>
      <c r="L400" s="29">
        <v>0.733114037</v>
      </c>
      <c r="M400" s="16">
        <v>-22.3</v>
      </c>
      <c r="N400" s="39" t="e">
        <v>#N/A</v>
      </c>
      <c r="O400" s="39" t="e">
        <v>#N/A</v>
      </c>
      <c r="P400" s="39" t="e">
        <v>#N/A</v>
      </c>
      <c r="Q400" s="39" t="e">
        <v>#N/A</v>
      </c>
      <c r="R400" s="15">
        <v>1606176000</v>
      </c>
      <c r="S400" t="s">
        <v>23</v>
      </c>
    </row>
    <row r="401" spans="1:19" ht="16" x14ac:dyDescent="0.2">
      <c r="A401" s="27" t="s">
        <v>442</v>
      </c>
      <c r="B401" s="16">
        <v>7.1999999999999995E-2</v>
      </c>
      <c r="C401" s="16">
        <v>5.0999999999999996</v>
      </c>
      <c r="D401" s="28">
        <v>1.5016770159999999</v>
      </c>
      <c r="E401" s="30">
        <v>210194.4284</v>
      </c>
      <c r="F401" s="30">
        <v>370226.23100000003</v>
      </c>
      <c r="G401" s="30" t="s">
        <v>49</v>
      </c>
      <c r="H401" s="30" t="s">
        <v>81</v>
      </c>
      <c r="I401" s="31">
        <v>30</v>
      </c>
      <c r="J401" s="28">
        <v>3.3775553870000001</v>
      </c>
      <c r="K401" s="28">
        <v>1.4509570430000001</v>
      </c>
      <c r="L401" s="29">
        <v>0.59295886099999995</v>
      </c>
      <c r="M401" s="16">
        <v>-23.2</v>
      </c>
      <c r="N401" s="39" t="e">
        <v>#N/A</v>
      </c>
      <c r="O401" s="39" t="e">
        <v>#N/A</v>
      </c>
      <c r="P401" s="39" t="e">
        <v>#N/A</v>
      </c>
      <c r="Q401" s="39" t="e">
        <v>#N/A</v>
      </c>
      <c r="R401" s="15">
        <v>1606176000</v>
      </c>
      <c r="S401" t="s">
        <v>23</v>
      </c>
    </row>
    <row r="402" spans="1:19" ht="16" x14ac:dyDescent="0.2">
      <c r="A402" s="27" t="s">
        <v>443</v>
      </c>
      <c r="B402" s="16">
        <v>5.9499999999999997E-2</v>
      </c>
      <c r="C402" s="16">
        <v>5.05</v>
      </c>
      <c r="D402" s="28">
        <v>1.508886701</v>
      </c>
      <c r="E402" s="30">
        <v>210194.4284</v>
      </c>
      <c r="F402" s="30">
        <v>370226.23100000003</v>
      </c>
      <c r="G402" s="30" t="s">
        <v>49</v>
      </c>
      <c r="H402" s="30" t="s">
        <v>81</v>
      </c>
      <c r="I402" s="31">
        <v>40</v>
      </c>
      <c r="J402" s="28">
        <v>4.5078166399999997</v>
      </c>
      <c r="K402" s="28">
        <v>1.4408688549999999</v>
      </c>
      <c r="L402" s="29">
        <v>0.39901783600000001</v>
      </c>
      <c r="M402" s="16">
        <v>-22.35</v>
      </c>
      <c r="N402" s="39" t="e">
        <v>#N/A</v>
      </c>
      <c r="O402" s="39" t="e">
        <v>#N/A</v>
      </c>
      <c r="P402" s="39" t="e">
        <v>#N/A</v>
      </c>
      <c r="Q402" s="39" t="e">
        <v>#N/A</v>
      </c>
      <c r="R402" s="15">
        <v>1606176000</v>
      </c>
      <c r="S402" t="s">
        <v>23</v>
      </c>
    </row>
    <row r="403" spans="1:19" ht="16" x14ac:dyDescent="0.2">
      <c r="A403" s="27" t="s">
        <v>444</v>
      </c>
      <c r="B403" s="16">
        <v>4.2999999999999997E-2</v>
      </c>
      <c r="C403" s="16">
        <v>3.9</v>
      </c>
      <c r="D403" s="28">
        <v>1.6079948049999999</v>
      </c>
      <c r="E403" s="30">
        <v>210194.4284</v>
      </c>
      <c r="F403" s="30">
        <v>370226.23100000003</v>
      </c>
      <c r="G403" s="30" t="s">
        <v>49</v>
      </c>
      <c r="H403" s="30" t="s">
        <v>81</v>
      </c>
      <c r="I403" s="31">
        <v>50</v>
      </c>
      <c r="J403" s="28">
        <v>0.351884741</v>
      </c>
      <c r="K403" s="28">
        <v>1.6023365169999999</v>
      </c>
      <c r="L403" s="29">
        <v>0.193095775</v>
      </c>
      <c r="M403" s="16">
        <v>-23.5</v>
      </c>
      <c r="N403" s="39" t="e">
        <v>#N/A</v>
      </c>
      <c r="O403" s="39" t="e">
        <v>#N/A</v>
      </c>
      <c r="P403" s="39" t="e">
        <v>#N/A</v>
      </c>
      <c r="Q403" s="39" t="e">
        <v>#N/A</v>
      </c>
      <c r="R403" s="15">
        <v>1606176000</v>
      </c>
      <c r="S403" t="s">
        <v>23</v>
      </c>
    </row>
    <row r="404" spans="1:19" ht="16" x14ac:dyDescent="0.2">
      <c r="A404" s="27" t="s">
        <v>445</v>
      </c>
      <c r="B404" s="16">
        <v>0.04</v>
      </c>
      <c r="C404" s="16">
        <v>3.1</v>
      </c>
      <c r="D404" s="28">
        <v>1.3341204369999999</v>
      </c>
      <c r="E404" s="30">
        <v>210194.4284</v>
      </c>
      <c r="F404" s="30">
        <v>370226.23100000003</v>
      </c>
      <c r="G404" s="30" t="s">
        <v>49</v>
      </c>
      <c r="H404" s="30" t="s">
        <v>81</v>
      </c>
      <c r="I404" s="31">
        <v>60</v>
      </c>
      <c r="J404" s="28">
        <v>3.1871980880000002</v>
      </c>
      <c r="K404" s="28">
        <v>1.291599376</v>
      </c>
      <c r="L404" s="29">
        <v>0.16188870999999999</v>
      </c>
      <c r="M404" s="16">
        <v>-24.7</v>
      </c>
      <c r="N404" s="39" t="e">
        <v>#N/A</v>
      </c>
      <c r="O404" s="39" t="e">
        <v>#N/A</v>
      </c>
      <c r="P404" s="39" t="e">
        <v>#N/A</v>
      </c>
      <c r="Q404" s="39" t="e">
        <v>#N/A</v>
      </c>
      <c r="R404" s="15">
        <v>1606176000</v>
      </c>
      <c r="S404" t="s">
        <v>23</v>
      </c>
    </row>
    <row r="405" spans="1:19" ht="16" x14ac:dyDescent="0.2">
      <c r="A405" s="27" t="s">
        <v>446</v>
      </c>
      <c r="B405" s="16">
        <v>3.5999999999999997E-2</v>
      </c>
      <c r="C405" s="16">
        <v>2.5</v>
      </c>
      <c r="D405" s="28">
        <v>1.4304485870000001</v>
      </c>
      <c r="E405" s="30">
        <v>210194.4284</v>
      </c>
      <c r="F405" s="30">
        <v>370226.23100000003</v>
      </c>
      <c r="G405" s="30" t="s">
        <v>49</v>
      </c>
      <c r="H405" s="30" t="s">
        <v>81</v>
      </c>
      <c r="I405" s="31">
        <v>70</v>
      </c>
      <c r="J405" s="28">
        <v>0</v>
      </c>
      <c r="K405" s="28">
        <v>1.4304485870000001</v>
      </c>
      <c r="L405" s="29">
        <v>0.119100649</v>
      </c>
      <c r="M405" s="16">
        <v>-25.7</v>
      </c>
      <c r="N405" s="39" t="e">
        <v>#N/A</v>
      </c>
      <c r="O405" s="39" t="e">
        <v>#N/A</v>
      </c>
      <c r="P405" s="39" t="e">
        <v>#N/A</v>
      </c>
      <c r="Q405" s="39" t="e">
        <v>#N/A</v>
      </c>
      <c r="R405" s="15">
        <v>1606176000</v>
      </c>
      <c r="S405" t="s">
        <v>23</v>
      </c>
    </row>
    <row r="406" spans="1:19" ht="16" x14ac:dyDescent="0.2">
      <c r="A406" s="27" t="s">
        <v>447</v>
      </c>
      <c r="B406" s="16">
        <v>3.5000000000000003E-2</v>
      </c>
      <c r="C406" s="16">
        <v>2.6</v>
      </c>
      <c r="D406" s="28">
        <v>1.283253258</v>
      </c>
      <c r="E406" s="30">
        <v>210194.4284</v>
      </c>
      <c r="F406" s="30">
        <v>370226.23100000003</v>
      </c>
      <c r="G406" s="30" t="s">
        <v>49</v>
      </c>
      <c r="H406" s="30" t="s">
        <v>81</v>
      </c>
      <c r="I406" s="31">
        <v>80</v>
      </c>
      <c r="J406" s="28">
        <v>8.3954763000000002E-2</v>
      </c>
      <c r="K406" s="28">
        <v>1.282175906</v>
      </c>
      <c r="L406" s="29">
        <v>0.117608227</v>
      </c>
      <c r="M406" s="16">
        <v>-26.2</v>
      </c>
      <c r="N406" s="39" t="e">
        <v>#N/A</v>
      </c>
      <c r="O406" s="39" t="e">
        <v>#N/A</v>
      </c>
      <c r="P406" s="39" t="e">
        <v>#N/A</v>
      </c>
      <c r="Q406" s="39" t="e">
        <v>#N/A</v>
      </c>
      <c r="R406" s="15">
        <v>1606176000</v>
      </c>
      <c r="S406" t="s">
        <v>23</v>
      </c>
    </row>
    <row r="407" spans="1:19" ht="16" x14ac:dyDescent="0.2">
      <c r="A407" s="27" t="s">
        <v>448</v>
      </c>
      <c r="B407" s="16">
        <v>3.4000000000000002E-2</v>
      </c>
      <c r="C407" s="16">
        <v>1.9</v>
      </c>
      <c r="D407" s="28">
        <v>1.3469973850000001</v>
      </c>
      <c r="E407" s="30">
        <v>210194.4284</v>
      </c>
      <c r="F407" s="30">
        <v>370226.23100000003</v>
      </c>
      <c r="G407" s="30" t="s">
        <v>49</v>
      </c>
      <c r="H407" s="30" t="s">
        <v>81</v>
      </c>
      <c r="I407" s="31">
        <v>90</v>
      </c>
      <c r="J407" s="28">
        <v>1.3343499809999999</v>
      </c>
      <c r="K407" s="28">
        <v>1.329023726</v>
      </c>
      <c r="L407" s="29">
        <v>9.7567776999999994E-2</v>
      </c>
      <c r="M407" s="16">
        <v>-25.9</v>
      </c>
      <c r="N407" s="39" t="e">
        <v>#N/A</v>
      </c>
      <c r="O407" s="39" t="e">
        <v>#N/A</v>
      </c>
      <c r="P407" s="39" t="e">
        <v>#N/A</v>
      </c>
      <c r="Q407" s="39" t="e">
        <v>#N/A</v>
      </c>
      <c r="R407" s="15">
        <v>1606176000</v>
      </c>
      <c r="S407" t="s">
        <v>23</v>
      </c>
    </row>
    <row r="408" spans="1:19" ht="16" x14ac:dyDescent="0.2">
      <c r="A408" s="27" t="s">
        <v>449</v>
      </c>
      <c r="B408" s="16">
        <v>3.2000000000000001E-2</v>
      </c>
      <c r="C408" s="16">
        <v>1.6</v>
      </c>
      <c r="D408" s="28">
        <v>1.223927996</v>
      </c>
      <c r="E408" s="30">
        <v>210194.4284</v>
      </c>
      <c r="F408" s="30">
        <v>370226.23100000003</v>
      </c>
      <c r="G408" s="30" t="s">
        <v>49</v>
      </c>
      <c r="H408" s="30" t="s">
        <v>81</v>
      </c>
      <c r="I408" s="31">
        <v>100</v>
      </c>
      <c r="J408" s="28">
        <v>0.64204928999999999</v>
      </c>
      <c r="K408" s="28">
        <v>1.216069775</v>
      </c>
      <c r="L408" s="29">
        <v>9.7473532000000002E-2</v>
      </c>
      <c r="M408" s="16">
        <v>-26.5</v>
      </c>
      <c r="N408" s="39" t="e">
        <v>#N/A</v>
      </c>
      <c r="O408" s="39" t="e">
        <v>#N/A</v>
      </c>
      <c r="P408" s="39" t="e">
        <v>#N/A</v>
      </c>
      <c r="Q408" s="39" t="e">
        <v>#N/A</v>
      </c>
      <c r="R408" s="15">
        <v>1606176000</v>
      </c>
      <c r="S408" t="s">
        <v>23</v>
      </c>
    </row>
    <row r="409" spans="1:19" ht="16" x14ac:dyDescent="0.2">
      <c r="A409" s="27" t="s">
        <v>450</v>
      </c>
      <c r="B409" s="16">
        <v>2.9000000000000001E-2</v>
      </c>
      <c r="C409" s="16">
        <v>1.4</v>
      </c>
      <c r="D409" s="28">
        <v>1.0097824909999999</v>
      </c>
      <c r="E409" s="30">
        <v>210194.4284</v>
      </c>
      <c r="F409" s="30">
        <v>370226.23100000003</v>
      </c>
      <c r="G409" s="30" t="s">
        <v>49</v>
      </c>
      <c r="H409" s="30" t="s">
        <v>81</v>
      </c>
      <c r="I409" s="31">
        <v>110</v>
      </c>
      <c r="J409" s="28">
        <v>2.2755927659999999</v>
      </c>
      <c r="K409" s="28">
        <v>0.98680395399999998</v>
      </c>
      <c r="L409" s="29">
        <v>9.8332355999999996E-2</v>
      </c>
      <c r="M409" s="16">
        <v>-26.5</v>
      </c>
      <c r="N409" s="39" t="e">
        <v>#N/A</v>
      </c>
      <c r="O409" s="39" t="e">
        <v>#N/A</v>
      </c>
      <c r="P409" s="39" t="e">
        <v>#N/A</v>
      </c>
      <c r="Q409" s="39" t="e">
        <v>#N/A</v>
      </c>
      <c r="R409" s="15">
        <v>1606176000</v>
      </c>
      <c r="S409" t="s">
        <v>23</v>
      </c>
    </row>
    <row r="410" spans="1:19" ht="16" x14ac:dyDescent="0.2">
      <c r="A410" s="27" t="s">
        <v>451</v>
      </c>
      <c r="B410" s="16">
        <v>0.11</v>
      </c>
      <c r="C410" s="16">
        <v>4.0999999999999996</v>
      </c>
      <c r="D410" s="28">
        <v>1.688038312</v>
      </c>
      <c r="E410" s="30">
        <v>210194.4284</v>
      </c>
      <c r="F410" s="30">
        <v>370226.23100000003</v>
      </c>
      <c r="G410" s="30" t="s">
        <v>49</v>
      </c>
      <c r="H410" s="30" t="s">
        <v>81</v>
      </c>
      <c r="I410" s="31">
        <v>10</v>
      </c>
      <c r="J410" s="28">
        <v>3.7197778440000002</v>
      </c>
      <c r="K410" s="28">
        <v>1.6252470370000001</v>
      </c>
      <c r="L410" s="29">
        <v>1.1256518520000001</v>
      </c>
      <c r="M410" s="16">
        <v>-22.2</v>
      </c>
      <c r="N410" s="39" t="e">
        <v>#N/A</v>
      </c>
      <c r="O410" s="39" t="e">
        <v>#N/A</v>
      </c>
      <c r="P410" s="39" t="e">
        <v>#N/A</v>
      </c>
      <c r="Q410" s="39" t="e">
        <v>#N/A</v>
      </c>
      <c r="R410" s="15">
        <v>1606176000</v>
      </c>
      <c r="S410" t="s">
        <v>23</v>
      </c>
    </row>
    <row r="411" spans="1:19" ht="16" x14ac:dyDescent="0.2">
      <c r="A411" s="27" t="s">
        <v>452</v>
      </c>
      <c r="B411" s="16">
        <v>8.1000000000000003E-2</v>
      </c>
      <c r="C411" s="16">
        <v>5.0999999999999996</v>
      </c>
      <c r="D411" s="28">
        <v>1.5673582690000001</v>
      </c>
      <c r="E411" s="30">
        <v>210194.4284</v>
      </c>
      <c r="F411" s="30">
        <v>370226.23100000003</v>
      </c>
      <c r="G411" s="30" t="s">
        <v>49</v>
      </c>
      <c r="H411" s="30" t="s">
        <v>81</v>
      </c>
      <c r="I411" s="31">
        <v>20</v>
      </c>
      <c r="J411" s="28">
        <v>2.8965221969999999</v>
      </c>
      <c r="K411" s="28">
        <v>1.5219593890000001</v>
      </c>
      <c r="L411" s="29">
        <v>0.73177529699999999</v>
      </c>
      <c r="M411" s="16">
        <v>-23</v>
      </c>
      <c r="N411" s="39" t="e">
        <v>#N/A</v>
      </c>
      <c r="O411" s="39" t="e">
        <v>#N/A</v>
      </c>
      <c r="P411" s="39" t="e">
        <v>#N/A</v>
      </c>
      <c r="Q411" s="39" t="e">
        <v>#N/A</v>
      </c>
      <c r="R411" s="15">
        <v>1606176000</v>
      </c>
      <c r="S411" t="s">
        <v>23</v>
      </c>
    </row>
    <row r="412" spans="1:19" ht="16" x14ac:dyDescent="0.2">
      <c r="A412" s="27" t="s">
        <v>453</v>
      </c>
      <c r="B412" s="16">
        <v>8.4000000000000005E-2</v>
      </c>
      <c r="C412" s="16">
        <v>5.3</v>
      </c>
      <c r="D412" s="28">
        <v>1.643739922</v>
      </c>
      <c r="E412" s="30">
        <v>210194.4284</v>
      </c>
      <c r="F412" s="30">
        <v>370226.23100000003</v>
      </c>
      <c r="G412" s="30" t="s">
        <v>49</v>
      </c>
      <c r="H412" s="30" t="s">
        <v>81</v>
      </c>
      <c r="I412" s="31">
        <v>30</v>
      </c>
      <c r="J412" s="28">
        <v>3.5097889819999999</v>
      </c>
      <c r="K412" s="28">
        <v>1.5860481200000001</v>
      </c>
      <c r="L412" s="29">
        <v>0.79581620200000003</v>
      </c>
      <c r="M412" s="16">
        <v>-23.1</v>
      </c>
      <c r="N412" s="39" t="e">
        <v>#N/A</v>
      </c>
      <c r="O412" s="39" t="e">
        <v>#N/A</v>
      </c>
      <c r="P412" s="39" t="e">
        <v>#N/A</v>
      </c>
      <c r="Q412" s="39" t="e">
        <v>#N/A</v>
      </c>
      <c r="R412" s="15">
        <v>1606176000</v>
      </c>
      <c r="S412" t="s">
        <v>23</v>
      </c>
    </row>
    <row r="413" spans="1:19" ht="16" x14ac:dyDescent="0.2">
      <c r="A413" s="27" t="s">
        <v>454</v>
      </c>
      <c r="B413" s="16">
        <v>4.65E-2</v>
      </c>
      <c r="C413" s="16">
        <v>4.1500000000000004</v>
      </c>
      <c r="D413" s="28">
        <v>1.6829072009999999</v>
      </c>
      <c r="E413" s="30">
        <v>210194.4284</v>
      </c>
      <c r="F413" s="30">
        <v>370226.23100000003</v>
      </c>
      <c r="G413" s="30" t="s">
        <v>49</v>
      </c>
      <c r="H413" s="30" t="s">
        <v>81</v>
      </c>
      <c r="I413" s="31">
        <v>40</v>
      </c>
      <c r="J413" s="28">
        <v>3.5758506269999999</v>
      </c>
      <c r="K413" s="28">
        <v>1.622728953</v>
      </c>
      <c r="L413" s="29">
        <v>0.24406156600000001</v>
      </c>
      <c r="M413" s="16">
        <v>-22.25</v>
      </c>
      <c r="N413" s="39" t="e">
        <v>#N/A</v>
      </c>
      <c r="O413" s="39" t="e">
        <v>#N/A</v>
      </c>
      <c r="P413" s="39" t="e">
        <v>#N/A</v>
      </c>
      <c r="Q413" s="39" t="e">
        <v>#N/A</v>
      </c>
      <c r="R413" s="15">
        <v>1606176000</v>
      </c>
      <c r="S413" t="s">
        <v>23</v>
      </c>
    </row>
    <row r="414" spans="1:19" ht="16" x14ac:dyDescent="0.2">
      <c r="A414" s="27" t="s">
        <v>455</v>
      </c>
      <c r="B414" s="16">
        <v>4.1000000000000002E-2</v>
      </c>
      <c r="C414" s="16">
        <v>3.6</v>
      </c>
      <c r="D414" s="28">
        <v>1.678199899</v>
      </c>
      <c r="E414" s="30">
        <v>210194.4284</v>
      </c>
      <c r="F414" s="30">
        <v>370226.23100000003</v>
      </c>
      <c r="G414" s="30" t="s">
        <v>49</v>
      </c>
      <c r="H414" s="30" t="s">
        <v>81</v>
      </c>
      <c r="I414" s="31">
        <v>50</v>
      </c>
      <c r="J414" s="28">
        <v>3.929993885</v>
      </c>
      <c r="K414" s="28">
        <v>1.6122467460000001</v>
      </c>
      <c r="L414" s="29">
        <v>0.16381469700000001</v>
      </c>
      <c r="M414" s="16">
        <v>-23.3</v>
      </c>
      <c r="N414" s="39" t="e">
        <v>#N/A</v>
      </c>
      <c r="O414" s="39" t="e">
        <v>#N/A</v>
      </c>
      <c r="P414" s="39" t="e">
        <v>#N/A</v>
      </c>
      <c r="Q414" s="39" t="e">
        <v>#N/A</v>
      </c>
      <c r="R414" s="15">
        <v>1606176000</v>
      </c>
      <c r="S414" t="s">
        <v>23</v>
      </c>
    </row>
    <row r="415" spans="1:19" ht="16" x14ac:dyDescent="0.2">
      <c r="A415" s="27" t="s">
        <v>456</v>
      </c>
      <c r="B415" s="16">
        <v>3.7999999999999999E-2</v>
      </c>
      <c r="C415" s="16">
        <v>3.5</v>
      </c>
      <c r="D415" s="28">
        <v>1.7051100690000001</v>
      </c>
      <c r="E415" s="30">
        <v>210194.4284</v>
      </c>
      <c r="F415" s="30">
        <v>370226.23100000003</v>
      </c>
      <c r="G415" s="30" t="s">
        <v>49</v>
      </c>
      <c r="H415" s="30" t="s">
        <v>81</v>
      </c>
      <c r="I415" s="31">
        <v>60</v>
      </c>
      <c r="J415" s="28">
        <v>1.6677631580000001</v>
      </c>
      <c r="K415" s="28">
        <v>1.6766728719999999</v>
      </c>
      <c r="L415" s="29">
        <v>0.11187773600000001</v>
      </c>
      <c r="M415" s="16">
        <v>-23.9</v>
      </c>
      <c r="N415" s="39" t="e">
        <v>#N/A</v>
      </c>
      <c r="O415" s="39" t="e">
        <v>#N/A</v>
      </c>
      <c r="P415" s="39" t="e">
        <v>#N/A</v>
      </c>
      <c r="Q415" s="39" t="e">
        <v>#N/A</v>
      </c>
      <c r="R415" s="15">
        <v>1606176000</v>
      </c>
      <c r="S415" t="s">
        <v>23</v>
      </c>
    </row>
    <row r="416" spans="1:19" ht="16" x14ac:dyDescent="0.2">
      <c r="A416" s="27" t="s">
        <v>457</v>
      </c>
      <c r="B416" s="16">
        <v>3.1E-2</v>
      </c>
      <c r="C416" s="16">
        <v>2.8</v>
      </c>
      <c r="D416" s="28">
        <v>1.5317316889999999</v>
      </c>
      <c r="E416" s="30">
        <v>210194.4284</v>
      </c>
      <c r="F416" s="30">
        <v>370226.23100000003</v>
      </c>
      <c r="G416" s="30" t="s">
        <v>49</v>
      </c>
      <c r="H416" s="30" t="s">
        <v>81</v>
      </c>
      <c r="I416" s="31">
        <v>70</v>
      </c>
      <c r="J416" s="28">
        <v>0.67117422400000004</v>
      </c>
      <c r="K416" s="28">
        <v>1.521451101</v>
      </c>
      <c r="L416" s="29">
        <v>0.10510826099999999</v>
      </c>
      <c r="M416" s="16">
        <v>-25.2</v>
      </c>
      <c r="N416" s="39" t="e">
        <v>#N/A</v>
      </c>
      <c r="O416" s="39" t="e">
        <v>#N/A</v>
      </c>
      <c r="P416" s="39" t="e">
        <v>#N/A</v>
      </c>
      <c r="Q416" s="39" t="e">
        <v>#N/A</v>
      </c>
      <c r="R416" s="15">
        <v>1606176000</v>
      </c>
      <c r="S416" t="s">
        <v>23</v>
      </c>
    </row>
    <row r="417" spans="1:19" ht="16" x14ac:dyDescent="0.2">
      <c r="A417" s="27" t="s">
        <v>458</v>
      </c>
      <c r="B417" s="16">
        <v>0.03</v>
      </c>
      <c r="C417" s="16">
        <v>2.1</v>
      </c>
      <c r="D417" s="28">
        <v>1.4724273489999999</v>
      </c>
      <c r="E417" s="30">
        <v>210194.4284</v>
      </c>
      <c r="F417" s="30">
        <v>370226.23100000003</v>
      </c>
      <c r="G417" s="30" t="s">
        <v>49</v>
      </c>
      <c r="H417" s="30" t="s">
        <v>81</v>
      </c>
      <c r="I417" s="31">
        <v>80</v>
      </c>
      <c r="J417" s="28">
        <v>0.28138528099999999</v>
      </c>
      <c r="K417" s="28">
        <v>1.4682841550000001</v>
      </c>
      <c r="L417" s="29">
        <v>0.108849248</v>
      </c>
      <c r="M417" s="16">
        <v>-26</v>
      </c>
      <c r="N417" s="39" t="e">
        <v>#N/A</v>
      </c>
      <c r="O417" s="39" t="e">
        <v>#N/A</v>
      </c>
      <c r="P417" s="39" t="e">
        <v>#N/A</v>
      </c>
      <c r="Q417" s="39" t="e">
        <v>#N/A</v>
      </c>
      <c r="R417" s="15">
        <v>1606176000</v>
      </c>
      <c r="S417" t="s">
        <v>23</v>
      </c>
    </row>
    <row r="418" spans="1:19" ht="16" x14ac:dyDescent="0.2">
      <c r="A418" s="27" t="s">
        <v>459</v>
      </c>
      <c r="B418" s="16">
        <v>2.9000000000000001E-2</v>
      </c>
      <c r="C418" s="16">
        <v>2</v>
      </c>
      <c r="D418" s="28">
        <v>1.6320369450000001</v>
      </c>
      <c r="E418" s="30">
        <v>210194.4284</v>
      </c>
      <c r="F418" s="30">
        <v>370226.23100000003</v>
      </c>
      <c r="G418" s="30" t="s">
        <v>49</v>
      </c>
      <c r="H418" s="30" t="s">
        <v>81</v>
      </c>
      <c r="I418" s="31">
        <v>90</v>
      </c>
      <c r="J418" s="28">
        <v>0.30610229700000002</v>
      </c>
      <c r="K418" s="28">
        <v>1.627041242</v>
      </c>
      <c r="L418" s="29">
        <v>0.108408975</v>
      </c>
      <c r="M418" s="16">
        <v>-25.7</v>
      </c>
      <c r="N418" s="39" t="e">
        <v>#N/A</v>
      </c>
      <c r="O418" s="39" t="e">
        <v>#N/A</v>
      </c>
      <c r="P418" s="39" t="e">
        <v>#N/A</v>
      </c>
      <c r="Q418" s="39" t="e">
        <v>#N/A</v>
      </c>
      <c r="R418" s="15">
        <v>1606176000</v>
      </c>
      <c r="S418" t="s">
        <v>23</v>
      </c>
    </row>
    <row r="419" spans="1:19" ht="16" x14ac:dyDescent="0.2">
      <c r="A419" s="27" t="s">
        <v>460</v>
      </c>
      <c r="B419" s="16">
        <v>2.9000000000000001E-2</v>
      </c>
      <c r="C419" s="16">
        <v>2</v>
      </c>
      <c r="D419" s="28">
        <v>1.512138416</v>
      </c>
      <c r="E419" s="30">
        <v>210194.4284</v>
      </c>
      <c r="F419" s="30">
        <v>370226.23100000003</v>
      </c>
      <c r="G419" s="30" t="s">
        <v>49</v>
      </c>
      <c r="H419" s="30" t="s">
        <v>81</v>
      </c>
      <c r="I419" s="31">
        <v>100</v>
      </c>
      <c r="J419" s="28">
        <v>0.95359291300000004</v>
      </c>
      <c r="K419" s="28">
        <v>1.4977187709999999</v>
      </c>
      <c r="L419" s="29">
        <v>0.109032911</v>
      </c>
      <c r="M419" s="16">
        <v>-26.1</v>
      </c>
      <c r="N419" s="39" t="e">
        <v>#N/A</v>
      </c>
      <c r="O419" s="39" t="e">
        <v>#N/A</v>
      </c>
      <c r="P419" s="39" t="e">
        <v>#N/A</v>
      </c>
      <c r="Q419" s="39" t="e">
        <v>#N/A</v>
      </c>
      <c r="R419" s="15">
        <v>1606176000</v>
      </c>
      <c r="S419" t="s">
        <v>23</v>
      </c>
    </row>
    <row r="420" spans="1:19" ht="16" x14ac:dyDescent="0.2">
      <c r="A420" s="27" t="s">
        <v>461</v>
      </c>
      <c r="B420" s="16">
        <v>2.9000000000000001E-2</v>
      </c>
      <c r="C420" s="16">
        <v>2.2000000000000002</v>
      </c>
      <c r="D420" s="28">
        <v>1.1316527249999999</v>
      </c>
      <c r="E420" s="30">
        <v>210194.4284</v>
      </c>
      <c r="F420" s="30">
        <v>370226.23100000003</v>
      </c>
      <c r="G420" s="30" t="s">
        <v>49</v>
      </c>
      <c r="H420" s="30" t="s">
        <v>81</v>
      </c>
      <c r="I420" s="31">
        <v>110</v>
      </c>
      <c r="J420" s="28">
        <v>0.97725219699999999</v>
      </c>
      <c r="K420" s="28">
        <v>1.1205936240000001</v>
      </c>
      <c r="L420" s="29">
        <v>8.8456567E-2</v>
      </c>
      <c r="M420" s="16">
        <v>-26</v>
      </c>
      <c r="N420" s="39" t="e">
        <v>#N/A</v>
      </c>
      <c r="O420" s="39" t="e">
        <v>#N/A</v>
      </c>
      <c r="P420" s="39" t="e">
        <v>#N/A</v>
      </c>
      <c r="Q420" s="39" t="e">
        <v>#N/A</v>
      </c>
      <c r="R420" s="15">
        <v>1606176000</v>
      </c>
      <c r="S420" t="s">
        <v>23</v>
      </c>
    </row>
    <row r="421" spans="1:19" ht="16" x14ac:dyDescent="0.2">
      <c r="A421" s="27" t="s">
        <v>462</v>
      </c>
      <c r="B421" s="16">
        <v>0.105</v>
      </c>
      <c r="C421" s="16">
        <v>4.3</v>
      </c>
      <c r="D421" s="28">
        <v>1.4567851629999999</v>
      </c>
      <c r="E421" s="30">
        <v>210268.54399999999</v>
      </c>
      <c r="F421" s="30">
        <v>370278.37790000002</v>
      </c>
      <c r="G421" s="30" t="s">
        <v>49</v>
      </c>
      <c r="H421" s="16" t="s">
        <v>22</v>
      </c>
      <c r="I421" s="31">
        <v>10</v>
      </c>
      <c r="J421" s="16" t="e">
        <f>NA()</f>
        <v>#N/A</v>
      </c>
      <c r="K421" s="28">
        <v>1.4567851629999999</v>
      </c>
      <c r="L421" s="29">
        <v>0.97499999999999998</v>
      </c>
      <c r="M421" s="16">
        <v>-19.850000000000001</v>
      </c>
      <c r="N421" s="39" t="e">
        <v>#N/A</v>
      </c>
      <c r="O421" s="39" t="e">
        <v>#N/A</v>
      </c>
      <c r="P421" s="39" t="e">
        <v>#N/A</v>
      </c>
      <c r="Q421" s="39" t="e">
        <v>#N/A</v>
      </c>
      <c r="R421" s="15">
        <v>1586995200</v>
      </c>
      <c r="S421" t="s">
        <v>23</v>
      </c>
    </row>
    <row r="422" spans="1:19" ht="16" x14ac:dyDescent="0.2">
      <c r="A422" s="27" t="s">
        <v>463</v>
      </c>
      <c r="B422" s="16">
        <v>7.0000000000000007E-2</v>
      </c>
      <c r="C422" s="16">
        <v>4.5</v>
      </c>
      <c r="D422" s="28">
        <v>1.536324161</v>
      </c>
      <c r="E422" s="30">
        <v>210268.54399999999</v>
      </c>
      <c r="F422" s="30">
        <v>370278.37790000002</v>
      </c>
      <c r="G422" s="30" t="s">
        <v>49</v>
      </c>
      <c r="H422" s="16" t="s">
        <v>22</v>
      </c>
      <c r="I422" s="31">
        <v>20</v>
      </c>
      <c r="J422" s="16" t="e">
        <f>NA()</f>
        <v>#N/A</v>
      </c>
      <c r="K422" s="28">
        <v>1.536324161</v>
      </c>
      <c r="L422" s="29">
        <v>0.6</v>
      </c>
      <c r="M422" s="16">
        <v>-21.4</v>
      </c>
      <c r="N422" s="39" t="e">
        <v>#N/A</v>
      </c>
      <c r="O422" s="39" t="e">
        <v>#N/A</v>
      </c>
      <c r="P422" s="39" t="e">
        <v>#N/A</v>
      </c>
      <c r="Q422" s="39" t="e">
        <v>#N/A</v>
      </c>
      <c r="R422" s="15">
        <v>1586995200</v>
      </c>
      <c r="S422" t="s">
        <v>23</v>
      </c>
    </row>
    <row r="423" spans="1:19" ht="16" x14ac:dyDescent="0.2">
      <c r="A423" s="27" t="s">
        <v>464</v>
      </c>
      <c r="B423" s="16">
        <v>0.06</v>
      </c>
      <c r="C423" s="16">
        <v>5</v>
      </c>
      <c r="D423" s="28">
        <v>1.5742509339999999</v>
      </c>
      <c r="E423" s="30">
        <v>210268.54399999999</v>
      </c>
      <c r="F423" s="30">
        <v>370278.37790000002</v>
      </c>
      <c r="G423" s="30" t="s">
        <v>49</v>
      </c>
      <c r="H423" s="16" t="s">
        <v>22</v>
      </c>
      <c r="I423" s="31">
        <v>30</v>
      </c>
      <c r="J423" s="16" t="e">
        <f>NA()</f>
        <v>#N/A</v>
      </c>
      <c r="K423" s="28">
        <v>1.5742509339999999</v>
      </c>
      <c r="L423" s="29">
        <v>0.47</v>
      </c>
      <c r="M423" s="16">
        <v>-22</v>
      </c>
      <c r="N423" s="39" t="e">
        <v>#N/A</v>
      </c>
      <c r="O423" s="39" t="e">
        <v>#N/A</v>
      </c>
      <c r="P423" s="39" t="e">
        <v>#N/A</v>
      </c>
      <c r="Q423" s="39" t="e">
        <v>#N/A</v>
      </c>
      <c r="R423" s="15">
        <v>1586995200</v>
      </c>
      <c r="S423" t="s">
        <v>23</v>
      </c>
    </row>
    <row r="424" spans="1:19" ht="16" x14ac:dyDescent="0.2">
      <c r="A424" s="27" t="s">
        <v>465</v>
      </c>
      <c r="B424" s="16">
        <v>0.04</v>
      </c>
      <c r="C424" s="16">
        <v>3.2</v>
      </c>
      <c r="D424" s="28">
        <v>1.559416932</v>
      </c>
      <c r="E424" s="30">
        <v>210268.54399999999</v>
      </c>
      <c r="F424" s="30">
        <v>370278.37790000002</v>
      </c>
      <c r="G424" s="30" t="s">
        <v>49</v>
      </c>
      <c r="H424" s="16" t="s">
        <v>22</v>
      </c>
      <c r="I424" s="31">
        <v>60</v>
      </c>
      <c r="J424" s="16" t="e">
        <f>NA()</f>
        <v>#N/A</v>
      </c>
      <c r="K424" s="28">
        <v>1.559416932</v>
      </c>
      <c r="L424" s="29">
        <v>0.14000000000000001</v>
      </c>
      <c r="M424" s="16">
        <v>-23.2</v>
      </c>
      <c r="N424" s="39" t="e">
        <v>#N/A</v>
      </c>
      <c r="O424" s="39" t="e">
        <v>#N/A</v>
      </c>
      <c r="P424" s="39" t="e">
        <v>#N/A</v>
      </c>
      <c r="Q424" s="39" t="e">
        <v>#N/A</v>
      </c>
      <c r="R424" s="15">
        <v>1586995200</v>
      </c>
      <c r="S424" t="s">
        <v>23</v>
      </c>
    </row>
    <row r="425" spans="1:19" ht="16" x14ac:dyDescent="0.2">
      <c r="A425" s="27" t="s">
        <v>466</v>
      </c>
      <c r="B425" s="16">
        <v>0.03</v>
      </c>
      <c r="C425" s="16">
        <v>2.5</v>
      </c>
      <c r="D425" s="28">
        <v>1.3650779179999999</v>
      </c>
      <c r="E425" s="30">
        <v>210268.54399999999</v>
      </c>
      <c r="F425" s="30">
        <v>370278.37790000002</v>
      </c>
      <c r="G425" s="30" t="s">
        <v>49</v>
      </c>
      <c r="H425" s="16" t="s">
        <v>22</v>
      </c>
      <c r="I425" s="31">
        <v>100</v>
      </c>
      <c r="J425" s="16" t="e">
        <f>NA()</f>
        <v>#N/A</v>
      </c>
      <c r="K425" s="28">
        <v>1.3650779179999999</v>
      </c>
      <c r="L425" s="29">
        <v>0.09</v>
      </c>
      <c r="M425" s="16">
        <v>-24.8</v>
      </c>
      <c r="N425" s="39" t="e">
        <v>#N/A</v>
      </c>
      <c r="O425" s="39" t="e">
        <v>#N/A</v>
      </c>
      <c r="P425" s="39" t="e">
        <v>#N/A</v>
      </c>
      <c r="Q425" s="39" t="e">
        <v>#N/A</v>
      </c>
      <c r="R425" s="15">
        <v>1586995200</v>
      </c>
      <c r="S425" t="s">
        <v>23</v>
      </c>
    </row>
    <row r="426" spans="1:19" x14ac:dyDescent="0.2">
      <c r="A426" s="27" t="s">
        <v>467</v>
      </c>
      <c r="B426" s="16">
        <v>0.215</v>
      </c>
      <c r="C426" s="16">
        <v>5.3</v>
      </c>
      <c r="D426" s="28">
        <v>1.034316013</v>
      </c>
      <c r="E426" s="16" t="e">
        <f>NA()</f>
        <v>#N/A</v>
      </c>
      <c r="F426" s="16" t="e">
        <f>NA()</f>
        <v>#N/A</v>
      </c>
      <c r="G426" s="16" t="e">
        <f>NA()</f>
        <v>#N/A</v>
      </c>
      <c r="H426" s="16" t="e">
        <f>NA()</f>
        <v>#N/A</v>
      </c>
      <c r="I426" s="31">
        <v>10</v>
      </c>
      <c r="J426" s="28">
        <v>2.5990449089999998</v>
      </c>
      <c r="K426" s="28">
        <v>1.007433676</v>
      </c>
      <c r="L426" s="29">
        <v>1.9047126560000001</v>
      </c>
      <c r="M426" s="16">
        <v>-21.85</v>
      </c>
      <c r="N426" s="39" t="e">
        <v>#N/A</v>
      </c>
      <c r="O426" s="39" t="e">
        <v>#N/A</v>
      </c>
      <c r="P426" s="39" t="e">
        <v>#N/A</v>
      </c>
      <c r="Q426" s="39" t="e">
        <v>#N/A</v>
      </c>
      <c r="R426" s="15">
        <v>1607990400</v>
      </c>
      <c r="S426" t="s">
        <v>23</v>
      </c>
    </row>
    <row r="427" spans="1:19" x14ac:dyDescent="0.2">
      <c r="A427" s="27" t="s">
        <v>468</v>
      </c>
      <c r="B427" s="16">
        <v>0.18</v>
      </c>
      <c r="C427" s="16">
        <v>6.1</v>
      </c>
      <c r="D427" s="28">
        <v>1.2494293809999999</v>
      </c>
      <c r="E427" s="16" t="e">
        <f>NA()</f>
        <v>#N/A</v>
      </c>
      <c r="F427" s="16" t="e">
        <f>NA()</f>
        <v>#N/A</v>
      </c>
      <c r="G427" s="16" t="e">
        <f>NA()</f>
        <v>#N/A</v>
      </c>
      <c r="H427" s="16" t="e">
        <f>NA()</f>
        <v>#N/A</v>
      </c>
      <c r="I427" s="31">
        <v>20</v>
      </c>
      <c r="J427" s="28">
        <v>9.5387631679999991</v>
      </c>
      <c r="K427" s="28">
        <v>1.1302492710000001</v>
      </c>
      <c r="L427" s="29">
        <v>1.5368469039999999</v>
      </c>
      <c r="M427" s="16">
        <v>-22.4</v>
      </c>
      <c r="N427" s="39" t="e">
        <v>#N/A</v>
      </c>
      <c r="O427" s="39" t="e">
        <v>#N/A</v>
      </c>
      <c r="P427" s="39" t="e">
        <v>#N/A</v>
      </c>
      <c r="Q427" s="39" t="e">
        <v>#N/A</v>
      </c>
      <c r="R427" s="15">
        <v>1607990400</v>
      </c>
      <c r="S427" t="s">
        <v>23</v>
      </c>
    </row>
    <row r="428" spans="1:19" x14ac:dyDescent="0.2">
      <c r="A428" s="27" t="s">
        <v>469</v>
      </c>
      <c r="B428" s="16">
        <v>0.15</v>
      </c>
      <c r="C428" s="16">
        <v>6.5</v>
      </c>
      <c r="D428" s="28">
        <v>1.1478968890000001</v>
      </c>
      <c r="E428" s="16" t="e">
        <f>NA()</f>
        <v>#N/A</v>
      </c>
      <c r="F428" s="16" t="e">
        <f>NA()</f>
        <v>#N/A</v>
      </c>
      <c r="G428" s="16" t="e">
        <f>NA()</f>
        <v>#N/A</v>
      </c>
      <c r="H428" s="16" t="e">
        <f>NA()</f>
        <v>#N/A</v>
      </c>
      <c r="I428" s="31">
        <v>30</v>
      </c>
      <c r="J428" s="28">
        <v>21.416034710000002</v>
      </c>
      <c r="K428" s="28">
        <v>0.90206289299999998</v>
      </c>
      <c r="L428" s="29">
        <v>1.2183193539999999</v>
      </c>
      <c r="M428" s="16">
        <v>-22.9</v>
      </c>
      <c r="N428" s="39" t="e">
        <v>#N/A</v>
      </c>
      <c r="O428" s="39" t="e">
        <v>#N/A</v>
      </c>
      <c r="P428" s="39" t="e">
        <v>#N/A</v>
      </c>
      <c r="Q428" s="39" t="e">
        <v>#N/A</v>
      </c>
      <c r="R428" s="15">
        <v>1607990400</v>
      </c>
      <c r="S428" t="s">
        <v>23</v>
      </c>
    </row>
    <row r="429" spans="1:19" x14ac:dyDescent="0.2">
      <c r="A429" s="27" t="s">
        <v>470</v>
      </c>
      <c r="B429" s="16">
        <v>9.0999999999999998E-2</v>
      </c>
      <c r="C429" s="16">
        <v>6.4</v>
      </c>
      <c r="D429" s="28">
        <v>1.515910606</v>
      </c>
      <c r="E429" s="16" t="e">
        <f>NA()</f>
        <v>#N/A</v>
      </c>
      <c r="F429" s="16" t="e">
        <f>NA()</f>
        <v>#N/A</v>
      </c>
      <c r="G429" s="16" t="e">
        <f>NA()</f>
        <v>#N/A</v>
      </c>
      <c r="H429" s="16" t="e">
        <f>NA()</f>
        <v>#N/A</v>
      </c>
      <c r="I429" s="31">
        <v>40</v>
      </c>
      <c r="J429" s="28">
        <v>16.757141440000002</v>
      </c>
      <c r="K429" s="28">
        <v>1.2618873209999999</v>
      </c>
      <c r="L429" s="29">
        <v>0.618689567</v>
      </c>
      <c r="M429" s="16">
        <v>-22.9</v>
      </c>
      <c r="N429" s="39" t="e">
        <v>#N/A</v>
      </c>
      <c r="O429" s="39" t="e">
        <v>#N/A</v>
      </c>
      <c r="P429" s="39" t="e">
        <v>#N/A</v>
      </c>
      <c r="Q429" s="39" t="e">
        <v>#N/A</v>
      </c>
      <c r="R429" s="15">
        <v>1607990400</v>
      </c>
      <c r="S429" t="s">
        <v>23</v>
      </c>
    </row>
    <row r="430" spans="1:19" x14ac:dyDescent="0.2">
      <c r="A430" s="27" t="s">
        <v>471</v>
      </c>
      <c r="B430" s="16">
        <v>7.1999999999999995E-2</v>
      </c>
      <c r="C430" s="16">
        <v>5.6</v>
      </c>
      <c r="D430" s="28">
        <v>1.2340752829999999</v>
      </c>
      <c r="E430" s="16" t="e">
        <f>NA()</f>
        <v>#N/A</v>
      </c>
      <c r="F430" s="16" t="e">
        <f>NA()</f>
        <v>#N/A</v>
      </c>
      <c r="G430" s="16" t="e">
        <f>NA()</f>
        <v>#N/A</v>
      </c>
      <c r="H430" s="16" t="e">
        <f>NA()</f>
        <v>#N/A</v>
      </c>
      <c r="I430" s="31">
        <v>50</v>
      </c>
      <c r="J430" s="28">
        <v>11.79938072</v>
      </c>
      <c r="K430" s="28">
        <v>1.088462042</v>
      </c>
      <c r="L430" s="29">
        <v>0.380084802</v>
      </c>
      <c r="M430" s="16">
        <v>-22.2</v>
      </c>
      <c r="N430" s="39" t="e">
        <v>#N/A</v>
      </c>
      <c r="O430" s="39" t="e">
        <v>#N/A</v>
      </c>
      <c r="P430" s="39" t="e">
        <v>#N/A</v>
      </c>
      <c r="Q430" s="39" t="e">
        <v>#N/A</v>
      </c>
      <c r="R430" s="15">
        <v>1607990400</v>
      </c>
      <c r="S430" t="s">
        <v>23</v>
      </c>
    </row>
    <row r="431" spans="1:19" x14ac:dyDescent="0.2">
      <c r="A431" s="27" t="s">
        <v>472</v>
      </c>
      <c r="B431" s="16">
        <v>5.1999999999999998E-2</v>
      </c>
      <c r="C431" s="16">
        <v>5.3</v>
      </c>
      <c r="D431" s="28">
        <v>1.7703227669999999</v>
      </c>
      <c r="E431" s="16" t="e">
        <f>NA()</f>
        <v>#N/A</v>
      </c>
      <c r="F431" s="16" t="e">
        <f>NA()</f>
        <v>#N/A</v>
      </c>
      <c r="G431" s="16" t="e">
        <f>NA()</f>
        <v>#N/A</v>
      </c>
      <c r="H431" s="16" t="e">
        <f>NA()</f>
        <v>#N/A</v>
      </c>
      <c r="I431" s="31">
        <v>60</v>
      </c>
      <c r="J431" s="28">
        <v>37.351237410000003</v>
      </c>
      <c r="K431" s="28">
        <v>1.109085307</v>
      </c>
      <c r="L431" s="29">
        <v>0.33824516999999998</v>
      </c>
      <c r="M431" s="16">
        <v>-16.8</v>
      </c>
      <c r="N431" s="39" t="e">
        <v>#N/A</v>
      </c>
      <c r="O431" s="39" t="e">
        <v>#N/A</v>
      </c>
      <c r="P431" s="39" t="e">
        <v>#N/A</v>
      </c>
      <c r="Q431" s="39" t="e">
        <v>#N/A</v>
      </c>
      <c r="R431" s="15">
        <v>1607990400</v>
      </c>
      <c r="S431" t="s">
        <v>23</v>
      </c>
    </row>
    <row r="432" spans="1:19" x14ac:dyDescent="0.2">
      <c r="A432" s="27" t="s">
        <v>473</v>
      </c>
      <c r="B432" s="16">
        <v>4.2000000000000003E-2</v>
      </c>
      <c r="C432" s="16">
        <v>4.0999999999999996</v>
      </c>
      <c r="D432" s="28">
        <v>1.7091861269999999</v>
      </c>
      <c r="E432" s="16" t="e">
        <f>NA()</f>
        <v>#N/A</v>
      </c>
      <c r="F432" s="16" t="e">
        <f>NA()</f>
        <v>#N/A</v>
      </c>
      <c r="G432" s="16" t="e">
        <f>NA()</f>
        <v>#N/A</v>
      </c>
      <c r="H432" s="16" t="e">
        <f>NA()</f>
        <v>#N/A</v>
      </c>
      <c r="I432" s="31">
        <v>70</v>
      </c>
      <c r="J432" s="28">
        <v>17.281132670000002</v>
      </c>
      <c r="K432" s="28">
        <v>1.4138194049999999</v>
      </c>
      <c r="L432" s="29">
        <v>2.0438833860000001</v>
      </c>
      <c r="M432" s="16">
        <v>-2.8</v>
      </c>
      <c r="N432" s="39" t="e">
        <v>#N/A</v>
      </c>
      <c r="O432" s="39" t="e">
        <v>#N/A</v>
      </c>
      <c r="P432" s="39" t="e">
        <v>#N/A</v>
      </c>
      <c r="Q432" s="39" t="e">
        <v>#N/A</v>
      </c>
      <c r="R432" s="15">
        <v>1607990400</v>
      </c>
      <c r="S432" t="s">
        <v>23</v>
      </c>
    </row>
    <row r="433" spans="1:19" x14ac:dyDescent="0.2">
      <c r="A433" s="27" t="s">
        <v>474</v>
      </c>
      <c r="B433" s="16">
        <v>3.6499999999999998E-2</v>
      </c>
      <c r="C433" s="16">
        <v>2.8</v>
      </c>
      <c r="D433" s="28">
        <v>1.9452130750000001</v>
      </c>
      <c r="E433" s="16" t="e">
        <f>NA()</f>
        <v>#N/A</v>
      </c>
      <c r="F433" s="16" t="e">
        <f>NA()</f>
        <v>#N/A</v>
      </c>
      <c r="G433" s="16" t="e">
        <f>NA()</f>
        <v>#N/A</v>
      </c>
      <c r="H433" s="16" t="e">
        <f>NA()</f>
        <v>#N/A</v>
      </c>
      <c r="I433" s="31">
        <v>75</v>
      </c>
      <c r="J433" s="28">
        <v>21.25440682</v>
      </c>
      <c r="K433" s="28">
        <v>1.5317695739999999</v>
      </c>
      <c r="L433" s="29">
        <v>1.9203693019999999</v>
      </c>
      <c r="M433" s="16">
        <v>-2.25</v>
      </c>
      <c r="N433" s="39" t="e">
        <v>#N/A</v>
      </c>
      <c r="O433" s="39" t="e">
        <v>#N/A</v>
      </c>
      <c r="P433" s="39" t="e">
        <v>#N/A</v>
      </c>
      <c r="Q433" s="39" t="e">
        <v>#N/A</v>
      </c>
      <c r="R433" s="15">
        <v>1607990400</v>
      </c>
      <c r="S433" t="s">
        <v>23</v>
      </c>
    </row>
    <row r="434" spans="1:19" x14ac:dyDescent="0.2">
      <c r="A434" s="27" t="s">
        <v>475</v>
      </c>
      <c r="B434" s="16">
        <v>0.21</v>
      </c>
      <c r="C434" s="16">
        <v>5.9</v>
      </c>
      <c r="D434" s="28">
        <v>1.352033407</v>
      </c>
      <c r="E434" s="16" t="e">
        <f>NA()</f>
        <v>#N/A</v>
      </c>
      <c r="F434" s="16" t="e">
        <f>NA()</f>
        <v>#N/A</v>
      </c>
      <c r="G434" s="16" t="e">
        <f>NA()</f>
        <v>#N/A</v>
      </c>
      <c r="H434" s="16" t="e">
        <f>NA()</f>
        <v>#N/A</v>
      </c>
      <c r="I434" s="31">
        <v>10</v>
      </c>
      <c r="J434" s="28">
        <v>7.2110303829999998</v>
      </c>
      <c r="K434" s="28">
        <v>1.254537867</v>
      </c>
      <c r="L434" s="29">
        <v>1.696295128</v>
      </c>
      <c r="M434" s="16">
        <v>-21.9</v>
      </c>
      <c r="N434" s="39" t="e">
        <v>#N/A</v>
      </c>
      <c r="O434" s="39" t="e">
        <v>#N/A</v>
      </c>
      <c r="P434" s="39" t="e">
        <v>#N/A</v>
      </c>
      <c r="Q434" s="39" t="e">
        <v>#N/A</v>
      </c>
      <c r="R434" s="15">
        <v>1607990400</v>
      </c>
      <c r="S434" t="s">
        <v>23</v>
      </c>
    </row>
    <row r="435" spans="1:19" x14ac:dyDescent="0.2">
      <c r="A435" s="27" t="s">
        <v>476</v>
      </c>
      <c r="B435" s="16">
        <v>0.15</v>
      </c>
      <c r="C435" s="16">
        <v>6.2</v>
      </c>
      <c r="D435" s="28">
        <v>1.3331242999999999</v>
      </c>
      <c r="E435" s="16" t="e">
        <f>NA()</f>
        <v>#N/A</v>
      </c>
      <c r="F435" s="16" t="e">
        <f>NA()</f>
        <v>#N/A</v>
      </c>
      <c r="G435" s="16" t="e">
        <f>NA()</f>
        <v>#N/A</v>
      </c>
      <c r="H435" s="16" t="e">
        <f>NA()</f>
        <v>#N/A</v>
      </c>
      <c r="I435" s="31">
        <v>20</v>
      </c>
      <c r="J435" s="28">
        <v>7.6341974769999998</v>
      </c>
      <c r="K435" s="28">
        <v>1.2313509579999999</v>
      </c>
      <c r="L435" s="29">
        <v>1.2000838330000001</v>
      </c>
      <c r="M435" s="16">
        <v>-22.1</v>
      </c>
      <c r="N435" s="39" t="e">
        <v>#N/A</v>
      </c>
      <c r="O435" s="39" t="e">
        <v>#N/A</v>
      </c>
      <c r="P435" s="39" t="e">
        <v>#N/A</v>
      </c>
      <c r="Q435" s="39" t="e">
        <v>#N/A</v>
      </c>
      <c r="R435" s="15">
        <v>1607990400</v>
      </c>
      <c r="S435" t="s">
        <v>23</v>
      </c>
    </row>
    <row r="436" spans="1:19" x14ac:dyDescent="0.2">
      <c r="A436" s="27" t="s">
        <v>477</v>
      </c>
      <c r="B436" s="16">
        <v>0.09</v>
      </c>
      <c r="C436" s="16">
        <v>6.2</v>
      </c>
      <c r="D436" s="28">
        <v>1.2294532579999999</v>
      </c>
      <c r="E436" s="16" t="e">
        <f>NA()</f>
        <v>#N/A</v>
      </c>
      <c r="F436" s="16" t="e">
        <f>NA()</f>
        <v>#N/A</v>
      </c>
      <c r="G436" s="16" t="e">
        <f>NA()</f>
        <v>#N/A</v>
      </c>
      <c r="H436" s="16" t="e">
        <f>NA()</f>
        <v>#N/A</v>
      </c>
      <c r="I436" s="31">
        <v>30</v>
      </c>
      <c r="J436" s="28">
        <v>8.591731266</v>
      </c>
      <c r="K436" s="28">
        <v>1.1238219380000001</v>
      </c>
      <c r="L436" s="29">
        <v>0.71414655900000001</v>
      </c>
      <c r="M436" s="16">
        <v>-22.5</v>
      </c>
      <c r="N436" s="39" t="e">
        <v>#N/A</v>
      </c>
      <c r="O436" s="39" t="e">
        <v>#N/A</v>
      </c>
      <c r="P436" s="39" t="e">
        <v>#N/A</v>
      </c>
      <c r="Q436" s="39" t="e">
        <v>#N/A</v>
      </c>
      <c r="R436" s="15">
        <v>1607990400</v>
      </c>
      <c r="S436" t="s">
        <v>23</v>
      </c>
    </row>
    <row r="437" spans="1:19" x14ac:dyDescent="0.2">
      <c r="A437" s="27" t="s">
        <v>478</v>
      </c>
      <c r="B437" s="16">
        <v>4.1000000000000002E-2</v>
      </c>
      <c r="C437" s="16">
        <v>6.6</v>
      </c>
      <c r="D437" s="28">
        <v>0.833622101</v>
      </c>
      <c r="E437" s="16" t="e">
        <f>NA()</f>
        <v>#N/A</v>
      </c>
      <c r="F437" s="16" t="e">
        <f>NA()</f>
        <v>#N/A</v>
      </c>
      <c r="G437" s="16" t="e">
        <f>NA()</f>
        <v>#N/A</v>
      </c>
      <c r="H437" s="16" t="e">
        <f>NA()</f>
        <v>#N/A</v>
      </c>
      <c r="I437" s="31">
        <v>40</v>
      </c>
      <c r="J437" s="28">
        <v>7.5057395869999999</v>
      </c>
      <c r="K437" s="28">
        <v>0.77105259699999995</v>
      </c>
      <c r="L437" s="29">
        <v>0.40719454399999999</v>
      </c>
      <c r="M437" s="16">
        <v>-20.7</v>
      </c>
      <c r="N437" s="39" t="e">
        <v>#N/A</v>
      </c>
      <c r="O437" s="39" t="e">
        <v>#N/A</v>
      </c>
      <c r="P437" s="39" t="e">
        <v>#N/A</v>
      </c>
      <c r="Q437" s="39" t="e">
        <v>#N/A</v>
      </c>
      <c r="R437" s="15">
        <v>1607990400</v>
      </c>
      <c r="S437" t="s">
        <v>23</v>
      </c>
    </row>
    <row r="438" spans="1:19" x14ac:dyDescent="0.2">
      <c r="A438" s="27" t="s">
        <v>479</v>
      </c>
      <c r="B438" s="16">
        <v>4.3999999999999997E-2</v>
      </c>
      <c r="C438" s="16">
        <v>4.9000000000000004</v>
      </c>
      <c r="D438" s="28">
        <v>1.1681060700000001</v>
      </c>
      <c r="E438" s="16" t="e">
        <f>NA()</f>
        <v>#N/A</v>
      </c>
      <c r="F438" s="16" t="e">
        <f>NA()</f>
        <v>#N/A</v>
      </c>
      <c r="G438" s="16" t="e">
        <f>NA()</f>
        <v>#N/A</v>
      </c>
      <c r="H438" s="16" t="e">
        <f>NA()</f>
        <v>#N/A</v>
      </c>
      <c r="I438" s="31">
        <v>50</v>
      </c>
      <c r="J438" s="28">
        <v>6.3227679009999997</v>
      </c>
      <c r="K438" s="28">
        <v>1.094249435</v>
      </c>
      <c r="L438" s="29">
        <v>0.74060756599999999</v>
      </c>
      <c r="M438" s="16">
        <v>-7.5</v>
      </c>
      <c r="N438" s="39" t="e">
        <v>#N/A</v>
      </c>
      <c r="O438" s="39" t="e">
        <v>#N/A</v>
      </c>
      <c r="P438" s="39" t="e">
        <v>#N/A</v>
      </c>
      <c r="Q438" s="39" t="e">
        <v>#N/A</v>
      </c>
      <c r="R438" s="15">
        <v>1607990400</v>
      </c>
      <c r="S438" t="s">
        <v>23</v>
      </c>
    </row>
    <row r="439" spans="1:19" x14ac:dyDescent="0.2">
      <c r="A439" s="27" t="s">
        <v>480</v>
      </c>
      <c r="B439" s="16">
        <v>5.0999999999999997E-2</v>
      </c>
      <c r="C439" s="16">
        <v>4.3</v>
      </c>
      <c r="D439" s="28">
        <v>1.5987646470000001</v>
      </c>
      <c r="E439" s="16" t="e">
        <f>NA()</f>
        <v>#N/A</v>
      </c>
      <c r="F439" s="16" t="e">
        <f>NA()</f>
        <v>#N/A</v>
      </c>
      <c r="G439" s="16" t="e">
        <f>NA()</f>
        <v>#N/A</v>
      </c>
      <c r="H439" s="16" t="e">
        <f>NA()</f>
        <v>#N/A</v>
      </c>
      <c r="I439" s="31">
        <v>60</v>
      </c>
      <c r="J439" s="28">
        <v>32.738586470000001</v>
      </c>
      <c r="K439" s="28">
        <v>1.0753516999999999</v>
      </c>
      <c r="L439" s="29">
        <v>2.5451996480000001</v>
      </c>
      <c r="M439" s="16">
        <v>-3</v>
      </c>
      <c r="N439" s="39" t="e">
        <v>#N/A</v>
      </c>
      <c r="O439" s="39" t="e">
        <v>#N/A</v>
      </c>
      <c r="P439" s="39" t="e">
        <v>#N/A</v>
      </c>
      <c r="Q439" s="39" t="e">
        <v>#N/A</v>
      </c>
      <c r="R439" s="15">
        <v>1607990400</v>
      </c>
      <c r="S439" t="s">
        <v>23</v>
      </c>
    </row>
    <row r="440" spans="1:19" x14ac:dyDescent="0.2">
      <c r="A440" s="27" t="s">
        <v>481</v>
      </c>
      <c r="B440" s="16">
        <v>3.4500000000000003E-2</v>
      </c>
      <c r="C440" s="16">
        <v>2.95</v>
      </c>
      <c r="D440" s="28">
        <v>1.8330658879999999</v>
      </c>
      <c r="E440" s="16" t="e">
        <f>NA()</f>
        <v>#N/A</v>
      </c>
      <c r="F440" s="16" t="e">
        <f>NA()</f>
        <v>#N/A</v>
      </c>
      <c r="G440" s="16" t="e">
        <f>NA()</f>
        <v>#N/A</v>
      </c>
      <c r="H440" s="16" t="e">
        <f>NA()</f>
        <v>#N/A</v>
      </c>
      <c r="I440" s="31">
        <v>70</v>
      </c>
      <c r="J440" s="28">
        <v>28.802050390000002</v>
      </c>
      <c r="K440" s="28">
        <v>1.305105328</v>
      </c>
      <c r="L440" s="29">
        <v>3.0586329280000002</v>
      </c>
      <c r="M440" s="16">
        <v>-1.35</v>
      </c>
      <c r="N440" s="39" t="e">
        <v>#N/A</v>
      </c>
      <c r="O440" s="39" t="e">
        <v>#N/A</v>
      </c>
      <c r="P440" s="39" t="e">
        <v>#N/A</v>
      </c>
      <c r="Q440" s="39" t="e">
        <v>#N/A</v>
      </c>
      <c r="R440" s="15">
        <v>1607990400</v>
      </c>
      <c r="S440" t="s">
        <v>23</v>
      </c>
    </row>
    <row r="441" spans="1:19" x14ac:dyDescent="0.2">
      <c r="A441" s="27" t="s">
        <v>482</v>
      </c>
      <c r="B441" s="16">
        <v>3.2000000000000001E-2</v>
      </c>
      <c r="C441" s="16">
        <v>1.4</v>
      </c>
      <c r="D441" s="28">
        <v>1.8307314990000001</v>
      </c>
      <c r="E441" s="16" t="e">
        <f>NA()</f>
        <v>#N/A</v>
      </c>
      <c r="F441" s="16" t="e">
        <f>NA()</f>
        <v>#N/A</v>
      </c>
      <c r="G441" s="16" t="e">
        <f>NA()</f>
        <v>#N/A</v>
      </c>
      <c r="H441" s="16" t="e">
        <f>NA()</f>
        <v>#N/A</v>
      </c>
      <c r="I441" s="31">
        <v>80</v>
      </c>
      <c r="J441" s="28">
        <v>38.330287419999998</v>
      </c>
      <c r="K441" s="28">
        <v>1.1290068529999999</v>
      </c>
      <c r="L441" s="29">
        <v>2.1386378979999998</v>
      </c>
      <c r="M441" s="16">
        <v>-1.2</v>
      </c>
      <c r="N441" s="39" t="e">
        <v>#N/A</v>
      </c>
      <c r="O441" s="39" t="e">
        <v>#N/A</v>
      </c>
      <c r="P441" s="39" t="e">
        <v>#N/A</v>
      </c>
      <c r="Q441" s="39" t="e">
        <v>#N/A</v>
      </c>
      <c r="R441" s="15">
        <v>1607990400</v>
      </c>
      <c r="S441" t="s">
        <v>23</v>
      </c>
    </row>
    <row r="442" spans="1:19" x14ac:dyDescent="0.2">
      <c r="A442" s="27" t="s">
        <v>483</v>
      </c>
      <c r="B442" s="16">
        <v>3.3000000000000002E-2</v>
      </c>
      <c r="C442" s="16">
        <v>1.5</v>
      </c>
      <c r="D442" s="28">
        <v>1.8923710439999999</v>
      </c>
      <c r="E442" s="16" t="e">
        <f>NA()</f>
        <v>#N/A</v>
      </c>
      <c r="F442" s="16" t="e">
        <f>NA()</f>
        <v>#N/A</v>
      </c>
      <c r="G442" s="16" t="e">
        <f>NA()</f>
        <v>#N/A</v>
      </c>
      <c r="H442" s="16" t="e">
        <f>NA()</f>
        <v>#N/A</v>
      </c>
      <c r="I442" s="31">
        <v>90</v>
      </c>
      <c r="J442" s="28">
        <v>16.081804160000001</v>
      </c>
      <c r="K442" s="28">
        <v>1.5880436389999999</v>
      </c>
      <c r="L442" s="29">
        <v>2.0857896330000001</v>
      </c>
      <c r="M442" s="16">
        <v>-1</v>
      </c>
      <c r="N442" s="39" t="e">
        <v>#N/A</v>
      </c>
      <c r="O442" s="39" t="e">
        <v>#N/A</v>
      </c>
      <c r="P442" s="39" t="e">
        <v>#N/A</v>
      </c>
      <c r="Q442" s="39" t="e">
        <v>#N/A</v>
      </c>
      <c r="R442" s="15">
        <v>1607990400</v>
      </c>
      <c r="S442" t="s">
        <v>23</v>
      </c>
    </row>
    <row r="443" spans="1:19" x14ac:dyDescent="0.2">
      <c r="A443" s="27" t="s">
        <v>484</v>
      </c>
      <c r="B443" s="16">
        <v>3.5999999999999997E-2</v>
      </c>
      <c r="C443" s="16">
        <v>1.2</v>
      </c>
      <c r="D443" s="28">
        <v>1.0374711809999999</v>
      </c>
      <c r="E443" s="16" t="e">
        <f>NA()</f>
        <v>#N/A</v>
      </c>
      <c r="F443" s="16" t="e">
        <f>NA()</f>
        <v>#N/A</v>
      </c>
      <c r="G443" s="16" t="e">
        <f>NA()</f>
        <v>#N/A</v>
      </c>
      <c r="H443" s="16" t="e">
        <f>NA()</f>
        <v>#N/A</v>
      </c>
      <c r="I443" s="31">
        <v>100</v>
      </c>
      <c r="J443" s="28">
        <v>21.07303714</v>
      </c>
      <c r="K443" s="28">
        <v>0.81884449400000003</v>
      </c>
      <c r="L443" s="29">
        <v>2.253456329</v>
      </c>
      <c r="M443" s="16">
        <v>-1.3</v>
      </c>
      <c r="N443" s="39" t="e">
        <v>#N/A</v>
      </c>
      <c r="O443" s="39" t="e">
        <v>#N/A</v>
      </c>
      <c r="P443" s="39" t="e">
        <v>#N/A</v>
      </c>
      <c r="Q443" s="39" t="e">
        <v>#N/A</v>
      </c>
      <c r="R443" s="15">
        <v>1607990400</v>
      </c>
      <c r="S443" t="s">
        <v>23</v>
      </c>
    </row>
    <row r="444" spans="1:19" x14ac:dyDescent="0.2">
      <c r="A444" s="27" t="s">
        <v>485</v>
      </c>
      <c r="B444" s="16">
        <v>0.19</v>
      </c>
      <c r="C444" s="16">
        <v>5.2</v>
      </c>
      <c r="D444" s="28">
        <v>1.2427617200000001</v>
      </c>
      <c r="E444" s="16" t="e">
        <f>NA()</f>
        <v>#N/A</v>
      </c>
      <c r="F444" s="16" t="e">
        <f>NA()</f>
        <v>#N/A</v>
      </c>
      <c r="G444" s="16" t="e">
        <f>NA()</f>
        <v>#N/A</v>
      </c>
      <c r="H444" s="16" t="e">
        <f>NA()</f>
        <v>#N/A</v>
      </c>
      <c r="I444" s="31">
        <v>10</v>
      </c>
      <c r="J444" s="28">
        <v>10.86233835</v>
      </c>
      <c r="K444" s="28">
        <v>1.107768737</v>
      </c>
      <c r="L444" s="29">
        <v>1.6166150429999999</v>
      </c>
      <c r="M444" s="16">
        <v>-21</v>
      </c>
      <c r="N444" s="39" t="e">
        <v>#N/A</v>
      </c>
      <c r="O444" s="39" t="e">
        <v>#N/A</v>
      </c>
      <c r="P444" s="39" t="e">
        <v>#N/A</v>
      </c>
      <c r="Q444" s="39" t="e">
        <v>#N/A</v>
      </c>
      <c r="R444" s="15">
        <v>1607990400</v>
      </c>
      <c r="S444" t="s">
        <v>23</v>
      </c>
    </row>
    <row r="445" spans="1:19" x14ac:dyDescent="0.2">
      <c r="A445" s="27" t="s">
        <v>486</v>
      </c>
      <c r="B445" s="16">
        <v>0.12</v>
      </c>
      <c r="C445" s="16">
        <v>6</v>
      </c>
      <c r="D445" s="28">
        <v>1.4630633420000001</v>
      </c>
      <c r="E445" s="16" t="e">
        <f>NA()</f>
        <v>#N/A</v>
      </c>
      <c r="F445" s="16" t="e">
        <f>NA()</f>
        <v>#N/A</v>
      </c>
      <c r="G445" s="16" t="e">
        <f>NA()</f>
        <v>#N/A</v>
      </c>
      <c r="H445" s="16" t="e">
        <f>NA()</f>
        <v>#N/A</v>
      </c>
      <c r="I445" s="31">
        <v>20</v>
      </c>
      <c r="J445" s="28">
        <v>15.804792539999999</v>
      </c>
      <c r="K445" s="28">
        <v>1.2318292159999999</v>
      </c>
      <c r="L445" s="29">
        <v>0.91718813799999999</v>
      </c>
      <c r="M445" s="16">
        <v>-22.2</v>
      </c>
      <c r="N445" s="39" t="e">
        <v>#N/A</v>
      </c>
      <c r="O445" s="39" t="e">
        <v>#N/A</v>
      </c>
      <c r="P445" s="39" t="e">
        <v>#N/A</v>
      </c>
      <c r="Q445" s="39" t="e">
        <v>#N/A</v>
      </c>
      <c r="R445" s="15">
        <v>1607990400</v>
      </c>
      <c r="S445" t="s">
        <v>23</v>
      </c>
    </row>
    <row r="446" spans="1:19" x14ac:dyDescent="0.2">
      <c r="A446" s="27" t="s">
        <v>487</v>
      </c>
      <c r="B446" s="16">
        <v>6.9000000000000006E-2</v>
      </c>
      <c r="C446" s="16">
        <v>6</v>
      </c>
      <c r="D446" s="28">
        <v>1.6023156540000001</v>
      </c>
      <c r="E446" s="16" t="e">
        <f>NA()</f>
        <v>#N/A</v>
      </c>
      <c r="F446" s="16" t="e">
        <f>NA()</f>
        <v>#N/A</v>
      </c>
      <c r="G446" s="16" t="e">
        <f>NA()</f>
        <v>#N/A</v>
      </c>
      <c r="H446" s="16" t="e">
        <f>NA()</f>
        <v>#N/A</v>
      </c>
      <c r="I446" s="31">
        <v>30</v>
      </c>
      <c r="J446" s="28">
        <v>15.438330669999999</v>
      </c>
      <c r="K446" s="28">
        <v>1.354944865</v>
      </c>
      <c r="L446" s="29">
        <v>0.48637765500000002</v>
      </c>
      <c r="M446" s="16">
        <v>-22.1</v>
      </c>
      <c r="N446" s="39" t="e">
        <v>#N/A</v>
      </c>
      <c r="O446" s="39" t="e">
        <v>#N/A</v>
      </c>
      <c r="P446" s="39" t="e">
        <v>#N/A</v>
      </c>
      <c r="Q446" s="39" t="e">
        <v>#N/A</v>
      </c>
      <c r="R446" s="15">
        <v>1607990400</v>
      </c>
      <c r="S446" t="s">
        <v>23</v>
      </c>
    </row>
    <row r="447" spans="1:19" x14ac:dyDescent="0.2">
      <c r="A447" s="27" t="s">
        <v>488</v>
      </c>
      <c r="B447" s="16">
        <v>5.3999999999999999E-2</v>
      </c>
      <c r="C447" s="16">
        <v>5.6</v>
      </c>
      <c r="D447" s="28">
        <v>1.485625594</v>
      </c>
      <c r="E447" s="16" t="e">
        <f>NA()</f>
        <v>#N/A</v>
      </c>
      <c r="F447" s="16" t="e">
        <f>NA()</f>
        <v>#N/A</v>
      </c>
      <c r="G447" s="16" t="e">
        <f>NA()</f>
        <v>#N/A</v>
      </c>
      <c r="H447" s="16" t="e">
        <f>NA()</f>
        <v>#N/A</v>
      </c>
      <c r="I447" s="31">
        <v>40</v>
      </c>
      <c r="J447" s="28">
        <v>6.2906760249999998</v>
      </c>
      <c r="K447" s="28">
        <v>1.392169701</v>
      </c>
      <c r="L447" s="29">
        <v>0.35819452899999998</v>
      </c>
      <c r="M447" s="16">
        <v>-20.5</v>
      </c>
      <c r="N447" s="39" t="e">
        <v>#N/A</v>
      </c>
      <c r="O447" s="39" t="e">
        <v>#N/A</v>
      </c>
      <c r="P447" s="39" t="e">
        <v>#N/A</v>
      </c>
      <c r="Q447" s="39" t="e">
        <v>#N/A</v>
      </c>
      <c r="R447" s="15">
        <v>1607990400</v>
      </c>
      <c r="S447" t="s">
        <v>23</v>
      </c>
    </row>
    <row r="448" spans="1:19" x14ac:dyDescent="0.2">
      <c r="A448" s="27" t="s">
        <v>489</v>
      </c>
      <c r="B448" s="16">
        <v>5.0999999999999997E-2</v>
      </c>
      <c r="C448" s="16">
        <v>4.5</v>
      </c>
      <c r="D448" s="28">
        <v>1.436687657</v>
      </c>
      <c r="E448" s="16" t="e">
        <f>NA()</f>
        <v>#N/A</v>
      </c>
      <c r="F448" s="16" t="e">
        <f>NA()</f>
        <v>#N/A</v>
      </c>
      <c r="G448" s="16" t="e">
        <f>NA()</f>
        <v>#N/A</v>
      </c>
      <c r="H448" s="16" t="e">
        <f>NA()</f>
        <v>#N/A</v>
      </c>
      <c r="I448" s="31">
        <v>50</v>
      </c>
      <c r="J448" s="28">
        <v>4.6754269400000004</v>
      </c>
      <c r="K448" s="28">
        <v>1.3695163749999999</v>
      </c>
      <c r="L448" s="29">
        <v>0.36266826499999999</v>
      </c>
      <c r="M448" s="16">
        <v>-15</v>
      </c>
      <c r="N448" s="39" t="e">
        <v>#N/A</v>
      </c>
      <c r="O448" s="39" t="e">
        <v>#N/A</v>
      </c>
      <c r="P448" s="39" t="e">
        <v>#N/A</v>
      </c>
      <c r="Q448" s="39" t="e">
        <v>#N/A</v>
      </c>
      <c r="R448" s="15">
        <v>1607990400</v>
      </c>
      <c r="S448" t="s">
        <v>23</v>
      </c>
    </row>
    <row r="449" spans="1:19" x14ac:dyDescent="0.2">
      <c r="A449" s="27" t="s">
        <v>490</v>
      </c>
      <c r="B449" s="16">
        <v>5.1999999999999998E-2</v>
      </c>
      <c r="C449" s="16">
        <v>4.8</v>
      </c>
      <c r="D449" s="28">
        <v>1.342364382</v>
      </c>
      <c r="E449" s="16" t="e">
        <f>NA()</f>
        <v>#N/A</v>
      </c>
      <c r="F449" s="16" t="e">
        <f>NA()</f>
        <v>#N/A</v>
      </c>
      <c r="G449" s="16" t="e">
        <f>NA()</f>
        <v>#N/A</v>
      </c>
      <c r="H449" s="16" t="e">
        <f>NA()</f>
        <v>#N/A</v>
      </c>
      <c r="I449" s="31">
        <v>60</v>
      </c>
      <c r="J449" s="28">
        <v>4.4730493410000003</v>
      </c>
      <c r="K449" s="28">
        <v>1.2823197609999999</v>
      </c>
      <c r="L449" s="29">
        <v>0.92956639600000002</v>
      </c>
      <c r="M449" s="16">
        <v>-7.6</v>
      </c>
      <c r="N449" s="39" t="e">
        <v>#N/A</v>
      </c>
      <c r="O449" s="39" t="e">
        <v>#N/A</v>
      </c>
      <c r="P449" s="39" t="e">
        <v>#N/A</v>
      </c>
      <c r="Q449" s="39" t="e">
        <v>#N/A</v>
      </c>
      <c r="R449" s="15">
        <v>1607990400</v>
      </c>
      <c r="S449" t="s">
        <v>23</v>
      </c>
    </row>
    <row r="450" spans="1:19" x14ac:dyDescent="0.2">
      <c r="A450" s="27" t="s">
        <v>491</v>
      </c>
      <c r="B450" s="16">
        <v>4.2000000000000003E-2</v>
      </c>
      <c r="C450" s="16">
        <v>4.2</v>
      </c>
      <c r="D450" s="28">
        <v>0.981136656</v>
      </c>
      <c r="E450" s="16" t="e">
        <f>NA()</f>
        <v>#N/A</v>
      </c>
      <c r="F450" s="16" t="e">
        <f>NA()</f>
        <v>#N/A</v>
      </c>
      <c r="G450" s="16" t="e">
        <f>NA()</f>
        <v>#N/A</v>
      </c>
      <c r="H450" s="16" t="e">
        <f>NA()</f>
        <v>#N/A</v>
      </c>
      <c r="I450" s="31">
        <v>70</v>
      </c>
      <c r="J450" s="28">
        <v>8.0760644890000002</v>
      </c>
      <c r="K450" s="28">
        <v>0.90189942700000003</v>
      </c>
      <c r="L450" s="29">
        <v>5.1404327859999999</v>
      </c>
      <c r="M450" s="16">
        <v>-0.2</v>
      </c>
      <c r="N450" s="39" t="e">
        <v>#N/A</v>
      </c>
      <c r="O450" s="39" t="e">
        <v>#N/A</v>
      </c>
      <c r="P450" s="39" t="e">
        <v>#N/A</v>
      </c>
      <c r="Q450" s="39" t="e">
        <v>#N/A</v>
      </c>
      <c r="R450" s="15">
        <v>1607990400</v>
      </c>
      <c r="S450" t="s">
        <v>23</v>
      </c>
    </row>
    <row r="451" spans="1:19" x14ac:dyDescent="0.2">
      <c r="A451" s="27" t="s">
        <v>492</v>
      </c>
      <c r="B451" s="16">
        <v>4.2000000000000003E-2</v>
      </c>
      <c r="C451" s="16">
        <v>2.6</v>
      </c>
      <c r="D451" s="28">
        <v>1.583011999</v>
      </c>
      <c r="E451" s="16" t="e">
        <f>NA()</f>
        <v>#N/A</v>
      </c>
      <c r="F451" s="16" t="e">
        <f>NA()</f>
        <v>#N/A</v>
      </c>
      <c r="G451" s="16" t="e">
        <f>NA()</f>
        <v>#N/A</v>
      </c>
      <c r="H451" s="16" t="e">
        <f>NA()</f>
        <v>#N/A</v>
      </c>
      <c r="I451" s="31">
        <v>80</v>
      </c>
      <c r="J451" s="28">
        <v>15.99514205</v>
      </c>
      <c r="K451" s="28">
        <v>1.3298069809999999</v>
      </c>
      <c r="L451" s="29">
        <v>1.9465474030000001</v>
      </c>
      <c r="M451" s="16">
        <v>-2.1</v>
      </c>
      <c r="N451" s="39" t="e">
        <v>#N/A</v>
      </c>
      <c r="O451" s="39" t="e">
        <v>#N/A</v>
      </c>
      <c r="P451" s="39" t="e">
        <v>#N/A</v>
      </c>
      <c r="Q451" s="39" t="e">
        <v>#N/A</v>
      </c>
      <c r="R451" s="15">
        <v>1607990400</v>
      </c>
      <c r="S451" t="s">
        <v>23</v>
      </c>
    </row>
    <row r="452" spans="1:19" x14ac:dyDescent="0.2">
      <c r="A452" s="27" t="s">
        <v>493</v>
      </c>
      <c r="B452" s="16">
        <v>3.5999999999999997E-2</v>
      </c>
      <c r="C452" s="16">
        <v>1.5</v>
      </c>
      <c r="D452" s="28">
        <v>1.5076813609999999</v>
      </c>
      <c r="E452" s="16" t="e">
        <f>NA()</f>
        <v>#N/A</v>
      </c>
      <c r="F452" s="16" t="e">
        <f>NA()</f>
        <v>#N/A</v>
      </c>
      <c r="G452" s="16" t="e">
        <f>NA()</f>
        <v>#N/A</v>
      </c>
      <c r="H452" s="16" t="e">
        <f>NA()</f>
        <v>#N/A</v>
      </c>
      <c r="I452" s="31">
        <v>90</v>
      </c>
      <c r="J452" s="28">
        <v>21.627810499999999</v>
      </c>
      <c r="K452" s="28">
        <v>1.181602893</v>
      </c>
      <c r="L452" s="29">
        <v>2.0734761690000001</v>
      </c>
      <c r="M452" s="16">
        <v>-1.3</v>
      </c>
      <c r="N452" s="39" t="e">
        <v>#N/A</v>
      </c>
      <c r="O452" s="39" t="e">
        <v>#N/A</v>
      </c>
      <c r="P452" s="39" t="e">
        <v>#N/A</v>
      </c>
      <c r="Q452" s="39" t="e">
        <v>#N/A</v>
      </c>
      <c r="R452" s="15">
        <v>1607990400</v>
      </c>
      <c r="S452" t="s">
        <v>23</v>
      </c>
    </row>
    <row r="453" spans="1:19" x14ac:dyDescent="0.2">
      <c r="A453" s="27" t="s">
        <v>494</v>
      </c>
      <c r="B453" s="16">
        <v>0.17</v>
      </c>
      <c r="C453" s="16">
        <v>6</v>
      </c>
      <c r="D453" s="28">
        <v>1.3175183779999999</v>
      </c>
      <c r="E453" s="16" t="e">
        <f>NA()</f>
        <v>#N/A</v>
      </c>
      <c r="F453" s="16" t="e">
        <f>NA()</f>
        <v>#N/A</v>
      </c>
      <c r="G453" s="16" t="e">
        <f>NA()</f>
        <v>#N/A</v>
      </c>
      <c r="H453" s="16" t="e">
        <f>NA()</f>
        <v>#N/A</v>
      </c>
      <c r="I453" s="31">
        <v>10</v>
      </c>
      <c r="J453" s="28">
        <v>16.86764827</v>
      </c>
      <c r="K453" s="28">
        <v>1.095284012</v>
      </c>
      <c r="L453" s="29">
        <v>1.388890771</v>
      </c>
      <c r="M453" s="16">
        <v>-22.7</v>
      </c>
      <c r="N453" s="39" t="e">
        <v>#N/A</v>
      </c>
      <c r="O453" s="39" t="e">
        <v>#N/A</v>
      </c>
      <c r="P453" s="39" t="e">
        <v>#N/A</v>
      </c>
      <c r="Q453" s="39" t="e">
        <v>#N/A</v>
      </c>
      <c r="R453" s="15">
        <v>1607990400</v>
      </c>
      <c r="S453" t="s">
        <v>23</v>
      </c>
    </row>
    <row r="454" spans="1:19" x14ac:dyDescent="0.2">
      <c r="A454" s="27" t="s">
        <v>495</v>
      </c>
      <c r="B454" s="16">
        <v>0.16</v>
      </c>
      <c r="C454" s="16">
        <v>6.3</v>
      </c>
      <c r="D454" s="28">
        <v>1.6574815570000001</v>
      </c>
      <c r="E454" s="16" t="e">
        <f>NA()</f>
        <v>#N/A</v>
      </c>
      <c r="F454" s="16" t="e">
        <f>NA()</f>
        <v>#N/A</v>
      </c>
      <c r="G454" s="16" t="e">
        <f>NA()</f>
        <v>#N/A</v>
      </c>
      <c r="H454" s="16" t="e">
        <f>NA()</f>
        <v>#N/A</v>
      </c>
      <c r="I454" s="31">
        <v>20</v>
      </c>
      <c r="J454" s="28">
        <v>13.52683371</v>
      </c>
      <c r="K454" s="28">
        <v>1.4332767829999999</v>
      </c>
      <c r="L454" s="29">
        <v>1.280151721</v>
      </c>
      <c r="M454" s="16">
        <v>-23</v>
      </c>
      <c r="N454" s="39" t="e">
        <v>#N/A</v>
      </c>
      <c r="O454" s="39" t="e">
        <v>#N/A</v>
      </c>
      <c r="P454" s="39" t="e">
        <v>#N/A</v>
      </c>
      <c r="Q454" s="39" t="e">
        <v>#N/A</v>
      </c>
      <c r="R454" s="15">
        <v>1607990400</v>
      </c>
      <c r="S454" t="s">
        <v>23</v>
      </c>
    </row>
    <row r="455" spans="1:19" x14ac:dyDescent="0.2">
      <c r="A455" s="27" t="s">
        <v>496</v>
      </c>
      <c r="B455" s="16">
        <v>7.3999999999999996E-2</v>
      </c>
      <c r="C455" s="16">
        <v>6.4</v>
      </c>
      <c r="D455" s="28">
        <v>1.5479226509999999</v>
      </c>
      <c r="E455" s="16" t="e">
        <f>NA()</f>
        <v>#N/A</v>
      </c>
      <c r="F455" s="16" t="e">
        <f>NA()</f>
        <v>#N/A</v>
      </c>
      <c r="G455" s="16" t="e">
        <f>NA()</f>
        <v>#N/A</v>
      </c>
      <c r="H455" s="16" t="e">
        <f>NA()</f>
        <v>#N/A</v>
      </c>
      <c r="I455" s="31">
        <v>30</v>
      </c>
      <c r="J455" s="28">
        <v>11.313592740000001</v>
      </c>
      <c r="K455" s="28">
        <v>1.372796986</v>
      </c>
      <c r="L455" s="29">
        <v>0.41866474100000001</v>
      </c>
      <c r="M455" s="16">
        <v>-22.2</v>
      </c>
      <c r="N455" s="39" t="e">
        <v>#N/A</v>
      </c>
      <c r="O455" s="39" t="e">
        <v>#N/A</v>
      </c>
      <c r="P455" s="39" t="e">
        <v>#N/A</v>
      </c>
      <c r="Q455" s="39" t="e">
        <v>#N/A</v>
      </c>
      <c r="R455" s="15">
        <v>1607990400</v>
      </c>
      <c r="S455" t="s">
        <v>23</v>
      </c>
    </row>
    <row r="456" spans="1:19" x14ac:dyDescent="0.2">
      <c r="A456" s="27" t="s">
        <v>497</v>
      </c>
      <c r="B456" s="16">
        <v>5.5E-2</v>
      </c>
      <c r="C456" s="16">
        <v>5.8</v>
      </c>
      <c r="D456" s="28">
        <v>1.566337095</v>
      </c>
      <c r="E456" s="16" t="e">
        <f>NA()</f>
        <v>#N/A</v>
      </c>
      <c r="F456" s="16" t="e">
        <f>NA()</f>
        <v>#N/A</v>
      </c>
      <c r="G456" s="16" t="e">
        <f>NA()</f>
        <v>#N/A</v>
      </c>
      <c r="H456" s="16" t="e">
        <f>NA()</f>
        <v>#N/A</v>
      </c>
      <c r="I456" s="31">
        <v>40</v>
      </c>
      <c r="J456" s="28">
        <v>13.32146859</v>
      </c>
      <c r="K456" s="28">
        <v>1.3576779910000001</v>
      </c>
      <c r="L456" s="29">
        <v>0.238874114</v>
      </c>
      <c r="M456" s="16">
        <v>-23</v>
      </c>
      <c r="N456" s="39" t="e">
        <v>#N/A</v>
      </c>
      <c r="O456" s="39" t="e">
        <v>#N/A</v>
      </c>
      <c r="P456" s="39" t="e">
        <v>#N/A</v>
      </c>
      <c r="Q456" s="39" t="e">
        <v>#N/A</v>
      </c>
      <c r="R456" s="15">
        <v>1607990400</v>
      </c>
      <c r="S456" t="s">
        <v>23</v>
      </c>
    </row>
    <row r="457" spans="1:19" x14ac:dyDescent="0.2">
      <c r="A457" s="27" t="s">
        <v>498</v>
      </c>
      <c r="B457" s="16">
        <v>4.3999999999999997E-2</v>
      </c>
      <c r="C457" s="16">
        <v>4.4000000000000004</v>
      </c>
      <c r="D457" s="28">
        <v>1.9306238389999999</v>
      </c>
      <c r="E457" s="16" t="e">
        <f>NA()</f>
        <v>#N/A</v>
      </c>
      <c r="F457" s="16" t="e">
        <f>NA()</f>
        <v>#N/A</v>
      </c>
      <c r="G457" s="16" t="e">
        <f>NA()</f>
        <v>#N/A</v>
      </c>
      <c r="H457" s="16" t="e">
        <f>NA()</f>
        <v>#N/A</v>
      </c>
      <c r="I457" s="31">
        <v>50</v>
      </c>
      <c r="J457" s="28">
        <v>9.8523875570000001</v>
      </c>
      <c r="K457" s="28">
        <v>1.740411296</v>
      </c>
      <c r="L457" s="29">
        <v>0.13016793900000001</v>
      </c>
      <c r="M457" s="16">
        <v>-22.5</v>
      </c>
      <c r="N457" s="39" t="e">
        <v>#N/A</v>
      </c>
      <c r="O457" s="39" t="e">
        <v>#N/A</v>
      </c>
      <c r="P457" s="39" t="e">
        <v>#N/A</v>
      </c>
      <c r="Q457" s="39" t="e">
        <v>#N/A</v>
      </c>
      <c r="R457" s="15">
        <v>1607990400</v>
      </c>
      <c r="S457" t="s">
        <v>23</v>
      </c>
    </row>
    <row r="458" spans="1:19" x14ac:dyDescent="0.2">
      <c r="A458" s="27" t="s">
        <v>499</v>
      </c>
      <c r="B458" s="16">
        <v>4.3999999999999997E-2</v>
      </c>
      <c r="C458" s="16">
        <v>4.5999999999999996</v>
      </c>
      <c r="D458" s="28">
        <v>1.7556310580000001</v>
      </c>
      <c r="E458" s="16" t="e">
        <f>NA()</f>
        <v>#N/A</v>
      </c>
      <c r="F458" s="16" t="e">
        <f>NA()</f>
        <v>#N/A</v>
      </c>
      <c r="G458" s="16" t="e">
        <f>NA()</f>
        <v>#N/A</v>
      </c>
      <c r="H458" s="16" t="e">
        <f>NA()</f>
        <v>#N/A</v>
      </c>
      <c r="I458" s="31">
        <v>60</v>
      </c>
      <c r="J458" s="28">
        <v>12.329421849999999</v>
      </c>
      <c r="K458" s="28">
        <v>1.5391718990000001</v>
      </c>
      <c r="L458" s="29">
        <v>0.13622487799999999</v>
      </c>
      <c r="M458" s="16">
        <v>-23.8</v>
      </c>
      <c r="N458" s="39" t="e">
        <v>#N/A</v>
      </c>
      <c r="O458" s="39" t="e">
        <v>#N/A</v>
      </c>
      <c r="P458" s="39" t="e">
        <v>#N/A</v>
      </c>
      <c r="Q458" s="39" t="e">
        <v>#N/A</v>
      </c>
      <c r="R458" s="15">
        <v>1607990400</v>
      </c>
      <c r="S458" t="s">
        <v>23</v>
      </c>
    </row>
    <row r="459" spans="1:19" x14ac:dyDescent="0.2">
      <c r="A459" s="27" t="s">
        <v>500</v>
      </c>
      <c r="B459" s="16">
        <v>4.4999999999999998E-2</v>
      </c>
      <c r="C459" s="16">
        <v>4.3</v>
      </c>
      <c r="D459" s="28">
        <v>1.8302268820000001</v>
      </c>
      <c r="E459" s="16" t="e">
        <f>NA()</f>
        <v>#N/A</v>
      </c>
      <c r="F459" s="16" t="e">
        <f>NA()</f>
        <v>#N/A</v>
      </c>
      <c r="G459" s="16" t="e">
        <f>NA()</f>
        <v>#N/A</v>
      </c>
      <c r="H459" s="16" t="e">
        <f>NA()</f>
        <v>#N/A</v>
      </c>
      <c r="I459" s="31">
        <v>70</v>
      </c>
      <c r="J459" s="28">
        <v>17.762830919999999</v>
      </c>
      <c r="K459" s="28">
        <v>1.505126776</v>
      </c>
      <c r="L459" s="29">
        <v>0.143663915</v>
      </c>
      <c r="M459" s="16">
        <v>-23.7</v>
      </c>
      <c r="N459" s="39" t="e">
        <v>#N/A</v>
      </c>
      <c r="O459" s="39" t="e">
        <v>#N/A</v>
      </c>
      <c r="P459" s="39" t="e">
        <v>#N/A</v>
      </c>
      <c r="Q459" s="39" t="e">
        <v>#N/A</v>
      </c>
      <c r="R459" s="15">
        <v>1607990400</v>
      </c>
      <c r="S459" t="s">
        <v>23</v>
      </c>
    </row>
    <row r="460" spans="1:19" x14ac:dyDescent="0.2">
      <c r="A460" s="27" t="s">
        <v>501</v>
      </c>
      <c r="B460" s="16">
        <v>4.4499999999999998E-2</v>
      </c>
      <c r="C460" s="16">
        <v>4.3499999999999996</v>
      </c>
      <c r="D460" s="28">
        <v>1.5674401069999999</v>
      </c>
      <c r="E460" s="16" t="e">
        <f>NA()</f>
        <v>#N/A</v>
      </c>
      <c r="F460" s="16" t="e">
        <f>NA()</f>
        <v>#N/A</v>
      </c>
      <c r="G460" s="16" t="e">
        <f>NA()</f>
        <v>#N/A</v>
      </c>
      <c r="H460" s="16" t="e">
        <f>NA()</f>
        <v>#N/A</v>
      </c>
      <c r="I460" s="31">
        <v>80</v>
      </c>
      <c r="J460" s="28">
        <v>10.383221989999999</v>
      </c>
      <c r="K460" s="28">
        <v>1.404689321</v>
      </c>
      <c r="L460" s="29">
        <v>0.14393250099999999</v>
      </c>
      <c r="M460" s="16">
        <v>-23.7</v>
      </c>
      <c r="N460" s="39" t="e">
        <v>#N/A</v>
      </c>
      <c r="O460" s="39" t="e">
        <v>#N/A</v>
      </c>
      <c r="P460" s="39" t="e">
        <v>#N/A</v>
      </c>
      <c r="Q460" s="39" t="e">
        <v>#N/A</v>
      </c>
      <c r="R460" s="15">
        <v>1607990400</v>
      </c>
      <c r="S460" t="s">
        <v>23</v>
      </c>
    </row>
    <row r="461" spans="1:19" x14ac:dyDescent="0.2">
      <c r="A461" s="27" t="s">
        <v>502</v>
      </c>
      <c r="B461" s="16">
        <v>4.9000000000000002E-2</v>
      </c>
      <c r="C461" s="16">
        <v>5.4</v>
      </c>
      <c r="D461" s="28">
        <v>1.68610488</v>
      </c>
      <c r="E461" s="16" t="e">
        <f>NA()</f>
        <v>#N/A</v>
      </c>
      <c r="F461" s="16" t="e">
        <f>NA()</f>
        <v>#N/A</v>
      </c>
      <c r="G461" s="16" t="e">
        <f>NA()</f>
        <v>#N/A</v>
      </c>
      <c r="H461" s="16" t="e">
        <f>NA()</f>
        <v>#N/A</v>
      </c>
      <c r="I461" s="31">
        <v>90</v>
      </c>
      <c r="J461" s="28">
        <v>30.385438969999999</v>
      </c>
      <c r="K461" s="28">
        <v>1.173774511</v>
      </c>
      <c r="L461" s="29">
        <v>0.19695116900000001</v>
      </c>
      <c r="M461" s="16">
        <v>-23.2</v>
      </c>
      <c r="N461" s="39" t="e">
        <v>#N/A</v>
      </c>
      <c r="O461" s="39" t="e">
        <v>#N/A</v>
      </c>
      <c r="P461" s="39" t="e">
        <v>#N/A</v>
      </c>
      <c r="Q461" s="39" t="e">
        <v>#N/A</v>
      </c>
      <c r="R461" s="15">
        <v>1607990400</v>
      </c>
      <c r="S461" t="s">
        <v>23</v>
      </c>
    </row>
    <row r="462" spans="1:19" x14ac:dyDescent="0.2">
      <c r="A462" s="27" t="s">
        <v>503</v>
      </c>
      <c r="B462" s="16">
        <v>4.2999999999999997E-2</v>
      </c>
      <c r="C462" s="16">
        <v>4.4000000000000004</v>
      </c>
      <c r="D462" s="28">
        <v>1.7683465089999999</v>
      </c>
      <c r="E462" s="16" t="e">
        <f>NA()</f>
        <v>#N/A</v>
      </c>
      <c r="F462" s="16" t="e">
        <f>NA()</f>
        <v>#N/A</v>
      </c>
      <c r="G462" s="16" t="e">
        <f>NA()</f>
        <v>#N/A</v>
      </c>
      <c r="H462" s="16" t="e">
        <f>NA()</f>
        <v>#N/A</v>
      </c>
      <c r="I462" s="31">
        <v>100</v>
      </c>
      <c r="J462" s="28">
        <v>20.328866229999999</v>
      </c>
      <c r="K462" s="28">
        <v>1.4088617130000001</v>
      </c>
      <c r="L462" s="29">
        <v>0.14706570199999999</v>
      </c>
      <c r="M462" s="16">
        <v>-23.4</v>
      </c>
      <c r="N462" s="39" t="e">
        <v>#N/A</v>
      </c>
      <c r="O462" s="39" t="e">
        <v>#N/A</v>
      </c>
      <c r="P462" s="39" t="e">
        <v>#N/A</v>
      </c>
      <c r="Q462" s="39" t="e">
        <v>#N/A</v>
      </c>
      <c r="R462" s="15">
        <v>1607990400</v>
      </c>
      <c r="S462" t="s">
        <v>23</v>
      </c>
    </row>
    <row r="463" spans="1:19" x14ac:dyDescent="0.2">
      <c r="A463" s="27" t="s">
        <v>504</v>
      </c>
      <c r="B463" s="16">
        <v>4.4999999999999998E-2</v>
      </c>
      <c r="C463" s="16">
        <v>3.4</v>
      </c>
      <c r="D463" s="28">
        <v>1.692291054</v>
      </c>
      <c r="E463" s="16" t="e">
        <f>NA()</f>
        <v>#N/A</v>
      </c>
      <c r="F463" s="16" t="e">
        <f>NA()</f>
        <v>#N/A</v>
      </c>
      <c r="G463" s="16" t="e">
        <f>NA()</f>
        <v>#N/A</v>
      </c>
      <c r="H463" s="16" t="e">
        <f>NA()</f>
        <v>#N/A</v>
      </c>
      <c r="I463" s="31">
        <v>110</v>
      </c>
      <c r="J463" s="28">
        <v>10.57539156</v>
      </c>
      <c r="K463" s="28">
        <v>1.5133246490000001</v>
      </c>
      <c r="L463" s="29">
        <v>0.13178067399999999</v>
      </c>
      <c r="M463" s="16">
        <v>-23.7</v>
      </c>
      <c r="N463" s="39" t="e">
        <v>#N/A</v>
      </c>
      <c r="O463" s="39" t="e">
        <v>#N/A</v>
      </c>
      <c r="P463" s="39" t="e">
        <v>#N/A</v>
      </c>
      <c r="Q463" s="39" t="e">
        <v>#N/A</v>
      </c>
      <c r="R463" s="15">
        <v>1607990400</v>
      </c>
      <c r="S463" t="s">
        <v>23</v>
      </c>
    </row>
    <row r="464" spans="1:19" x14ac:dyDescent="0.2">
      <c r="A464" s="27" t="s">
        <v>505</v>
      </c>
      <c r="B464" s="16">
        <v>4.2999999999999997E-2</v>
      </c>
      <c r="C464" s="16">
        <v>3.3</v>
      </c>
      <c r="D464" s="28">
        <v>1.6767343290000001</v>
      </c>
      <c r="E464" s="16" t="e">
        <f>NA()</f>
        <v>#N/A</v>
      </c>
      <c r="F464" s="16" t="e">
        <f>NA()</f>
        <v>#N/A</v>
      </c>
      <c r="G464" s="16" t="e">
        <f>NA()</f>
        <v>#N/A</v>
      </c>
      <c r="H464" s="16" t="e">
        <f>NA()</f>
        <v>#N/A</v>
      </c>
      <c r="I464" s="31">
        <v>119</v>
      </c>
      <c r="J464" s="28">
        <v>24.720536039999999</v>
      </c>
      <c r="K464" s="28">
        <v>1.262236615</v>
      </c>
      <c r="L464" s="29">
        <v>0.122543412</v>
      </c>
      <c r="M464" s="16">
        <v>-22.9</v>
      </c>
      <c r="N464" s="39" t="e">
        <v>#N/A</v>
      </c>
      <c r="O464" s="39" t="e">
        <v>#N/A</v>
      </c>
      <c r="P464" s="39" t="e">
        <v>#N/A</v>
      </c>
      <c r="Q464" s="39" t="e">
        <v>#N/A</v>
      </c>
      <c r="R464" s="15">
        <v>1607990400</v>
      </c>
      <c r="S464" t="s">
        <v>23</v>
      </c>
    </row>
    <row r="465" spans="1:19" x14ac:dyDescent="0.2">
      <c r="A465" s="27" t="s">
        <v>506</v>
      </c>
      <c r="B465" s="16">
        <v>0.15</v>
      </c>
      <c r="C465" s="16">
        <v>5.6</v>
      </c>
      <c r="D465" s="28">
        <v>1.4366559169999999</v>
      </c>
      <c r="E465" s="16" t="e">
        <f>NA()</f>
        <v>#N/A</v>
      </c>
      <c r="F465" s="16" t="e">
        <f>NA()</f>
        <v>#N/A</v>
      </c>
      <c r="G465" s="16" t="e">
        <f>NA()</f>
        <v>#N/A</v>
      </c>
      <c r="H465" s="16" t="e">
        <f>NA()</f>
        <v>#N/A</v>
      </c>
      <c r="I465" s="31">
        <v>10</v>
      </c>
      <c r="J465" s="28">
        <v>10.76486785</v>
      </c>
      <c r="K465" s="28">
        <v>1.282001806</v>
      </c>
      <c r="L465" s="29">
        <v>1.257469138</v>
      </c>
      <c r="M465" s="16">
        <v>-23.8</v>
      </c>
      <c r="N465" s="39" t="e">
        <v>#N/A</v>
      </c>
      <c r="O465" s="39" t="e">
        <v>#N/A</v>
      </c>
      <c r="P465" s="39" t="e">
        <v>#N/A</v>
      </c>
      <c r="Q465" s="39" t="e">
        <v>#N/A</v>
      </c>
      <c r="R465" s="15">
        <v>1607990400</v>
      </c>
      <c r="S465" t="s">
        <v>23</v>
      </c>
    </row>
    <row r="466" spans="1:19" x14ac:dyDescent="0.2">
      <c r="A466" s="27" t="s">
        <v>507</v>
      </c>
      <c r="B466" s="16">
        <v>0.17</v>
      </c>
      <c r="C466" s="16">
        <v>6.1</v>
      </c>
      <c r="D466" s="28">
        <v>1.3638714750000001</v>
      </c>
      <c r="E466" s="16" t="e">
        <f>NA()</f>
        <v>#N/A</v>
      </c>
      <c r="F466" s="16" t="e">
        <f>NA()</f>
        <v>#N/A</v>
      </c>
      <c r="G466" s="16" t="e">
        <f>NA()</f>
        <v>#N/A</v>
      </c>
      <c r="H466" s="16" t="e">
        <f>NA()</f>
        <v>#N/A</v>
      </c>
      <c r="I466" s="31">
        <v>20</v>
      </c>
      <c r="J466" s="28">
        <v>7.5784507530000003</v>
      </c>
      <c r="K466" s="28">
        <v>1.2605111470000001</v>
      </c>
      <c r="L466" s="29">
        <v>1.542725949</v>
      </c>
      <c r="M466" s="16">
        <v>-24.4</v>
      </c>
      <c r="N466" s="39" t="e">
        <v>#N/A</v>
      </c>
      <c r="O466" s="39" t="e">
        <v>#N/A</v>
      </c>
      <c r="P466" s="39" t="e">
        <v>#N/A</v>
      </c>
      <c r="Q466" s="39" t="e">
        <v>#N/A</v>
      </c>
      <c r="R466" s="15">
        <v>1607990400</v>
      </c>
      <c r="S466" t="s">
        <v>23</v>
      </c>
    </row>
    <row r="467" spans="1:19" x14ac:dyDescent="0.2">
      <c r="A467" s="27" t="s">
        <v>508</v>
      </c>
      <c r="B467" s="16">
        <v>6.3E-2</v>
      </c>
      <c r="C467" s="16">
        <v>5.35</v>
      </c>
      <c r="D467" s="28">
        <v>1.8011993989999999</v>
      </c>
      <c r="E467" s="16" t="e">
        <f>NA()</f>
        <v>#N/A</v>
      </c>
      <c r="F467" s="16" t="e">
        <f>NA()</f>
        <v>#N/A</v>
      </c>
      <c r="G467" s="16" t="e">
        <f>NA()</f>
        <v>#N/A</v>
      </c>
      <c r="H467" s="16" t="e">
        <f>NA()</f>
        <v>#N/A</v>
      </c>
      <c r="I467" s="31">
        <v>30</v>
      </c>
      <c r="J467" s="28">
        <v>9.6936835670000008</v>
      </c>
      <c r="K467" s="28">
        <v>1.6265968289999999</v>
      </c>
      <c r="L467" s="29">
        <v>0.33416682399999997</v>
      </c>
      <c r="M467" s="16">
        <v>-22.35</v>
      </c>
      <c r="N467" s="39" t="e">
        <v>#N/A</v>
      </c>
      <c r="O467" s="39" t="e">
        <v>#N/A</v>
      </c>
      <c r="P467" s="39" t="e">
        <v>#N/A</v>
      </c>
      <c r="Q467" s="39" t="e">
        <v>#N/A</v>
      </c>
      <c r="R467" s="15">
        <v>1607990400</v>
      </c>
      <c r="S467" t="s">
        <v>23</v>
      </c>
    </row>
    <row r="468" spans="1:19" x14ac:dyDescent="0.2">
      <c r="A468" s="27" t="s">
        <v>509</v>
      </c>
      <c r="B468" s="16">
        <v>4.7E-2</v>
      </c>
      <c r="C468" s="16">
        <v>3.9</v>
      </c>
      <c r="D468" s="28">
        <v>1.6569706230000001</v>
      </c>
      <c r="E468" s="16" t="e">
        <f>NA()</f>
        <v>#N/A</v>
      </c>
      <c r="F468" s="16" t="e">
        <f>NA()</f>
        <v>#N/A</v>
      </c>
      <c r="G468" s="16" t="e">
        <f>NA()</f>
        <v>#N/A</v>
      </c>
      <c r="H468" s="16" t="e">
        <f>NA()</f>
        <v>#N/A</v>
      </c>
      <c r="I468" s="31">
        <v>40</v>
      </c>
      <c r="J468" s="28">
        <v>19.795160119999998</v>
      </c>
      <c r="K468" s="28">
        <v>1.3289706349999999</v>
      </c>
      <c r="L468" s="29">
        <v>0.16068814300000001</v>
      </c>
      <c r="M468" s="16">
        <v>-22.6</v>
      </c>
      <c r="N468" s="39" t="e">
        <v>#N/A</v>
      </c>
      <c r="O468" s="39" t="e">
        <v>#N/A</v>
      </c>
      <c r="P468" s="39" t="e">
        <v>#N/A</v>
      </c>
      <c r="Q468" s="39" t="e">
        <v>#N/A</v>
      </c>
      <c r="R468" s="15">
        <v>1607990400</v>
      </c>
      <c r="S468" t="s">
        <v>23</v>
      </c>
    </row>
    <row r="469" spans="1:19" x14ac:dyDescent="0.2">
      <c r="A469" s="27" t="s">
        <v>510</v>
      </c>
      <c r="B469" s="16">
        <v>4.5999999999999999E-2</v>
      </c>
      <c r="C469" s="16">
        <v>4.3</v>
      </c>
      <c r="D469" s="28">
        <v>1.690646629</v>
      </c>
      <c r="E469" s="16" t="e">
        <f>NA()</f>
        <v>#N/A</v>
      </c>
      <c r="F469" s="16" t="e">
        <f>NA()</f>
        <v>#N/A</v>
      </c>
      <c r="G469" s="16" t="e">
        <f>NA()</f>
        <v>#N/A</v>
      </c>
      <c r="H469" s="16" t="e">
        <f>NA()</f>
        <v>#N/A</v>
      </c>
      <c r="I469" s="31">
        <v>50</v>
      </c>
      <c r="J469" s="28">
        <v>11.665064470000001</v>
      </c>
      <c r="K469" s="28">
        <v>1.49343161</v>
      </c>
      <c r="L469" s="29">
        <v>0.162988037</v>
      </c>
      <c r="M469" s="16">
        <v>-23.2</v>
      </c>
      <c r="N469" s="39" t="e">
        <v>#N/A</v>
      </c>
      <c r="O469" s="39" t="e">
        <v>#N/A</v>
      </c>
      <c r="P469" s="39" t="e">
        <v>#N/A</v>
      </c>
      <c r="Q469" s="39" t="e">
        <v>#N/A</v>
      </c>
      <c r="R469" s="15">
        <v>1607990400</v>
      </c>
      <c r="S469" t="s">
        <v>23</v>
      </c>
    </row>
    <row r="470" spans="1:19" x14ac:dyDescent="0.2">
      <c r="A470" s="27" t="s">
        <v>511</v>
      </c>
      <c r="B470" s="16">
        <v>4.4999999999999998E-2</v>
      </c>
      <c r="C470" s="16">
        <v>3.9</v>
      </c>
      <c r="D470" s="28">
        <v>1.81361102</v>
      </c>
      <c r="E470" s="16" t="e">
        <f>NA()</f>
        <v>#N/A</v>
      </c>
      <c r="F470" s="16" t="e">
        <f>NA()</f>
        <v>#N/A</v>
      </c>
      <c r="G470" s="16" t="e">
        <f>NA()</f>
        <v>#N/A</v>
      </c>
      <c r="H470" s="16" t="e">
        <f>NA()</f>
        <v>#N/A</v>
      </c>
      <c r="I470" s="31">
        <v>60</v>
      </c>
      <c r="J470" s="28">
        <v>16.552188770000001</v>
      </c>
      <c r="K470" s="28">
        <v>1.5134186999999999</v>
      </c>
      <c r="L470" s="29">
        <v>0.155027835</v>
      </c>
      <c r="M470" s="16">
        <v>-23.5</v>
      </c>
      <c r="N470" s="39" t="e">
        <v>#N/A</v>
      </c>
      <c r="O470" s="39" t="e">
        <v>#N/A</v>
      </c>
      <c r="P470" s="39" t="e">
        <v>#N/A</v>
      </c>
      <c r="Q470" s="39" t="e">
        <v>#N/A</v>
      </c>
      <c r="R470" s="15">
        <v>1607990400</v>
      </c>
      <c r="S470" t="s">
        <v>23</v>
      </c>
    </row>
    <row r="471" spans="1:19" x14ac:dyDescent="0.2">
      <c r="A471" s="27" t="s">
        <v>512</v>
      </c>
      <c r="B471" s="16">
        <v>4.2999999999999997E-2</v>
      </c>
      <c r="C471" s="16">
        <v>3.5</v>
      </c>
      <c r="D471" s="28">
        <v>1.5530289269999999</v>
      </c>
      <c r="E471" s="16" t="e">
        <f>NA()</f>
        <v>#N/A</v>
      </c>
      <c r="F471" s="16" t="e">
        <f>NA()</f>
        <v>#N/A</v>
      </c>
      <c r="G471" s="16" t="e">
        <f>NA()</f>
        <v>#N/A</v>
      </c>
      <c r="H471" s="16" t="e">
        <f>NA()</f>
        <v>#N/A</v>
      </c>
      <c r="I471" s="31">
        <v>70</v>
      </c>
      <c r="J471" s="28">
        <v>13.304507729999999</v>
      </c>
      <c r="K471" s="28">
        <v>1.346406073</v>
      </c>
      <c r="L471" s="29">
        <v>0.14374447400000001</v>
      </c>
      <c r="M471" s="16">
        <v>-24.5</v>
      </c>
      <c r="N471" s="39" t="e">
        <v>#N/A</v>
      </c>
      <c r="O471" s="39" t="e">
        <v>#N/A</v>
      </c>
      <c r="P471" s="39" t="e">
        <v>#N/A</v>
      </c>
      <c r="Q471" s="39" t="e">
        <v>#N/A</v>
      </c>
      <c r="R471" s="15">
        <v>1607990400</v>
      </c>
      <c r="S471" t="s">
        <v>23</v>
      </c>
    </row>
    <row r="472" spans="1:19" x14ac:dyDescent="0.2">
      <c r="A472" s="27" t="s">
        <v>513</v>
      </c>
      <c r="B472" s="16">
        <v>4.2000000000000003E-2</v>
      </c>
      <c r="C472" s="16">
        <v>3.9</v>
      </c>
      <c r="D472" s="28">
        <v>1.6866676279999999</v>
      </c>
      <c r="E472" s="16" t="e">
        <f>NA()</f>
        <v>#N/A</v>
      </c>
      <c r="F472" s="16" t="e">
        <f>NA()</f>
        <v>#N/A</v>
      </c>
      <c r="G472" s="16" t="e">
        <f>NA()</f>
        <v>#N/A</v>
      </c>
      <c r="H472" s="16" t="e">
        <f>NA()</f>
        <v>#N/A</v>
      </c>
      <c r="I472" s="31">
        <v>80</v>
      </c>
      <c r="J472" s="28">
        <v>14.051545369999999</v>
      </c>
      <c r="K472" s="28">
        <v>1.449664761</v>
      </c>
      <c r="L472" s="29">
        <v>0.13750035799999999</v>
      </c>
      <c r="M472" s="16">
        <v>-24</v>
      </c>
      <c r="N472" s="39" t="e">
        <v>#N/A</v>
      </c>
      <c r="O472" s="39" t="e">
        <v>#N/A</v>
      </c>
      <c r="P472" s="39" t="e">
        <v>#N/A</v>
      </c>
      <c r="Q472" s="39" t="e">
        <v>#N/A</v>
      </c>
      <c r="R472" s="15">
        <v>1607990400</v>
      </c>
      <c r="S472" t="s">
        <v>23</v>
      </c>
    </row>
    <row r="473" spans="1:19" x14ac:dyDescent="0.2">
      <c r="A473" s="27" t="s">
        <v>514</v>
      </c>
      <c r="B473" s="16">
        <v>4.1000000000000002E-2</v>
      </c>
      <c r="C473" s="16">
        <v>3.6</v>
      </c>
      <c r="D473" s="28">
        <v>1.857237327</v>
      </c>
      <c r="E473" s="16" t="e">
        <f>NA()</f>
        <v>#N/A</v>
      </c>
      <c r="F473" s="16" t="e">
        <f>NA()</f>
        <v>#N/A</v>
      </c>
      <c r="G473" s="16" t="e">
        <f>NA()</f>
        <v>#N/A</v>
      </c>
      <c r="H473" s="16" t="e">
        <f>NA()</f>
        <v>#N/A</v>
      </c>
      <c r="I473" s="31">
        <v>90</v>
      </c>
      <c r="J473" s="28">
        <v>10.45868226</v>
      </c>
      <c r="K473" s="28">
        <v>1.6629947759999999</v>
      </c>
      <c r="L473" s="29">
        <v>0.13069948100000001</v>
      </c>
      <c r="M473" s="16">
        <v>-24.3</v>
      </c>
      <c r="N473" s="39" t="e">
        <v>#N/A</v>
      </c>
      <c r="O473" s="39" t="e">
        <v>#N/A</v>
      </c>
      <c r="P473" s="39" t="e">
        <v>#N/A</v>
      </c>
      <c r="Q473" s="39" t="e">
        <v>#N/A</v>
      </c>
      <c r="R473" s="15">
        <v>1607990400</v>
      </c>
      <c r="S473" t="s">
        <v>23</v>
      </c>
    </row>
    <row r="474" spans="1:19" x14ac:dyDescent="0.2">
      <c r="A474" s="27" t="s">
        <v>515</v>
      </c>
      <c r="B474" s="16">
        <v>3.7999999999999999E-2</v>
      </c>
      <c r="C474" s="16">
        <v>3.2</v>
      </c>
      <c r="D474" s="28">
        <v>1.534625957</v>
      </c>
      <c r="E474" s="16" t="e">
        <f>NA()</f>
        <v>#N/A</v>
      </c>
      <c r="F474" s="16" t="e">
        <f>NA()</f>
        <v>#N/A</v>
      </c>
      <c r="G474" s="16" t="e">
        <f>NA()</f>
        <v>#N/A</v>
      </c>
      <c r="H474" s="16" t="e">
        <f>NA()</f>
        <v>#N/A</v>
      </c>
      <c r="I474" s="31">
        <v>100</v>
      </c>
      <c r="J474" s="28">
        <v>10.10030557</v>
      </c>
      <c r="K474" s="28">
        <v>1.379624046</v>
      </c>
      <c r="L474" s="29">
        <v>0.14475585599999999</v>
      </c>
      <c r="M474" s="16">
        <v>-21.2</v>
      </c>
      <c r="N474" s="39" t="e">
        <v>#N/A</v>
      </c>
      <c r="O474" s="39" t="e">
        <v>#N/A</v>
      </c>
      <c r="P474" s="39" t="e">
        <v>#N/A</v>
      </c>
      <c r="Q474" s="39" t="e">
        <v>#N/A</v>
      </c>
      <c r="R474" s="15">
        <v>1607990400</v>
      </c>
      <c r="S474" t="s">
        <v>23</v>
      </c>
    </row>
    <row r="475" spans="1:19" x14ac:dyDescent="0.2">
      <c r="A475" s="27" t="s">
        <v>516</v>
      </c>
      <c r="B475" s="16">
        <v>4.1000000000000002E-2</v>
      </c>
      <c r="C475" s="16">
        <v>2.2000000000000002</v>
      </c>
      <c r="D475" s="28">
        <v>1.697359206</v>
      </c>
      <c r="E475" s="16" t="e">
        <f>NA()</f>
        <v>#N/A</v>
      </c>
      <c r="F475" s="16" t="e">
        <f>NA()</f>
        <v>#N/A</v>
      </c>
      <c r="G475" s="16" t="e">
        <f>NA()</f>
        <v>#N/A</v>
      </c>
      <c r="H475" s="16" t="e">
        <f>NA()</f>
        <v>#N/A</v>
      </c>
      <c r="I475" s="31">
        <v>110</v>
      </c>
      <c r="J475" s="28">
        <v>17.848928900000001</v>
      </c>
      <c r="K475" s="28">
        <v>1.3943987680000001</v>
      </c>
      <c r="L475" s="29">
        <v>0.10980148000000001</v>
      </c>
      <c r="M475" s="16">
        <v>-23.6</v>
      </c>
      <c r="N475" s="39" t="e">
        <v>#N/A</v>
      </c>
      <c r="O475" s="39" t="e">
        <v>#N/A</v>
      </c>
      <c r="P475" s="39" t="e">
        <v>#N/A</v>
      </c>
      <c r="Q475" s="39" t="e">
        <v>#N/A</v>
      </c>
      <c r="R475" s="15">
        <v>1607990400</v>
      </c>
      <c r="S475" t="s">
        <v>23</v>
      </c>
    </row>
    <row r="476" spans="1:19" x14ac:dyDescent="0.2">
      <c r="A476" s="27" t="s">
        <v>517</v>
      </c>
      <c r="B476" s="16">
        <v>3.9E-2</v>
      </c>
      <c r="C476" s="16">
        <v>2.2999999999999998</v>
      </c>
      <c r="D476" s="28">
        <v>0.92460525699999996</v>
      </c>
      <c r="E476" s="16" t="e">
        <f>NA()</f>
        <v>#N/A</v>
      </c>
      <c r="F476" s="16" t="e">
        <f>NA()</f>
        <v>#N/A</v>
      </c>
      <c r="G476" s="16" t="e">
        <f>NA()</f>
        <v>#N/A</v>
      </c>
      <c r="H476" s="16" t="e">
        <f>NA()</f>
        <v>#N/A</v>
      </c>
      <c r="I476" s="31">
        <v>116</v>
      </c>
      <c r="J476" s="28">
        <v>15.9877056</v>
      </c>
      <c r="K476" s="28">
        <v>0.77678209099999995</v>
      </c>
      <c r="L476" s="29">
        <v>8.777074E-2</v>
      </c>
      <c r="M476" s="16">
        <v>-24.1</v>
      </c>
      <c r="N476" s="39" t="e">
        <v>#N/A</v>
      </c>
      <c r="O476" s="39" t="e">
        <v>#N/A</v>
      </c>
      <c r="P476" s="39" t="e">
        <v>#N/A</v>
      </c>
      <c r="Q476" s="39" t="e">
        <v>#N/A</v>
      </c>
      <c r="R476" s="15">
        <v>1607990400</v>
      </c>
      <c r="S476" t="s">
        <v>23</v>
      </c>
    </row>
    <row r="477" spans="1:19" x14ac:dyDescent="0.2">
      <c r="A477" s="27" t="s">
        <v>518</v>
      </c>
      <c r="B477" s="16">
        <v>0.19</v>
      </c>
      <c r="C477" s="16">
        <v>6.2</v>
      </c>
      <c r="D477" s="28">
        <v>1.4229942010000001</v>
      </c>
      <c r="E477" s="16" t="e">
        <f>NA()</f>
        <v>#N/A</v>
      </c>
      <c r="F477" s="16" t="e">
        <f>NA()</f>
        <v>#N/A</v>
      </c>
      <c r="G477" s="16" t="e">
        <f>NA()</f>
        <v>#N/A</v>
      </c>
      <c r="H477" s="16" t="e">
        <f>NA()</f>
        <v>#N/A</v>
      </c>
      <c r="I477" s="31">
        <v>10</v>
      </c>
      <c r="J477" s="28">
        <v>8.6049565349999995</v>
      </c>
      <c r="K477" s="28">
        <v>1.300546169</v>
      </c>
      <c r="L477" s="29">
        <v>1.6526448069999999</v>
      </c>
      <c r="M477" s="16">
        <v>-23.3</v>
      </c>
      <c r="N477" s="39" t="e">
        <v>#N/A</v>
      </c>
      <c r="O477" s="39" t="e">
        <v>#N/A</v>
      </c>
      <c r="P477" s="39" t="e">
        <v>#N/A</v>
      </c>
      <c r="Q477" s="39" t="e">
        <v>#N/A</v>
      </c>
      <c r="R477" s="15">
        <v>1607990400</v>
      </c>
      <c r="S477" t="s">
        <v>23</v>
      </c>
    </row>
    <row r="478" spans="1:19" x14ac:dyDescent="0.2">
      <c r="A478" s="27" t="s">
        <v>519</v>
      </c>
      <c r="B478" s="16">
        <v>0.19</v>
      </c>
      <c r="C478" s="16">
        <v>6.5</v>
      </c>
      <c r="D478" s="28">
        <v>1.4186244210000001</v>
      </c>
      <c r="E478" s="16" t="e">
        <f>NA()</f>
        <v>#N/A</v>
      </c>
      <c r="F478" s="16" t="e">
        <f>NA()</f>
        <v>#N/A</v>
      </c>
      <c r="G478" s="16" t="e">
        <f>NA()</f>
        <v>#N/A</v>
      </c>
      <c r="H478" s="16" t="e">
        <f>NA()</f>
        <v>#N/A</v>
      </c>
      <c r="I478" s="31">
        <v>20</v>
      </c>
      <c r="J478" s="28">
        <v>7.7965374399999998</v>
      </c>
      <c r="K478" s="28">
        <v>1.3080208369999999</v>
      </c>
      <c r="L478" s="29">
        <v>1.6464944880000001</v>
      </c>
      <c r="M478" s="16">
        <v>-22.9</v>
      </c>
      <c r="N478" s="39" t="e">
        <v>#N/A</v>
      </c>
      <c r="O478" s="39" t="e">
        <v>#N/A</v>
      </c>
      <c r="P478" s="39" t="e">
        <v>#N/A</v>
      </c>
      <c r="Q478" s="39" t="e">
        <v>#N/A</v>
      </c>
      <c r="R478" s="15">
        <v>1607990400</v>
      </c>
      <c r="S478" t="s">
        <v>23</v>
      </c>
    </row>
    <row r="479" spans="1:19" x14ac:dyDescent="0.2">
      <c r="A479" s="27" t="s">
        <v>520</v>
      </c>
      <c r="B479" s="16">
        <v>0.14000000000000001</v>
      </c>
      <c r="C479" s="16">
        <v>6.4</v>
      </c>
      <c r="D479" s="28">
        <v>1.4226487830000001</v>
      </c>
      <c r="E479" s="16" t="e">
        <f>NA()</f>
        <v>#N/A</v>
      </c>
      <c r="F479" s="16" t="e">
        <f>NA()</f>
        <v>#N/A</v>
      </c>
      <c r="G479" s="16" t="e">
        <f>NA()</f>
        <v>#N/A</v>
      </c>
      <c r="H479" s="16" t="e">
        <f>NA()</f>
        <v>#N/A</v>
      </c>
      <c r="I479" s="31">
        <v>30</v>
      </c>
      <c r="J479" s="28">
        <v>13.68551587</v>
      </c>
      <c r="K479" s="28">
        <v>1.227951958</v>
      </c>
      <c r="L479" s="29">
        <v>1.2504728409999999</v>
      </c>
      <c r="M479" s="16">
        <v>-22.8</v>
      </c>
      <c r="N479" s="39" t="e">
        <v>#N/A</v>
      </c>
      <c r="O479" s="39" t="e">
        <v>#N/A</v>
      </c>
      <c r="P479" s="39" t="e">
        <v>#N/A</v>
      </c>
      <c r="Q479" s="39" t="e">
        <v>#N/A</v>
      </c>
      <c r="R479" s="15">
        <v>1607990400</v>
      </c>
      <c r="S479" t="s">
        <v>23</v>
      </c>
    </row>
    <row r="480" spans="1:19" x14ac:dyDescent="0.2">
      <c r="A480" s="27" t="s">
        <v>521</v>
      </c>
      <c r="B480" s="16">
        <v>0.05</v>
      </c>
      <c r="C480" s="16">
        <v>6.8</v>
      </c>
      <c r="D480" s="28">
        <v>1.6891040859999999</v>
      </c>
      <c r="E480" s="16" t="e">
        <f>NA()</f>
        <v>#N/A</v>
      </c>
      <c r="F480" s="16" t="e">
        <f>NA()</f>
        <v>#N/A</v>
      </c>
      <c r="G480" s="16" t="e">
        <f>NA()</f>
        <v>#N/A</v>
      </c>
      <c r="H480" s="16" t="e">
        <f>NA()</f>
        <v>#N/A</v>
      </c>
      <c r="I480" s="31">
        <v>40</v>
      </c>
      <c r="J480" s="28">
        <v>12.015286789999999</v>
      </c>
      <c r="K480" s="28">
        <v>1.486153386</v>
      </c>
      <c r="L480" s="29">
        <v>0.37946281500000001</v>
      </c>
      <c r="M480" s="16">
        <v>-22.1</v>
      </c>
      <c r="N480" s="39" t="e">
        <v>#N/A</v>
      </c>
      <c r="O480" s="39" t="e">
        <v>#N/A</v>
      </c>
      <c r="P480" s="39" t="e">
        <v>#N/A</v>
      </c>
      <c r="Q480" s="39" t="e">
        <v>#N/A</v>
      </c>
      <c r="R480" s="15">
        <v>1607990400</v>
      </c>
      <c r="S480" t="s">
        <v>23</v>
      </c>
    </row>
    <row r="481" spans="1:19" x14ac:dyDescent="0.2">
      <c r="A481" s="27" t="s">
        <v>522</v>
      </c>
      <c r="B481" s="16">
        <v>4.3999999999999997E-2</v>
      </c>
      <c r="C481" s="16">
        <v>6</v>
      </c>
      <c r="D481" s="28">
        <v>1.6348487860000001</v>
      </c>
      <c r="E481" s="16" t="e">
        <f>NA()</f>
        <v>#N/A</v>
      </c>
      <c r="F481" s="16" t="e">
        <f>NA()</f>
        <v>#N/A</v>
      </c>
      <c r="G481" s="16" t="e">
        <f>NA()</f>
        <v>#N/A</v>
      </c>
      <c r="H481" s="16" t="e">
        <f>NA()</f>
        <v>#N/A</v>
      </c>
      <c r="I481" s="31">
        <v>50</v>
      </c>
      <c r="J481" s="28">
        <v>7.8710398320000001</v>
      </c>
      <c r="K481" s="28">
        <v>1.506169187</v>
      </c>
      <c r="L481" s="29">
        <v>0.27732513399999997</v>
      </c>
      <c r="M481" s="16">
        <v>-22.1</v>
      </c>
      <c r="N481" s="39" t="e">
        <v>#N/A</v>
      </c>
      <c r="O481" s="39" t="e">
        <v>#N/A</v>
      </c>
      <c r="P481" s="39" t="e">
        <v>#N/A</v>
      </c>
      <c r="Q481" s="39" t="e">
        <v>#N/A</v>
      </c>
      <c r="R481" s="15">
        <v>1607990400</v>
      </c>
      <c r="S481" t="s">
        <v>23</v>
      </c>
    </row>
    <row r="482" spans="1:19" x14ac:dyDescent="0.2">
      <c r="A482" s="27" t="s">
        <v>523</v>
      </c>
      <c r="B482" s="16">
        <v>3.1E-2</v>
      </c>
      <c r="C482" s="16">
        <v>5.3</v>
      </c>
      <c r="D482" s="28">
        <v>1.8025956460000001</v>
      </c>
      <c r="E482" s="16" t="e">
        <f>NA()</f>
        <v>#N/A</v>
      </c>
      <c r="F482" s="16" t="e">
        <f>NA()</f>
        <v>#N/A</v>
      </c>
      <c r="G482" s="16" t="e">
        <f>NA()</f>
        <v>#N/A</v>
      </c>
      <c r="H482" s="16" t="e">
        <f>NA()</f>
        <v>#N/A</v>
      </c>
      <c r="I482" s="31">
        <v>60</v>
      </c>
      <c r="J482" s="28">
        <v>9.1163633369999992</v>
      </c>
      <c r="K482" s="28">
        <v>1.6382644770000001</v>
      </c>
      <c r="L482" s="29">
        <v>0.18444204</v>
      </c>
      <c r="M482" s="16">
        <v>-21.4</v>
      </c>
      <c r="N482" s="39" t="e">
        <v>#N/A</v>
      </c>
      <c r="O482" s="39" t="e">
        <v>#N/A</v>
      </c>
      <c r="P482" s="39" t="e">
        <v>#N/A</v>
      </c>
      <c r="Q482" s="39" t="e">
        <v>#N/A</v>
      </c>
      <c r="R482" s="15">
        <v>1607990400</v>
      </c>
      <c r="S482" t="s">
        <v>23</v>
      </c>
    </row>
    <row r="483" spans="1:19" x14ac:dyDescent="0.2">
      <c r="A483" s="27" t="s">
        <v>524</v>
      </c>
      <c r="B483" s="16">
        <v>2.7E-2</v>
      </c>
      <c r="C483" s="16">
        <v>4.7</v>
      </c>
      <c r="D483" s="28">
        <v>1.6942976869999999</v>
      </c>
      <c r="E483" s="16" t="e">
        <f>NA()</f>
        <v>#N/A</v>
      </c>
      <c r="F483" s="16" t="e">
        <f>NA()</f>
        <v>#N/A</v>
      </c>
      <c r="G483" s="16" t="e">
        <f>NA()</f>
        <v>#N/A</v>
      </c>
      <c r="H483" s="16" t="e">
        <f>NA()</f>
        <v>#N/A</v>
      </c>
      <c r="I483" s="31">
        <v>70</v>
      </c>
      <c r="J483" s="28">
        <v>7.5335584290000002</v>
      </c>
      <c r="K483" s="28">
        <v>1.5666567810000001</v>
      </c>
      <c r="L483" s="29">
        <v>0.16739897300000001</v>
      </c>
      <c r="M483" s="16">
        <v>-22.2</v>
      </c>
      <c r="N483" s="39" t="e">
        <v>#N/A</v>
      </c>
      <c r="O483" s="39" t="e">
        <v>#N/A</v>
      </c>
      <c r="P483" s="39" t="e">
        <v>#N/A</v>
      </c>
      <c r="Q483" s="39" t="e">
        <v>#N/A</v>
      </c>
      <c r="R483" s="15">
        <v>1607990400</v>
      </c>
      <c r="S483" t="s">
        <v>23</v>
      </c>
    </row>
    <row r="484" spans="1:19" x14ac:dyDescent="0.2">
      <c r="A484" s="27" t="s">
        <v>525</v>
      </c>
      <c r="B484" s="16">
        <v>0.04</v>
      </c>
      <c r="C484" s="16">
        <v>5.9</v>
      </c>
      <c r="D484" s="28">
        <v>1.5205400680000001</v>
      </c>
      <c r="E484" s="16" t="e">
        <f>NA()</f>
        <v>#N/A</v>
      </c>
      <c r="F484" s="16" t="e">
        <f>NA()</f>
        <v>#N/A</v>
      </c>
      <c r="G484" s="16" t="e">
        <f>NA()</f>
        <v>#N/A</v>
      </c>
      <c r="H484" s="16" t="e">
        <f>NA()</f>
        <v>#N/A</v>
      </c>
      <c r="I484" s="31">
        <v>80</v>
      </c>
      <c r="J484" s="28">
        <v>4.0576262229999998</v>
      </c>
      <c r="K484" s="28">
        <v>1.458842236</v>
      </c>
      <c r="L484" s="29">
        <v>0.43738332899999999</v>
      </c>
      <c r="M484" s="16">
        <v>-16</v>
      </c>
      <c r="N484" s="39" t="e">
        <v>#N/A</v>
      </c>
      <c r="O484" s="39" t="e">
        <v>#N/A</v>
      </c>
      <c r="P484" s="39" t="e">
        <v>#N/A</v>
      </c>
      <c r="Q484" s="39" t="e">
        <v>#N/A</v>
      </c>
      <c r="R484" s="15">
        <v>1607990400</v>
      </c>
      <c r="S484" t="s">
        <v>23</v>
      </c>
    </row>
    <row r="485" spans="1:19" x14ac:dyDescent="0.2">
      <c r="A485" s="27" t="s">
        <v>526</v>
      </c>
      <c r="B485" s="16">
        <v>2.9000000000000001E-2</v>
      </c>
      <c r="C485" s="16">
        <v>2.9</v>
      </c>
      <c r="D485" s="28">
        <v>1.6353472280000001</v>
      </c>
      <c r="E485" s="16" t="e">
        <f>NA()</f>
        <v>#N/A</v>
      </c>
      <c r="F485" s="16" t="e">
        <f>NA()</f>
        <v>#N/A</v>
      </c>
      <c r="G485" s="16" t="e">
        <f>NA()</f>
        <v>#N/A</v>
      </c>
      <c r="H485" s="16" t="e">
        <f>NA()</f>
        <v>#N/A</v>
      </c>
      <c r="I485" s="31">
        <v>90</v>
      </c>
      <c r="J485" s="28">
        <v>13.398866160000001</v>
      </c>
      <c r="K485" s="28">
        <v>1.416229242</v>
      </c>
      <c r="L485" s="29">
        <v>0.18107188399999999</v>
      </c>
      <c r="M485" s="16">
        <v>-19.8</v>
      </c>
      <c r="N485" s="39" t="e">
        <v>#N/A</v>
      </c>
      <c r="O485" s="39" t="e">
        <v>#N/A</v>
      </c>
      <c r="P485" s="39" t="e">
        <v>#N/A</v>
      </c>
      <c r="Q485" s="39" t="e">
        <v>#N/A</v>
      </c>
      <c r="R485" s="15">
        <v>1607990400</v>
      </c>
      <c r="S485" t="s">
        <v>23</v>
      </c>
    </row>
    <row r="486" spans="1:19" x14ac:dyDescent="0.2">
      <c r="A486" s="27" t="s">
        <v>527</v>
      </c>
      <c r="B486" s="16">
        <v>2.5000000000000001E-2</v>
      </c>
      <c r="C486" s="16">
        <v>2.2000000000000002</v>
      </c>
      <c r="D486" s="28">
        <v>1.643000182</v>
      </c>
      <c r="E486" s="16" t="e">
        <f>NA()</f>
        <v>#N/A</v>
      </c>
      <c r="F486" s="16" t="e">
        <f>NA()</f>
        <v>#N/A</v>
      </c>
      <c r="G486" s="16" t="e">
        <f>NA()</f>
        <v>#N/A</v>
      </c>
      <c r="H486" s="16" t="e">
        <f>NA()</f>
        <v>#N/A</v>
      </c>
      <c r="I486" s="31">
        <v>100</v>
      </c>
      <c r="J486" s="28">
        <v>13.7801688</v>
      </c>
      <c r="K486" s="28">
        <v>1.4165919840000001</v>
      </c>
      <c r="L486" s="29">
        <v>0.121362469</v>
      </c>
      <c r="M486" s="16">
        <v>-22.3</v>
      </c>
      <c r="N486" s="39" t="e">
        <v>#N/A</v>
      </c>
      <c r="O486" s="39" t="e">
        <v>#N/A</v>
      </c>
      <c r="P486" s="39" t="e">
        <v>#N/A</v>
      </c>
      <c r="Q486" s="39" t="e">
        <v>#N/A</v>
      </c>
      <c r="R486" s="15">
        <v>1607990400</v>
      </c>
      <c r="S486" t="s">
        <v>23</v>
      </c>
    </row>
    <row r="487" spans="1:19" x14ac:dyDescent="0.2">
      <c r="A487" s="27" t="s">
        <v>528</v>
      </c>
      <c r="B487" s="16">
        <v>2.1000000000000001E-2</v>
      </c>
      <c r="C487" s="16">
        <v>2.1</v>
      </c>
      <c r="D487" s="28">
        <v>1.2844198339999999</v>
      </c>
      <c r="E487" s="16" t="e">
        <f>NA()</f>
        <v>#N/A</v>
      </c>
      <c r="F487" s="16" t="e">
        <f>NA()</f>
        <v>#N/A</v>
      </c>
      <c r="G487" s="16" t="e">
        <f>NA()</f>
        <v>#N/A</v>
      </c>
      <c r="H487" s="16" t="e">
        <f>NA()</f>
        <v>#N/A</v>
      </c>
      <c r="I487" s="31">
        <v>110</v>
      </c>
      <c r="J487" s="28">
        <v>24.423355740000002</v>
      </c>
      <c r="K487" s="28">
        <v>0.97072140799999995</v>
      </c>
      <c r="L487" s="29">
        <v>0.82691629499999997</v>
      </c>
      <c r="M487" s="16">
        <v>-4</v>
      </c>
      <c r="N487" s="39" t="e">
        <v>#N/A</v>
      </c>
      <c r="O487" s="39" t="e">
        <v>#N/A</v>
      </c>
      <c r="P487" s="39" t="e">
        <v>#N/A</v>
      </c>
      <c r="Q487" s="39" t="e">
        <v>#N/A</v>
      </c>
      <c r="R487" s="15">
        <v>1607990400</v>
      </c>
      <c r="S487" t="s">
        <v>23</v>
      </c>
    </row>
    <row r="488" spans="1:19" x14ac:dyDescent="0.2">
      <c r="A488" s="27" t="s">
        <v>529</v>
      </c>
      <c r="B488" s="16">
        <v>0.23</v>
      </c>
      <c r="C488" s="16">
        <v>7.35</v>
      </c>
      <c r="D488" s="28">
        <v>1.3289242240000001</v>
      </c>
      <c r="E488" s="16" t="e">
        <f>NA()</f>
        <v>#N/A</v>
      </c>
      <c r="F488" s="16" t="e">
        <f>NA()</f>
        <v>#N/A</v>
      </c>
      <c r="G488" s="16" t="e">
        <f>NA()</f>
        <v>#N/A</v>
      </c>
      <c r="H488" s="16" t="e">
        <f>NA()</f>
        <v>#N/A</v>
      </c>
      <c r="I488" s="31">
        <v>10</v>
      </c>
      <c r="J488" s="28">
        <v>12.073835320000001</v>
      </c>
      <c r="K488" s="28">
        <v>1.168472102</v>
      </c>
      <c r="L488" s="29">
        <v>2.0074995360000001</v>
      </c>
      <c r="M488" s="16">
        <v>-24.05</v>
      </c>
      <c r="N488" s="39" t="e">
        <v>#N/A</v>
      </c>
      <c r="O488" s="39" t="e">
        <v>#N/A</v>
      </c>
      <c r="P488" s="39" t="e">
        <v>#N/A</v>
      </c>
      <c r="Q488" s="39" t="e">
        <v>#N/A</v>
      </c>
      <c r="R488" s="15">
        <v>1607990400</v>
      </c>
      <c r="S488" t="s">
        <v>23</v>
      </c>
    </row>
    <row r="489" spans="1:19" x14ac:dyDescent="0.2">
      <c r="A489" s="27" t="s">
        <v>530</v>
      </c>
      <c r="B489" s="16">
        <v>0.18</v>
      </c>
      <c r="C489" s="16">
        <v>8</v>
      </c>
      <c r="D489" s="28">
        <v>1.3342270839999999</v>
      </c>
      <c r="E489" s="16" t="e">
        <f>NA()</f>
        <v>#N/A</v>
      </c>
      <c r="F489" s="16" t="e">
        <f>NA()</f>
        <v>#N/A</v>
      </c>
      <c r="G489" s="16" t="e">
        <f>NA()</f>
        <v>#N/A</v>
      </c>
      <c r="H489" s="16" t="e">
        <f>NA()</f>
        <v>#N/A</v>
      </c>
      <c r="I489" s="31">
        <v>20</v>
      </c>
      <c r="J489" s="28">
        <v>6.2455276160000004</v>
      </c>
      <c r="K489" s="28">
        <v>1.2508975630000001</v>
      </c>
      <c r="L489" s="29">
        <v>1.496823749</v>
      </c>
      <c r="M489" s="16">
        <v>-23.7</v>
      </c>
      <c r="N489" s="39" t="e">
        <v>#N/A</v>
      </c>
      <c r="O489" s="39" t="e">
        <v>#N/A</v>
      </c>
      <c r="P489" s="39" t="e">
        <v>#N/A</v>
      </c>
      <c r="Q489" s="39" t="e">
        <v>#N/A</v>
      </c>
      <c r="R489" s="15">
        <v>1607990400</v>
      </c>
      <c r="S489" t="s">
        <v>23</v>
      </c>
    </row>
    <row r="490" spans="1:19" x14ac:dyDescent="0.2">
      <c r="A490" s="27" t="s">
        <v>531</v>
      </c>
      <c r="B490" s="16">
        <v>0.11</v>
      </c>
      <c r="C490" s="16">
        <v>7.5</v>
      </c>
      <c r="D490" s="28">
        <v>1.3770089480000001</v>
      </c>
      <c r="E490" s="16" t="e">
        <f>NA()</f>
        <v>#N/A</v>
      </c>
      <c r="F490" s="16" t="e">
        <f>NA()</f>
        <v>#N/A</v>
      </c>
      <c r="G490" s="16" t="e">
        <f>NA()</f>
        <v>#N/A</v>
      </c>
      <c r="H490" s="16" t="e">
        <f>NA()</f>
        <v>#N/A</v>
      </c>
      <c r="I490" s="31">
        <v>30</v>
      </c>
      <c r="J490" s="28">
        <v>5.2166813840000001</v>
      </c>
      <c r="K490" s="28">
        <v>1.3051747789999999</v>
      </c>
      <c r="L490" s="29">
        <v>0.84489730200000002</v>
      </c>
      <c r="M490" s="16">
        <v>-24</v>
      </c>
      <c r="N490" s="39" t="e">
        <v>#N/A</v>
      </c>
      <c r="O490" s="39" t="e">
        <v>#N/A</v>
      </c>
      <c r="P490" s="39" t="e">
        <v>#N/A</v>
      </c>
      <c r="Q490" s="39" t="e">
        <v>#N/A</v>
      </c>
      <c r="R490" s="15">
        <v>1607990400</v>
      </c>
      <c r="S490" t="s">
        <v>23</v>
      </c>
    </row>
    <row r="491" spans="1:19" x14ac:dyDescent="0.2">
      <c r="A491" s="27" t="s">
        <v>532</v>
      </c>
      <c r="B491" s="16">
        <v>0.08</v>
      </c>
      <c r="C491" s="16">
        <v>6.9</v>
      </c>
      <c r="D491" s="28">
        <v>1.5666275160000001</v>
      </c>
      <c r="E491" s="16" t="e">
        <f>NA()</f>
        <v>#N/A</v>
      </c>
      <c r="F491" s="16" t="e">
        <f>NA()</f>
        <v>#N/A</v>
      </c>
      <c r="G491" s="16" t="e">
        <f>NA()</f>
        <v>#N/A</v>
      </c>
      <c r="H491" s="16" t="e">
        <f>NA()</f>
        <v>#N/A</v>
      </c>
      <c r="I491" s="31">
        <v>40</v>
      </c>
      <c r="J491" s="28">
        <v>4.8284058830000003</v>
      </c>
      <c r="K491" s="28">
        <v>1.4909843810000001</v>
      </c>
      <c r="L491" s="29">
        <v>0.61899722800000001</v>
      </c>
      <c r="M491" s="16">
        <v>-24.4</v>
      </c>
      <c r="N491" s="39" t="e">
        <v>#N/A</v>
      </c>
      <c r="O491" s="39" t="e">
        <v>#N/A</v>
      </c>
      <c r="P491" s="39" t="e">
        <v>#N/A</v>
      </c>
      <c r="Q491" s="39" t="e">
        <v>#N/A</v>
      </c>
      <c r="R491" s="15">
        <v>1607990400</v>
      </c>
      <c r="S491" t="s">
        <v>23</v>
      </c>
    </row>
    <row r="492" spans="1:19" x14ac:dyDescent="0.2">
      <c r="A492" s="27" t="s">
        <v>533</v>
      </c>
      <c r="B492" s="16">
        <v>8.2000000000000003E-2</v>
      </c>
      <c r="C492" s="16">
        <v>6.8</v>
      </c>
      <c r="D492" s="28">
        <v>1.3113772269999999</v>
      </c>
      <c r="E492" s="16" t="e">
        <f>NA()</f>
        <v>#N/A</v>
      </c>
      <c r="F492" s="16" t="e">
        <f>NA()</f>
        <v>#N/A</v>
      </c>
      <c r="G492" s="16" t="e">
        <f>NA()</f>
        <v>#N/A</v>
      </c>
      <c r="H492" s="16" t="e">
        <f>NA()</f>
        <v>#N/A</v>
      </c>
      <c r="I492" s="31">
        <v>50</v>
      </c>
      <c r="J492" s="28">
        <v>10.817243680000001</v>
      </c>
      <c r="K492" s="28">
        <v>1.169522357</v>
      </c>
      <c r="L492" s="29">
        <v>0.66983725100000002</v>
      </c>
      <c r="M492" s="16">
        <v>-24.5</v>
      </c>
      <c r="N492" s="39" t="e">
        <v>#N/A</v>
      </c>
      <c r="O492" s="39" t="e">
        <v>#N/A</v>
      </c>
      <c r="P492" s="39" t="e">
        <v>#N/A</v>
      </c>
      <c r="Q492" s="39" t="e">
        <v>#N/A</v>
      </c>
      <c r="R492" s="15">
        <v>1607990400</v>
      </c>
      <c r="S492" t="s">
        <v>23</v>
      </c>
    </row>
    <row r="493" spans="1:19" x14ac:dyDescent="0.2">
      <c r="A493" s="27" t="s">
        <v>534</v>
      </c>
      <c r="B493" s="16">
        <v>7.9000000000000001E-2</v>
      </c>
      <c r="C493" s="16">
        <v>6.5</v>
      </c>
      <c r="D493" s="28">
        <v>1.2683955</v>
      </c>
      <c r="E493" s="16" t="e">
        <f>NA()</f>
        <v>#N/A</v>
      </c>
      <c r="F493" s="16" t="e">
        <f>NA()</f>
        <v>#N/A</v>
      </c>
      <c r="G493" s="16" t="e">
        <f>NA()</f>
        <v>#N/A</v>
      </c>
      <c r="H493" s="16" t="e">
        <f>NA()</f>
        <v>#N/A</v>
      </c>
      <c r="I493" s="31">
        <v>60</v>
      </c>
      <c r="J493" s="28">
        <v>7.0860174310000001</v>
      </c>
      <c r="K493" s="28">
        <v>1.178516774</v>
      </c>
      <c r="L493" s="29">
        <v>0.65831936199999996</v>
      </c>
      <c r="M493" s="16">
        <v>-24.6</v>
      </c>
      <c r="N493" s="39" t="e">
        <v>#N/A</v>
      </c>
      <c r="O493" s="39" t="e">
        <v>#N/A</v>
      </c>
      <c r="P493" s="39" t="e">
        <v>#N/A</v>
      </c>
      <c r="Q493" s="39" t="e">
        <v>#N/A</v>
      </c>
      <c r="R493" s="15">
        <v>1607990400</v>
      </c>
      <c r="S493" t="s">
        <v>23</v>
      </c>
    </row>
    <row r="494" spans="1:19" x14ac:dyDescent="0.2">
      <c r="A494" s="27" t="s">
        <v>535</v>
      </c>
      <c r="B494" s="16">
        <v>9.0999999999999998E-2</v>
      </c>
      <c r="C494" s="16">
        <v>6.3</v>
      </c>
      <c r="D494" s="28">
        <v>1.354047819</v>
      </c>
      <c r="E494" s="16" t="e">
        <f>NA()</f>
        <v>#N/A</v>
      </c>
      <c r="F494" s="16" t="e">
        <f>NA()</f>
        <v>#N/A</v>
      </c>
      <c r="G494" s="16" t="e">
        <f>NA()</f>
        <v>#N/A</v>
      </c>
      <c r="H494" s="16" t="e">
        <f>NA()</f>
        <v>#N/A</v>
      </c>
      <c r="I494" s="31">
        <v>70</v>
      </c>
      <c r="J494" s="28">
        <v>10.10268627</v>
      </c>
      <c r="K494" s="28">
        <v>1.2172526159999999</v>
      </c>
      <c r="L494" s="29">
        <v>0.81829452999999996</v>
      </c>
      <c r="M494" s="16">
        <v>-25</v>
      </c>
      <c r="N494" s="39" t="e">
        <v>#N/A</v>
      </c>
      <c r="O494" s="39" t="e">
        <v>#N/A</v>
      </c>
      <c r="P494" s="39" t="e">
        <v>#N/A</v>
      </c>
      <c r="Q494" s="39" t="e">
        <v>#N/A</v>
      </c>
      <c r="R494" s="15">
        <v>1607990400</v>
      </c>
      <c r="S494" t="s">
        <v>23</v>
      </c>
    </row>
    <row r="495" spans="1:19" x14ac:dyDescent="0.2">
      <c r="A495" s="27" t="s">
        <v>536</v>
      </c>
      <c r="B495" s="16">
        <v>4.4499999999999998E-2</v>
      </c>
      <c r="C495" s="16">
        <v>7.4</v>
      </c>
      <c r="D495" s="28">
        <v>1.6706673030000001</v>
      </c>
      <c r="E495" s="16" t="e">
        <f>NA()</f>
        <v>#N/A</v>
      </c>
      <c r="F495" s="16" t="e">
        <f>NA()</f>
        <v>#N/A</v>
      </c>
      <c r="G495" s="16" t="e">
        <f>NA()</f>
        <v>#N/A</v>
      </c>
      <c r="H495" s="16" t="e">
        <f>NA()</f>
        <v>#N/A</v>
      </c>
      <c r="I495" s="31">
        <v>80</v>
      </c>
      <c r="J495" s="28">
        <v>11.05924954</v>
      </c>
      <c r="K495" s="28">
        <v>1.4859040370000001</v>
      </c>
      <c r="L495" s="29">
        <v>0.28186402700000002</v>
      </c>
      <c r="M495" s="16">
        <v>-23.65</v>
      </c>
      <c r="N495" s="39" t="e">
        <v>#N/A</v>
      </c>
      <c r="O495" s="39" t="e">
        <v>#N/A</v>
      </c>
      <c r="P495" s="39" t="e">
        <v>#N/A</v>
      </c>
      <c r="Q495" s="39" t="e">
        <v>#N/A</v>
      </c>
      <c r="R495" s="15">
        <v>1607990400</v>
      </c>
      <c r="S495" t="s">
        <v>23</v>
      </c>
    </row>
    <row r="496" spans="1:19" x14ac:dyDescent="0.2">
      <c r="A496" s="27" t="s">
        <v>537</v>
      </c>
      <c r="B496" s="16">
        <v>4.2999999999999997E-2</v>
      </c>
      <c r="C496" s="16">
        <v>7.6</v>
      </c>
      <c r="D496" s="28">
        <v>1.6711164350000001</v>
      </c>
      <c r="E496" s="16" t="e">
        <f>NA()</f>
        <v>#N/A</v>
      </c>
      <c r="F496" s="16" t="e">
        <f>NA()</f>
        <v>#N/A</v>
      </c>
      <c r="G496" s="16" t="e">
        <f>NA()</f>
        <v>#N/A</v>
      </c>
      <c r="H496" s="16" t="e">
        <f>NA()</f>
        <v>#N/A</v>
      </c>
      <c r="I496" s="31">
        <v>90</v>
      </c>
      <c r="J496" s="28">
        <v>11.5011425</v>
      </c>
      <c r="K496" s="28">
        <v>1.4789189519999999</v>
      </c>
      <c r="L496" s="29">
        <v>0.29262978000000001</v>
      </c>
      <c r="M496" s="16">
        <v>-24.2</v>
      </c>
      <c r="N496" s="39" t="e">
        <v>#N/A</v>
      </c>
      <c r="O496" s="39" t="e">
        <v>#N/A</v>
      </c>
      <c r="P496" s="39" t="e">
        <v>#N/A</v>
      </c>
      <c r="Q496" s="39" t="e">
        <v>#N/A</v>
      </c>
      <c r="R496" s="15">
        <v>1607990400</v>
      </c>
      <c r="S496" t="s">
        <v>23</v>
      </c>
    </row>
    <row r="497" spans="1:19" x14ac:dyDescent="0.2">
      <c r="A497" s="27" t="s">
        <v>538</v>
      </c>
      <c r="B497" s="16">
        <v>4.8000000000000001E-2</v>
      </c>
      <c r="C497" s="16">
        <v>7.1</v>
      </c>
      <c r="D497" s="28">
        <v>1.6940561730000001</v>
      </c>
      <c r="E497" s="16" t="e">
        <f>NA()</f>
        <v>#N/A</v>
      </c>
      <c r="F497" s="16" t="e">
        <f>NA()</f>
        <v>#N/A</v>
      </c>
      <c r="G497" s="16" t="e">
        <f>NA()</f>
        <v>#N/A</v>
      </c>
      <c r="H497" s="16" t="e">
        <f>NA()</f>
        <v>#N/A</v>
      </c>
      <c r="I497" s="31">
        <v>100</v>
      </c>
      <c r="J497" s="28">
        <v>9.8681695010000006</v>
      </c>
      <c r="K497" s="28">
        <v>1.526883838</v>
      </c>
      <c r="L497" s="29">
        <v>0.34874913299999999</v>
      </c>
      <c r="M497" s="16">
        <v>-24.7</v>
      </c>
      <c r="N497" s="39" t="e">
        <v>#N/A</v>
      </c>
      <c r="O497" s="39" t="e">
        <v>#N/A</v>
      </c>
      <c r="P497" s="39" t="e">
        <v>#N/A</v>
      </c>
      <c r="Q497" s="39" t="e">
        <v>#N/A</v>
      </c>
      <c r="R497" s="15">
        <v>1607990400</v>
      </c>
      <c r="S497" t="s">
        <v>23</v>
      </c>
    </row>
    <row r="498" spans="1:19" x14ac:dyDescent="0.2">
      <c r="A498" s="27" t="s">
        <v>539</v>
      </c>
      <c r="B498" s="16">
        <v>4.7E-2</v>
      </c>
      <c r="C498" s="16">
        <v>7.1</v>
      </c>
      <c r="D498" s="28">
        <v>1.576514051</v>
      </c>
      <c r="E498" s="16" t="e">
        <f>NA()</f>
        <v>#N/A</v>
      </c>
      <c r="F498" s="16" t="e">
        <f>NA()</f>
        <v>#N/A</v>
      </c>
      <c r="G498" s="16" t="e">
        <f>NA()</f>
        <v>#N/A</v>
      </c>
      <c r="H498" s="16" t="e">
        <f>NA()</f>
        <v>#N/A</v>
      </c>
      <c r="I498" s="31">
        <v>110</v>
      </c>
      <c r="J498" s="28">
        <v>12.722437449999999</v>
      </c>
      <c r="K498" s="28">
        <v>1.3759430370000001</v>
      </c>
      <c r="L498" s="29">
        <v>0.43481730800000001</v>
      </c>
      <c r="M498" s="16">
        <v>-25.2</v>
      </c>
      <c r="N498" s="39" t="e">
        <v>#N/A</v>
      </c>
      <c r="O498" s="39" t="e">
        <v>#N/A</v>
      </c>
      <c r="P498" s="39" t="e">
        <v>#N/A</v>
      </c>
      <c r="Q498" s="39" t="e">
        <v>#N/A</v>
      </c>
      <c r="R498" s="15">
        <v>1607990400</v>
      </c>
      <c r="S498" t="s">
        <v>23</v>
      </c>
    </row>
    <row r="499" spans="1:19" x14ac:dyDescent="0.2">
      <c r="A499" s="27" t="s">
        <v>540</v>
      </c>
      <c r="B499" s="16">
        <v>0.3</v>
      </c>
      <c r="C499" s="16">
        <v>8.3000000000000007</v>
      </c>
      <c r="D499" s="28">
        <v>1.1012121130000001</v>
      </c>
      <c r="E499" s="16" t="e">
        <f>NA()</f>
        <v>#N/A</v>
      </c>
      <c r="F499" s="16" t="e">
        <f>NA()</f>
        <v>#N/A</v>
      </c>
      <c r="G499" s="16" t="e">
        <f>NA()</f>
        <v>#N/A</v>
      </c>
      <c r="H499" s="16" t="e">
        <f>NA()</f>
        <v>#N/A</v>
      </c>
      <c r="I499" s="31">
        <v>10</v>
      </c>
      <c r="J499" s="28">
        <v>3.730331879</v>
      </c>
      <c r="K499" s="28">
        <v>1.060133247</v>
      </c>
      <c r="L499" s="29">
        <v>2.777885392</v>
      </c>
      <c r="M499" s="16">
        <v>-24.4</v>
      </c>
      <c r="N499" s="39" t="e">
        <v>#N/A</v>
      </c>
      <c r="O499" s="39" t="e">
        <v>#N/A</v>
      </c>
      <c r="P499" s="39" t="e">
        <v>#N/A</v>
      </c>
      <c r="Q499" s="39" t="e">
        <v>#N/A</v>
      </c>
      <c r="R499" s="15">
        <v>1607990400</v>
      </c>
      <c r="S499" t="s">
        <v>23</v>
      </c>
    </row>
    <row r="500" spans="1:19" x14ac:dyDescent="0.2">
      <c r="A500" s="27" t="s">
        <v>541</v>
      </c>
      <c r="B500" s="16">
        <v>0.23</v>
      </c>
      <c r="C500" s="16">
        <v>8.8000000000000007</v>
      </c>
      <c r="D500" s="28">
        <v>1.1999920559999999</v>
      </c>
      <c r="E500" s="16" t="e">
        <f>NA()</f>
        <v>#N/A</v>
      </c>
      <c r="F500" s="16" t="e">
        <f>NA()</f>
        <v>#N/A</v>
      </c>
      <c r="G500" s="16" t="e">
        <f>NA()</f>
        <v>#N/A</v>
      </c>
      <c r="H500" s="16" t="e">
        <f>NA()</f>
        <v>#N/A</v>
      </c>
      <c r="I500" s="31">
        <v>20</v>
      </c>
      <c r="J500" s="28">
        <v>1.3388719710000001</v>
      </c>
      <c r="K500" s="28">
        <v>1.183925699</v>
      </c>
      <c r="L500" s="29">
        <v>1.914654691</v>
      </c>
      <c r="M500" s="16">
        <v>-23.2</v>
      </c>
      <c r="N500" s="39" t="e">
        <v>#N/A</v>
      </c>
      <c r="O500" s="39" t="e">
        <v>#N/A</v>
      </c>
      <c r="P500" s="39" t="e">
        <v>#N/A</v>
      </c>
      <c r="Q500" s="39" t="e">
        <v>#N/A</v>
      </c>
      <c r="R500" s="15">
        <v>1607990400</v>
      </c>
      <c r="S500" t="s">
        <v>23</v>
      </c>
    </row>
    <row r="501" spans="1:19" x14ac:dyDescent="0.2">
      <c r="A501" s="27" t="s">
        <v>542</v>
      </c>
      <c r="B501" s="16">
        <v>0.13</v>
      </c>
      <c r="C501" s="16">
        <v>8</v>
      </c>
      <c r="D501" s="28">
        <v>1.2260336780000001</v>
      </c>
      <c r="E501" s="16" t="e">
        <f>NA()</f>
        <v>#N/A</v>
      </c>
      <c r="F501" s="16" t="e">
        <f>NA()</f>
        <v>#N/A</v>
      </c>
      <c r="G501" s="16" t="e">
        <f>NA()</f>
        <v>#N/A</v>
      </c>
      <c r="H501" s="16" t="e">
        <f>NA()</f>
        <v>#N/A</v>
      </c>
      <c r="I501" s="31">
        <v>30</v>
      </c>
      <c r="J501" s="28">
        <v>3.1526329679999998</v>
      </c>
      <c r="K501" s="28">
        <v>1.1873813360000001</v>
      </c>
      <c r="L501" s="29">
        <v>1.0246613120000001</v>
      </c>
      <c r="M501" s="16">
        <v>-24</v>
      </c>
      <c r="N501" s="39" t="e">
        <v>#N/A</v>
      </c>
      <c r="O501" s="39" t="e">
        <v>#N/A</v>
      </c>
      <c r="P501" s="39" t="e">
        <v>#N/A</v>
      </c>
      <c r="Q501" s="39" t="e">
        <v>#N/A</v>
      </c>
      <c r="R501" s="15">
        <v>1607990400</v>
      </c>
      <c r="S501" t="s">
        <v>23</v>
      </c>
    </row>
    <row r="502" spans="1:19" x14ac:dyDescent="0.2">
      <c r="A502" s="27" t="s">
        <v>543</v>
      </c>
      <c r="B502" s="16">
        <v>0.12</v>
      </c>
      <c r="C502" s="16">
        <v>7.1</v>
      </c>
      <c r="D502" s="28">
        <v>1.3264368660000001</v>
      </c>
      <c r="E502" s="16" t="e">
        <f>NA()</f>
        <v>#N/A</v>
      </c>
      <c r="F502" s="16" t="e">
        <f>NA()</f>
        <v>#N/A</v>
      </c>
      <c r="G502" s="16" t="e">
        <f>NA()</f>
        <v>#N/A</v>
      </c>
      <c r="H502" s="16" t="e">
        <f>NA()</f>
        <v>#N/A</v>
      </c>
      <c r="I502" s="31">
        <v>40</v>
      </c>
      <c r="J502" s="28">
        <v>4.7940558339999999</v>
      </c>
      <c r="K502" s="28">
        <v>1.262846742</v>
      </c>
      <c r="L502" s="29">
        <v>0.97244483500000001</v>
      </c>
      <c r="M502" s="16">
        <v>-24.75</v>
      </c>
      <c r="N502" s="39" t="e">
        <v>#N/A</v>
      </c>
      <c r="O502" s="39" t="e">
        <v>#N/A</v>
      </c>
      <c r="P502" s="39" t="e">
        <v>#N/A</v>
      </c>
      <c r="Q502" s="39" t="e">
        <v>#N/A</v>
      </c>
      <c r="R502" s="15">
        <v>1607990400</v>
      </c>
      <c r="S502" t="s">
        <v>23</v>
      </c>
    </row>
    <row r="503" spans="1:19" x14ac:dyDescent="0.2">
      <c r="A503" s="27" t="s">
        <v>544</v>
      </c>
      <c r="B503" s="16">
        <v>0.11</v>
      </c>
      <c r="C503" s="16">
        <v>6.8</v>
      </c>
      <c r="D503" s="28">
        <v>1.303606576</v>
      </c>
      <c r="E503" s="16" t="e">
        <f>NA()</f>
        <v>#N/A</v>
      </c>
      <c r="F503" s="16" t="e">
        <f>NA()</f>
        <v>#N/A</v>
      </c>
      <c r="G503" s="16" t="e">
        <f>NA()</f>
        <v>#N/A</v>
      </c>
      <c r="H503" s="16" t="e">
        <f>NA()</f>
        <v>#N/A</v>
      </c>
      <c r="I503" s="31">
        <v>50</v>
      </c>
      <c r="J503" s="28">
        <v>0.61058569799999995</v>
      </c>
      <c r="K503" s="28">
        <v>1.2956469399999999</v>
      </c>
      <c r="L503" s="29">
        <v>0.87424045699999997</v>
      </c>
      <c r="M503" s="16">
        <v>-24.8</v>
      </c>
      <c r="N503" s="39" t="e">
        <v>#N/A</v>
      </c>
      <c r="O503" s="39" t="e">
        <v>#N/A</v>
      </c>
      <c r="P503" s="39" t="e">
        <v>#N/A</v>
      </c>
      <c r="Q503" s="39" t="e">
        <v>#N/A</v>
      </c>
      <c r="R503" s="15">
        <v>1607990400</v>
      </c>
      <c r="S503" t="s">
        <v>23</v>
      </c>
    </row>
    <row r="504" spans="1:19" x14ac:dyDescent="0.2">
      <c r="A504" s="27" t="s">
        <v>545</v>
      </c>
      <c r="B504" s="16">
        <v>0.12</v>
      </c>
      <c r="C504" s="16">
        <v>6.6</v>
      </c>
      <c r="D504" s="28">
        <v>1.0028326970000001</v>
      </c>
      <c r="E504" s="16" t="e">
        <f>NA()</f>
        <v>#N/A</v>
      </c>
      <c r="F504" s="16" t="e">
        <f>NA()</f>
        <v>#N/A</v>
      </c>
      <c r="G504" s="16" t="e">
        <f>NA()</f>
        <v>#N/A</v>
      </c>
      <c r="H504" s="16" t="e">
        <f>NA()</f>
        <v>#N/A</v>
      </c>
      <c r="I504" s="31">
        <v>60</v>
      </c>
      <c r="J504" s="28">
        <v>0</v>
      </c>
      <c r="K504" s="28">
        <v>1.0028326970000001</v>
      </c>
      <c r="L504" s="29">
        <v>0.98992577599999998</v>
      </c>
      <c r="M504" s="16">
        <v>-25.2</v>
      </c>
      <c r="N504" s="39" t="e">
        <v>#N/A</v>
      </c>
      <c r="O504" s="39" t="e">
        <v>#N/A</v>
      </c>
      <c r="P504" s="39" t="e">
        <v>#N/A</v>
      </c>
      <c r="Q504" s="39" t="e">
        <v>#N/A</v>
      </c>
      <c r="R504" s="15">
        <v>1607990400</v>
      </c>
      <c r="S504" t="s">
        <v>23</v>
      </c>
    </row>
    <row r="505" spans="1:19" x14ac:dyDescent="0.2">
      <c r="A505" s="27" t="s">
        <v>546</v>
      </c>
      <c r="B505" s="16">
        <v>0.1</v>
      </c>
      <c r="C505" s="16">
        <v>6.7</v>
      </c>
      <c r="D505" s="28">
        <v>1.3235437729999999</v>
      </c>
      <c r="E505" s="16" t="e">
        <f>NA()</f>
        <v>#N/A</v>
      </c>
      <c r="F505" s="16" t="e">
        <f>NA()</f>
        <v>#N/A</v>
      </c>
      <c r="G505" s="16" t="e">
        <f>NA()</f>
        <v>#N/A</v>
      </c>
      <c r="H505" s="16" t="e">
        <f>NA()</f>
        <v>#N/A</v>
      </c>
      <c r="I505" s="31">
        <v>70</v>
      </c>
      <c r="J505" s="28">
        <v>0.18889308699999999</v>
      </c>
      <c r="K505" s="28">
        <v>1.32104369</v>
      </c>
      <c r="L505" s="29">
        <v>0.88172180600000005</v>
      </c>
      <c r="M505" s="16">
        <v>-25.7</v>
      </c>
      <c r="N505" s="39" t="e">
        <v>#N/A</v>
      </c>
      <c r="O505" s="39" t="e">
        <v>#N/A</v>
      </c>
      <c r="P505" s="39" t="e">
        <v>#N/A</v>
      </c>
      <c r="Q505" s="39" t="e">
        <v>#N/A</v>
      </c>
      <c r="R505" s="15">
        <v>1607990400</v>
      </c>
      <c r="S505" t="s">
        <v>23</v>
      </c>
    </row>
    <row r="506" spans="1:19" x14ac:dyDescent="0.2">
      <c r="A506" s="27" t="s">
        <v>547</v>
      </c>
      <c r="B506" s="16">
        <v>6.2E-2</v>
      </c>
      <c r="C506" s="16">
        <v>7</v>
      </c>
      <c r="D506" s="28">
        <v>1.4069869399999999</v>
      </c>
      <c r="E506" s="16" t="e">
        <f>NA()</f>
        <v>#N/A</v>
      </c>
      <c r="F506" s="16" t="e">
        <f>NA()</f>
        <v>#N/A</v>
      </c>
      <c r="G506" s="16" t="e">
        <f>NA()</f>
        <v>#N/A</v>
      </c>
      <c r="H506" s="16" t="e">
        <f>NA()</f>
        <v>#N/A</v>
      </c>
      <c r="I506" s="31">
        <v>80</v>
      </c>
      <c r="J506" s="28">
        <v>0.75919926900000001</v>
      </c>
      <c r="K506" s="28">
        <v>1.3963051049999999</v>
      </c>
      <c r="L506" s="29">
        <v>0.48597647700000002</v>
      </c>
      <c r="M506" s="16">
        <v>-25.8</v>
      </c>
      <c r="N506" s="39" t="e">
        <v>#N/A</v>
      </c>
      <c r="O506" s="39" t="e">
        <v>#N/A</v>
      </c>
      <c r="P506" s="39" t="e">
        <v>#N/A</v>
      </c>
      <c r="Q506" s="39" t="e">
        <v>#N/A</v>
      </c>
      <c r="R506" s="15">
        <v>1607990400</v>
      </c>
      <c r="S506" t="s">
        <v>23</v>
      </c>
    </row>
    <row r="507" spans="1:19" x14ac:dyDescent="0.2">
      <c r="A507" s="27" t="s">
        <v>548</v>
      </c>
      <c r="B507" s="16">
        <v>4.7E-2</v>
      </c>
      <c r="C507" s="16">
        <v>6.4</v>
      </c>
      <c r="D507" s="28">
        <v>1.6322646279999999</v>
      </c>
      <c r="E507" s="16" t="e">
        <f>NA()</f>
        <v>#N/A</v>
      </c>
      <c r="F507" s="16" t="e">
        <f>NA()</f>
        <v>#N/A</v>
      </c>
      <c r="G507" s="16" t="e">
        <f>NA()</f>
        <v>#N/A</v>
      </c>
      <c r="H507" s="16" t="e">
        <f>NA()</f>
        <v>#N/A</v>
      </c>
      <c r="I507" s="31">
        <v>90</v>
      </c>
      <c r="J507" s="28">
        <v>8.0699904440000001</v>
      </c>
      <c r="K507" s="28">
        <v>1.500541028</v>
      </c>
      <c r="L507" s="29">
        <v>0.39943525099999999</v>
      </c>
      <c r="M507" s="16">
        <v>-25.8</v>
      </c>
      <c r="N507" s="39" t="e">
        <v>#N/A</v>
      </c>
      <c r="O507" s="39" t="e">
        <v>#N/A</v>
      </c>
      <c r="P507" s="39" t="e">
        <v>#N/A</v>
      </c>
      <c r="Q507" s="39" t="e">
        <v>#N/A</v>
      </c>
      <c r="R507" s="15">
        <v>1607990400</v>
      </c>
      <c r="S507" t="s">
        <v>23</v>
      </c>
    </row>
    <row r="508" spans="1:19" x14ac:dyDescent="0.2">
      <c r="A508" s="27" t="s">
        <v>549</v>
      </c>
      <c r="B508" s="16">
        <v>3.4000000000000002E-2</v>
      </c>
      <c r="C508" s="16">
        <v>5.6</v>
      </c>
      <c r="D508" s="28">
        <v>1.433757647</v>
      </c>
      <c r="E508" s="16" t="e">
        <f>NA()</f>
        <v>#N/A</v>
      </c>
      <c r="F508" s="16" t="e">
        <f>NA()</f>
        <v>#N/A</v>
      </c>
      <c r="G508" s="16" t="e">
        <f>NA()</f>
        <v>#N/A</v>
      </c>
      <c r="H508" s="16" t="e">
        <f>NA()</f>
        <v>#N/A</v>
      </c>
      <c r="I508" s="31">
        <v>100</v>
      </c>
      <c r="J508" s="28">
        <v>9.6450045299999996</v>
      </c>
      <c r="K508" s="28">
        <v>1.295471657</v>
      </c>
      <c r="L508" s="29">
        <v>0.206554564</v>
      </c>
      <c r="M508" s="16">
        <v>-25.6</v>
      </c>
      <c r="N508" s="39" t="e">
        <v>#N/A</v>
      </c>
      <c r="O508" s="39" t="e">
        <v>#N/A</v>
      </c>
      <c r="P508" s="39" t="e">
        <v>#N/A</v>
      </c>
      <c r="Q508" s="39" t="e">
        <v>#N/A</v>
      </c>
      <c r="R508" s="15">
        <v>1607990400</v>
      </c>
      <c r="S508" t="s">
        <v>23</v>
      </c>
    </row>
    <row r="509" spans="1:19" x14ac:dyDescent="0.2">
      <c r="A509" s="27" t="s">
        <v>550</v>
      </c>
      <c r="B509" s="16">
        <v>2.5999999999999999E-2</v>
      </c>
      <c r="C509" s="16">
        <v>5.0999999999999996</v>
      </c>
      <c r="D509" s="28">
        <v>1.1929413179999999</v>
      </c>
      <c r="E509" s="16" t="e">
        <f>NA()</f>
        <v>#N/A</v>
      </c>
      <c r="F509" s="16" t="e">
        <f>NA()</f>
        <v>#N/A</v>
      </c>
      <c r="G509" s="16" t="e">
        <f>NA()</f>
        <v>#N/A</v>
      </c>
      <c r="H509" s="16" t="e">
        <f>NA()</f>
        <v>#N/A</v>
      </c>
      <c r="I509" s="31">
        <v>110</v>
      </c>
      <c r="J509" s="28">
        <v>10.283459629999999</v>
      </c>
      <c r="K509" s="28">
        <v>1.070265679</v>
      </c>
      <c r="L509" s="29">
        <v>0.115193501</v>
      </c>
      <c r="M509" s="16">
        <v>-23.8</v>
      </c>
      <c r="N509" s="39" t="e">
        <v>#N/A</v>
      </c>
      <c r="O509" s="39" t="e">
        <v>#N/A</v>
      </c>
      <c r="P509" s="39" t="e">
        <v>#N/A</v>
      </c>
      <c r="Q509" s="39" t="e">
        <v>#N/A</v>
      </c>
      <c r="R509" s="15">
        <v>1607990400</v>
      </c>
      <c r="S509" t="s">
        <v>23</v>
      </c>
    </row>
    <row r="510" spans="1:19" x14ac:dyDescent="0.2">
      <c r="A510" s="27" t="s">
        <v>551</v>
      </c>
      <c r="B510" s="16">
        <v>0.36</v>
      </c>
      <c r="C510" s="16">
        <v>8.4</v>
      </c>
      <c r="D510" s="28">
        <v>0.85779165599999996</v>
      </c>
      <c r="E510" s="16" t="e">
        <f>NA()</f>
        <v>#N/A</v>
      </c>
      <c r="F510" s="16" t="e">
        <f>NA()</f>
        <v>#N/A</v>
      </c>
      <c r="G510" s="16" t="e">
        <f>NA()</f>
        <v>#N/A</v>
      </c>
      <c r="H510" s="16" t="e">
        <f>NA()</f>
        <v>#N/A</v>
      </c>
      <c r="I510" s="31">
        <v>10</v>
      </c>
      <c r="J510" s="28">
        <v>2.79551653</v>
      </c>
      <c r="K510" s="28">
        <v>0.833811949</v>
      </c>
      <c r="L510" s="29">
        <v>3.555186285</v>
      </c>
      <c r="M510" s="16">
        <v>-23.9</v>
      </c>
      <c r="N510" s="39" t="e">
        <v>#N/A</v>
      </c>
      <c r="O510" s="39" t="e">
        <v>#N/A</v>
      </c>
      <c r="P510" s="39" t="e">
        <v>#N/A</v>
      </c>
      <c r="Q510" s="39" t="e">
        <v>#N/A</v>
      </c>
      <c r="R510" s="15">
        <v>1607990400</v>
      </c>
      <c r="S510" t="s">
        <v>23</v>
      </c>
    </row>
    <row r="511" spans="1:19" x14ac:dyDescent="0.2">
      <c r="A511" s="27" t="s">
        <v>552</v>
      </c>
      <c r="B511" s="16">
        <v>0.22</v>
      </c>
      <c r="C511" s="16">
        <v>8.8000000000000007</v>
      </c>
      <c r="D511" s="28">
        <v>1.128758814</v>
      </c>
      <c r="E511" s="16" t="e">
        <f>NA()</f>
        <v>#N/A</v>
      </c>
      <c r="F511" s="16" t="e">
        <f>NA()</f>
        <v>#N/A</v>
      </c>
      <c r="G511" s="16" t="e">
        <f>NA()</f>
        <v>#N/A</v>
      </c>
      <c r="H511" s="16" t="e">
        <f>NA()</f>
        <v>#N/A</v>
      </c>
      <c r="I511" s="31">
        <v>20</v>
      </c>
      <c r="J511" s="28">
        <v>1.7217710589999999</v>
      </c>
      <c r="K511" s="28">
        <v>1.109324172</v>
      </c>
      <c r="L511" s="29">
        <v>1.8202347290000001</v>
      </c>
      <c r="M511" s="16">
        <v>-23.3</v>
      </c>
      <c r="N511" s="39" t="e">
        <v>#N/A</v>
      </c>
      <c r="O511" s="39" t="e">
        <v>#N/A</v>
      </c>
      <c r="P511" s="39" t="e">
        <v>#N/A</v>
      </c>
      <c r="Q511" s="39" t="e">
        <v>#N/A</v>
      </c>
      <c r="R511" s="15">
        <v>1607990400</v>
      </c>
      <c r="S511" t="s">
        <v>23</v>
      </c>
    </row>
    <row r="512" spans="1:19" x14ac:dyDescent="0.2">
      <c r="A512" s="27" t="s">
        <v>553</v>
      </c>
      <c r="B512" s="16">
        <v>0.19500000000000001</v>
      </c>
      <c r="C512" s="16">
        <v>8.65</v>
      </c>
      <c r="D512" s="28">
        <v>1.079960453</v>
      </c>
      <c r="E512" s="16" t="e">
        <f>NA()</f>
        <v>#N/A</v>
      </c>
      <c r="F512" s="16" t="e">
        <f>NA()</f>
        <v>#N/A</v>
      </c>
      <c r="G512" s="16" t="e">
        <f>NA()</f>
        <v>#N/A</v>
      </c>
      <c r="H512" s="16" t="e">
        <f>NA()</f>
        <v>#N/A</v>
      </c>
      <c r="I512" s="31">
        <v>30</v>
      </c>
      <c r="J512" s="28">
        <v>3.0163912690000001</v>
      </c>
      <c r="K512" s="28">
        <v>1.0473846200000001</v>
      </c>
      <c r="L512" s="29">
        <v>1.57509773</v>
      </c>
      <c r="M512" s="16">
        <v>-23.35</v>
      </c>
      <c r="N512" s="39" t="e">
        <v>#N/A</v>
      </c>
      <c r="O512" s="39" t="e">
        <v>#N/A</v>
      </c>
      <c r="P512" s="39" t="e">
        <v>#N/A</v>
      </c>
      <c r="Q512" s="39" t="e">
        <v>#N/A</v>
      </c>
      <c r="R512" s="15">
        <v>1607990400</v>
      </c>
      <c r="S512" t="s">
        <v>23</v>
      </c>
    </row>
    <row r="513" spans="1:19" x14ac:dyDescent="0.2">
      <c r="A513" s="27" t="s">
        <v>554</v>
      </c>
      <c r="B513" s="16">
        <v>0.13</v>
      </c>
      <c r="C513" s="16">
        <v>8.3000000000000007</v>
      </c>
      <c r="D513" s="28">
        <v>1.3968145409999999</v>
      </c>
      <c r="E513" s="16" t="e">
        <f>NA()</f>
        <v>#N/A</v>
      </c>
      <c r="F513" s="16" t="e">
        <f>NA()</f>
        <v>#N/A</v>
      </c>
      <c r="G513" s="16" t="e">
        <f>NA()</f>
        <v>#N/A</v>
      </c>
      <c r="H513" s="16" t="e">
        <f>NA()</f>
        <v>#N/A</v>
      </c>
      <c r="I513" s="31">
        <v>40</v>
      </c>
      <c r="J513" s="28">
        <v>1.568666468</v>
      </c>
      <c r="K513" s="28">
        <v>1.37490318</v>
      </c>
      <c r="L513" s="29">
        <v>1.0592654130000001</v>
      </c>
      <c r="M513" s="16">
        <v>-23.6</v>
      </c>
      <c r="N513" s="39" t="e">
        <v>#N/A</v>
      </c>
      <c r="O513" s="39" t="e">
        <v>#N/A</v>
      </c>
      <c r="P513" s="39" t="e">
        <v>#N/A</v>
      </c>
      <c r="Q513" s="39" t="e">
        <v>#N/A</v>
      </c>
      <c r="R513" s="15">
        <v>1607990400</v>
      </c>
      <c r="S513" t="s">
        <v>23</v>
      </c>
    </row>
    <row r="514" spans="1:19" x14ac:dyDescent="0.2">
      <c r="A514" s="27" t="s">
        <v>555</v>
      </c>
      <c r="B514" s="16">
        <v>0.12</v>
      </c>
      <c r="C514" s="16">
        <v>7.3</v>
      </c>
      <c r="D514" s="28">
        <v>1.267812945</v>
      </c>
      <c r="E514" s="16" t="e">
        <f>NA()</f>
        <v>#N/A</v>
      </c>
      <c r="F514" s="16" t="e">
        <f>NA()</f>
        <v>#N/A</v>
      </c>
      <c r="G514" s="16" t="e">
        <f>NA()</f>
        <v>#N/A</v>
      </c>
      <c r="H514" s="16" t="e">
        <f>NA()</f>
        <v>#N/A</v>
      </c>
      <c r="I514" s="31">
        <v>50</v>
      </c>
      <c r="J514" s="28">
        <v>0.265151515</v>
      </c>
      <c r="K514" s="28">
        <v>1.26445132</v>
      </c>
      <c r="L514" s="29">
        <v>0.950380055</v>
      </c>
      <c r="M514" s="16">
        <v>-24.5</v>
      </c>
      <c r="N514" s="39" t="e">
        <v>#N/A</v>
      </c>
      <c r="O514" s="39" t="e">
        <v>#N/A</v>
      </c>
      <c r="P514" s="39" t="e">
        <v>#N/A</v>
      </c>
      <c r="Q514" s="39" t="e">
        <v>#N/A</v>
      </c>
      <c r="R514" s="15">
        <v>1607990400</v>
      </c>
      <c r="S514" t="s">
        <v>23</v>
      </c>
    </row>
    <row r="515" spans="1:19" x14ac:dyDescent="0.2">
      <c r="A515" s="27" t="s">
        <v>556</v>
      </c>
      <c r="B515" s="16">
        <v>8.2000000000000003E-2</v>
      </c>
      <c r="C515" s="16">
        <v>7.2</v>
      </c>
      <c r="D515" s="28">
        <v>1.219549542</v>
      </c>
      <c r="E515" s="16" t="e">
        <f>NA()</f>
        <v>#N/A</v>
      </c>
      <c r="F515" s="16" t="e">
        <f>NA()</f>
        <v>#N/A</v>
      </c>
      <c r="G515" s="16" t="e">
        <f>NA()</f>
        <v>#N/A</v>
      </c>
      <c r="H515" s="16" t="e">
        <f>NA()</f>
        <v>#N/A</v>
      </c>
      <c r="I515" s="31">
        <v>60</v>
      </c>
      <c r="J515" s="28">
        <v>0.65414819599999996</v>
      </c>
      <c r="K515" s="28">
        <v>1.211571881</v>
      </c>
      <c r="L515" s="29">
        <v>0.71880521900000005</v>
      </c>
      <c r="M515" s="16">
        <v>-24.5</v>
      </c>
      <c r="N515" s="39" t="e">
        <v>#N/A</v>
      </c>
      <c r="O515" s="39" t="e">
        <v>#N/A</v>
      </c>
      <c r="P515" s="39" t="e">
        <v>#N/A</v>
      </c>
      <c r="Q515" s="39" t="e">
        <v>#N/A</v>
      </c>
      <c r="R515" s="15">
        <v>1607990400</v>
      </c>
      <c r="S515" t="s">
        <v>23</v>
      </c>
    </row>
    <row r="516" spans="1:19" x14ac:dyDescent="0.2">
      <c r="A516" s="27" t="s">
        <v>557</v>
      </c>
      <c r="B516" s="16">
        <v>5.5E-2</v>
      </c>
      <c r="C516" s="16">
        <v>6.9</v>
      </c>
      <c r="D516" s="28">
        <v>1.5430250059999999</v>
      </c>
      <c r="E516" s="16" t="e">
        <f>NA()</f>
        <v>#N/A</v>
      </c>
      <c r="F516" s="16" t="e">
        <f>NA()</f>
        <v>#N/A</v>
      </c>
      <c r="G516" s="16" t="e">
        <f>NA()</f>
        <v>#N/A</v>
      </c>
      <c r="H516" s="16" t="e">
        <f>NA()</f>
        <v>#N/A</v>
      </c>
      <c r="I516" s="31">
        <v>70</v>
      </c>
      <c r="J516" s="28">
        <v>18.541188890000001</v>
      </c>
      <c r="K516" s="28">
        <v>1.2569298250000001</v>
      </c>
      <c r="L516" s="29">
        <v>0.49281085099999999</v>
      </c>
      <c r="M516" s="16">
        <v>-24.7</v>
      </c>
      <c r="N516" s="39" t="e">
        <v>#N/A</v>
      </c>
      <c r="O516" s="39" t="e">
        <v>#N/A</v>
      </c>
      <c r="P516" s="39" t="e">
        <v>#N/A</v>
      </c>
      <c r="Q516" s="39" t="e">
        <v>#N/A</v>
      </c>
      <c r="R516" s="15">
        <v>1607990400</v>
      </c>
      <c r="S516" t="s">
        <v>23</v>
      </c>
    </row>
    <row r="517" spans="1:19" x14ac:dyDescent="0.2">
      <c r="A517" s="27" t="s">
        <v>558</v>
      </c>
      <c r="B517" s="16">
        <v>7.0999999999999994E-2</v>
      </c>
      <c r="C517" s="16">
        <v>7.1</v>
      </c>
      <c r="D517" s="28">
        <v>1.2079892059999999</v>
      </c>
      <c r="E517" s="16" t="e">
        <f>NA()</f>
        <v>#N/A</v>
      </c>
      <c r="F517" s="16" t="e">
        <f>NA()</f>
        <v>#N/A</v>
      </c>
      <c r="G517" s="16" t="e">
        <f>NA()</f>
        <v>#N/A</v>
      </c>
      <c r="H517" s="16" t="e">
        <f>NA()</f>
        <v>#N/A</v>
      </c>
      <c r="I517" s="31">
        <v>80</v>
      </c>
      <c r="J517" s="28">
        <v>0.52703979300000003</v>
      </c>
      <c r="K517" s="28">
        <v>1.201622623</v>
      </c>
      <c r="L517" s="29">
        <v>0.67820196600000004</v>
      </c>
      <c r="M517" s="16">
        <v>-24.8</v>
      </c>
      <c r="N517" s="39" t="e">
        <v>#N/A</v>
      </c>
      <c r="O517" s="39" t="e">
        <v>#N/A</v>
      </c>
      <c r="P517" s="39" t="e">
        <v>#N/A</v>
      </c>
      <c r="Q517" s="39" t="e">
        <v>#N/A</v>
      </c>
      <c r="R517" s="15">
        <v>1607990400</v>
      </c>
      <c r="S517" t="s">
        <v>23</v>
      </c>
    </row>
    <row r="518" spans="1:19" x14ac:dyDescent="0.2">
      <c r="A518" s="27" t="s">
        <v>559</v>
      </c>
      <c r="B518" s="16">
        <v>0.11</v>
      </c>
      <c r="C518" s="16">
        <v>6.3</v>
      </c>
      <c r="D518" s="28">
        <v>1.192872782</v>
      </c>
      <c r="E518" s="16" t="e">
        <f>NA()</f>
        <v>#N/A</v>
      </c>
      <c r="F518" s="16" t="e">
        <f>NA()</f>
        <v>#N/A</v>
      </c>
      <c r="G518" s="16" t="e">
        <f>NA()</f>
        <v>#N/A</v>
      </c>
      <c r="H518" s="16" t="e">
        <f>NA()</f>
        <v>#N/A</v>
      </c>
      <c r="I518" s="31">
        <v>90</v>
      </c>
      <c r="J518" s="28">
        <v>0</v>
      </c>
      <c r="K518" s="28">
        <v>1.192872782</v>
      </c>
      <c r="L518" s="29">
        <v>1.1447090790000001</v>
      </c>
      <c r="M518" s="16">
        <v>-25.5</v>
      </c>
      <c r="N518" s="39" t="e">
        <v>#N/A</v>
      </c>
      <c r="O518" s="39" t="e">
        <v>#N/A</v>
      </c>
      <c r="P518" s="39" t="e">
        <v>#N/A</v>
      </c>
      <c r="Q518" s="39" t="e">
        <v>#N/A</v>
      </c>
      <c r="R518" s="15">
        <v>1607990400</v>
      </c>
      <c r="S518" t="s">
        <v>23</v>
      </c>
    </row>
    <row r="519" spans="1:19" x14ac:dyDescent="0.2">
      <c r="A519" s="27" t="s">
        <v>560</v>
      </c>
      <c r="B519" s="16">
        <v>8.7999999999999995E-2</v>
      </c>
      <c r="C519" s="16">
        <v>5.3</v>
      </c>
      <c r="D519" s="28">
        <v>1.119098299</v>
      </c>
      <c r="E519" s="16" t="e">
        <f>NA()</f>
        <v>#N/A</v>
      </c>
      <c r="F519" s="16" t="e">
        <f>NA()</f>
        <v>#N/A</v>
      </c>
      <c r="G519" s="16" t="e">
        <f>NA()</f>
        <v>#N/A</v>
      </c>
      <c r="H519" s="16" t="e">
        <f>NA()</f>
        <v>#N/A</v>
      </c>
      <c r="I519" s="31">
        <v>100</v>
      </c>
      <c r="J519" s="28">
        <v>0</v>
      </c>
      <c r="K519" s="28">
        <v>1.119098299</v>
      </c>
      <c r="L519" s="29">
        <v>0.864840316</v>
      </c>
      <c r="M519" s="16">
        <v>-26.2</v>
      </c>
      <c r="N519" s="39" t="e">
        <v>#N/A</v>
      </c>
      <c r="O519" s="39" t="e">
        <v>#N/A</v>
      </c>
      <c r="P519" s="39" t="e">
        <v>#N/A</v>
      </c>
      <c r="Q519" s="39" t="e">
        <v>#N/A</v>
      </c>
      <c r="R519" s="15">
        <v>1607990400</v>
      </c>
      <c r="S519" t="s">
        <v>23</v>
      </c>
    </row>
    <row r="520" spans="1:19" x14ac:dyDescent="0.2">
      <c r="A520" s="27" t="s">
        <v>561</v>
      </c>
      <c r="B520" s="16">
        <v>0.15</v>
      </c>
      <c r="C520" s="16">
        <v>4.8</v>
      </c>
      <c r="D520" s="28">
        <v>0.96159881999999997</v>
      </c>
      <c r="E520" s="16" t="e">
        <f>NA()</f>
        <v>#N/A</v>
      </c>
      <c r="F520" s="16" t="e">
        <f>NA()</f>
        <v>#N/A</v>
      </c>
      <c r="G520" s="16" t="e">
        <f>NA()</f>
        <v>#N/A</v>
      </c>
      <c r="H520" s="16" t="e">
        <f>NA()</f>
        <v>#N/A</v>
      </c>
      <c r="I520" s="31">
        <v>110</v>
      </c>
      <c r="J520" s="28">
        <v>7.8926598000000001E-2</v>
      </c>
      <c r="K520" s="28">
        <v>0.96083986300000002</v>
      </c>
      <c r="L520" s="29">
        <v>1.8588428180000001</v>
      </c>
      <c r="M520" s="16">
        <v>-27.3</v>
      </c>
      <c r="N520" s="39" t="e">
        <v>#N/A</v>
      </c>
      <c r="O520" s="39" t="e">
        <v>#N/A</v>
      </c>
      <c r="P520" s="39" t="e">
        <v>#N/A</v>
      </c>
      <c r="Q520" s="39" t="e">
        <v>#N/A</v>
      </c>
      <c r="R520" s="15">
        <v>1607990400</v>
      </c>
      <c r="S520" t="s">
        <v>23</v>
      </c>
    </row>
    <row r="521" spans="1:19" x14ac:dyDescent="0.2">
      <c r="A521" s="27" t="s">
        <v>562</v>
      </c>
      <c r="B521" s="16">
        <v>0.13</v>
      </c>
      <c r="C521" s="16">
        <v>4</v>
      </c>
      <c r="D521" s="28">
        <v>0.93659205099999998</v>
      </c>
      <c r="E521" s="16" t="e">
        <f>NA()</f>
        <v>#N/A</v>
      </c>
      <c r="F521" s="16" t="e">
        <f>NA()</f>
        <v>#N/A</v>
      </c>
      <c r="G521" s="16" t="e">
        <f>NA()</f>
        <v>#N/A</v>
      </c>
      <c r="H521" s="16" t="e">
        <f>NA()</f>
        <v>#N/A</v>
      </c>
      <c r="I521" s="31">
        <v>120</v>
      </c>
      <c r="J521" s="28">
        <v>0</v>
      </c>
      <c r="K521" s="28">
        <v>0.93659205099999998</v>
      </c>
      <c r="L521" s="29">
        <v>1.561296008</v>
      </c>
      <c r="M521" s="16">
        <v>-27.4</v>
      </c>
      <c r="N521" s="39" t="e">
        <v>#N/A</v>
      </c>
      <c r="O521" s="39" t="e">
        <v>#N/A</v>
      </c>
      <c r="P521" s="39" t="e">
        <v>#N/A</v>
      </c>
      <c r="Q521" s="39" t="e">
        <v>#N/A</v>
      </c>
      <c r="R521" s="15">
        <v>1607990400</v>
      </c>
      <c r="S521" t="s">
        <v>23</v>
      </c>
    </row>
    <row r="522" spans="1:19" x14ac:dyDescent="0.2">
      <c r="A522" s="27" t="s">
        <v>563</v>
      </c>
      <c r="B522" s="16">
        <v>0.18</v>
      </c>
      <c r="C522" s="16">
        <v>6.6</v>
      </c>
      <c r="D522" s="28">
        <v>1.3080936249999999</v>
      </c>
      <c r="E522" s="16" t="e">
        <f>NA()</f>
        <v>#N/A</v>
      </c>
      <c r="F522" s="16" t="e">
        <f>NA()</f>
        <v>#N/A</v>
      </c>
      <c r="G522" s="16" t="e">
        <f>NA()</f>
        <v>#N/A</v>
      </c>
      <c r="H522" s="16" t="e">
        <f>NA()</f>
        <v>#N/A</v>
      </c>
      <c r="I522" s="31">
        <v>10</v>
      </c>
      <c r="J522" s="16" t="e">
        <f>NA()</f>
        <v>#N/A</v>
      </c>
      <c r="K522" s="28">
        <v>1.3080936249999999</v>
      </c>
      <c r="L522" s="29">
        <v>1.60027473</v>
      </c>
      <c r="M522" s="16">
        <v>-22.85</v>
      </c>
      <c r="N522" s="39" t="e">
        <v>#N/A</v>
      </c>
      <c r="O522" s="39" t="e">
        <v>#N/A</v>
      </c>
      <c r="P522" s="39" t="e">
        <v>#N/A</v>
      </c>
      <c r="Q522" s="39" t="e">
        <v>#N/A</v>
      </c>
      <c r="R522" s="15">
        <v>1607990400</v>
      </c>
      <c r="S522" t="s">
        <v>23</v>
      </c>
    </row>
    <row r="523" spans="1:19" x14ac:dyDescent="0.2">
      <c r="A523" s="27" t="s">
        <v>564</v>
      </c>
      <c r="B523" s="16">
        <v>0.15</v>
      </c>
      <c r="C523" s="16">
        <v>7.4</v>
      </c>
      <c r="D523" s="28">
        <v>1.353775991</v>
      </c>
      <c r="E523" s="16" t="e">
        <f>NA()</f>
        <v>#N/A</v>
      </c>
      <c r="F523" s="16" t="e">
        <f>NA()</f>
        <v>#N/A</v>
      </c>
      <c r="G523" s="16" t="e">
        <f>NA()</f>
        <v>#N/A</v>
      </c>
      <c r="H523" s="16" t="e">
        <f>NA()</f>
        <v>#N/A</v>
      </c>
      <c r="I523" s="31">
        <v>20</v>
      </c>
      <c r="J523" s="16" t="e">
        <f>NA()</f>
        <v>#N/A</v>
      </c>
      <c r="K523" s="28">
        <v>1.353775991</v>
      </c>
      <c r="L523" s="29">
        <v>1.2432268289999999</v>
      </c>
      <c r="M523" s="16">
        <v>-23.3</v>
      </c>
      <c r="N523" s="39" t="e">
        <v>#N/A</v>
      </c>
      <c r="O523" s="39" t="e">
        <v>#N/A</v>
      </c>
      <c r="P523" s="39" t="e">
        <v>#N/A</v>
      </c>
      <c r="Q523" s="39" t="e">
        <v>#N/A</v>
      </c>
      <c r="R523" s="15">
        <v>1607990400</v>
      </c>
      <c r="S523" t="s">
        <v>23</v>
      </c>
    </row>
    <row r="524" spans="1:19" x14ac:dyDescent="0.2">
      <c r="A524" s="27" t="s">
        <v>565</v>
      </c>
      <c r="B524" s="16">
        <v>5.3999999999999999E-2</v>
      </c>
      <c r="C524" s="16">
        <v>6.6</v>
      </c>
      <c r="D524" s="28">
        <v>1.540169994</v>
      </c>
      <c r="E524" s="16" t="e">
        <f>NA()</f>
        <v>#N/A</v>
      </c>
      <c r="F524" s="16" t="e">
        <f>NA()</f>
        <v>#N/A</v>
      </c>
      <c r="G524" s="16" t="e">
        <f>NA()</f>
        <v>#N/A</v>
      </c>
      <c r="H524" s="16" t="e">
        <f>NA()</f>
        <v>#N/A</v>
      </c>
      <c r="I524" s="31">
        <v>30</v>
      </c>
      <c r="J524" s="16" t="e">
        <f>NA()</f>
        <v>#N/A</v>
      </c>
      <c r="K524" s="28">
        <v>1.540169994</v>
      </c>
      <c r="L524" s="29">
        <v>0.31758720899999998</v>
      </c>
      <c r="M524" s="16">
        <v>-23.1</v>
      </c>
      <c r="N524" s="39" t="e">
        <v>#N/A</v>
      </c>
      <c r="O524" s="39" t="e">
        <v>#N/A</v>
      </c>
      <c r="P524" s="39" t="e">
        <v>#N/A</v>
      </c>
      <c r="Q524" s="39" t="e">
        <v>#N/A</v>
      </c>
      <c r="R524" s="15">
        <v>1607990400</v>
      </c>
      <c r="S524" t="s">
        <v>23</v>
      </c>
    </row>
    <row r="525" spans="1:19" x14ac:dyDescent="0.2">
      <c r="A525" s="27" t="s">
        <v>566</v>
      </c>
      <c r="B525" s="16">
        <v>5.5E-2</v>
      </c>
      <c r="C525" s="16">
        <v>6.1</v>
      </c>
      <c r="D525" s="28">
        <v>1.6626756709999999</v>
      </c>
      <c r="E525" s="16" t="e">
        <f>NA()</f>
        <v>#N/A</v>
      </c>
      <c r="F525" s="16" t="e">
        <f>NA()</f>
        <v>#N/A</v>
      </c>
      <c r="G525" s="16" t="e">
        <f>NA()</f>
        <v>#N/A</v>
      </c>
      <c r="H525" s="16" t="e">
        <f>NA()</f>
        <v>#N/A</v>
      </c>
      <c r="I525" s="31">
        <v>40</v>
      </c>
      <c r="J525" s="16" t="e">
        <f>NA()</f>
        <v>#N/A</v>
      </c>
      <c r="K525" s="28">
        <v>1.6626756709999999</v>
      </c>
      <c r="L525" s="29">
        <v>0.28631937299999999</v>
      </c>
      <c r="M525" s="16">
        <v>-23.2</v>
      </c>
      <c r="N525" s="39" t="e">
        <v>#N/A</v>
      </c>
      <c r="O525" s="39" t="e">
        <v>#N/A</v>
      </c>
      <c r="P525" s="39" t="e">
        <v>#N/A</v>
      </c>
      <c r="Q525" s="39" t="e">
        <v>#N/A</v>
      </c>
      <c r="R525" s="15">
        <v>1607990400</v>
      </c>
      <c r="S525" t="s">
        <v>23</v>
      </c>
    </row>
    <row r="526" spans="1:19" x14ac:dyDescent="0.2">
      <c r="A526" s="27" t="s">
        <v>567</v>
      </c>
      <c r="B526" s="16">
        <v>5.3999999999999999E-2</v>
      </c>
      <c r="C526" s="16">
        <v>5.0999999999999996</v>
      </c>
      <c r="D526" s="28">
        <v>1.3916265880000001</v>
      </c>
      <c r="E526" s="16" t="e">
        <f>NA()</f>
        <v>#N/A</v>
      </c>
      <c r="F526" s="16" t="e">
        <f>NA()</f>
        <v>#N/A</v>
      </c>
      <c r="G526" s="16" t="e">
        <f>NA()</f>
        <v>#N/A</v>
      </c>
      <c r="H526" s="16" t="e">
        <f>NA()</f>
        <v>#N/A</v>
      </c>
      <c r="I526" s="31">
        <v>50</v>
      </c>
      <c r="J526" s="16" t="e">
        <f>NA()</f>
        <v>#N/A</v>
      </c>
      <c r="K526" s="28">
        <v>1.3916265880000001</v>
      </c>
      <c r="L526" s="29">
        <v>0.20473495</v>
      </c>
      <c r="M526" s="16">
        <v>-22.4</v>
      </c>
      <c r="N526" s="39" t="e">
        <v>#N/A</v>
      </c>
      <c r="O526" s="39" t="e">
        <v>#N/A</v>
      </c>
      <c r="P526" s="39" t="e">
        <v>#N/A</v>
      </c>
      <c r="Q526" s="39" t="e">
        <v>#N/A</v>
      </c>
      <c r="R526" s="15">
        <v>1607990400</v>
      </c>
      <c r="S526" t="s">
        <v>23</v>
      </c>
    </row>
    <row r="527" spans="1:19" x14ac:dyDescent="0.2">
      <c r="A527" s="27" t="s">
        <v>568</v>
      </c>
      <c r="B527" s="16">
        <v>6.0999999999999999E-2</v>
      </c>
      <c r="C527" s="16">
        <v>5.9</v>
      </c>
      <c r="D527" s="28">
        <v>1.2806133399999999</v>
      </c>
      <c r="E527" s="16" t="e">
        <f>NA()</f>
        <v>#N/A</v>
      </c>
      <c r="F527" s="16" t="e">
        <f>NA()</f>
        <v>#N/A</v>
      </c>
      <c r="G527" s="16" t="e">
        <f>NA()</f>
        <v>#N/A</v>
      </c>
      <c r="H527" s="16" t="e">
        <f>NA()</f>
        <v>#N/A</v>
      </c>
      <c r="I527" s="31">
        <v>60</v>
      </c>
      <c r="J527" s="16" t="e">
        <f>NA()</f>
        <v>#N/A</v>
      </c>
      <c r="K527" s="28">
        <v>1.2806133399999999</v>
      </c>
      <c r="L527" s="29">
        <v>0.24170421</v>
      </c>
      <c r="M527" s="16">
        <v>-22.2</v>
      </c>
      <c r="N527" s="39" t="e">
        <v>#N/A</v>
      </c>
      <c r="O527" s="39" t="e">
        <v>#N/A</v>
      </c>
      <c r="P527" s="39" t="e">
        <v>#N/A</v>
      </c>
      <c r="Q527" s="39" t="e">
        <v>#N/A</v>
      </c>
      <c r="R527" s="15">
        <v>1607990400</v>
      </c>
      <c r="S527" t="s">
        <v>23</v>
      </c>
    </row>
    <row r="528" spans="1:19" x14ac:dyDescent="0.2">
      <c r="A528" s="27" t="s">
        <v>569</v>
      </c>
      <c r="B528" s="16">
        <v>5.7000000000000002E-2</v>
      </c>
      <c r="C528" s="16">
        <v>4.9000000000000004</v>
      </c>
      <c r="D528" s="28">
        <v>1.744516687</v>
      </c>
      <c r="E528" s="16" t="e">
        <f>NA()</f>
        <v>#N/A</v>
      </c>
      <c r="F528" s="16" t="e">
        <f>NA()</f>
        <v>#N/A</v>
      </c>
      <c r="G528" s="16" t="e">
        <f>NA()</f>
        <v>#N/A</v>
      </c>
      <c r="H528" s="16" t="e">
        <f>NA()</f>
        <v>#N/A</v>
      </c>
      <c r="I528" s="31">
        <v>70</v>
      </c>
      <c r="J528" s="16" t="e">
        <f>NA()</f>
        <v>#N/A</v>
      </c>
      <c r="K528" s="28">
        <v>1.744516687</v>
      </c>
      <c r="L528" s="29">
        <v>0.19644078400000001</v>
      </c>
      <c r="M528" s="16">
        <v>-22.7</v>
      </c>
      <c r="N528" s="39" t="e">
        <v>#N/A</v>
      </c>
      <c r="O528" s="39" t="e">
        <v>#N/A</v>
      </c>
      <c r="P528" s="39" t="e">
        <v>#N/A</v>
      </c>
      <c r="Q528" s="39" t="e">
        <v>#N/A</v>
      </c>
      <c r="R528" s="15">
        <v>1607990400</v>
      </c>
      <c r="S528" t="s">
        <v>23</v>
      </c>
    </row>
    <row r="529" spans="1:19" x14ac:dyDescent="0.2">
      <c r="A529" s="27" t="s">
        <v>570</v>
      </c>
      <c r="B529" s="16">
        <v>4.8500000000000001E-2</v>
      </c>
      <c r="C529" s="16">
        <v>3.3</v>
      </c>
      <c r="D529" s="28">
        <v>1.5454743520000001</v>
      </c>
      <c r="E529" s="16" t="e">
        <f>NA()</f>
        <v>#N/A</v>
      </c>
      <c r="F529" s="16" t="e">
        <f>NA()</f>
        <v>#N/A</v>
      </c>
      <c r="G529" s="16" t="e">
        <f>NA()</f>
        <v>#N/A</v>
      </c>
      <c r="H529" s="16" t="e">
        <f>NA()</f>
        <v>#N/A</v>
      </c>
      <c r="I529" s="31">
        <v>80</v>
      </c>
      <c r="J529" s="16" t="e">
        <f>NA()</f>
        <v>#N/A</v>
      </c>
      <c r="K529" s="28">
        <v>1.5454743520000001</v>
      </c>
      <c r="L529" s="29">
        <v>1.25380833</v>
      </c>
      <c r="M529" s="16">
        <v>-3.2</v>
      </c>
      <c r="N529" s="39" t="e">
        <v>#N/A</v>
      </c>
      <c r="O529" s="39" t="e">
        <v>#N/A</v>
      </c>
      <c r="P529" s="39" t="e">
        <v>#N/A</v>
      </c>
      <c r="Q529" s="39" t="e">
        <v>#N/A</v>
      </c>
      <c r="R529" s="15">
        <v>1607990400</v>
      </c>
      <c r="S529" t="s">
        <v>23</v>
      </c>
    </row>
    <row r="530" spans="1:19" x14ac:dyDescent="0.2">
      <c r="A530" s="27" t="s">
        <v>571</v>
      </c>
      <c r="B530" s="16">
        <v>4.2000000000000003E-2</v>
      </c>
      <c r="C530" s="16">
        <v>2</v>
      </c>
      <c r="D530" s="28">
        <v>1.801524997</v>
      </c>
      <c r="E530" s="16" t="e">
        <f>NA()</f>
        <v>#N/A</v>
      </c>
      <c r="F530" s="16" t="e">
        <f>NA()</f>
        <v>#N/A</v>
      </c>
      <c r="G530" s="16" t="e">
        <f>NA()</f>
        <v>#N/A</v>
      </c>
      <c r="H530" s="16" t="e">
        <f>NA()</f>
        <v>#N/A</v>
      </c>
      <c r="I530" s="31">
        <v>90</v>
      </c>
      <c r="J530" s="16" t="e">
        <f>NA()</f>
        <v>#N/A</v>
      </c>
      <c r="K530" s="28">
        <v>1.801524997</v>
      </c>
      <c r="L530" s="29">
        <v>1.713789402</v>
      </c>
      <c r="M530" s="16">
        <v>-1.6</v>
      </c>
      <c r="N530" s="39" t="e">
        <v>#N/A</v>
      </c>
      <c r="O530" s="39" t="e">
        <v>#N/A</v>
      </c>
      <c r="P530" s="39" t="e">
        <v>#N/A</v>
      </c>
      <c r="Q530" s="39" t="e">
        <v>#N/A</v>
      </c>
      <c r="R530" s="15">
        <v>1607990400</v>
      </c>
      <c r="S530" t="s">
        <v>23</v>
      </c>
    </row>
    <row r="531" spans="1:19" x14ac:dyDescent="0.2">
      <c r="A531" s="27" t="s">
        <v>572</v>
      </c>
      <c r="B531" s="16">
        <v>3.6999999999999998E-2</v>
      </c>
      <c r="C531" s="16">
        <v>1.1000000000000001</v>
      </c>
      <c r="D531" s="28">
        <v>1.8836866990000001</v>
      </c>
      <c r="E531" s="16" t="e">
        <f>NA()</f>
        <v>#N/A</v>
      </c>
      <c r="F531" s="16" t="e">
        <f>NA()</f>
        <v>#N/A</v>
      </c>
      <c r="G531" s="16" t="e">
        <f>NA()</f>
        <v>#N/A</v>
      </c>
      <c r="H531" s="16" t="e">
        <f>NA()</f>
        <v>#N/A</v>
      </c>
      <c r="I531" s="31">
        <v>100</v>
      </c>
      <c r="J531" s="16" t="e">
        <f>NA()</f>
        <v>#N/A</v>
      </c>
      <c r="K531" s="28">
        <v>1.8836866990000001</v>
      </c>
      <c r="L531" s="29">
        <v>1.8471893660000001</v>
      </c>
      <c r="M531" s="16">
        <v>-1.2</v>
      </c>
      <c r="N531" s="39" t="e">
        <v>#N/A</v>
      </c>
      <c r="O531" s="39" t="e">
        <v>#N/A</v>
      </c>
      <c r="P531" s="39" t="e">
        <v>#N/A</v>
      </c>
      <c r="Q531" s="39" t="e">
        <v>#N/A</v>
      </c>
      <c r="R531" s="15">
        <v>1607990400</v>
      </c>
      <c r="S531" t="s">
        <v>23</v>
      </c>
    </row>
    <row r="532" spans="1:19" x14ac:dyDescent="0.2">
      <c r="A532" s="27" t="s">
        <v>573</v>
      </c>
      <c r="B532" s="16">
        <v>3.7999999999999999E-2</v>
      </c>
      <c r="C532" s="16">
        <v>1.6</v>
      </c>
      <c r="D532" s="28">
        <v>1.8565326</v>
      </c>
      <c r="E532" s="16" t="e">
        <f>NA()</f>
        <v>#N/A</v>
      </c>
      <c r="F532" s="16" t="e">
        <f>NA()</f>
        <v>#N/A</v>
      </c>
      <c r="G532" s="16" t="e">
        <f>NA()</f>
        <v>#N/A</v>
      </c>
      <c r="H532" s="16" t="e">
        <f>NA()</f>
        <v>#N/A</v>
      </c>
      <c r="I532" s="31">
        <v>110</v>
      </c>
      <c r="J532" s="16" t="e">
        <f>NA()</f>
        <v>#N/A</v>
      </c>
      <c r="K532" s="28">
        <v>1.8565326</v>
      </c>
      <c r="L532" s="29">
        <v>1.773104719</v>
      </c>
      <c r="M532" s="16">
        <v>-1</v>
      </c>
      <c r="N532" s="39" t="e">
        <v>#N/A</v>
      </c>
      <c r="O532" s="39" t="e">
        <v>#N/A</v>
      </c>
      <c r="P532" s="39" t="e">
        <v>#N/A</v>
      </c>
      <c r="Q532" s="39" t="e">
        <v>#N/A</v>
      </c>
      <c r="R532" s="15">
        <v>1607990400</v>
      </c>
      <c r="S532" t="s">
        <v>23</v>
      </c>
    </row>
    <row r="533" spans="1:19" x14ac:dyDescent="0.2">
      <c r="A533" s="27" t="s">
        <v>574</v>
      </c>
      <c r="B533" s="16">
        <v>3.9E-2</v>
      </c>
      <c r="C533" s="16">
        <v>0.9</v>
      </c>
      <c r="D533" s="28">
        <v>1.868744856</v>
      </c>
      <c r="E533" s="16" t="e">
        <f>NA()</f>
        <v>#N/A</v>
      </c>
      <c r="F533" s="16" t="e">
        <f>NA()</f>
        <v>#N/A</v>
      </c>
      <c r="G533" s="16" t="e">
        <f>NA()</f>
        <v>#N/A</v>
      </c>
      <c r="H533" s="16" t="e">
        <f>NA()</f>
        <v>#N/A</v>
      </c>
      <c r="I533" s="31">
        <v>118</v>
      </c>
      <c r="J533" s="16" t="e">
        <f>NA()</f>
        <v>#N/A</v>
      </c>
      <c r="K533" s="28">
        <v>1.868744856</v>
      </c>
      <c r="L533" s="29">
        <v>1.5524981710000001</v>
      </c>
      <c r="M533" s="16">
        <v>-1.4</v>
      </c>
      <c r="N533" s="39" t="e">
        <v>#N/A</v>
      </c>
      <c r="O533" s="39" t="e">
        <v>#N/A</v>
      </c>
      <c r="P533" s="39" t="e">
        <v>#N/A</v>
      </c>
      <c r="Q533" s="39" t="e">
        <v>#N/A</v>
      </c>
      <c r="R533" s="15">
        <v>1607990400</v>
      </c>
      <c r="S533" t="s">
        <v>23</v>
      </c>
    </row>
    <row r="534" spans="1:19" x14ac:dyDescent="0.2">
      <c r="A534" s="27" t="s">
        <v>575</v>
      </c>
      <c r="B534" s="16">
        <v>0.21</v>
      </c>
      <c r="C534" s="16">
        <v>6.1</v>
      </c>
      <c r="D534" s="28">
        <v>1.1172004600000001</v>
      </c>
      <c r="E534" s="16" t="e">
        <f>NA()</f>
        <v>#N/A</v>
      </c>
      <c r="F534" s="16" t="e">
        <f>NA()</f>
        <v>#N/A</v>
      </c>
      <c r="G534" s="16" t="e">
        <f>NA()</f>
        <v>#N/A</v>
      </c>
      <c r="H534" s="16" t="e">
        <f>NA()</f>
        <v>#N/A</v>
      </c>
      <c r="I534" s="31">
        <v>10</v>
      </c>
      <c r="J534" s="16" t="e">
        <f>NA()</f>
        <v>#N/A</v>
      </c>
      <c r="K534" s="28">
        <v>1.1172004600000001</v>
      </c>
      <c r="L534" s="29">
        <v>1.8707731009999999</v>
      </c>
      <c r="M534" s="16">
        <v>-22.5</v>
      </c>
      <c r="N534" s="39" t="e">
        <v>#N/A</v>
      </c>
      <c r="O534" s="39" t="e">
        <v>#N/A</v>
      </c>
      <c r="P534" s="39" t="e">
        <v>#N/A</v>
      </c>
      <c r="Q534" s="39" t="e">
        <v>#N/A</v>
      </c>
      <c r="R534" s="15">
        <v>1607990400</v>
      </c>
      <c r="S534" t="s">
        <v>23</v>
      </c>
    </row>
    <row r="535" spans="1:19" x14ac:dyDescent="0.2">
      <c r="A535" s="27" t="s">
        <v>576</v>
      </c>
      <c r="B535" s="16">
        <v>0.15</v>
      </c>
      <c r="C535" s="16">
        <v>7</v>
      </c>
      <c r="D535" s="28">
        <v>1.2600477640000001</v>
      </c>
      <c r="E535" s="16" t="e">
        <f>NA()</f>
        <v>#N/A</v>
      </c>
      <c r="F535" s="16" t="e">
        <f>NA()</f>
        <v>#N/A</v>
      </c>
      <c r="G535" s="16" t="e">
        <f>NA()</f>
        <v>#N/A</v>
      </c>
      <c r="H535" s="16" t="e">
        <f>NA()</f>
        <v>#N/A</v>
      </c>
      <c r="I535" s="31">
        <v>20</v>
      </c>
      <c r="J535" s="16" t="e">
        <f>NA()</f>
        <v>#N/A</v>
      </c>
      <c r="K535" s="28">
        <v>1.2600477640000001</v>
      </c>
      <c r="L535" s="29">
        <v>1.248794282</v>
      </c>
      <c r="M535" s="16">
        <v>-23</v>
      </c>
      <c r="N535" s="39" t="e">
        <v>#N/A</v>
      </c>
      <c r="O535" s="39" t="e">
        <v>#N/A</v>
      </c>
      <c r="P535" s="39" t="e">
        <v>#N/A</v>
      </c>
      <c r="Q535" s="39" t="e">
        <v>#N/A</v>
      </c>
      <c r="R535" s="15">
        <v>1607990400</v>
      </c>
      <c r="S535" t="s">
        <v>23</v>
      </c>
    </row>
    <row r="536" spans="1:19" x14ac:dyDescent="0.2">
      <c r="A536" s="27" t="s">
        <v>577</v>
      </c>
      <c r="B536" s="16">
        <v>7.6999999999999999E-2</v>
      </c>
      <c r="C536" s="16">
        <v>6.05</v>
      </c>
      <c r="D536" s="28">
        <v>1.5421200770000001</v>
      </c>
      <c r="E536" s="16" t="e">
        <f>NA()</f>
        <v>#N/A</v>
      </c>
      <c r="F536" s="16" t="e">
        <f>NA()</f>
        <v>#N/A</v>
      </c>
      <c r="G536" s="16" t="e">
        <f>NA()</f>
        <v>#N/A</v>
      </c>
      <c r="H536" s="16" t="e">
        <f>NA()</f>
        <v>#N/A</v>
      </c>
      <c r="I536" s="31">
        <v>30</v>
      </c>
      <c r="J536" s="16" t="e">
        <f>NA()</f>
        <v>#N/A</v>
      </c>
      <c r="K536" s="28">
        <v>1.5421200770000001</v>
      </c>
      <c r="L536" s="29">
        <v>0.49775201400000002</v>
      </c>
      <c r="M536" s="16">
        <v>-23.3</v>
      </c>
      <c r="N536" s="39" t="e">
        <v>#N/A</v>
      </c>
      <c r="O536" s="39" t="e">
        <v>#N/A</v>
      </c>
      <c r="P536" s="39" t="e">
        <v>#N/A</v>
      </c>
      <c r="Q536" s="39" t="e">
        <v>#N/A</v>
      </c>
      <c r="R536" s="15">
        <v>1607990400</v>
      </c>
      <c r="S536" t="s">
        <v>23</v>
      </c>
    </row>
    <row r="537" spans="1:19" x14ac:dyDescent="0.2">
      <c r="A537" s="27" t="s">
        <v>578</v>
      </c>
      <c r="B537" s="16">
        <v>6.7000000000000004E-2</v>
      </c>
      <c r="C537" s="16">
        <v>5.7</v>
      </c>
      <c r="D537" s="28">
        <v>1.4124610799999999</v>
      </c>
      <c r="E537" s="16" t="e">
        <f>NA()</f>
        <v>#N/A</v>
      </c>
      <c r="F537" s="16" t="e">
        <f>NA()</f>
        <v>#N/A</v>
      </c>
      <c r="G537" s="16" t="e">
        <f>NA()</f>
        <v>#N/A</v>
      </c>
      <c r="H537" s="16" t="e">
        <f>NA()</f>
        <v>#N/A</v>
      </c>
      <c r="I537" s="31">
        <v>40</v>
      </c>
      <c r="J537" s="16" t="e">
        <f>NA()</f>
        <v>#N/A</v>
      </c>
      <c r="K537" s="28">
        <v>1.4124610799999999</v>
      </c>
      <c r="L537" s="29">
        <v>0.368763175</v>
      </c>
      <c r="M537" s="16">
        <v>-23.1</v>
      </c>
      <c r="N537" s="39" t="e">
        <v>#N/A</v>
      </c>
      <c r="O537" s="39" t="e">
        <v>#N/A</v>
      </c>
      <c r="P537" s="39" t="e">
        <v>#N/A</v>
      </c>
      <c r="Q537" s="39" t="e">
        <v>#N/A</v>
      </c>
      <c r="R537" s="15">
        <v>1607990400</v>
      </c>
      <c r="S537" t="s">
        <v>23</v>
      </c>
    </row>
    <row r="538" spans="1:19" x14ac:dyDescent="0.2">
      <c r="A538" s="27" t="s">
        <v>579</v>
      </c>
      <c r="B538" s="16">
        <v>7.3999999999999996E-2</v>
      </c>
      <c r="C538" s="16">
        <v>5.6</v>
      </c>
      <c r="D538" s="28">
        <v>1.492212707</v>
      </c>
      <c r="E538" s="16" t="e">
        <f>NA()</f>
        <v>#N/A</v>
      </c>
      <c r="F538" s="16" t="e">
        <f>NA()</f>
        <v>#N/A</v>
      </c>
      <c r="G538" s="16" t="e">
        <f>NA()</f>
        <v>#N/A</v>
      </c>
      <c r="H538" s="16" t="e">
        <f>NA()</f>
        <v>#N/A</v>
      </c>
      <c r="I538" s="31">
        <v>50</v>
      </c>
      <c r="J538" s="16" t="e">
        <f>NA()</f>
        <v>#N/A</v>
      </c>
      <c r="K538" s="28">
        <v>1.492212707</v>
      </c>
      <c r="L538" s="29">
        <v>0.406138108</v>
      </c>
      <c r="M538" s="16">
        <v>-23.4</v>
      </c>
      <c r="N538" s="39" t="e">
        <v>#N/A</v>
      </c>
      <c r="O538" s="39" t="e">
        <v>#N/A</v>
      </c>
      <c r="P538" s="39" t="e">
        <v>#N/A</v>
      </c>
      <c r="Q538" s="39" t="e">
        <v>#N/A</v>
      </c>
      <c r="R538" s="15">
        <v>1607990400</v>
      </c>
      <c r="S538" t="s">
        <v>23</v>
      </c>
    </row>
    <row r="539" spans="1:19" x14ac:dyDescent="0.2">
      <c r="A539" s="27" t="s">
        <v>580</v>
      </c>
      <c r="B539" s="16">
        <v>7.0999999999999994E-2</v>
      </c>
      <c r="C539" s="16">
        <v>5.3</v>
      </c>
      <c r="D539" s="28">
        <v>1.4665321630000001</v>
      </c>
      <c r="E539" s="16" t="e">
        <f>NA()</f>
        <v>#N/A</v>
      </c>
      <c r="F539" s="16" t="e">
        <f>NA()</f>
        <v>#N/A</v>
      </c>
      <c r="G539" s="16" t="e">
        <f>NA()</f>
        <v>#N/A</v>
      </c>
      <c r="H539" s="16" t="e">
        <f>NA()</f>
        <v>#N/A</v>
      </c>
      <c r="I539" s="31">
        <v>60</v>
      </c>
      <c r="J539" s="16" t="e">
        <f>NA()</f>
        <v>#N/A</v>
      </c>
      <c r="K539" s="28">
        <v>1.4665321630000001</v>
      </c>
      <c r="L539" s="29">
        <v>0.36976824800000002</v>
      </c>
      <c r="M539" s="16">
        <v>-22.4</v>
      </c>
      <c r="N539" s="39" t="e">
        <v>#N/A</v>
      </c>
      <c r="O539" s="39" t="e">
        <v>#N/A</v>
      </c>
      <c r="P539" s="39" t="e">
        <v>#N/A</v>
      </c>
      <c r="Q539" s="39" t="e">
        <v>#N/A</v>
      </c>
      <c r="R539" s="15">
        <v>1607990400</v>
      </c>
      <c r="S539" t="s">
        <v>23</v>
      </c>
    </row>
    <row r="540" spans="1:19" x14ac:dyDescent="0.2">
      <c r="A540" s="27" t="s">
        <v>581</v>
      </c>
      <c r="B540" s="16">
        <v>0.04</v>
      </c>
      <c r="C540" s="16">
        <v>2.9</v>
      </c>
      <c r="D540" s="28">
        <v>1.1259803610000001</v>
      </c>
      <c r="E540" s="16" t="e">
        <f>NA()</f>
        <v>#N/A</v>
      </c>
      <c r="F540" s="16" t="e">
        <f>NA()</f>
        <v>#N/A</v>
      </c>
      <c r="G540" s="16" t="e">
        <f>NA()</f>
        <v>#N/A</v>
      </c>
      <c r="H540" s="16" t="e">
        <f>NA()</f>
        <v>#N/A</v>
      </c>
      <c r="I540" s="31">
        <v>70</v>
      </c>
      <c r="J540" s="16" t="e">
        <f>NA()</f>
        <v>#N/A</v>
      </c>
      <c r="K540" s="28">
        <v>1.1259803610000001</v>
      </c>
      <c r="L540" s="29">
        <v>2.7691826669999999</v>
      </c>
      <c r="M540" s="16">
        <v>-2</v>
      </c>
      <c r="N540" s="39" t="e">
        <v>#N/A</v>
      </c>
      <c r="O540" s="39" t="e">
        <v>#N/A</v>
      </c>
      <c r="P540" s="39" t="e">
        <v>#N/A</v>
      </c>
      <c r="Q540" s="39" t="e">
        <v>#N/A</v>
      </c>
      <c r="R540" s="15">
        <v>1607990400</v>
      </c>
      <c r="S540" t="s">
        <v>23</v>
      </c>
    </row>
    <row r="541" spans="1:19" x14ac:dyDescent="0.2">
      <c r="A541" s="27" t="s">
        <v>582</v>
      </c>
      <c r="B541" s="16">
        <v>3.5000000000000003E-2</v>
      </c>
      <c r="C541" s="16">
        <v>1.3</v>
      </c>
      <c r="D541" s="28">
        <v>1.486237322</v>
      </c>
      <c r="E541" s="16" t="e">
        <f>NA()</f>
        <v>#N/A</v>
      </c>
      <c r="F541" s="16" t="e">
        <f>NA()</f>
        <v>#N/A</v>
      </c>
      <c r="G541" s="16" t="e">
        <f>NA()</f>
        <v>#N/A</v>
      </c>
      <c r="H541" s="16" t="e">
        <f>NA()</f>
        <v>#N/A</v>
      </c>
      <c r="I541" s="31">
        <v>80</v>
      </c>
      <c r="J541" s="16" t="e">
        <f>NA()</f>
        <v>#N/A</v>
      </c>
      <c r="K541" s="28">
        <v>1.486237322</v>
      </c>
      <c r="L541" s="29">
        <v>2.2264259219999998</v>
      </c>
      <c r="M541" s="16">
        <v>-1.1000000000000001</v>
      </c>
      <c r="N541" s="39" t="e">
        <v>#N/A</v>
      </c>
      <c r="O541" s="39" t="e">
        <v>#N/A</v>
      </c>
      <c r="P541" s="39" t="e">
        <v>#N/A</v>
      </c>
      <c r="Q541" s="39" t="e">
        <v>#N/A</v>
      </c>
      <c r="R541" s="15">
        <v>1607990400</v>
      </c>
      <c r="S541" t="s">
        <v>23</v>
      </c>
    </row>
    <row r="542" spans="1:19" x14ac:dyDescent="0.2">
      <c r="A542" s="27" t="s">
        <v>583</v>
      </c>
      <c r="B542" s="16">
        <v>4.1000000000000002E-2</v>
      </c>
      <c r="C542" s="16">
        <v>1.4</v>
      </c>
      <c r="D542" s="28">
        <v>1.5452711400000001</v>
      </c>
      <c r="E542" s="16" t="e">
        <f>NA()</f>
        <v>#N/A</v>
      </c>
      <c r="F542" s="16" t="e">
        <f>NA()</f>
        <v>#N/A</v>
      </c>
      <c r="G542" s="16" t="e">
        <f>NA()</f>
        <v>#N/A</v>
      </c>
      <c r="H542" s="16" t="e">
        <f>NA()</f>
        <v>#N/A</v>
      </c>
      <c r="I542" s="31">
        <v>90</v>
      </c>
      <c r="J542" s="16" t="e">
        <f>NA()</f>
        <v>#N/A</v>
      </c>
      <c r="K542" s="28">
        <v>1.5452711400000001</v>
      </c>
      <c r="L542" s="29">
        <v>1.7173868960000001</v>
      </c>
      <c r="M542" s="16">
        <v>-1.6</v>
      </c>
      <c r="N542" s="39" t="e">
        <v>#N/A</v>
      </c>
      <c r="O542" s="39" t="e">
        <v>#N/A</v>
      </c>
      <c r="P542" s="39" t="e">
        <v>#N/A</v>
      </c>
      <c r="Q542" s="39" t="e">
        <v>#N/A</v>
      </c>
      <c r="R542" s="15">
        <v>1607990400</v>
      </c>
      <c r="S542" t="s">
        <v>23</v>
      </c>
    </row>
    <row r="543" spans="1:19" x14ac:dyDescent="0.2">
      <c r="A543" s="27" t="s">
        <v>584</v>
      </c>
      <c r="B543" s="16">
        <v>4.3999999999999997E-2</v>
      </c>
      <c r="C543" s="16">
        <v>2.4</v>
      </c>
      <c r="D543" s="28">
        <v>2.2390057790000002</v>
      </c>
      <c r="E543" s="16" t="e">
        <f>NA()</f>
        <v>#N/A</v>
      </c>
      <c r="F543" s="16" t="e">
        <f>NA()</f>
        <v>#N/A</v>
      </c>
      <c r="G543" s="16" t="e">
        <f>NA()</f>
        <v>#N/A</v>
      </c>
      <c r="H543" s="16" t="e">
        <f>NA()</f>
        <v>#N/A</v>
      </c>
      <c r="I543" s="31">
        <v>97</v>
      </c>
      <c r="J543" s="16" t="e">
        <f>NA()</f>
        <v>#N/A</v>
      </c>
      <c r="K543" s="28">
        <v>2.2390057790000002</v>
      </c>
      <c r="L543" s="29">
        <v>1.690944617</v>
      </c>
      <c r="M543" s="16">
        <v>-2</v>
      </c>
      <c r="N543" s="39" t="e">
        <v>#N/A</v>
      </c>
      <c r="O543" s="39" t="e">
        <v>#N/A</v>
      </c>
      <c r="P543" s="39" t="e">
        <v>#N/A</v>
      </c>
      <c r="Q543" s="39" t="e">
        <v>#N/A</v>
      </c>
      <c r="R543" s="15">
        <v>1607990400</v>
      </c>
      <c r="S543" t="s">
        <v>23</v>
      </c>
    </row>
    <row r="544" spans="1:19" x14ac:dyDescent="0.2">
      <c r="A544" s="27" t="s">
        <v>585</v>
      </c>
      <c r="B544" s="16">
        <v>0.21</v>
      </c>
      <c r="C544" s="16">
        <v>6.1</v>
      </c>
      <c r="D544" s="28">
        <v>1.2486195040000001</v>
      </c>
      <c r="E544" s="16" t="e">
        <f>NA()</f>
        <v>#N/A</v>
      </c>
      <c r="F544" s="16" t="e">
        <f>NA()</f>
        <v>#N/A</v>
      </c>
      <c r="G544" s="16" t="e">
        <f>NA()</f>
        <v>#N/A</v>
      </c>
      <c r="H544" s="16" t="e">
        <f>NA()</f>
        <v>#N/A</v>
      </c>
      <c r="I544" s="31">
        <v>10</v>
      </c>
      <c r="J544" s="16" t="e">
        <f>NA()</f>
        <v>#N/A</v>
      </c>
      <c r="K544" s="28">
        <v>1.2486195040000001</v>
      </c>
      <c r="L544" s="29">
        <v>1.850025976</v>
      </c>
      <c r="M544" s="16">
        <v>-21.9</v>
      </c>
      <c r="N544" s="39" t="e">
        <v>#N/A</v>
      </c>
      <c r="O544" s="39" t="e">
        <v>#N/A</v>
      </c>
      <c r="P544" s="39" t="e">
        <v>#N/A</v>
      </c>
      <c r="Q544" s="39" t="e">
        <v>#N/A</v>
      </c>
      <c r="R544" s="15">
        <v>1607990400</v>
      </c>
      <c r="S544" t="s">
        <v>23</v>
      </c>
    </row>
    <row r="545" spans="1:19" x14ac:dyDescent="0.2">
      <c r="A545" s="27" t="s">
        <v>586</v>
      </c>
      <c r="B545" s="16">
        <v>0.16</v>
      </c>
      <c r="C545" s="16">
        <v>7</v>
      </c>
      <c r="D545" s="28">
        <v>1.49555397</v>
      </c>
      <c r="E545" s="16" t="e">
        <f>NA()</f>
        <v>#N/A</v>
      </c>
      <c r="F545" s="16" t="e">
        <f>NA()</f>
        <v>#N/A</v>
      </c>
      <c r="G545" s="16" t="e">
        <f>NA()</f>
        <v>#N/A</v>
      </c>
      <c r="H545" s="16" t="e">
        <f>NA()</f>
        <v>#N/A</v>
      </c>
      <c r="I545" s="31">
        <v>20</v>
      </c>
      <c r="J545" s="16" t="e">
        <f>NA()</f>
        <v>#N/A</v>
      </c>
      <c r="K545" s="28">
        <v>1.49555397</v>
      </c>
      <c r="L545" s="29">
        <v>1.243766379</v>
      </c>
      <c r="M545" s="16">
        <v>-23.1</v>
      </c>
      <c r="N545" s="39" t="e">
        <v>#N/A</v>
      </c>
      <c r="O545" s="39" t="e">
        <v>#N/A</v>
      </c>
      <c r="P545" s="39" t="e">
        <v>#N/A</v>
      </c>
      <c r="Q545" s="39" t="e">
        <v>#N/A</v>
      </c>
      <c r="R545" s="15">
        <v>1607990400</v>
      </c>
      <c r="S545" t="s">
        <v>23</v>
      </c>
    </row>
    <row r="546" spans="1:19" x14ac:dyDescent="0.2">
      <c r="A546" s="27" t="s">
        <v>587</v>
      </c>
      <c r="B546" s="16">
        <v>9.4E-2</v>
      </c>
      <c r="C546" s="16">
        <v>6.3</v>
      </c>
      <c r="D546" s="28">
        <v>1.5302130759999999</v>
      </c>
      <c r="E546" s="16" t="e">
        <f>NA()</f>
        <v>#N/A</v>
      </c>
      <c r="F546" s="16" t="e">
        <f>NA()</f>
        <v>#N/A</v>
      </c>
      <c r="G546" s="16" t="e">
        <f>NA()</f>
        <v>#N/A</v>
      </c>
      <c r="H546" s="16" t="e">
        <f>NA()</f>
        <v>#N/A</v>
      </c>
      <c r="I546" s="31">
        <v>30</v>
      </c>
      <c r="J546" s="16" t="e">
        <f>NA()</f>
        <v>#N/A</v>
      </c>
      <c r="K546" s="28">
        <v>1.5302130759999999</v>
      </c>
      <c r="L546" s="29">
        <v>0.65689513899999996</v>
      </c>
      <c r="M546" s="16">
        <v>-23.5</v>
      </c>
      <c r="N546" s="39" t="e">
        <v>#N/A</v>
      </c>
      <c r="O546" s="39" t="e">
        <v>#N/A</v>
      </c>
      <c r="P546" s="39" t="e">
        <v>#N/A</v>
      </c>
      <c r="Q546" s="39" t="e">
        <v>#N/A</v>
      </c>
      <c r="R546" s="15">
        <v>1607990400</v>
      </c>
      <c r="S546" t="s">
        <v>23</v>
      </c>
    </row>
    <row r="547" spans="1:19" x14ac:dyDescent="0.2">
      <c r="A547" s="27" t="s">
        <v>588</v>
      </c>
      <c r="B547" s="16">
        <v>6.0499999999999998E-2</v>
      </c>
      <c r="C547" s="16">
        <v>5.65</v>
      </c>
      <c r="D547" s="28">
        <v>1.528067955</v>
      </c>
      <c r="E547" s="16" t="e">
        <f>NA()</f>
        <v>#N/A</v>
      </c>
      <c r="F547" s="16" t="e">
        <f>NA()</f>
        <v>#N/A</v>
      </c>
      <c r="G547" s="16" t="e">
        <f>NA()</f>
        <v>#N/A</v>
      </c>
      <c r="H547" s="16" t="e">
        <f>NA()</f>
        <v>#N/A</v>
      </c>
      <c r="I547" s="31">
        <v>40</v>
      </c>
      <c r="J547" s="16" t="e">
        <f>NA()</f>
        <v>#N/A</v>
      </c>
      <c r="K547" s="28">
        <v>1.528067955</v>
      </c>
      <c r="L547" s="29">
        <v>0.354213259</v>
      </c>
      <c r="M547" s="16">
        <v>-22.4</v>
      </c>
      <c r="N547" s="39" t="e">
        <v>#N/A</v>
      </c>
      <c r="O547" s="39" t="e">
        <v>#N/A</v>
      </c>
      <c r="P547" s="39" t="e">
        <v>#N/A</v>
      </c>
      <c r="Q547" s="39" t="e">
        <v>#N/A</v>
      </c>
      <c r="R547" s="15">
        <v>1607990400</v>
      </c>
      <c r="S547" t="s">
        <v>23</v>
      </c>
    </row>
    <row r="548" spans="1:19" x14ac:dyDescent="0.2">
      <c r="A548" s="27" t="s">
        <v>589</v>
      </c>
      <c r="B548" s="16">
        <v>4.9000000000000002E-2</v>
      </c>
      <c r="C548" s="16">
        <v>5.5</v>
      </c>
      <c r="D548" s="28">
        <v>1.6368324080000001</v>
      </c>
      <c r="E548" s="16" t="e">
        <f>NA()</f>
        <v>#N/A</v>
      </c>
      <c r="F548" s="16" t="e">
        <f>NA()</f>
        <v>#N/A</v>
      </c>
      <c r="G548" s="16" t="e">
        <f>NA()</f>
        <v>#N/A</v>
      </c>
      <c r="H548" s="16" t="e">
        <f>NA()</f>
        <v>#N/A</v>
      </c>
      <c r="I548" s="31">
        <v>50</v>
      </c>
      <c r="J548" s="16" t="e">
        <f>NA()</f>
        <v>#N/A</v>
      </c>
      <c r="K548" s="28">
        <v>1.6368324080000001</v>
      </c>
      <c r="L548" s="29">
        <v>0.27747248499999999</v>
      </c>
      <c r="M548" s="16">
        <v>-22.9</v>
      </c>
      <c r="N548" s="39" t="e">
        <v>#N/A</v>
      </c>
      <c r="O548" s="39" t="e">
        <v>#N/A</v>
      </c>
      <c r="P548" s="39" t="e">
        <v>#N/A</v>
      </c>
      <c r="Q548" s="39" t="e">
        <v>#N/A</v>
      </c>
      <c r="R548" s="15">
        <v>1607990400</v>
      </c>
      <c r="S548" t="s">
        <v>23</v>
      </c>
    </row>
    <row r="549" spans="1:19" x14ac:dyDescent="0.2">
      <c r="A549" s="27" t="s">
        <v>590</v>
      </c>
      <c r="B549" s="16">
        <v>5.5E-2</v>
      </c>
      <c r="C549" s="16">
        <v>5.9</v>
      </c>
      <c r="D549" s="28">
        <v>1.468429322</v>
      </c>
      <c r="E549" s="16" t="e">
        <f>NA()</f>
        <v>#N/A</v>
      </c>
      <c r="F549" s="16" t="e">
        <f>NA()</f>
        <v>#N/A</v>
      </c>
      <c r="G549" s="16" t="e">
        <f>NA()</f>
        <v>#N/A</v>
      </c>
      <c r="H549" s="16" t="e">
        <f>NA()</f>
        <v>#N/A</v>
      </c>
      <c r="I549" s="31">
        <v>60</v>
      </c>
      <c r="J549" s="16" t="e">
        <f>NA()</f>
        <v>#N/A</v>
      </c>
      <c r="K549" s="28">
        <v>1.468429322</v>
      </c>
      <c r="L549" s="29">
        <v>0.30238055800000002</v>
      </c>
      <c r="M549" s="16">
        <v>-22.8</v>
      </c>
      <c r="N549" s="39" t="e">
        <v>#N/A</v>
      </c>
      <c r="O549" s="39" t="e">
        <v>#N/A</v>
      </c>
      <c r="P549" s="39" t="e">
        <v>#N/A</v>
      </c>
      <c r="Q549" s="39" t="e">
        <v>#N/A</v>
      </c>
      <c r="R549" s="15">
        <v>1607990400</v>
      </c>
      <c r="S549" t="s">
        <v>23</v>
      </c>
    </row>
    <row r="550" spans="1:19" x14ac:dyDescent="0.2">
      <c r="A550" s="27" t="s">
        <v>591</v>
      </c>
      <c r="B550" s="16">
        <v>5.1999999999999998E-2</v>
      </c>
      <c r="C550" s="16">
        <v>5.2</v>
      </c>
      <c r="D550" s="28">
        <v>1.6020751740000001</v>
      </c>
      <c r="E550" s="16" t="e">
        <f>NA()</f>
        <v>#N/A</v>
      </c>
      <c r="F550" s="16" t="e">
        <f>NA()</f>
        <v>#N/A</v>
      </c>
      <c r="G550" s="16" t="e">
        <f>NA()</f>
        <v>#N/A</v>
      </c>
      <c r="H550" s="16" t="e">
        <f>NA()</f>
        <v>#N/A</v>
      </c>
      <c r="I550" s="31">
        <v>70</v>
      </c>
      <c r="J550" s="16" t="e">
        <f>NA()</f>
        <v>#N/A</v>
      </c>
      <c r="K550" s="28">
        <v>1.6020751740000001</v>
      </c>
      <c r="L550" s="29">
        <v>0.27540624000000002</v>
      </c>
      <c r="M550" s="16">
        <v>-22.9</v>
      </c>
      <c r="N550" s="39" t="e">
        <v>#N/A</v>
      </c>
      <c r="O550" s="39" t="e">
        <v>#N/A</v>
      </c>
      <c r="P550" s="39" t="e">
        <v>#N/A</v>
      </c>
      <c r="Q550" s="39" t="e">
        <v>#N/A</v>
      </c>
      <c r="R550" s="15">
        <v>1607990400</v>
      </c>
      <c r="S550" t="s">
        <v>23</v>
      </c>
    </row>
    <row r="551" spans="1:19" x14ac:dyDescent="0.2">
      <c r="A551" s="27" t="s">
        <v>592</v>
      </c>
      <c r="B551" s="16">
        <v>5.8999999999999997E-2</v>
      </c>
      <c r="C551" s="16">
        <v>5.8</v>
      </c>
      <c r="D551" s="28">
        <v>1.305268686</v>
      </c>
      <c r="E551" s="16" t="e">
        <f>NA()</f>
        <v>#N/A</v>
      </c>
      <c r="F551" s="16" t="e">
        <f>NA()</f>
        <v>#N/A</v>
      </c>
      <c r="G551" s="16" t="e">
        <f>NA()</f>
        <v>#N/A</v>
      </c>
      <c r="H551" s="16" t="e">
        <f>NA()</f>
        <v>#N/A</v>
      </c>
      <c r="I551" s="31">
        <v>80</v>
      </c>
      <c r="J551" s="16" t="e">
        <f>NA()</f>
        <v>#N/A</v>
      </c>
      <c r="K551" s="28">
        <v>1.305268686</v>
      </c>
      <c r="L551" s="29">
        <v>0.338619538</v>
      </c>
      <c r="M551" s="16">
        <v>-23.2</v>
      </c>
      <c r="N551" s="39" t="e">
        <v>#N/A</v>
      </c>
      <c r="O551" s="39" t="e">
        <v>#N/A</v>
      </c>
      <c r="P551" s="39" t="e">
        <v>#N/A</v>
      </c>
      <c r="Q551" s="39" t="e">
        <v>#N/A</v>
      </c>
      <c r="R551" s="15">
        <v>1607990400</v>
      </c>
      <c r="S551" t="s">
        <v>23</v>
      </c>
    </row>
    <row r="552" spans="1:19" x14ac:dyDescent="0.2">
      <c r="A552" s="27" t="s">
        <v>593</v>
      </c>
      <c r="B552" s="16">
        <v>5.2999999999999999E-2</v>
      </c>
      <c r="C552" s="16">
        <v>4.9000000000000004</v>
      </c>
      <c r="D552" s="28">
        <v>1.6733169459999999</v>
      </c>
      <c r="E552" s="16" t="e">
        <f>NA()</f>
        <v>#N/A</v>
      </c>
      <c r="F552" s="16" t="e">
        <f>NA()</f>
        <v>#N/A</v>
      </c>
      <c r="G552" s="16" t="e">
        <f>NA()</f>
        <v>#N/A</v>
      </c>
      <c r="H552" s="16" t="e">
        <f>NA()</f>
        <v>#N/A</v>
      </c>
      <c r="I552" s="31">
        <v>90</v>
      </c>
      <c r="J552" s="16" t="e">
        <f>NA()</f>
        <v>#N/A</v>
      </c>
      <c r="K552" s="28">
        <v>1.6733169459999999</v>
      </c>
      <c r="L552" s="29">
        <v>0.48674524600000002</v>
      </c>
      <c r="M552" s="16">
        <v>-13.9</v>
      </c>
      <c r="N552" s="39" t="e">
        <v>#N/A</v>
      </c>
      <c r="O552" s="39" t="e">
        <v>#N/A</v>
      </c>
      <c r="P552" s="39" t="e">
        <v>#N/A</v>
      </c>
      <c r="Q552" s="39" t="e">
        <v>#N/A</v>
      </c>
      <c r="R552" s="15">
        <v>1607990400</v>
      </c>
      <c r="S552" t="s">
        <v>23</v>
      </c>
    </row>
    <row r="553" spans="1:19" x14ac:dyDescent="0.2">
      <c r="A553" s="27" t="s">
        <v>594</v>
      </c>
      <c r="B553" s="16">
        <v>3.3000000000000002E-2</v>
      </c>
      <c r="C553" s="16">
        <v>2.7</v>
      </c>
      <c r="D553" s="28">
        <v>1.280390986</v>
      </c>
      <c r="E553" s="16" t="e">
        <f>NA()</f>
        <v>#N/A</v>
      </c>
      <c r="F553" s="16" t="e">
        <f>NA()</f>
        <v>#N/A</v>
      </c>
      <c r="G553" s="16" t="e">
        <f>NA()</f>
        <v>#N/A</v>
      </c>
      <c r="H553" s="16" t="e">
        <f>NA()</f>
        <v>#N/A</v>
      </c>
      <c r="I553" s="31">
        <v>100</v>
      </c>
      <c r="J553" s="16" t="e">
        <f>NA()</f>
        <v>#N/A</v>
      </c>
      <c r="K553" s="28">
        <v>1.280390986</v>
      </c>
      <c r="L553" s="29">
        <v>2.1068134449999998</v>
      </c>
      <c r="M553" s="16">
        <v>-2.5</v>
      </c>
      <c r="N553" s="39" t="e">
        <v>#N/A</v>
      </c>
      <c r="O553" s="39" t="e">
        <v>#N/A</v>
      </c>
      <c r="P553" s="39" t="e">
        <v>#N/A</v>
      </c>
      <c r="Q553" s="39" t="e">
        <v>#N/A</v>
      </c>
      <c r="R553" s="15">
        <v>1607990400</v>
      </c>
      <c r="S553" t="s">
        <v>23</v>
      </c>
    </row>
    <row r="554" spans="1:19" x14ac:dyDescent="0.2">
      <c r="A554" s="27" t="s">
        <v>595</v>
      </c>
      <c r="B554" s="16">
        <v>4.1000000000000002E-2</v>
      </c>
      <c r="C554" s="16">
        <v>3.1</v>
      </c>
      <c r="D554" s="28">
        <v>1.8119294850000001</v>
      </c>
      <c r="E554" s="16" t="e">
        <f>NA()</f>
        <v>#N/A</v>
      </c>
      <c r="F554" s="16" t="e">
        <f>NA()</f>
        <v>#N/A</v>
      </c>
      <c r="G554" s="16" t="e">
        <f>NA()</f>
        <v>#N/A</v>
      </c>
      <c r="H554" s="16" t="e">
        <f>NA()</f>
        <v>#N/A</v>
      </c>
      <c r="I554" s="31">
        <v>110</v>
      </c>
      <c r="J554" s="16" t="e">
        <f>NA()</f>
        <v>#N/A</v>
      </c>
      <c r="K554" s="28">
        <v>1.8119294850000001</v>
      </c>
      <c r="L554" s="29">
        <v>2.2999999999999998</v>
      </c>
      <c r="M554" s="16">
        <v>-2.6</v>
      </c>
      <c r="N554" s="39" t="e">
        <v>#N/A</v>
      </c>
      <c r="O554" s="39" t="e">
        <v>#N/A</v>
      </c>
      <c r="P554" s="39" t="e">
        <v>#N/A</v>
      </c>
      <c r="Q554" s="39" t="e">
        <v>#N/A</v>
      </c>
      <c r="R554" s="15">
        <v>1607990400</v>
      </c>
      <c r="S554" t="s">
        <v>23</v>
      </c>
    </row>
    <row r="555" spans="1:19" x14ac:dyDescent="0.2">
      <c r="A555" s="32" t="s">
        <v>596</v>
      </c>
      <c r="B555" s="17">
        <v>3.4000000000000002E-2</v>
      </c>
      <c r="C555" s="17">
        <v>1.8</v>
      </c>
      <c r="D555" s="33">
        <v>2.167394383</v>
      </c>
      <c r="E555" s="17" t="e">
        <f>NA()</f>
        <v>#N/A</v>
      </c>
      <c r="F555" s="17" t="e">
        <f>NA()</f>
        <v>#N/A</v>
      </c>
      <c r="G555" s="17" t="e">
        <f>NA()</f>
        <v>#N/A</v>
      </c>
      <c r="H555" s="17" t="e">
        <f>NA()</f>
        <v>#N/A</v>
      </c>
      <c r="I555" s="34">
        <v>120</v>
      </c>
      <c r="J555" s="17" t="e">
        <f>NA()</f>
        <v>#N/A</v>
      </c>
      <c r="K555" s="33">
        <v>2.167394383</v>
      </c>
      <c r="L555" s="35">
        <v>2.5</v>
      </c>
      <c r="M555" s="17">
        <v>-1.8</v>
      </c>
      <c r="N555" s="39" t="e">
        <v>#N/A</v>
      </c>
      <c r="O555" s="39" t="e">
        <v>#N/A</v>
      </c>
      <c r="P555" s="39" t="e">
        <v>#N/A</v>
      </c>
      <c r="Q555" s="39" t="e">
        <v>#N/A</v>
      </c>
      <c r="R555" s="15">
        <v>1607990400</v>
      </c>
      <c r="S555" t="s">
        <v>23</v>
      </c>
    </row>
    <row r="556" spans="1:19" ht="16" x14ac:dyDescent="0.2">
      <c r="A556" s="37" t="s">
        <v>597</v>
      </c>
      <c r="B556" s="39">
        <v>0.16</v>
      </c>
      <c r="C556" s="39">
        <v>5.45</v>
      </c>
      <c r="D556" s="41">
        <v>1.3845564020000001</v>
      </c>
      <c r="E556" s="43">
        <v>209797.8315</v>
      </c>
      <c r="F556" s="43">
        <v>368638.50109999999</v>
      </c>
      <c r="G556" s="43" t="s">
        <v>55</v>
      </c>
      <c r="H556" s="43" t="s">
        <v>22</v>
      </c>
      <c r="I556" s="39">
        <v>10</v>
      </c>
      <c r="J556" t="e">
        <f>NA()</f>
        <v>#N/A</v>
      </c>
      <c r="K556" t="e">
        <f>NA()</f>
        <v>#N/A</v>
      </c>
      <c r="L556" s="39">
        <v>1.51</v>
      </c>
      <c r="M556" s="39">
        <v>-25.26</v>
      </c>
      <c r="N556" s="39" t="e">
        <v>#N/A</v>
      </c>
      <c r="O556" s="39" t="e">
        <v>#N/A</v>
      </c>
      <c r="P556" s="39" t="e">
        <v>#N/A</v>
      </c>
      <c r="Q556" s="39" t="e">
        <v>#N/A</v>
      </c>
      <c r="R556" s="39">
        <v>1576713600</v>
      </c>
      <c r="S556" s="43" t="s">
        <v>55</v>
      </c>
    </row>
    <row r="557" spans="1:19" ht="16" x14ac:dyDescent="0.2">
      <c r="A557" s="37" t="s">
        <v>598</v>
      </c>
      <c r="B557" s="39">
        <v>0.08</v>
      </c>
      <c r="C557" s="39">
        <v>6.01</v>
      </c>
      <c r="D557" s="41">
        <v>1.2775273739999999</v>
      </c>
      <c r="E557" s="43">
        <v>209797.8315</v>
      </c>
      <c r="F557" s="43">
        <v>368638.50109999999</v>
      </c>
      <c r="G557" s="43" t="s">
        <v>55</v>
      </c>
      <c r="H557" s="43" t="s">
        <v>22</v>
      </c>
      <c r="I557" s="39">
        <v>20</v>
      </c>
      <c r="J557" t="e">
        <f>NA()</f>
        <v>#N/A</v>
      </c>
      <c r="K557" t="e">
        <f>NA()</f>
        <v>#N/A</v>
      </c>
      <c r="L557" s="39">
        <v>0.84</v>
      </c>
      <c r="M557" s="39">
        <v>-24.41</v>
      </c>
      <c r="N557" s="39" t="e">
        <v>#N/A</v>
      </c>
      <c r="O557" s="39" t="e">
        <v>#N/A</v>
      </c>
      <c r="P557" s="39" t="e">
        <v>#N/A</v>
      </c>
      <c r="Q557" s="39" t="e">
        <v>#N/A</v>
      </c>
      <c r="R557" s="39">
        <v>1576713600</v>
      </c>
      <c r="S557" s="43" t="s">
        <v>55</v>
      </c>
    </row>
    <row r="558" spans="1:19" ht="16" x14ac:dyDescent="0.2">
      <c r="A558" s="37" t="s">
        <v>599</v>
      </c>
      <c r="B558" s="39">
        <v>7.0000000000000007E-2</v>
      </c>
      <c r="C558" s="39">
        <v>5.45</v>
      </c>
      <c r="D558" s="41">
        <v>1.3426777919999999</v>
      </c>
      <c r="E558" s="43">
        <v>209797.8315</v>
      </c>
      <c r="F558" s="43">
        <v>368638.50109999999</v>
      </c>
      <c r="G558" s="43" t="s">
        <v>55</v>
      </c>
      <c r="H558" s="43" t="s">
        <v>22</v>
      </c>
      <c r="I558" s="39">
        <v>30</v>
      </c>
      <c r="J558" t="e">
        <f>NA()</f>
        <v>#N/A</v>
      </c>
      <c r="K558" t="e">
        <f>NA()</f>
        <v>#N/A</v>
      </c>
      <c r="L558" s="39">
        <v>0.35</v>
      </c>
      <c r="M558" s="39">
        <v>-23.7</v>
      </c>
      <c r="N558" s="39" t="e">
        <v>#N/A</v>
      </c>
      <c r="O558" s="39" t="e">
        <v>#N/A</v>
      </c>
      <c r="P558" s="39" t="e">
        <v>#N/A</v>
      </c>
      <c r="Q558" s="39" t="e">
        <v>#N/A</v>
      </c>
      <c r="R558" s="39">
        <v>1576713600</v>
      </c>
      <c r="S558" s="43" t="s">
        <v>55</v>
      </c>
    </row>
    <row r="559" spans="1:19" ht="16" x14ac:dyDescent="0.2">
      <c r="A559" s="37" t="s">
        <v>600</v>
      </c>
      <c r="B559" s="39">
        <v>6.5000000000000002E-2</v>
      </c>
      <c r="C559" s="39">
        <v>5.36</v>
      </c>
      <c r="D559" s="41">
        <v>1.387533962</v>
      </c>
      <c r="E559" s="43">
        <v>209797.8315</v>
      </c>
      <c r="F559" s="43">
        <v>368638.50109999999</v>
      </c>
      <c r="G559" s="43" t="s">
        <v>55</v>
      </c>
      <c r="H559" s="43" t="s">
        <v>22</v>
      </c>
      <c r="I559" s="39">
        <v>60</v>
      </c>
      <c r="J559" t="e">
        <f>NA()</f>
        <v>#N/A</v>
      </c>
      <c r="K559" t="e">
        <f>NA()</f>
        <v>#N/A</v>
      </c>
      <c r="L559" s="39">
        <v>0.34</v>
      </c>
      <c r="M559" s="39">
        <v>-23.805</v>
      </c>
      <c r="N559" s="39" t="e">
        <v>#N/A</v>
      </c>
      <c r="O559" s="39" t="e">
        <v>#N/A</v>
      </c>
      <c r="P559" s="39" t="e">
        <v>#N/A</v>
      </c>
      <c r="Q559" s="39" t="e">
        <v>#N/A</v>
      </c>
      <c r="R559" s="39">
        <v>1576713600</v>
      </c>
      <c r="S559" s="43" t="s">
        <v>55</v>
      </c>
    </row>
    <row r="560" spans="1:19" ht="16" x14ac:dyDescent="0.2">
      <c r="A560" s="37" t="s">
        <v>601</v>
      </c>
      <c r="B560" s="39">
        <v>0.05</v>
      </c>
      <c r="C560" s="39">
        <v>4.7699999999999996</v>
      </c>
      <c r="D560" s="41">
        <v>1.418852126</v>
      </c>
      <c r="E560" s="43">
        <v>209797.8315</v>
      </c>
      <c r="F560" s="43">
        <v>368638.50109999999</v>
      </c>
      <c r="G560" s="43" t="s">
        <v>55</v>
      </c>
      <c r="H560" s="43" t="s">
        <v>22</v>
      </c>
      <c r="I560" s="39">
        <v>100</v>
      </c>
      <c r="J560" t="e">
        <f>NA()</f>
        <v>#N/A</v>
      </c>
      <c r="K560" t="e">
        <f>NA()</f>
        <v>#N/A</v>
      </c>
      <c r="L560" s="39">
        <v>0.16</v>
      </c>
      <c r="M560" s="39">
        <v>-24.37</v>
      </c>
      <c r="N560" s="39" t="e">
        <v>#N/A</v>
      </c>
      <c r="O560" s="39" t="e">
        <v>#N/A</v>
      </c>
      <c r="P560" s="39" t="e">
        <v>#N/A</v>
      </c>
      <c r="Q560" s="39" t="e">
        <v>#N/A</v>
      </c>
      <c r="R560" s="39">
        <v>1576713600</v>
      </c>
      <c r="S560" s="43" t="s">
        <v>55</v>
      </c>
    </row>
    <row r="561" spans="1:19" ht="16" x14ac:dyDescent="0.2">
      <c r="A561" s="37" t="s">
        <v>602</v>
      </c>
      <c r="B561" s="39">
        <v>1.63</v>
      </c>
      <c r="C561" s="39">
        <v>5.95</v>
      </c>
      <c r="D561" s="41">
        <v>1.4175709889999999</v>
      </c>
      <c r="E561" s="43">
        <v>208970.97630000001</v>
      </c>
      <c r="F561" s="43">
        <v>368740.52010000002</v>
      </c>
      <c r="G561" s="43" t="s">
        <v>91</v>
      </c>
      <c r="H561" s="43" t="s">
        <v>22</v>
      </c>
      <c r="I561" s="39">
        <v>10</v>
      </c>
      <c r="J561" t="e">
        <f>NA()</f>
        <v>#N/A</v>
      </c>
      <c r="K561" t="e">
        <f>NA()</f>
        <v>#N/A</v>
      </c>
      <c r="L561" s="39">
        <v>1.385</v>
      </c>
      <c r="M561" s="39">
        <v>-24.56</v>
      </c>
      <c r="N561" s="39" t="e">
        <v>#N/A</v>
      </c>
      <c r="O561" s="39" t="e">
        <v>#N/A</v>
      </c>
      <c r="P561" s="39" t="e">
        <v>#N/A</v>
      </c>
      <c r="Q561" s="39" t="e">
        <v>#N/A</v>
      </c>
      <c r="R561" s="39">
        <v>1576713600</v>
      </c>
      <c r="S561" s="43" t="s">
        <v>91</v>
      </c>
    </row>
    <row r="562" spans="1:19" ht="16" x14ac:dyDescent="0.2">
      <c r="A562" s="37" t="s">
        <v>603</v>
      </c>
      <c r="B562" s="39">
        <v>0.16</v>
      </c>
      <c r="C562" s="39">
        <v>5.8</v>
      </c>
      <c r="D562" s="41">
        <v>1.419892282</v>
      </c>
      <c r="E562" s="43">
        <v>208970.97630000001</v>
      </c>
      <c r="F562" s="43">
        <v>368740.52010000002</v>
      </c>
      <c r="G562" s="43" t="s">
        <v>91</v>
      </c>
      <c r="H562" s="43" t="s">
        <v>22</v>
      </c>
      <c r="I562" s="39">
        <v>20</v>
      </c>
      <c r="J562" t="e">
        <f>NA()</f>
        <v>#N/A</v>
      </c>
      <c r="K562" t="e">
        <f>NA()</f>
        <v>#N/A</v>
      </c>
      <c r="L562" s="39">
        <v>1.26</v>
      </c>
      <c r="M562" s="39">
        <v>-24.88</v>
      </c>
      <c r="N562" s="39" t="e">
        <v>#N/A</v>
      </c>
      <c r="O562" s="39" t="e">
        <v>#N/A</v>
      </c>
      <c r="P562" s="39" t="e">
        <v>#N/A</v>
      </c>
      <c r="Q562" s="39" t="e">
        <v>#N/A</v>
      </c>
      <c r="R562" s="39">
        <v>1576713600</v>
      </c>
      <c r="S562" s="43" t="s">
        <v>91</v>
      </c>
    </row>
    <row r="563" spans="1:19" ht="16" x14ac:dyDescent="0.2">
      <c r="A563" s="37" t="s">
        <v>604</v>
      </c>
      <c r="B563" s="39">
        <v>0.09</v>
      </c>
      <c r="C563" s="39">
        <v>4.2350000000000003</v>
      </c>
      <c r="D563" s="41">
        <v>1.4696085569999999</v>
      </c>
      <c r="E563" s="43">
        <v>208970.97630000001</v>
      </c>
      <c r="F563" s="43">
        <v>368740.52010000002</v>
      </c>
      <c r="G563" s="43" t="s">
        <v>91</v>
      </c>
      <c r="H563" s="43" t="s">
        <v>22</v>
      </c>
      <c r="I563" s="39">
        <v>30</v>
      </c>
      <c r="J563" t="e">
        <f>NA()</f>
        <v>#N/A</v>
      </c>
      <c r="K563" t="e">
        <f>NA()</f>
        <v>#N/A</v>
      </c>
      <c r="L563" s="39">
        <v>0.41</v>
      </c>
      <c r="M563" s="39">
        <v>-24.47</v>
      </c>
      <c r="N563" s="39" t="e">
        <v>#N/A</v>
      </c>
      <c r="O563" s="39" t="e">
        <v>#N/A</v>
      </c>
      <c r="P563" s="39" t="e">
        <v>#N/A</v>
      </c>
      <c r="Q563" s="39" t="e">
        <v>#N/A</v>
      </c>
      <c r="R563" s="39">
        <v>1576713600</v>
      </c>
      <c r="S563" s="43" t="s">
        <v>91</v>
      </c>
    </row>
    <row r="564" spans="1:19" ht="16" x14ac:dyDescent="0.2">
      <c r="A564" s="37" t="s">
        <v>605</v>
      </c>
      <c r="B564" s="39">
        <v>0.08</v>
      </c>
      <c r="C564" s="39">
        <v>3.42</v>
      </c>
      <c r="D564" s="41">
        <v>1.478041902</v>
      </c>
      <c r="E564" s="43">
        <v>208970.97630000001</v>
      </c>
      <c r="F564" s="43">
        <v>368740.52010000002</v>
      </c>
      <c r="G564" s="43" t="s">
        <v>91</v>
      </c>
      <c r="H564" s="43" t="s">
        <v>22</v>
      </c>
      <c r="I564" s="39">
        <v>60</v>
      </c>
      <c r="J564" t="e">
        <f>NA()</f>
        <v>#N/A</v>
      </c>
      <c r="K564" t="e">
        <f>NA()</f>
        <v>#N/A</v>
      </c>
      <c r="L564" s="39">
        <v>0.22</v>
      </c>
      <c r="M564" s="39">
        <v>-24.81</v>
      </c>
      <c r="N564" s="39" t="e">
        <v>#N/A</v>
      </c>
      <c r="O564" s="39" t="e">
        <v>#N/A</v>
      </c>
      <c r="P564" s="39" t="e">
        <v>#N/A</v>
      </c>
      <c r="Q564" s="39" t="e">
        <v>#N/A</v>
      </c>
      <c r="R564" s="39">
        <v>1576713600</v>
      </c>
      <c r="S564" s="43" t="s">
        <v>91</v>
      </c>
    </row>
    <row r="565" spans="1:19" ht="16" x14ac:dyDescent="0.2">
      <c r="A565" s="37" t="s">
        <v>606</v>
      </c>
      <c r="B565" s="39">
        <v>7.0000000000000007E-2</v>
      </c>
      <c r="C565" s="39">
        <v>2.75</v>
      </c>
      <c r="D565" s="41">
        <v>1.586669903</v>
      </c>
      <c r="E565" s="43">
        <v>208970.97630000001</v>
      </c>
      <c r="F565" s="43">
        <v>368740.52010000002</v>
      </c>
      <c r="G565" s="43" t="s">
        <v>91</v>
      </c>
      <c r="H565" s="43" t="s">
        <v>22</v>
      </c>
      <c r="I565" s="39">
        <v>100</v>
      </c>
      <c r="J565" t="e">
        <f>NA()</f>
        <v>#N/A</v>
      </c>
      <c r="K565" t="e">
        <f>NA()</f>
        <v>#N/A</v>
      </c>
      <c r="L565" s="39">
        <v>0.11</v>
      </c>
      <c r="M565" s="39">
        <v>-25.58</v>
      </c>
      <c r="N565" s="39" t="e">
        <v>#N/A</v>
      </c>
      <c r="O565" s="39" t="e">
        <v>#N/A</v>
      </c>
      <c r="P565" s="39" t="e">
        <v>#N/A</v>
      </c>
      <c r="Q565" s="39" t="e">
        <v>#N/A</v>
      </c>
      <c r="R565" s="39">
        <v>1576713600</v>
      </c>
      <c r="S565" s="43" t="s">
        <v>91</v>
      </c>
    </row>
    <row r="566" spans="1:19" ht="16" x14ac:dyDescent="0.2">
      <c r="A566" s="37" t="s">
        <v>607</v>
      </c>
      <c r="B566" s="39">
        <v>0.23</v>
      </c>
      <c r="C566" s="39">
        <v>7.4</v>
      </c>
      <c r="D566" s="41">
        <v>1.274312927</v>
      </c>
      <c r="E566" s="43">
        <v>204909.54329999999</v>
      </c>
      <c r="F566" s="43">
        <v>366099.93910000002</v>
      </c>
      <c r="G566" s="43" t="s">
        <v>159</v>
      </c>
      <c r="H566" s="43" t="s">
        <v>22</v>
      </c>
      <c r="I566" s="39">
        <v>10</v>
      </c>
      <c r="J566" t="e">
        <f>NA()</f>
        <v>#N/A</v>
      </c>
      <c r="K566" t="e">
        <f>NA()</f>
        <v>#N/A</v>
      </c>
      <c r="L566" s="39">
        <v>2.21</v>
      </c>
      <c r="M566" s="39">
        <v>-22</v>
      </c>
      <c r="N566" s="39" t="e">
        <v>#N/A</v>
      </c>
      <c r="O566" s="39" t="e">
        <v>#N/A</v>
      </c>
      <c r="P566" s="39" t="e">
        <v>#N/A</v>
      </c>
      <c r="Q566" s="39" t="e">
        <v>#N/A</v>
      </c>
      <c r="R566" s="39">
        <v>1576800000</v>
      </c>
      <c r="S566" s="43" t="s">
        <v>159</v>
      </c>
    </row>
    <row r="567" spans="1:19" ht="16" x14ac:dyDescent="0.2">
      <c r="A567" s="37" t="s">
        <v>608</v>
      </c>
      <c r="B567" s="39">
        <v>0.22</v>
      </c>
      <c r="C567" s="39">
        <v>7.3</v>
      </c>
      <c r="D567" s="41">
        <v>1.293587373</v>
      </c>
      <c r="E567" s="43">
        <v>204909.54329999999</v>
      </c>
      <c r="F567" s="43">
        <v>366099.93910000002</v>
      </c>
      <c r="G567" s="43" t="s">
        <v>159</v>
      </c>
      <c r="H567" s="43" t="s">
        <v>22</v>
      </c>
      <c r="I567" s="39">
        <v>20</v>
      </c>
      <c r="J567" t="e">
        <f>NA()</f>
        <v>#N/A</v>
      </c>
      <c r="K567" t="e">
        <f>NA()</f>
        <v>#N/A</v>
      </c>
      <c r="L567" s="39">
        <v>2.0699999999999998</v>
      </c>
      <c r="M567" s="39">
        <v>-22.5</v>
      </c>
      <c r="N567" s="39" t="e">
        <v>#N/A</v>
      </c>
      <c r="O567" s="39" t="e">
        <v>#N/A</v>
      </c>
      <c r="P567" s="39" t="e">
        <v>#N/A</v>
      </c>
      <c r="Q567" s="39" t="e">
        <v>#N/A</v>
      </c>
      <c r="R567" s="39">
        <v>1576800000</v>
      </c>
      <c r="S567" s="43" t="s">
        <v>159</v>
      </c>
    </row>
    <row r="568" spans="1:19" ht="16" x14ac:dyDescent="0.2">
      <c r="A568" s="37" t="s">
        <v>609</v>
      </c>
      <c r="B568" s="39">
        <v>0.17</v>
      </c>
      <c r="C568" s="39">
        <v>7.01</v>
      </c>
      <c r="D568" s="41">
        <v>1.3274067860000001</v>
      </c>
      <c r="E568" s="43">
        <v>204909.54329999999</v>
      </c>
      <c r="F568" s="43">
        <v>366099.93910000002</v>
      </c>
      <c r="G568" s="43" t="s">
        <v>159</v>
      </c>
      <c r="H568" s="43" t="s">
        <v>22</v>
      </c>
      <c r="I568" s="39">
        <v>30</v>
      </c>
      <c r="J568" t="e">
        <f>NA()</f>
        <v>#N/A</v>
      </c>
      <c r="K568" t="e">
        <f>NA()</f>
        <v>#N/A</v>
      </c>
      <c r="L568" s="39">
        <v>1.46</v>
      </c>
      <c r="M568" s="39">
        <v>-23.01</v>
      </c>
      <c r="N568" s="39" t="e">
        <v>#N/A</v>
      </c>
      <c r="O568" s="39" t="e">
        <v>#N/A</v>
      </c>
      <c r="P568" s="39" t="e">
        <v>#N/A</v>
      </c>
      <c r="Q568" s="39" t="e">
        <v>#N/A</v>
      </c>
      <c r="R568" s="39">
        <v>1576800000</v>
      </c>
      <c r="S568" s="43" t="s">
        <v>159</v>
      </c>
    </row>
    <row r="569" spans="1:19" ht="16" x14ac:dyDescent="0.2">
      <c r="A569" s="37" t="s">
        <v>610</v>
      </c>
      <c r="B569" s="39">
        <v>0.1</v>
      </c>
      <c r="C569" s="39">
        <v>5.6749999999999998</v>
      </c>
      <c r="D569" s="41">
        <v>1.463691063</v>
      </c>
      <c r="E569" s="43">
        <v>204909.54329999999</v>
      </c>
      <c r="F569" s="43">
        <v>366099.93910000002</v>
      </c>
      <c r="G569" s="43" t="s">
        <v>159</v>
      </c>
      <c r="H569" s="43" t="s">
        <v>22</v>
      </c>
      <c r="I569" s="39">
        <v>60</v>
      </c>
      <c r="J569" t="e">
        <f>NA()</f>
        <v>#N/A</v>
      </c>
      <c r="K569" t="e">
        <f>NA()</f>
        <v>#N/A</v>
      </c>
      <c r="L569" s="39">
        <v>0.54</v>
      </c>
      <c r="M569" s="39">
        <v>-23.504999999999999</v>
      </c>
      <c r="N569" s="39" t="e">
        <v>#N/A</v>
      </c>
      <c r="O569" s="39" t="e">
        <v>#N/A</v>
      </c>
      <c r="P569" s="39" t="e">
        <v>#N/A</v>
      </c>
      <c r="Q569" s="39" t="e">
        <v>#N/A</v>
      </c>
      <c r="R569" s="39">
        <v>1576800000</v>
      </c>
      <c r="S569" s="43" t="s">
        <v>159</v>
      </c>
    </row>
    <row r="570" spans="1:19" ht="16" x14ac:dyDescent="0.2">
      <c r="A570" s="37" t="s">
        <v>611</v>
      </c>
      <c r="B570" s="39">
        <v>0.05</v>
      </c>
      <c r="C570" s="39">
        <v>4.5</v>
      </c>
      <c r="D570" s="41">
        <v>1.618025874</v>
      </c>
      <c r="E570" s="43">
        <v>204909.54329999999</v>
      </c>
      <c r="F570" s="43">
        <v>366099.93910000002</v>
      </c>
      <c r="G570" s="43" t="s">
        <v>159</v>
      </c>
      <c r="H570" s="43" t="s">
        <v>22</v>
      </c>
      <c r="I570" s="39">
        <v>100</v>
      </c>
      <c r="J570" t="e">
        <f>NA()</f>
        <v>#N/A</v>
      </c>
      <c r="K570" t="e">
        <f>NA()</f>
        <v>#N/A</v>
      </c>
      <c r="L570" s="39">
        <v>0.28000000000000003</v>
      </c>
      <c r="M570" s="39">
        <v>-24</v>
      </c>
      <c r="N570" s="39" t="e">
        <v>#N/A</v>
      </c>
      <c r="O570" s="39" t="e">
        <v>#N/A</v>
      </c>
      <c r="P570" s="39" t="e">
        <v>#N/A</v>
      </c>
      <c r="Q570" s="39" t="e">
        <v>#N/A</v>
      </c>
      <c r="R570" s="39">
        <v>1576800000</v>
      </c>
      <c r="S570" s="43" t="s">
        <v>159</v>
      </c>
    </row>
    <row r="571" spans="1:19" ht="16" x14ac:dyDescent="0.2">
      <c r="A571" s="37" t="s">
        <v>612</v>
      </c>
      <c r="B571" s="39">
        <v>0.26</v>
      </c>
      <c r="C571" s="39">
        <v>5.0599999999999996</v>
      </c>
      <c r="D571" s="41">
        <v>1.320801986</v>
      </c>
      <c r="E571" s="43">
        <v>207130.2776</v>
      </c>
      <c r="F571" s="43">
        <v>366996.86820000003</v>
      </c>
      <c r="G571" s="43" t="s">
        <v>219</v>
      </c>
      <c r="H571" s="43" t="s">
        <v>22</v>
      </c>
      <c r="I571" s="39">
        <v>10</v>
      </c>
      <c r="J571" t="e">
        <f>NA()</f>
        <v>#N/A</v>
      </c>
      <c r="K571" t="e">
        <f>NA()</f>
        <v>#N/A</v>
      </c>
      <c r="L571" s="39">
        <v>2.02</v>
      </c>
      <c r="M571" s="39">
        <v>-26.79</v>
      </c>
      <c r="N571" s="39" t="e">
        <v>#N/A</v>
      </c>
      <c r="O571" s="39" t="e">
        <v>#N/A</v>
      </c>
      <c r="P571" s="39" t="e">
        <v>#N/A</v>
      </c>
      <c r="Q571" s="39" t="e">
        <v>#N/A</v>
      </c>
      <c r="R571" s="39">
        <v>1576800000</v>
      </c>
      <c r="S571" s="43" t="s">
        <v>219</v>
      </c>
    </row>
    <row r="572" spans="1:19" ht="16" x14ac:dyDescent="0.2">
      <c r="A572" s="37" t="s">
        <v>613</v>
      </c>
      <c r="B572" s="39">
        <v>0.13</v>
      </c>
      <c r="C572" s="39">
        <v>7.2</v>
      </c>
      <c r="D572" s="41">
        <v>1.3689825849999999</v>
      </c>
      <c r="E572" s="43">
        <v>207130.2776</v>
      </c>
      <c r="F572" s="43">
        <v>366996.86820000003</v>
      </c>
      <c r="G572" s="43" t="s">
        <v>219</v>
      </c>
      <c r="H572" s="43" t="s">
        <v>22</v>
      </c>
      <c r="I572" s="39">
        <v>20</v>
      </c>
      <c r="J572" t="e">
        <f>NA()</f>
        <v>#N/A</v>
      </c>
      <c r="K572" t="e">
        <f>NA()</f>
        <v>#N/A</v>
      </c>
      <c r="L572" s="39">
        <v>1.01</v>
      </c>
      <c r="M572" s="39">
        <v>-24.6</v>
      </c>
      <c r="N572" s="39" t="e">
        <v>#N/A</v>
      </c>
      <c r="O572" s="39" t="e">
        <v>#N/A</v>
      </c>
      <c r="P572" s="39" t="e">
        <v>#N/A</v>
      </c>
      <c r="Q572" s="39" t="e">
        <v>#N/A</v>
      </c>
      <c r="R572" s="39">
        <v>1576800000</v>
      </c>
      <c r="S572" s="43" t="s">
        <v>219</v>
      </c>
    </row>
    <row r="573" spans="1:19" ht="16" x14ac:dyDescent="0.2">
      <c r="A573" s="37" t="s">
        <v>614</v>
      </c>
      <c r="B573" s="39">
        <v>0.1</v>
      </c>
      <c r="C573" s="39">
        <v>4.82</v>
      </c>
      <c r="D573" s="41">
        <v>1.5211685070000001</v>
      </c>
      <c r="E573" s="43">
        <v>207130.2776</v>
      </c>
      <c r="F573" s="43">
        <v>366996.86820000003</v>
      </c>
      <c r="G573" s="43" t="s">
        <v>219</v>
      </c>
      <c r="H573" s="43" t="s">
        <v>22</v>
      </c>
      <c r="I573" s="39">
        <v>30</v>
      </c>
      <c r="J573" t="e">
        <f>NA()</f>
        <v>#N/A</v>
      </c>
      <c r="K573" t="e">
        <f>NA()</f>
        <v>#N/A</v>
      </c>
      <c r="L573" s="39">
        <v>0.47499999999999998</v>
      </c>
      <c r="M573" s="39">
        <v>-24.524999999999999</v>
      </c>
      <c r="N573" s="39" t="e">
        <v>#N/A</v>
      </c>
      <c r="O573" s="39" t="e">
        <v>#N/A</v>
      </c>
      <c r="P573" s="39" t="e">
        <v>#N/A</v>
      </c>
      <c r="Q573" s="39" t="e">
        <v>#N/A</v>
      </c>
      <c r="R573" s="39">
        <v>1576800000</v>
      </c>
      <c r="S573" s="43" t="s">
        <v>219</v>
      </c>
    </row>
    <row r="574" spans="1:19" ht="16" x14ac:dyDescent="0.2">
      <c r="A574" s="37" t="s">
        <v>615</v>
      </c>
      <c r="B574" s="39">
        <v>0.1</v>
      </c>
      <c r="C574" s="39">
        <v>2.9</v>
      </c>
      <c r="D574" s="41">
        <v>1.5442734549999999</v>
      </c>
      <c r="E574" s="43">
        <v>207130.2776</v>
      </c>
      <c r="F574" s="43">
        <v>366996.86820000003</v>
      </c>
      <c r="G574" s="43" t="s">
        <v>219</v>
      </c>
      <c r="H574" s="43" t="s">
        <v>22</v>
      </c>
      <c r="I574" s="39">
        <v>60</v>
      </c>
      <c r="J574" t="e">
        <f>NA()</f>
        <v>#N/A</v>
      </c>
      <c r="K574" t="e">
        <f>NA()</f>
        <v>#N/A</v>
      </c>
      <c r="L574" s="39">
        <v>0.19</v>
      </c>
      <c r="M574" s="39">
        <v>-24.35</v>
      </c>
      <c r="N574" s="39" t="e">
        <v>#N/A</v>
      </c>
      <c r="O574" s="39" t="e">
        <v>#N/A</v>
      </c>
      <c r="P574" s="39" t="e">
        <v>#N/A</v>
      </c>
      <c r="Q574" s="39" t="e">
        <v>#N/A</v>
      </c>
      <c r="R574" s="39">
        <v>1576800000</v>
      </c>
      <c r="S574" s="43" t="s">
        <v>219</v>
      </c>
    </row>
    <row r="575" spans="1:19" ht="16" x14ac:dyDescent="0.2">
      <c r="A575" s="37" t="s">
        <v>616</v>
      </c>
      <c r="B575" s="39">
        <v>0.1</v>
      </c>
      <c r="C575" s="39">
        <v>2.2599999999999998</v>
      </c>
      <c r="D575" s="41">
        <v>1.4183641730000001</v>
      </c>
      <c r="E575" s="43">
        <v>207130.2776</v>
      </c>
      <c r="F575" s="43">
        <v>366996.86820000003</v>
      </c>
      <c r="G575" s="43" t="s">
        <v>219</v>
      </c>
      <c r="H575" s="43" t="s">
        <v>22</v>
      </c>
      <c r="I575" s="39">
        <v>100</v>
      </c>
      <c r="J575" t="e">
        <f>NA()</f>
        <v>#N/A</v>
      </c>
      <c r="K575" t="e">
        <f>NA()</f>
        <v>#N/A</v>
      </c>
      <c r="L575" s="39">
        <v>0.14000000000000001</v>
      </c>
      <c r="M575" s="39">
        <v>-22.66</v>
      </c>
      <c r="N575" s="39" t="e">
        <v>#N/A</v>
      </c>
      <c r="O575" s="39" t="e">
        <v>#N/A</v>
      </c>
      <c r="P575" s="39" t="e">
        <v>#N/A</v>
      </c>
      <c r="Q575" s="39" t="e">
        <v>#N/A</v>
      </c>
      <c r="R575" s="39">
        <v>1576800000</v>
      </c>
      <c r="S575" s="43" t="s">
        <v>219</v>
      </c>
    </row>
    <row r="576" spans="1:19" ht="16" x14ac:dyDescent="0.2">
      <c r="A576" s="37" t="s">
        <v>617</v>
      </c>
      <c r="B576" s="39">
        <v>0.15</v>
      </c>
      <c r="C576" s="39">
        <v>5.5</v>
      </c>
      <c r="D576" s="41">
        <v>1.2814960360000001</v>
      </c>
      <c r="E576" s="43">
        <v>209868.28159999999</v>
      </c>
      <c r="F576" s="43">
        <v>370198.27370000002</v>
      </c>
      <c r="G576" s="43" t="s">
        <v>285</v>
      </c>
      <c r="H576" s="43" t="s">
        <v>22</v>
      </c>
      <c r="I576" s="39">
        <v>10</v>
      </c>
      <c r="J576" t="e">
        <f>NA()</f>
        <v>#N/A</v>
      </c>
      <c r="K576" t="e">
        <f>NA()</f>
        <v>#N/A</v>
      </c>
      <c r="L576" s="39">
        <v>1.32</v>
      </c>
      <c r="M576" s="39">
        <v>-22.5</v>
      </c>
      <c r="N576" s="39" t="e">
        <v>#N/A</v>
      </c>
      <c r="O576" s="39" t="e">
        <v>#N/A</v>
      </c>
      <c r="P576" s="39" t="e">
        <v>#N/A</v>
      </c>
      <c r="Q576" s="39" t="e">
        <v>#N/A</v>
      </c>
      <c r="R576" s="39">
        <v>1576713600</v>
      </c>
      <c r="S576" s="43" t="s">
        <v>285</v>
      </c>
    </row>
    <row r="577" spans="1:19" ht="16" x14ac:dyDescent="0.2">
      <c r="A577" s="37" t="s">
        <v>618</v>
      </c>
      <c r="B577" s="39">
        <v>0.13500000000000001</v>
      </c>
      <c r="C577" s="39">
        <v>5.36</v>
      </c>
      <c r="D577" s="41">
        <v>1.4044426489999999</v>
      </c>
      <c r="E577" s="43">
        <v>209868.28159999999</v>
      </c>
      <c r="F577" s="43">
        <v>370198.27370000002</v>
      </c>
      <c r="G577" s="43" t="s">
        <v>285</v>
      </c>
      <c r="H577" s="43" t="s">
        <v>22</v>
      </c>
      <c r="I577" s="39">
        <v>20</v>
      </c>
      <c r="J577" t="e">
        <f>NA()</f>
        <v>#N/A</v>
      </c>
      <c r="K577" t="e">
        <f>NA()</f>
        <v>#N/A</v>
      </c>
      <c r="L577" s="39">
        <v>1.07</v>
      </c>
      <c r="M577" s="39">
        <v>-23.405000000000001</v>
      </c>
      <c r="N577" s="39" t="e">
        <v>#N/A</v>
      </c>
      <c r="O577" s="39" t="e">
        <v>#N/A</v>
      </c>
      <c r="P577" s="39" t="e">
        <v>#N/A</v>
      </c>
      <c r="Q577" s="39" t="e">
        <v>#N/A</v>
      </c>
      <c r="R577" s="39">
        <v>1576713600</v>
      </c>
      <c r="S577" s="43" t="s">
        <v>285</v>
      </c>
    </row>
    <row r="578" spans="1:19" ht="16" x14ac:dyDescent="0.2">
      <c r="A578" s="37" t="s">
        <v>619</v>
      </c>
      <c r="B578" s="39">
        <v>0.1</v>
      </c>
      <c r="C578" s="39">
        <v>5.31</v>
      </c>
      <c r="D578" s="41">
        <v>1.4774823580000001</v>
      </c>
      <c r="E578" s="43">
        <v>209868.28159999999</v>
      </c>
      <c r="F578" s="43">
        <v>370198.27370000002</v>
      </c>
      <c r="G578" s="43" t="s">
        <v>285</v>
      </c>
      <c r="H578" s="43" t="s">
        <v>22</v>
      </c>
      <c r="I578" s="39">
        <v>30</v>
      </c>
      <c r="J578" t="e">
        <f>NA()</f>
        <v>#N/A</v>
      </c>
      <c r="K578" t="e">
        <f>NA()</f>
        <v>#N/A</v>
      </c>
      <c r="L578" s="39">
        <v>0.74</v>
      </c>
      <c r="M578" s="39">
        <v>-23.66</v>
      </c>
      <c r="N578" s="39" t="e">
        <v>#N/A</v>
      </c>
      <c r="O578" s="39" t="e">
        <v>#N/A</v>
      </c>
      <c r="P578" s="39" t="e">
        <v>#N/A</v>
      </c>
      <c r="Q578" s="39" t="e">
        <v>#N/A</v>
      </c>
      <c r="R578" s="39">
        <v>1576713600</v>
      </c>
      <c r="S578" s="43" t="s">
        <v>285</v>
      </c>
    </row>
    <row r="579" spans="1:19" ht="16" x14ac:dyDescent="0.2">
      <c r="A579" s="37" t="s">
        <v>620</v>
      </c>
      <c r="B579" s="39">
        <v>0.04</v>
      </c>
      <c r="C579" s="39">
        <v>5.5</v>
      </c>
      <c r="D579" s="41">
        <v>1.607568348</v>
      </c>
      <c r="E579" s="43">
        <v>209868.28159999999</v>
      </c>
      <c r="F579" s="43">
        <v>370198.27370000002</v>
      </c>
      <c r="G579" s="43" t="s">
        <v>285</v>
      </c>
      <c r="H579" s="43" t="s">
        <v>22</v>
      </c>
      <c r="I579" s="39">
        <v>60</v>
      </c>
      <c r="J579" t="e">
        <f>NA()</f>
        <v>#N/A</v>
      </c>
      <c r="K579" t="e">
        <f>NA()</f>
        <v>#N/A</v>
      </c>
      <c r="L579" s="39">
        <v>0.18</v>
      </c>
      <c r="M579" s="39">
        <v>-22.5</v>
      </c>
      <c r="N579" s="39" t="e">
        <v>#N/A</v>
      </c>
      <c r="O579" s="39" t="e">
        <v>#N/A</v>
      </c>
      <c r="P579" s="39" t="e">
        <v>#N/A</v>
      </c>
      <c r="Q579" s="39" t="e">
        <v>#N/A</v>
      </c>
      <c r="R579" s="39">
        <v>1576713600</v>
      </c>
      <c r="S579" s="43" t="s">
        <v>285</v>
      </c>
    </row>
    <row r="580" spans="1:19" ht="16" x14ac:dyDescent="0.2">
      <c r="A580" s="37" t="s">
        <v>621</v>
      </c>
      <c r="B580" s="39">
        <v>0.03</v>
      </c>
      <c r="C580" s="39">
        <v>4.4000000000000004</v>
      </c>
      <c r="D580" s="41">
        <v>1.551093233</v>
      </c>
      <c r="E580" s="43">
        <v>209868.28159999999</v>
      </c>
      <c r="F580" s="43">
        <v>370198.27370000002</v>
      </c>
      <c r="G580" s="43" t="s">
        <v>285</v>
      </c>
      <c r="H580" s="43" t="s">
        <v>22</v>
      </c>
      <c r="I580" s="39">
        <v>100</v>
      </c>
      <c r="J580" t="e">
        <f>NA()</f>
        <v>#N/A</v>
      </c>
      <c r="K580" t="e">
        <f>NA()</f>
        <v>#N/A</v>
      </c>
      <c r="L580" s="39">
        <v>0.09</v>
      </c>
      <c r="M580" s="39">
        <v>-23.6</v>
      </c>
      <c r="N580" s="39" t="e">
        <v>#N/A</v>
      </c>
      <c r="O580" s="39" t="e">
        <v>#N/A</v>
      </c>
      <c r="P580" s="39" t="e">
        <v>#N/A</v>
      </c>
      <c r="Q580" s="39" t="e">
        <v>#N/A</v>
      </c>
      <c r="R580" s="39">
        <v>1576713600</v>
      </c>
      <c r="S580" s="43" t="s">
        <v>285</v>
      </c>
    </row>
    <row r="581" spans="1:19" ht="16" x14ac:dyDescent="0.2">
      <c r="A581" s="37" t="s">
        <v>622</v>
      </c>
      <c r="B581" s="39">
        <v>0.13</v>
      </c>
      <c r="C581" s="39">
        <v>4.5999999999999996</v>
      </c>
      <c r="D581" s="41">
        <v>1.5543432559999999</v>
      </c>
      <c r="E581" s="43">
        <v>208112.63140000001</v>
      </c>
      <c r="F581" s="43">
        <v>365496.48340000003</v>
      </c>
      <c r="G581" s="43" t="s">
        <v>623</v>
      </c>
      <c r="H581" s="43" t="s">
        <v>22</v>
      </c>
      <c r="I581" s="39">
        <v>10</v>
      </c>
      <c r="J581" t="e">
        <f>NA()</f>
        <v>#N/A</v>
      </c>
      <c r="K581" t="e">
        <f>NA()</f>
        <v>#N/A</v>
      </c>
      <c r="L581" s="39">
        <v>0.75</v>
      </c>
      <c r="M581" s="39">
        <v>-22.69</v>
      </c>
      <c r="N581" s="39" t="e">
        <v>#N/A</v>
      </c>
      <c r="O581" s="39" t="e">
        <v>#N/A</v>
      </c>
      <c r="P581" s="39" t="e">
        <v>#N/A</v>
      </c>
      <c r="Q581" s="39" t="e">
        <v>#N/A</v>
      </c>
      <c r="R581" s="39">
        <v>1576800000</v>
      </c>
      <c r="S581" s="43" t="s">
        <v>623</v>
      </c>
    </row>
    <row r="582" spans="1:19" ht="16" x14ac:dyDescent="0.2">
      <c r="A582" s="37" t="s">
        <v>624</v>
      </c>
      <c r="B582" s="39">
        <v>0.09</v>
      </c>
      <c r="C582" s="39">
        <v>5.5350000000000001</v>
      </c>
      <c r="D582" s="41">
        <v>1.5376792699999999</v>
      </c>
      <c r="E582" s="43">
        <v>208112.63140000001</v>
      </c>
      <c r="F582" s="43">
        <v>365496.48340000003</v>
      </c>
      <c r="G582" s="43" t="s">
        <v>623</v>
      </c>
      <c r="H582" s="43" t="s">
        <v>22</v>
      </c>
      <c r="I582" s="39">
        <v>20</v>
      </c>
      <c r="J582" t="e">
        <f>NA()</f>
        <v>#N/A</v>
      </c>
      <c r="K582" t="e">
        <f>NA()</f>
        <v>#N/A</v>
      </c>
      <c r="L582" s="39">
        <v>0.72499999999999998</v>
      </c>
      <c r="M582" s="39">
        <v>-22.55</v>
      </c>
      <c r="N582" s="39" t="e">
        <v>#N/A</v>
      </c>
      <c r="O582" s="39" t="e">
        <v>#N/A</v>
      </c>
      <c r="P582" s="39" t="e">
        <v>#N/A</v>
      </c>
      <c r="Q582" s="39" t="e">
        <v>#N/A</v>
      </c>
      <c r="R582" s="39">
        <v>1576800000</v>
      </c>
      <c r="S582" s="43" t="s">
        <v>623</v>
      </c>
    </row>
    <row r="583" spans="1:19" ht="16" x14ac:dyDescent="0.2">
      <c r="A583" s="37" t="s">
        <v>625</v>
      </c>
      <c r="B583" s="39">
        <v>0.08</v>
      </c>
      <c r="C583" s="39">
        <v>5.15</v>
      </c>
      <c r="D583" s="41">
        <v>1.435117381</v>
      </c>
      <c r="E583" s="43">
        <v>208112.63140000001</v>
      </c>
      <c r="F583" s="43">
        <v>365496.48340000003</v>
      </c>
      <c r="G583" s="43" t="s">
        <v>623</v>
      </c>
      <c r="H583" s="43" t="s">
        <v>22</v>
      </c>
      <c r="I583" s="39">
        <v>30</v>
      </c>
      <c r="J583" t="e">
        <f>NA()</f>
        <v>#N/A</v>
      </c>
      <c r="K583" t="e">
        <f>NA()</f>
        <v>#N/A</v>
      </c>
      <c r="L583" s="39">
        <v>0.52</v>
      </c>
      <c r="M583" s="39">
        <v>-22.52</v>
      </c>
      <c r="N583" s="39" t="e">
        <v>#N/A</v>
      </c>
      <c r="O583" s="39" t="e">
        <v>#N/A</v>
      </c>
      <c r="P583" s="39" t="e">
        <v>#N/A</v>
      </c>
      <c r="Q583" s="39" t="e">
        <v>#N/A</v>
      </c>
      <c r="R583" s="39">
        <v>1576800000</v>
      </c>
      <c r="S583" s="43" t="s">
        <v>623</v>
      </c>
    </row>
    <row r="584" spans="1:19" ht="16" x14ac:dyDescent="0.2">
      <c r="A584" s="37" t="s">
        <v>626</v>
      </c>
      <c r="B584" s="39">
        <v>0.06</v>
      </c>
      <c r="C584" s="39">
        <v>4.67</v>
      </c>
      <c r="D584" s="41">
        <v>1.534043381</v>
      </c>
      <c r="E584" s="43">
        <v>208112.63140000001</v>
      </c>
      <c r="F584" s="43">
        <v>365496.48340000003</v>
      </c>
      <c r="G584" s="43" t="s">
        <v>623</v>
      </c>
      <c r="H584" s="43" t="s">
        <v>22</v>
      </c>
      <c r="I584" s="39">
        <v>60</v>
      </c>
      <c r="J584" t="e">
        <f>NA()</f>
        <v>#N/A</v>
      </c>
      <c r="K584" t="e">
        <f>NA()</f>
        <v>#N/A</v>
      </c>
      <c r="L584" s="39">
        <v>0.2</v>
      </c>
      <c r="M584" s="39">
        <v>-21.77</v>
      </c>
      <c r="N584" s="39" t="e">
        <v>#N/A</v>
      </c>
      <c r="O584" s="39" t="e">
        <v>#N/A</v>
      </c>
      <c r="P584" s="39" t="e">
        <v>#N/A</v>
      </c>
      <c r="Q584" s="39" t="e">
        <v>#N/A</v>
      </c>
      <c r="R584" s="39">
        <v>1576800000</v>
      </c>
      <c r="S584" s="43" t="s">
        <v>623</v>
      </c>
    </row>
    <row r="585" spans="1:19" ht="16" x14ac:dyDescent="0.2">
      <c r="A585" s="37" t="s">
        <v>627</v>
      </c>
      <c r="B585" s="39">
        <v>0.04</v>
      </c>
      <c r="C585" s="39">
        <v>3.45</v>
      </c>
      <c r="D585" s="41">
        <v>1.543523008</v>
      </c>
      <c r="E585" s="43">
        <v>208112.63140000001</v>
      </c>
      <c r="F585" s="43">
        <v>365496.48340000003</v>
      </c>
      <c r="G585" s="43" t="s">
        <v>623</v>
      </c>
      <c r="H585" s="43" t="s">
        <v>22</v>
      </c>
      <c r="I585" s="39">
        <v>100</v>
      </c>
      <c r="J585" t="e">
        <f>NA()</f>
        <v>#N/A</v>
      </c>
      <c r="K585" t="e">
        <f>NA()</f>
        <v>#N/A</v>
      </c>
      <c r="L585" s="39">
        <v>0.1</v>
      </c>
      <c r="M585" s="39">
        <v>-23.76</v>
      </c>
      <c r="N585" s="39" t="e">
        <v>#N/A</v>
      </c>
      <c r="O585" s="39" t="e">
        <v>#N/A</v>
      </c>
      <c r="P585" s="39" t="e">
        <v>#N/A</v>
      </c>
      <c r="Q585" s="39" t="e">
        <v>#N/A</v>
      </c>
      <c r="R585" s="39">
        <v>1576800000</v>
      </c>
      <c r="S585" s="43" t="s">
        <v>623</v>
      </c>
    </row>
    <row r="586" spans="1:19" ht="16" x14ac:dyDescent="0.2">
      <c r="A586" s="37" t="s">
        <v>628</v>
      </c>
      <c r="B586" s="39">
        <v>0.11</v>
      </c>
      <c r="C586" s="39">
        <v>4.7</v>
      </c>
      <c r="D586" s="41">
        <v>1.490824699</v>
      </c>
      <c r="E586" s="43">
        <v>207160.9541</v>
      </c>
      <c r="F586" s="43">
        <v>364717.0062</v>
      </c>
      <c r="G586" s="43" t="s">
        <v>629</v>
      </c>
      <c r="H586" s="43" t="s">
        <v>22</v>
      </c>
      <c r="I586" s="39">
        <v>10</v>
      </c>
      <c r="J586" t="e">
        <f>NA()</f>
        <v>#N/A</v>
      </c>
      <c r="K586" t="e">
        <f>NA()</f>
        <v>#N/A</v>
      </c>
      <c r="L586" s="39">
        <v>1.05</v>
      </c>
      <c r="M586" s="39">
        <v>-22.2</v>
      </c>
      <c r="N586" s="39" t="e">
        <v>#N/A</v>
      </c>
      <c r="O586" s="39" t="e">
        <v>#N/A</v>
      </c>
      <c r="P586" s="39" t="e">
        <v>#N/A</v>
      </c>
      <c r="Q586" s="39" t="e">
        <v>#N/A</v>
      </c>
      <c r="R586" s="39">
        <v>1576713600</v>
      </c>
      <c r="S586" s="43" t="s">
        <v>629</v>
      </c>
    </row>
    <row r="587" spans="1:19" ht="16" x14ac:dyDescent="0.2">
      <c r="A587" s="37" t="s">
        <v>630</v>
      </c>
      <c r="B587" s="39">
        <v>0.14000000000000001</v>
      </c>
      <c r="C587" s="39">
        <v>4.7699999999999996</v>
      </c>
      <c r="D587" s="41">
        <v>1.393340588</v>
      </c>
      <c r="E587" s="43">
        <v>207160.9541</v>
      </c>
      <c r="F587" s="43">
        <v>364717.0062</v>
      </c>
      <c r="G587" s="43" t="s">
        <v>42</v>
      </c>
      <c r="H587" s="43" t="s">
        <v>22</v>
      </c>
      <c r="I587" s="39">
        <v>20</v>
      </c>
      <c r="J587" t="e">
        <f>NA()</f>
        <v>#N/A</v>
      </c>
      <c r="K587" t="e">
        <f>NA()</f>
        <v>#N/A</v>
      </c>
      <c r="L587" s="39">
        <v>1.1599999999999999</v>
      </c>
      <c r="M587" s="39">
        <v>-22.51</v>
      </c>
      <c r="N587" s="39" t="e">
        <v>#N/A</v>
      </c>
      <c r="O587" s="39" t="e">
        <v>#N/A</v>
      </c>
      <c r="P587" s="39" t="e">
        <v>#N/A</v>
      </c>
      <c r="Q587" s="39" t="e">
        <v>#N/A</v>
      </c>
      <c r="R587" s="39">
        <v>1576713600</v>
      </c>
      <c r="S587" s="43" t="s">
        <v>42</v>
      </c>
    </row>
    <row r="588" spans="1:19" ht="16" x14ac:dyDescent="0.2">
      <c r="A588" s="37" t="s">
        <v>631</v>
      </c>
      <c r="B588" s="39">
        <v>0.09</v>
      </c>
      <c r="C588" s="39">
        <v>5.0599999999999996</v>
      </c>
      <c r="D588" s="41">
        <v>1.4594982860000001</v>
      </c>
      <c r="E588" s="43">
        <v>207160.9541</v>
      </c>
      <c r="F588" s="43">
        <v>364717.0062</v>
      </c>
      <c r="G588" s="43" t="s">
        <v>49</v>
      </c>
      <c r="H588" s="43" t="s">
        <v>22</v>
      </c>
      <c r="I588" s="39">
        <v>30</v>
      </c>
      <c r="J588" t="e">
        <f>NA()</f>
        <v>#N/A</v>
      </c>
      <c r="K588" t="e">
        <f>NA()</f>
        <v>#N/A</v>
      </c>
      <c r="L588" s="39">
        <v>0.76</v>
      </c>
      <c r="M588" s="39">
        <v>-22.75</v>
      </c>
      <c r="N588" s="39" t="e">
        <v>#N/A</v>
      </c>
      <c r="O588" s="39" t="e">
        <v>#N/A</v>
      </c>
      <c r="P588" s="39" t="e">
        <v>#N/A</v>
      </c>
      <c r="Q588" s="39" t="e">
        <v>#N/A</v>
      </c>
      <c r="R588" s="39">
        <v>1576713600</v>
      </c>
      <c r="S588" s="43" t="s">
        <v>49</v>
      </c>
    </row>
    <row r="589" spans="1:19" ht="16" x14ac:dyDescent="0.2">
      <c r="A589" s="37" t="s">
        <v>632</v>
      </c>
      <c r="B589" s="39">
        <v>0.05</v>
      </c>
      <c r="C589" s="39">
        <v>5.4</v>
      </c>
      <c r="D589" s="41">
        <v>1.4437274929999999</v>
      </c>
      <c r="E589" s="43">
        <v>207160.9541</v>
      </c>
      <c r="F589" s="43">
        <v>364717.0062</v>
      </c>
      <c r="G589" s="43" t="s">
        <v>633</v>
      </c>
      <c r="H589" s="43" t="s">
        <v>22</v>
      </c>
      <c r="I589" s="39">
        <v>60</v>
      </c>
      <c r="J589" t="e">
        <f>NA()</f>
        <v>#N/A</v>
      </c>
      <c r="K589" t="e">
        <f>NA()</f>
        <v>#N/A</v>
      </c>
      <c r="L589" s="39">
        <v>0.31</v>
      </c>
      <c r="M589" s="39">
        <v>-22.4</v>
      </c>
      <c r="N589" s="39" t="e">
        <v>#N/A</v>
      </c>
      <c r="O589" s="39" t="e">
        <v>#N/A</v>
      </c>
      <c r="P589" s="39" t="e">
        <v>#N/A</v>
      </c>
      <c r="Q589" s="39" t="e">
        <v>#N/A</v>
      </c>
      <c r="R589" s="39">
        <v>1576713600</v>
      </c>
      <c r="S589" s="43" t="s">
        <v>633</v>
      </c>
    </row>
    <row r="590" spans="1:19" ht="16" x14ac:dyDescent="0.2">
      <c r="A590" s="37" t="s">
        <v>634</v>
      </c>
      <c r="B590" s="39">
        <v>0.05</v>
      </c>
      <c r="C590" s="39">
        <v>3.8</v>
      </c>
      <c r="D590" s="41">
        <v>1.506500006</v>
      </c>
      <c r="E590" s="43">
        <v>207160.9541</v>
      </c>
      <c r="F590" s="43">
        <v>364717.0062</v>
      </c>
      <c r="G590" s="43" t="s">
        <v>635</v>
      </c>
      <c r="H590" s="43" t="s">
        <v>22</v>
      </c>
      <c r="I590" s="39">
        <v>100</v>
      </c>
      <c r="J590" t="e">
        <f>NA()</f>
        <v>#N/A</v>
      </c>
      <c r="K590" t="e">
        <f>NA()</f>
        <v>#N/A</v>
      </c>
      <c r="L590" s="39">
        <v>0.13</v>
      </c>
      <c r="M590" s="39">
        <v>-23.175000000000001</v>
      </c>
      <c r="N590" s="39" t="e">
        <v>#N/A</v>
      </c>
      <c r="O590" s="39" t="e">
        <v>#N/A</v>
      </c>
      <c r="P590" s="39" t="e">
        <v>#N/A</v>
      </c>
      <c r="Q590" s="39" t="e">
        <v>#N/A</v>
      </c>
      <c r="R590" s="39">
        <v>1576713600</v>
      </c>
      <c r="S590" s="43" t="s">
        <v>635</v>
      </c>
    </row>
    <row r="591" spans="1:19" ht="16" x14ac:dyDescent="0.2">
      <c r="A591" s="37" t="s">
        <v>636</v>
      </c>
      <c r="B591" s="39">
        <v>0.13500000000000001</v>
      </c>
      <c r="C591" s="39">
        <v>3.86</v>
      </c>
      <c r="D591" s="41">
        <v>1.5070895399999999</v>
      </c>
      <c r="E591" s="43">
        <v>210268.54399999999</v>
      </c>
      <c r="F591" s="43">
        <v>370278.37790000002</v>
      </c>
      <c r="G591" s="43" t="s">
        <v>49</v>
      </c>
      <c r="H591" s="43" t="s">
        <v>22</v>
      </c>
      <c r="I591" s="39">
        <v>10</v>
      </c>
      <c r="J591" t="e">
        <f>NA()</f>
        <v>#N/A</v>
      </c>
      <c r="K591" t="e">
        <f>NA()</f>
        <v>#N/A</v>
      </c>
      <c r="L591" s="39">
        <v>1.2450000000000001</v>
      </c>
      <c r="M591" s="39">
        <v>-22.72</v>
      </c>
      <c r="N591" s="39" t="e">
        <v>#N/A</v>
      </c>
      <c r="O591" s="39" t="e">
        <v>#N/A</v>
      </c>
      <c r="P591" s="39" t="e">
        <v>#N/A</v>
      </c>
      <c r="Q591" s="39" t="e">
        <v>#N/A</v>
      </c>
      <c r="R591" s="39">
        <v>1576800000</v>
      </c>
      <c r="S591" s="43" t="s">
        <v>49</v>
      </c>
    </row>
    <row r="592" spans="1:19" ht="16" x14ac:dyDescent="0.2">
      <c r="A592" s="37" t="s">
        <v>637</v>
      </c>
      <c r="B592" s="39">
        <v>0.11</v>
      </c>
      <c r="C592" s="39">
        <v>4.6500000000000004</v>
      </c>
      <c r="D592" s="41">
        <v>1.5741187539999999</v>
      </c>
      <c r="E592" s="43">
        <v>210268.54399999999</v>
      </c>
      <c r="F592" s="43">
        <v>370278.37790000002</v>
      </c>
      <c r="G592" s="43" t="s">
        <v>633</v>
      </c>
      <c r="H592" s="43" t="s">
        <v>22</v>
      </c>
      <c r="I592" s="39">
        <v>20</v>
      </c>
      <c r="J592" t="e">
        <f>NA()</f>
        <v>#N/A</v>
      </c>
      <c r="K592" t="e">
        <f>NA()</f>
        <v>#N/A</v>
      </c>
      <c r="L592" s="39">
        <v>0.87</v>
      </c>
      <c r="M592" s="39">
        <v>-23.36</v>
      </c>
      <c r="N592" s="39" t="e">
        <v>#N/A</v>
      </c>
      <c r="O592" s="39" t="e">
        <v>#N/A</v>
      </c>
      <c r="P592" s="39" t="e">
        <v>#N/A</v>
      </c>
      <c r="Q592" s="39" t="e">
        <v>#N/A</v>
      </c>
      <c r="R592" s="39">
        <v>1576800000</v>
      </c>
      <c r="S592" s="43" t="s">
        <v>633</v>
      </c>
    </row>
    <row r="593" spans="1:19" ht="16" x14ac:dyDescent="0.2">
      <c r="A593" s="37" t="s">
        <v>638</v>
      </c>
      <c r="B593" s="39">
        <v>0.08</v>
      </c>
      <c r="C593" s="39">
        <v>5.45</v>
      </c>
      <c r="D593" s="41">
        <v>1.5307320879999999</v>
      </c>
      <c r="E593" s="43">
        <v>210268.54399999999</v>
      </c>
      <c r="F593" s="43">
        <v>370278.37790000002</v>
      </c>
      <c r="G593" s="43" t="s">
        <v>635</v>
      </c>
      <c r="H593" s="43" t="s">
        <v>22</v>
      </c>
      <c r="I593" s="39">
        <v>30</v>
      </c>
      <c r="J593" t="e">
        <f>NA()</f>
        <v>#N/A</v>
      </c>
      <c r="K593" t="e">
        <f>NA()</f>
        <v>#N/A</v>
      </c>
      <c r="L593" s="39">
        <v>0.7</v>
      </c>
      <c r="M593" s="39">
        <v>-23.44</v>
      </c>
      <c r="N593" s="39" t="e">
        <v>#N/A</v>
      </c>
      <c r="O593" s="39" t="e">
        <v>#N/A</v>
      </c>
      <c r="P593" s="39" t="e">
        <v>#N/A</v>
      </c>
      <c r="Q593" s="39" t="e">
        <v>#N/A</v>
      </c>
      <c r="R593" s="39">
        <v>1576800000</v>
      </c>
      <c r="S593" s="43" t="s">
        <v>635</v>
      </c>
    </row>
    <row r="594" spans="1:19" ht="16" x14ac:dyDescent="0.2">
      <c r="A594" s="37" t="s">
        <v>639</v>
      </c>
      <c r="B594" s="39">
        <v>0.06</v>
      </c>
      <c r="C594" s="39">
        <v>4.0999999999999996</v>
      </c>
      <c r="D594" s="41">
        <v>1.582758983</v>
      </c>
      <c r="E594" s="43">
        <v>210268.54399999999</v>
      </c>
      <c r="F594" s="43">
        <v>370278.37790000002</v>
      </c>
      <c r="G594" s="43" t="s">
        <v>640</v>
      </c>
      <c r="H594" s="43" t="s">
        <v>22</v>
      </c>
      <c r="I594" s="39">
        <v>60</v>
      </c>
      <c r="J594" t="e">
        <f>NA()</f>
        <v>#N/A</v>
      </c>
      <c r="K594" t="e">
        <f>NA()</f>
        <v>#N/A</v>
      </c>
      <c r="L594" s="39">
        <v>0.23</v>
      </c>
      <c r="M594" s="39">
        <v>-23.14</v>
      </c>
      <c r="N594" s="39" t="e">
        <v>#N/A</v>
      </c>
      <c r="O594" s="39" t="e">
        <v>#N/A</v>
      </c>
      <c r="P594" s="39" t="e">
        <v>#N/A</v>
      </c>
      <c r="Q594" s="39" t="e">
        <v>#N/A</v>
      </c>
      <c r="R594" s="39">
        <v>1576800000</v>
      </c>
      <c r="S594" s="43" t="s">
        <v>640</v>
      </c>
    </row>
    <row r="595" spans="1:19" ht="16" x14ac:dyDescent="0.2">
      <c r="A595" s="38" t="s">
        <v>641</v>
      </c>
      <c r="B595" s="40">
        <v>0.05</v>
      </c>
      <c r="C595" s="40">
        <v>3.7650000000000001</v>
      </c>
      <c r="D595" s="42">
        <v>1.6078346830000001</v>
      </c>
      <c r="E595" s="44">
        <v>210268.54399999999</v>
      </c>
      <c r="F595" s="44">
        <v>370278.37790000002</v>
      </c>
      <c r="G595" s="44" t="s">
        <v>642</v>
      </c>
      <c r="H595" s="44" t="s">
        <v>22</v>
      </c>
      <c r="I595" s="40">
        <v>100</v>
      </c>
      <c r="J595" t="e">
        <f>NA()</f>
        <v>#N/A</v>
      </c>
      <c r="K595" t="e">
        <f>NA()</f>
        <v>#N/A</v>
      </c>
      <c r="L595" s="40">
        <v>8.5000000000000006E-2</v>
      </c>
      <c r="M595" s="40">
        <v>-24.375</v>
      </c>
      <c r="N595" s="39" t="e">
        <v>#N/A</v>
      </c>
      <c r="O595" s="39" t="e">
        <v>#N/A</v>
      </c>
      <c r="P595" s="39" t="e">
        <v>#N/A</v>
      </c>
      <c r="Q595" s="39" t="e">
        <v>#N/A</v>
      </c>
      <c r="R595" s="40">
        <v>1576800000</v>
      </c>
      <c r="S595" s="44" t="s">
        <v>642</v>
      </c>
    </row>
    <row r="596" spans="1:19" ht="16" x14ac:dyDescent="0.2">
      <c r="A596" s="27" t="s">
        <v>643</v>
      </c>
      <c r="B596" s="16">
        <v>0.13</v>
      </c>
      <c r="C596" s="16">
        <v>5.0199999999999996</v>
      </c>
      <c r="D596" s="29">
        <v>1.177034736</v>
      </c>
      <c r="E596" s="30">
        <v>207160.9541</v>
      </c>
      <c r="F596" s="30">
        <v>364717.0062</v>
      </c>
      <c r="G596" s="30" t="s">
        <v>42</v>
      </c>
      <c r="H596" s="45" t="s">
        <v>22</v>
      </c>
      <c r="I596" s="16">
        <v>10</v>
      </c>
      <c r="J596" t="e">
        <f>NA()</f>
        <v>#N/A</v>
      </c>
      <c r="K596" t="e">
        <f>NA()</f>
        <v>#N/A</v>
      </c>
      <c r="L596" s="16">
        <v>1.07</v>
      </c>
      <c r="M596" s="16">
        <v>-20.85</v>
      </c>
      <c r="N596" s="29">
        <v>1.04</v>
      </c>
      <c r="O596" s="29">
        <v>-21.31</v>
      </c>
      <c r="P596" s="29">
        <v>0.12</v>
      </c>
      <c r="Q596" s="16">
        <v>4.2300000000000004</v>
      </c>
      <c r="R596" s="16">
        <v>1525132800</v>
      </c>
      <c r="S596" s="30" t="s">
        <v>42</v>
      </c>
    </row>
    <row r="597" spans="1:19" ht="16" x14ac:dyDescent="0.2">
      <c r="A597" s="27" t="s">
        <v>644</v>
      </c>
      <c r="B597" s="16">
        <v>0.11</v>
      </c>
      <c r="C597" s="16">
        <v>4.5599999999999996</v>
      </c>
      <c r="D597" s="29">
        <v>1.384628296</v>
      </c>
      <c r="E597" s="30">
        <v>207160.9541</v>
      </c>
      <c r="F597" s="30">
        <v>364717.0062</v>
      </c>
      <c r="G597" s="30" t="s">
        <v>42</v>
      </c>
      <c r="H597" s="45" t="s">
        <v>22</v>
      </c>
      <c r="I597" s="16">
        <v>20</v>
      </c>
      <c r="J597" t="e">
        <f>NA()</f>
        <v>#N/A</v>
      </c>
      <c r="K597" t="e">
        <f>NA()</f>
        <v>#N/A</v>
      </c>
      <c r="L597" s="16">
        <v>1</v>
      </c>
      <c r="M597" s="16">
        <v>-21.08</v>
      </c>
      <c r="N597" s="29">
        <v>1.03</v>
      </c>
      <c r="O597" s="29">
        <v>-21.21</v>
      </c>
      <c r="P597" s="29">
        <v>0.12</v>
      </c>
      <c r="Q597" s="16">
        <v>3.83</v>
      </c>
      <c r="R597" s="16">
        <v>1525132800</v>
      </c>
      <c r="S597" s="30" t="s">
        <v>42</v>
      </c>
    </row>
    <row r="598" spans="1:19" ht="16" x14ac:dyDescent="0.2">
      <c r="A598" s="27" t="s">
        <v>645</v>
      </c>
      <c r="B598" s="16">
        <v>7.0000000000000007E-2</v>
      </c>
      <c r="C598" s="16">
        <v>4.4400000000000004</v>
      </c>
      <c r="D598" s="29">
        <v>1.513712645</v>
      </c>
      <c r="E598" s="30">
        <v>207160.9541</v>
      </c>
      <c r="F598" s="30">
        <v>364717.0062</v>
      </c>
      <c r="G598" s="30" t="s">
        <v>42</v>
      </c>
      <c r="H598" s="45" t="s">
        <v>22</v>
      </c>
      <c r="I598" s="16">
        <v>30</v>
      </c>
      <c r="J598" t="e">
        <f>NA()</f>
        <v>#N/A</v>
      </c>
      <c r="K598" t="e">
        <f>NA()</f>
        <v>#N/A</v>
      </c>
      <c r="L598" s="16">
        <v>0.56999999999999995</v>
      </c>
      <c r="M598" s="16">
        <v>-22.26</v>
      </c>
      <c r="N598" s="29">
        <v>0.48</v>
      </c>
      <c r="O598" s="29">
        <v>-22.39</v>
      </c>
      <c r="P598" s="29">
        <v>7.0000000000000007E-2</v>
      </c>
      <c r="Q598" s="16">
        <v>3.35</v>
      </c>
      <c r="R598" s="16">
        <v>1525132800</v>
      </c>
      <c r="S598" s="30" t="s">
        <v>42</v>
      </c>
    </row>
    <row r="599" spans="1:19" ht="16" x14ac:dyDescent="0.2">
      <c r="A599" s="27" t="s">
        <v>646</v>
      </c>
      <c r="B599" s="16">
        <v>0.05</v>
      </c>
      <c r="C599" s="16">
        <v>5.43</v>
      </c>
      <c r="D599" s="29">
        <v>1.5283862349999999</v>
      </c>
      <c r="E599" s="30">
        <v>207160.9541</v>
      </c>
      <c r="F599" s="30">
        <v>364717.0062</v>
      </c>
      <c r="G599" s="30" t="s">
        <v>42</v>
      </c>
      <c r="H599" s="45" t="s">
        <v>22</v>
      </c>
      <c r="I599" s="16">
        <v>60</v>
      </c>
      <c r="J599" t="e">
        <f>NA()</f>
        <v>#N/A</v>
      </c>
      <c r="K599" t="e">
        <f>NA()</f>
        <v>#N/A</v>
      </c>
      <c r="L599" s="16">
        <v>0.22500000000000001</v>
      </c>
      <c r="M599" s="16">
        <v>-22.335000000000001</v>
      </c>
      <c r="N599" s="29">
        <v>0.215</v>
      </c>
      <c r="O599" s="29">
        <v>-22.835000000000001</v>
      </c>
      <c r="P599" s="29">
        <v>0.05</v>
      </c>
      <c r="Q599" s="16">
        <v>3.2</v>
      </c>
      <c r="R599" s="16">
        <v>1525132800</v>
      </c>
      <c r="S599" s="30" t="s">
        <v>42</v>
      </c>
    </row>
    <row r="600" spans="1:19" ht="16" x14ac:dyDescent="0.2">
      <c r="A600" s="27" t="s">
        <v>647</v>
      </c>
      <c r="B600" s="16">
        <v>0.03</v>
      </c>
      <c r="C600" s="16">
        <v>4.2300000000000004</v>
      </c>
      <c r="D600" s="29">
        <v>1.4842530490000001</v>
      </c>
      <c r="E600" s="30">
        <v>207160.9541</v>
      </c>
      <c r="F600" s="30">
        <v>364717.0062</v>
      </c>
      <c r="G600" s="30" t="s">
        <v>42</v>
      </c>
      <c r="H600" s="45" t="s">
        <v>22</v>
      </c>
      <c r="I600" s="16">
        <v>100</v>
      </c>
      <c r="J600" t="e">
        <f>NA()</f>
        <v>#N/A</v>
      </c>
      <c r="K600" t="e">
        <f>NA()</f>
        <v>#N/A</v>
      </c>
      <c r="L600" s="16">
        <v>0.13</v>
      </c>
      <c r="M600" s="16">
        <v>-23.46</v>
      </c>
      <c r="N600" s="29">
        <v>0.13</v>
      </c>
      <c r="O600" s="29">
        <v>-24.86</v>
      </c>
      <c r="P600" s="29">
        <v>0.04</v>
      </c>
      <c r="Q600" s="16">
        <v>2.0299999999999998</v>
      </c>
      <c r="R600" s="16">
        <v>1525132800</v>
      </c>
      <c r="S600" s="30" t="s">
        <v>42</v>
      </c>
    </row>
    <row r="601" spans="1:19" ht="16" x14ac:dyDescent="0.2">
      <c r="A601" s="27" t="s">
        <v>648</v>
      </c>
      <c r="B601" s="16">
        <v>0.13</v>
      </c>
      <c r="C601" s="16">
        <v>4.42</v>
      </c>
      <c r="D601" s="29">
        <v>1.2914697589999999</v>
      </c>
      <c r="E601" s="30">
        <v>210268.54399999999</v>
      </c>
      <c r="F601" s="30">
        <v>370278.37790000002</v>
      </c>
      <c r="G601" s="30" t="s">
        <v>49</v>
      </c>
      <c r="H601" s="45" t="s">
        <v>22</v>
      </c>
      <c r="I601" s="16">
        <v>10</v>
      </c>
      <c r="J601" s="28">
        <v>0.27261000000000002</v>
      </c>
      <c r="K601" t="e">
        <f>NA()</f>
        <v>#N/A</v>
      </c>
      <c r="L601" s="16">
        <v>1.26</v>
      </c>
      <c r="M601" s="16">
        <v>-21.68</v>
      </c>
      <c r="N601" s="29">
        <v>1.1299999999999999</v>
      </c>
      <c r="O601" s="29">
        <v>-23.465</v>
      </c>
      <c r="P601" s="29">
        <v>0.13</v>
      </c>
      <c r="Q601" s="16">
        <v>3.6349999999999998</v>
      </c>
      <c r="R601" s="16">
        <v>1525219200</v>
      </c>
      <c r="S601" s="30" t="s">
        <v>49</v>
      </c>
    </row>
    <row r="602" spans="1:19" ht="16" x14ac:dyDescent="0.2">
      <c r="A602" s="27" t="s">
        <v>649</v>
      </c>
      <c r="B602" s="16">
        <v>0.1</v>
      </c>
      <c r="C602" s="16">
        <v>4.93</v>
      </c>
      <c r="D602" s="29">
        <v>1.5264263840000001</v>
      </c>
      <c r="E602" s="30">
        <v>210268.54399999999</v>
      </c>
      <c r="F602" s="30">
        <v>370278.37790000002</v>
      </c>
      <c r="G602" s="30" t="s">
        <v>49</v>
      </c>
      <c r="H602" s="45" t="s">
        <v>22</v>
      </c>
      <c r="I602" s="16">
        <v>20</v>
      </c>
      <c r="J602" s="28">
        <v>0.27633000000000002</v>
      </c>
      <c r="K602" t="e">
        <f>NA()</f>
        <v>#N/A</v>
      </c>
      <c r="L602" s="16">
        <v>0.83</v>
      </c>
      <c r="M602" s="16">
        <v>-23.19</v>
      </c>
      <c r="N602" s="29">
        <v>0.86</v>
      </c>
      <c r="O602" s="29">
        <v>-23.29</v>
      </c>
      <c r="P602" s="29">
        <v>0.1</v>
      </c>
      <c r="Q602" s="16">
        <v>3.51</v>
      </c>
      <c r="R602" s="16">
        <v>1525219200</v>
      </c>
      <c r="S602" s="30" t="s">
        <v>49</v>
      </c>
    </row>
    <row r="603" spans="1:19" ht="16" x14ac:dyDescent="0.2">
      <c r="A603" s="27" t="s">
        <v>650</v>
      </c>
      <c r="B603" s="16">
        <v>0.08</v>
      </c>
      <c r="C603" s="16">
        <v>5.2050000000000001</v>
      </c>
      <c r="D603" s="29">
        <v>1.600254563</v>
      </c>
      <c r="E603" s="30">
        <v>210268.54399999999</v>
      </c>
      <c r="F603" s="30">
        <v>370278.37790000002</v>
      </c>
      <c r="G603" s="30" t="s">
        <v>49</v>
      </c>
      <c r="H603" s="45" t="s">
        <v>22</v>
      </c>
      <c r="I603" s="16">
        <v>30</v>
      </c>
      <c r="J603" s="28">
        <v>0.26961000000000002</v>
      </c>
      <c r="K603" t="e">
        <f>NA()</f>
        <v>#N/A</v>
      </c>
      <c r="L603" s="16">
        <v>0.68500000000000005</v>
      </c>
      <c r="M603" s="16">
        <v>-23.375</v>
      </c>
      <c r="N603" s="29">
        <v>0.68333333299999999</v>
      </c>
      <c r="O603" s="29">
        <v>-23.77</v>
      </c>
      <c r="P603" s="29">
        <v>8.3333332999999996E-2</v>
      </c>
      <c r="Q603" s="16">
        <v>4.3600000000000003</v>
      </c>
      <c r="R603" s="16">
        <v>1525219200</v>
      </c>
      <c r="S603" s="30" t="s">
        <v>49</v>
      </c>
    </row>
    <row r="604" spans="1:19" ht="16" x14ac:dyDescent="0.2">
      <c r="A604" s="27" t="s">
        <v>651</v>
      </c>
      <c r="B604" s="16">
        <v>0.06</v>
      </c>
      <c r="C604" s="16">
        <v>5.22</v>
      </c>
      <c r="D604" s="29">
        <v>1.4995817579999999</v>
      </c>
      <c r="E604" s="30">
        <v>210268.54399999999</v>
      </c>
      <c r="F604" s="30">
        <v>370278.37790000002</v>
      </c>
      <c r="G604" s="30" t="s">
        <v>49</v>
      </c>
      <c r="H604" s="45" t="s">
        <v>22</v>
      </c>
      <c r="I604" s="16">
        <v>60</v>
      </c>
      <c r="J604" s="28">
        <v>0.33294000000000001</v>
      </c>
      <c r="K604" t="e">
        <f>NA()</f>
        <v>#N/A</v>
      </c>
      <c r="L604" s="16">
        <v>0.41</v>
      </c>
      <c r="M604" s="16">
        <v>-23.66</v>
      </c>
      <c r="N604" s="29">
        <v>0.38</v>
      </c>
      <c r="O604" s="29">
        <v>-23.41</v>
      </c>
      <c r="P604" s="29">
        <v>0.06</v>
      </c>
      <c r="Q604" s="16">
        <v>3.17</v>
      </c>
      <c r="R604" s="16">
        <v>1525219200</v>
      </c>
      <c r="S604" s="30" t="s">
        <v>49</v>
      </c>
    </row>
    <row r="605" spans="1:19" ht="16" x14ac:dyDescent="0.2">
      <c r="A605" s="27" t="s">
        <v>652</v>
      </c>
      <c r="B605" s="16">
        <v>0.04</v>
      </c>
      <c r="C605" s="16">
        <v>4.51</v>
      </c>
      <c r="D605" s="29">
        <v>1.5759084670000001</v>
      </c>
      <c r="E605" s="30">
        <v>210268.54399999999</v>
      </c>
      <c r="F605" s="30">
        <v>370278.37790000002</v>
      </c>
      <c r="G605" s="30" t="s">
        <v>49</v>
      </c>
      <c r="H605" s="45" t="s">
        <v>22</v>
      </c>
      <c r="I605" s="16">
        <v>100</v>
      </c>
      <c r="J605" s="28">
        <v>0.38472000000000001</v>
      </c>
      <c r="K605" t="e">
        <f>NA()</f>
        <v>#N/A</v>
      </c>
      <c r="L605" s="16">
        <v>0.12</v>
      </c>
      <c r="M605" s="16">
        <v>-24.66</v>
      </c>
      <c r="N605" s="29">
        <v>0.12</v>
      </c>
      <c r="O605" s="29">
        <v>-26.08</v>
      </c>
      <c r="P605" s="29">
        <v>0.04</v>
      </c>
      <c r="Q605" s="16">
        <v>2.97</v>
      </c>
      <c r="R605" s="16">
        <v>1525219200</v>
      </c>
      <c r="S605" s="30" t="s">
        <v>49</v>
      </c>
    </row>
    <row r="606" spans="1:19" ht="16" x14ac:dyDescent="0.2">
      <c r="A606" s="27" t="s">
        <v>653</v>
      </c>
      <c r="B606" s="16">
        <v>0.16</v>
      </c>
      <c r="C606" s="16">
        <v>-0.22</v>
      </c>
      <c r="D606" s="29">
        <v>1.3174289539999999</v>
      </c>
      <c r="E606" s="30">
        <v>209797.8315</v>
      </c>
      <c r="F606" s="30">
        <v>368638.50109999999</v>
      </c>
      <c r="G606" s="30" t="s">
        <v>55</v>
      </c>
      <c r="H606" s="45" t="s">
        <v>22</v>
      </c>
      <c r="I606" s="16">
        <v>10</v>
      </c>
      <c r="J606" s="28">
        <v>0.22594</v>
      </c>
      <c r="K606" t="e">
        <f>NA()</f>
        <v>#N/A</v>
      </c>
      <c r="L606" s="16">
        <v>1.56</v>
      </c>
      <c r="M606" s="16">
        <v>-25.13</v>
      </c>
      <c r="N606" s="29">
        <v>1.48</v>
      </c>
      <c r="O606" s="29">
        <v>-25.52</v>
      </c>
      <c r="P606" s="29">
        <v>0.16</v>
      </c>
      <c r="Q606" s="16">
        <v>5.07</v>
      </c>
      <c r="R606" s="16">
        <v>1525737600</v>
      </c>
      <c r="S606" s="30" t="s">
        <v>55</v>
      </c>
    </row>
    <row r="607" spans="1:19" ht="16" x14ac:dyDescent="0.2">
      <c r="A607" s="27" t="s">
        <v>654</v>
      </c>
      <c r="B607" s="16">
        <v>0.13</v>
      </c>
      <c r="C607" s="16">
        <v>5.3049999999999997</v>
      </c>
      <c r="D607" s="29">
        <v>1.311586838</v>
      </c>
      <c r="E607" s="30">
        <v>209797.8315</v>
      </c>
      <c r="F607" s="30">
        <v>368638.50109999999</v>
      </c>
      <c r="G607" s="46" t="s">
        <v>55</v>
      </c>
      <c r="H607" s="45" t="s">
        <v>22</v>
      </c>
      <c r="I607" s="16">
        <v>20</v>
      </c>
      <c r="J607" s="28">
        <v>0.23488999999999999</v>
      </c>
      <c r="K607" t="e">
        <f>NA()</f>
        <v>#N/A</v>
      </c>
      <c r="L607" s="16">
        <v>1.335</v>
      </c>
      <c r="M607" s="16">
        <v>-25.245000000000001</v>
      </c>
      <c r="N607" s="29">
        <v>1.28</v>
      </c>
      <c r="O607" s="29">
        <v>-25.234999999999999</v>
      </c>
      <c r="P607" s="29">
        <v>0.13</v>
      </c>
      <c r="Q607" s="16">
        <v>4.4950000000000001</v>
      </c>
      <c r="R607" s="16">
        <v>1525737600</v>
      </c>
      <c r="S607" s="46" t="s">
        <v>55</v>
      </c>
    </row>
    <row r="608" spans="1:19" ht="16" x14ac:dyDescent="0.2">
      <c r="A608" s="27" t="s">
        <v>655</v>
      </c>
      <c r="B608" s="16">
        <v>0.11</v>
      </c>
      <c r="C608" s="16">
        <v>5.24</v>
      </c>
      <c r="D608" s="29">
        <v>1.3481005779999999</v>
      </c>
      <c r="E608" s="30">
        <v>209797.8315</v>
      </c>
      <c r="F608" s="30">
        <v>368638.50109999999</v>
      </c>
      <c r="G608" s="46" t="s">
        <v>55</v>
      </c>
      <c r="H608" s="45" t="s">
        <v>22</v>
      </c>
      <c r="I608" s="16">
        <v>30</v>
      </c>
      <c r="J608" s="28">
        <v>0.23805999999999999</v>
      </c>
      <c r="K608" t="e">
        <f>NA()</f>
        <v>#N/A</v>
      </c>
      <c r="L608" s="16">
        <v>1.02</v>
      </c>
      <c r="M608" s="16">
        <v>-25.29</v>
      </c>
      <c r="N608" s="29">
        <v>1.04</v>
      </c>
      <c r="O608" s="29">
        <v>-25.21</v>
      </c>
      <c r="P608" s="29">
        <v>0.11</v>
      </c>
      <c r="Q608" s="16">
        <v>4.2699999999999996</v>
      </c>
      <c r="R608" s="16">
        <v>1525737600</v>
      </c>
      <c r="S608" s="46" t="s">
        <v>55</v>
      </c>
    </row>
    <row r="609" spans="1:19" ht="16" x14ac:dyDescent="0.2">
      <c r="A609" s="27" t="s">
        <v>656</v>
      </c>
      <c r="B609" s="16">
        <v>0.05</v>
      </c>
      <c r="C609" s="16">
        <v>5.79</v>
      </c>
      <c r="D609" s="29">
        <v>1.4037547450000001</v>
      </c>
      <c r="E609" s="30">
        <v>209797.8315</v>
      </c>
      <c r="F609" s="30">
        <v>368638.50109999999</v>
      </c>
      <c r="G609" s="46" t="s">
        <v>55</v>
      </c>
      <c r="H609" s="45" t="s">
        <v>22</v>
      </c>
      <c r="I609" s="16">
        <v>60</v>
      </c>
      <c r="J609" s="28">
        <v>0.24188999999999999</v>
      </c>
      <c r="K609" t="e">
        <f>NA()</f>
        <v>#N/A</v>
      </c>
      <c r="L609" s="16">
        <v>0.32</v>
      </c>
      <c r="M609" s="16">
        <v>-24.78</v>
      </c>
      <c r="N609" s="29">
        <v>0.31</v>
      </c>
      <c r="O609" s="29">
        <v>-25.28</v>
      </c>
      <c r="P609" s="29">
        <v>0.05</v>
      </c>
      <c r="Q609" s="16">
        <v>3.07</v>
      </c>
      <c r="R609" s="16">
        <v>1525737600</v>
      </c>
      <c r="S609" s="46" t="s">
        <v>55</v>
      </c>
    </row>
    <row r="610" spans="1:19" ht="16" x14ac:dyDescent="0.2">
      <c r="A610" s="27" t="s">
        <v>657</v>
      </c>
      <c r="B610" s="16">
        <v>0.03</v>
      </c>
      <c r="C610" s="16">
        <v>5.61</v>
      </c>
      <c r="D610" s="29">
        <v>1.4320923729999999</v>
      </c>
      <c r="E610" s="30">
        <v>209797.8315</v>
      </c>
      <c r="F610" s="30">
        <v>368638.50109999999</v>
      </c>
      <c r="G610" s="46" t="s">
        <v>55</v>
      </c>
      <c r="H610" s="45" t="s">
        <v>22</v>
      </c>
      <c r="I610" s="16">
        <v>100</v>
      </c>
      <c r="J610" s="28">
        <v>0.24682999999999999</v>
      </c>
      <c r="K610" t="e">
        <f>NA()</f>
        <v>#N/A</v>
      </c>
      <c r="L610" s="16">
        <v>0.12</v>
      </c>
      <c r="M610" s="16">
        <v>-24.51</v>
      </c>
      <c r="N610" s="29">
        <v>0.12</v>
      </c>
      <c r="O610" s="29">
        <v>-25.95</v>
      </c>
      <c r="P610" s="29">
        <v>0.03</v>
      </c>
      <c r="Q610" s="16">
        <v>0.44</v>
      </c>
      <c r="R610" s="16">
        <v>1525737600</v>
      </c>
      <c r="S610" s="46" t="s">
        <v>55</v>
      </c>
    </row>
    <row r="611" spans="1:19" ht="16" x14ac:dyDescent="0.2">
      <c r="A611" s="27" t="s">
        <v>658</v>
      </c>
      <c r="B611" s="16">
        <v>0.27</v>
      </c>
      <c r="C611" s="16">
        <v>7.21</v>
      </c>
      <c r="D611" s="29">
        <v>1.2843579030000001</v>
      </c>
      <c r="E611" s="30">
        <v>204909.54329999999</v>
      </c>
      <c r="F611" s="30">
        <v>366099.93910000002</v>
      </c>
      <c r="G611" s="30" t="s">
        <v>159</v>
      </c>
      <c r="H611" s="45" t="s">
        <v>22</v>
      </c>
      <c r="I611" s="16">
        <v>10</v>
      </c>
      <c r="J611" s="28">
        <v>0.46400000000000002</v>
      </c>
      <c r="K611" t="e">
        <f>NA()</f>
        <v>#N/A</v>
      </c>
      <c r="L611" s="16">
        <v>2.58</v>
      </c>
      <c r="M611" s="16">
        <v>-22.15</v>
      </c>
      <c r="N611" s="29">
        <v>2.5150000000000001</v>
      </c>
      <c r="O611" s="29">
        <v>-22.204999999999998</v>
      </c>
      <c r="P611" s="29">
        <v>0.26500000000000001</v>
      </c>
      <c r="Q611" s="16">
        <v>6.42</v>
      </c>
      <c r="R611" s="16">
        <v>1525824000</v>
      </c>
      <c r="S611" s="30" t="s">
        <v>159</v>
      </c>
    </row>
    <row r="612" spans="1:19" ht="16" x14ac:dyDescent="0.2">
      <c r="A612" s="27" t="s">
        <v>659</v>
      </c>
      <c r="B612" s="16">
        <v>0.3</v>
      </c>
      <c r="C612" s="16">
        <v>6.59</v>
      </c>
      <c r="D612" s="29">
        <v>1.255450164</v>
      </c>
      <c r="E612" s="30">
        <v>204909.54329999999</v>
      </c>
      <c r="F612" s="30">
        <v>366099.93910000002</v>
      </c>
      <c r="G612" s="30" t="s">
        <v>159</v>
      </c>
      <c r="H612" s="45" t="s">
        <v>22</v>
      </c>
      <c r="I612" s="16">
        <v>20</v>
      </c>
      <c r="J612" s="28">
        <v>0.40949999999999998</v>
      </c>
      <c r="K612" t="e">
        <f>NA()</f>
        <v>#N/A</v>
      </c>
      <c r="L612" s="16">
        <v>2.99</v>
      </c>
      <c r="M612" s="16">
        <v>-22.22</v>
      </c>
      <c r="N612" s="29">
        <v>2.72</v>
      </c>
      <c r="O612" s="29">
        <v>-22.15</v>
      </c>
      <c r="P612" s="29">
        <v>0.28000000000000003</v>
      </c>
      <c r="Q612" s="16">
        <v>5.97</v>
      </c>
      <c r="R612" s="16">
        <v>1525824000</v>
      </c>
      <c r="S612" s="30" t="s">
        <v>159</v>
      </c>
    </row>
    <row r="613" spans="1:19" ht="16" x14ac:dyDescent="0.2">
      <c r="A613" s="27" t="s">
        <v>660</v>
      </c>
      <c r="B613" s="16">
        <v>0.23</v>
      </c>
      <c r="C613" s="16">
        <v>7.73</v>
      </c>
      <c r="D613" s="29">
        <v>1.3142939520000001</v>
      </c>
      <c r="E613" s="30">
        <v>204909.54329999999</v>
      </c>
      <c r="F613" s="30">
        <v>366099.93910000002</v>
      </c>
      <c r="G613" s="30" t="s">
        <v>159</v>
      </c>
      <c r="H613" s="45" t="s">
        <v>22</v>
      </c>
      <c r="I613" s="16">
        <v>30</v>
      </c>
      <c r="J613" s="28">
        <v>0.44322</v>
      </c>
      <c r="K613" t="e">
        <f>NA()</f>
        <v>#N/A</v>
      </c>
      <c r="L613" s="16">
        <v>2.1800000000000002</v>
      </c>
      <c r="M613" s="16">
        <v>-22.73</v>
      </c>
      <c r="N613" s="29">
        <v>1.93</v>
      </c>
      <c r="O613" s="29">
        <v>-22.88</v>
      </c>
      <c r="P613" s="29">
        <v>0.21</v>
      </c>
      <c r="Q613" s="16">
        <v>7.25</v>
      </c>
      <c r="R613" s="16">
        <v>1525824000</v>
      </c>
      <c r="S613" s="30" t="s">
        <v>159</v>
      </c>
    </row>
    <row r="614" spans="1:19" ht="16" x14ac:dyDescent="0.2">
      <c r="A614" s="27" t="s">
        <v>661</v>
      </c>
      <c r="B614" s="16">
        <v>0.13</v>
      </c>
      <c r="C614" s="16">
        <v>7.39</v>
      </c>
      <c r="D614" s="29">
        <v>1.4651492740000001</v>
      </c>
      <c r="E614" s="30">
        <v>204909.54329999999</v>
      </c>
      <c r="F614" s="30">
        <v>366099.93910000002</v>
      </c>
      <c r="G614" s="30" t="s">
        <v>159</v>
      </c>
      <c r="H614" s="45" t="s">
        <v>22</v>
      </c>
      <c r="I614" s="16">
        <v>60</v>
      </c>
      <c r="J614" s="28">
        <v>0.57394000000000001</v>
      </c>
      <c r="K614" t="e">
        <f>NA()</f>
        <v>#N/A</v>
      </c>
      <c r="L614" s="16">
        <v>1.1000000000000001</v>
      </c>
      <c r="M614" s="16">
        <v>-23.1</v>
      </c>
      <c r="N614" s="29">
        <v>1.0900000000000001</v>
      </c>
      <c r="O614" s="29">
        <v>-23.36</v>
      </c>
      <c r="P614" s="29">
        <v>0.13</v>
      </c>
      <c r="Q614" s="16">
        <v>6.19</v>
      </c>
      <c r="R614" s="16">
        <v>1525824000</v>
      </c>
      <c r="S614" s="30" t="s">
        <v>159</v>
      </c>
    </row>
    <row r="615" spans="1:19" ht="16" x14ac:dyDescent="0.2">
      <c r="A615" s="27" t="s">
        <v>662</v>
      </c>
      <c r="B615" s="16">
        <v>0.05</v>
      </c>
      <c r="C615" s="16">
        <v>5.6749999999999998</v>
      </c>
      <c r="D615" s="29">
        <v>1.585001281</v>
      </c>
      <c r="E615" s="30">
        <v>204909.54329999999</v>
      </c>
      <c r="F615" s="30">
        <v>366099.93910000002</v>
      </c>
      <c r="G615" s="30" t="s">
        <v>159</v>
      </c>
      <c r="H615" s="45" t="s">
        <v>22</v>
      </c>
      <c r="I615" s="16">
        <v>100</v>
      </c>
      <c r="J615" s="28">
        <v>0.50494000000000006</v>
      </c>
      <c r="K615" t="e">
        <f>NA()</f>
        <v>#N/A</v>
      </c>
      <c r="L615" s="16">
        <v>0.22500000000000001</v>
      </c>
      <c r="M615" s="16">
        <v>-23.774999999999999</v>
      </c>
      <c r="N615" s="29">
        <v>0.24</v>
      </c>
      <c r="O615" s="29">
        <v>-23.9</v>
      </c>
      <c r="P615" s="29">
        <v>0.05</v>
      </c>
      <c r="Q615" s="16">
        <v>2.835</v>
      </c>
      <c r="R615" s="16">
        <v>1525824000</v>
      </c>
      <c r="S615" s="30" t="s">
        <v>159</v>
      </c>
    </row>
    <row r="616" spans="1:19" ht="16" x14ac:dyDescent="0.2">
      <c r="A616" s="27" t="s">
        <v>663</v>
      </c>
      <c r="B616" s="16">
        <v>0.13</v>
      </c>
      <c r="C616" s="16">
        <v>6.14</v>
      </c>
      <c r="D616" s="29">
        <v>1.4259905909999999</v>
      </c>
      <c r="E616" s="30">
        <v>209868.28159999999</v>
      </c>
      <c r="F616" s="30">
        <v>370198.27370000002</v>
      </c>
      <c r="G616" s="30" t="s">
        <v>285</v>
      </c>
      <c r="H616" s="45" t="s">
        <v>22</v>
      </c>
      <c r="I616" s="16">
        <v>10</v>
      </c>
      <c r="J616" s="28">
        <v>0.32267000000000001</v>
      </c>
      <c r="K616" t="e">
        <f>NA()</f>
        <v>#N/A</v>
      </c>
      <c r="L616" s="16">
        <v>1.21</v>
      </c>
      <c r="M616" s="16">
        <v>-20.13</v>
      </c>
      <c r="N616" s="29">
        <v>1.1399999999999999</v>
      </c>
      <c r="O616" s="29">
        <v>-22.63</v>
      </c>
      <c r="P616" s="29">
        <v>0.13</v>
      </c>
      <c r="Q616" s="16">
        <v>5.27</v>
      </c>
      <c r="R616" s="16">
        <v>1525910400</v>
      </c>
      <c r="S616" s="30" t="s">
        <v>285</v>
      </c>
    </row>
    <row r="617" spans="1:19" ht="16" x14ac:dyDescent="0.2">
      <c r="A617" s="27" t="s">
        <v>664</v>
      </c>
      <c r="B617" s="16">
        <v>0.12</v>
      </c>
      <c r="C617" s="16">
        <v>6.01</v>
      </c>
      <c r="D617" s="29">
        <v>1.495884427</v>
      </c>
      <c r="E617" s="30">
        <v>209868.28159999999</v>
      </c>
      <c r="F617" s="30">
        <v>370198.27370000002</v>
      </c>
      <c r="G617" s="30" t="s">
        <v>285</v>
      </c>
      <c r="H617" s="45" t="s">
        <v>22</v>
      </c>
      <c r="I617" s="16">
        <v>20</v>
      </c>
      <c r="J617" s="28">
        <v>0.33117000000000002</v>
      </c>
      <c r="K617" t="e">
        <f>NA()</f>
        <v>#N/A</v>
      </c>
      <c r="L617" s="16">
        <v>0.99</v>
      </c>
      <c r="M617" s="16">
        <v>-22.73</v>
      </c>
      <c r="N617" s="29">
        <v>1.1499999999999999</v>
      </c>
      <c r="O617" s="29">
        <v>-22.68</v>
      </c>
      <c r="P617" s="29">
        <v>0.14000000000000001</v>
      </c>
      <c r="Q617" s="16">
        <v>5.23</v>
      </c>
      <c r="R617" s="16">
        <v>1525910400</v>
      </c>
      <c r="S617" s="30" t="s">
        <v>285</v>
      </c>
    </row>
    <row r="618" spans="1:19" ht="16" x14ac:dyDescent="0.2">
      <c r="A618" s="27" t="s">
        <v>665</v>
      </c>
      <c r="B618" s="16">
        <v>0.06</v>
      </c>
      <c r="C618" s="16">
        <v>6.18</v>
      </c>
      <c r="D618" s="29">
        <v>1.627062529</v>
      </c>
      <c r="E618" s="30">
        <v>209868.28159999999</v>
      </c>
      <c r="F618" s="30">
        <v>370198.27370000002</v>
      </c>
      <c r="G618" s="30" t="s">
        <v>285</v>
      </c>
      <c r="H618" s="45" t="s">
        <v>22</v>
      </c>
      <c r="I618" s="16">
        <v>30</v>
      </c>
      <c r="J618" s="28">
        <v>0.31844</v>
      </c>
      <c r="K618" t="e">
        <f>NA()</f>
        <v>#N/A</v>
      </c>
      <c r="L618" s="16">
        <v>0.39</v>
      </c>
      <c r="M618" s="16">
        <v>-23.13</v>
      </c>
      <c r="N618" s="29">
        <v>0.36</v>
      </c>
      <c r="O618" s="29">
        <v>-23</v>
      </c>
      <c r="P618" s="29">
        <v>0.06</v>
      </c>
      <c r="Q618" s="16">
        <v>4.5199999999999996</v>
      </c>
      <c r="R618" s="16">
        <v>1525910400</v>
      </c>
      <c r="S618" s="30" t="s">
        <v>285</v>
      </c>
    </row>
    <row r="619" spans="1:19" ht="16" x14ac:dyDescent="0.2">
      <c r="A619" s="27" t="s">
        <v>666</v>
      </c>
      <c r="B619" s="16">
        <v>0.06</v>
      </c>
      <c r="C619" s="16">
        <v>6.2750000000000004</v>
      </c>
      <c r="D619" s="29">
        <v>1.484634912</v>
      </c>
      <c r="E619" s="30">
        <v>209868.28159999999</v>
      </c>
      <c r="F619" s="30">
        <v>370198.27370000002</v>
      </c>
      <c r="G619" s="30" t="s">
        <v>285</v>
      </c>
      <c r="H619" s="45" t="s">
        <v>22</v>
      </c>
      <c r="I619" s="16">
        <v>60</v>
      </c>
      <c r="J619" s="28">
        <v>0.30621999999999999</v>
      </c>
      <c r="K619" t="e">
        <f>NA()</f>
        <v>#N/A</v>
      </c>
      <c r="L619" s="16">
        <v>0.37</v>
      </c>
      <c r="M619" s="16">
        <v>-23.335000000000001</v>
      </c>
      <c r="N619" s="29">
        <v>0.38</v>
      </c>
      <c r="O619" s="29">
        <v>-23.625</v>
      </c>
      <c r="P619" s="29">
        <v>0.06</v>
      </c>
      <c r="Q619" s="16">
        <v>4.38</v>
      </c>
      <c r="R619" s="16">
        <v>1525910400</v>
      </c>
      <c r="S619" s="30" t="s">
        <v>285</v>
      </c>
    </row>
    <row r="620" spans="1:19" ht="16" x14ac:dyDescent="0.2">
      <c r="A620" s="27" t="s">
        <v>667</v>
      </c>
      <c r="B620" s="16">
        <v>0.04</v>
      </c>
      <c r="C620" s="16">
        <v>5.0449999999999999</v>
      </c>
      <c r="D620" s="29">
        <v>1.536137909</v>
      </c>
      <c r="E620" s="30">
        <v>209868.28159999999</v>
      </c>
      <c r="F620" s="30">
        <v>370198.27370000002</v>
      </c>
      <c r="G620" s="30" t="s">
        <v>285</v>
      </c>
      <c r="H620" s="45" t="s">
        <v>22</v>
      </c>
      <c r="I620" s="16">
        <v>100</v>
      </c>
      <c r="J620" s="28">
        <v>0.30939</v>
      </c>
      <c r="K620" t="e">
        <f>NA()</f>
        <v>#N/A</v>
      </c>
      <c r="L620" s="16">
        <v>0.14499999999999999</v>
      </c>
      <c r="M620" s="16">
        <v>-23.934999999999999</v>
      </c>
      <c r="N620" s="29">
        <v>0.15</v>
      </c>
      <c r="O620" s="29">
        <v>-24.25</v>
      </c>
      <c r="P620" s="29">
        <v>0.04</v>
      </c>
      <c r="Q620" s="16">
        <v>3.06</v>
      </c>
      <c r="R620" s="16">
        <v>1525910400</v>
      </c>
      <c r="S620" s="30" t="s">
        <v>285</v>
      </c>
    </row>
    <row r="621" spans="1:19" ht="16" x14ac:dyDescent="0.2">
      <c r="A621" s="27" t="s">
        <v>668</v>
      </c>
      <c r="B621" s="16">
        <v>0.105</v>
      </c>
      <c r="C621" s="16">
        <v>4.57</v>
      </c>
      <c r="D621" s="29">
        <v>1.541575527</v>
      </c>
      <c r="E621" s="30">
        <v>208112.63140000001</v>
      </c>
      <c r="F621" s="30">
        <v>365496.48340000003</v>
      </c>
      <c r="G621" s="30" t="s">
        <v>623</v>
      </c>
      <c r="H621" s="45" t="s">
        <v>22</v>
      </c>
      <c r="I621" s="16">
        <v>10</v>
      </c>
      <c r="J621" s="28">
        <v>0.3105</v>
      </c>
      <c r="K621" t="e">
        <f>NA()</f>
        <v>#N/A</v>
      </c>
      <c r="L621" s="16">
        <v>0.82</v>
      </c>
      <c r="M621" s="16">
        <v>-22.02</v>
      </c>
      <c r="N621" s="29">
        <v>0.83</v>
      </c>
      <c r="O621" s="29">
        <v>-22.24</v>
      </c>
      <c r="P621" s="29">
        <v>0.09</v>
      </c>
      <c r="Q621" s="16">
        <v>4.51</v>
      </c>
      <c r="R621" s="16">
        <v>1525910400</v>
      </c>
      <c r="S621" s="30" t="s">
        <v>623</v>
      </c>
    </row>
    <row r="622" spans="1:19" ht="16" x14ac:dyDescent="0.2">
      <c r="A622" s="27" t="s">
        <v>669</v>
      </c>
      <c r="B622" s="16">
        <v>0.08</v>
      </c>
      <c r="C622" s="16">
        <v>4.8</v>
      </c>
      <c r="D622" s="29">
        <v>1.6421622950000001</v>
      </c>
      <c r="E622" s="30">
        <v>208112.63140000001</v>
      </c>
      <c r="F622" s="30">
        <v>365496.48340000003</v>
      </c>
      <c r="G622" s="30" t="s">
        <v>623</v>
      </c>
      <c r="H622" s="45" t="s">
        <v>22</v>
      </c>
      <c r="I622" s="16">
        <v>20</v>
      </c>
      <c r="J622" s="28">
        <v>0.31522</v>
      </c>
      <c r="K622" t="e">
        <f>NA()</f>
        <v>#N/A</v>
      </c>
      <c r="L622" s="16">
        <v>0.61</v>
      </c>
      <c r="M622" s="16">
        <v>-22.59</v>
      </c>
      <c r="N622" s="29">
        <v>0.69</v>
      </c>
      <c r="O622" s="29">
        <v>-22.56</v>
      </c>
      <c r="P622" s="29">
        <v>0.08</v>
      </c>
      <c r="Q622" s="16">
        <v>4.5999999999999996</v>
      </c>
      <c r="R622" s="16">
        <v>1525910400</v>
      </c>
      <c r="S622" s="30" t="s">
        <v>623</v>
      </c>
    </row>
    <row r="623" spans="1:19" ht="16" x14ac:dyDescent="0.2">
      <c r="A623" s="27" t="s">
        <v>670</v>
      </c>
      <c r="B623" s="16">
        <v>6.5000000000000002E-2</v>
      </c>
      <c r="C623" s="16">
        <v>5.6449999999999996</v>
      </c>
      <c r="D623" s="29">
        <v>1.6332148369999999</v>
      </c>
      <c r="E623" s="30">
        <v>208112.63140000001</v>
      </c>
      <c r="F623" s="30">
        <v>365496.48340000003</v>
      </c>
      <c r="G623" s="30" t="s">
        <v>623</v>
      </c>
      <c r="H623" s="45" t="s">
        <v>22</v>
      </c>
      <c r="I623" s="16">
        <v>30</v>
      </c>
      <c r="J623" s="28">
        <v>0.31983</v>
      </c>
      <c r="K623" t="e">
        <f>NA()</f>
        <v>#N/A</v>
      </c>
      <c r="L623" s="16">
        <v>0.48</v>
      </c>
      <c r="M623" s="16">
        <v>-22.51</v>
      </c>
      <c r="N623" s="29">
        <v>0.49333333299999999</v>
      </c>
      <c r="O623" s="29" t="s">
        <v>671</v>
      </c>
      <c r="P623" s="29">
        <v>6.3333333000000006E-2</v>
      </c>
      <c r="Q623" s="16">
        <v>4.3</v>
      </c>
      <c r="R623" s="16">
        <v>1525910400</v>
      </c>
      <c r="S623" s="30" t="s">
        <v>623</v>
      </c>
    </row>
    <row r="624" spans="1:19" ht="16" x14ac:dyDescent="0.2">
      <c r="A624" s="27" t="s">
        <v>672</v>
      </c>
      <c r="B624" s="16">
        <v>0.03</v>
      </c>
      <c r="C624" s="16">
        <v>6.04</v>
      </c>
      <c r="D624" s="29">
        <v>1.5190074849999999</v>
      </c>
      <c r="E624" s="30">
        <v>208112.63140000001</v>
      </c>
      <c r="F624" s="30">
        <v>365496.48340000003</v>
      </c>
      <c r="G624" s="30" t="s">
        <v>623</v>
      </c>
      <c r="H624" s="45" t="s">
        <v>22</v>
      </c>
      <c r="I624" s="16">
        <v>60</v>
      </c>
      <c r="J624" s="28">
        <v>0.33194000000000001</v>
      </c>
      <c r="K624" t="e">
        <f>NA()</f>
        <v>#N/A</v>
      </c>
      <c r="L624" s="16">
        <v>0.12</v>
      </c>
      <c r="M624" s="16">
        <v>-22.44</v>
      </c>
      <c r="N624" s="29">
        <v>0.13</v>
      </c>
      <c r="O624" s="29">
        <v>-23.33</v>
      </c>
      <c r="P624" s="29">
        <v>0.03</v>
      </c>
      <c r="Q624" s="16">
        <v>3.07</v>
      </c>
      <c r="R624" s="16">
        <v>1525910400</v>
      </c>
      <c r="S624" s="30" t="s">
        <v>623</v>
      </c>
    </row>
    <row r="625" spans="1:19" ht="16" x14ac:dyDescent="0.2">
      <c r="A625" s="27" t="s">
        <v>673</v>
      </c>
      <c r="B625" s="16">
        <v>0.03</v>
      </c>
      <c r="C625" s="16">
        <v>5.41</v>
      </c>
      <c r="D625" s="29">
        <v>1.4181919110000001</v>
      </c>
      <c r="E625" s="30">
        <v>208112.63140000001</v>
      </c>
      <c r="F625" s="30">
        <v>365496.48340000003</v>
      </c>
      <c r="G625" s="30" t="s">
        <v>623</v>
      </c>
      <c r="H625" s="45" t="s">
        <v>22</v>
      </c>
      <c r="I625" s="16">
        <v>100</v>
      </c>
      <c r="J625" s="28">
        <v>0.33439000000000002</v>
      </c>
      <c r="K625" t="e">
        <f>NA()</f>
        <v>#N/A</v>
      </c>
      <c r="L625" s="16">
        <v>0.09</v>
      </c>
      <c r="M625" s="16">
        <v>-24</v>
      </c>
      <c r="N625" s="29">
        <v>0.1</v>
      </c>
      <c r="O625" s="29">
        <v>-24.64</v>
      </c>
      <c r="P625" s="29">
        <v>0.03</v>
      </c>
      <c r="Q625" s="16">
        <v>2.09</v>
      </c>
      <c r="R625" s="16">
        <v>1525910400</v>
      </c>
      <c r="S625" s="30" t="s">
        <v>623</v>
      </c>
    </row>
    <row r="626" spans="1:19" ht="16" x14ac:dyDescent="0.2">
      <c r="A626" s="27" t="s">
        <v>674</v>
      </c>
      <c r="B626" s="16">
        <v>0.15</v>
      </c>
      <c r="C626" s="16">
        <v>5.82</v>
      </c>
      <c r="D626" s="29">
        <v>1.3232654260000001</v>
      </c>
      <c r="E626" s="30">
        <v>209797.8315</v>
      </c>
      <c r="F626" s="30">
        <v>368638.50109999999</v>
      </c>
      <c r="G626" s="46" t="s">
        <v>55</v>
      </c>
      <c r="H626" s="45" t="s">
        <v>22</v>
      </c>
      <c r="I626" s="16">
        <v>10</v>
      </c>
      <c r="J626" t="e">
        <f>NA()</f>
        <v>#N/A</v>
      </c>
      <c r="K626" t="e">
        <f>NA()</f>
        <v>#N/A</v>
      </c>
      <c r="L626" s="16">
        <v>1.51</v>
      </c>
      <c r="M626" s="16">
        <v>-25.81</v>
      </c>
      <c r="N626" s="29">
        <v>1.45</v>
      </c>
      <c r="O626" s="29">
        <v>-25.725000000000001</v>
      </c>
      <c r="P626" s="29">
        <v>0.14499999999999999</v>
      </c>
      <c r="Q626" s="16">
        <v>4.91</v>
      </c>
      <c r="R626" s="16">
        <v>1541635200</v>
      </c>
      <c r="S626" s="46" t="s">
        <v>55</v>
      </c>
    </row>
    <row r="627" spans="1:19" ht="16" x14ac:dyDescent="0.2">
      <c r="A627" s="27" t="s">
        <v>675</v>
      </c>
      <c r="B627" s="16">
        <v>0.16</v>
      </c>
      <c r="C627" s="16">
        <v>5.32</v>
      </c>
      <c r="D627" s="29">
        <v>1.3383138020000001</v>
      </c>
      <c r="E627" s="30">
        <v>209797.8315</v>
      </c>
      <c r="F627" s="30">
        <v>368638.50109999999</v>
      </c>
      <c r="G627" s="46" t="s">
        <v>55</v>
      </c>
      <c r="H627" s="45" t="s">
        <v>22</v>
      </c>
      <c r="I627" s="16">
        <v>20</v>
      </c>
      <c r="J627" t="e">
        <f>NA()</f>
        <v>#N/A</v>
      </c>
      <c r="K627" t="e">
        <f>NA()</f>
        <v>#N/A</v>
      </c>
      <c r="L627" s="16">
        <v>1.57</v>
      </c>
      <c r="M627" s="16">
        <v>-25.89</v>
      </c>
      <c r="N627" s="29">
        <v>1.43</v>
      </c>
      <c r="O627" s="29">
        <v>-25.53</v>
      </c>
      <c r="P627" s="29">
        <v>1.55</v>
      </c>
      <c r="Q627" s="16">
        <v>5.0199999999999996</v>
      </c>
      <c r="R627" s="16">
        <v>1541635200</v>
      </c>
      <c r="S627" s="46" t="s">
        <v>55</v>
      </c>
    </row>
    <row r="628" spans="1:19" ht="16" x14ac:dyDescent="0.2">
      <c r="A628" s="27" t="s">
        <v>676</v>
      </c>
      <c r="B628" s="16">
        <v>0.105</v>
      </c>
      <c r="C628" s="16">
        <v>6.01</v>
      </c>
      <c r="D628" s="29">
        <v>1.3385755939999999</v>
      </c>
      <c r="E628" s="30">
        <v>209797.8315</v>
      </c>
      <c r="F628" s="30">
        <v>368638.50109999999</v>
      </c>
      <c r="G628" s="46" t="s">
        <v>55</v>
      </c>
      <c r="H628" s="45" t="s">
        <v>22</v>
      </c>
      <c r="I628" s="16">
        <v>30</v>
      </c>
      <c r="J628" t="e">
        <f>NA()</f>
        <v>#N/A</v>
      </c>
      <c r="K628" t="e">
        <f>NA()</f>
        <v>#N/A</v>
      </c>
      <c r="L628" s="16">
        <v>1.0549999999999999</v>
      </c>
      <c r="M628" s="16">
        <v>-25.15</v>
      </c>
      <c r="N628" s="29">
        <v>1.08</v>
      </c>
      <c r="O628" s="29">
        <v>-25.08</v>
      </c>
      <c r="P628" s="29">
        <v>0.11</v>
      </c>
      <c r="Q628" s="16">
        <v>5.12</v>
      </c>
      <c r="R628" s="16">
        <v>1541635200</v>
      </c>
      <c r="S628" s="46" t="s">
        <v>55</v>
      </c>
    </row>
    <row r="629" spans="1:19" ht="16" x14ac:dyDescent="0.2">
      <c r="A629" s="27" t="s">
        <v>677</v>
      </c>
      <c r="B629" s="16">
        <v>0.06</v>
      </c>
      <c r="C629" s="16">
        <v>6.77</v>
      </c>
      <c r="D629" s="29">
        <v>1.3536717709999999</v>
      </c>
      <c r="E629" s="30">
        <v>209797.8315</v>
      </c>
      <c r="F629" s="30">
        <v>368638.50109999999</v>
      </c>
      <c r="G629" s="46" t="s">
        <v>55</v>
      </c>
      <c r="H629" s="45" t="s">
        <v>22</v>
      </c>
      <c r="I629" s="16">
        <v>60</v>
      </c>
      <c r="J629" t="e">
        <f>NA()</f>
        <v>#N/A</v>
      </c>
      <c r="K629" t="e">
        <f>NA()</f>
        <v>#N/A</v>
      </c>
      <c r="L629" s="16">
        <v>0.49</v>
      </c>
      <c r="M629" s="16">
        <v>-24.04</v>
      </c>
      <c r="N629" s="29">
        <v>0.41</v>
      </c>
      <c r="O629" s="29">
        <v>-24.02</v>
      </c>
      <c r="P629" s="29">
        <v>7.0000000000000007E-2</v>
      </c>
      <c r="Q629" s="16">
        <v>4.58</v>
      </c>
      <c r="R629" s="16">
        <v>1541635200</v>
      </c>
      <c r="S629" s="46" t="s">
        <v>55</v>
      </c>
    </row>
    <row r="630" spans="1:19" ht="16" x14ac:dyDescent="0.2">
      <c r="A630" s="27" t="s">
        <v>678</v>
      </c>
      <c r="B630" s="16">
        <v>0.04</v>
      </c>
      <c r="C630" s="16">
        <v>5.57</v>
      </c>
      <c r="D630" s="29">
        <v>1.382577172</v>
      </c>
      <c r="E630" s="30">
        <v>209797.8315</v>
      </c>
      <c r="F630" s="30">
        <v>368638.50109999999</v>
      </c>
      <c r="G630" s="46" t="s">
        <v>55</v>
      </c>
      <c r="H630" s="45" t="s">
        <v>22</v>
      </c>
      <c r="I630" s="16">
        <v>100</v>
      </c>
      <c r="J630" t="e">
        <f>NA()</f>
        <v>#N/A</v>
      </c>
      <c r="K630" t="e">
        <f>NA()</f>
        <v>#N/A</v>
      </c>
      <c r="L630" s="16">
        <v>0.17</v>
      </c>
      <c r="M630" s="16">
        <v>-24.29</v>
      </c>
      <c r="N630" s="29">
        <v>0.17</v>
      </c>
      <c r="O630" s="29">
        <v>-24.614999999999998</v>
      </c>
      <c r="P630" s="29">
        <v>4.4999999999999998E-2</v>
      </c>
      <c r="Q630" s="16">
        <v>1.7350000000000001</v>
      </c>
      <c r="R630" s="16">
        <v>1541635200</v>
      </c>
      <c r="S630" s="46" t="s">
        <v>55</v>
      </c>
    </row>
    <row r="631" spans="1:19" ht="16" x14ac:dyDescent="0.2">
      <c r="A631" s="27" t="s">
        <v>679</v>
      </c>
      <c r="B631" s="16">
        <v>0.13</v>
      </c>
      <c r="C631" s="16">
        <v>5.97</v>
      </c>
      <c r="D631" s="29">
        <v>1.4927882299999999</v>
      </c>
      <c r="E631" s="30">
        <v>209868.28159999999</v>
      </c>
      <c r="F631" s="30">
        <v>370198.27370000002</v>
      </c>
      <c r="G631" s="30" t="s">
        <v>285</v>
      </c>
      <c r="H631" s="45" t="s">
        <v>22</v>
      </c>
      <c r="I631" s="16">
        <v>10</v>
      </c>
      <c r="J631" t="e">
        <f>NA()</f>
        <v>#N/A</v>
      </c>
      <c r="K631" t="e">
        <f>NA()</f>
        <v>#N/A</v>
      </c>
      <c r="L631" s="16">
        <v>1.04</v>
      </c>
      <c r="M631" s="16">
        <v>-22.11</v>
      </c>
      <c r="N631" s="29">
        <v>1.03</v>
      </c>
      <c r="O631" s="29">
        <v>-22.05</v>
      </c>
      <c r="P631" s="29">
        <v>0.14000000000000001</v>
      </c>
      <c r="Q631" s="16">
        <v>4.3099999999999996</v>
      </c>
      <c r="R631" s="16">
        <v>1541721600</v>
      </c>
      <c r="S631" s="30" t="s">
        <v>285</v>
      </c>
    </row>
    <row r="632" spans="1:19" ht="16" x14ac:dyDescent="0.2">
      <c r="A632" s="27" t="s">
        <v>680</v>
      </c>
      <c r="B632" s="16">
        <v>0.13</v>
      </c>
      <c r="C632" s="16">
        <v>5.66</v>
      </c>
      <c r="D632" s="29">
        <v>1.511826366</v>
      </c>
      <c r="E632" s="30">
        <v>209868.28159999999</v>
      </c>
      <c r="F632" s="30">
        <v>370198.27370000002</v>
      </c>
      <c r="G632" s="30" t="s">
        <v>285</v>
      </c>
      <c r="H632" s="45" t="s">
        <v>22</v>
      </c>
      <c r="I632" s="16">
        <v>20</v>
      </c>
      <c r="J632" t="e">
        <f>NA()</f>
        <v>#N/A</v>
      </c>
      <c r="K632" t="e">
        <f>NA()</f>
        <v>#N/A</v>
      </c>
      <c r="L632" s="16">
        <v>1.19</v>
      </c>
      <c r="M632" s="16">
        <v>-21.77</v>
      </c>
      <c r="N632" s="29">
        <v>1.05</v>
      </c>
      <c r="O632" s="29">
        <v>-22.094999999999999</v>
      </c>
      <c r="P632" s="29">
        <v>0.14000000000000001</v>
      </c>
      <c r="Q632" s="16">
        <v>4.05</v>
      </c>
      <c r="R632" s="16">
        <v>1541721600</v>
      </c>
      <c r="S632" s="30" t="s">
        <v>285</v>
      </c>
    </row>
    <row r="633" spans="1:19" ht="16" x14ac:dyDescent="0.2">
      <c r="A633" s="27" t="s">
        <v>681</v>
      </c>
      <c r="B633" s="16">
        <v>0.1</v>
      </c>
      <c r="C633" s="16">
        <v>5.47</v>
      </c>
      <c r="D633" s="29">
        <v>1.5716024159999999</v>
      </c>
      <c r="E633" s="30">
        <v>209868.28159999999</v>
      </c>
      <c r="F633" s="30">
        <v>370198.27370000002</v>
      </c>
      <c r="G633" s="30" t="s">
        <v>285</v>
      </c>
      <c r="H633" s="45" t="s">
        <v>22</v>
      </c>
      <c r="I633" s="16">
        <v>30</v>
      </c>
      <c r="J633" t="e">
        <f>NA()</f>
        <v>#N/A</v>
      </c>
      <c r="K633" t="e">
        <f>NA()</f>
        <v>#N/A</v>
      </c>
      <c r="L633" s="16">
        <v>0.81</v>
      </c>
      <c r="M633" s="16">
        <v>-22.61</v>
      </c>
      <c r="N633" s="29">
        <v>0.83</v>
      </c>
      <c r="O633" s="29">
        <v>-22.78</v>
      </c>
      <c r="P633" s="29">
        <v>0.13</v>
      </c>
      <c r="Q633" s="16">
        <v>3.61</v>
      </c>
      <c r="R633" s="16">
        <v>1541721600</v>
      </c>
      <c r="S633" s="30" t="s">
        <v>285</v>
      </c>
    </row>
    <row r="634" spans="1:19" ht="16" x14ac:dyDescent="0.2">
      <c r="A634" s="27" t="s">
        <v>682</v>
      </c>
      <c r="B634" s="16">
        <v>0.65</v>
      </c>
      <c r="C634" s="16">
        <v>6.0650000000000004</v>
      </c>
      <c r="D634" s="29">
        <v>1.55575324</v>
      </c>
      <c r="E634" s="30">
        <v>209868.28159999999</v>
      </c>
      <c r="F634" s="30">
        <v>370198.27370000002</v>
      </c>
      <c r="G634" s="30" t="s">
        <v>285</v>
      </c>
      <c r="H634" s="45" t="s">
        <v>22</v>
      </c>
      <c r="I634" s="16">
        <v>60</v>
      </c>
      <c r="J634" t="e">
        <f>NA()</f>
        <v>#N/A</v>
      </c>
      <c r="K634" t="e">
        <f>NA()</f>
        <v>#N/A</v>
      </c>
      <c r="L634" s="16">
        <v>0.47</v>
      </c>
      <c r="M634" s="16">
        <v>-23.045000000000002</v>
      </c>
      <c r="N634" s="29">
        <v>0.5</v>
      </c>
      <c r="O634" s="29">
        <v>-23.18</v>
      </c>
      <c r="P634" s="29">
        <v>0.09</v>
      </c>
      <c r="Q634" s="16">
        <v>2.59</v>
      </c>
      <c r="R634" s="16">
        <v>1541721600</v>
      </c>
      <c r="S634" s="30" t="s">
        <v>285</v>
      </c>
    </row>
    <row r="635" spans="1:19" ht="16" x14ac:dyDescent="0.2">
      <c r="A635" s="27" t="s">
        <v>683</v>
      </c>
      <c r="B635" s="16">
        <v>0.05</v>
      </c>
      <c r="C635" s="16">
        <v>6.49</v>
      </c>
      <c r="D635" s="29">
        <v>1.5628913959999999</v>
      </c>
      <c r="E635" s="30">
        <v>209868.28159999999</v>
      </c>
      <c r="F635" s="30">
        <v>370198.27370000002</v>
      </c>
      <c r="G635" s="30" t="s">
        <v>285</v>
      </c>
      <c r="H635" s="45" t="s">
        <v>22</v>
      </c>
      <c r="I635" s="16">
        <v>100</v>
      </c>
      <c r="J635" t="e">
        <f>NA()</f>
        <v>#N/A</v>
      </c>
      <c r="K635" t="e">
        <f>NA()</f>
        <v>#N/A</v>
      </c>
      <c r="L635" s="16">
        <v>0.24</v>
      </c>
      <c r="M635" s="16">
        <v>-22.65</v>
      </c>
      <c r="N635" s="29">
        <v>0.24</v>
      </c>
      <c r="O635" s="29">
        <v>-22.84</v>
      </c>
      <c r="P635" s="29">
        <v>7.0000000000000007E-2</v>
      </c>
      <c r="Q635" s="16">
        <v>1.72</v>
      </c>
      <c r="R635" s="16">
        <v>1541721600</v>
      </c>
      <c r="S635" s="30" t="s">
        <v>285</v>
      </c>
    </row>
    <row r="636" spans="1:19" ht="16" x14ac:dyDescent="0.2">
      <c r="A636" s="27" t="s">
        <v>684</v>
      </c>
      <c r="B636" s="16">
        <v>0.11</v>
      </c>
      <c r="C636" s="16">
        <v>4.95</v>
      </c>
      <c r="D636" s="29">
        <v>1.5721628670000001</v>
      </c>
      <c r="E636" s="30">
        <v>207160.9541</v>
      </c>
      <c r="F636" s="30">
        <v>364717.0062</v>
      </c>
      <c r="G636" s="30" t="s">
        <v>42</v>
      </c>
      <c r="H636" s="45" t="s">
        <v>22</v>
      </c>
      <c r="I636" s="16">
        <v>10</v>
      </c>
      <c r="J636" t="e">
        <f>NA()</f>
        <v>#N/A</v>
      </c>
      <c r="K636" t="e">
        <f>NA()</f>
        <v>#N/A</v>
      </c>
      <c r="L636" s="16">
        <v>1.01</v>
      </c>
      <c r="M636" s="16">
        <v>-21.36</v>
      </c>
      <c r="N636" s="29">
        <v>1.1100000000000001</v>
      </c>
      <c r="O636" s="29">
        <v>-21.69</v>
      </c>
      <c r="P636" s="29">
        <v>0.13</v>
      </c>
      <c r="Q636" s="16">
        <v>4.08</v>
      </c>
      <c r="R636" s="16">
        <v>1541721600</v>
      </c>
      <c r="S636" s="30" t="s">
        <v>42</v>
      </c>
    </row>
    <row r="637" spans="1:19" ht="16" x14ac:dyDescent="0.2">
      <c r="A637" s="27" t="s">
        <v>685</v>
      </c>
      <c r="B637" s="16">
        <v>0.125</v>
      </c>
      <c r="C637" s="16">
        <v>5.35</v>
      </c>
      <c r="D637" s="29">
        <v>1.6127014159999999</v>
      </c>
      <c r="E637" s="30">
        <v>207160.9541</v>
      </c>
      <c r="F637" s="30">
        <v>364717.0062</v>
      </c>
      <c r="G637" s="30" t="s">
        <v>42</v>
      </c>
      <c r="H637" s="45" t="s">
        <v>22</v>
      </c>
      <c r="I637" s="16">
        <v>20</v>
      </c>
      <c r="J637" t="e">
        <f>NA()</f>
        <v>#N/A</v>
      </c>
      <c r="K637" t="e">
        <f>NA()</f>
        <v>#N/A</v>
      </c>
      <c r="L637" s="16">
        <v>1.06</v>
      </c>
      <c r="M637" s="16">
        <v>-20.734999999999999</v>
      </c>
      <c r="N637" s="29">
        <v>1.02</v>
      </c>
      <c r="O637" s="29">
        <v>-21.15</v>
      </c>
      <c r="P637" s="29">
        <v>0.13</v>
      </c>
      <c r="Q637" s="16">
        <v>3.44</v>
      </c>
      <c r="R637" s="16">
        <v>1541721600</v>
      </c>
      <c r="S637" s="30" t="s">
        <v>42</v>
      </c>
    </row>
    <row r="638" spans="1:19" ht="16" x14ac:dyDescent="0.2">
      <c r="A638" s="27" t="s">
        <v>686</v>
      </c>
      <c r="B638" s="16">
        <v>0.08</v>
      </c>
      <c r="C638" s="16">
        <v>5.5</v>
      </c>
      <c r="D638" s="29">
        <v>1.5308001040000001</v>
      </c>
      <c r="E638" s="30">
        <v>207160.9541</v>
      </c>
      <c r="F638" s="30">
        <v>364717.0062</v>
      </c>
      <c r="G638" s="30" t="s">
        <v>42</v>
      </c>
      <c r="H638" s="45" t="s">
        <v>22</v>
      </c>
      <c r="I638" s="16">
        <v>30</v>
      </c>
      <c r="J638" t="e">
        <f>NA()</f>
        <v>#N/A</v>
      </c>
      <c r="K638" t="e">
        <f>NA()</f>
        <v>#N/A</v>
      </c>
      <c r="L638" s="16">
        <v>0.95</v>
      </c>
      <c r="M638" s="16">
        <v>-22.91</v>
      </c>
      <c r="N638" s="29">
        <v>0.56000000000000005</v>
      </c>
      <c r="O638" s="29">
        <v>-22.19</v>
      </c>
      <c r="P638" s="29">
        <v>0.1</v>
      </c>
      <c r="Q638" s="16">
        <v>3.64</v>
      </c>
      <c r="R638" s="16">
        <v>1541721600</v>
      </c>
      <c r="S638" s="30" t="s">
        <v>42</v>
      </c>
    </row>
    <row r="639" spans="1:19" ht="16" x14ac:dyDescent="0.2">
      <c r="A639" s="27" t="s">
        <v>687</v>
      </c>
      <c r="B639" s="16">
        <v>0.05</v>
      </c>
      <c r="C639" s="16">
        <v>5.6</v>
      </c>
      <c r="D639" s="29">
        <v>1.5938326119999999</v>
      </c>
      <c r="E639" s="30">
        <v>207160.9541</v>
      </c>
      <c r="F639" s="30">
        <v>364717.0062</v>
      </c>
      <c r="G639" s="30" t="s">
        <v>42</v>
      </c>
      <c r="H639" s="45" t="s">
        <v>22</v>
      </c>
      <c r="I639" s="16">
        <v>60</v>
      </c>
      <c r="J639" t="e">
        <f>NA()</f>
        <v>#N/A</v>
      </c>
      <c r="K639" t="e">
        <f>NA()</f>
        <v>#N/A</v>
      </c>
      <c r="L639" s="16">
        <v>0.32</v>
      </c>
      <c r="M639" s="16">
        <v>-23.03</v>
      </c>
      <c r="N639" s="29">
        <v>0.23</v>
      </c>
      <c r="O639" s="29">
        <v>-22.545000000000002</v>
      </c>
      <c r="P639" s="29">
        <v>0.06</v>
      </c>
      <c r="Q639" s="16">
        <v>2.2250000000000001</v>
      </c>
      <c r="R639" s="16">
        <v>1541721600</v>
      </c>
      <c r="S639" s="30" t="s">
        <v>42</v>
      </c>
    </row>
    <row r="640" spans="1:19" ht="16" x14ac:dyDescent="0.2">
      <c r="A640" s="27" t="s">
        <v>688</v>
      </c>
      <c r="B640" s="16">
        <v>0.04</v>
      </c>
      <c r="C640" s="16">
        <v>5.39</v>
      </c>
      <c r="D640" s="29">
        <v>1.4764963390000001</v>
      </c>
      <c r="E640" s="30">
        <v>207160.9541</v>
      </c>
      <c r="F640" s="30">
        <v>364717.0062</v>
      </c>
      <c r="G640" s="30" t="s">
        <v>42</v>
      </c>
      <c r="H640" s="45" t="s">
        <v>22</v>
      </c>
      <c r="I640" s="16">
        <v>100</v>
      </c>
      <c r="J640" t="e">
        <f>NA()</f>
        <v>#N/A</v>
      </c>
      <c r="K640" t="e">
        <f>NA()</f>
        <v>#N/A</v>
      </c>
      <c r="L640" s="16">
        <v>0.12</v>
      </c>
      <c r="M640" s="16">
        <v>-23.53</v>
      </c>
      <c r="N640" s="29">
        <v>0.13</v>
      </c>
      <c r="O640" s="29">
        <v>-23.84</v>
      </c>
      <c r="P640" s="29">
        <v>0.05</v>
      </c>
      <c r="Q640" s="16">
        <v>0.16</v>
      </c>
      <c r="R640" s="16">
        <v>1541721600</v>
      </c>
      <c r="S640" s="30" t="s">
        <v>42</v>
      </c>
    </row>
    <row r="641" spans="1:19" ht="16" x14ac:dyDescent="0.2">
      <c r="A641" s="27" t="s">
        <v>689</v>
      </c>
      <c r="B641" s="16">
        <v>0.12</v>
      </c>
      <c r="C641" s="16">
        <v>4.3449999999999998</v>
      </c>
      <c r="D641" s="29">
        <v>1.5794370900000001</v>
      </c>
      <c r="E641" s="30">
        <v>210268.54399999999</v>
      </c>
      <c r="F641" s="30">
        <v>370278.37790000002</v>
      </c>
      <c r="G641" s="30" t="s">
        <v>49</v>
      </c>
      <c r="H641" s="45" t="s">
        <v>22</v>
      </c>
      <c r="I641" s="16">
        <v>10</v>
      </c>
      <c r="J641" t="e">
        <f>NA()</f>
        <v>#N/A</v>
      </c>
      <c r="K641" t="e">
        <f>NA()</f>
        <v>#N/A</v>
      </c>
      <c r="L641" s="16">
        <v>1.115</v>
      </c>
      <c r="M641" s="16">
        <v>-22.45</v>
      </c>
      <c r="N641" s="29">
        <v>1.1399999999999999</v>
      </c>
      <c r="O641" s="29">
        <v>-22.19</v>
      </c>
      <c r="P641" s="29">
        <v>0.14000000000000001</v>
      </c>
      <c r="Q641" s="16">
        <v>3.27</v>
      </c>
      <c r="R641" s="16">
        <v>1541721600</v>
      </c>
      <c r="S641" s="30" t="s">
        <v>49</v>
      </c>
    </row>
    <row r="642" spans="1:19" ht="16" x14ac:dyDescent="0.2">
      <c r="A642" s="27" t="s">
        <v>690</v>
      </c>
      <c r="B642" s="16">
        <v>0.09</v>
      </c>
      <c r="C642" s="16">
        <v>5.14</v>
      </c>
      <c r="D642" s="29">
        <v>1.507635056</v>
      </c>
      <c r="E642" s="30">
        <v>210268.54399999999</v>
      </c>
      <c r="F642" s="30">
        <v>370278.37790000002</v>
      </c>
      <c r="G642" s="30" t="s">
        <v>49</v>
      </c>
      <c r="H642" s="45" t="s">
        <v>22</v>
      </c>
      <c r="I642" s="16">
        <v>20</v>
      </c>
      <c r="J642" t="e">
        <f>NA()</f>
        <v>#N/A</v>
      </c>
      <c r="K642" t="e">
        <f>NA()</f>
        <v>#N/A</v>
      </c>
      <c r="L642" s="16">
        <v>0.86</v>
      </c>
      <c r="M642" s="16">
        <v>-23.45</v>
      </c>
      <c r="N642" s="29">
        <v>0.79</v>
      </c>
      <c r="O642" s="29">
        <v>-23.17</v>
      </c>
      <c r="P642" s="29">
        <v>0.11</v>
      </c>
      <c r="Q642" s="16">
        <v>3.11</v>
      </c>
      <c r="R642" s="16">
        <v>1541721600</v>
      </c>
      <c r="S642" s="30" t="s">
        <v>49</v>
      </c>
    </row>
    <row r="643" spans="1:19" ht="16" x14ac:dyDescent="0.2">
      <c r="A643" s="27" t="s">
        <v>691</v>
      </c>
      <c r="B643" s="16">
        <v>0.08</v>
      </c>
      <c r="C643" s="16">
        <v>6.02</v>
      </c>
      <c r="D643" s="29">
        <v>1.570550023</v>
      </c>
      <c r="E643" s="30">
        <v>210268.54399999999</v>
      </c>
      <c r="F643" s="30">
        <v>370278.37790000002</v>
      </c>
      <c r="G643" s="30" t="s">
        <v>49</v>
      </c>
      <c r="H643" s="45" t="s">
        <v>22</v>
      </c>
      <c r="I643" s="16">
        <v>30</v>
      </c>
      <c r="J643" t="e">
        <f>NA()</f>
        <v>#N/A</v>
      </c>
      <c r="K643" t="e">
        <f>NA()</f>
        <v>#N/A</v>
      </c>
      <c r="L643" s="16">
        <v>0.67</v>
      </c>
      <c r="M643" s="16">
        <v>-23.54</v>
      </c>
      <c r="N643" s="29">
        <v>0.67</v>
      </c>
      <c r="O643" s="29">
        <v>-23.68</v>
      </c>
      <c r="P643" s="29">
        <v>0.1</v>
      </c>
      <c r="Q643" s="16">
        <v>3.7149999999999999</v>
      </c>
      <c r="R643" s="16">
        <v>1541721600</v>
      </c>
      <c r="S643" s="30" t="s">
        <v>49</v>
      </c>
    </row>
    <row r="644" spans="1:19" ht="16" x14ac:dyDescent="0.2">
      <c r="A644" s="27" t="s">
        <v>692</v>
      </c>
      <c r="B644" s="16">
        <v>0.06</v>
      </c>
      <c r="C644" s="16">
        <v>5.34</v>
      </c>
      <c r="D644" s="29">
        <v>1.6192557409999999</v>
      </c>
      <c r="E644" s="30">
        <v>210268.54399999999</v>
      </c>
      <c r="F644" s="30">
        <v>370278.37790000002</v>
      </c>
      <c r="G644" s="30" t="s">
        <v>49</v>
      </c>
      <c r="H644" s="45" t="s">
        <v>22</v>
      </c>
      <c r="I644" s="16">
        <v>60</v>
      </c>
      <c r="J644" t="e">
        <f>NA()</f>
        <v>#N/A</v>
      </c>
      <c r="K644" t="e">
        <f>NA()</f>
        <v>#N/A</v>
      </c>
      <c r="L644" s="16">
        <v>0.27</v>
      </c>
      <c r="M644" s="16">
        <v>-23.7</v>
      </c>
      <c r="N644" s="29">
        <v>0.32</v>
      </c>
      <c r="O644" s="29">
        <v>-23.77</v>
      </c>
      <c r="P644" s="29">
        <v>7.0000000000000007E-2</v>
      </c>
      <c r="Q644" s="16">
        <v>2.2999999999999998</v>
      </c>
      <c r="R644" s="16">
        <v>1541721600</v>
      </c>
      <c r="S644" s="30" t="s">
        <v>49</v>
      </c>
    </row>
    <row r="645" spans="1:19" ht="16" x14ac:dyDescent="0.2">
      <c r="A645" s="27" t="s">
        <v>693</v>
      </c>
      <c r="B645" s="16">
        <v>0.04</v>
      </c>
      <c r="C645" s="16">
        <v>5.8049999999999997</v>
      </c>
      <c r="D645" s="29">
        <v>1.559282456</v>
      </c>
      <c r="E645" s="30">
        <v>210268.54399999999</v>
      </c>
      <c r="F645" s="30">
        <v>370278.37790000002</v>
      </c>
      <c r="G645" s="30" t="s">
        <v>49</v>
      </c>
      <c r="H645" s="45" t="s">
        <v>22</v>
      </c>
      <c r="I645" s="16">
        <v>100</v>
      </c>
      <c r="J645" t="e">
        <f>NA()</f>
        <v>#N/A</v>
      </c>
      <c r="K645" t="e">
        <f>NA()</f>
        <v>#N/A</v>
      </c>
      <c r="L645" s="16">
        <v>9.5000000000000001E-2</v>
      </c>
      <c r="M645" s="16">
        <v>-24.465</v>
      </c>
      <c r="N645" s="29">
        <v>0.11</v>
      </c>
      <c r="O645" s="29">
        <v>-24.88</v>
      </c>
      <c r="P645" s="29">
        <v>0.06</v>
      </c>
      <c r="Q645" s="16">
        <v>0.91</v>
      </c>
      <c r="R645" s="16">
        <v>1541721600</v>
      </c>
      <c r="S645" s="30" t="s">
        <v>49</v>
      </c>
    </row>
    <row r="646" spans="1:19" ht="16" x14ac:dyDescent="0.2">
      <c r="A646" s="27" t="s">
        <v>694</v>
      </c>
      <c r="B646" s="16">
        <v>0.22</v>
      </c>
      <c r="C646" s="16">
        <v>6.9</v>
      </c>
      <c r="D646" s="29">
        <v>1.2542225360000001</v>
      </c>
      <c r="E646" s="30">
        <v>204909.54329999999</v>
      </c>
      <c r="F646" s="30">
        <v>366099.93910000002</v>
      </c>
      <c r="G646" s="30" t="s">
        <v>159</v>
      </c>
      <c r="H646" s="45" t="s">
        <v>22</v>
      </c>
      <c r="I646" s="16">
        <v>10</v>
      </c>
      <c r="J646" t="e">
        <f>NA()</f>
        <v>#N/A</v>
      </c>
      <c r="K646" t="e">
        <f>NA()</f>
        <v>#N/A</v>
      </c>
      <c r="L646" s="16">
        <v>2.13</v>
      </c>
      <c r="M646" s="16">
        <v>-22.26</v>
      </c>
      <c r="N646" s="29">
        <v>2.09</v>
      </c>
      <c r="O646" s="29">
        <v>-22.434999999999999</v>
      </c>
      <c r="P646" s="29">
        <v>0.245</v>
      </c>
      <c r="Q646" s="16">
        <v>5.875</v>
      </c>
      <c r="R646" s="16">
        <v>1541980800</v>
      </c>
      <c r="S646" s="30" t="s">
        <v>159</v>
      </c>
    </row>
    <row r="647" spans="1:19" ht="16" x14ac:dyDescent="0.2">
      <c r="A647" s="27" t="s">
        <v>695</v>
      </c>
      <c r="B647" s="16">
        <v>0.23</v>
      </c>
      <c r="C647" s="16">
        <v>6.68</v>
      </c>
      <c r="D647" s="29">
        <v>1.280411159</v>
      </c>
      <c r="E647" s="30">
        <v>204909.54329999999</v>
      </c>
      <c r="F647" s="30">
        <v>366099.93910000002</v>
      </c>
      <c r="G647" s="30" t="s">
        <v>159</v>
      </c>
      <c r="H647" s="45" t="s">
        <v>22</v>
      </c>
      <c r="I647" s="16">
        <v>20</v>
      </c>
      <c r="J647" t="e">
        <f>NA()</f>
        <v>#N/A</v>
      </c>
      <c r="K647" t="e">
        <f>NA()</f>
        <v>#N/A</v>
      </c>
      <c r="L647" s="16">
        <v>2.17</v>
      </c>
      <c r="M647" s="16">
        <v>-22.73</v>
      </c>
      <c r="N647" s="29">
        <v>2.0099999999999998</v>
      </c>
      <c r="O647" s="29">
        <v>-22.4</v>
      </c>
      <c r="P647" s="29">
        <v>0.24</v>
      </c>
      <c r="Q647" s="16">
        <v>5.92</v>
      </c>
      <c r="R647" s="16">
        <v>1541980800</v>
      </c>
      <c r="S647" s="30" t="s">
        <v>159</v>
      </c>
    </row>
    <row r="648" spans="1:19" ht="16" x14ac:dyDescent="0.2">
      <c r="A648" s="27" t="s">
        <v>696</v>
      </c>
      <c r="B648" s="16">
        <v>0.18</v>
      </c>
      <c r="C648" s="16">
        <v>7.2</v>
      </c>
      <c r="D648" s="29">
        <v>1.348987001</v>
      </c>
      <c r="E648" s="30">
        <v>204909.54329999999</v>
      </c>
      <c r="F648" s="30">
        <v>366099.93910000002</v>
      </c>
      <c r="G648" s="30" t="s">
        <v>159</v>
      </c>
      <c r="H648" s="45" t="s">
        <v>22</v>
      </c>
      <c r="I648" s="16">
        <v>30</v>
      </c>
      <c r="J648" t="e">
        <f>NA()</f>
        <v>#N/A</v>
      </c>
      <c r="K648" t="e">
        <f>NA()</f>
        <v>#N/A</v>
      </c>
      <c r="L648" s="16">
        <v>1.64</v>
      </c>
      <c r="M648" s="16">
        <v>-22.7</v>
      </c>
      <c r="N648" s="29">
        <v>1.59</v>
      </c>
      <c r="O648" s="29">
        <v>-22.5</v>
      </c>
      <c r="P648" s="29">
        <v>0.2</v>
      </c>
      <c r="Q648" s="16">
        <v>6.3</v>
      </c>
      <c r="R648" s="16">
        <v>1541980800</v>
      </c>
      <c r="S648" s="30" t="s">
        <v>159</v>
      </c>
    </row>
    <row r="649" spans="1:19" ht="16" x14ac:dyDescent="0.2">
      <c r="A649" s="27" t="s">
        <v>697</v>
      </c>
      <c r="B649" s="16">
        <v>0.08</v>
      </c>
      <c r="C649" s="16">
        <v>6.62</v>
      </c>
      <c r="D649" s="29">
        <v>1.5596910349999999</v>
      </c>
      <c r="E649" s="30">
        <v>204909.54329999999</v>
      </c>
      <c r="F649" s="30">
        <v>366099.93910000002</v>
      </c>
      <c r="G649" s="30" t="s">
        <v>159</v>
      </c>
      <c r="H649" s="45" t="s">
        <v>22</v>
      </c>
      <c r="I649" s="16">
        <v>60</v>
      </c>
      <c r="J649" t="e">
        <f>NA()</f>
        <v>#N/A</v>
      </c>
      <c r="K649" t="e">
        <f>NA()</f>
        <v>#N/A</v>
      </c>
      <c r="L649" s="16">
        <v>0.6</v>
      </c>
      <c r="M649" s="16">
        <v>-23.04</v>
      </c>
      <c r="N649" s="29">
        <v>0.69</v>
      </c>
      <c r="O649" s="29">
        <v>-23.14</v>
      </c>
      <c r="P649" s="29">
        <v>0.13</v>
      </c>
      <c r="Q649" s="16">
        <v>4.17</v>
      </c>
      <c r="R649" s="16">
        <v>1541980800</v>
      </c>
      <c r="S649" s="30" t="s">
        <v>159</v>
      </c>
    </row>
    <row r="650" spans="1:19" ht="16" x14ac:dyDescent="0.2">
      <c r="A650" s="27" t="s">
        <v>698</v>
      </c>
      <c r="B650" s="16">
        <v>0.06</v>
      </c>
      <c r="C650" s="16">
        <v>4.34</v>
      </c>
      <c r="D650" s="29">
        <v>1.6661172339999999</v>
      </c>
      <c r="E650" s="30">
        <v>204909.54329999999</v>
      </c>
      <c r="F650" s="30">
        <v>366099.93910000002</v>
      </c>
      <c r="G650" s="30" t="s">
        <v>159</v>
      </c>
      <c r="H650" s="45" t="s">
        <v>22</v>
      </c>
      <c r="I650" s="16">
        <v>100</v>
      </c>
      <c r="J650" t="e">
        <f>NA()</f>
        <v>#N/A</v>
      </c>
      <c r="K650" t="e">
        <f>NA()</f>
        <v>#N/A</v>
      </c>
      <c r="L650" s="16">
        <v>0.32</v>
      </c>
      <c r="M650" s="16">
        <v>-23.51</v>
      </c>
      <c r="N650" s="29">
        <v>0.32500000000000001</v>
      </c>
      <c r="O650" s="29">
        <v>-23.56</v>
      </c>
      <c r="P650" s="29">
        <v>9.5000000000000001E-2</v>
      </c>
      <c r="Q650" s="16">
        <v>2.42</v>
      </c>
      <c r="R650" s="16">
        <v>1541980800</v>
      </c>
      <c r="S650" s="30" t="s">
        <v>159</v>
      </c>
    </row>
    <row r="651" spans="1:19" ht="16" x14ac:dyDescent="0.2">
      <c r="A651" s="27" t="s">
        <v>699</v>
      </c>
      <c r="B651" s="16">
        <v>0.11</v>
      </c>
      <c r="C651" s="16">
        <v>4.9800000000000004</v>
      </c>
      <c r="D651" s="29">
        <v>1.5849213639999999</v>
      </c>
      <c r="E651" s="30">
        <v>208112.63140000001</v>
      </c>
      <c r="F651" s="30">
        <v>365496.48340000003</v>
      </c>
      <c r="G651" s="30" t="s">
        <v>623</v>
      </c>
      <c r="H651" s="45" t="s">
        <v>22</v>
      </c>
      <c r="I651" s="16">
        <v>10</v>
      </c>
      <c r="J651" t="e">
        <f>NA()</f>
        <v>#N/A</v>
      </c>
      <c r="K651" t="e">
        <f>NA()</f>
        <v>#N/A</v>
      </c>
      <c r="L651" s="16" t="s">
        <v>671</v>
      </c>
      <c r="M651" s="16">
        <v>-25.35</v>
      </c>
      <c r="N651" s="29">
        <v>0.9</v>
      </c>
      <c r="O651" s="29">
        <v>-21.87</v>
      </c>
      <c r="P651" s="29">
        <v>0.14000000000000001</v>
      </c>
      <c r="Q651" s="16">
        <v>3.28</v>
      </c>
      <c r="R651" s="16">
        <v>1541980800</v>
      </c>
      <c r="S651" s="30" t="s">
        <v>623</v>
      </c>
    </row>
    <row r="652" spans="1:19" ht="16" x14ac:dyDescent="0.2">
      <c r="A652" s="27" t="s">
        <v>700</v>
      </c>
      <c r="B652" s="16">
        <v>0.105</v>
      </c>
      <c r="C652" s="16">
        <v>4.7850000000000001</v>
      </c>
      <c r="D652" s="29">
        <v>1.6026844119999999</v>
      </c>
      <c r="E652" s="30">
        <v>208112.63140000001</v>
      </c>
      <c r="F652" s="30">
        <v>365496.48340000003</v>
      </c>
      <c r="G652" s="30" t="s">
        <v>623</v>
      </c>
      <c r="H652" s="45" t="s">
        <v>22</v>
      </c>
      <c r="I652" s="16">
        <v>20</v>
      </c>
      <c r="J652" t="e">
        <f>NA()</f>
        <v>#N/A</v>
      </c>
      <c r="K652" t="e">
        <f>NA()</f>
        <v>#N/A</v>
      </c>
      <c r="L652" s="16">
        <v>0.84499999999999997</v>
      </c>
      <c r="M652" s="16">
        <v>-21.815000000000001</v>
      </c>
      <c r="N652" s="29">
        <v>0.81</v>
      </c>
      <c r="O652" s="29">
        <v>-21.87</v>
      </c>
      <c r="P652" s="29">
        <v>0.13</v>
      </c>
      <c r="Q652" s="16">
        <v>3.53</v>
      </c>
      <c r="R652" s="16">
        <v>1541980800</v>
      </c>
      <c r="S652" s="30" t="s">
        <v>623</v>
      </c>
    </row>
    <row r="653" spans="1:19" ht="16" x14ac:dyDescent="0.2">
      <c r="A653" s="27" t="s">
        <v>701</v>
      </c>
      <c r="B653" s="16">
        <v>7.0000000000000007E-2</v>
      </c>
      <c r="C653" s="16">
        <v>6.15</v>
      </c>
      <c r="D653" s="29">
        <v>1.579757799</v>
      </c>
      <c r="E653" s="30">
        <v>208112.63140000001</v>
      </c>
      <c r="F653" s="30">
        <v>365496.48340000003</v>
      </c>
      <c r="G653" s="30" t="s">
        <v>623</v>
      </c>
      <c r="H653" s="45" t="s">
        <v>22</v>
      </c>
      <c r="I653" s="16">
        <v>30</v>
      </c>
      <c r="J653" t="e">
        <f>NA()</f>
        <v>#N/A</v>
      </c>
      <c r="K653" t="e">
        <f>NA()</f>
        <v>#N/A</v>
      </c>
      <c r="L653" s="16">
        <v>0.55000000000000004</v>
      </c>
      <c r="M653" s="16">
        <v>-22.83</v>
      </c>
      <c r="N653" s="29">
        <v>0.57999999999999996</v>
      </c>
      <c r="O653" s="29">
        <v>-22.99</v>
      </c>
      <c r="P653" s="29">
        <v>0.11</v>
      </c>
      <c r="Q653" s="16">
        <v>3.37</v>
      </c>
      <c r="R653" s="16">
        <v>1541980800</v>
      </c>
      <c r="S653" s="30" t="s">
        <v>623</v>
      </c>
    </row>
    <row r="654" spans="1:19" ht="16" x14ac:dyDescent="0.2">
      <c r="A654" s="27" t="s">
        <v>702</v>
      </c>
      <c r="B654" s="16">
        <v>0.06</v>
      </c>
      <c r="C654" s="16">
        <v>5.95</v>
      </c>
      <c r="D654" s="29">
        <v>1.5599992899999999</v>
      </c>
      <c r="E654" s="30">
        <v>208112.63140000001</v>
      </c>
      <c r="F654" s="30">
        <v>365496.48340000003</v>
      </c>
      <c r="G654" s="30" t="s">
        <v>623</v>
      </c>
      <c r="H654" s="45" t="s">
        <v>22</v>
      </c>
      <c r="I654" s="16">
        <v>60</v>
      </c>
      <c r="J654" t="e">
        <f>NA()</f>
        <v>#N/A</v>
      </c>
      <c r="K654" t="e">
        <f>NA()</f>
        <v>#N/A</v>
      </c>
      <c r="L654" s="16">
        <v>0.36</v>
      </c>
      <c r="M654" s="16">
        <v>-21.94</v>
      </c>
      <c r="N654" s="29">
        <v>0.34499999999999997</v>
      </c>
      <c r="O654" s="29">
        <v>-22.22</v>
      </c>
      <c r="P654" s="29">
        <v>0.08</v>
      </c>
      <c r="Q654" s="16">
        <v>2.4550000000000001</v>
      </c>
      <c r="R654" s="16">
        <v>1541980800</v>
      </c>
      <c r="S654" s="30" t="s">
        <v>623</v>
      </c>
    </row>
    <row r="655" spans="1:19" ht="16" x14ac:dyDescent="0.2">
      <c r="A655" s="27" t="s">
        <v>703</v>
      </c>
      <c r="B655" s="16">
        <v>0.04</v>
      </c>
      <c r="C655" s="16">
        <v>4.9000000000000004</v>
      </c>
      <c r="D655" s="29">
        <v>1.549518959</v>
      </c>
      <c r="E655" s="30">
        <v>208112.63140000001</v>
      </c>
      <c r="F655" s="30">
        <v>365496.48340000003</v>
      </c>
      <c r="G655" s="30" t="s">
        <v>623</v>
      </c>
      <c r="H655" s="45" t="s">
        <v>22</v>
      </c>
      <c r="I655" s="16">
        <v>100</v>
      </c>
      <c r="J655" t="e">
        <f>NA()</f>
        <v>#N/A</v>
      </c>
      <c r="K655" t="e">
        <f>NA()</f>
        <v>#N/A</v>
      </c>
      <c r="L655" s="16">
        <v>0.12</v>
      </c>
      <c r="M655" s="16">
        <v>-22.27</v>
      </c>
      <c r="N655" s="29">
        <v>0.13</v>
      </c>
      <c r="O655" s="29">
        <v>-23.04</v>
      </c>
      <c r="P655" s="29">
        <v>0.08</v>
      </c>
      <c r="Q655" s="16">
        <v>0.68</v>
      </c>
      <c r="R655" s="16">
        <v>1541980800</v>
      </c>
      <c r="S655" s="30" t="s">
        <v>623</v>
      </c>
    </row>
    <row r="656" spans="1:19" ht="16" x14ac:dyDescent="0.2">
      <c r="A656" s="27" t="s">
        <v>704</v>
      </c>
      <c r="B656" s="16">
        <v>0.15</v>
      </c>
      <c r="C656" s="16">
        <v>6.4050000000000002</v>
      </c>
      <c r="D656" s="29">
        <v>1.3094758280000001</v>
      </c>
      <c r="E656" s="30">
        <v>206923.5949</v>
      </c>
      <c r="F656" s="30">
        <v>367496.74829999998</v>
      </c>
      <c r="G656" s="30" t="s">
        <v>21</v>
      </c>
      <c r="H656" s="45" t="s">
        <v>22</v>
      </c>
      <c r="I656" s="16">
        <v>10</v>
      </c>
      <c r="J656" t="e">
        <f>NA()</f>
        <v>#N/A</v>
      </c>
      <c r="K656" t="e">
        <f>NA()</f>
        <v>#N/A</v>
      </c>
      <c r="L656" s="16">
        <v>1.4350000000000001</v>
      </c>
      <c r="M656" s="16">
        <v>-24.34</v>
      </c>
      <c r="N656" s="29">
        <v>1.37</v>
      </c>
      <c r="O656" s="29">
        <v>-24.45</v>
      </c>
      <c r="P656" s="29">
        <v>0.17</v>
      </c>
      <c r="Q656" s="16">
        <v>4.8499999999999996</v>
      </c>
      <c r="R656" s="16">
        <v>1544054400</v>
      </c>
      <c r="S656" s="30" t="s">
        <v>21</v>
      </c>
    </row>
    <row r="657" spans="1:19" ht="16" x14ac:dyDescent="0.2">
      <c r="A657" s="27" t="s">
        <v>705</v>
      </c>
      <c r="B657" s="16">
        <v>0.16</v>
      </c>
      <c r="C657" s="16">
        <v>6.31</v>
      </c>
      <c r="D657" s="29">
        <v>1.2587255470000001</v>
      </c>
      <c r="E657" s="30">
        <v>206923.5949</v>
      </c>
      <c r="F657" s="30">
        <v>367496.74829999998</v>
      </c>
      <c r="G657" s="30" t="s">
        <v>21</v>
      </c>
      <c r="H657" s="45" t="s">
        <v>22</v>
      </c>
      <c r="I657" s="16">
        <v>20</v>
      </c>
      <c r="J657" t="e">
        <f>NA()</f>
        <v>#N/A</v>
      </c>
      <c r="K657" t="e">
        <f>NA()</f>
        <v>#N/A</v>
      </c>
      <c r="L657" s="16">
        <v>1.37</v>
      </c>
      <c r="M657" s="16">
        <v>-23.92</v>
      </c>
      <c r="N657" s="29">
        <v>1.33</v>
      </c>
      <c r="O657" s="29">
        <v>-23.48</v>
      </c>
      <c r="P657" s="29">
        <v>0.18</v>
      </c>
      <c r="Q657" s="16">
        <v>5.42</v>
      </c>
      <c r="R657" s="16">
        <v>1544054400</v>
      </c>
      <c r="S657" s="30" t="s">
        <v>21</v>
      </c>
    </row>
    <row r="658" spans="1:19" ht="16" x14ac:dyDescent="0.2">
      <c r="A658" s="27" t="s">
        <v>706</v>
      </c>
      <c r="B658" s="16">
        <v>0.1</v>
      </c>
      <c r="C658" s="16">
        <v>6.25</v>
      </c>
      <c r="D658" s="29">
        <v>1.4674020240000001</v>
      </c>
      <c r="E658" s="30">
        <v>206923.5949</v>
      </c>
      <c r="F658" s="30">
        <v>367496.74829999998</v>
      </c>
      <c r="G658" s="30" t="s">
        <v>21</v>
      </c>
      <c r="H658" s="45" t="s">
        <v>22</v>
      </c>
      <c r="I658" s="16">
        <v>30</v>
      </c>
      <c r="J658" t="e">
        <f>NA()</f>
        <v>#N/A</v>
      </c>
      <c r="K658" t="e">
        <f>NA()</f>
        <v>#N/A</v>
      </c>
      <c r="L658" s="16">
        <v>0.85</v>
      </c>
      <c r="M658" s="16">
        <v>-24.58</v>
      </c>
      <c r="N658" s="29">
        <v>0.81499999999999995</v>
      </c>
      <c r="O658" s="29">
        <v>-24.45</v>
      </c>
      <c r="P658" s="29">
        <v>0.13</v>
      </c>
      <c r="Q658" s="16">
        <v>4.0149999999999997</v>
      </c>
      <c r="R658" s="16">
        <v>1544054400</v>
      </c>
      <c r="S658" s="30" t="s">
        <v>21</v>
      </c>
    </row>
    <row r="659" spans="1:19" ht="16" x14ac:dyDescent="0.2">
      <c r="A659" s="27" t="s">
        <v>707</v>
      </c>
      <c r="B659" s="16">
        <v>0.05</v>
      </c>
      <c r="C659" s="16">
        <v>4.38</v>
      </c>
      <c r="D659" s="29">
        <v>1.5180875389999999</v>
      </c>
      <c r="E659" s="30">
        <v>206923.5949</v>
      </c>
      <c r="F659" s="30">
        <v>367496.74829999998</v>
      </c>
      <c r="G659" s="30" t="s">
        <v>21</v>
      </c>
      <c r="H659" s="45" t="s">
        <v>22</v>
      </c>
      <c r="I659" s="16">
        <v>60</v>
      </c>
      <c r="J659" t="e">
        <f>NA()</f>
        <v>#N/A</v>
      </c>
      <c r="K659" t="e">
        <f>NA()</f>
        <v>#N/A</v>
      </c>
      <c r="L659" s="16">
        <v>0.2</v>
      </c>
      <c r="M659" s="16">
        <v>-23.2</v>
      </c>
      <c r="N659" s="29">
        <v>0.19</v>
      </c>
      <c r="O659" s="29">
        <v>-23.28</v>
      </c>
      <c r="P659" s="29">
        <v>0.08</v>
      </c>
      <c r="Q659" s="16">
        <v>1.46</v>
      </c>
      <c r="R659" s="16">
        <v>1544054400</v>
      </c>
      <c r="S659" s="30" t="s">
        <v>21</v>
      </c>
    </row>
    <row r="660" spans="1:19" ht="16" x14ac:dyDescent="0.2">
      <c r="A660" s="27" t="s">
        <v>708</v>
      </c>
      <c r="B660" s="16">
        <v>0.06</v>
      </c>
      <c r="C660" s="16">
        <v>4.07</v>
      </c>
      <c r="D660" s="29">
        <v>1.473463974</v>
      </c>
      <c r="E660" s="30">
        <v>206923.5949</v>
      </c>
      <c r="F660" s="30">
        <v>367496.74829999998</v>
      </c>
      <c r="G660" s="30" t="s">
        <v>21</v>
      </c>
      <c r="H660" s="45" t="s">
        <v>22</v>
      </c>
      <c r="I660" s="16">
        <v>100</v>
      </c>
      <c r="J660" t="e">
        <f>NA()</f>
        <v>#N/A</v>
      </c>
      <c r="K660" t="e">
        <f>NA()</f>
        <v>#N/A</v>
      </c>
      <c r="L660" s="16">
        <v>0.15</v>
      </c>
      <c r="M660" s="16">
        <v>-24.015000000000001</v>
      </c>
      <c r="N660" s="29">
        <v>0.17</v>
      </c>
      <c r="O660" s="29">
        <v>-23.78</v>
      </c>
      <c r="P660" s="29">
        <v>0.1</v>
      </c>
      <c r="Q660" s="16">
        <v>1.94</v>
      </c>
      <c r="R660" s="16">
        <v>1544054400</v>
      </c>
      <c r="S660" s="30" t="s">
        <v>21</v>
      </c>
    </row>
    <row r="661" spans="1:19" ht="16" x14ac:dyDescent="0.2">
      <c r="A661" s="27" t="s">
        <v>709</v>
      </c>
      <c r="B661" s="16">
        <v>0.22</v>
      </c>
      <c r="C661" s="16">
        <v>5.73</v>
      </c>
      <c r="D661" s="29">
        <v>1.125992468</v>
      </c>
      <c r="E661" s="30">
        <v>207130.2776</v>
      </c>
      <c r="F661" s="30">
        <v>366996.86820000003</v>
      </c>
      <c r="G661" s="30" t="s">
        <v>219</v>
      </c>
      <c r="H661" s="45" t="s">
        <v>22</v>
      </c>
      <c r="I661" s="16">
        <v>10</v>
      </c>
      <c r="J661" t="e">
        <f>NA()</f>
        <v>#N/A</v>
      </c>
      <c r="K661" t="e">
        <f>NA()</f>
        <v>#N/A</v>
      </c>
      <c r="L661" s="16">
        <v>2.0299999999999998</v>
      </c>
      <c r="M661" s="16">
        <v>-26.6</v>
      </c>
      <c r="N661" s="29">
        <v>2.0099999999999998</v>
      </c>
      <c r="O661" s="29">
        <v>-26.67</v>
      </c>
      <c r="P661" s="29">
        <v>0.26</v>
      </c>
      <c r="Q661" s="16">
        <v>4.82</v>
      </c>
      <c r="R661" s="16">
        <v>1544054400</v>
      </c>
      <c r="S661" s="30" t="s">
        <v>219</v>
      </c>
    </row>
    <row r="662" spans="1:19" ht="16" x14ac:dyDescent="0.2">
      <c r="A662" s="27" t="s">
        <v>710</v>
      </c>
      <c r="B662" s="16">
        <v>0.14000000000000001</v>
      </c>
      <c r="C662" s="16">
        <v>6.81</v>
      </c>
      <c r="D662" s="29">
        <v>1.2562188249999999</v>
      </c>
      <c r="E662" s="30">
        <v>207130.2776</v>
      </c>
      <c r="F662" s="30">
        <v>366996.86820000003</v>
      </c>
      <c r="G662" s="30" t="s">
        <v>219</v>
      </c>
      <c r="H662" s="45" t="s">
        <v>22</v>
      </c>
      <c r="I662" s="16">
        <v>20</v>
      </c>
      <c r="J662" t="e">
        <f>NA()</f>
        <v>#N/A</v>
      </c>
      <c r="K662" t="e">
        <f>NA()</f>
        <v>#N/A</v>
      </c>
      <c r="L662" s="16">
        <v>1.1100000000000001</v>
      </c>
      <c r="M662" s="16">
        <v>-24.83</v>
      </c>
      <c r="N662" s="29">
        <v>1.24</v>
      </c>
      <c r="O662" s="29">
        <v>-25.175000000000001</v>
      </c>
      <c r="P662" s="29">
        <v>0.185</v>
      </c>
      <c r="Q662" s="16">
        <v>5.585</v>
      </c>
      <c r="R662" s="16">
        <v>1544054400</v>
      </c>
      <c r="S662" s="30" t="s">
        <v>219</v>
      </c>
    </row>
    <row r="663" spans="1:19" ht="16" x14ac:dyDescent="0.2">
      <c r="A663" s="27" t="s">
        <v>711</v>
      </c>
      <c r="B663" s="16">
        <v>0.13</v>
      </c>
      <c r="C663" s="16">
        <v>6.79</v>
      </c>
      <c r="D663" s="29">
        <v>1.3598479530000001</v>
      </c>
      <c r="E663" s="30">
        <v>207130.2776</v>
      </c>
      <c r="F663" s="30">
        <v>366996.86820000003</v>
      </c>
      <c r="G663" s="30" t="s">
        <v>219</v>
      </c>
      <c r="H663" s="45" t="s">
        <v>22</v>
      </c>
      <c r="I663" s="16">
        <v>30</v>
      </c>
      <c r="J663" t="e">
        <f>NA()</f>
        <v>#N/A</v>
      </c>
      <c r="K663" t="e">
        <f>NA()</f>
        <v>#N/A</v>
      </c>
      <c r="L663" s="16">
        <v>0.94</v>
      </c>
      <c r="M663" s="16">
        <v>-24.45</v>
      </c>
      <c r="N663" s="29">
        <v>0.92</v>
      </c>
      <c r="O663" s="29">
        <v>-24.48</v>
      </c>
      <c r="P663" s="29">
        <v>0.16</v>
      </c>
      <c r="Q663" s="16">
        <v>4.7699999999999996</v>
      </c>
      <c r="R663" s="16">
        <v>1544054400</v>
      </c>
      <c r="S663" s="30" t="s">
        <v>219</v>
      </c>
    </row>
    <row r="664" spans="1:19" ht="16" x14ac:dyDescent="0.2">
      <c r="A664" s="27" t="s">
        <v>712</v>
      </c>
      <c r="B664" s="16">
        <v>8.5000000000000006E-2</v>
      </c>
      <c r="C664" s="16">
        <v>4.6900000000000004</v>
      </c>
      <c r="D664" s="29">
        <v>1.4554582460000001</v>
      </c>
      <c r="E664" s="30">
        <v>207130.2776</v>
      </c>
      <c r="F664" s="30">
        <v>366996.86820000003</v>
      </c>
      <c r="G664" s="30" t="s">
        <v>219</v>
      </c>
      <c r="H664" s="45" t="s">
        <v>22</v>
      </c>
      <c r="I664" s="16">
        <v>60</v>
      </c>
      <c r="J664" t="e">
        <f>NA()</f>
        <v>#N/A</v>
      </c>
      <c r="K664" t="e">
        <f>NA()</f>
        <v>#N/A</v>
      </c>
      <c r="L664" s="16">
        <v>0.42499999999999999</v>
      </c>
      <c r="M664" s="16">
        <v>-24.274999999999999</v>
      </c>
      <c r="N664" s="29">
        <v>0.39</v>
      </c>
      <c r="O664" s="29">
        <v>-24.3</v>
      </c>
      <c r="P664" s="29">
        <v>0.12</v>
      </c>
      <c r="Q664" s="16">
        <v>3.6</v>
      </c>
      <c r="R664" s="16">
        <v>1544054400</v>
      </c>
      <c r="S664" s="30" t="s">
        <v>219</v>
      </c>
    </row>
    <row r="665" spans="1:19" ht="16" x14ac:dyDescent="0.2">
      <c r="A665" s="27" t="s">
        <v>713</v>
      </c>
      <c r="B665" s="16">
        <v>7.0000000000000007E-2</v>
      </c>
      <c r="C665" s="16">
        <v>3.98</v>
      </c>
      <c r="D665" s="29">
        <v>1.4882911270000001</v>
      </c>
      <c r="E665" s="30">
        <v>207130.2776</v>
      </c>
      <c r="F665" s="30">
        <v>366996.86820000003</v>
      </c>
      <c r="G665" s="30" t="s">
        <v>219</v>
      </c>
      <c r="H665" s="45" t="s">
        <v>22</v>
      </c>
      <c r="I665" s="16">
        <v>100</v>
      </c>
      <c r="J665" t="e">
        <f>NA()</f>
        <v>#N/A</v>
      </c>
      <c r="K665" t="e">
        <f>NA()</f>
        <v>#N/A</v>
      </c>
      <c r="L665" s="16">
        <v>0.22</v>
      </c>
      <c r="M665" s="16">
        <v>-23.49</v>
      </c>
      <c r="N665" s="29">
        <v>0.16</v>
      </c>
      <c r="O665" s="29">
        <v>-24.87</v>
      </c>
      <c r="P665" s="29">
        <v>0.08</v>
      </c>
      <c r="Q665" s="16">
        <v>1.41</v>
      </c>
      <c r="R665" s="16">
        <v>1544054400</v>
      </c>
      <c r="S665" s="30" t="s">
        <v>219</v>
      </c>
    </row>
    <row r="666" spans="1:19" ht="16" x14ac:dyDescent="0.2">
      <c r="A666" s="27" t="s">
        <v>714</v>
      </c>
      <c r="B666" s="16">
        <v>0.17</v>
      </c>
      <c r="C666" s="16">
        <v>6.21</v>
      </c>
      <c r="D666" s="29">
        <v>1.218770226</v>
      </c>
      <c r="E666" s="30">
        <v>207422.44510000001</v>
      </c>
      <c r="F666" s="30">
        <v>366364.82120000001</v>
      </c>
      <c r="G666" s="30" t="s">
        <v>34</v>
      </c>
      <c r="H666" s="45" t="s">
        <v>22</v>
      </c>
      <c r="I666" s="16">
        <v>10</v>
      </c>
      <c r="J666" t="e">
        <f>NA()</f>
        <v>#N/A</v>
      </c>
      <c r="K666" t="e">
        <f>NA()</f>
        <v>#N/A</v>
      </c>
      <c r="L666" s="16">
        <v>1.51</v>
      </c>
      <c r="M666" s="16">
        <v>-24.36</v>
      </c>
      <c r="N666" s="29">
        <v>1.4650000000000001</v>
      </c>
      <c r="O666" s="29">
        <v>-24.41</v>
      </c>
      <c r="P666" s="29">
        <v>0.185</v>
      </c>
      <c r="Q666" s="16">
        <v>5.23</v>
      </c>
      <c r="R666" s="16">
        <v>1544054400</v>
      </c>
      <c r="S666" s="30" t="s">
        <v>34</v>
      </c>
    </row>
    <row r="667" spans="1:19" ht="16" x14ac:dyDescent="0.2">
      <c r="A667" s="27" t="s">
        <v>715</v>
      </c>
      <c r="B667" s="16">
        <v>0.17</v>
      </c>
      <c r="C667" s="16">
        <v>6.22</v>
      </c>
      <c r="D667" s="29">
        <v>1.331209181</v>
      </c>
      <c r="E667" s="30">
        <v>207422.44510000001</v>
      </c>
      <c r="F667" s="30">
        <v>366364.82120000001</v>
      </c>
      <c r="G667" s="30" t="s">
        <v>34</v>
      </c>
      <c r="H667" s="45" t="s">
        <v>22</v>
      </c>
      <c r="I667" s="16">
        <v>20</v>
      </c>
      <c r="J667" t="e">
        <f>NA()</f>
        <v>#N/A</v>
      </c>
      <c r="K667" t="e">
        <f>NA()</f>
        <v>#N/A</v>
      </c>
      <c r="L667" s="16">
        <v>1.36</v>
      </c>
      <c r="M667" s="16">
        <v>-23.74</v>
      </c>
      <c r="N667" s="29">
        <v>1.19</v>
      </c>
      <c r="O667" s="29">
        <v>-23.64</v>
      </c>
      <c r="P667" s="29">
        <v>0.15</v>
      </c>
      <c r="Q667" s="16">
        <v>6.8</v>
      </c>
      <c r="R667" s="16">
        <v>1544054400</v>
      </c>
      <c r="S667" s="30" t="s">
        <v>34</v>
      </c>
    </row>
    <row r="668" spans="1:19" ht="16" x14ac:dyDescent="0.2">
      <c r="A668" s="27" t="s">
        <v>716</v>
      </c>
      <c r="B668" s="16">
        <v>0.11</v>
      </c>
      <c r="C668" s="16">
        <v>5.6449999999999996</v>
      </c>
      <c r="D668" s="29">
        <v>1.359988797</v>
      </c>
      <c r="E668" s="30">
        <v>207422.44510000001</v>
      </c>
      <c r="F668" s="30">
        <v>366364.82120000001</v>
      </c>
      <c r="G668" s="30" t="s">
        <v>34</v>
      </c>
      <c r="H668" s="45" t="s">
        <v>22</v>
      </c>
      <c r="I668" s="16">
        <v>30</v>
      </c>
      <c r="J668" t="e">
        <f>NA()</f>
        <v>#N/A</v>
      </c>
      <c r="K668" t="e">
        <f>NA()</f>
        <v>#N/A</v>
      </c>
      <c r="L668" s="16">
        <v>0.7</v>
      </c>
      <c r="M668" s="16">
        <v>-24.34</v>
      </c>
      <c r="N668" s="29">
        <v>0.7</v>
      </c>
      <c r="O668" s="29">
        <v>-24.47</v>
      </c>
      <c r="P668" s="29">
        <v>0.11</v>
      </c>
      <c r="Q668" s="16">
        <v>5.95</v>
      </c>
      <c r="R668" s="16">
        <v>1544054400</v>
      </c>
      <c r="S668" s="30" t="s">
        <v>34</v>
      </c>
    </row>
    <row r="669" spans="1:19" ht="16" x14ac:dyDescent="0.2">
      <c r="A669" s="27" t="s">
        <v>717</v>
      </c>
      <c r="B669" s="16">
        <v>7.0000000000000007E-2</v>
      </c>
      <c r="C669" s="16">
        <v>4.3899999999999997</v>
      </c>
      <c r="D669" s="29">
        <v>1.5387055460000001</v>
      </c>
      <c r="E669" s="30">
        <v>207422.44510000001</v>
      </c>
      <c r="F669" s="30">
        <v>366364.82120000001</v>
      </c>
      <c r="G669" s="30" t="s">
        <v>34</v>
      </c>
      <c r="H669" s="45" t="s">
        <v>22</v>
      </c>
      <c r="I669" s="16">
        <v>60</v>
      </c>
      <c r="J669" t="e">
        <f>NA()</f>
        <v>#N/A</v>
      </c>
      <c r="K669" t="e">
        <f>NA()</f>
        <v>#N/A</v>
      </c>
      <c r="L669" s="16">
        <v>0.22</v>
      </c>
      <c r="M669" s="16">
        <v>-24.82</v>
      </c>
      <c r="N669" s="29">
        <v>0.25</v>
      </c>
      <c r="O669" s="29">
        <v>-24.99</v>
      </c>
      <c r="P669" s="29">
        <v>0.08</v>
      </c>
      <c r="Q669" s="16">
        <v>4.29</v>
      </c>
      <c r="R669" s="16">
        <v>1544054400</v>
      </c>
      <c r="S669" s="30" t="s">
        <v>34</v>
      </c>
    </row>
    <row r="670" spans="1:19" ht="16" x14ac:dyDescent="0.2">
      <c r="A670" s="27" t="s">
        <v>718</v>
      </c>
      <c r="B670" s="16">
        <v>7.0000000000000007E-2</v>
      </c>
      <c r="C670" s="16">
        <v>3.44</v>
      </c>
      <c r="D670" s="29">
        <v>1.490198014</v>
      </c>
      <c r="E670" s="30">
        <v>207422.44510000001</v>
      </c>
      <c r="F670" s="30">
        <v>366364.82120000001</v>
      </c>
      <c r="G670" s="30" t="s">
        <v>34</v>
      </c>
      <c r="H670" s="45" t="s">
        <v>22</v>
      </c>
      <c r="I670" s="16">
        <v>100</v>
      </c>
      <c r="J670" t="e">
        <f>NA()</f>
        <v>#N/A</v>
      </c>
      <c r="K670" t="e">
        <f>NA()</f>
        <v>#N/A</v>
      </c>
      <c r="L670" s="16">
        <v>0.12</v>
      </c>
      <c r="M670" s="16">
        <v>-24.08</v>
      </c>
      <c r="N670" s="29">
        <v>0.13</v>
      </c>
      <c r="O670" s="29">
        <v>-25.15</v>
      </c>
      <c r="P670" s="29">
        <v>1.355</v>
      </c>
      <c r="Q670" s="16">
        <v>3.39</v>
      </c>
      <c r="R670" s="16">
        <v>1544054400</v>
      </c>
      <c r="S670" s="30" t="s">
        <v>34</v>
      </c>
    </row>
    <row r="671" spans="1:19" ht="16" x14ac:dyDescent="0.2">
      <c r="A671" s="27" t="s">
        <v>719</v>
      </c>
      <c r="B671" s="16">
        <v>0.13</v>
      </c>
      <c r="C671" s="16">
        <v>6.31</v>
      </c>
      <c r="D671" s="29">
        <v>1.4054996959999999</v>
      </c>
      <c r="E671" s="30">
        <v>208970.97630000001</v>
      </c>
      <c r="F671" s="30">
        <v>368740.52010000002</v>
      </c>
      <c r="G671" s="30" t="s">
        <v>91</v>
      </c>
      <c r="H671" s="45" t="s">
        <v>22</v>
      </c>
      <c r="I671" s="16">
        <v>10</v>
      </c>
      <c r="J671" t="e">
        <f>NA()</f>
        <v>#N/A</v>
      </c>
      <c r="K671" t="e">
        <f>NA()</f>
        <v>#N/A</v>
      </c>
      <c r="L671" s="16">
        <v>1.1599999999999999</v>
      </c>
      <c r="M671" s="16">
        <v>-24.38</v>
      </c>
      <c r="N671" s="29">
        <v>1.1100000000000001</v>
      </c>
      <c r="O671" s="29">
        <v>-24.38</v>
      </c>
      <c r="P671" s="29">
        <v>1.3</v>
      </c>
      <c r="Q671" s="16">
        <v>6.9</v>
      </c>
      <c r="R671" s="16">
        <v>1544140800</v>
      </c>
      <c r="S671" s="30" t="s">
        <v>91</v>
      </c>
    </row>
    <row r="672" spans="1:19" ht="16" x14ac:dyDescent="0.2">
      <c r="A672" s="27" t="s">
        <v>720</v>
      </c>
      <c r="B672" s="16">
        <v>0.13</v>
      </c>
      <c r="C672" s="16">
        <v>6.32</v>
      </c>
      <c r="D672" s="29">
        <v>1.4626677610000001</v>
      </c>
      <c r="E672" s="30">
        <v>208970.97630000001</v>
      </c>
      <c r="F672" s="30">
        <v>368740.52010000002</v>
      </c>
      <c r="G672" s="30" t="s">
        <v>91</v>
      </c>
      <c r="H672" s="45" t="s">
        <v>22</v>
      </c>
      <c r="I672" s="16">
        <v>20</v>
      </c>
      <c r="J672" t="e">
        <f>NA()</f>
        <v>#N/A</v>
      </c>
      <c r="K672" t="e">
        <f>NA()</f>
        <v>#N/A</v>
      </c>
      <c r="L672" s="16">
        <v>1.1299999999999999</v>
      </c>
      <c r="M672" s="16">
        <v>-24.795000000000002</v>
      </c>
      <c r="N672" s="29">
        <v>1.01</v>
      </c>
      <c r="O672" s="29">
        <v>-24.49</v>
      </c>
      <c r="P672" s="29">
        <v>0.11</v>
      </c>
      <c r="Q672" s="16">
        <v>7.22</v>
      </c>
      <c r="R672" s="16">
        <v>1544140800</v>
      </c>
      <c r="S672" s="30" t="s">
        <v>91</v>
      </c>
    </row>
    <row r="673" spans="1:19" ht="16" x14ac:dyDescent="0.2">
      <c r="A673" s="27" t="s">
        <v>721</v>
      </c>
      <c r="B673" s="16">
        <v>0.1</v>
      </c>
      <c r="C673" s="16">
        <v>5.63</v>
      </c>
      <c r="D673" s="29">
        <v>1.5155996039999999</v>
      </c>
      <c r="E673" s="30">
        <v>208970.97630000001</v>
      </c>
      <c r="F673" s="30">
        <v>368740.52010000002</v>
      </c>
      <c r="G673" s="30" t="s">
        <v>91</v>
      </c>
      <c r="H673" s="45" t="s">
        <v>22</v>
      </c>
      <c r="I673" s="16">
        <v>30</v>
      </c>
      <c r="J673" t="e">
        <f>NA()</f>
        <v>#N/A</v>
      </c>
      <c r="K673" t="e">
        <f>NA()</f>
        <v>#N/A</v>
      </c>
      <c r="L673" s="16">
        <v>0.74</v>
      </c>
      <c r="M673" s="16">
        <v>-24.1</v>
      </c>
      <c r="N673" s="29">
        <v>0.8</v>
      </c>
      <c r="O673" s="29">
        <v>-24.19</v>
      </c>
      <c r="P673" s="29">
        <v>0.1</v>
      </c>
      <c r="Q673" s="16">
        <v>6.24</v>
      </c>
      <c r="R673" s="16">
        <v>1544140800</v>
      </c>
      <c r="S673" s="30" t="s">
        <v>91</v>
      </c>
    </row>
    <row r="674" spans="1:19" ht="16" x14ac:dyDescent="0.2">
      <c r="A674" s="27" t="s">
        <v>722</v>
      </c>
      <c r="B674" s="16">
        <v>7.0000000000000007E-2</v>
      </c>
      <c r="C674" s="16">
        <v>4.68</v>
      </c>
      <c r="D674" s="29">
        <v>1.5516657920000001</v>
      </c>
      <c r="E674" s="30">
        <v>208970.97630000001</v>
      </c>
      <c r="F674" s="30">
        <v>368740.52010000002</v>
      </c>
      <c r="G674" s="30" t="s">
        <v>91</v>
      </c>
      <c r="H674" s="45" t="s">
        <v>22</v>
      </c>
      <c r="I674" s="16">
        <v>60</v>
      </c>
      <c r="J674" t="e">
        <f>NA()</f>
        <v>#N/A</v>
      </c>
      <c r="K674" t="e">
        <f>NA()</f>
        <v>#N/A</v>
      </c>
      <c r="L674" s="16">
        <v>0.24</v>
      </c>
      <c r="M674" s="16">
        <v>-24.54</v>
      </c>
      <c r="N674" s="29">
        <v>0.28999999999999998</v>
      </c>
      <c r="O674" s="29">
        <v>-24.745000000000001</v>
      </c>
      <c r="P674" s="29">
        <v>0.64500000000000002</v>
      </c>
      <c r="Q674" s="16">
        <v>4.7699999999999996</v>
      </c>
      <c r="R674" s="16">
        <v>1544140800</v>
      </c>
      <c r="S674" s="30" t="s">
        <v>91</v>
      </c>
    </row>
    <row r="675" spans="1:19" ht="16" x14ac:dyDescent="0.2">
      <c r="A675" s="32" t="s">
        <v>723</v>
      </c>
      <c r="B675" s="17">
        <v>0.05</v>
      </c>
      <c r="C675" s="17">
        <v>3.38</v>
      </c>
      <c r="D675" s="35">
        <v>1.505599119</v>
      </c>
      <c r="E675" s="47">
        <v>208970.97630000001</v>
      </c>
      <c r="F675" s="47">
        <v>368740.52010000002</v>
      </c>
      <c r="G675" s="47" t="s">
        <v>91</v>
      </c>
      <c r="H675" s="48" t="s">
        <v>22</v>
      </c>
      <c r="I675" s="17">
        <v>100</v>
      </c>
      <c r="J675" t="e">
        <f>NA()</f>
        <v>#N/A</v>
      </c>
      <c r="K675" t="e">
        <f>NA()</f>
        <v>#N/A</v>
      </c>
      <c r="L675" s="17">
        <v>0.12</v>
      </c>
      <c r="M675" s="17">
        <v>-25.2</v>
      </c>
      <c r="N675" s="35">
        <v>0.13</v>
      </c>
      <c r="O675" s="35">
        <v>-25.59</v>
      </c>
      <c r="P675" s="35">
        <v>0.05</v>
      </c>
      <c r="Q675" s="17">
        <v>4.03</v>
      </c>
      <c r="R675" s="17">
        <v>1544140800</v>
      </c>
      <c r="S675" s="47" t="s">
        <v>91</v>
      </c>
    </row>
    <row r="676" spans="1:19" ht="16" x14ac:dyDescent="0.2">
      <c r="A676" s="27" t="s">
        <v>724</v>
      </c>
      <c r="B676" s="29">
        <v>0.16500000000000001</v>
      </c>
      <c r="C676" s="29">
        <v>5.2450000000000001</v>
      </c>
      <c r="D676" s="28">
        <v>1.315844265</v>
      </c>
      <c r="E676" s="30">
        <v>209868.28159999999</v>
      </c>
      <c r="F676" s="30">
        <v>370198.27370000002</v>
      </c>
      <c r="G676" s="30" t="s">
        <v>285</v>
      </c>
      <c r="H676" s="45" t="s">
        <v>22</v>
      </c>
      <c r="I676" s="16">
        <v>10</v>
      </c>
      <c r="J676" t="e">
        <f>NA()</f>
        <v>#N/A</v>
      </c>
      <c r="K676" t="e">
        <f>NA()</f>
        <v>#N/A</v>
      </c>
      <c r="L676" s="29">
        <v>1.36</v>
      </c>
      <c r="M676" s="29">
        <v>-23.425000000000001</v>
      </c>
      <c r="N676" s="29">
        <v>1.29</v>
      </c>
      <c r="O676" s="29">
        <v>-23.97</v>
      </c>
      <c r="P676" s="29">
        <v>0.14000000000000001</v>
      </c>
      <c r="Q676" s="29">
        <v>5.12</v>
      </c>
      <c r="R676" s="16">
        <v>1510185600</v>
      </c>
      <c r="S676" s="16" t="s">
        <v>725</v>
      </c>
    </row>
    <row r="677" spans="1:19" ht="16" x14ac:dyDescent="0.2">
      <c r="A677" s="27" t="s">
        <v>726</v>
      </c>
      <c r="B677" s="29">
        <v>0.13</v>
      </c>
      <c r="C677" s="29">
        <v>5.47</v>
      </c>
      <c r="D677" s="28">
        <v>1.189088903</v>
      </c>
      <c r="E677" s="30">
        <v>209868.28159999999</v>
      </c>
      <c r="F677" s="30">
        <v>370198.27370000002</v>
      </c>
      <c r="G677" s="30" t="s">
        <v>285</v>
      </c>
      <c r="H677" s="45" t="s">
        <v>22</v>
      </c>
      <c r="I677" s="16">
        <v>20</v>
      </c>
      <c r="J677" t="e">
        <f>NA()</f>
        <v>#N/A</v>
      </c>
      <c r="K677" t="e">
        <f>NA()</f>
        <v>#N/A</v>
      </c>
      <c r="L677" s="29">
        <v>1.0900000000000001</v>
      </c>
      <c r="M677" s="29">
        <v>-22.98</v>
      </c>
      <c r="N677" s="29">
        <v>1.0249999999999999</v>
      </c>
      <c r="O677" s="29">
        <v>-23.254999999999999</v>
      </c>
      <c r="P677" s="29">
        <v>0.12</v>
      </c>
      <c r="Q677" s="29">
        <v>4.7750000000000004</v>
      </c>
      <c r="R677" s="16">
        <v>1510185600</v>
      </c>
      <c r="S677" s="16" t="s">
        <v>725</v>
      </c>
    </row>
    <row r="678" spans="1:19" ht="16" x14ac:dyDescent="0.2">
      <c r="A678" s="27" t="s">
        <v>727</v>
      </c>
      <c r="B678" s="29">
        <v>0.08</v>
      </c>
      <c r="C678" s="29">
        <v>5.9</v>
      </c>
      <c r="D678" s="28">
        <v>1.468727412</v>
      </c>
      <c r="E678" s="30">
        <v>209868.28159999999</v>
      </c>
      <c r="F678" s="30">
        <v>370198.27370000002</v>
      </c>
      <c r="G678" s="30" t="s">
        <v>285</v>
      </c>
      <c r="H678" s="45" t="s">
        <v>22</v>
      </c>
      <c r="I678" s="16">
        <v>30</v>
      </c>
      <c r="J678" t="e">
        <f>NA()</f>
        <v>#N/A</v>
      </c>
      <c r="K678" t="e">
        <f>NA()</f>
        <v>#N/A</v>
      </c>
      <c r="L678" s="29">
        <v>0.65</v>
      </c>
      <c r="M678" s="29">
        <v>-23.39</v>
      </c>
      <c r="N678" s="29">
        <v>0.7</v>
      </c>
      <c r="O678" s="29">
        <v>-23.81</v>
      </c>
      <c r="P678" s="29">
        <v>0.09</v>
      </c>
      <c r="Q678" s="29">
        <v>5.59</v>
      </c>
      <c r="R678" s="16">
        <v>1510185600</v>
      </c>
      <c r="S678" s="16" t="s">
        <v>725</v>
      </c>
    </row>
    <row r="679" spans="1:19" ht="16" x14ac:dyDescent="0.2">
      <c r="A679" s="27" t="s">
        <v>728</v>
      </c>
      <c r="B679" s="29">
        <v>0.05</v>
      </c>
      <c r="C679" s="29">
        <v>6.0149999999999997</v>
      </c>
      <c r="D679" s="28">
        <v>1.52220803</v>
      </c>
      <c r="E679" s="30">
        <v>209868.28159999999</v>
      </c>
      <c r="F679" s="30">
        <v>370198.27370000002</v>
      </c>
      <c r="G679" s="30" t="s">
        <v>285</v>
      </c>
      <c r="H679" s="45" t="s">
        <v>22</v>
      </c>
      <c r="I679" s="16">
        <v>60</v>
      </c>
      <c r="J679" t="e">
        <f>NA()</f>
        <v>#N/A</v>
      </c>
      <c r="K679" t="e">
        <f>NA()</f>
        <v>#N/A</v>
      </c>
      <c r="L679" s="29">
        <v>0.23499999999999999</v>
      </c>
      <c r="M679" s="29">
        <v>-22.83</v>
      </c>
      <c r="N679" s="29">
        <v>0.23</v>
      </c>
      <c r="O679" s="29">
        <v>-23.35</v>
      </c>
      <c r="P679" s="29">
        <v>0.04</v>
      </c>
      <c r="Q679" s="29">
        <v>4.3600000000000003</v>
      </c>
      <c r="R679" s="16">
        <v>1510185600</v>
      </c>
      <c r="S679" s="16" t="s">
        <v>725</v>
      </c>
    </row>
    <row r="680" spans="1:19" ht="16" x14ac:dyDescent="0.2">
      <c r="A680" s="27" t="s">
        <v>729</v>
      </c>
      <c r="B680" s="29">
        <v>0.03</v>
      </c>
      <c r="C680" s="29">
        <v>4.88</v>
      </c>
      <c r="D680" s="28">
        <v>1.526876034</v>
      </c>
      <c r="E680" s="30">
        <v>209868.28159999999</v>
      </c>
      <c r="F680" s="30">
        <v>370198.27370000002</v>
      </c>
      <c r="G680" s="30" t="s">
        <v>285</v>
      </c>
      <c r="H680" s="45" t="s">
        <v>22</v>
      </c>
      <c r="I680" s="16">
        <v>100</v>
      </c>
      <c r="J680" t="e">
        <f>NA()</f>
        <v>#N/A</v>
      </c>
      <c r="K680" t="e">
        <f>NA()</f>
        <v>#N/A</v>
      </c>
      <c r="L680" s="29">
        <v>0.09</v>
      </c>
      <c r="M680" s="29">
        <v>-23.33</v>
      </c>
      <c r="N680" s="29">
        <v>0.1</v>
      </c>
      <c r="O680" s="29" t="s">
        <v>671</v>
      </c>
      <c r="P680" s="29">
        <v>3.3333333E-2</v>
      </c>
      <c r="Q680" s="29">
        <v>3.503333333</v>
      </c>
      <c r="R680" s="16">
        <v>1510185600</v>
      </c>
      <c r="S680" s="16" t="s">
        <v>725</v>
      </c>
    </row>
    <row r="681" spans="1:19" ht="16" x14ac:dyDescent="0.2">
      <c r="A681" s="27" t="s">
        <v>730</v>
      </c>
      <c r="B681" s="29">
        <v>0.11</v>
      </c>
      <c r="C681" s="29">
        <v>5.52</v>
      </c>
      <c r="D681" s="28">
        <v>1.5091362779999999</v>
      </c>
      <c r="E681" s="30">
        <v>208112.63140000001</v>
      </c>
      <c r="F681" s="30">
        <v>365496.48340000003</v>
      </c>
      <c r="G681" s="30" t="s">
        <v>623</v>
      </c>
      <c r="H681" s="45" t="s">
        <v>22</v>
      </c>
      <c r="I681" s="16">
        <v>10</v>
      </c>
      <c r="J681" t="e">
        <f>NA()</f>
        <v>#N/A</v>
      </c>
      <c r="K681" t="e">
        <f>NA()</f>
        <v>#N/A</v>
      </c>
      <c r="L681" s="29">
        <v>0.87</v>
      </c>
      <c r="M681" s="29">
        <v>-21.84</v>
      </c>
      <c r="N681" s="29">
        <v>0.82</v>
      </c>
      <c r="O681" s="29">
        <v>-22.59</v>
      </c>
      <c r="P681" s="29">
        <v>0.09</v>
      </c>
      <c r="Q681" s="29">
        <v>5.34</v>
      </c>
      <c r="R681" s="16">
        <v>1510185600</v>
      </c>
      <c r="S681" s="16" t="s">
        <v>731</v>
      </c>
    </row>
    <row r="682" spans="1:19" ht="16" x14ac:dyDescent="0.2">
      <c r="A682" s="27" t="s">
        <v>732</v>
      </c>
      <c r="B682" s="29">
        <v>0.09</v>
      </c>
      <c r="C682" s="29">
        <v>5.415</v>
      </c>
      <c r="D682" s="28">
        <v>1.5806476220000001</v>
      </c>
      <c r="E682" s="30">
        <v>208112.63140000001</v>
      </c>
      <c r="F682" s="30">
        <v>365496.48340000003</v>
      </c>
      <c r="G682" s="30" t="s">
        <v>623</v>
      </c>
      <c r="H682" s="45" t="s">
        <v>22</v>
      </c>
      <c r="I682" s="16">
        <v>20</v>
      </c>
      <c r="J682" t="e">
        <f>NA()</f>
        <v>#N/A</v>
      </c>
      <c r="K682" t="e">
        <f>NA()</f>
        <v>#N/A</v>
      </c>
      <c r="L682" s="29">
        <v>0.69</v>
      </c>
      <c r="M682" s="29">
        <v>-22.43</v>
      </c>
      <c r="N682" s="29">
        <v>0.74</v>
      </c>
      <c r="O682" s="29">
        <v>-22.84</v>
      </c>
      <c r="P682" s="29">
        <v>0.09</v>
      </c>
      <c r="Q682" s="29">
        <v>4.8600000000000003</v>
      </c>
      <c r="R682" s="16">
        <v>1510185600</v>
      </c>
      <c r="S682" s="16" t="s">
        <v>731</v>
      </c>
    </row>
    <row r="683" spans="1:19" ht="16" x14ac:dyDescent="0.2">
      <c r="A683" s="27" t="s">
        <v>733</v>
      </c>
      <c r="B683" s="29">
        <v>7.0000000000000007E-2</v>
      </c>
      <c r="C683" s="29">
        <v>5.79</v>
      </c>
      <c r="D683" s="28">
        <v>1.3615814799999999</v>
      </c>
      <c r="E683" s="30">
        <v>208112.63140000001</v>
      </c>
      <c r="F683" s="30">
        <v>365496.48340000003</v>
      </c>
      <c r="G683" s="30" t="s">
        <v>623</v>
      </c>
      <c r="H683" s="45" t="s">
        <v>22</v>
      </c>
      <c r="I683" s="16">
        <v>30</v>
      </c>
      <c r="J683" t="e">
        <f>NA()</f>
        <v>#N/A</v>
      </c>
      <c r="K683" t="e">
        <f>NA()</f>
        <v>#N/A</v>
      </c>
      <c r="L683" s="29">
        <v>0.56000000000000005</v>
      </c>
      <c r="M683" s="29">
        <v>-22.9</v>
      </c>
      <c r="N683" s="29">
        <v>0.54</v>
      </c>
      <c r="O683" s="29">
        <v>-23.184999999999999</v>
      </c>
      <c r="P683" s="29">
        <v>7.0000000000000007E-2</v>
      </c>
      <c r="Q683" s="29">
        <v>4.8899999999999997</v>
      </c>
      <c r="R683" s="16">
        <v>1510185600</v>
      </c>
      <c r="S683" s="16" t="s">
        <v>731</v>
      </c>
    </row>
    <row r="684" spans="1:19" ht="16" x14ac:dyDescent="0.2">
      <c r="A684" s="27" t="s">
        <v>734</v>
      </c>
      <c r="B684" s="29">
        <v>0.04</v>
      </c>
      <c r="C684" s="29">
        <v>5.16</v>
      </c>
      <c r="D684" s="28">
        <v>1.541609191</v>
      </c>
      <c r="E684" s="30">
        <v>208112.63140000001</v>
      </c>
      <c r="F684" s="30">
        <v>365496.48340000003</v>
      </c>
      <c r="G684" s="30" t="s">
        <v>623</v>
      </c>
      <c r="H684" s="45" t="s">
        <v>22</v>
      </c>
      <c r="I684" s="16">
        <v>60</v>
      </c>
      <c r="J684" t="e">
        <f>NA()</f>
        <v>#N/A</v>
      </c>
      <c r="K684" t="e">
        <f>NA()</f>
        <v>#N/A</v>
      </c>
      <c r="L684" s="29">
        <v>0.18</v>
      </c>
      <c r="M684" s="29">
        <v>-22.4</v>
      </c>
      <c r="N684" s="29">
        <v>0.19</v>
      </c>
      <c r="O684" s="29">
        <v>-22.79</v>
      </c>
      <c r="P684" s="29">
        <v>0.04</v>
      </c>
      <c r="Q684" s="29">
        <v>4.29</v>
      </c>
      <c r="R684" s="16">
        <v>1510185600</v>
      </c>
      <c r="S684" s="16" t="s">
        <v>731</v>
      </c>
    </row>
    <row r="685" spans="1:19" ht="16" x14ac:dyDescent="0.2">
      <c r="A685" s="27" t="s">
        <v>735</v>
      </c>
      <c r="B685" s="29">
        <v>0.04</v>
      </c>
      <c r="C685" s="29">
        <v>4.3949999999999996</v>
      </c>
      <c r="D685" s="28">
        <v>1.512330795</v>
      </c>
      <c r="E685" s="30">
        <v>208112.63140000001</v>
      </c>
      <c r="F685" s="30">
        <v>365496.48340000003</v>
      </c>
      <c r="G685" s="30" t="s">
        <v>623</v>
      </c>
      <c r="H685" s="45" t="s">
        <v>22</v>
      </c>
      <c r="I685" s="16">
        <v>100</v>
      </c>
      <c r="J685" t="e">
        <f>NA()</f>
        <v>#N/A</v>
      </c>
      <c r="K685" t="e">
        <f>NA()</f>
        <v>#N/A</v>
      </c>
      <c r="L685" s="29">
        <v>0.125</v>
      </c>
      <c r="M685" s="29">
        <v>-23.675000000000001</v>
      </c>
      <c r="N685" s="29">
        <v>0.15</v>
      </c>
      <c r="O685" s="29">
        <v>-24.35</v>
      </c>
      <c r="P685" s="29">
        <v>0.03</v>
      </c>
      <c r="Q685" s="29">
        <v>2.29</v>
      </c>
      <c r="R685" s="16">
        <v>1510185600</v>
      </c>
      <c r="S685" s="16" t="s">
        <v>731</v>
      </c>
    </row>
    <row r="686" spans="1:19" ht="16" x14ac:dyDescent="0.2">
      <c r="A686" s="27" t="s">
        <v>736</v>
      </c>
      <c r="B686" s="29">
        <v>0.155</v>
      </c>
      <c r="C686" s="29">
        <v>5.125</v>
      </c>
      <c r="D686" s="28">
        <v>1.1235327690000001</v>
      </c>
      <c r="E686" s="30">
        <v>209797.8315</v>
      </c>
      <c r="F686" s="30">
        <v>368638.50109999999</v>
      </c>
      <c r="G686" s="30" t="s">
        <v>55</v>
      </c>
      <c r="H686" s="45" t="s">
        <v>22</v>
      </c>
      <c r="I686" s="16">
        <v>10</v>
      </c>
      <c r="J686" t="e">
        <f>NA()</f>
        <v>#N/A</v>
      </c>
      <c r="K686" t="e">
        <f>NA()</f>
        <v>#N/A</v>
      </c>
      <c r="L686" s="29">
        <v>1.335</v>
      </c>
      <c r="M686" s="29">
        <v>-25.465</v>
      </c>
      <c r="N686" s="29">
        <v>1.575</v>
      </c>
      <c r="O686" s="29">
        <v>-25.86</v>
      </c>
      <c r="P686" s="29">
        <v>0.14499999999999999</v>
      </c>
      <c r="Q686" s="29">
        <v>4.21</v>
      </c>
      <c r="R686" s="16">
        <v>1495497600</v>
      </c>
      <c r="S686" s="16" t="s">
        <v>737</v>
      </c>
    </row>
    <row r="687" spans="1:19" ht="16" x14ac:dyDescent="0.2">
      <c r="A687" s="27" t="s">
        <v>738</v>
      </c>
      <c r="B687" s="29">
        <v>0.13</v>
      </c>
      <c r="C687" s="29">
        <v>6.61</v>
      </c>
      <c r="D687" s="28">
        <v>1.1850985679999999</v>
      </c>
      <c r="E687" s="30">
        <v>209797.8315</v>
      </c>
      <c r="F687" s="30">
        <v>368638.50109999999</v>
      </c>
      <c r="G687" s="30" t="s">
        <v>55</v>
      </c>
      <c r="H687" s="45" t="s">
        <v>22</v>
      </c>
      <c r="I687" s="16">
        <v>20</v>
      </c>
      <c r="J687" t="e">
        <f>NA()</f>
        <v>#N/A</v>
      </c>
      <c r="K687" t="e">
        <f>NA()</f>
        <v>#N/A</v>
      </c>
      <c r="L687" s="29">
        <v>0.98</v>
      </c>
      <c r="M687" s="29">
        <v>-25.24</v>
      </c>
      <c r="N687" s="29">
        <v>2.44</v>
      </c>
      <c r="O687" s="29">
        <v>-25.85</v>
      </c>
      <c r="P687" s="29">
        <v>0.13</v>
      </c>
      <c r="Q687" s="29">
        <v>4.42</v>
      </c>
      <c r="R687" s="16">
        <v>1495497600</v>
      </c>
      <c r="S687" s="16" t="s">
        <v>737</v>
      </c>
    </row>
    <row r="688" spans="1:19" ht="16" x14ac:dyDescent="0.2">
      <c r="A688" s="27" t="s">
        <v>739</v>
      </c>
      <c r="B688" s="29">
        <v>0.105</v>
      </c>
      <c r="C688" s="29">
        <v>6.9950000000000001</v>
      </c>
      <c r="D688" s="28">
        <v>1.2489008589999999</v>
      </c>
      <c r="E688" s="30">
        <v>209797.8315</v>
      </c>
      <c r="F688" s="30">
        <v>368638.50109999999</v>
      </c>
      <c r="G688" s="30" t="s">
        <v>55</v>
      </c>
      <c r="H688" s="45" t="s">
        <v>22</v>
      </c>
      <c r="I688" s="16">
        <v>30</v>
      </c>
      <c r="J688" t="e">
        <f>NA()</f>
        <v>#N/A</v>
      </c>
      <c r="K688" t="e">
        <f>NA()</f>
        <v>#N/A</v>
      </c>
      <c r="L688" s="29">
        <v>0.72499999999999998</v>
      </c>
      <c r="M688" s="29">
        <v>-25.23</v>
      </c>
      <c r="N688" s="29">
        <v>1.41</v>
      </c>
      <c r="O688" s="29">
        <v>-25.39</v>
      </c>
      <c r="P688" s="29">
        <v>0.1</v>
      </c>
      <c r="Q688" s="29">
        <v>4.45</v>
      </c>
      <c r="R688" s="16">
        <v>1495497600</v>
      </c>
      <c r="S688" s="16" t="s">
        <v>737</v>
      </c>
    </row>
    <row r="689" spans="1:19" ht="16" x14ac:dyDescent="0.2">
      <c r="A689" s="27" t="s">
        <v>740</v>
      </c>
      <c r="B689" s="29">
        <v>0.09</v>
      </c>
      <c r="C689" s="29">
        <v>6.43</v>
      </c>
      <c r="D689" s="28">
        <v>1.349550421</v>
      </c>
      <c r="E689" s="30">
        <v>209797.8315</v>
      </c>
      <c r="F689" s="30">
        <v>368638.50109999999</v>
      </c>
      <c r="G689" s="30" t="s">
        <v>55</v>
      </c>
      <c r="H689" s="45" t="s">
        <v>22</v>
      </c>
      <c r="I689" s="16">
        <v>60</v>
      </c>
      <c r="J689" t="e">
        <f>NA()</f>
        <v>#N/A</v>
      </c>
      <c r="K689" t="e">
        <f>NA()</f>
        <v>#N/A</v>
      </c>
      <c r="L689" s="29" t="s">
        <v>671</v>
      </c>
      <c r="M689" s="29">
        <v>-24.923333329999998</v>
      </c>
      <c r="N689" s="29">
        <v>0.55500000000000005</v>
      </c>
      <c r="O689" s="29">
        <v>-24.63</v>
      </c>
      <c r="P689" s="29">
        <v>0.06</v>
      </c>
      <c r="Q689" s="29">
        <v>3.91</v>
      </c>
      <c r="R689" s="16">
        <v>1495497600</v>
      </c>
      <c r="S689" s="16" t="s">
        <v>737</v>
      </c>
    </row>
    <row r="690" spans="1:19" ht="16" x14ac:dyDescent="0.2">
      <c r="A690" s="27" t="s">
        <v>741</v>
      </c>
      <c r="B690" s="29">
        <v>0.04</v>
      </c>
      <c r="C690" s="29">
        <v>11.96</v>
      </c>
      <c r="D690" s="28">
        <v>1.354044751</v>
      </c>
      <c r="E690" s="30">
        <v>209797.8315</v>
      </c>
      <c r="F690" s="30">
        <v>368638.50109999999</v>
      </c>
      <c r="G690" s="30" t="s">
        <v>55</v>
      </c>
      <c r="H690" s="45" t="s">
        <v>22</v>
      </c>
      <c r="I690" s="16">
        <v>100</v>
      </c>
      <c r="J690" t="e">
        <f>NA()</f>
        <v>#N/A</v>
      </c>
      <c r="K690" t="e">
        <f>NA()</f>
        <v>#N/A</v>
      </c>
      <c r="L690" s="29">
        <v>0.11</v>
      </c>
      <c r="M690" s="29">
        <v>-23.99</v>
      </c>
      <c r="N690" s="29">
        <v>0.19</v>
      </c>
      <c r="O690" s="29">
        <v>-24.52</v>
      </c>
      <c r="P690" s="29">
        <v>0.03</v>
      </c>
      <c r="Q690" s="29">
        <v>4.42</v>
      </c>
      <c r="R690" s="16">
        <v>1495497600</v>
      </c>
      <c r="S690" s="16" t="s">
        <v>737</v>
      </c>
    </row>
    <row r="691" spans="1:19" ht="16" x14ac:dyDescent="0.2">
      <c r="A691" s="27" t="s">
        <v>742</v>
      </c>
      <c r="B691" s="29">
        <v>0.14000000000000001</v>
      </c>
      <c r="C691" s="29">
        <v>7.55</v>
      </c>
      <c r="D691" s="28">
        <v>1.1912392220000001</v>
      </c>
      <c r="E691" s="30">
        <v>208970.97630000001</v>
      </c>
      <c r="F691" s="30">
        <v>368740.52010000002</v>
      </c>
      <c r="G691" s="30" t="s">
        <v>91</v>
      </c>
      <c r="H691" s="45" t="s">
        <v>22</v>
      </c>
      <c r="I691" s="16">
        <v>10</v>
      </c>
      <c r="J691" t="e">
        <f>NA()</f>
        <v>#N/A</v>
      </c>
      <c r="K691" t="e">
        <f>NA()</f>
        <v>#N/A</v>
      </c>
      <c r="L691" s="29">
        <v>0.93</v>
      </c>
      <c r="M691" s="29">
        <v>-24.86</v>
      </c>
      <c r="N691" s="29">
        <v>1.42</v>
      </c>
      <c r="O691" s="29">
        <v>-24.88</v>
      </c>
      <c r="P691" s="29">
        <v>0.14499999999999999</v>
      </c>
      <c r="Q691" s="29">
        <v>5.08</v>
      </c>
      <c r="R691" s="16">
        <v>1495497600</v>
      </c>
      <c r="S691" s="16" t="s">
        <v>743</v>
      </c>
    </row>
    <row r="692" spans="1:19" ht="16" x14ac:dyDescent="0.2">
      <c r="A692" s="27" t="s">
        <v>744</v>
      </c>
      <c r="B692" s="29">
        <v>0.14000000000000001</v>
      </c>
      <c r="C692" s="29">
        <v>6.47</v>
      </c>
      <c r="D692" s="28">
        <v>1.290664142</v>
      </c>
      <c r="E692" s="30">
        <v>208970.97630000001</v>
      </c>
      <c r="F692" s="30">
        <v>368740.52010000002</v>
      </c>
      <c r="G692" s="30" t="s">
        <v>91</v>
      </c>
      <c r="H692" s="45" t="s">
        <v>22</v>
      </c>
      <c r="I692" s="16">
        <v>20</v>
      </c>
      <c r="J692" t="e">
        <f>NA()</f>
        <v>#N/A</v>
      </c>
      <c r="K692" t="e">
        <f>NA()</f>
        <v>#N/A</v>
      </c>
      <c r="L692" s="29">
        <v>1</v>
      </c>
      <c r="M692" s="29">
        <v>-24.86</v>
      </c>
      <c r="N692" s="29">
        <v>1.25</v>
      </c>
      <c r="O692" s="29">
        <v>-24.73</v>
      </c>
      <c r="P692" s="29">
        <v>0.15</v>
      </c>
      <c r="Q692" s="29">
        <v>4.54</v>
      </c>
      <c r="R692" s="16">
        <v>1495497600</v>
      </c>
      <c r="S692" s="16" t="s">
        <v>743</v>
      </c>
    </row>
    <row r="693" spans="1:19" ht="16" x14ac:dyDescent="0.2">
      <c r="A693" s="27" t="s">
        <v>745</v>
      </c>
      <c r="B693" s="29">
        <v>0.103333333</v>
      </c>
      <c r="C693" s="29" t="s">
        <v>671</v>
      </c>
      <c r="D693" s="28">
        <v>1.4450187830000001</v>
      </c>
      <c r="E693" s="30">
        <v>208970.97630000001</v>
      </c>
      <c r="F693" s="30">
        <v>368740.52010000002</v>
      </c>
      <c r="G693" s="30" t="s">
        <v>91</v>
      </c>
      <c r="H693" s="45" t="s">
        <v>22</v>
      </c>
      <c r="I693" s="16">
        <v>30</v>
      </c>
      <c r="J693" t="e">
        <f>NA()</f>
        <v>#N/A</v>
      </c>
      <c r="K693" t="e">
        <f>NA()</f>
        <v>#N/A</v>
      </c>
      <c r="L693" s="29" t="s">
        <v>671</v>
      </c>
      <c r="M693" s="29">
        <v>-24.46</v>
      </c>
      <c r="N693" s="29">
        <v>0.505</v>
      </c>
      <c r="O693" s="29">
        <v>-24.4</v>
      </c>
      <c r="P693" s="29">
        <v>0.1</v>
      </c>
      <c r="Q693" s="29">
        <v>5.5250000000000004</v>
      </c>
      <c r="R693" s="16">
        <v>1495497600</v>
      </c>
      <c r="S693" s="16" t="s">
        <v>743</v>
      </c>
    </row>
    <row r="694" spans="1:19" ht="16" x14ac:dyDescent="0.2">
      <c r="A694" s="27" t="s">
        <v>746</v>
      </c>
      <c r="B694" s="29">
        <v>0.06</v>
      </c>
      <c r="C694" s="29">
        <v>6.31</v>
      </c>
      <c r="D694" s="28">
        <v>1.559905077</v>
      </c>
      <c r="E694" s="30">
        <v>208970.97630000001</v>
      </c>
      <c r="F694" s="30">
        <v>368740.52010000002</v>
      </c>
      <c r="G694" s="30" t="s">
        <v>91</v>
      </c>
      <c r="H694" s="45" t="s">
        <v>22</v>
      </c>
      <c r="I694" s="16">
        <v>60</v>
      </c>
      <c r="J694" t="e">
        <f>NA()</f>
        <v>#N/A</v>
      </c>
      <c r="K694" t="e">
        <f>NA()</f>
        <v>#N/A</v>
      </c>
      <c r="L694" s="29">
        <v>0.12</v>
      </c>
      <c r="M694" s="29">
        <v>-24.86</v>
      </c>
      <c r="N694" s="29">
        <v>0.19666666699999999</v>
      </c>
      <c r="O694" s="29" t="s">
        <v>671</v>
      </c>
      <c r="P694" s="29">
        <v>6.6666666999999999E-2</v>
      </c>
      <c r="Q694" s="29">
        <v>2.6033333330000001</v>
      </c>
      <c r="R694" s="16">
        <v>1495497600</v>
      </c>
      <c r="S694" s="16" t="s">
        <v>743</v>
      </c>
    </row>
    <row r="695" spans="1:19" ht="16" x14ac:dyDescent="0.2">
      <c r="A695" s="27" t="s">
        <v>747</v>
      </c>
      <c r="B695" s="29">
        <v>4.3333333000000002E-2</v>
      </c>
      <c r="C695" s="29" t="s">
        <v>671</v>
      </c>
      <c r="D695" s="28">
        <v>1.5299821629999999</v>
      </c>
      <c r="E695" s="30">
        <v>208970.97630000001</v>
      </c>
      <c r="F695" s="30">
        <v>368740.52010000002</v>
      </c>
      <c r="G695" s="30" t="s">
        <v>91</v>
      </c>
      <c r="H695" s="45" t="s">
        <v>22</v>
      </c>
      <c r="I695" s="16">
        <v>100</v>
      </c>
      <c r="J695" t="e">
        <f>NA()</f>
        <v>#N/A</v>
      </c>
      <c r="K695" t="e">
        <f>NA()</f>
        <v>#N/A</v>
      </c>
      <c r="L695" s="29">
        <v>8.6666667000000003E-2</v>
      </c>
      <c r="M695" s="29" t="s">
        <v>671</v>
      </c>
      <c r="N695" s="29" t="s">
        <v>671</v>
      </c>
      <c r="O695" s="29" t="s">
        <v>671</v>
      </c>
      <c r="P695" s="29">
        <v>0.04</v>
      </c>
      <c r="Q695" s="29">
        <v>2.87</v>
      </c>
      <c r="R695" s="16">
        <v>1495497600</v>
      </c>
      <c r="S695" s="16" t="s">
        <v>743</v>
      </c>
    </row>
    <row r="696" spans="1:19" ht="16" x14ac:dyDescent="0.2">
      <c r="A696" s="27" t="s">
        <v>748</v>
      </c>
      <c r="B696" s="29">
        <v>0.15</v>
      </c>
      <c r="C696" s="29">
        <v>6.82</v>
      </c>
      <c r="D696" s="28">
        <v>1.1273685280000001</v>
      </c>
      <c r="E696" s="30">
        <v>209274.8651</v>
      </c>
      <c r="F696" s="30">
        <v>368851.03860000003</v>
      </c>
      <c r="G696" s="30" t="s">
        <v>125</v>
      </c>
      <c r="H696" s="45" t="s">
        <v>22</v>
      </c>
      <c r="I696" s="16">
        <v>10</v>
      </c>
      <c r="J696" t="e">
        <f>NA()</f>
        <v>#N/A</v>
      </c>
      <c r="K696" t="e">
        <f>NA()</f>
        <v>#N/A</v>
      </c>
      <c r="L696" s="29">
        <v>0.94</v>
      </c>
      <c r="M696" s="29">
        <v>-24.41</v>
      </c>
      <c r="N696" s="29">
        <v>1.6</v>
      </c>
      <c r="O696" s="29">
        <v>-24.25</v>
      </c>
      <c r="P696" s="29">
        <v>0.15</v>
      </c>
      <c r="Q696" s="29">
        <v>4.88</v>
      </c>
      <c r="R696" s="16">
        <v>1495584000</v>
      </c>
      <c r="S696" s="16" t="s">
        <v>749</v>
      </c>
    </row>
    <row r="697" spans="1:19" ht="16" x14ac:dyDescent="0.2">
      <c r="A697" s="27" t="s">
        <v>750</v>
      </c>
      <c r="B697" s="29">
        <v>0.13</v>
      </c>
      <c r="C697" s="29">
        <v>7.1050000000000004</v>
      </c>
      <c r="D697" s="28">
        <v>1.289390169</v>
      </c>
      <c r="E697" s="30">
        <v>209274.8651</v>
      </c>
      <c r="F697" s="30">
        <v>368851.03860000003</v>
      </c>
      <c r="G697" s="30" t="s">
        <v>125</v>
      </c>
      <c r="H697" s="45" t="s">
        <v>22</v>
      </c>
      <c r="I697" s="16">
        <v>20</v>
      </c>
      <c r="J697" t="e">
        <f>NA()</f>
        <v>#N/A</v>
      </c>
      <c r="K697" t="e">
        <f>NA()</f>
        <v>#N/A</v>
      </c>
      <c r="L697" s="29">
        <v>0.78</v>
      </c>
      <c r="M697" s="29">
        <v>-24.175000000000001</v>
      </c>
      <c r="N697" s="29">
        <v>1.01</v>
      </c>
      <c r="O697" s="29">
        <v>-24.22</v>
      </c>
      <c r="P697" s="29">
        <v>0.13</v>
      </c>
      <c r="Q697" s="29">
        <v>4.3</v>
      </c>
      <c r="R697" s="16">
        <v>1495584000</v>
      </c>
      <c r="S697" s="16" t="s">
        <v>749</v>
      </c>
    </row>
    <row r="698" spans="1:19" ht="16" x14ac:dyDescent="0.2">
      <c r="A698" s="27" t="s">
        <v>751</v>
      </c>
      <c r="B698" s="29">
        <v>0.115</v>
      </c>
      <c r="C698" s="29">
        <v>7.37</v>
      </c>
      <c r="D698" s="28">
        <v>1.7053122549999999</v>
      </c>
      <c r="E698" s="30">
        <v>209274.8651</v>
      </c>
      <c r="F698" s="30">
        <v>368851.03860000003</v>
      </c>
      <c r="G698" s="30" t="s">
        <v>125</v>
      </c>
      <c r="H698" s="45" t="s">
        <v>22</v>
      </c>
      <c r="I698" s="16">
        <v>30</v>
      </c>
      <c r="J698" t="e">
        <f>NA()</f>
        <v>#N/A</v>
      </c>
      <c r="K698" t="e">
        <f>NA()</f>
        <v>#N/A</v>
      </c>
      <c r="L698" s="29">
        <v>0.76</v>
      </c>
      <c r="M698" s="29">
        <v>-24.215</v>
      </c>
      <c r="N698" s="29">
        <v>1</v>
      </c>
      <c r="O698" s="29">
        <v>-24.07</v>
      </c>
      <c r="P698" s="29">
        <v>0.12</v>
      </c>
      <c r="Q698" s="29">
        <v>4.7</v>
      </c>
      <c r="R698" s="16">
        <v>1495584000</v>
      </c>
      <c r="S698" s="16" t="s">
        <v>749</v>
      </c>
    </row>
    <row r="699" spans="1:19" ht="16" x14ac:dyDescent="0.2">
      <c r="A699" s="27" t="s">
        <v>752</v>
      </c>
      <c r="B699" s="29">
        <v>7.0000000000000007E-2</v>
      </c>
      <c r="C699" s="29">
        <v>6.47</v>
      </c>
      <c r="D699" s="28">
        <v>1.5097383150000001</v>
      </c>
      <c r="E699" s="30">
        <v>209274.8651</v>
      </c>
      <c r="F699" s="30">
        <v>368851.03860000003</v>
      </c>
      <c r="G699" s="30" t="s">
        <v>125</v>
      </c>
      <c r="H699" s="45" t="s">
        <v>22</v>
      </c>
      <c r="I699" s="16">
        <v>60</v>
      </c>
      <c r="J699" t="e">
        <f>NA()</f>
        <v>#N/A</v>
      </c>
      <c r="K699" t="e">
        <f>NA()</f>
        <v>#N/A</v>
      </c>
      <c r="L699" s="29">
        <v>0.11</v>
      </c>
      <c r="M699" s="29">
        <v>-24.23</v>
      </c>
      <c r="N699" s="29">
        <v>0.17</v>
      </c>
      <c r="O699" s="29">
        <v>-24.72</v>
      </c>
      <c r="P699" s="29">
        <v>7.4999999999999997E-2</v>
      </c>
      <c r="Q699" s="29">
        <v>2.46</v>
      </c>
      <c r="R699" s="16">
        <v>1495584000</v>
      </c>
      <c r="S699" s="16" t="s">
        <v>749</v>
      </c>
    </row>
    <row r="700" spans="1:19" ht="16" x14ac:dyDescent="0.2">
      <c r="A700" s="27" t="s">
        <v>753</v>
      </c>
      <c r="B700" s="29">
        <v>0.06</v>
      </c>
      <c r="C700" s="29">
        <v>3.04</v>
      </c>
      <c r="D700" s="28">
        <v>1.470083413</v>
      </c>
      <c r="E700" s="30">
        <v>209274.8651</v>
      </c>
      <c r="F700" s="30">
        <v>368851.03860000003</v>
      </c>
      <c r="G700" s="30" t="s">
        <v>125</v>
      </c>
      <c r="H700" s="45" t="s">
        <v>22</v>
      </c>
      <c r="I700" s="16">
        <v>100</v>
      </c>
      <c r="J700" t="e">
        <f>NA()</f>
        <v>#N/A</v>
      </c>
      <c r="K700" t="e">
        <f>NA()</f>
        <v>#N/A</v>
      </c>
      <c r="L700" s="29">
        <v>0.15</v>
      </c>
      <c r="M700" s="29">
        <v>-25.234999999999999</v>
      </c>
      <c r="N700" s="29">
        <v>0.11</v>
      </c>
      <c r="O700" s="29" t="s">
        <v>671</v>
      </c>
      <c r="P700" s="29">
        <v>6.3333333000000006E-2</v>
      </c>
      <c r="Q700" s="29">
        <v>2.41</v>
      </c>
      <c r="R700" s="16">
        <v>1495584000</v>
      </c>
      <c r="S700" s="16" t="s">
        <v>749</v>
      </c>
    </row>
    <row r="701" spans="1:19" ht="16" x14ac:dyDescent="0.2">
      <c r="A701" s="27" t="s">
        <v>754</v>
      </c>
      <c r="B701" s="29">
        <v>0.24</v>
      </c>
      <c r="C701" s="29">
        <v>8</v>
      </c>
      <c r="D701" s="28">
        <v>1.2339307939999999</v>
      </c>
      <c r="E701" s="30">
        <v>204909.54329999999</v>
      </c>
      <c r="F701" s="30">
        <v>366099.93910000002</v>
      </c>
      <c r="G701" s="30" t="s">
        <v>159</v>
      </c>
      <c r="H701" s="45" t="s">
        <v>22</v>
      </c>
      <c r="I701" s="16">
        <v>10</v>
      </c>
      <c r="J701" t="e">
        <f>NA()</f>
        <v>#N/A</v>
      </c>
      <c r="K701" t="e">
        <f>NA()</f>
        <v>#N/A</v>
      </c>
      <c r="L701" s="29">
        <v>1.41</v>
      </c>
      <c r="M701" s="29">
        <v>-22.35</v>
      </c>
      <c r="N701" s="29">
        <v>2.11</v>
      </c>
      <c r="O701" s="29">
        <v>-22.555</v>
      </c>
      <c r="P701" s="29">
        <v>0.22500000000000001</v>
      </c>
      <c r="Q701" s="29">
        <v>6.3449999999999998</v>
      </c>
      <c r="R701" s="16">
        <v>1495584000</v>
      </c>
      <c r="S701" s="16" t="s">
        <v>755</v>
      </c>
    </row>
    <row r="702" spans="1:19" ht="16" x14ac:dyDescent="0.2">
      <c r="A702" s="27" t="s">
        <v>756</v>
      </c>
      <c r="B702" s="29">
        <v>0.23</v>
      </c>
      <c r="C702" s="29">
        <v>7.74</v>
      </c>
      <c r="D702" s="28">
        <v>1.2923945370000001</v>
      </c>
      <c r="E702" s="30">
        <v>204909.54329999999</v>
      </c>
      <c r="F702" s="30">
        <v>366099.93910000002</v>
      </c>
      <c r="G702" s="30" t="s">
        <v>159</v>
      </c>
      <c r="H702" s="45" t="s">
        <v>22</v>
      </c>
      <c r="I702" s="16">
        <v>20</v>
      </c>
      <c r="J702" t="e">
        <f>NA()</f>
        <v>#N/A</v>
      </c>
      <c r="K702" t="e">
        <f>NA()</f>
        <v>#N/A</v>
      </c>
      <c r="L702" s="29">
        <v>1.57</v>
      </c>
      <c r="M702" s="29">
        <v>-22.67</v>
      </c>
      <c r="N702" s="29">
        <v>1.31</v>
      </c>
      <c r="O702" s="29">
        <v>-22.675000000000001</v>
      </c>
      <c r="P702" s="29">
        <v>0.22500000000000001</v>
      </c>
      <c r="Q702" s="29">
        <v>6.0949999999999998</v>
      </c>
      <c r="R702" s="16">
        <v>1495584000</v>
      </c>
      <c r="S702" s="16" t="s">
        <v>755</v>
      </c>
    </row>
    <row r="703" spans="1:19" ht="16" x14ac:dyDescent="0.2">
      <c r="A703" s="27" t="s">
        <v>757</v>
      </c>
      <c r="B703" s="29">
        <v>0.14000000000000001</v>
      </c>
      <c r="C703" s="29">
        <v>8.2799999999999994</v>
      </c>
      <c r="D703" s="28">
        <v>1.4875393539999999</v>
      </c>
      <c r="E703" s="30">
        <v>204909.54329999999</v>
      </c>
      <c r="F703" s="30">
        <v>366099.93910000002</v>
      </c>
      <c r="G703" s="30" t="s">
        <v>159</v>
      </c>
      <c r="H703" s="45" t="s">
        <v>22</v>
      </c>
      <c r="I703" s="16">
        <v>30</v>
      </c>
      <c r="J703" t="e">
        <f>NA()</f>
        <v>#N/A</v>
      </c>
      <c r="K703" t="e">
        <f>NA()</f>
        <v>#N/A</v>
      </c>
      <c r="L703" s="29">
        <v>0.8</v>
      </c>
      <c r="M703" s="29">
        <v>-22.83</v>
      </c>
      <c r="N703" s="29">
        <v>1.38</v>
      </c>
      <c r="O703" s="29">
        <v>-22.813333329999999</v>
      </c>
      <c r="P703" s="29">
        <v>0.17</v>
      </c>
      <c r="Q703" s="29">
        <v>6.7133333329999996</v>
      </c>
      <c r="R703" s="16">
        <v>1495584000</v>
      </c>
      <c r="S703" s="16" t="s">
        <v>755</v>
      </c>
    </row>
    <row r="704" spans="1:19" ht="16" x14ac:dyDescent="0.2">
      <c r="A704" s="27" t="s">
        <v>758</v>
      </c>
      <c r="B704" s="29">
        <v>0.08</v>
      </c>
      <c r="C704" s="29">
        <v>7.0350000000000001</v>
      </c>
      <c r="D704" s="28">
        <v>1.5585967220000001</v>
      </c>
      <c r="E704" s="30">
        <v>204909.54329999999</v>
      </c>
      <c r="F704" s="30">
        <v>366099.93910000002</v>
      </c>
      <c r="G704" s="30" t="s">
        <v>159</v>
      </c>
      <c r="H704" s="45" t="s">
        <v>22</v>
      </c>
      <c r="I704" s="16">
        <v>60</v>
      </c>
      <c r="J704" t="e">
        <f>NA()</f>
        <v>#N/A</v>
      </c>
      <c r="K704" t="e">
        <f>NA()</f>
        <v>#N/A</v>
      </c>
      <c r="L704" s="29">
        <v>0.38500000000000001</v>
      </c>
      <c r="M704" s="29">
        <v>-23.545000000000002</v>
      </c>
      <c r="N704" s="29">
        <v>0.88</v>
      </c>
      <c r="O704" s="29">
        <v>-23.77</v>
      </c>
      <c r="P704" s="29">
        <v>0.09</v>
      </c>
      <c r="Q704" s="29">
        <v>4.57</v>
      </c>
      <c r="R704" s="16">
        <v>1495584000</v>
      </c>
      <c r="S704" s="16" t="s">
        <v>755</v>
      </c>
    </row>
    <row r="705" spans="1:19" ht="16" x14ac:dyDescent="0.2">
      <c r="A705" s="27" t="s">
        <v>759</v>
      </c>
      <c r="B705" s="29">
        <v>4.3333333000000002E-2</v>
      </c>
      <c r="C705" s="29" t="s">
        <v>671</v>
      </c>
      <c r="D705" s="28">
        <v>1.5908438650000001</v>
      </c>
      <c r="E705" s="30">
        <v>204909.54329999999</v>
      </c>
      <c r="F705" s="30">
        <v>366099.93910000002</v>
      </c>
      <c r="G705" s="30" t="s">
        <v>159</v>
      </c>
      <c r="H705" s="45" t="s">
        <v>22</v>
      </c>
      <c r="I705" s="16">
        <v>100</v>
      </c>
      <c r="J705" t="e">
        <f>NA()</f>
        <v>#N/A</v>
      </c>
      <c r="K705" t="e">
        <f>NA()</f>
        <v>#N/A</v>
      </c>
      <c r="L705" s="29">
        <v>0.11333333299999999</v>
      </c>
      <c r="M705" s="29">
        <v>-23.81666667</v>
      </c>
      <c r="N705" s="29">
        <v>0.185</v>
      </c>
      <c r="O705" s="29">
        <v>-24.1</v>
      </c>
      <c r="P705" s="29">
        <v>4.4999999999999998E-2</v>
      </c>
      <c r="Q705" s="29">
        <v>3.1</v>
      </c>
      <c r="R705" s="16">
        <v>1495584000</v>
      </c>
      <c r="S705" s="16" t="s">
        <v>755</v>
      </c>
    </row>
    <row r="706" spans="1:19" ht="16" x14ac:dyDescent="0.2">
      <c r="A706" s="27" t="s">
        <v>760</v>
      </c>
      <c r="B706" s="29">
        <v>0.14000000000000001</v>
      </c>
      <c r="C706" s="29">
        <v>6.2</v>
      </c>
      <c r="D706" s="28">
        <v>1.2085919759999999</v>
      </c>
      <c r="E706" s="30">
        <v>206923.5949</v>
      </c>
      <c r="F706" s="30">
        <v>367496.74829999998</v>
      </c>
      <c r="G706" s="30" t="s">
        <v>21</v>
      </c>
      <c r="H706" s="45" t="s">
        <v>22</v>
      </c>
      <c r="I706" s="16">
        <v>10</v>
      </c>
      <c r="J706" t="e">
        <f>NA()</f>
        <v>#N/A</v>
      </c>
      <c r="K706" t="e">
        <f>NA()</f>
        <v>#N/A</v>
      </c>
      <c r="L706" s="29">
        <v>0.82</v>
      </c>
      <c r="M706" s="29">
        <v>-23.87</v>
      </c>
      <c r="N706" s="29">
        <v>1.7849999999999999</v>
      </c>
      <c r="O706" s="29">
        <v>-23.655000000000001</v>
      </c>
      <c r="P706" s="29">
        <v>0.155</v>
      </c>
      <c r="Q706" s="29">
        <v>5.0449999999999999</v>
      </c>
      <c r="R706" s="16">
        <v>1495584000</v>
      </c>
      <c r="S706" s="16" t="s">
        <v>761</v>
      </c>
    </row>
    <row r="707" spans="1:19" ht="16" x14ac:dyDescent="0.2">
      <c r="A707" s="27" t="s">
        <v>762</v>
      </c>
      <c r="B707" s="29">
        <v>0.11</v>
      </c>
      <c r="C707" s="29">
        <v>6.94</v>
      </c>
      <c r="D707" s="28">
        <v>1.444372939</v>
      </c>
      <c r="E707" s="30">
        <v>206923.5949</v>
      </c>
      <c r="F707" s="30">
        <v>367496.74829999998</v>
      </c>
      <c r="G707" s="30" t="s">
        <v>21</v>
      </c>
      <c r="H707" s="45" t="s">
        <v>22</v>
      </c>
      <c r="I707" s="16">
        <v>20</v>
      </c>
      <c r="J707" t="e">
        <f>NA()</f>
        <v>#N/A</v>
      </c>
      <c r="K707" t="e">
        <f>NA()</f>
        <v>#N/A</v>
      </c>
      <c r="L707" s="29">
        <v>0.73</v>
      </c>
      <c r="M707" s="29">
        <v>-24.4</v>
      </c>
      <c r="N707" s="29">
        <v>1.0049999999999999</v>
      </c>
      <c r="O707" s="29">
        <v>-24.35</v>
      </c>
      <c r="P707" s="29">
        <v>0.105</v>
      </c>
      <c r="Q707" s="29">
        <v>5.2750000000000004</v>
      </c>
      <c r="R707" s="16">
        <v>1495584000</v>
      </c>
      <c r="S707" s="16" t="s">
        <v>761</v>
      </c>
    </row>
    <row r="708" spans="1:19" ht="16" x14ac:dyDescent="0.2">
      <c r="A708" s="27" t="s">
        <v>763</v>
      </c>
      <c r="B708" s="29">
        <v>0.06</v>
      </c>
      <c r="C708" s="29">
        <v>6.68</v>
      </c>
      <c r="D708" s="28">
        <v>1.48098167</v>
      </c>
      <c r="E708" s="30">
        <v>206923.5949</v>
      </c>
      <c r="F708" s="30">
        <v>367496.74829999998</v>
      </c>
      <c r="G708" s="30" t="s">
        <v>21</v>
      </c>
      <c r="H708" s="45" t="s">
        <v>22</v>
      </c>
      <c r="I708" s="16">
        <v>30</v>
      </c>
      <c r="J708" t="e">
        <f>NA()</f>
        <v>#N/A</v>
      </c>
      <c r="K708" t="e">
        <f>NA()</f>
        <v>#N/A</v>
      </c>
      <c r="L708" s="29">
        <v>0.25</v>
      </c>
      <c r="M708" s="29">
        <v>-23.34</v>
      </c>
      <c r="N708" s="29">
        <v>0.16</v>
      </c>
      <c r="O708" s="29">
        <v>-23</v>
      </c>
      <c r="P708" s="29">
        <v>0.06</v>
      </c>
      <c r="Q708" s="29">
        <v>6.71</v>
      </c>
      <c r="R708" s="16">
        <v>1495584000</v>
      </c>
      <c r="S708" s="16" t="s">
        <v>761</v>
      </c>
    </row>
    <row r="709" spans="1:19" ht="16" x14ac:dyDescent="0.2">
      <c r="A709" s="27" t="s">
        <v>764</v>
      </c>
      <c r="B709" s="29">
        <v>0.26500000000000001</v>
      </c>
      <c r="C709" s="29">
        <v>10.215</v>
      </c>
      <c r="D709" s="28">
        <v>1.5286337750000001</v>
      </c>
      <c r="E709" s="30">
        <v>206923.5949</v>
      </c>
      <c r="F709" s="30">
        <v>367496.74829999998</v>
      </c>
      <c r="G709" s="30" t="s">
        <v>21</v>
      </c>
      <c r="H709" s="45" t="s">
        <v>22</v>
      </c>
      <c r="I709" s="16">
        <v>60</v>
      </c>
      <c r="J709" t="e">
        <f>NA()</f>
        <v>#N/A</v>
      </c>
      <c r="K709" t="e">
        <f>NA()</f>
        <v>#N/A</v>
      </c>
      <c r="L709" s="29" t="s">
        <v>671</v>
      </c>
      <c r="M709" s="29">
        <v>-22.19</v>
      </c>
      <c r="N709" s="29">
        <v>0.1</v>
      </c>
      <c r="O709" s="29">
        <v>-22.44</v>
      </c>
      <c r="P709" s="29">
        <v>0.05</v>
      </c>
      <c r="Q709" s="29">
        <v>8.2799999999999994</v>
      </c>
      <c r="R709" s="16">
        <v>1495584000</v>
      </c>
      <c r="S709" s="16" t="s">
        <v>761</v>
      </c>
    </row>
    <row r="710" spans="1:19" ht="16" x14ac:dyDescent="0.2">
      <c r="A710" s="27" t="s">
        <v>765</v>
      </c>
      <c r="B710" s="29">
        <v>0.05</v>
      </c>
      <c r="C710" s="29">
        <v>2.34</v>
      </c>
      <c r="D710" s="28">
        <v>1.474406946</v>
      </c>
      <c r="E710" s="30">
        <v>206923.5949</v>
      </c>
      <c r="F710" s="30">
        <v>367496.74829999998</v>
      </c>
      <c r="G710" s="30" t="s">
        <v>21</v>
      </c>
      <c r="H710" s="45" t="s">
        <v>22</v>
      </c>
      <c r="I710" s="16">
        <v>100</v>
      </c>
      <c r="J710" t="e">
        <f>NA()</f>
        <v>#N/A</v>
      </c>
      <c r="K710" t="e">
        <f>NA()</f>
        <v>#N/A</v>
      </c>
      <c r="L710" s="29">
        <v>0.11</v>
      </c>
      <c r="M710" s="29">
        <v>-25.73</v>
      </c>
      <c r="N710" s="29">
        <v>0.155</v>
      </c>
      <c r="O710" s="29" t="s">
        <v>671</v>
      </c>
      <c r="P710" s="29">
        <v>5.7500000000000002E-2</v>
      </c>
      <c r="Q710" s="29" t="s">
        <v>671</v>
      </c>
      <c r="R710" s="16">
        <v>1495584000</v>
      </c>
      <c r="S710" s="16" t="s">
        <v>761</v>
      </c>
    </row>
    <row r="711" spans="1:19" ht="16" x14ac:dyDescent="0.2">
      <c r="A711" s="27" t="s">
        <v>766</v>
      </c>
      <c r="B711" s="29">
        <v>0.22</v>
      </c>
      <c r="C711" s="29">
        <v>5.56</v>
      </c>
      <c r="D711" s="28">
        <v>1.1217510449999999</v>
      </c>
      <c r="E711" s="30">
        <v>207130.2776</v>
      </c>
      <c r="F711" s="30">
        <v>366996.86820000003</v>
      </c>
      <c r="G711" s="30" t="s">
        <v>219</v>
      </c>
      <c r="H711" s="45" t="s">
        <v>22</v>
      </c>
      <c r="I711" s="16">
        <v>10</v>
      </c>
      <c r="J711" t="e">
        <f>NA()</f>
        <v>#N/A</v>
      </c>
      <c r="K711" t="e">
        <f>NA()</f>
        <v>#N/A</v>
      </c>
      <c r="L711" s="29">
        <v>1.32</v>
      </c>
      <c r="M711" s="29">
        <v>-26.23</v>
      </c>
      <c r="N711" s="29">
        <v>0.89500000000000002</v>
      </c>
      <c r="O711" s="29">
        <v>-26.274999999999999</v>
      </c>
      <c r="P711" s="29">
        <v>0.21</v>
      </c>
      <c r="Q711" s="29">
        <v>5.2949999999999999</v>
      </c>
      <c r="R711" s="16">
        <v>1496275200</v>
      </c>
      <c r="S711" s="16" t="s">
        <v>767</v>
      </c>
    </row>
    <row r="712" spans="1:19" ht="16" x14ac:dyDescent="0.2">
      <c r="A712" s="27" t="s">
        <v>768</v>
      </c>
      <c r="B712" s="29">
        <v>0.14000000000000001</v>
      </c>
      <c r="C712" s="29">
        <v>7.07</v>
      </c>
      <c r="D712" s="28">
        <v>1.3851659540000001</v>
      </c>
      <c r="E712" s="30">
        <v>207130.2776</v>
      </c>
      <c r="F712" s="30">
        <v>366996.86820000003</v>
      </c>
      <c r="G712" s="30" t="s">
        <v>219</v>
      </c>
      <c r="H712" s="45" t="s">
        <v>22</v>
      </c>
      <c r="I712" s="16">
        <v>20</v>
      </c>
      <c r="J712" t="e">
        <f>NA()</f>
        <v>#N/A</v>
      </c>
      <c r="K712" t="e">
        <f>NA()</f>
        <v>#N/A</v>
      </c>
      <c r="L712" s="29">
        <v>0.72</v>
      </c>
      <c r="M712" s="29">
        <v>-24.38</v>
      </c>
      <c r="N712" s="29">
        <v>1.33</v>
      </c>
      <c r="O712" s="29">
        <v>-24.48</v>
      </c>
      <c r="P712" s="29">
        <v>0.14000000000000001</v>
      </c>
      <c r="Q712" s="29">
        <v>6.35</v>
      </c>
      <c r="R712" s="16">
        <v>1496275200</v>
      </c>
      <c r="S712" s="16" t="s">
        <v>767</v>
      </c>
    </row>
    <row r="713" spans="1:19" ht="16" x14ac:dyDescent="0.2">
      <c r="A713" s="27" t="s">
        <v>769</v>
      </c>
      <c r="B713" s="29">
        <v>0.09</v>
      </c>
      <c r="C713" s="29">
        <v>9.24</v>
      </c>
      <c r="D713" s="28">
        <v>1.407675145</v>
      </c>
      <c r="E713" s="30">
        <v>207130.2776</v>
      </c>
      <c r="F713" s="30">
        <v>366996.86820000003</v>
      </c>
      <c r="G713" s="30" t="s">
        <v>219</v>
      </c>
      <c r="H713" s="45" t="s">
        <v>22</v>
      </c>
      <c r="I713" s="16">
        <v>30</v>
      </c>
      <c r="J713" t="e">
        <f>NA()</f>
        <v>#N/A</v>
      </c>
      <c r="K713" t="e">
        <f>NA()</f>
        <v>#N/A</v>
      </c>
      <c r="L713" s="29">
        <v>0.55000000000000004</v>
      </c>
      <c r="M713" s="29">
        <v>-24.47</v>
      </c>
      <c r="N713" s="29" t="s">
        <v>671</v>
      </c>
      <c r="O713" s="29" t="s">
        <v>671</v>
      </c>
      <c r="P713" s="29">
        <v>0.09</v>
      </c>
      <c r="Q713" s="29">
        <v>5.125</v>
      </c>
      <c r="R713" s="16">
        <v>1496275200</v>
      </c>
      <c r="S713" s="16" t="s">
        <v>767</v>
      </c>
    </row>
    <row r="714" spans="1:19" ht="16" x14ac:dyDescent="0.2">
      <c r="A714" s="27" t="s">
        <v>770</v>
      </c>
      <c r="B714" s="29">
        <v>7.0000000000000007E-2</v>
      </c>
      <c r="C714" s="29">
        <v>5.99</v>
      </c>
      <c r="D714" s="28">
        <v>1.474112227</v>
      </c>
      <c r="E714" s="30">
        <v>207130.2776</v>
      </c>
      <c r="F714" s="30">
        <v>366996.86820000003</v>
      </c>
      <c r="G714" s="30" t="s">
        <v>219</v>
      </c>
      <c r="H714" s="45" t="s">
        <v>22</v>
      </c>
      <c r="I714" s="16">
        <v>60</v>
      </c>
      <c r="J714" t="e">
        <f>NA()</f>
        <v>#N/A</v>
      </c>
      <c r="K714" t="e">
        <f>NA()</f>
        <v>#N/A</v>
      </c>
      <c r="L714" s="29">
        <v>0.14000000000000001</v>
      </c>
      <c r="M714" s="29">
        <v>-24.71</v>
      </c>
      <c r="N714" s="29">
        <v>0.18333333299999999</v>
      </c>
      <c r="O714" s="29">
        <v>-24.693333330000002</v>
      </c>
      <c r="P714" s="29">
        <v>7.3333333000000001E-2</v>
      </c>
      <c r="Q714" s="29">
        <v>2.82</v>
      </c>
      <c r="R714" s="16">
        <v>1496275200</v>
      </c>
      <c r="S714" s="16" t="s">
        <v>767</v>
      </c>
    </row>
    <row r="715" spans="1:19" ht="16" x14ac:dyDescent="0.2">
      <c r="A715" s="27" t="s">
        <v>771</v>
      </c>
      <c r="B715" s="29">
        <v>0.06</v>
      </c>
      <c r="C715" s="29">
        <v>6.76</v>
      </c>
      <c r="D715" s="28">
        <v>1.4463925769999999</v>
      </c>
      <c r="E715" s="30">
        <v>207130.2776</v>
      </c>
      <c r="F715" s="30">
        <v>366996.86820000003</v>
      </c>
      <c r="G715" s="30" t="s">
        <v>219</v>
      </c>
      <c r="H715" s="45" t="s">
        <v>22</v>
      </c>
      <c r="I715" s="16">
        <v>100</v>
      </c>
      <c r="J715" t="e">
        <f>NA()</f>
        <v>#N/A</v>
      </c>
      <c r="K715" t="e">
        <f>NA()</f>
        <v>#N/A</v>
      </c>
      <c r="L715" s="29">
        <v>7.0000000000000007E-2</v>
      </c>
      <c r="M715" s="29">
        <v>-21.63</v>
      </c>
      <c r="N715" s="29">
        <v>0.09</v>
      </c>
      <c r="O715" s="29">
        <v>-24.61</v>
      </c>
      <c r="P715" s="29">
        <v>0.05</v>
      </c>
      <c r="Q715" s="29">
        <v>3.96</v>
      </c>
      <c r="R715" s="16">
        <v>1496275200</v>
      </c>
      <c r="S715" s="16" t="s">
        <v>767</v>
      </c>
    </row>
    <row r="716" spans="1:19" ht="16" x14ac:dyDescent="0.2">
      <c r="A716" s="27" t="s">
        <v>772</v>
      </c>
      <c r="B716" s="29">
        <v>0.16</v>
      </c>
      <c r="C716" s="29">
        <v>8.1999999999999993</v>
      </c>
      <c r="D716" s="28">
        <v>1.2080582550000001</v>
      </c>
      <c r="E716" s="30">
        <v>207422.44510000001</v>
      </c>
      <c r="F716" s="30">
        <v>366364.82120000001</v>
      </c>
      <c r="G716" s="30" t="s">
        <v>34</v>
      </c>
      <c r="H716" s="45" t="s">
        <v>22</v>
      </c>
      <c r="I716" s="16">
        <v>10</v>
      </c>
      <c r="J716" t="e">
        <f>NA()</f>
        <v>#N/A</v>
      </c>
      <c r="K716" t="e">
        <f>NA()</f>
        <v>#N/A</v>
      </c>
      <c r="L716" s="29">
        <v>1.24</v>
      </c>
      <c r="M716" s="29">
        <v>-22.65</v>
      </c>
      <c r="N716" s="29">
        <v>0.98</v>
      </c>
      <c r="O716" s="29">
        <v>-23.01</v>
      </c>
      <c r="P716" s="29">
        <v>0.18</v>
      </c>
      <c r="Q716" s="29">
        <v>6.99</v>
      </c>
      <c r="R716" s="16">
        <v>1496361600</v>
      </c>
      <c r="S716" s="16" t="s">
        <v>773</v>
      </c>
    </row>
    <row r="717" spans="1:19" ht="16" x14ac:dyDescent="0.2">
      <c r="A717" s="27" t="s">
        <v>774</v>
      </c>
      <c r="B717" s="29">
        <v>0.13</v>
      </c>
      <c r="C717" s="29">
        <v>7.35</v>
      </c>
      <c r="D717" s="28">
        <v>1.3424274359999999</v>
      </c>
      <c r="E717" s="30">
        <v>207422.44510000001</v>
      </c>
      <c r="F717" s="30">
        <v>366364.82120000001</v>
      </c>
      <c r="G717" s="30" t="s">
        <v>34</v>
      </c>
      <c r="H717" s="45" t="s">
        <v>22</v>
      </c>
      <c r="I717" s="16">
        <v>20</v>
      </c>
      <c r="J717" t="e">
        <f>NA()</f>
        <v>#N/A</v>
      </c>
      <c r="K717" t="e">
        <f>NA()</f>
        <v>#N/A</v>
      </c>
      <c r="L717" s="29">
        <v>0.72</v>
      </c>
      <c r="M717" s="29">
        <v>-24.32</v>
      </c>
      <c r="N717" s="29">
        <v>0.96</v>
      </c>
      <c r="O717" s="29">
        <v>-24.18</v>
      </c>
      <c r="P717" s="29">
        <v>0.13</v>
      </c>
      <c r="Q717" s="29">
        <v>4.8099999999999996</v>
      </c>
      <c r="R717" s="16">
        <v>1496361600</v>
      </c>
      <c r="S717" s="16" t="s">
        <v>773</v>
      </c>
    </row>
    <row r="718" spans="1:19" ht="16" x14ac:dyDescent="0.2">
      <c r="A718" s="27" t="s">
        <v>775</v>
      </c>
      <c r="B718" s="29">
        <v>0.1</v>
      </c>
      <c r="C718" s="29">
        <v>7.46</v>
      </c>
      <c r="D718" s="28">
        <v>1.476340518</v>
      </c>
      <c r="E718" s="30">
        <v>207422.44510000001</v>
      </c>
      <c r="F718" s="30">
        <v>366364.82120000001</v>
      </c>
      <c r="G718" s="30" t="s">
        <v>34</v>
      </c>
      <c r="H718" s="45" t="s">
        <v>22</v>
      </c>
      <c r="I718" s="16">
        <v>30</v>
      </c>
      <c r="J718" t="e">
        <f>NA()</f>
        <v>#N/A</v>
      </c>
      <c r="K718" t="e">
        <f>NA()</f>
        <v>#N/A</v>
      </c>
      <c r="L718" s="29">
        <v>0.37</v>
      </c>
      <c r="M718" s="29">
        <v>-24.63</v>
      </c>
      <c r="N718" s="29">
        <v>0.28000000000000003</v>
      </c>
      <c r="O718" s="29">
        <v>-24.5</v>
      </c>
      <c r="P718" s="29">
        <v>0.105</v>
      </c>
      <c r="Q718" s="29">
        <v>7.1550000000000002</v>
      </c>
      <c r="R718" s="16">
        <v>1496361600</v>
      </c>
      <c r="S718" s="16" t="s">
        <v>773</v>
      </c>
    </row>
    <row r="719" spans="1:19" ht="16" x14ac:dyDescent="0.2">
      <c r="A719" s="27" t="s">
        <v>776</v>
      </c>
      <c r="B719" s="29">
        <v>0.06</v>
      </c>
      <c r="C719" s="29">
        <v>9.61</v>
      </c>
      <c r="D719" s="28">
        <v>1.535675181</v>
      </c>
      <c r="E719" s="30">
        <v>207422.44510000001</v>
      </c>
      <c r="F719" s="30">
        <v>366364.82120000001</v>
      </c>
      <c r="G719" s="30" t="s">
        <v>34</v>
      </c>
      <c r="H719" s="45" t="s">
        <v>22</v>
      </c>
      <c r="I719" s="16">
        <v>60</v>
      </c>
      <c r="J719" t="e">
        <f>NA()</f>
        <v>#N/A</v>
      </c>
      <c r="K719" t="e">
        <f>NA()</f>
        <v>#N/A</v>
      </c>
      <c r="L719" s="29">
        <v>0.22</v>
      </c>
      <c r="M719" s="29">
        <v>-9.2899999999999991</v>
      </c>
      <c r="N719" s="29">
        <v>0.09</v>
      </c>
      <c r="O719" s="29">
        <v>-25.21</v>
      </c>
      <c r="P719" s="29">
        <v>0.06</v>
      </c>
      <c r="Q719" s="29">
        <v>2.4900000000000002</v>
      </c>
      <c r="R719" s="16">
        <v>1496361600</v>
      </c>
      <c r="S719" s="16" t="s">
        <v>773</v>
      </c>
    </row>
    <row r="720" spans="1:19" ht="16" x14ac:dyDescent="0.2">
      <c r="A720" s="27" t="s">
        <v>777</v>
      </c>
      <c r="B720" s="29">
        <v>0.15</v>
      </c>
      <c r="C720" s="29">
        <v>6.09</v>
      </c>
      <c r="D720" s="28">
        <v>1.248331004</v>
      </c>
      <c r="E720" s="30">
        <v>209868.28159999999</v>
      </c>
      <c r="F720" s="30">
        <v>370198.27370000002</v>
      </c>
      <c r="G720" s="30" t="s">
        <v>285</v>
      </c>
      <c r="H720" s="45" t="s">
        <v>22</v>
      </c>
      <c r="I720" s="16">
        <v>10</v>
      </c>
      <c r="J720" t="e">
        <f>NA()</f>
        <v>#N/A</v>
      </c>
      <c r="K720" t="e">
        <f>NA()</f>
        <v>#N/A</v>
      </c>
      <c r="L720" s="29">
        <v>0.87</v>
      </c>
      <c r="M720" s="29">
        <v>-22.71</v>
      </c>
      <c r="N720" s="29">
        <v>0.62</v>
      </c>
      <c r="O720" s="29">
        <v>-22.72</v>
      </c>
      <c r="P720" s="29">
        <v>0.15</v>
      </c>
      <c r="Q720" s="29">
        <v>7.43</v>
      </c>
      <c r="R720" s="16">
        <v>1496361600</v>
      </c>
      <c r="S720" s="16" t="s">
        <v>725</v>
      </c>
    </row>
    <row r="721" spans="1:19" ht="16" x14ac:dyDescent="0.2">
      <c r="A721" s="27" t="s">
        <v>778</v>
      </c>
      <c r="B721" s="29">
        <v>0.13</v>
      </c>
      <c r="C721" s="29">
        <v>8.08</v>
      </c>
      <c r="D721" s="28">
        <v>1.331036667</v>
      </c>
      <c r="E721" s="30">
        <v>209868.28159999999</v>
      </c>
      <c r="F721" s="30">
        <v>370198.27370000002</v>
      </c>
      <c r="G721" s="30" t="s">
        <v>285</v>
      </c>
      <c r="H721" s="45" t="s">
        <v>22</v>
      </c>
      <c r="I721" s="16">
        <v>20</v>
      </c>
      <c r="J721" t="e">
        <f>NA()</f>
        <v>#N/A</v>
      </c>
      <c r="K721" t="e">
        <f>NA()</f>
        <v>#N/A</v>
      </c>
      <c r="L721" s="29">
        <v>0.96</v>
      </c>
      <c r="M721" s="29">
        <v>-23.51</v>
      </c>
      <c r="N721" s="29">
        <v>0.61</v>
      </c>
      <c r="O721" s="29">
        <v>-23.62</v>
      </c>
      <c r="P721" s="29">
        <v>0.13</v>
      </c>
      <c r="Q721" s="29">
        <v>6.415</v>
      </c>
      <c r="R721" s="16">
        <v>1496361600</v>
      </c>
      <c r="S721" s="16" t="s">
        <v>725</v>
      </c>
    </row>
    <row r="722" spans="1:19" ht="16" x14ac:dyDescent="0.2">
      <c r="A722" s="27" t="s">
        <v>779</v>
      </c>
      <c r="B722" s="29">
        <v>0.09</v>
      </c>
      <c r="C722" s="29">
        <v>7.95</v>
      </c>
      <c r="D722" s="28">
        <v>1.432543533</v>
      </c>
      <c r="E722" s="30">
        <v>209868.28159999999</v>
      </c>
      <c r="F722" s="30">
        <v>370198.27370000002</v>
      </c>
      <c r="G722" s="30" t="s">
        <v>285</v>
      </c>
      <c r="H722" s="45" t="s">
        <v>22</v>
      </c>
      <c r="I722" s="16">
        <v>30</v>
      </c>
      <c r="J722" t="e">
        <f>NA()</f>
        <v>#N/A</v>
      </c>
      <c r="K722" t="e">
        <f>NA()</f>
        <v>#N/A</v>
      </c>
      <c r="L722" s="29">
        <v>0.56999999999999995</v>
      </c>
      <c r="M722" s="29">
        <v>-24.04</v>
      </c>
      <c r="N722" s="29">
        <v>0.32</v>
      </c>
      <c r="O722" s="29">
        <v>-23.9</v>
      </c>
      <c r="P722" s="29">
        <v>0.09</v>
      </c>
      <c r="Q722" s="29">
        <v>7.65</v>
      </c>
      <c r="R722" s="16">
        <v>1496361600</v>
      </c>
      <c r="S722" s="16" t="s">
        <v>725</v>
      </c>
    </row>
    <row r="723" spans="1:19" ht="16" x14ac:dyDescent="0.2">
      <c r="A723" s="27" t="s">
        <v>780</v>
      </c>
      <c r="B723" s="29">
        <v>4.2500000000000003E-2</v>
      </c>
      <c r="C723" s="29" t="s">
        <v>671</v>
      </c>
      <c r="D723" s="28">
        <v>1.5129011880000001</v>
      </c>
      <c r="E723" s="30">
        <v>209868.28159999999</v>
      </c>
      <c r="F723" s="30">
        <v>370198.27370000002</v>
      </c>
      <c r="G723" s="30" t="s">
        <v>285</v>
      </c>
      <c r="H723" s="45" t="s">
        <v>22</v>
      </c>
      <c r="I723" s="16">
        <v>60</v>
      </c>
      <c r="J723" t="e">
        <f>NA()</f>
        <v>#N/A</v>
      </c>
      <c r="K723" t="e">
        <f>NA()</f>
        <v>#N/A</v>
      </c>
      <c r="L723" s="29">
        <v>0.185</v>
      </c>
      <c r="M723" s="29" t="s">
        <v>671</v>
      </c>
      <c r="N723" s="29">
        <v>5.5E-2</v>
      </c>
      <c r="O723" s="29" t="s">
        <v>671</v>
      </c>
      <c r="P723" s="29">
        <v>0.02</v>
      </c>
      <c r="Q723" s="29">
        <v>8.7799999999999994</v>
      </c>
      <c r="R723" s="16">
        <v>1496361600</v>
      </c>
      <c r="S723" s="16" t="s">
        <v>725</v>
      </c>
    </row>
    <row r="724" spans="1:19" ht="16" x14ac:dyDescent="0.2">
      <c r="A724" s="27" t="s">
        <v>781</v>
      </c>
      <c r="B724" s="29">
        <v>0.04</v>
      </c>
      <c r="C724" s="29">
        <v>8.0299999999999994</v>
      </c>
      <c r="D724" s="28">
        <v>1.5179089480000001</v>
      </c>
      <c r="E724" s="30">
        <v>209868.28159999999</v>
      </c>
      <c r="F724" s="30">
        <v>370198.27370000002</v>
      </c>
      <c r="G724" s="30" t="s">
        <v>285</v>
      </c>
      <c r="H724" s="45" t="s">
        <v>22</v>
      </c>
      <c r="I724" s="16">
        <v>100</v>
      </c>
      <c r="J724" t="e">
        <f>NA()</f>
        <v>#N/A</v>
      </c>
      <c r="K724" t="e">
        <f>NA()</f>
        <v>#N/A</v>
      </c>
      <c r="L724" s="29">
        <v>0.1</v>
      </c>
      <c r="M724" s="29">
        <v>-23.3</v>
      </c>
      <c r="N724" s="29">
        <v>0.1</v>
      </c>
      <c r="O724" s="29">
        <v>-24.27</v>
      </c>
      <c r="P724" s="29">
        <v>0.04</v>
      </c>
      <c r="Q724" s="29">
        <v>4.41</v>
      </c>
      <c r="R724" s="16">
        <v>1496361600</v>
      </c>
      <c r="S724" s="16" t="s">
        <v>725</v>
      </c>
    </row>
    <row r="725" spans="1:19" ht="16" x14ac:dyDescent="0.2">
      <c r="A725" s="27" t="s">
        <v>782</v>
      </c>
      <c r="B725" s="29">
        <v>0.1</v>
      </c>
      <c r="C725" s="29">
        <v>5.22</v>
      </c>
      <c r="D725" s="28">
        <v>1.4660064589999999</v>
      </c>
      <c r="E725" s="30">
        <v>208112.63140000001</v>
      </c>
      <c r="F725" s="30">
        <v>365496.48340000003</v>
      </c>
      <c r="G725" s="30" t="s">
        <v>623</v>
      </c>
      <c r="H725" s="45" t="s">
        <v>22</v>
      </c>
      <c r="I725" s="16">
        <v>10</v>
      </c>
      <c r="J725" t="e">
        <f>NA()</f>
        <v>#N/A</v>
      </c>
      <c r="K725" t="e">
        <f>NA()</f>
        <v>#N/A</v>
      </c>
      <c r="L725" s="29">
        <v>0.54</v>
      </c>
      <c r="M725" s="29">
        <v>-21.15</v>
      </c>
      <c r="N725" s="29">
        <v>0.33</v>
      </c>
      <c r="O725" s="29">
        <v>-21.4</v>
      </c>
      <c r="P725" s="29">
        <v>0.09</v>
      </c>
      <c r="Q725" s="29">
        <v>5.32</v>
      </c>
      <c r="R725" s="16">
        <v>1496793600</v>
      </c>
      <c r="S725" s="16" t="s">
        <v>731</v>
      </c>
    </row>
    <row r="726" spans="1:19" ht="16" x14ac:dyDescent="0.2">
      <c r="A726" s="27" t="s">
        <v>783</v>
      </c>
      <c r="B726" s="29">
        <v>0.09</v>
      </c>
      <c r="C726" s="29">
        <v>6.61</v>
      </c>
      <c r="D726" s="28">
        <v>1.435198392</v>
      </c>
      <c r="E726" s="30">
        <v>208112.63140000001</v>
      </c>
      <c r="F726" s="30">
        <v>365496.48340000003</v>
      </c>
      <c r="G726" s="30" t="s">
        <v>623</v>
      </c>
      <c r="H726" s="45" t="s">
        <v>22</v>
      </c>
      <c r="I726" s="16">
        <v>20</v>
      </c>
      <c r="J726" t="e">
        <f>NA()</f>
        <v>#N/A</v>
      </c>
      <c r="K726" t="e">
        <f>NA()</f>
        <v>#N/A</v>
      </c>
      <c r="L726" s="29">
        <v>0.62</v>
      </c>
      <c r="M726" s="29">
        <v>-20.164999999999999</v>
      </c>
      <c r="N726" s="29">
        <v>1.1299999999999999</v>
      </c>
      <c r="O726" s="29">
        <v>-21.89</v>
      </c>
      <c r="P726" s="29">
        <v>0.09</v>
      </c>
      <c r="Q726" s="29">
        <v>4.55</v>
      </c>
      <c r="R726" s="16">
        <v>1496793600</v>
      </c>
      <c r="S726" s="16" t="s">
        <v>731</v>
      </c>
    </row>
    <row r="727" spans="1:19" ht="16" x14ac:dyDescent="0.2">
      <c r="A727" s="27" t="s">
        <v>784</v>
      </c>
      <c r="B727" s="29">
        <v>0.06</v>
      </c>
      <c r="C727" s="29">
        <v>7.25</v>
      </c>
      <c r="D727" s="28">
        <v>1.477807809</v>
      </c>
      <c r="E727" s="30">
        <v>208112.63140000001</v>
      </c>
      <c r="F727" s="30">
        <v>365496.48340000003</v>
      </c>
      <c r="G727" s="30" t="s">
        <v>623</v>
      </c>
      <c r="H727" s="45" t="s">
        <v>22</v>
      </c>
      <c r="I727" s="16">
        <v>30</v>
      </c>
      <c r="J727" t="e">
        <f>NA()</f>
        <v>#N/A</v>
      </c>
      <c r="K727" t="e">
        <f>NA()</f>
        <v>#N/A</v>
      </c>
      <c r="L727" s="29">
        <v>0.32</v>
      </c>
      <c r="M727" s="29">
        <v>-22.43</v>
      </c>
      <c r="N727" s="29">
        <v>0.61</v>
      </c>
      <c r="O727" s="29">
        <v>-22.63</v>
      </c>
      <c r="P727" s="29">
        <v>0.06</v>
      </c>
      <c r="Q727" s="29">
        <v>5.97</v>
      </c>
      <c r="R727" s="16">
        <v>1496793600</v>
      </c>
      <c r="S727" s="16" t="s">
        <v>731</v>
      </c>
    </row>
    <row r="728" spans="1:19" ht="16" x14ac:dyDescent="0.2">
      <c r="A728" s="27" t="s">
        <v>785</v>
      </c>
      <c r="B728" s="29">
        <v>3.5000000000000003E-2</v>
      </c>
      <c r="C728" s="29">
        <v>7.74</v>
      </c>
      <c r="D728" s="28">
        <v>1.4607485529999999</v>
      </c>
      <c r="E728" s="30">
        <v>208112.63140000001</v>
      </c>
      <c r="F728" s="30">
        <v>365496.48340000003</v>
      </c>
      <c r="G728" s="30" t="s">
        <v>623</v>
      </c>
      <c r="H728" s="45" t="s">
        <v>22</v>
      </c>
      <c r="I728" s="16">
        <v>60</v>
      </c>
      <c r="J728" t="e">
        <f>NA()</f>
        <v>#N/A</v>
      </c>
      <c r="K728" t="e">
        <f>NA()</f>
        <v>#N/A</v>
      </c>
      <c r="L728" s="29">
        <v>0.1</v>
      </c>
      <c r="M728" s="29">
        <v>-22.26</v>
      </c>
      <c r="N728" s="29">
        <v>0.16500000000000001</v>
      </c>
      <c r="O728" s="29">
        <v>-22.91</v>
      </c>
      <c r="P728" s="29">
        <v>0.04</v>
      </c>
      <c r="Q728" s="29">
        <v>3.56</v>
      </c>
      <c r="R728" s="16">
        <v>1496793600</v>
      </c>
      <c r="S728" s="16" t="s">
        <v>731</v>
      </c>
    </row>
    <row r="729" spans="1:19" ht="16" x14ac:dyDescent="0.2">
      <c r="A729" s="27" t="s">
        <v>786</v>
      </c>
      <c r="B729" s="29">
        <v>0.03</v>
      </c>
      <c r="C729" s="29" t="s">
        <v>671</v>
      </c>
      <c r="D729" s="28">
        <v>1.521920221</v>
      </c>
      <c r="E729" s="30">
        <v>208112.63140000001</v>
      </c>
      <c r="F729" s="30">
        <v>365496.48340000003</v>
      </c>
      <c r="G729" s="30" t="s">
        <v>623</v>
      </c>
      <c r="H729" s="45" t="s">
        <v>22</v>
      </c>
      <c r="I729" s="16">
        <v>100</v>
      </c>
      <c r="J729" t="e">
        <f>NA()</f>
        <v>#N/A</v>
      </c>
      <c r="K729" t="e">
        <f>NA()</f>
        <v>#N/A</v>
      </c>
      <c r="L729" s="29">
        <v>0.09</v>
      </c>
      <c r="M729" s="29">
        <v>-23.49666667</v>
      </c>
      <c r="N729" s="29">
        <v>0.13</v>
      </c>
      <c r="O729" s="29">
        <v>-24.17</v>
      </c>
      <c r="P729" s="29">
        <v>0.03</v>
      </c>
      <c r="Q729" s="29" t="s">
        <v>671</v>
      </c>
      <c r="R729" s="16">
        <v>1496793600</v>
      </c>
      <c r="S729" s="16" t="s">
        <v>731</v>
      </c>
    </row>
    <row r="730" spans="1:19" ht="16" x14ac:dyDescent="0.2">
      <c r="A730" s="27" t="s">
        <v>787</v>
      </c>
      <c r="B730" s="29">
        <v>0.17</v>
      </c>
      <c r="C730" s="29">
        <v>4.3899999999999997</v>
      </c>
      <c r="D730" s="28">
        <v>1.171608628</v>
      </c>
      <c r="E730" s="30">
        <v>209797.8315</v>
      </c>
      <c r="F730" s="30">
        <v>368638.50109999999</v>
      </c>
      <c r="G730" s="30" t="s">
        <v>55</v>
      </c>
      <c r="H730" s="45" t="s">
        <v>22</v>
      </c>
      <c r="I730" s="16">
        <v>10</v>
      </c>
      <c r="J730" t="e">
        <f>NA()</f>
        <v>#N/A</v>
      </c>
      <c r="K730" t="e">
        <f>NA()</f>
        <v>#N/A</v>
      </c>
      <c r="L730" s="29">
        <v>1.45</v>
      </c>
      <c r="M730" s="29">
        <v>-25.84</v>
      </c>
      <c r="N730" s="29">
        <v>1.54</v>
      </c>
      <c r="O730" s="29">
        <v>-25.945</v>
      </c>
      <c r="P730" s="29">
        <v>0.155</v>
      </c>
      <c r="Q730" s="29">
        <v>5.165</v>
      </c>
      <c r="R730" s="16">
        <v>1509667200</v>
      </c>
      <c r="S730" s="16" t="s">
        <v>737</v>
      </c>
    </row>
    <row r="731" spans="1:19" ht="16" x14ac:dyDescent="0.2">
      <c r="A731" s="27" t="s">
        <v>788</v>
      </c>
      <c r="B731" s="29">
        <v>0.11</v>
      </c>
      <c r="C731" s="29">
        <v>4.9000000000000004</v>
      </c>
      <c r="D731" s="28">
        <v>1.3391747249999999</v>
      </c>
      <c r="E731" s="30">
        <v>209797.8315</v>
      </c>
      <c r="F731" s="30">
        <v>368638.50109999999</v>
      </c>
      <c r="G731" s="30" t="s">
        <v>55</v>
      </c>
      <c r="H731" s="45" t="s">
        <v>22</v>
      </c>
      <c r="I731" s="16">
        <v>20</v>
      </c>
      <c r="J731" t="e">
        <f>NA()</f>
        <v>#N/A</v>
      </c>
      <c r="K731" t="e">
        <f>NA()</f>
        <v>#N/A</v>
      </c>
      <c r="L731" s="29">
        <v>1.1000000000000001</v>
      </c>
      <c r="M731" s="29">
        <v>-25.29</v>
      </c>
      <c r="N731" s="29">
        <v>1.1000000000000001</v>
      </c>
      <c r="O731" s="29">
        <v>-25.54</v>
      </c>
      <c r="P731" s="29">
        <v>0.1</v>
      </c>
      <c r="Q731" s="29">
        <v>3.73</v>
      </c>
      <c r="R731" s="16">
        <v>1509667200</v>
      </c>
      <c r="S731" s="16" t="s">
        <v>737</v>
      </c>
    </row>
    <row r="732" spans="1:19" ht="16" x14ac:dyDescent="0.2">
      <c r="A732" s="27" t="s">
        <v>789</v>
      </c>
      <c r="B732" s="29">
        <v>8.5000000000000006E-2</v>
      </c>
      <c r="C732" s="29">
        <v>5.7450000000000001</v>
      </c>
      <c r="D732" s="28">
        <v>1.351612888</v>
      </c>
      <c r="E732" s="30">
        <v>209797.8315</v>
      </c>
      <c r="F732" s="30">
        <v>368638.50109999999</v>
      </c>
      <c r="G732" s="30" t="s">
        <v>55</v>
      </c>
      <c r="H732" s="45" t="s">
        <v>22</v>
      </c>
      <c r="I732" s="16">
        <v>30</v>
      </c>
      <c r="J732" t="e">
        <f>NA()</f>
        <v>#N/A</v>
      </c>
      <c r="K732" t="e">
        <f>NA()</f>
        <v>#N/A</v>
      </c>
      <c r="L732" s="29">
        <v>0.78500000000000003</v>
      </c>
      <c r="M732" s="29">
        <v>-24.975000000000001</v>
      </c>
      <c r="N732" s="29">
        <v>0.6</v>
      </c>
      <c r="O732" s="29">
        <v>-25.04</v>
      </c>
      <c r="P732" s="29">
        <v>0.06</v>
      </c>
      <c r="Q732" s="29">
        <v>3.4</v>
      </c>
      <c r="R732" s="16">
        <v>1509667200</v>
      </c>
      <c r="S732" s="16" t="s">
        <v>737</v>
      </c>
    </row>
    <row r="733" spans="1:19" ht="16" x14ac:dyDescent="0.2">
      <c r="A733" s="27" t="s">
        <v>790</v>
      </c>
      <c r="B733" s="29">
        <v>0.05</v>
      </c>
      <c r="C733" s="29">
        <v>5.12</v>
      </c>
      <c r="D733" s="28">
        <v>1.3359117970000001</v>
      </c>
      <c r="E733" s="30">
        <v>209797.8315</v>
      </c>
      <c r="F733" s="30">
        <v>368638.50109999999</v>
      </c>
      <c r="G733" s="30" t="s">
        <v>55</v>
      </c>
      <c r="H733" s="45" t="s">
        <v>22</v>
      </c>
      <c r="I733" s="16">
        <v>60</v>
      </c>
      <c r="J733" t="e">
        <f>NA()</f>
        <v>#N/A</v>
      </c>
      <c r="K733" t="e">
        <f>NA()</f>
        <v>#N/A</v>
      </c>
      <c r="L733" s="29">
        <v>0.31</v>
      </c>
      <c r="M733" s="29">
        <v>-23.82</v>
      </c>
      <c r="N733" s="29">
        <v>0.28499999999999998</v>
      </c>
      <c r="O733" s="29">
        <v>-23.82</v>
      </c>
      <c r="P733" s="29">
        <v>0.05</v>
      </c>
      <c r="Q733" s="29">
        <v>5.43</v>
      </c>
      <c r="R733" s="16">
        <v>1509667200</v>
      </c>
      <c r="S733" s="16" t="s">
        <v>737</v>
      </c>
    </row>
    <row r="734" spans="1:19" ht="16" x14ac:dyDescent="0.2">
      <c r="A734" s="27" t="s">
        <v>791</v>
      </c>
      <c r="B734" s="29">
        <v>0.03</v>
      </c>
      <c r="C734" s="29">
        <v>5.25</v>
      </c>
      <c r="D734" s="28">
        <v>1.392548723</v>
      </c>
      <c r="E734" s="30">
        <v>209797.8315</v>
      </c>
      <c r="F734" s="30">
        <v>368638.50109999999</v>
      </c>
      <c r="G734" s="30" t="s">
        <v>55</v>
      </c>
      <c r="H734" s="45" t="s">
        <v>22</v>
      </c>
      <c r="I734" s="16">
        <v>100</v>
      </c>
      <c r="J734" t="e">
        <f>NA()</f>
        <v>#N/A</v>
      </c>
      <c r="K734" t="e">
        <f>NA()</f>
        <v>#N/A</v>
      </c>
      <c r="L734" s="29">
        <v>0.16</v>
      </c>
      <c r="M734" s="29">
        <v>-24.56</v>
      </c>
      <c r="N734" s="29">
        <v>0.16</v>
      </c>
      <c r="O734" s="29">
        <v>-24.69</v>
      </c>
      <c r="P734" s="29">
        <v>0.04</v>
      </c>
      <c r="Q734" s="29">
        <v>3.69</v>
      </c>
      <c r="R734" s="16">
        <v>1509667200</v>
      </c>
      <c r="S734" s="16" t="s">
        <v>737</v>
      </c>
    </row>
    <row r="735" spans="1:19" ht="16" x14ac:dyDescent="0.2">
      <c r="A735" s="27" t="s">
        <v>792</v>
      </c>
      <c r="B735" s="29">
        <v>0.16500000000000001</v>
      </c>
      <c r="C735" s="29">
        <v>5.335</v>
      </c>
      <c r="D735" s="28">
        <v>1.286618743</v>
      </c>
      <c r="E735" s="30">
        <v>208970.97630000001</v>
      </c>
      <c r="F735" s="30">
        <v>368740.52010000002</v>
      </c>
      <c r="G735" s="30" t="s">
        <v>91</v>
      </c>
      <c r="H735" s="45" t="s">
        <v>22</v>
      </c>
      <c r="I735" s="16">
        <v>10</v>
      </c>
      <c r="J735" t="e">
        <f>NA()</f>
        <v>#N/A</v>
      </c>
      <c r="K735" t="e">
        <f>NA()</f>
        <v>#N/A</v>
      </c>
      <c r="L735" s="29">
        <v>1.5049999999999999</v>
      </c>
      <c r="M735" s="29">
        <v>-25.3</v>
      </c>
      <c r="N735" s="29">
        <v>1.17</v>
      </c>
      <c r="O735" s="29">
        <v>-25.35</v>
      </c>
      <c r="P735" s="29">
        <v>0.13</v>
      </c>
      <c r="Q735" s="29">
        <v>5.69</v>
      </c>
      <c r="R735" s="16">
        <v>1509667200</v>
      </c>
      <c r="S735" s="16" t="s">
        <v>743</v>
      </c>
    </row>
    <row r="736" spans="1:19" ht="16" x14ac:dyDescent="0.2">
      <c r="A736" s="27" t="s">
        <v>793</v>
      </c>
      <c r="B736" s="29">
        <v>0.14000000000000001</v>
      </c>
      <c r="C736" s="29">
        <v>5.25</v>
      </c>
      <c r="D736" s="28">
        <v>1.3637791500000001</v>
      </c>
      <c r="E736" s="30">
        <v>208970.97630000001</v>
      </c>
      <c r="F736" s="30">
        <v>368740.52010000002</v>
      </c>
      <c r="G736" s="30" t="s">
        <v>91</v>
      </c>
      <c r="H736" s="45" t="s">
        <v>22</v>
      </c>
      <c r="I736" s="16">
        <v>20</v>
      </c>
      <c r="J736" t="e">
        <f>NA()</f>
        <v>#N/A</v>
      </c>
      <c r="K736" t="e">
        <f>NA()</f>
        <v>#N/A</v>
      </c>
      <c r="L736" s="29">
        <v>1.25</v>
      </c>
      <c r="M736" s="29">
        <v>-24.63</v>
      </c>
      <c r="N736" s="29">
        <v>1.1850000000000001</v>
      </c>
      <c r="O736" s="29">
        <v>-24.68</v>
      </c>
      <c r="P736" s="29">
        <v>0.13</v>
      </c>
      <c r="Q736" s="29">
        <v>4.915</v>
      </c>
      <c r="R736" s="16">
        <v>1509667200</v>
      </c>
      <c r="S736" s="16" t="s">
        <v>743</v>
      </c>
    </row>
    <row r="737" spans="1:19" ht="16" x14ac:dyDescent="0.2">
      <c r="A737" s="27" t="s">
        <v>794</v>
      </c>
      <c r="B737" s="29">
        <v>0.11</v>
      </c>
      <c r="C737" s="29">
        <v>5.44</v>
      </c>
      <c r="D737" s="28">
        <v>1.467827282</v>
      </c>
      <c r="E737" s="30">
        <v>208970.97630000001</v>
      </c>
      <c r="F737" s="30">
        <v>368740.52010000002</v>
      </c>
      <c r="G737" s="30" t="s">
        <v>91</v>
      </c>
      <c r="H737" s="45" t="s">
        <v>22</v>
      </c>
      <c r="I737" s="16">
        <v>30</v>
      </c>
      <c r="J737" t="e">
        <f>NA()</f>
        <v>#N/A</v>
      </c>
      <c r="K737" t="e">
        <f>NA()</f>
        <v>#N/A</v>
      </c>
      <c r="L737" s="29">
        <v>0.91</v>
      </c>
      <c r="M737" s="29">
        <v>-24.4</v>
      </c>
      <c r="N737" s="29">
        <v>0.89</v>
      </c>
      <c r="O737" s="29">
        <v>-24.364999999999998</v>
      </c>
      <c r="P737" s="29">
        <v>0.105</v>
      </c>
      <c r="Q737" s="29">
        <v>5.56</v>
      </c>
      <c r="R737" s="16">
        <v>1509667200</v>
      </c>
      <c r="S737" s="16" t="s">
        <v>743</v>
      </c>
    </row>
    <row r="738" spans="1:19" ht="16" x14ac:dyDescent="0.2">
      <c r="A738" s="27" t="s">
        <v>795</v>
      </c>
      <c r="B738" s="29">
        <v>0.06</v>
      </c>
      <c r="C738" s="29">
        <v>4.3550000000000004</v>
      </c>
      <c r="D738" s="28">
        <v>1.5145853220000001</v>
      </c>
      <c r="E738" s="30">
        <v>208970.97630000001</v>
      </c>
      <c r="F738" s="30">
        <v>368740.52010000002</v>
      </c>
      <c r="G738" s="30" t="s">
        <v>91</v>
      </c>
      <c r="H738" s="45" t="s">
        <v>22</v>
      </c>
      <c r="I738" s="16">
        <v>60</v>
      </c>
      <c r="J738" t="e">
        <f>NA()</f>
        <v>#N/A</v>
      </c>
      <c r="K738" t="e">
        <f>NA()</f>
        <v>#N/A</v>
      </c>
      <c r="L738" s="29">
        <v>0.20499999999999999</v>
      </c>
      <c r="M738" s="29">
        <v>-24.89</v>
      </c>
      <c r="N738" s="29">
        <v>0.21</v>
      </c>
      <c r="O738" s="29">
        <v>-24.65</v>
      </c>
      <c r="P738" s="29">
        <v>0.06</v>
      </c>
      <c r="Q738" s="29">
        <v>4.21</v>
      </c>
      <c r="R738" s="16">
        <v>1509667200</v>
      </c>
      <c r="S738" s="16" t="s">
        <v>743</v>
      </c>
    </row>
    <row r="739" spans="1:19" ht="16" x14ac:dyDescent="0.2">
      <c r="A739" s="27" t="s">
        <v>796</v>
      </c>
      <c r="B739" s="29">
        <v>0.05</v>
      </c>
      <c r="C739" s="29">
        <v>4.21</v>
      </c>
      <c r="D739" s="28">
        <v>1.483293057</v>
      </c>
      <c r="E739" s="30">
        <v>208970.97630000001</v>
      </c>
      <c r="F739" s="30">
        <v>368740.52010000002</v>
      </c>
      <c r="G739" s="30" t="s">
        <v>91</v>
      </c>
      <c r="H739" s="45" t="s">
        <v>22</v>
      </c>
      <c r="I739" s="16">
        <v>100</v>
      </c>
      <c r="J739" t="e">
        <f>NA()</f>
        <v>#N/A</v>
      </c>
      <c r="K739" t="e">
        <f>NA()</f>
        <v>#N/A</v>
      </c>
      <c r="L739" s="29">
        <v>0.14000000000000001</v>
      </c>
      <c r="M739" s="29">
        <v>-25.14</v>
      </c>
      <c r="N739" s="29">
        <v>0.15</v>
      </c>
      <c r="O739" s="29">
        <v>-25.28</v>
      </c>
      <c r="P739" s="29">
        <v>0.06</v>
      </c>
      <c r="Q739" s="29">
        <v>3.48</v>
      </c>
      <c r="R739" s="16">
        <v>1509667200</v>
      </c>
      <c r="S739" s="16" t="s">
        <v>743</v>
      </c>
    </row>
    <row r="740" spans="1:19" ht="16" x14ac:dyDescent="0.2">
      <c r="A740" s="27" t="s">
        <v>797</v>
      </c>
      <c r="B740" s="29">
        <v>0.17</v>
      </c>
      <c r="C740" s="29">
        <v>5.9</v>
      </c>
      <c r="D740" s="28">
        <v>1.4189024530000001</v>
      </c>
      <c r="E740" s="30">
        <v>209274.8651</v>
      </c>
      <c r="F740" s="30">
        <v>368851.03860000003</v>
      </c>
      <c r="G740" s="30" t="s">
        <v>125</v>
      </c>
      <c r="H740" s="45" t="s">
        <v>22</v>
      </c>
      <c r="I740" s="16">
        <v>10</v>
      </c>
      <c r="J740" t="e">
        <f>NA()</f>
        <v>#N/A</v>
      </c>
      <c r="K740" t="e">
        <f>NA()</f>
        <v>#N/A</v>
      </c>
      <c r="L740" s="29">
        <v>1.59</v>
      </c>
      <c r="M740" s="29">
        <v>-24.66</v>
      </c>
      <c r="N740" s="29">
        <v>1.46</v>
      </c>
      <c r="O740" s="29">
        <v>-24.44</v>
      </c>
      <c r="P740" s="29">
        <v>0.16</v>
      </c>
      <c r="Q740" s="29">
        <v>6.2</v>
      </c>
      <c r="R740" s="16">
        <v>1509667200</v>
      </c>
      <c r="S740" s="16" t="s">
        <v>749</v>
      </c>
    </row>
    <row r="741" spans="1:19" ht="16" x14ac:dyDescent="0.2">
      <c r="A741" s="27" t="s">
        <v>798</v>
      </c>
      <c r="B741" s="29">
        <v>0.14499999999999999</v>
      </c>
      <c r="C741" s="29">
        <v>5.84</v>
      </c>
      <c r="D741" s="28">
        <v>1.5091406220000001</v>
      </c>
      <c r="E741" s="30">
        <v>209274.8651</v>
      </c>
      <c r="F741" s="30">
        <v>368851.03860000003</v>
      </c>
      <c r="G741" s="30" t="s">
        <v>125</v>
      </c>
      <c r="H741" s="45" t="s">
        <v>22</v>
      </c>
      <c r="I741" s="16">
        <v>20</v>
      </c>
      <c r="J741" t="e">
        <f>NA()</f>
        <v>#N/A</v>
      </c>
      <c r="K741" t="e">
        <f>NA()</f>
        <v>#N/A</v>
      </c>
      <c r="L741" s="29">
        <v>1.3</v>
      </c>
      <c r="M741" s="29">
        <v>-24.44</v>
      </c>
      <c r="N741" s="29">
        <v>1.1399999999999999</v>
      </c>
      <c r="O741" s="29">
        <v>-24.45</v>
      </c>
      <c r="P741" s="29">
        <v>0.13</v>
      </c>
      <c r="Q741" s="29">
        <v>5.88</v>
      </c>
      <c r="R741" s="16">
        <v>1509667200</v>
      </c>
      <c r="S741" s="16" t="s">
        <v>749</v>
      </c>
    </row>
    <row r="742" spans="1:19" ht="16" x14ac:dyDescent="0.2">
      <c r="A742" s="27" t="s">
        <v>799</v>
      </c>
      <c r="B742" s="29">
        <v>0.11</v>
      </c>
      <c r="C742" s="29">
        <v>6.36</v>
      </c>
      <c r="D742" s="28">
        <v>1.519453881</v>
      </c>
      <c r="E742" s="30">
        <v>209274.8651</v>
      </c>
      <c r="F742" s="30">
        <v>368851.03860000003</v>
      </c>
      <c r="G742" s="30" t="s">
        <v>125</v>
      </c>
      <c r="H742" s="45" t="s">
        <v>22</v>
      </c>
      <c r="I742" s="16">
        <v>30</v>
      </c>
      <c r="J742" t="e">
        <f>NA()</f>
        <v>#N/A</v>
      </c>
      <c r="K742" t="e">
        <f>NA()</f>
        <v>#N/A</v>
      </c>
      <c r="L742" s="29">
        <v>0.89</v>
      </c>
      <c r="M742" s="29">
        <v>-24.53</v>
      </c>
      <c r="N742" s="29">
        <v>0.86</v>
      </c>
      <c r="O742" s="29">
        <v>-24.38</v>
      </c>
      <c r="P742" s="29">
        <v>0.11</v>
      </c>
      <c r="Q742" s="29">
        <v>6.48</v>
      </c>
      <c r="R742" s="16">
        <v>1509667200</v>
      </c>
      <c r="S742" s="16" t="s">
        <v>749</v>
      </c>
    </row>
    <row r="743" spans="1:19" ht="16" x14ac:dyDescent="0.2">
      <c r="A743" s="27" t="s">
        <v>800</v>
      </c>
      <c r="B743" s="29">
        <v>0.09</v>
      </c>
      <c r="C743" s="29">
        <v>4.0599999999999996</v>
      </c>
      <c r="D743" s="28">
        <v>1.5463518650000001</v>
      </c>
      <c r="E743" s="30">
        <v>209274.8651</v>
      </c>
      <c r="F743" s="30">
        <v>368851.03860000003</v>
      </c>
      <c r="G743" s="30" t="s">
        <v>125</v>
      </c>
      <c r="H743" s="45" t="s">
        <v>22</v>
      </c>
      <c r="I743" s="16">
        <v>60</v>
      </c>
      <c r="J743" t="e">
        <f>NA()</f>
        <v>#N/A</v>
      </c>
      <c r="K743" t="e">
        <f>NA()</f>
        <v>#N/A</v>
      </c>
      <c r="L743" s="29">
        <v>0.34</v>
      </c>
      <c r="M743" s="29">
        <v>-25.17</v>
      </c>
      <c r="N743" s="29">
        <v>0.31</v>
      </c>
      <c r="O743" s="29">
        <v>-24.88</v>
      </c>
      <c r="P743" s="29">
        <v>0.09</v>
      </c>
      <c r="Q743" s="29">
        <v>3.93</v>
      </c>
      <c r="R743" s="16">
        <v>1509667200</v>
      </c>
      <c r="S743" s="16" t="s">
        <v>749</v>
      </c>
    </row>
    <row r="744" spans="1:19" ht="16" x14ac:dyDescent="0.2">
      <c r="A744" s="27" t="s">
        <v>801</v>
      </c>
      <c r="B744" s="29">
        <v>6.6666666999999999E-2</v>
      </c>
      <c r="C744" s="29">
        <v>3.6666666669999999</v>
      </c>
      <c r="D744" s="28">
        <v>1.485241061</v>
      </c>
      <c r="E744" s="30">
        <v>209274.8651</v>
      </c>
      <c r="F744" s="30">
        <v>368851.03860000003</v>
      </c>
      <c r="G744" s="30" t="s">
        <v>125</v>
      </c>
      <c r="H744" s="45" t="s">
        <v>22</v>
      </c>
      <c r="I744" s="16">
        <v>100</v>
      </c>
      <c r="J744" t="e">
        <f>NA()</f>
        <v>#N/A</v>
      </c>
      <c r="K744" t="e">
        <f>NA()</f>
        <v>#N/A</v>
      </c>
      <c r="L744" s="29">
        <v>0.176666667</v>
      </c>
      <c r="M744" s="29">
        <v>-24.45</v>
      </c>
      <c r="N744" s="29">
        <v>0.14000000000000001</v>
      </c>
      <c r="O744" s="29">
        <v>-24.855</v>
      </c>
      <c r="P744" s="29">
        <v>7.0000000000000007E-2</v>
      </c>
      <c r="Q744" s="29">
        <v>3.7</v>
      </c>
      <c r="R744" s="16">
        <v>1509667200</v>
      </c>
      <c r="S744" s="16" t="s">
        <v>749</v>
      </c>
    </row>
    <row r="745" spans="1:19" ht="16" x14ac:dyDescent="0.2">
      <c r="A745" s="27" t="s">
        <v>802</v>
      </c>
      <c r="B745" s="29">
        <v>0.26</v>
      </c>
      <c r="C745" s="29">
        <v>6.95</v>
      </c>
      <c r="D745" s="28">
        <v>1.2435350409999999</v>
      </c>
      <c r="E745" s="30">
        <v>204909.54329999999</v>
      </c>
      <c r="F745" s="30">
        <v>366099.93910000002</v>
      </c>
      <c r="G745" s="30" t="s">
        <v>159</v>
      </c>
      <c r="H745" s="45" t="s">
        <v>22</v>
      </c>
      <c r="I745" s="16">
        <v>10</v>
      </c>
      <c r="J745" t="e">
        <f>NA()</f>
        <v>#N/A</v>
      </c>
      <c r="K745" t="e">
        <f>NA()</f>
        <v>#N/A</v>
      </c>
      <c r="L745" s="29">
        <v>2.56</v>
      </c>
      <c r="M745" s="29">
        <v>-22.75</v>
      </c>
      <c r="N745" s="29">
        <v>1.32</v>
      </c>
      <c r="O745" s="29">
        <v>-22.58</v>
      </c>
      <c r="P745" s="29">
        <v>0.17</v>
      </c>
      <c r="Q745" s="29">
        <v>6.65</v>
      </c>
      <c r="R745" s="16">
        <v>1510185600</v>
      </c>
      <c r="S745" s="16" t="s">
        <v>755</v>
      </c>
    </row>
    <row r="746" spans="1:19" ht="16" x14ac:dyDescent="0.2">
      <c r="A746" s="27" t="s">
        <v>803</v>
      </c>
      <c r="B746" s="29">
        <v>0.25</v>
      </c>
      <c r="C746" s="29">
        <v>6.83</v>
      </c>
      <c r="D746" s="28">
        <v>1.2081477810000001</v>
      </c>
      <c r="E746" s="30">
        <v>204909.54329999999</v>
      </c>
      <c r="F746" s="30">
        <v>366099.93910000002</v>
      </c>
      <c r="G746" s="30" t="s">
        <v>159</v>
      </c>
      <c r="H746" s="45" t="s">
        <v>22</v>
      </c>
      <c r="I746" s="16">
        <v>20</v>
      </c>
      <c r="J746" t="e">
        <f>NA()</f>
        <v>#N/A</v>
      </c>
      <c r="K746" t="e">
        <f>NA()</f>
        <v>#N/A</v>
      </c>
      <c r="L746" s="29">
        <v>2.41</v>
      </c>
      <c r="M746" s="29">
        <v>-22.66</v>
      </c>
      <c r="N746" s="29">
        <v>2.06</v>
      </c>
      <c r="O746" s="29">
        <v>-22.9</v>
      </c>
      <c r="P746" s="29">
        <v>0.21</v>
      </c>
      <c r="Q746" s="29">
        <v>7.29</v>
      </c>
      <c r="R746" s="16">
        <v>1510185600</v>
      </c>
      <c r="S746" s="16" t="s">
        <v>755</v>
      </c>
    </row>
    <row r="747" spans="1:19" ht="16" x14ac:dyDescent="0.2">
      <c r="A747" s="27" t="s">
        <v>804</v>
      </c>
      <c r="B747" s="29">
        <v>0.155</v>
      </c>
      <c r="C747" s="29">
        <v>6.8650000000000002</v>
      </c>
      <c r="D747" s="28">
        <v>1.3662283180000001</v>
      </c>
      <c r="E747" s="30">
        <v>204909.54329999999</v>
      </c>
      <c r="F747" s="30">
        <v>366099.93910000002</v>
      </c>
      <c r="G747" s="30" t="s">
        <v>159</v>
      </c>
      <c r="H747" s="45" t="s">
        <v>22</v>
      </c>
      <c r="I747" s="16">
        <v>30</v>
      </c>
      <c r="J747" t="e">
        <f>NA()</f>
        <v>#N/A</v>
      </c>
      <c r="K747" t="e">
        <f>NA()</f>
        <v>#N/A</v>
      </c>
      <c r="L747" s="29">
        <v>1.54</v>
      </c>
      <c r="M747" s="29">
        <v>-22.88</v>
      </c>
      <c r="N747" s="29">
        <v>1.23</v>
      </c>
      <c r="O747" s="29">
        <v>-22.84</v>
      </c>
      <c r="P747" s="29">
        <v>0.14000000000000001</v>
      </c>
      <c r="Q747" s="29">
        <v>6.43</v>
      </c>
      <c r="R747" s="16">
        <v>1510185600</v>
      </c>
      <c r="S747" s="16" t="s">
        <v>755</v>
      </c>
    </row>
    <row r="748" spans="1:19" ht="16" x14ac:dyDescent="0.2">
      <c r="A748" s="27" t="s">
        <v>805</v>
      </c>
      <c r="B748" s="29">
        <v>0.1</v>
      </c>
      <c r="C748" s="29">
        <v>4.93</v>
      </c>
      <c r="D748" s="28">
        <v>1.2251709260000001</v>
      </c>
      <c r="E748" s="30">
        <v>204909.54329999999</v>
      </c>
      <c r="F748" s="30">
        <v>366099.93910000002</v>
      </c>
      <c r="G748" s="30" t="s">
        <v>159</v>
      </c>
      <c r="H748" s="45" t="s">
        <v>22</v>
      </c>
      <c r="I748" s="16">
        <v>60</v>
      </c>
      <c r="J748" t="e">
        <f>NA()</f>
        <v>#N/A</v>
      </c>
      <c r="K748" t="e">
        <f>NA()</f>
        <v>#N/A</v>
      </c>
      <c r="L748" s="29">
        <v>0.86</v>
      </c>
      <c r="M748" s="29">
        <v>-23.53</v>
      </c>
      <c r="N748" s="29">
        <v>0.63</v>
      </c>
      <c r="O748" s="29">
        <v>-23.87</v>
      </c>
      <c r="P748" s="29">
        <v>0.1</v>
      </c>
      <c r="Q748" s="29">
        <v>5.57</v>
      </c>
      <c r="R748" s="16">
        <v>1510185600</v>
      </c>
      <c r="S748" s="16" t="s">
        <v>755</v>
      </c>
    </row>
    <row r="749" spans="1:19" ht="16" x14ac:dyDescent="0.2">
      <c r="A749" s="27" t="s">
        <v>806</v>
      </c>
      <c r="B749" s="29">
        <v>0.05</v>
      </c>
      <c r="C749" s="29">
        <v>4.32</v>
      </c>
      <c r="D749" s="28">
        <v>1.595121657</v>
      </c>
      <c r="E749" s="30">
        <v>204909.54329999999</v>
      </c>
      <c r="F749" s="30">
        <v>366099.93910000002</v>
      </c>
      <c r="G749" s="30" t="s">
        <v>159</v>
      </c>
      <c r="H749" s="45" t="s">
        <v>22</v>
      </c>
      <c r="I749" s="16">
        <v>100</v>
      </c>
      <c r="J749" t="e">
        <f>NA()</f>
        <v>#N/A</v>
      </c>
      <c r="K749" t="e">
        <f>NA()</f>
        <v>#N/A</v>
      </c>
      <c r="L749" s="29">
        <v>0.3</v>
      </c>
      <c r="M749" s="29">
        <v>-23.78</v>
      </c>
      <c r="N749" s="29">
        <v>0.24</v>
      </c>
      <c r="O749" s="29">
        <v>-23.81</v>
      </c>
      <c r="P749" s="29">
        <v>0.05</v>
      </c>
      <c r="Q749" s="29">
        <v>3.6</v>
      </c>
      <c r="R749" s="16">
        <v>1510185600</v>
      </c>
      <c r="S749" s="16" t="s">
        <v>755</v>
      </c>
    </row>
    <row r="750" spans="1:19" ht="16" x14ac:dyDescent="0.2">
      <c r="A750" s="27" t="s">
        <v>807</v>
      </c>
      <c r="B750" s="29">
        <v>0.14499999999999999</v>
      </c>
      <c r="C750" s="29">
        <v>6.0350000000000001</v>
      </c>
      <c r="D750" s="28">
        <v>1.34773904</v>
      </c>
      <c r="E750" s="30">
        <v>206923.5949</v>
      </c>
      <c r="F750" s="30">
        <v>367496.74829999998</v>
      </c>
      <c r="G750" s="30" t="s">
        <v>21</v>
      </c>
      <c r="H750" s="45" t="s">
        <v>22</v>
      </c>
      <c r="I750" s="16">
        <v>10</v>
      </c>
      <c r="J750" t="e">
        <f>NA()</f>
        <v>#N/A</v>
      </c>
      <c r="K750" t="e">
        <f>NA()</f>
        <v>#N/A</v>
      </c>
      <c r="L750" s="29">
        <v>1.29</v>
      </c>
      <c r="M750" s="29">
        <v>-23.15</v>
      </c>
      <c r="N750" s="29">
        <v>1.395</v>
      </c>
      <c r="O750" s="29">
        <v>-22.88</v>
      </c>
      <c r="P750" s="29">
        <v>0.15</v>
      </c>
      <c r="Q750" s="29">
        <v>6.0949999999999998</v>
      </c>
      <c r="R750" s="16">
        <v>1510185600</v>
      </c>
      <c r="S750" s="16" t="s">
        <v>761</v>
      </c>
    </row>
    <row r="751" spans="1:19" ht="16" x14ac:dyDescent="0.2">
      <c r="A751" s="27" t="s">
        <v>808</v>
      </c>
      <c r="B751" s="29">
        <v>0.13</v>
      </c>
      <c r="C751" s="29">
        <v>4.96</v>
      </c>
      <c r="D751" s="28">
        <v>1.299873378</v>
      </c>
      <c r="E751" s="30">
        <v>206923.5949</v>
      </c>
      <c r="F751" s="30">
        <v>367496.74829999998</v>
      </c>
      <c r="G751" s="30" t="s">
        <v>21</v>
      </c>
      <c r="H751" s="45" t="s">
        <v>22</v>
      </c>
      <c r="I751" s="16">
        <v>20</v>
      </c>
      <c r="J751" t="e">
        <f>NA()</f>
        <v>#N/A</v>
      </c>
      <c r="K751" t="e">
        <f>NA()</f>
        <v>#N/A</v>
      </c>
      <c r="L751" s="29">
        <v>1.1599999999999999</v>
      </c>
      <c r="M751" s="29">
        <v>-22.95</v>
      </c>
      <c r="N751" s="29">
        <v>1.07</v>
      </c>
      <c r="O751" s="29">
        <v>-23.2</v>
      </c>
      <c r="P751" s="29">
        <v>0.13</v>
      </c>
      <c r="Q751" s="29">
        <v>5.55</v>
      </c>
      <c r="R751" s="16">
        <v>1510185600</v>
      </c>
      <c r="S751" s="16" t="s">
        <v>761</v>
      </c>
    </row>
    <row r="752" spans="1:19" ht="16" x14ac:dyDescent="0.2">
      <c r="A752" s="27" t="s">
        <v>809</v>
      </c>
      <c r="B752" s="29">
        <v>7.0000000000000007E-2</v>
      </c>
      <c r="C752" s="29">
        <v>5.89</v>
      </c>
      <c r="D752" s="28">
        <v>1.3317963639999999</v>
      </c>
      <c r="E752" s="30">
        <v>206923.5949</v>
      </c>
      <c r="F752" s="30">
        <v>367496.74829999998</v>
      </c>
      <c r="G752" s="30" t="s">
        <v>21</v>
      </c>
      <c r="H752" s="45" t="s">
        <v>22</v>
      </c>
      <c r="I752" s="16">
        <v>30</v>
      </c>
      <c r="J752" t="e">
        <f>NA()</f>
        <v>#N/A</v>
      </c>
      <c r="K752" t="e">
        <f>NA()</f>
        <v>#N/A</v>
      </c>
      <c r="L752" s="29">
        <v>0.42</v>
      </c>
      <c r="M752" s="29">
        <v>-23.44</v>
      </c>
      <c r="N752" s="29">
        <v>0.46</v>
      </c>
      <c r="O752" s="29">
        <v>-23.62</v>
      </c>
      <c r="P752" s="29">
        <v>7.0000000000000007E-2</v>
      </c>
      <c r="Q752" s="29">
        <v>4.87</v>
      </c>
      <c r="R752" s="16">
        <v>1510185600</v>
      </c>
      <c r="S752" s="16" t="s">
        <v>761</v>
      </c>
    </row>
    <row r="753" spans="1:19" ht="16" x14ac:dyDescent="0.2">
      <c r="A753" s="27" t="s">
        <v>810</v>
      </c>
      <c r="B753" s="29">
        <v>0.05</v>
      </c>
      <c r="C753" s="29">
        <v>5.0549999999999997</v>
      </c>
      <c r="D753" s="28">
        <v>1.531759758</v>
      </c>
      <c r="E753" s="30">
        <v>206923.5949</v>
      </c>
      <c r="F753" s="30">
        <v>367496.74829999998</v>
      </c>
      <c r="G753" s="30" t="s">
        <v>21</v>
      </c>
      <c r="H753" s="45" t="s">
        <v>22</v>
      </c>
      <c r="I753" s="16">
        <v>60</v>
      </c>
      <c r="J753" t="e">
        <f>NA()</f>
        <v>#N/A</v>
      </c>
      <c r="K753" t="e">
        <f>NA()</f>
        <v>#N/A</v>
      </c>
      <c r="L753" s="29">
        <v>0.16500000000000001</v>
      </c>
      <c r="M753" s="29">
        <v>-23.515000000000001</v>
      </c>
      <c r="N753" s="29">
        <v>0.16</v>
      </c>
      <c r="O753" s="29">
        <v>-23.54</v>
      </c>
      <c r="P753" s="29">
        <v>0.05</v>
      </c>
      <c r="Q753" s="29">
        <v>3.99</v>
      </c>
      <c r="R753" s="16">
        <v>1510185600</v>
      </c>
      <c r="S753" s="16" t="s">
        <v>761</v>
      </c>
    </row>
    <row r="754" spans="1:19" ht="16" x14ac:dyDescent="0.2">
      <c r="A754" s="27" t="s">
        <v>811</v>
      </c>
      <c r="B754" s="29">
        <v>0.05</v>
      </c>
      <c r="C754" s="29">
        <v>4.6150000000000002</v>
      </c>
      <c r="D754" s="28">
        <v>1.4488274320000001</v>
      </c>
      <c r="E754" s="30">
        <v>206923.5949</v>
      </c>
      <c r="F754" s="30">
        <v>367496.74829999998</v>
      </c>
      <c r="G754" s="30" t="s">
        <v>21</v>
      </c>
      <c r="H754" s="45" t="s">
        <v>22</v>
      </c>
      <c r="I754" s="16">
        <v>100</v>
      </c>
      <c r="J754" t="e">
        <f>NA()</f>
        <v>#N/A</v>
      </c>
      <c r="K754" t="e">
        <f>NA()</f>
        <v>#N/A</v>
      </c>
      <c r="L754" s="29">
        <v>0.15</v>
      </c>
      <c r="M754" s="29">
        <v>-24.315000000000001</v>
      </c>
      <c r="N754" s="29">
        <v>0.155</v>
      </c>
      <c r="O754" s="29">
        <v>-24.34</v>
      </c>
      <c r="P754" s="29">
        <v>5.5E-2</v>
      </c>
      <c r="Q754" s="29">
        <v>3.75</v>
      </c>
      <c r="R754" s="16">
        <v>1510185600</v>
      </c>
      <c r="S754" s="16" t="s">
        <v>761</v>
      </c>
    </row>
    <row r="755" spans="1:19" ht="16" x14ac:dyDescent="0.2">
      <c r="A755" s="27" t="s">
        <v>812</v>
      </c>
      <c r="B755" s="29">
        <v>0.31</v>
      </c>
      <c r="C755" s="29">
        <v>5.17</v>
      </c>
      <c r="D755" s="28">
        <v>0.91494356600000004</v>
      </c>
      <c r="E755" s="30">
        <v>207130.2776</v>
      </c>
      <c r="F755" s="30">
        <v>366996.86820000003</v>
      </c>
      <c r="G755" s="30" t="s">
        <v>219</v>
      </c>
      <c r="H755" s="45" t="s">
        <v>22</v>
      </c>
      <c r="I755" s="16">
        <v>10</v>
      </c>
      <c r="J755" t="e">
        <f>NA()</f>
        <v>#N/A</v>
      </c>
      <c r="K755" t="e">
        <f>NA()</f>
        <v>#N/A</v>
      </c>
      <c r="L755" s="29">
        <v>2.48</v>
      </c>
      <c r="M755" s="29">
        <v>-26.29</v>
      </c>
      <c r="N755" s="29">
        <v>2.34</v>
      </c>
      <c r="O755" s="29">
        <v>-26.64</v>
      </c>
      <c r="P755" s="29">
        <v>0.28000000000000003</v>
      </c>
      <c r="Q755" s="29">
        <v>5.49</v>
      </c>
      <c r="R755" s="16">
        <v>1510012800</v>
      </c>
      <c r="S755" s="16" t="s">
        <v>767</v>
      </c>
    </row>
    <row r="756" spans="1:19" ht="16" x14ac:dyDescent="0.2">
      <c r="A756" s="27" t="s">
        <v>813</v>
      </c>
      <c r="B756" s="29">
        <v>0.185</v>
      </c>
      <c r="C756" s="29">
        <v>6.23</v>
      </c>
      <c r="D756" s="28">
        <v>1.1289997009999999</v>
      </c>
      <c r="E756" s="30">
        <v>207130.2776</v>
      </c>
      <c r="F756" s="30">
        <v>366996.86820000003</v>
      </c>
      <c r="G756" s="30" t="s">
        <v>219</v>
      </c>
      <c r="H756" s="45" t="s">
        <v>22</v>
      </c>
      <c r="I756" s="16">
        <v>20</v>
      </c>
      <c r="J756" t="e">
        <f>NA()</f>
        <v>#N/A</v>
      </c>
      <c r="K756" t="e">
        <f>NA()</f>
        <v>#N/A</v>
      </c>
      <c r="L756" s="29">
        <v>1.4550000000000001</v>
      </c>
      <c r="M756" s="29">
        <v>-24.795000000000002</v>
      </c>
      <c r="N756" s="29">
        <v>1.42</v>
      </c>
      <c r="O756" s="29">
        <v>-25.02</v>
      </c>
      <c r="P756" s="29">
        <v>0.17</v>
      </c>
      <c r="Q756" s="29">
        <v>6.37</v>
      </c>
      <c r="R756" s="16">
        <v>1510012800</v>
      </c>
      <c r="S756" s="16" t="s">
        <v>767</v>
      </c>
    </row>
    <row r="757" spans="1:19" ht="16" x14ac:dyDescent="0.2">
      <c r="A757" s="27" t="s">
        <v>814</v>
      </c>
      <c r="B757" s="29">
        <v>0.15</v>
      </c>
      <c r="C757" s="29">
        <v>6.7</v>
      </c>
      <c r="D757" s="28">
        <v>1.3940539890000001</v>
      </c>
      <c r="E757" s="30">
        <v>207130.2776</v>
      </c>
      <c r="F757" s="30">
        <v>366996.86820000003</v>
      </c>
      <c r="G757" s="30" t="s">
        <v>219</v>
      </c>
      <c r="H757" s="45" t="s">
        <v>22</v>
      </c>
      <c r="I757" s="16">
        <v>30</v>
      </c>
      <c r="J757" t="e">
        <f>NA()</f>
        <v>#N/A</v>
      </c>
      <c r="K757" t="e">
        <f>NA()</f>
        <v>#N/A</v>
      </c>
      <c r="L757" s="29">
        <v>1.1399999999999999</v>
      </c>
      <c r="M757" s="29">
        <v>-24.12</v>
      </c>
      <c r="N757" s="29">
        <v>1.1766666670000001</v>
      </c>
      <c r="O757" s="29">
        <v>-25.326666670000002</v>
      </c>
      <c r="P757" s="29">
        <v>0.146666667</v>
      </c>
      <c r="Q757" s="29" t="s">
        <v>671</v>
      </c>
      <c r="R757" s="16">
        <v>1510012800</v>
      </c>
      <c r="S757" s="16" t="s">
        <v>767</v>
      </c>
    </row>
    <row r="758" spans="1:19" ht="16" x14ac:dyDescent="0.2">
      <c r="A758" s="27" t="s">
        <v>815</v>
      </c>
      <c r="B758" s="29">
        <v>0.09</v>
      </c>
      <c r="C758" s="29">
        <v>4.28</v>
      </c>
      <c r="D758" s="28">
        <v>1.4209703469999999</v>
      </c>
      <c r="E758" s="30">
        <v>207130.2776</v>
      </c>
      <c r="F758" s="30">
        <v>366996.86820000003</v>
      </c>
      <c r="G758" s="30" t="s">
        <v>219</v>
      </c>
      <c r="H758" s="45" t="s">
        <v>22</v>
      </c>
      <c r="I758" s="16">
        <v>60</v>
      </c>
      <c r="J758" t="e">
        <f>NA()</f>
        <v>#N/A</v>
      </c>
      <c r="K758" t="e">
        <f>NA()</f>
        <v>#N/A</v>
      </c>
      <c r="L758" s="29">
        <v>0.36</v>
      </c>
      <c r="M758" s="29">
        <v>-24.86</v>
      </c>
      <c r="N758" s="29">
        <v>0.36499999999999999</v>
      </c>
      <c r="O758" s="29">
        <v>-25.024999999999999</v>
      </c>
      <c r="P758" s="29">
        <v>8.5000000000000006E-2</v>
      </c>
      <c r="Q758" s="29" t="s">
        <v>671</v>
      </c>
      <c r="R758" s="16">
        <v>1510012800</v>
      </c>
      <c r="S758" s="16" t="s">
        <v>767</v>
      </c>
    </row>
    <row r="759" spans="1:19" ht="16" x14ac:dyDescent="0.2">
      <c r="A759" s="27" t="s">
        <v>816</v>
      </c>
      <c r="B759" s="29">
        <v>0.06</v>
      </c>
      <c r="C759" s="29" t="s">
        <v>671</v>
      </c>
      <c r="D759" s="28">
        <v>1.263578563</v>
      </c>
      <c r="E759" s="30">
        <v>207130.2776</v>
      </c>
      <c r="F759" s="30">
        <v>366996.86820000003</v>
      </c>
      <c r="G759" s="30" t="s">
        <v>219</v>
      </c>
      <c r="H759" s="45" t="s">
        <v>22</v>
      </c>
      <c r="I759" s="16">
        <v>100</v>
      </c>
      <c r="J759" t="e">
        <f>NA()</f>
        <v>#N/A</v>
      </c>
      <c r="K759" t="e">
        <f>NA()</f>
        <v>#N/A</v>
      </c>
      <c r="L759" s="29">
        <v>0.123333333</v>
      </c>
      <c r="M759" s="29">
        <v>-24.973333329999999</v>
      </c>
      <c r="N759" s="29">
        <v>0.12</v>
      </c>
      <c r="O759" s="29">
        <v>-25.36</v>
      </c>
      <c r="P759" s="29">
        <v>6.5000000000000002E-2</v>
      </c>
      <c r="Q759" s="29">
        <v>3.95</v>
      </c>
      <c r="R759" s="16">
        <v>1510012800</v>
      </c>
      <c r="S759" s="16" t="s">
        <v>767</v>
      </c>
    </row>
    <row r="760" spans="1:19" ht="16" x14ac:dyDescent="0.2">
      <c r="A760" s="27" t="s">
        <v>817</v>
      </c>
      <c r="B760" s="29">
        <v>0.19</v>
      </c>
      <c r="C760" s="29">
        <v>6.34</v>
      </c>
      <c r="D760" s="28">
        <v>1.172517332</v>
      </c>
      <c r="E760" s="30">
        <v>207422.44510000001</v>
      </c>
      <c r="F760" s="30">
        <v>366364.82120000001</v>
      </c>
      <c r="G760" s="30" t="s">
        <v>34</v>
      </c>
      <c r="H760" s="45" t="s">
        <v>22</v>
      </c>
      <c r="I760" s="16">
        <v>10</v>
      </c>
      <c r="J760" t="e">
        <f>NA()</f>
        <v>#N/A</v>
      </c>
      <c r="K760" t="e">
        <f>NA()</f>
        <v>#N/A</v>
      </c>
      <c r="L760" s="29">
        <v>1.62</v>
      </c>
      <c r="M760" s="29">
        <v>-24.03</v>
      </c>
      <c r="N760" s="29">
        <v>1.49</v>
      </c>
      <c r="O760" s="29">
        <v>-24.32</v>
      </c>
      <c r="P760" s="29">
        <v>0.17</v>
      </c>
      <c r="Q760" s="29">
        <v>6.42</v>
      </c>
      <c r="R760" s="16">
        <v>1510012800</v>
      </c>
      <c r="S760" s="16" t="s">
        <v>773</v>
      </c>
    </row>
    <row r="761" spans="1:19" ht="16" x14ac:dyDescent="0.2">
      <c r="A761" s="27" t="s">
        <v>818</v>
      </c>
      <c r="B761" s="29">
        <v>0.19</v>
      </c>
      <c r="C761" s="29">
        <v>6.26</v>
      </c>
      <c r="D761" s="28">
        <v>1.2098211670000001</v>
      </c>
      <c r="E761" s="30">
        <v>207422.44510000001</v>
      </c>
      <c r="F761" s="30">
        <v>366364.82120000001</v>
      </c>
      <c r="G761" s="30" t="s">
        <v>34</v>
      </c>
      <c r="H761" s="45" t="s">
        <v>22</v>
      </c>
      <c r="I761" s="16">
        <v>20</v>
      </c>
      <c r="J761" t="e">
        <f>NA()</f>
        <v>#N/A</v>
      </c>
      <c r="K761" t="e">
        <f>NA()</f>
        <v>#N/A</v>
      </c>
      <c r="L761" s="29">
        <v>1.51</v>
      </c>
      <c r="M761" s="29">
        <v>-23.7</v>
      </c>
      <c r="N761" s="29">
        <v>1.46</v>
      </c>
      <c r="O761" s="29">
        <v>-24.23</v>
      </c>
      <c r="P761" s="29">
        <v>0.17</v>
      </c>
      <c r="Q761" s="29">
        <v>5.73</v>
      </c>
      <c r="R761" s="16">
        <v>1510012800</v>
      </c>
      <c r="S761" s="16" t="s">
        <v>773</v>
      </c>
    </row>
    <row r="762" spans="1:19" ht="16" x14ac:dyDescent="0.2">
      <c r="A762" s="27" t="s">
        <v>819</v>
      </c>
      <c r="B762" s="29">
        <v>0.13</v>
      </c>
      <c r="C762" s="29">
        <v>5.72</v>
      </c>
      <c r="D762" s="28">
        <v>1.1812776979999999</v>
      </c>
      <c r="E762" s="30">
        <v>207422.44510000001</v>
      </c>
      <c r="F762" s="30">
        <v>366364.82120000001</v>
      </c>
      <c r="G762" s="30" t="s">
        <v>34</v>
      </c>
      <c r="H762" s="45" t="s">
        <v>22</v>
      </c>
      <c r="I762" s="16">
        <v>30</v>
      </c>
      <c r="J762" t="e">
        <f>NA()</f>
        <v>#N/A</v>
      </c>
      <c r="K762" t="e">
        <f>NA()</f>
        <v>#N/A</v>
      </c>
      <c r="L762" s="29">
        <v>0.84</v>
      </c>
      <c r="M762" s="29">
        <v>-24.21</v>
      </c>
      <c r="N762" s="29">
        <v>0.77</v>
      </c>
      <c r="O762" s="29">
        <v>-24.63</v>
      </c>
      <c r="P762" s="29">
        <v>0.13</v>
      </c>
      <c r="Q762" s="29">
        <v>4.66</v>
      </c>
      <c r="R762" s="16">
        <v>1510012800</v>
      </c>
      <c r="S762" s="16" t="s">
        <v>773</v>
      </c>
    </row>
    <row r="763" spans="1:19" ht="16" x14ac:dyDescent="0.2">
      <c r="A763" s="27" t="s">
        <v>820</v>
      </c>
      <c r="B763" s="29">
        <v>0.08</v>
      </c>
      <c r="C763" s="29">
        <v>4.28</v>
      </c>
      <c r="D763" s="28">
        <v>1.475033523</v>
      </c>
      <c r="E763" s="30">
        <v>207422.44510000001</v>
      </c>
      <c r="F763" s="30">
        <v>366364.82120000001</v>
      </c>
      <c r="G763" s="30" t="s">
        <v>34</v>
      </c>
      <c r="H763" s="45" t="s">
        <v>22</v>
      </c>
      <c r="I763" s="16">
        <v>60</v>
      </c>
      <c r="J763" t="e">
        <f>NA()</f>
        <v>#N/A</v>
      </c>
      <c r="K763" t="e">
        <f>NA()</f>
        <v>#N/A</v>
      </c>
      <c r="L763" s="29">
        <v>0.19</v>
      </c>
      <c r="M763" s="29">
        <v>-24.16</v>
      </c>
      <c r="N763" s="29">
        <v>0.18666666700000001</v>
      </c>
      <c r="O763" s="29">
        <v>-24.743333329999999</v>
      </c>
      <c r="P763" s="29">
        <v>7.6666666999999994E-2</v>
      </c>
      <c r="Q763" s="29" t="s">
        <v>671</v>
      </c>
      <c r="R763" s="16">
        <v>1510012800</v>
      </c>
      <c r="S763" s="16" t="s">
        <v>773</v>
      </c>
    </row>
    <row r="764" spans="1:19" ht="16" x14ac:dyDescent="0.2">
      <c r="A764" s="32" t="s">
        <v>821</v>
      </c>
      <c r="B764" s="35">
        <v>0.06</v>
      </c>
      <c r="C764" s="35">
        <v>3.72</v>
      </c>
      <c r="D764" s="33">
        <v>1.582268641</v>
      </c>
      <c r="E764" s="47">
        <v>207422.44510000001</v>
      </c>
      <c r="F764" s="47">
        <v>366364.82120000001</v>
      </c>
      <c r="G764" s="47" t="s">
        <v>34</v>
      </c>
      <c r="H764" s="48" t="s">
        <v>22</v>
      </c>
      <c r="I764" s="17">
        <v>100</v>
      </c>
      <c r="J764" t="e">
        <f>NA()</f>
        <v>#N/A</v>
      </c>
      <c r="K764" t="e">
        <f>NA()</f>
        <v>#N/A</v>
      </c>
      <c r="L764" s="35">
        <v>0.16</v>
      </c>
      <c r="M764" s="35">
        <v>-15.18</v>
      </c>
      <c r="N764" s="35">
        <v>0.09</v>
      </c>
      <c r="O764" s="35">
        <v>-25.33</v>
      </c>
      <c r="P764" s="35">
        <v>0.06</v>
      </c>
      <c r="Q764" s="35">
        <v>1.85</v>
      </c>
      <c r="R764" s="17">
        <v>1510012800</v>
      </c>
      <c r="S764" s="17" t="s">
        <v>773</v>
      </c>
    </row>
    <row r="765" spans="1:19" ht="16" x14ac:dyDescent="0.2">
      <c r="A765" s="27" t="s">
        <v>822</v>
      </c>
      <c r="B765" s="29">
        <v>0.12</v>
      </c>
      <c r="C765" s="29">
        <v>4.8</v>
      </c>
      <c r="D765" s="28">
        <v>1.3156481149999999</v>
      </c>
      <c r="E765" s="30">
        <v>209797.8315</v>
      </c>
      <c r="F765" s="30">
        <v>368638.50109999999</v>
      </c>
      <c r="G765" s="30" t="s">
        <v>55</v>
      </c>
      <c r="H765" s="45" t="s">
        <v>22</v>
      </c>
      <c r="I765" s="16">
        <v>10</v>
      </c>
      <c r="J765" s="16" t="e">
        <f>NA()</f>
        <v>#N/A</v>
      </c>
      <c r="K765" t="e">
        <f>NA()</f>
        <v>#N/A</v>
      </c>
      <c r="L765" s="29">
        <v>1.28</v>
      </c>
      <c r="M765" s="29">
        <v>-25.51</v>
      </c>
      <c r="N765" s="29">
        <v>1.23</v>
      </c>
      <c r="O765" s="29">
        <v>-25.48</v>
      </c>
      <c r="P765" s="29">
        <v>0.125</v>
      </c>
      <c r="Q765" s="29">
        <v>3.9750000000000001</v>
      </c>
      <c r="R765" s="16">
        <v>1462838400</v>
      </c>
      <c r="S765" s="30" t="s">
        <v>55</v>
      </c>
    </row>
    <row r="766" spans="1:19" ht="16" x14ac:dyDescent="0.2">
      <c r="A766" s="27" t="s">
        <v>823</v>
      </c>
      <c r="B766" s="29">
        <v>0.13</v>
      </c>
      <c r="C766" s="29">
        <v>4.3849999999999998</v>
      </c>
      <c r="D766" s="28">
        <v>1.2010303579999999</v>
      </c>
      <c r="E766" s="30">
        <v>209797.8315</v>
      </c>
      <c r="F766" s="30">
        <v>368638.50109999999</v>
      </c>
      <c r="G766" s="30" t="s">
        <v>55</v>
      </c>
      <c r="H766" s="45" t="s">
        <v>22</v>
      </c>
      <c r="I766" s="16">
        <v>20</v>
      </c>
      <c r="J766" s="16" t="e">
        <f>NA()</f>
        <v>#N/A</v>
      </c>
      <c r="K766" t="e">
        <f>NA()</f>
        <v>#N/A</v>
      </c>
      <c r="L766" s="29">
        <v>1.44</v>
      </c>
      <c r="M766" s="29">
        <v>-25.75</v>
      </c>
      <c r="N766" s="29">
        <v>1.405</v>
      </c>
      <c r="O766" s="29">
        <v>-25.805</v>
      </c>
      <c r="P766" s="29">
        <v>0.13</v>
      </c>
      <c r="Q766" s="29">
        <v>4.25</v>
      </c>
      <c r="R766" s="16">
        <v>1462838400</v>
      </c>
      <c r="S766" s="30" t="s">
        <v>55</v>
      </c>
    </row>
    <row r="767" spans="1:19" ht="16" x14ac:dyDescent="0.2">
      <c r="A767" s="27" t="s">
        <v>824</v>
      </c>
      <c r="B767" s="29">
        <v>0.115</v>
      </c>
      <c r="C767" s="29">
        <v>5.53</v>
      </c>
      <c r="D767" s="28">
        <v>1.490030846</v>
      </c>
      <c r="E767" s="30">
        <v>209797.8315</v>
      </c>
      <c r="F767" s="30">
        <v>368638.50109999999</v>
      </c>
      <c r="G767" s="30" t="s">
        <v>55</v>
      </c>
      <c r="H767" s="45" t="s">
        <v>22</v>
      </c>
      <c r="I767" s="16">
        <v>30</v>
      </c>
      <c r="J767" s="16" t="e">
        <f>NA()</f>
        <v>#N/A</v>
      </c>
      <c r="K767" t="e">
        <f>NA()</f>
        <v>#N/A</v>
      </c>
      <c r="L767" s="29">
        <v>1.3049999999999999</v>
      </c>
      <c r="M767" s="29">
        <v>-25.6</v>
      </c>
      <c r="N767" s="29">
        <v>1.4</v>
      </c>
      <c r="O767" s="29">
        <v>-25.91</v>
      </c>
      <c r="P767" s="29">
        <v>0.11</v>
      </c>
      <c r="Q767" s="29">
        <v>3.66</v>
      </c>
      <c r="R767" s="16">
        <v>1462838400</v>
      </c>
      <c r="S767" s="30" t="s">
        <v>55</v>
      </c>
    </row>
    <row r="768" spans="1:19" ht="16" x14ac:dyDescent="0.2">
      <c r="A768" s="27" t="s">
        <v>825</v>
      </c>
      <c r="B768" s="29">
        <v>0.05</v>
      </c>
      <c r="C768" s="29">
        <v>5.34</v>
      </c>
      <c r="D768" s="28">
        <v>1.074677925</v>
      </c>
      <c r="E768" s="30">
        <v>209797.8315</v>
      </c>
      <c r="F768" s="30">
        <v>368638.50109999999</v>
      </c>
      <c r="G768" s="30" t="s">
        <v>55</v>
      </c>
      <c r="H768" s="45" t="s">
        <v>22</v>
      </c>
      <c r="I768" s="16">
        <v>60</v>
      </c>
      <c r="J768" s="16" t="e">
        <f>NA()</f>
        <v>#N/A</v>
      </c>
      <c r="K768" t="e">
        <f>NA()</f>
        <v>#N/A</v>
      </c>
      <c r="L768" s="29">
        <v>0.35</v>
      </c>
      <c r="M768" s="29">
        <v>-24.27</v>
      </c>
      <c r="N768" s="29">
        <v>0.32</v>
      </c>
      <c r="O768" s="29">
        <v>-24.56</v>
      </c>
      <c r="P768" s="29">
        <v>0.05</v>
      </c>
      <c r="Q768" s="29">
        <v>4.54</v>
      </c>
      <c r="R768" s="16">
        <v>1462838400</v>
      </c>
      <c r="S768" s="30" t="s">
        <v>55</v>
      </c>
    </row>
    <row r="769" spans="1:19" ht="16" x14ac:dyDescent="0.2">
      <c r="A769" s="27" t="s">
        <v>826</v>
      </c>
      <c r="B769" s="29">
        <v>0.14499999999999999</v>
      </c>
      <c r="C769" s="29">
        <v>5.66</v>
      </c>
      <c r="D769" s="28">
        <v>1.383600071</v>
      </c>
      <c r="E769" s="30">
        <v>208970.97630000001</v>
      </c>
      <c r="F769" s="30">
        <v>368740.52010000002</v>
      </c>
      <c r="G769" s="30" t="s">
        <v>91</v>
      </c>
      <c r="H769" s="45" t="s">
        <v>22</v>
      </c>
      <c r="I769" s="16">
        <v>10</v>
      </c>
      <c r="J769" s="16" t="e">
        <f>NA()</f>
        <v>#N/A</v>
      </c>
      <c r="K769" t="e">
        <f>NA()</f>
        <v>#N/A</v>
      </c>
      <c r="L769" s="29">
        <v>1.39</v>
      </c>
      <c r="M769" s="29">
        <v>-24.7</v>
      </c>
      <c r="N769" s="29">
        <v>1.26</v>
      </c>
      <c r="O769" s="29">
        <v>-24.85</v>
      </c>
      <c r="P769" s="29">
        <v>0.14000000000000001</v>
      </c>
      <c r="Q769" s="29">
        <v>4.6900000000000004</v>
      </c>
      <c r="R769" s="16">
        <v>1462752000</v>
      </c>
      <c r="S769" s="30" t="s">
        <v>91</v>
      </c>
    </row>
    <row r="770" spans="1:19" ht="16" x14ac:dyDescent="0.2">
      <c r="A770" s="27" t="s">
        <v>827</v>
      </c>
      <c r="B770" s="29">
        <v>0.15</v>
      </c>
      <c r="C770" s="29">
        <v>5.72</v>
      </c>
      <c r="D770" s="28">
        <v>1.343483856</v>
      </c>
      <c r="E770" s="30">
        <v>208970.97630000001</v>
      </c>
      <c r="F770" s="30">
        <v>368740.52010000002</v>
      </c>
      <c r="G770" s="30" t="s">
        <v>91</v>
      </c>
      <c r="H770" s="45" t="s">
        <v>22</v>
      </c>
      <c r="I770" s="16">
        <v>20</v>
      </c>
      <c r="J770" s="16" t="e">
        <f>NA()</f>
        <v>#N/A</v>
      </c>
      <c r="K770" t="e">
        <f>NA()</f>
        <v>#N/A</v>
      </c>
      <c r="L770" s="29">
        <v>1.45</v>
      </c>
      <c r="M770" s="29">
        <v>-25.1</v>
      </c>
      <c r="N770" s="29">
        <v>1.33</v>
      </c>
      <c r="O770" s="29">
        <v>-24.74</v>
      </c>
      <c r="P770" s="29">
        <v>0.14000000000000001</v>
      </c>
      <c r="Q770" s="29">
        <v>4.54</v>
      </c>
      <c r="R770" s="16">
        <v>1462752000</v>
      </c>
      <c r="S770" s="30" t="s">
        <v>91</v>
      </c>
    </row>
    <row r="771" spans="1:19" ht="16" x14ac:dyDescent="0.2">
      <c r="A771" s="27" t="s">
        <v>828</v>
      </c>
      <c r="B771" s="29">
        <v>0.1</v>
      </c>
      <c r="C771" s="29">
        <v>5.3650000000000002</v>
      </c>
      <c r="D771" s="28">
        <v>1.566169785</v>
      </c>
      <c r="E771" s="30">
        <v>208970.97630000001</v>
      </c>
      <c r="F771" s="30">
        <v>368740.52010000002</v>
      </c>
      <c r="G771" s="30" t="s">
        <v>91</v>
      </c>
      <c r="H771" s="45" t="s">
        <v>22</v>
      </c>
      <c r="I771" s="16">
        <v>30</v>
      </c>
      <c r="J771" s="16" t="e">
        <f>NA()</f>
        <v>#N/A</v>
      </c>
      <c r="K771" t="e">
        <f>NA()</f>
        <v>#N/A</v>
      </c>
      <c r="L771" s="29">
        <v>0.98</v>
      </c>
      <c r="M771" s="29">
        <v>-24.64</v>
      </c>
      <c r="N771" s="29">
        <v>0.95</v>
      </c>
      <c r="O771" s="29">
        <v>-24.585000000000001</v>
      </c>
      <c r="P771" s="29">
        <v>0.1</v>
      </c>
      <c r="Q771" s="29">
        <v>4.9400000000000004</v>
      </c>
      <c r="R771" s="16">
        <v>1462752000</v>
      </c>
      <c r="S771" s="30" t="s">
        <v>91</v>
      </c>
    </row>
    <row r="772" spans="1:19" ht="16" x14ac:dyDescent="0.2">
      <c r="A772" s="27" t="s">
        <v>829</v>
      </c>
      <c r="B772" s="29">
        <v>0.06</v>
      </c>
      <c r="C772" s="29">
        <v>5.52</v>
      </c>
      <c r="D772" s="28">
        <v>0.71990867599999997</v>
      </c>
      <c r="E772" s="30">
        <v>208970.97630000001</v>
      </c>
      <c r="F772" s="30">
        <v>368740.52010000002</v>
      </c>
      <c r="G772" s="30" t="s">
        <v>91</v>
      </c>
      <c r="H772" s="45" t="s">
        <v>22</v>
      </c>
      <c r="I772" s="16">
        <v>60</v>
      </c>
      <c r="J772" s="16" t="e">
        <f>NA()</f>
        <v>#N/A</v>
      </c>
      <c r="K772" t="e">
        <f>NA()</f>
        <v>#N/A</v>
      </c>
      <c r="L772" s="29">
        <v>0.4</v>
      </c>
      <c r="M772" s="29">
        <v>-24.87</v>
      </c>
      <c r="N772" s="29">
        <v>0.4</v>
      </c>
      <c r="O772" s="29">
        <v>-24.69</v>
      </c>
      <c r="P772" s="29">
        <v>0.06</v>
      </c>
      <c r="Q772" s="29">
        <v>4.12</v>
      </c>
      <c r="R772" s="16">
        <v>1462752000</v>
      </c>
      <c r="S772" s="30" t="s">
        <v>91</v>
      </c>
    </row>
    <row r="773" spans="1:19" ht="16" x14ac:dyDescent="0.2">
      <c r="A773" s="27" t="s">
        <v>830</v>
      </c>
      <c r="B773" s="29">
        <v>0.15</v>
      </c>
      <c r="C773" s="29">
        <v>5.78</v>
      </c>
      <c r="D773" s="28">
        <v>1.4294471740000001</v>
      </c>
      <c r="E773" s="30">
        <v>209274.8651</v>
      </c>
      <c r="F773" s="30">
        <v>368851.03860000003</v>
      </c>
      <c r="G773" s="30" t="s">
        <v>125</v>
      </c>
      <c r="H773" s="45" t="s">
        <v>22</v>
      </c>
      <c r="I773" s="16">
        <v>10</v>
      </c>
      <c r="J773" s="16" t="e">
        <f>NA()</f>
        <v>#N/A</v>
      </c>
      <c r="K773" t="e">
        <f>NA()</f>
        <v>#N/A</v>
      </c>
      <c r="L773" s="29">
        <v>1.5</v>
      </c>
      <c r="M773" s="29">
        <v>-24.55</v>
      </c>
      <c r="N773" s="29">
        <v>1.41</v>
      </c>
      <c r="O773" s="29">
        <v>-24.5</v>
      </c>
      <c r="P773" s="29">
        <v>0.15</v>
      </c>
      <c r="Q773" s="29">
        <v>4.3600000000000003</v>
      </c>
      <c r="R773" s="16">
        <v>1463270400</v>
      </c>
      <c r="S773" s="30" t="s">
        <v>125</v>
      </c>
    </row>
    <row r="774" spans="1:19" ht="16" x14ac:dyDescent="0.2">
      <c r="A774" s="27" t="s">
        <v>831</v>
      </c>
      <c r="B774" s="29">
        <v>0.12</v>
      </c>
      <c r="C774" s="29">
        <v>5.9749999999999996</v>
      </c>
      <c r="D774" s="28">
        <v>1.4106171139999999</v>
      </c>
      <c r="E774" s="30">
        <v>209274.8651</v>
      </c>
      <c r="F774" s="30">
        <v>368851.03860000003</v>
      </c>
      <c r="G774" s="30" t="s">
        <v>125</v>
      </c>
      <c r="H774" s="45" t="s">
        <v>22</v>
      </c>
      <c r="I774" s="16">
        <v>20</v>
      </c>
      <c r="J774" s="16" t="e">
        <f>NA()</f>
        <v>#N/A</v>
      </c>
      <c r="K774" t="e">
        <f>NA()</f>
        <v>#N/A</v>
      </c>
      <c r="L774" s="29">
        <v>1.24</v>
      </c>
      <c r="M774" s="29">
        <v>-24.1</v>
      </c>
      <c r="N774" s="29">
        <v>1.22</v>
      </c>
      <c r="O774" s="29">
        <v>-24.204999999999998</v>
      </c>
      <c r="P774" s="29">
        <v>0.13</v>
      </c>
      <c r="Q774" s="29">
        <v>5.04</v>
      </c>
      <c r="R774" s="16">
        <v>1463270400</v>
      </c>
      <c r="S774" s="30" t="s">
        <v>125</v>
      </c>
    </row>
    <row r="775" spans="1:19" ht="16" x14ac:dyDescent="0.2">
      <c r="A775" s="27" t="s">
        <v>832</v>
      </c>
      <c r="B775" s="29">
        <v>0.1</v>
      </c>
      <c r="C775" s="29">
        <v>3.74</v>
      </c>
      <c r="D775" s="28">
        <v>1.400792735</v>
      </c>
      <c r="E775" s="30">
        <v>209274.8651</v>
      </c>
      <c r="F775" s="30">
        <v>368851.03860000003</v>
      </c>
      <c r="G775" s="30" t="s">
        <v>125</v>
      </c>
      <c r="H775" s="45" t="s">
        <v>22</v>
      </c>
      <c r="I775" s="16">
        <v>30</v>
      </c>
      <c r="J775" s="16" t="e">
        <f>NA()</f>
        <v>#N/A</v>
      </c>
      <c r="K775" t="e">
        <f>NA()</f>
        <v>#N/A</v>
      </c>
      <c r="L775" s="29">
        <v>0.92500000000000004</v>
      </c>
      <c r="M775" s="29">
        <v>-23.97</v>
      </c>
      <c r="N775" s="29">
        <v>0.87</v>
      </c>
      <c r="O775" s="29">
        <v>-23.97</v>
      </c>
      <c r="P775" s="29">
        <v>0.1</v>
      </c>
      <c r="Q775" s="29">
        <v>4.4000000000000004</v>
      </c>
      <c r="R775" s="16">
        <v>1463270400</v>
      </c>
      <c r="S775" s="30" t="s">
        <v>125</v>
      </c>
    </row>
    <row r="776" spans="1:19" ht="16" x14ac:dyDescent="0.2">
      <c r="A776" s="27" t="s">
        <v>833</v>
      </c>
      <c r="B776" s="29">
        <v>7.0000000000000007E-2</v>
      </c>
      <c r="C776" s="29">
        <v>6.78</v>
      </c>
      <c r="D776" s="28">
        <v>0.69261873399999996</v>
      </c>
      <c r="E776" s="30">
        <v>209274.8651</v>
      </c>
      <c r="F776" s="30">
        <v>368851.03860000003</v>
      </c>
      <c r="G776" s="30" t="s">
        <v>125</v>
      </c>
      <c r="H776" s="45" t="s">
        <v>22</v>
      </c>
      <c r="I776" s="16">
        <v>60</v>
      </c>
      <c r="J776" s="16" t="e">
        <f>NA()</f>
        <v>#N/A</v>
      </c>
      <c r="K776" t="e">
        <f>NA()</f>
        <v>#N/A</v>
      </c>
      <c r="L776" s="29">
        <v>0.23</v>
      </c>
      <c r="M776" s="29">
        <v>-24.44</v>
      </c>
      <c r="N776" s="29">
        <v>0.24</v>
      </c>
      <c r="O776" s="29">
        <v>-24.74</v>
      </c>
      <c r="P776" s="29">
        <v>7.0000000000000007E-2</v>
      </c>
      <c r="Q776" s="29">
        <v>2.59</v>
      </c>
      <c r="R776" s="16">
        <v>1463270400</v>
      </c>
      <c r="S776" s="30" t="s">
        <v>125</v>
      </c>
    </row>
    <row r="777" spans="1:19" ht="16" x14ac:dyDescent="0.2">
      <c r="A777" s="27" t="s">
        <v>834</v>
      </c>
      <c r="B777" s="29">
        <v>0.24</v>
      </c>
      <c r="C777" s="29">
        <v>7.5049999999999999</v>
      </c>
      <c r="D777" s="28">
        <v>1.4097984160000001</v>
      </c>
      <c r="E777" s="30">
        <v>204909.54329999999</v>
      </c>
      <c r="F777" s="30">
        <v>366099.93910000002</v>
      </c>
      <c r="G777" s="30" t="s">
        <v>159</v>
      </c>
      <c r="H777" s="45" t="s">
        <v>22</v>
      </c>
      <c r="I777" s="16">
        <v>10</v>
      </c>
      <c r="J777" s="16" t="e">
        <f>NA()</f>
        <v>#N/A</v>
      </c>
      <c r="K777" t="e">
        <f>NA()</f>
        <v>#N/A</v>
      </c>
      <c r="L777" s="29">
        <v>2.4300000000000002</v>
      </c>
      <c r="M777" s="29">
        <v>-22.25</v>
      </c>
      <c r="N777" s="29">
        <v>2.2850000000000001</v>
      </c>
      <c r="O777" s="29">
        <v>-22.63</v>
      </c>
      <c r="P777" s="29">
        <v>0.22</v>
      </c>
      <c r="Q777" s="29">
        <v>5.68</v>
      </c>
      <c r="R777" s="16">
        <v>1463356800</v>
      </c>
      <c r="S777" s="30" t="s">
        <v>159</v>
      </c>
    </row>
    <row r="778" spans="1:19" ht="16" x14ac:dyDescent="0.2">
      <c r="A778" s="27" t="s">
        <v>835</v>
      </c>
      <c r="B778" s="29">
        <v>0.185</v>
      </c>
      <c r="C778" s="29">
        <v>7.63</v>
      </c>
      <c r="D778" s="28">
        <v>1.4425463460000001</v>
      </c>
      <c r="E778" s="30">
        <v>204909.54329999999</v>
      </c>
      <c r="F778" s="30">
        <v>366099.93910000002</v>
      </c>
      <c r="G778" s="30" t="s">
        <v>159</v>
      </c>
      <c r="H778" s="45" t="s">
        <v>22</v>
      </c>
      <c r="I778" s="16">
        <v>20</v>
      </c>
      <c r="J778" s="16" t="e">
        <f>NA()</f>
        <v>#N/A</v>
      </c>
      <c r="K778" t="e">
        <f>NA()</f>
        <v>#N/A</v>
      </c>
      <c r="L778" s="29">
        <v>1.81</v>
      </c>
      <c r="M778" s="29">
        <v>-22.64</v>
      </c>
      <c r="N778" s="29">
        <v>2.0299999999999998</v>
      </c>
      <c r="O778" s="29">
        <v>-22.82</v>
      </c>
      <c r="P778" s="29">
        <v>0.2</v>
      </c>
      <c r="Q778" s="29">
        <v>6.45</v>
      </c>
      <c r="R778" s="16">
        <v>1463356800</v>
      </c>
      <c r="S778" s="30" t="s">
        <v>159</v>
      </c>
    </row>
    <row r="779" spans="1:19" ht="16" x14ac:dyDescent="0.2">
      <c r="A779" s="27" t="s">
        <v>836</v>
      </c>
      <c r="B779" s="29">
        <v>0.19</v>
      </c>
      <c r="C779" s="29">
        <v>6.22</v>
      </c>
      <c r="D779" s="28">
        <v>1.5293283630000001</v>
      </c>
      <c r="E779" s="30">
        <v>204909.54329999999</v>
      </c>
      <c r="F779" s="30">
        <v>366099.93910000002</v>
      </c>
      <c r="G779" s="30" t="s">
        <v>159</v>
      </c>
      <c r="H779" s="45" t="s">
        <v>22</v>
      </c>
      <c r="I779" s="16">
        <v>30</v>
      </c>
      <c r="J779" s="16" t="e">
        <f>NA()</f>
        <v>#N/A</v>
      </c>
      <c r="K779" t="e">
        <f>NA()</f>
        <v>#N/A</v>
      </c>
      <c r="L779" s="29">
        <v>1.82</v>
      </c>
      <c r="M779" s="29">
        <v>-23.03</v>
      </c>
      <c r="N779" s="29">
        <v>1.44</v>
      </c>
      <c r="O779" s="29">
        <v>-23.25</v>
      </c>
      <c r="P779" s="29">
        <v>0.15</v>
      </c>
      <c r="Q779" s="29">
        <v>6.37</v>
      </c>
      <c r="R779" s="16">
        <v>1463356800</v>
      </c>
      <c r="S779" s="30" t="s">
        <v>159</v>
      </c>
    </row>
    <row r="780" spans="1:19" ht="16" x14ac:dyDescent="0.2">
      <c r="A780" s="27" t="s">
        <v>837</v>
      </c>
      <c r="B780" s="29">
        <v>0.11</v>
      </c>
      <c r="C780" s="29">
        <v>6.66</v>
      </c>
      <c r="D780" s="28">
        <v>0.589735652</v>
      </c>
      <c r="E780" s="30">
        <v>204909.54329999999</v>
      </c>
      <c r="F780" s="30">
        <v>366099.93910000002</v>
      </c>
      <c r="G780" s="30" t="s">
        <v>159</v>
      </c>
      <c r="H780" s="45" t="s">
        <v>22</v>
      </c>
      <c r="I780" s="16">
        <v>60</v>
      </c>
      <c r="J780" s="16" t="e">
        <f>NA()</f>
        <v>#N/A</v>
      </c>
      <c r="K780" t="e">
        <f>NA()</f>
        <v>#N/A</v>
      </c>
      <c r="L780" s="29">
        <v>1.08</v>
      </c>
      <c r="M780" s="29">
        <v>-23.47</v>
      </c>
      <c r="N780" s="29">
        <v>0.97</v>
      </c>
      <c r="O780" s="29">
        <v>-23.785</v>
      </c>
      <c r="P780" s="29">
        <v>9.5000000000000001E-2</v>
      </c>
      <c r="Q780" s="29">
        <v>6.63</v>
      </c>
      <c r="R780" s="16">
        <v>1463356800</v>
      </c>
      <c r="S780" s="30" t="s">
        <v>159</v>
      </c>
    </row>
    <row r="781" spans="1:19" ht="16" x14ac:dyDescent="0.2">
      <c r="A781" s="27" t="s">
        <v>838</v>
      </c>
      <c r="B781" s="29">
        <v>0.15</v>
      </c>
      <c r="C781" s="29">
        <v>5.81</v>
      </c>
      <c r="D781" s="28">
        <v>1.522778776</v>
      </c>
      <c r="E781" s="30">
        <v>206923.5949</v>
      </c>
      <c r="F781" s="30">
        <v>367496.74829999998</v>
      </c>
      <c r="G781" s="30" t="s">
        <v>21</v>
      </c>
      <c r="H781" s="45" t="s">
        <v>22</v>
      </c>
      <c r="I781" s="16">
        <v>10</v>
      </c>
      <c r="J781" s="16" t="e">
        <f>NA()</f>
        <v>#N/A</v>
      </c>
      <c r="K781" t="e">
        <f>NA()</f>
        <v>#N/A</v>
      </c>
      <c r="L781" s="29">
        <v>1.46</v>
      </c>
      <c r="M781" s="29">
        <v>-22.55</v>
      </c>
      <c r="N781" s="29">
        <v>1.44</v>
      </c>
      <c r="O781" s="29">
        <v>-22.93</v>
      </c>
      <c r="P781" s="29">
        <v>0.14000000000000001</v>
      </c>
      <c r="Q781" s="29">
        <v>5.62</v>
      </c>
      <c r="R781" s="16">
        <v>1463875200</v>
      </c>
      <c r="S781" s="30" t="s">
        <v>21</v>
      </c>
    </row>
    <row r="782" spans="1:19" ht="16" x14ac:dyDescent="0.2">
      <c r="A782" s="27" t="s">
        <v>839</v>
      </c>
      <c r="B782" s="29">
        <v>0.11</v>
      </c>
      <c r="C782" s="29">
        <v>5.94</v>
      </c>
      <c r="D782" s="28">
        <v>1.520322682</v>
      </c>
      <c r="E782" s="30">
        <v>206923.5949</v>
      </c>
      <c r="F782" s="30">
        <v>367496.74829999998</v>
      </c>
      <c r="G782" s="30" t="s">
        <v>21</v>
      </c>
      <c r="H782" s="45" t="s">
        <v>22</v>
      </c>
      <c r="I782" s="16">
        <v>20</v>
      </c>
      <c r="J782" s="16" t="e">
        <f>NA()</f>
        <v>#N/A</v>
      </c>
      <c r="K782" t="e">
        <f>NA()</f>
        <v>#N/A</v>
      </c>
      <c r="L782" s="29">
        <v>0.99</v>
      </c>
      <c r="M782" s="29">
        <v>-24.21</v>
      </c>
      <c r="N782" s="29">
        <v>0.94</v>
      </c>
      <c r="O782" s="29">
        <v>-24.5</v>
      </c>
      <c r="P782" s="29">
        <v>0.1</v>
      </c>
      <c r="Q782" s="29">
        <v>4.83</v>
      </c>
      <c r="R782" s="16">
        <v>1463875200</v>
      </c>
      <c r="S782" s="30" t="s">
        <v>21</v>
      </c>
    </row>
    <row r="783" spans="1:19" ht="16" x14ac:dyDescent="0.2">
      <c r="A783" s="27" t="s">
        <v>840</v>
      </c>
      <c r="B783" s="29">
        <v>7.0000000000000007E-2</v>
      </c>
      <c r="C783" s="29">
        <v>6</v>
      </c>
      <c r="D783" s="28">
        <v>1.5497958190000001</v>
      </c>
      <c r="E783" s="30">
        <v>206923.5949</v>
      </c>
      <c r="F783" s="30">
        <v>367496.74829999998</v>
      </c>
      <c r="G783" s="30" t="s">
        <v>21</v>
      </c>
      <c r="H783" s="45" t="s">
        <v>22</v>
      </c>
      <c r="I783" s="16">
        <v>30</v>
      </c>
      <c r="J783" s="16" t="e">
        <f>NA()</f>
        <v>#N/A</v>
      </c>
      <c r="K783" t="e">
        <f>NA()</f>
        <v>#N/A</v>
      </c>
      <c r="L783" s="29">
        <v>0.53</v>
      </c>
      <c r="M783" s="29">
        <v>-23.73</v>
      </c>
      <c r="N783" s="29">
        <v>0.53</v>
      </c>
      <c r="O783" s="29">
        <v>-24.34</v>
      </c>
      <c r="P783" s="29">
        <v>6.5000000000000002E-2</v>
      </c>
      <c r="Q783" s="29">
        <v>6.13</v>
      </c>
      <c r="R783" s="16">
        <v>1463875200</v>
      </c>
      <c r="S783" s="30" t="s">
        <v>21</v>
      </c>
    </row>
    <row r="784" spans="1:19" ht="16" x14ac:dyDescent="0.2">
      <c r="A784" s="27" t="s">
        <v>841</v>
      </c>
      <c r="B784" s="29">
        <v>4.4999999999999998E-2</v>
      </c>
      <c r="C784" s="29">
        <v>5.05</v>
      </c>
      <c r="D784" s="28">
        <v>0.74092193200000001</v>
      </c>
      <c r="E784" s="30">
        <v>206923.5949</v>
      </c>
      <c r="F784" s="30">
        <v>367496.74829999998</v>
      </c>
      <c r="G784" s="30" t="s">
        <v>21</v>
      </c>
      <c r="H784" s="45" t="s">
        <v>22</v>
      </c>
      <c r="I784" s="16">
        <v>60</v>
      </c>
      <c r="J784" s="16" t="e">
        <f>NA()</f>
        <v>#N/A</v>
      </c>
      <c r="K784" t="e">
        <f>NA()</f>
        <v>#N/A</v>
      </c>
      <c r="L784" s="29">
        <v>0.21</v>
      </c>
      <c r="M784" s="29">
        <v>-23.015000000000001</v>
      </c>
      <c r="N784" s="29">
        <v>0.2</v>
      </c>
      <c r="O784" s="29">
        <v>-23.8</v>
      </c>
      <c r="P784" s="29">
        <v>0.04</v>
      </c>
      <c r="Q784" s="29">
        <v>5.51</v>
      </c>
      <c r="R784" s="16">
        <v>1463875200</v>
      </c>
      <c r="S784" s="30" t="s">
        <v>21</v>
      </c>
    </row>
    <row r="785" spans="1:19" ht="16" x14ac:dyDescent="0.2">
      <c r="A785" s="27" t="s">
        <v>842</v>
      </c>
      <c r="B785" s="29">
        <v>0.22</v>
      </c>
      <c r="C785" s="29">
        <v>6.52</v>
      </c>
      <c r="D785" s="28">
        <v>1.2403278740000001</v>
      </c>
      <c r="E785" s="30">
        <v>207130.2776</v>
      </c>
      <c r="F785" s="30">
        <v>366996.86820000003</v>
      </c>
      <c r="G785" s="30" t="s">
        <v>219</v>
      </c>
      <c r="H785" s="45" t="s">
        <v>22</v>
      </c>
      <c r="I785" s="16">
        <v>10</v>
      </c>
      <c r="J785" s="16" t="e">
        <f>NA()</f>
        <v>#N/A</v>
      </c>
      <c r="K785" t="e">
        <f>NA()</f>
        <v>#N/A</v>
      </c>
      <c r="L785" s="29">
        <v>1.91</v>
      </c>
      <c r="M785" s="29">
        <v>-26.11</v>
      </c>
      <c r="N785" s="29">
        <v>1.84</v>
      </c>
      <c r="O785" s="29">
        <v>-26.22</v>
      </c>
      <c r="P785" s="29">
        <v>0.2</v>
      </c>
      <c r="Q785" s="29">
        <v>4.4800000000000004</v>
      </c>
      <c r="R785" s="16">
        <v>1463875200</v>
      </c>
      <c r="S785" s="30" t="s">
        <v>219</v>
      </c>
    </row>
    <row r="786" spans="1:19" ht="16" x14ac:dyDescent="0.2">
      <c r="A786" s="27" t="s">
        <v>843</v>
      </c>
      <c r="B786" s="29">
        <v>0.15</v>
      </c>
      <c r="C786" s="29">
        <v>5.98</v>
      </c>
      <c r="D786" s="28">
        <v>1.3205603050000001</v>
      </c>
      <c r="E786" s="30">
        <v>207130.2776</v>
      </c>
      <c r="F786" s="30">
        <v>366996.86820000003</v>
      </c>
      <c r="G786" s="30" t="s">
        <v>219</v>
      </c>
      <c r="H786" s="45" t="s">
        <v>22</v>
      </c>
      <c r="I786" s="16">
        <v>20</v>
      </c>
      <c r="J786" s="16" t="e">
        <f>NA()</f>
        <v>#N/A</v>
      </c>
      <c r="K786" t="e">
        <f>NA()</f>
        <v>#N/A</v>
      </c>
      <c r="L786" s="29">
        <v>1.29</v>
      </c>
      <c r="M786" s="29">
        <v>-24.94</v>
      </c>
      <c r="N786" s="29">
        <v>1.165</v>
      </c>
      <c r="O786" s="29">
        <v>-24.234999999999999</v>
      </c>
      <c r="P786" s="29">
        <v>0.13500000000000001</v>
      </c>
      <c r="Q786" s="29">
        <v>6.22</v>
      </c>
      <c r="R786" s="16">
        <v>1463875200</v>
      </c>
      <c r="S786" s="30" t="s">
        <v>219</v>
      </c>
    </row>
    <row r="787" spans="1:19" ht="16" x14ac:dyDescent="0.2">
      <c r="A787" s="27" t="s">
        <v>844</v>
      </c>
      <c r="B787" s="29">
        <v>0.105</v>
      </c>
      <c r="C787" s="29">
        <v>4.83</v>
      </c>
      <c r="D787" s="28">
        <v>1.508042208</v>
      </c>
      <c r="E787" s="30">
        <v>207130.2776</v>
      </c>
      <c r="F787" s="30">
        <v>366996.86820000003</v>
      </c>
      <c r="G787" s="30" t="s">
        <v>219</v>
      </c>
      <c r="H787" s="45" t="s">
        <v>22</v>
      </c>
      <c r="I787" s="16">
        <v>30</v>
      </c>
      <c r="J787" s="16" t="e">
        <f>NA()</f>
        <v>#N/A</v>
      </c>
      <c r="K787" t="e">
        <f>NA()</f>
        <v>#N/A</v>
      </c>
      <c r="L787" s="29">
        <v>0.70499999999999996</v>
      </c>
      <c r="M787" s="29">
        <v>-24.265000000000001</v>
      </c>
      <c r="N787" s="29">
        <v>0.69</v>
      </c>
      <c r="O787" s="29">
        <v>-24.83</v>
      </c>
      <c r="P787" s="29">
        <v>0.09</v>
      </c>
      <c r="Q787" s="29">
        <v>5.79</v>
      </c>
      <c r="R787" s="16">
        <v>1463875200</v>
      </c>
      <c r="S787" s="30" t="s">
        <v>219</v>
      </c>
    </row>
    <row r="788" spans="1:19" ht="16" x14ac:dyDescent="0.2">
      <c r="A788" s="27" t="s">
        <v>845</v>
      </c>
      <c r="B788" s="29">
        <v>0.06</v>
      </c>
      <c r="C788" s="29">
        <v>6.03</v>
      </c>
      <c r="D788" s="28">
        <v>0.72809565899999995</v>
      </c>
      <c r="E788" s="30">
        <v>207130.2776</v>
      </c>
      <c r="F788" s="30">
        <v>366996.86820000003</v>
      </c>
      <c r="G788" s="30" t="s">
        <v>219</v>
      </c>
      <c r="H788" s="45" t="s">
        <v>22</v>
      </c>
      <c r="I788" s="16">
        <v>60</v>
      </c>
      <c r="J788" s="16" t="e">
        <f>NA()</f>
        <v>#N/A</v>
      </c>
      <c r="K788" t="e">
        <f>NA()</f>
        <v>#N/A</v>
      </c>
      <c r="L788" s="29">
        <v>0.24</v>
      </c>
      <c r="M788" s="29">
        <v>-24.38</v>
      </c>
      <c r="N788" s="29">
        <v>0.23</v>
      </c>
      <c r="O788" s="29">
        <v>-24.86</v>
      </c>
      <c r="P788" s="29">
        <v>0.06</v>
      </c>
      <c r="Q788" s="29">
        <v>3.24</v>
      </c>
      <c r="R788" s="16">
        <v>1463875200</v>
      </c>
      <c r="S788" s="30" t="s">
        <v>219</v>
      </c>
    </row>
    <row r="789" spans="1:19" ht="16" x14ac:dyDescent="0.2">
      <c r="A789" s="27" t="s">
        <v>846</v>
      </c>
      <c r="B789" s="29">
        <v>0.18</v>
      </c>
      <c r="C789" s="29">
        <v>6.5250000000000004</v>
      </c>
      <c r="D789" s="28">
        <v>1.4941243369999999</v>
      </c>
      <c r="E789" s="30">
        <v>207422.44510000001</v>
      </c>
      <c r="F789" s="30">
        <v>366364.82120000001</v>
      </c>
      <c r="G789" s="30" t="s">
        <v>34</v>
      </c>
      <c r="H789" s="45" t="s">
        <v>22</v>
      </c>
      <c r="I789" s="16">
        <v>10</v>
      </c>
      <c r="J789" s="16" t="e">
        <f>NA()</f>
        <v>#N/A</v>
      </c>
      <c r="K789" t="e">
        <f>NA()</f>
        <v>#N/A</v>
      </c>
      <c r="L789" s="29">
        <v>1.73</v>
      </c>
      <c r="M789" s="29">
        <v>-22.8</v>
      </c>
      <c r="N789" s="29">
        <v>1.62</v>
      </c>
      <c r="O789" s="29">
        <v>-23.91</v>
      </c>
      <c r="P789" s="29">
        <v>0.16</v>
      </c>
      <c r="Q789" s="29">
        <v>4.9850000000000003</v>
      </c>
      <c r="R789" s="16">
        <v>1464048000</v>
      </c>
      <c r="S789" s="30" t="s">
        <v>34</v>
      </c>
    </row>
    <row r="790" spans="1:19" ht="16" x14ac:dyDescent="0.2">
      <c r="A790" s="27" t="s">
        <v>847</v>
      </c>
      <c r="B790" s="29">
        <v>0.16500000000000001</v>
      </c>
      <c r="C790" s="29">
        <v>6.22</v>
      </c>
      <c r="D790" s="28">
        <v>1.2526083480000001</v>
      </c>
      <c r="E790" s="30">
        <v>207422.44510000001</v>
      </c>
      <c r="F790" s="30">
        <v>366364.82120000001</v>
      </c>
      <c r="G790" s="30" t="s">
        <v>34</v>
      </c>
      <c r="H790" s="45" t="s">
        <v>22</v>
      </c>
      <c r="I790" s="16">
        <v>20</v>
      </c>
      <c r="J790" s="16" t="e">
        <f>NA()</f>
        <v>#N/A</v>
      </c>
      <c r="K790" t="e">
        <f>NA()</f>
        <v>#N/A</v>
      </c>
      <c r="L790" s="29">
        <v>1.575</v>
      </c>
      <c r="M790" s="29">
        <v>-23.52</v>
      </c>
      <c r="N790" s="29">
        <v>1.59</v>
      </c>
      <c r="O790" s="29">
        <v>-24.23</v>
      </c>
      <c r="P790" s="29">
        <v>0.15</v>
      </c>
      <c r="Q790" s="29">
        <v>5.2</v>
      </c>
      <c r="R790" s="16">
        <v>1464048000</v>
      </c>
      <c r="S790" s="30" t="s">
        <v>34</v>
      </c>
    </row>
    <row r="791" spans="1:19" ht="16" x14ac:dyDescent="0.2">
      <c r="A791" s="27" t="s">
        <v>848</v>
      </c>
      <c r="B791" s="29">
        <v>0.15</v>
      </c>
      <c r="C791" s="29">
        <v>4.91</v>
      </c>
      <c r="D791" s="28">
        <v>1.4294471740000001</v>
      </c>
      <c r="E791" s="30">
        <v>207422.44510000001</v>
      </c>
      <c r="F791" s="30">
        <v>366364.82120000001</v>
      </c>
      <c r="G791" s="30" t="s">
        <v>34</v>
      </c>
      <c r="H791" s="45" t="s">
        <v>22</v>
      </c>
      <c r="I791" s="16">
        <v>30</v>
      </c>
      <c r="J791" s="16" t="e">
        <f>NA()</f>
        <v>#N/A</v>
      </c>
      <c r="K791" t="e">
        <f>NA()</f>
        <v>#N/A</v>
      </c>
      <c r="L791" s="29">
        <v>1.29</v>
      </c>
      <c r="M791" s="29">
        <v>-24.29</v>
      </c>
      <c r="N791" s="29">
        <v>1.37</v>
      </c>
      <c r="O791" s="29">
        <v>-24.405000000000001</v>
      </c>
      <c r="P791" s="29">
        <v>0.14000000000000001</v>
      </c>
      <c r="Q791" s="29">
        <v>5.1449999999999996</v>
      </c>
      <c r="R791" s="16">
        <v>1464048000</v>
      </c>
      <c r="S791" s="30" t="s">
        <v>34</v>
      </c>
    </row>
    <row r="792" spans="1:19" ht="16" x14ac:dyDescent="0.2">
      <c r="A792" s="27" t="s">
        <v>849</v>
      </c>
      <c r="B792" s="29">
        <v>7.0000000000000007E-2</v>
      </c>
      <c r="C792" s="29">
        <v>4.8499999999999996</v>
      </c>
      <c r="D792" s="28">
        <v>0.548254939</v>
      </c>
      <c r="E792" s="30">
        <v>207422.44510000001</v>
      </c>
      <c r="F792" s="30">
        <v>366364.82120000001</v>
      </c>
      <c r="G792" s="30" t="s">
        <v>34</v>
      </c>
      <c r="H792" s="45" t="s">
        <v>22</v>
      </c>
      <c r="I792" s="16">
        <v>60</v>
      </c>
      <c r="J792" s="16" t="e">
        <f>NA()</f>
        <v>#N/A</v>
      </c>
      <c r="K792" t="e">
        <f>NA()</f>
        <v>#N/A</v>
      </c>
      <c r="L792" s="29">
        <v>0.35</v>
      </c>
      <c r="M792" s="29">
        <v>-24.8</v>
      </c>
      <c r="N792" s="29">
        <v>0.32</v>
      </c>
      <c r="O792" s="29">
        <v>-25.34</v>
      </c>
      <c r="P792" s="29">
        <v>7.0000000000000007E-2</v>
      </c>
      <c r="Q792" s="29">
        <v>3.99</v>
      </c>
      <c r="R792" s="16">
        <v>1464048000</v>
      </c>
      <c r="S792" s="30" t="s">
        <v>34</v>
      </c>
    </row>
    <row r="793" spans="1:19" ht="16" x14ac:dyDescent="0.2">
      <c r="A793" s="27" t="s">
        <v>850</v>
      </c>
      <c r="B793" s="29">
        <v>0.155</v>
      </c>
      <c r="C793" s="29">
        <v>5.07</v>
      </c>
      <c r="D793" s="28">
        <v>1.3991553379999999</v>
      </c>
      <c r="E793" s="30">
        <v>209868.28159999999</v>
      </c>
      <c r="F793" s="30">
        <v>370198.27370000002</v>
      </c>
      <c r="G793" s="30" t="s">
        <v>285</v>
      </c>
      <c r="H793" s="45" t="s">
        <v>22</v>
      </c>
      <c r="I793" s="16">
        <v>10</v>
      </c>
      <c r="J793" s="16" t="e">
        <f>NA()</f>
        <v>#N/A</v>
      </c>
      <c r="K793" t="e">
        <f>NA()</f>
        <v>#N/A</v>
      </c>
      <c r="L793" s="29">
        <v>1.41</v>
      </c>
      <c r="M793" s="29">
        <v>-22.635000000000002</v>
      </c>
      <c r="N793" s="29">
        <v>1.32</v>
      </c>
      <c r="O793" s="29">
        <v>-22.68</v>
      </c>
      <c r="P793" s="29">
        <v>0.14000000000000001</v>
      </c>
      <c r="Q793" s="29">
        <v>4.8</v>
      </c>
      <c r="R793" s="16">
        <v>1464652800</v>
      </c>
      <c r="S793" s="30" t="s">
        <v>285</v>
      </c>
    </row>
    <row r="794" spans="1:19" ht="16" x14ac:dyDescent="0.2">
      <c r="A794" s="27" t="s">
        <v>851</v>
      </c>
      <c r="B794" s="29">
        <v>0.15</v>
      </c>
      <c r="C794" s="29">
        <v>6</v>
      </c>
      <c r="D794" s="28">
        <v>1.2632514260000001</v>
      </c>
      <c r="E794" s="30">
        <v>209868.28159999999</v>
      </c>
      <c r="F794" s="30">
        <v>370198.27370000002</v>
      </c>
      <c r="G794" s="30" t="s">
        <v>285</v>
      </c>
      <c r="H794" s="45" t="s">
        <v>22</v>
      </c>
      <c r="I794" s="16">
        <v>20</v>
      </c>
      <c r="J794" s="16" t="e">
        <f>NA()</f>
        <v>#N/A</v>
      </c>
      <c r="K794" t="e">
        <f>NA()</f>
        <v>#N/A</v>
      </c>
      <c r="L794" s="29">
        <v>1.36</v>
      </c>
      <c r="M794" s="29">
        <v>-22.91</v>
      </c>
      <c r="N794" s="29">
        <v>1.2749999999999999</v>
      </c>
      <c r="O794" s="29">
        <v>-22.89</v>
      </c>
      <c r="P794" s="29">
        <v>0.13</v>
      </c>
      <c r="Q794" s="29">
        <v>4.41</v>
      </c>
      <c r="R794" s="16">
        <v>1464652800</v>
      </c>
      <c r="S794" s="30" t="s">
        <v>285</v>
      </c>
    </row>
    <row r="795" spans="1:19" ht="16" x14ac:dyDescent="0.2">
      <c r="A795" s="27" t="s">
        <v>852</v>
      </c>
      <c r="B795" s="29">
        <v>0.11</v>
      </c>
      <c r="C795" s="29">
        <v>6.8150000000000004</v>
      </c>
      <c r="D795" s="28">
        <v>1.5129543969999999</v>
      </c>
      <c r="E795" s="30">
        <v>209868.28159999999</v>
      </c>
      <c r="F795" s="30">
        <v>370198.27370000002</v>
      </c>
      <c r="G795" s="30" t="s">
        <v>285</v>
      </c>
      <c r="H795" s="45" t="s">
        <v>22</v>
      </c>
      <c r="I795" s="16">
        <v>30</v>
      </c>
      <c r="J795" s="16" t="e">
        <f>NA()</f>
        <v>#N/A</v>
      </c>
      <c r="K795" t="e">
        <f>NA()</f>
        <v>#N/A</v>
      </c>
      <c r="L795" s="29">
        <v>0.94</v>
      </c>
      <c r="M795" s="29">
        <v>-23.87</v>
      </c>
      <c r="N795" s="29">
        <v>0.89</v>
      </c>
      <c r="O795" s="29">
        <v>-23.99</v>
      </c>
      <c r="P795" s="29">
        <v>0.1</v>
      </c>
      <c r="Q795" s="29">
        <v>5.15</v>
      </c>
      <c r="R795" s="16">
        <v>1464652800</v>
      </c>
      <c r="S795" s="30" t="s">
        <v>285</v>
      </c>
    </row>
    <row r="796" spans="1:19" ht="16" x14ac:dyDescent="0.2">
      <c r="A796" s="27" t="s">
        <v>853</v>
      </c>
      <c r="B796" s="29">
        <v>0.05</v>
      </c>
      <c r="C796" s="29">
        <v>5.07</v>
      </c>
      <c r="D796" s="28">
        <v>0.56217280999999997</v>
      </c>
      <c r="E796" s="30">
        <v>209868.28159999999</v>
      </c>
      <c r="F796" s="30">
        <v>370198.27370000002</v>
      </c>
      <c r="G796" s="30" t="s">
        <v>285</v>
      </c>
      <c r="H796" s="45" t="s">
        <v>22</v>
      </c>
      <c r="I796" s="16">
        <v>60</v>
      </c>
      <c r="J796" s="16" t="e">
        <f>NA()</f>
        <v>#N/A</v>
      </c>
      <c r="K796" t="e">
        <f>NA()</f>
        <v>#N/A</v>
      </c>
      <c r="L796" s="29">
        <v>0.35</v>
      </c>
      <c r="M796" s="29">
        <v>-23.114999999999998</v>
      </c>
      <c r="N796" s="29">
        <v>0.35</v>
      </c>
      <c r="O796" s="29">
        <v>-23.56</v>
      </c>
      <c r="P796" s="29">
        <v>0.05</v>
      </c>
      <c r="Q796" s="29">
        <v>4.7699999999999996</v>
      </c>
      <c r="R796" s="16">
        <v>1464652800</v>
      </c>
      <c r="S796" s="30" t="s">
        <v>285</v>
      </c>
    </row>
    <row r="797" spans="1:19" ht="16" x14ac:dyDescent="0.2">
      <c r="A797" s="27" t="s">
        <v>854</v>
      </c>
      <c r="B797" s="29">
        <v>0.11</v>
      </c>
      <c r="C797" s="29">
        <v>4.54</v>
      </c>
      <c r="D797" s="28">
        <v>1.3393903650000001</v>
      </c>
      <c r="E797" s="30">
        <v>208112.63140000001</v>
      </c>
      <c r="F797" s="30">
        <v>365496.48340000003</v>
      </c>
      <c r="G797" s="30" t="s">
        <v>623</v>
      </c>
      <c r="H797" s="45" t="s">
        <v>22</v>
      </c>
      <c r="I797" s="16">
        <v>10</v>
      </c>
      <c r="J797" s="16" t="e">
        <f>NA()</f>
        <v>#N/A</v>
      </c>
      <c r="K797" t="e">
        <f>NA()</f>
        <v>#N/A</v>
      </c>
      <c r="L797" s="29">
        <v>1.08</v>
      </c>
      <c r="M797" s="29">
        <v>-21.97</v>
      </c>
      <c r="N797" s="29">
        <v>0.92</v>
      </c>
      <c r="O797" s="29">
        <v>-21.625</v>
      </c>
      <c r="P797" s="29">
        <v>9.5000000000000001E-2</v>
      </c>
      <c r="Q797" s="29">
        <v>4.085</v>
      </c>
      <c r="R797" s="16">
        <v>1465084800</v>
      </c>
      <c r="S797" s="30" t="s">
        <v>623</v>
      </c>
    </row>
    <row r="798" spans="1:19" ht="16" x14ac:dyDescent="0.2">
      <c r="A798" s="27" t="s">
        <v>855</v>
      </c>
      <c r="B798" s="29">
        <v>0.11</v>
      </c>
      <c r="C798" s="29">
        <v>6.2</v>
      </c>
      <c r="D798" s="28">
        <v>1.3467586490000001</v>
      </c>
      <c r="E798" s="30">
        <v>208112.63140000001</v>
      </c>
      <c r="F798" s="30">
        <v>365496.48340000003</v>
      </c>
      <c r="G798" s="30" t="s">
        <v>623</v>
      </c>
      <c r="H798" s="45" t="s">
        <v>22</v>
      </c>
      <c r="I798" s="16">
        <v>20</v>
      </c>
      <c r="J798" s="16" t="e">
        <f>NA()</f>
        <v>#N/A</v>
      </c>
      <c r="K798" t="e">
        <f>NA()</f>
        <v>#N/A</v>
      </c>
      <c r="L798" s="29">
        <v>0.99</v>
      </c>
      <c r="M798" s="29">
        <v>-21.06</v>
      </c>
      <c r="N798" s="29">
        <v>0.92</v>
      </c>
      <c r="O798" s="29">
        <v>-21.52</v>
      </c>
      <c r="P798" s="29">
        <v>0.1</v>
      </c>
      <c r="Q798" s="29">
        <v>4.13</v>
      </c>
      <c r="R798" s="16">
        <v>1465084800</v>
      </c>
      <c r="S798" s="30" t="s">
        <v>623</v>
      </c>
    </row>
    <row r="799" spans="1:19" ht="16" x14ac:dyDescent="0.2">
      <c r="A799" s="27" t="s">
        <v>856</v>
      </c>
      <c r="B799" s="29">
        <v>6.5000000000000002E-2</v>
      </c>
      <c r="C799" s="29">
        <v>6.31</v>
      </c>
      <c r="D799" s="28">
        <v>1.6185664740000001</v>
      </c>
      <c r="E799" s="30">
        <v>208112.63140000001</v>
      </c>
      <c r="F799" s="30">
        <v>365496.48340000003</v>
      </c>
      <c r="G799" s="30" t="s">
        <v>623</v>
      </c>
      <c r="H799" s="45" t="s">
        <v>22</v>
      </c>
      <c r="I799" s="16">
        <v>30</v>
      </c>
      <c r="J799" s="16" t="e">
        <f>NA()</f>
        <v>#N/A</v>
      </c>
      <c r="K799" t="e">
        <f>NA()</f>
        <v>#N/A</v>
      </c>
      <c r="L799" s="29">
        <v>0.495</v>
      </c>
      <c r="M799" s="29">
        <v>-22.75</v>
      </c>
      <c r="N799" s="29">
        <v>0.48</v>
      </c>
      <c r="O799" s="29">
        <v>-23.21</v>
      </c>
      <c r="P799" s="29">
        <v>0.06</v>
      </c>
      <c r="Q799" s="29">
        <v>5.58</v>
      </c>
      <c r="R799" s="16">
        <v>1465084800</v>
      </c>
      <c r="S799" s="30" t="s">
        <v>623</v>
      </c>
    </row>
    <row r="800" spans="1:19" ht="16" x14ac:dyDescent="0.2">
      <c r="A800" s="27" t="s">
        <v>857</v>
      </c>
      <c r="B800" s="29">
        <v>0.05</v>
      </c>
      <c r="C800" s="29">
        <v>5.09</v>
      </c>
      <c r="D800" s="28">
        <v>0.56544760299999997</v>
      </c>
      <c r="E800" s="30">
        <v>208112.63140000001</v>
      </c>
      <c r="F800" s="30">
        <v>365496.48340000003</v>
      </c>
      <c r="G800" s="30" t="s">
        <v>623</v>
      </c>
      <c r="H800" s="45" t="s">
        <v>22</v>
      </c>
      <c r="I800" s="16">
        <v>60</v>
      </c>
      <c r="J800" s="16" t="e">
        <f>NA()</f>
        <v>#N/A</v>
      </c>
      <c r="K800" t="e">
        <f>NA()</f>
        <v>#N/A</v>
      </c>
      <c r="L800" s="29">
        <v>0.28999999999999998</v>
      </c>
      <c r="M800" s="29">
        <v>-22.83</v>
      </c>
      <c r="N800" s="29">
        <v>0.27</v>
      </c>
      <c r="O800" s="29">
        <v>-23.01</v>
      </c>
      <c r="P800" s="29">
        <v>0.05</v>
      </c>
      <c r="Q800" s="29">
        <v>5.09</v>
      </c>
      <c r="R800" s="16">
        <v>1465084800</v>
      </c>
      <c r="S800" s="30" t="s">
        <v>623</v>
      </c>
    </row>
    <row r="801" spans="1:19" ht="16" x14ac:dyDescent="0.2">
      <c r="A801" s="27" t="s">
        <v>858</v>
      </c>
      <c r="B801" s="29">
        <v>0.14499999999999999</v>
      </c>
      <c r="C801" s="29">
        <v>4.55</v>
      </c>
      <c r="D801" s="28">
        <v>1.118248981</v>
      </c>
      <c r="E801" s="30">
        <v>209797.8315</v>
      </c>
      <c r="F801" s="30">
        <v>368638.50109999999</v>
      </c>
      <c r="G801" s="30" t="s">
        <v>55</v>
      </c>
      <c r="H801" s="45" t="s">
        <v>22</v>
      </c>
      <c r="I801" s="16">
        <v>10</v>
      </c>
      <c r="J801" s="28">
        <v>6.5599999999999999E-3</v>
      </c>
      <c r="K801" t="e">
        <f>NA()</f>
        <v>#N/A</v>
      </c>
      <c r="L801" s="29">
        <v>1.4850000000000001</v>
      </c>
      <c r="M801" s="29">
        <v>-25.76</v>
      </c>
      <c r="N801" s="29">
        <v>1.29</v>
      </c>
      <c r="O801" s="29">
        <v>-26.06</v>
      </c>
      <c r="P801" s="29">
        <v>0.11</v>
      </c>
      <c r="Q801" s="29">
        <v>5.07</v>
      </c>
      <c r="R801" s="16">
        <v>1475712000</v>
      </c>
      <c r="S801" s="30" t="s">
        <v>55</v>
      </c>
    </row>
    <row r="802" spans="1:19" ht="16" x14ac:dyDescent="0.2">
      <c r="A802" s="27" t="s">
        <v>859</v>
      </c>
      <c r="B802" s="29">
        <v>0.16</v>
      </c>
      <c r="C802" s="29">
        <v>4.71</v>
      </c>
      <c r="D802" s="28">
        <v>1.117451349</v>
      </c>
      <c r="E802" s="30">
        <v>209797.8315</v>
      </c>
      <c r="F802" s="30">
        <v>368638.50109999999</v>
      </c>
      <c r="G802" s="30" t="s">
        <v>55</v>
      </c>
      <c r="H802" s="45" t="s">
        <v>22</v>
      </c>
      <c r="I802" s="16">
        <v>20</v>
      </c>
      <c r="J802" s="28">
        <v>2.7200000000000002E-3</v>
      </c>
      <c r="K802" t="e">
        <f>NA()</f>
        <v>#N/A</v>
      </c>
      <c r="L802" s="29">
        <v>1.56</v>
      </c>
      <c r="M802" s="29">
        <v>-25.24</v>
      </c>
      <c r="N802" s="29">
        <v>1.35</v>
      </c>
      <c r="O802" s="29">
        <v>-25.46</v>
      </c>
      <c r="P802" s="29">
        <v>0.13</v>
      </c>
      <c r="Q802" s="29">
        <v>4.25</v>
      </c>
      <c r="R802" s="16">
        <v>1475712000</v>
      </c>
      <c r="S802" s="30" t="s">
        <v>55</v>
      </c>
    </row>
    <row r="803" spans="1:19" ht="16" x14ac:dyDescent="0.2">
      <c r="A803" s="27" t="s">
        <v>860</v>
      </c>
      <c r="B803" s="29">
        <v>0.13</v>
      </c>
      <c r="C803" s="29">
        <v>6.44</v>
      </c>
      <c r="D803" s="28">
        <v>1.2356185609999999</v>
      </c>
      <c r="E803" s="30">
        <v>209797.8315</v>
      </c>
      <c r="F803" s="30">
        <v>368638.50109999999</v>
      </c>
      <c r="G803" s="30" t="s">
        <v>55</v>
      </c>
      <c r="H803" s="45" t="s">
        <v>22</v>
      </c>
      <c r="I803" s="16">
        <v>30</v>
      </c>
      <c r="J803" s="28">
        <v>2.1099999999999999E-3</v>
      </c>
      <c r="K803" t="e">
        <f>NA()</f>
        <v>#N/A</v>
      </c>
      <c r="L803" s="29">
        <v>1.34</v>
      </c>
      <c r="M803" s="29">
        <v>-25.38</v>
      </c>
      <c r="N803" s="29">
        <v>1.3</v>
      </c>
      <c r="O803" s="29">
        <v>-25.55</v>
      </c>
      <c r="P803" s="29">
        <v>0.12</v>
      </c>
      <c r="Q803" s="29">
        <v>4.9550000000000001</v>
      </c>
      <c r="R803" s="16">
        <v>1475712000</v>
      </c>
      <c r="S803" s="30" t="s">
        <v>55</v>
      </c>
    </row>
    <row r="804" spans="1:19" ht="16" x14ac:dyDescent="0.2">
      <c r="A804" s="27" t="s">
        <v>861</v>
      </c>
      <c r="B804" s="29">
        <v>0.06</v>
      </c>
      <c r="C804" s="29">
        <v>4.34</v>
      </c>
      <c r="D804" s="28">
        <v>1.2903028999999999</v>
      </c>
      <c r="E804" s="30">
        <v>209797.8315</v>
      </c>
      <c r="F804" s="30">
        <v>368638.50109999999</v>
      </c>
      <c r="G804" s="30" t="s">
        <v>55</v>
      </c>
      <c r="H804" s="45" t="s">
        <v>22</v>
      </c>
      <c r="I804" s="16">
        <v>60</v>
      </c>
      <c r="J804" s="28">
        <v>6.5599999999999999E-3</v>
      </c>
      <c r="K804" t="e">
        <f>NA()</f>
        <v>#N/A</v>
      </c>
      <c r="L804" s="29">
        <v>0.46</v>
      </c>
      <c r="M804" s="29">
        <v>-24.92</v>
      </c>
      <c r="N804" s="29">
        <v>0.46</v>
      </c>
      <c r="O804" s="29">
        <v>-24.925000000000001</v>
      </c>
      <c r="P804" s="29">
        <v>0.05</v>
      </c>
      <c r="Q804" s="29">
        <v>4.67</v>
      </c>
      <c r="R804" s="16">
        <v>1475712000</v>
      </c>
      <c r="S804" s="30" t="s">
        <v>55</v>
      </c>
    </row>
    <row r="805" spans="1:19" ht="16" x14ac:dyDescent="0.2">
      <c r="A805" s="27" t="s">
        <v>862</v>
      </c>
      <c r="B805" s="29">
        <v>0.03</v>
      </c>
      <c r="C805" s="29">
        <v>4.9800000000000004</v>
      </c>
      <c r="D805" s="28">
        <v>1.2454041060000001</v>
      </c>
      <c r="E805" s="30">
        <v>209797.8315</v>
      </c>
      <c r="F805" s="30">
        <v>368638.50109999999</v>
      </c>
      <c r="G805" s="30" t="s">
        <v>55</v>
      </c>
      <c r="H805" s="45" t="s">
        <v>22</v>
      </c>
      <c r="I805" s="16">
        <v>100</v>
      </c>
      <c r="J805" s="28">
        <v>1.17E-3</v>
      </c>
      <c r="K805" t="e">
        <f>NA()</f>
        <v>#N/A</v>
      </c>
      <c r="L805" s="29">
        <v>0.2</v>
      </c>
      <c r="M805" s="29">
        <v>-24.5</v>
      </c>
      <c r="N805" s="29">
        <v>0.185</v>
      </c>
      <c r="O805" s="29">
        <v>-24.524999999999999</v>
      </c>
      <c r="P805" s="29">
        <v>3.5000000000000003E-2</v>
      </c>
      <c r="Q805" s="29">
        <v>5.7249999999999996</v>
      </c>
      <c r="R805" s="16">
        <v>1475712000</v>
      </c>
      <c r="S805" s="30" t="s">
        <v>55</v>
      </c>
    </row>
    <row r="806" spans="1:19" ht="16" x14ac:dyDescent="0.2">
      <c r="A806" s="27" t="s">
        <v>863</v>
      </c>
      <c r="B806" s="29">
        <v>0.14000000000000001</v>
      </c>
      <c r="C806" s="29">
        <v>4.9050000000000002</v>
      </c>
      <c r="D806" s="28">
        <v>0.94212960300000004</v>
      </c>
      <c r="E806" s="30">
        <v>208970.97630000001</v>
      </c>
      <c r="F806" s="30">
        <v>368740.52010000002</v>
      </c>
      <c r="G806" s="30" t="s">
        <v>91</v>
      </c>
      <c r="H806" s="45" t="s">
        <v>22</v>
      </c>
      <c r="I806" s="16">
        <v>10</v>
      </c>
      <c r="J806" s="28">
        <v>6.0220000000000003E-2</v>
      </c>
      <c r="K806" t="e">
        <f>NA()</f>
        <v>#N/A</v>
      </c>
      <c r="L806" s="29">
        <v>1.1499999999999999</v>
      </c>
      <c r="M806" s="29">
        <v>-24.29</v>
      </c>
      <c r="N806" s="29">
        <v>1.22</v>
      </c>
      <c r="O806" s="29">
        <v>-24.71</v>
      </c>
      <c r="P806" s="29">
        <v>0.12</v>
      </c>
      <c r="Q806" s="29">
        <v>4.5599999999999996</v>
      </c>
      <c r="R806" s="16">
        <v>1475712000</v>
      </c>
      <c r="S806" s="30" t="s">
        <v>91</v>
      </c>
    </row>
    <row r="807" spans="1:19" ht="16" x14ac:dyDescent="0.2">
      <c r="A807" s="27" t="s">
        <v>864</v>
      </c>
      <c r="B807" s="29">
        <v>0.16</v>
      </c>
      <c r="C807" s="29">
        <v>5.57</v>
      </c>
      <c r="D807" s="28">
        <v>1.0948610139999999</v>
      </c>
      <c r="E807" s="30">
        <v>208970.97630000001</v>
      </c>
      <c r="F807" s="30">
        <v>368740.52010000002</v>
      </c>
      <c r="G807" s="30" t="s">
        <v>91</v>
      </c>
      <c r="H807" s="45" t="s">
        <v>22</v>
      </c>
      <c r="I807" s="16">
        <v>20</v>
      </c>
      <c r="J807" s="28">
        <v>4.2439999999999999E-2</v>
      </c>
      <c r="K807" t="e">
        <f>NA()</f>
        <v>#N/A</v>
      </c>
      <c r="L807" s="29">
        <v>1.49</v>
      </c>
      <c r="M807" s="29">
        <v>-24.81</v>
      </c>
      <c r="N807" s="29">
        <v>1.51</v>
      </c>
      <c r="O807" s="29">
        <v>-24.97</v>
      </c>
      <c r="P807" s="29">
        <v>0.14000000000000001</v>
      </c>
      <c r="Q807" s="29">
        <v>4.8</v>
      </c>
      <c r="R807" s="16">
        <v>1475712000</v>
      </c>
      <c r="S807" s="30" t="s">
        <v>91</v>
      </c>
    </row>
    <row r="808" spans="1:19" ht="16" x14ac:dyDescent="0.2">
      <c r="A808" s="27" t="s">
        <v>865</v>
      </c>
      <c r="B808" s="29">
        <v>0.12</v>
      </c>
      <c r="C808" s="29">
        <v>3.4449999999999998</v>
      </c>
      <c r="D808" s="28">
        <v>1.3593073099999999</v>
      </c>
      <c r="E808" s="30">
        <v>208970.97630000001</v>
      </c>
      <c r="F808" s="30">
        <v>368740.52010000002</v>
      </c>
      <c r="G808" s="30" t="s">
        <v>91</v>
      </c>
      <c r="H808" s="45" t="s">
        <v>22</v>
      </c>
      <c r="I808" s="16">
        <v>30</v>
      </c>
      <c r="J808" s="28">
        <v>2.9780000000000001E-2</v>
      </c>
      <c r="K808" t="e">
        <f>NA()</f>
        <v>#N/A</v>
      </c>
      <c r="L808" s="29">
        <v>1.0349999999999999</v>
      </c>
      <c r="M808" s="29">
        <v>-24.414999999999999</v>
      </c>
      <c r="N808" s="29">
        <v>1.04</v>
      </c>
      <c r="O808" s="29">
        <v>-24.58</v>
      </c>
      <c r="P808" s="29">
        <v>0.1</v>
      </c>
      <c r="Q808" s="29">
        <v>4.68</v>
      </c>
      <c r="R808" s="16">
        <v>1475712000</v>
      </c>
      <c r="S808" s="30" t="s">
        <v>91</v>
      </c>
    </row>
    <row r="809" spans="1:19" ht="16" x14ac:dyDescent="0.2">
      <c r="A809" s="27" t="s">
        <v>866</v>
      </c>
      <c r="B809" s="29">
        <v>0.06</v>
      </c>
      <c r="C809" s="29">
        <v>2.1949999999999998</v>
      </c>
      <c r="D809" s="28">
        <v>1.5549825450000001</v>
      </c>
      <c r="E809" s="30">
        <v>208970.97630000001</v>
      </c>
      <c r="F809" s="30">
        <v>368740.52010000002</v>
      </c>
      <c r="G809" s="30" t="s">
        <v>91</v>
      </c>
      <c r="H809" s="45" t="s">
        <v>22</v>
      </c>
      <c r="I809" s="16">
        <v>60</v>
      </c>
      <c r="J809" s="28">
        <v>3.0000000000000001E-3</v>
      </c>
      <c r="K809" t="e">
        <f>NA()</f>
        <v>#N/A</v>
      </c>
      <c r="L809" s="29">
        <v>0.27500000000000002</v>
      </c>
      <c r="M809" s="29">
        <v>-24.71</v>
      </c>
      <c r="N809" s="29">
        <v>0.255</v>
      </c>
      <c r="O809" s="29">
        <v>-25.06</v>
      </c>
      <c r="P809" s="29">
        <v>0.05</v>
      </c>
      <c r="Q809" s="29">
        <v>4.4550000000000001</v>
      </c>
      <c r="R809" s="16">
        <v>1475712000</v>
      </c>
      <c r="S809" s="30" t="s">
        <v>91</v>
      </c>
    </row>
    <row r="810" spans="1:19" ht="16" x14ac:dyDescent="0.2">
      <c r="A810" s="27" t="s">
        <v>867</v>
      </c>
      <c r="B810" s="29">
        <v>0.04</v>
      </c>
      <c r="C810" s="29">
        <v>5.19</v>
      </c>
      <c r="D810" s="28">
        <v>1.475641252</v>
      </c>
      <c r="E810" s="30">
        <v>208970.97630000001</v>
      </c>
      <c r="F810" s="30">
        <v>368740.52010000002</v>
      </c>
      <c r="G810" s="30" t="s">
        <v>91</v>
      </c>
      <c r="H810" s="45" t="s">
        <v>22</v>
      </c>
      <c r="I810" s="16">
        <v>100</v>
      </c>
      <c r="J810" s="28">
        <v>1.72E-3</v>
      </c>
      <c r="K810" t="e">
        <f>NA()</f>
        <v>#N/A</v>
      </c>
      <c r="L810" s="29">
        <v>0.12</v>
      </c>
      <c r="M810" s="29">
        <v>-25</v>
      </c>
      <c r="N810" s="29">
        <v>0.12</v>
      </c>
      <c r="O810" s="29">
        <v>-25.87</v>
      </c>
      <c r="P810" s="29">
        <v>7.0000000000000007E-2</v>
      </c>
      <c r="Q810" s="29">
        <v>4.9000000000000004</v>
      </c>
      <c r="R810" s="16">
        <v>1475712000</v>
      </c>
      <c r="S810" s="30" t="s">
        <v>91</v>
      </c>
    </row>
    <row r="811" spans="1:19" ht="16" x14ac:dyDescent="0.2">
      <c r="A811" s="27" t="s">
        <v>868</v>
      </c>
      <c r="B811" s="29">
        <v>0.16</v>
      </c>
      <c r="C811" s="29">
        <v>5.03</v>
      </c>
      <c r="D811" s="28">
        <v>1.1554378380000001</v>
      </c>
      <c r="E811" s="30">
        <v>209274.8651</v>
      </c>
      <c r="F811" s="30">
        <v>368851.03860000003</v>
      </c>
      <c r="G811" s="30" t="s">
        <v>125</v>
      </c>
      <c r="H811" s="45" t="s">
        <v>22</v>
      </c>
      <c r="I811" s="16">
        <v>10</v>
      </c>
      <c r="J811" s="16" t="e">
        <f>NA()</f>
        <v>#N/A</v>
      </c>
      <c r="K811" t="e">
        <f>NA()</f>
        <v>#N/A</v>
      </c>
      <c r="L811" s="29">
        <v>1.46</v>
      </c>
      <c r="M811" s="29">
        <v>-24.41</v>
      </c>
      <c r="N811" s="29">
        <v>1.48</v>
      </c>
      <c r="O811" s="29">
        <v>-24.42</v>
      </c>
      <c r="P811" s="29">
        <v>0.14000000000000001</v>
      </c>
      <c r="Q811" s="29">
        <v>5.1100000000000003</v>
      </c>
      <c r="R811" s="16">
        <v>1475712000</v>
      </c>
      <c r="S811" s="30" t="s">
        <v>125</v>
      </c>
    </row>
    <row r="812" spans="1:19" ht="16" x14ac:dyDescent="0.2">
      <c r="A812" s="27" t="s">
        <v>869</v>
      </c>
      <c r="B812" s="29">
        <v>0.15</v>
      </c>
      <c r="C812" s="29">
        <v>5.42</v>
      </c>
      <c r="D812" s="28">
        <v>1.2494443159999999</v>
      </c>
      <c r="E812" s="30">
        <v>209274.8651</v>
      </c>
      <c r="F812" s="30">
        <v>368851.03860000003</v>
      </c>
      <c r="G812" s="30" t="s">
        <v>125</v>
      </c>
      <c r="H812" s="45" t="s">
        <v>22</v>
      </c>
      <c r="I812" s="16">
        <v>20</v>
      </c>
      <c r="J812" s="16" t="e">
        <f>NA()</f>
        <v>#N/A</v>
      </c>
      <c r="K812" t="e">
        <f>NA()</f>
        <v>#N/A</v>
      </c>
      <c r="L812" s="29">
        <v>1.32</v>
      </c>
      <c r="M812" s="29">
        <v>-24.2</v>
      </c>
      <c r="N812" s="29">
        <v>1.35</v>
      </c>
      <c r="O812" s="29">
        <v>-24.34</v>
      </c>
      <c r="P812" s="29">
        <v>0.13</v>
      </c>
      <c r="Q812" s="29">
        <v>4.92</v>
      </c>
      <c r="R812" s="16">
        <v>1475712000</v>
      </c>
      <c r="S812" s="30" t="s">
        <v>125</v>
      </c>
    </row>
    <row r="813" spans="1:19" ht="16" x14ac:dyDescent="0.2">
      <c r="A813" s="27" t="s">
        <v>870</v>
      </c>
      <c r="B813" s="29">
        <v>0.11</v>
      </c>
      <c r="C813" s="29">
        <v>2.89</v>
      </c>
      <c r="D813" s="28">
        <v>1.4262326190000001</v>
      </c>
      <c r="E813" s="30">
        <v>209274.8651</v>
      </c>
      <c r="F813" s="30">
        <v>368851.03860000003</v>
      </c>
      <c r="G813" s="30" t="s">
        <v>125</v>
      </c>
      <c r="H813" s="45" t="s">
        <v>22</v>
      </c>
      <c r="I813" s="16">
        <v>30</v>
      </c>
      <c r="J813" s="16" t="e">
        <f>NA()</f>
        <v>#N/A</v>
      </c>
      <c r="K813" t="e">
        <f>NA()</f>
        <v>#N/A</v>
      </c>
      <c r="L813" s="29">
        <v>0.98</v>
      </c>
      <c r="M813" s="29">
        <v>-24.03</v>
      </c>
      <c r="N813" s="29">
        <v>1.04</v>
      </c>
      <c r="O813" s="29">
        <v>-24.23</v>
      </c>
      <c r="P813" s="29">
        <v>0.1</v>
      </c>
      <c r="Q813" s="29">
        <v>5.2350000000000003</v>
      </c>
      <c r="R813" s="16">
        <v>1475712000</v>
      </c>
      <c r="S813" s="30" t="s">
        <v>125</v>
      </c>
    </row>
    <row r="814" spans="1:19" ht="16" x14ac:dyDescent="0.2">
      <c r="A814" s="27" t="s">
        <v>871</v>
      </c>
      <c r="B814" s="29">
        <v>0.06</v>
      </c>
      <c r="C814" s="29">
        <v>2.69</v>
      </c>
      <c r="D814" s="28">
        <v>1.2810136560000001</v>
      </c>
      <c r="E814" s="30">
        <v>209274.8651</v>
      </c>
      <c r="F814" s="30">
        <v>368851.03860000003</v>
      </c>
      <c r="G814" s="30" t="s">
        <v>125</v>
      </c>
      <c r="H814" s="45" t="s">
        <v>22</v>
      </c>
      <c r="I814" s="16">
        <v>60</v>
      </c>
      <c r="J814" s="16" t="e">
        <f>NA()</f>
        <v>#N/A</v>
      </c>
      <c r="K814" t="e">
        <f>NA()</f>
        <v>#N/A</v>
      </c>
      <c r="L814" s="29">
        <v>0.38</v>
      </c>
      <c r="M814" s="29">
        <v>-23.86</v>
      </c>
      <c r="N814" s="29">
        <v>0.34</v>
      </c>
      <c r="O814" s="29">
        <v>-24.14</v>
      </c>
      <c r="P814" s="29">
        <v>0.06</v>
      </c>
      <c r="Q814" s="29">
        <v>3.58</v>
      </c>
      <c r="R814" s="16">
        <v>1475712000</v>
      </c>
      <c r="S814" s="30" t="s">
        <v>125</v>
      </c>
    </row>
    <row r="815" spans="1:19" ht="16" x14ac:dyDescent="0.2">
      <c r="A815" s="27" t="s">
        <v>872</v>
      </c>
      <c r="B815" s="29">
        <v>0.04</v>
      </c>
      <c r="C815" s="29">
        <v>6.57</v>
      </c>
      <c r="D815" s="28">
        <v>1.239096588</v>
      </c>
      <c r="E815" s="30">
        <v>209274.8651</v>
      </c>
      <c r="F815" s="30">
        <v>368851.03860000003</v>
      </c>
      <c r="G815" s="30" t="s">
        <v>125</v>
      </c>
      <c r="H815" s="45" t="s">
        <v>22</v>
      </c>
      <c r="I815" s="16">
        <v>100</v>
      </c>
      <c r="J815" s="16" t="e">
        <f>NA()</f>
        <v>#N/A</v>
      </c>
      <c r="K815" t="e">
        <f>NA()</f>
        <v>#N/A</v>
      </c>
      <c r="L815" s="29">
        <v>0.23</v>
      </c>
      <c r="M815" s="29">
        <v>-18.149999999999999</v>
      </c>
      <c r="N815" s="29">
        <v>0.13</v>
      </c>
      <c r="O815" s="29">
        <v>-25.5</v>
      </c>
      <c r="P815" s="29">
        <v>0.06</v>
      </c>
      <c r="Q815" s="29">
        <v>3.5350000000000001</v>
      </c>
      <c r="R815" s="16">
        <v>1475712000</v>
      </c>
      <c r="S815" s="30" t="s">
        <v>125</v>
      </c>
    </row>
    <row r="816" spans="1:19" ht="16" x14ac:dyDescent="0.2">
      <c r="A816" s="27" t="s">
        <v>873</v>
      </c>
      <c r="B816" s="29">
        <v>0.25</v>
      </c>
      <c r="C816" s="29">
        <v>7.1</v>
      </c>
      <c r="D816" s="28">
        <v>1.2931935219999999</v>
      </c>
      <c r="E816" s="30">
        <v>204909.54329999999</v>
      </c>
      <c r="F816" s="30">
        <v>366099.93910000002</v>
      </c>
      <c r="G816" s="30" t="s">
        <v>159</v>
      </c>
      <c r="H816" s="45" t="s">
        <v>22</v>
      </c>
      <c r="I816" s="16">
        <v>10</v>
      </c>
      <c r="J816" s="28">
        <v>0.13594000000000001</v>
      </c>
      <c r="K816" t="e">
        <f>NA()</f>
        <v>#N/A</v>
      </c>
      <c r="L816" s="29">
        <v>2.19</v>
      </c>
      <c r="M816" s="29">
        <v>-21.45</v>
      </c>
      <c r="N816" s="29">
        <v>2.37</v>
      </c>
      <c r="O816" s="29">
        <v>-22.44</v>
      </c>
      <c r="P816" s="29">
        <v>0.23</v>
      </c>
      <c r="Q816" s="29">
        <v>5.88</v>
      </c>
      <c r="R816" s="16">
        <v>1475712000</v>
      </c>
      <c r="S816" s="30" t="s">
        <v>159</v>
      </c>
    </row>
    <row r="817" spans="1:19" ht="16" x14ac:dyDescent="0.2">
      <c r="A817" s="27" t="s">
        <v>874</v>
      </c>
      <c r="B817" s="29">
        <v>0.19</v>
      </c>
      <c r="C817" s="29">
        <v>6.81</v>
      </c>
      <c r="D817" s="28">
        <v>1.4302712040000001</v>
      </c>
      <c r="E817" s="30">
        <v>204909.54329999999</v>
      </c>
      <c r="F817" s="30">
        <v>366099.93910000002</v>
      </c>
      <c r="G817" s="30" t="s">
        <v>159</v>
      </c>
      <c r="H817" s="45" t="s">
        <v>22</v>
      </c>
      <c r="I817" s="16">
        <v>20</v>
      </c>
      <c r="J817" s="28">
        <v>0.10778</v>
      </c>
      <c r="K817" t="e">
        <f>NA()</f>
        <v>#N/A</v>
      </c>
      <c r="L817" s="29">
        <v>1.59</v>
      </c>
      <c r="M817" s="29">
        <v>-22.72</v>
      </c>
      <c r="N817" s="29">
        <v>2.0499999999999998</v>
      </c>
      <c r="O817" s="29">
        <v>-22.63</v>
      </c>
      <c r="P817" s="29">
        <v>0.19500000000000001</v>
      </c>
      <c r="Q817" s="29">
        <v>6.2750000000000004</v>
      </c>
      <c r="R817" s="16">
        <v>1475712000</v>
      </c>
      <c r="S817" s="30" t="s">
        <v>159</v>
      </c>
    </row>
    <row r="818" spans="1:19" ht="16" x14ac:dyDescent="0.2">
      <c r="A818" s="27" t="s">
        <v>875</v>
      </c>
      <c r="B818" s="29">
        <v>0.17</v>
      </c>
      <c r="C818" s="29">
        <v>4.7300000000000004</v>
      </c>
      <c r="D818" s="28">
        <v>1.3010289049999999</v>
      </c>
      <c r="E818" s="30">
        <v>204909.54329999999</v>
      </c>
      <c r="F818" s="30">
        <v>366099.93910000002</v>
      </c>
      <c r="G818" s="30" t="s">
        <v>159</v>
      </c>
      <c r="H818" s="45" t="s">
        <v>22</v>
      </c>
      <c r="I818" s="16">
        <v>30</v>
      </c>
      <c r="J818" s="28">
        <v>8.3830000000000002E-2</v>
      </c>
      <c r="K818" t="e">
        <f>NA()</f>
        <v>#N/A</v>
      </c>
      <c r="L818" s="29">
        <v>1.42</v>
      </c>
      <c r="M818" s="29">
        <v>-23.17</v>
      </c>
      <c r="N818" s="29">
        <v>1.2949999999999999</v>
      </c>
      <c r="O818" s="29">
        <v>-23.14</v>
      </c>
      <c r="P818" s="29">
        <v>0.14000000000000001</v>
      </c>
      <c r="Q818" s="29">
        <v>6.12</v>
      </c>
      <c r="R818" s="16">
        <v>1475712000</v>
      </c>
      <c r="S818" s="30" t="s">
        <v>159</v>
      </c>
    </row>
    <row r="819" spans="1:19" ht="16" x14ac:dyDescent="0.2">
      <c r="A819" s="27" t="s">
        <v>876</v>
      </c>
      <c r="B819" s="29">
        <v>0.09</v>
      </c>
      <c r="C819" s="29">
        <v>4.49</v>
      </c>
      <c r="D819" s="28">
        <v>1.4254783820000001</v>
      </c>
      <c r="E819" s="30">
        <v>204909.54329999999</v>
      </c>
      <c r="F819" s="30">
        <v>366099.93910000002</v>
      </c>
      <c r="G819" s="30" t="s">
        <v>159</v>
      </c>
      <c r="H819" s="45" t="s">
        <v>22</v>
      </c>
      <c r="I819" s="16">
        <v>60</v>
      </c>
      <c r="J819" s="28">
        <v>0.19950000000000001</v>
      </c>
      <c r="K819" t="e">
        <f>NA()</f>
        <v>#N/A</v>
      </c>
      <c r="L819" s="29">
        <v>0.65</v>
      </c>
      <c r="M819" s="29">
        <v>-24.285</v>
      </c>
      <c r="N819" s="29">
        <v>0.71</v>
      </c>
      <c r="O819" s="29">
        <v>-24.09</v>
      </c>
      <c r="P819" s="29">
        <v>0.08</v>
      </c>
      <c r="Q819" s="29">
        <v>4.22</v>
      </c>
      <c r="R819" s="16">
        <v>1475712000</v>
      </c>
      <c r="S819" s="30" t="s">
        <v>159</v>
      </c>
    </row>
    <row r="820" spans="1:19" ht="16" x14ac:dyDescent="0.2">
      <c r="A820" s="27" t="s">
        <v>877</v>
      </c>
      <c r="B820" s="29">
        <v>4.4999999999999998E-2</v>
      </c>
      <c r="C820" s="29">
        <v>5.7850000000000001</v>
      </c>
      <c r="D820" s="28">
        <v>1.393812029</v>
      </c>
      <c r="E820" s="30">
        <v>204909.54329999999</v>
      </c>
      <c r="F820" s="30">
        <v>366099.93910000002</v>
      </c>
      <c r="G820" s="30" t="s">
        <v>159</v>
      </c>
      <c r="H820" s="45" t="s">
        <v>22</v>
      </c>
      <c r="I820" s="16">
        <v>100</v>
      </c>
      <c r="J820" s="28">
        <v>0.14860999999999999</v>
      </c>
      <c r="K820" t="e">
        <f>NA()</f>
        <v>#N/A</v>
      </c>
      <c r="L820" s="29" t="s">
        <v>671</v>
      </c>
      <c r="M820" s="29" t="s">
        <v>671</v>
      </c>
      <c r="N820" s="29">
        <v>0.27</v>
      </c>
      <c r="O820" s="29">
        <v>-24.54</v>
      </c>
      <c r="P820" s="29">
        <v>0.05</v>
      </c>
      <c r="Q820" s="29">
        <v>4.5</v>
      </c>
      <c r="R820" s="16">
        <v>1475712000</v>
      </c>
      <c r="S820" s="30" t="s">
        <v>159</v>
      </c>
    </row>
    <row r="821" spans="1:19" ht="16" x14ac:dyDescent="0.2">
      <c r="A821" s="27" t="s">
        <v>878</v>
      </c>
      <c r="B821" s="29">
        <v>0.15</v>
      </c>
      <c r="C821" s="29">
        <v>5.39</v>
      </c>
      <c r="D821" s="28">
        <v>1.233169977</v>
      </c>
      <c r="E821" s="30">
        <v>206923.5949</v>
      </c>
      <c r="F821" s="30">
        <v>367496.74829999998</v>
      </c>
      <c r="G821" s="30" t="s">
        <v>21</v>
      </c>
      <c r="H821" s="45" t="s">
        <v>22</v>
      </c>
      <c r="I821" s="16">
        <v>10</v>
      </c>
      <c r="J821" s="28">
        <v>4.4999999999999997E-3</v>
      </c>
      <c r="K821" t="e">
        <f>NA()</f>
        <v>#N/A</v>
      </c>
      <c r="L821" s="29">
        <v>1.47</v>
      </c>
      <c r="M821" s="29">
        <v>-23.585000000000001</v>
      </c>
      <c r="N821" s="29">
        <v>1.57</v>
      </c>
      <c r="O821" s="29">
        <v>-23.95</v>
      </c>
      <c r="P821" s="29">
        <v>0.13</v>
      </c>
      <c r="Q821" s="29">
        <v>4.8099999999999996</v>
      </c>
      <c r="R821" s="16">
        <v>1475712000</v>
      </c>
      <c r="S821" s="30" t="s">
        <v>21</v>
      </c>
    </row>
    <row r="822" spans="1:19" ht="16" x14ac:dyDescent="0.2">
      <c r="A822" s="27" t="s">
        <v>879</v>
      </c>
      <c r="B822" s="29">
        <v>0.11</v>
      </c>
      <c r="C822" s="29">
        <v>4.9000000000000004</v>
      </c>
      <c r="D822" s="28">
        <v>1.3516420039999999</v>
      </c>
      <c r="E822" s="30">
        <v>206923.5949</v>
      </c>
      <c r="F822" s="30">
        <v>367496.74829999998</v>
      </c>
      <c r="G822" s="30" t="s">
        <v>21</v>
      </c>
      <c r="H822" s="45" t="s">
        <v>22</v>
      </c>
      <c r="I822" s="16">
        <v>20</v>
      </c>
      <c r="J822" s="28">
        <v>0</v>
      </c>
      <c r="K822" t="e">
        <f>NA()</f>
        <v>#N/A</v>
      </c>
      <c r="L822" s="29">
        <v>0.97</v>
      </c>
      <c r="M822" s="29">
        <v>-24.49</v>
      </c>
      <c r="N822" s="29">
        <v>0.94</v>
      </c>
      <c r="O822" s="29">
        <v>-24.475000000000001</v>
      </c>
      <c r="P822" s="29">
        <v>0.1</v>
      </c>
      <c r="Q822" s="29">
        <v>5.47</v>
      </c>
      <c r="R822" s="16">
        <v>1475712000</v>
      </c>
      <c r="S822" s="30" t="s">
        <v>21</v>
      </c>
    </row>
    <row r="823" spans="1:19" ht="16" x14ac:dyDescent="0.2">
      <c r="A823" s="27" t="s">
        <v>880</v>
      </c>
      <c r="B823" s="29">
        <v>7.0000000000000007E-2</v>
      </c>
      <c r="C823" s="29" t="s">
        <v>671</v>
      </c>
      <c r="D823" s="28">
        <v>1.469464619</v>
      </c>
      <c r="E823" s="30">
        <v>206923.5949</v>
      </c>
      <c r="F823" s="30">
        <v>367496.74829999998</v>
      </c>
      <c r="G823" s="30" t="s">
        <v>21</v>
      </c>
      <c r="H823" s="45" t="s">
        <v>22</v>
      </c>
      <c r="I823" s="16">
        <v>30</v>
      </c>
      <c r="J823" s="28">
        <v>0</v>
      </c>
      <c r="K823" t="e">
        <f>NA()</f>
        <v>#N/A</v>
      </c>
      <c r="L823" s="29">
        <v>0.5</v>
      </c>
      <c r="M823" s="29">
        <v>-24.06</v>
      </c>
      <c r="N823" s="29">
        <v>0.54</v>
      </c>
      <c r="O823" s="29">
        <v>-24.3</v>
      </c>
      <c r="P823" s="29">
        <v>0.06</v>
      </c>
      <c r="Q823" s="29">
        <v>4.78</v>
      </c>
      <c r="R823" s="16">
        <v>1475712000</v>
      </c>
      <c r="S823" s="30" t="s">
        <v>21</v>
      </c>
    </row>
    <row r="824" spans="1:19" ht="16" x14ac:dyDescent="0.2">
      <c r="A824" s="27" t="s">
        <v>881</v>
      </c>
      <c r="B824" s="29">
        <v>0.04</v>
      </c>
      <c r="C824" s="29" t="s">
        <v>671</v>
      </c>
      <c r="D824" s="28">
        <v>1.485075484</v>
      </c>
      <c r="E824" s="30">
        <v>206923.5949</v>
      </c>
      <c r="F824" s="30">
        <v>367496.74829999998</v>
      </c>
      <c r="G824" s="30" t="s">
        <v>21</v>
      </c>
      <c r="H824" s="45" t="s">
        <v>22</v>
      </c>
      <c r="I824" s="16">
        <v>60</v>
      </c>
      <c r="J824" s="28">
        <v>0</v>
      </c>
      <c r="K824" t="e">
        <f>NA()</f>
        <v>#N/A</v>
      </c>
      <c r="L824" s="29">
        <v>0.18</v>
      </c>
      <c r="M824" s="29">
        <v>-23.215</v>
      </c>
      <c r="N824" s="29">
        <v>0.193333333</v>
      </c>
      <c r="O824" s="29">
        <v>-23.41333333</v>
      </c>
      <c r="P824" s="29">
        <v>4.6666667000000002E-2</v>
      </c>
      <c r="Q824" s="29">
        <v>3.1866666669999999</v>
      </c>
      <c r="R824" s="16">
        <v>1475712000</v>
      </c>
      <c r="S824" s="30" t="s">
        <v>21</v>
      </c>
    </row>
    <row r="825" spans="1:19" ht="16" x14ac:dyDescent="0.2">
      <c r="A825" s="27" t="s">
        <v>882</v>
      </c>
      <c r="B825" s="29">
        <v>0.04</v>
      </c>
      <c r="C825" s="29">
        <v>3.69</v>
      </c>
      <c r="D825" s="28">
        <v>1.4439216269999999</v>
      </c>
      <c r="E825" s="30">
        <v>206923.5949</v>
      </c>
      <c r="F825" s="30">
        <v>367496.74829999998</v>
      </c>
      <c r="G825" s="30" t="s">
        <v>21</v>
      </c>
      <c r="H825" s="45" t="s">
        <v>22</v>
      </c>
      <c r="I825" s="16">
        <v>100</v>
      </c>
      <c r="J825" s="28">
        <v>0</v>
      </c>
      <c r="K825" t="e">
        <f>NA()</f>
        <v>#N/A</v>
      </c>
      <c r="L825" s="29">
        <v>0.115</v>
      </c>
      <c r="M825" s="29">
        <v>-24.774999999999999</v>
      </c>
      <c r="N825" s="29"/>
      <c r="O825" s="29"/>
      <c r="P825" s="29"/>
      <c r="Q825" s="29"/>
      <c r="R825" s="16">
        <v>1475712000</v>
      </c>
      <c r="S825" s="30" t="s">
        <v>21</v>
      </c>
    </row>
    <row r="826" spans="1:19" ht="16" x14ac:dyDescent="0.2">
      <c r="A826" s="27" t="s">
        <v>883</v>
      </c>
      <c r="B826" s="29">
        <v>0.33</v>
      </c>
      <c r="C826" s="29">
        <v>6.2750000000000004</v>
      </c>
      <c r="D826" s="28">
        <v>1.0089477870000001</v>
      </c>
      <c r="E826" s="30">
        <v>207130.2776</v>
      </c>
      <c r="F826" s="30">
        <v>366996.86820000003</v>
      </c>
      <c r="G826" s="30" t="s">
        <v>219</v>
      </c>
      <c r="H826" s="45" t="s">
        <v>22</v>
      </c>
      <c r="I826" s="16">
        <v>10</v>
      </c>
      <c r="J826" s="28">
        <v>2.2200000000000002E-3</v>
      </c>
      <c r="K826" t="e">
        <f>NA()</f>
        <v>#N/A</v>
      </c>
      <c r="L826" s="29">
        <v>3.26</v>
      </c>
      <c r="M826" s="29">
        <v>-27.22</v>
      </c>
      <c r="N826" s="29">
        <v>2.89</v>
      </c>
      <c r="O826" s="29">
        <v>-26.94</v>
      </c>
      <c r="P826" s="29">
        <v>0.245</v>
      </c>
      <c r="Q826" s="29">
        <v>2.71</v>
      </c>
      <c r="R826" s="16">
        <v>1476230400</v>
      </c>
      <c r="S826" s="30" t="s">
        <v>219</v>
      </c>
    </row>
    <row r="827" spans="1:19" ht="16" x14ac:dyDescent="0.2">
      <c r="A827" s="27" t="s">
        <v>884</v>
      </c>
      <c r="B827" s="29">
        <v>0.14499999999999999</v>
      </c>
      <c r="C827" s="29">
        <v>5.71</v>
      </c>
      <c r="D827" s="28">
        <v>1.3515329190000001</v>
      </c>
      <c r="E827" s="30">
        <v>207130.2776</v>
      </c>
      <c r="F827" s="30">
        <v>366996.86820000003</v>
      </c>
      <c r="G827" s="30" t="s">
        <v>219</v>
      </c>
      <c r="H827" s="45" t="s">
        <v>22</v>
      </c>
      <c r="I827" s="16">
        <v>20</v>
      </c>
      <c r="J827" s="28">
        <v>2.6099999999999999E-3</v>
      </c>
      <c r="K827" t="e">
        <f>NA()</f>
        <v>#N/A</v>
      </c>
      <c r="L827" s="29">
        <v>1.23</v>
      </c>
      <c r="M827" s="29">
        <v>-24.914999999999999</v>
      </c>
      <c r="N827" s="29">
        <v>1.29</v>
      </c>
      <c r="O827" s="29">
        <v>-25.05</v>
      </c>
      <c r="P827" s="29">
        <v>0.12</v>
      </c>
      <c r="Q827" s="29">
        <v>5.0999999999999996</v>
      </c>
      <c r="R827" s="16">
        <v>1476230400</v>
      </c>
      <c r="S827" s="30" t="s">
        <v>219</v>
      </c>
    </row>
    <row r="828" spans="1:19" ht="16" x14ac:dyDescent="0.2">
      <c r="A828" s="27" t="s">
        <v>885</v>
      </c>
      <c r="B828" s="29">
        <v>0.1</v>
      </c>
      <c r="C828" s="29">
        <v>5.1100000000000003</v>
      </c>
      <c r="D828" s="28">
        <v>1.40812709</v>
      </c>
      <c r="E828" s="30">
        <v>207130.2776</v>
      </c>
      <c r="F828" s="30">
        <v>366996.86820000003</v>
      </c>
      <c r="G828" s="30" t="s">
        <v>219</v>
      </c>
      <c r="H828" s="45" t="s">
        <v>22</v>
      </c>
      <c r="I828" s="16">
        <v>30</v>
      </c>
      <c r="J828" s="28">
        <v>6.0000000000000002E-5</v>
      </c>
      <c r="K828" t="e">
        <f>NA()</f>
        <v>#N/A</v>
      </c>
      <c r="L828" s="29">
        <v>0.75</v>
      </c>
      <c r="M828" s="29">
        <v>-24.67</v>
      </c>
      <c r="N828" s="29">
        <v>0.66</v>
      </c>
      <c r="O828" s="29">
        <v>-24.97</v>
      </c>
      <c r="P828" s="29">
        <v>0.08</v>
      </c>
      <c r="Q828" s="29">
        <v>4.5599999999999996</v>
      </c>
      <c r="R828" s="16">
        <v>1476230400</v>
      </c>
      <c r="S828" s="30" t="s">
        <v>219</v>
      </c>
    </row>
    <row r="829" spans="1:19" ht="16" x14ac:dyDescent="0.2">
      <c r="A829" s="27" t="s">
        <v>886</v>
      </c>
      <c r="B829" s="29">
        <v>0.06</v>
      </c>
      <c r="C829" s="29">
        <v>2.5499999999999998</v>
      </c>
      <c r="D829" s="28">
        <v>1.4873555839999999</v>
      </c>
      <c r="E829" s="30">
        <v>207130.2776</v>
      </c>
      <c r="F829" s="30">
        <v>366996.86820000003</v>
      </c>
      <c r="G829" s="30" t="s">
        <v>219</v>
      </c>
      <c r="H829" s="45" t="s">
        <v>22</v>
      </c>
      <c r="I829" s="16">
        <v>60</v>
      </c>
      <c r="J829" s="28">
        <v>6.0000000000000002E-5</v>
      </c>
      <c r="K829" t="e">
        <f>NA()</f>
        <v>#N/A</v>
      </c>
      <c r="L829" s="29">
        <v>0.22</v>
      </c>
      <c r="M829" s="29">
        <v>-24.47</v>
      </c>
      <c r="N829" s="29">
        <v>0.25</v>
      </c>
      <c r="O829" s="29">
        <v>-24.75</v>
      </c>
      <c r="P829" s="29">
        <v>0.06</v>
      </c>
      <c r="Q829" s="29">
        <v>1.08</v>
      </c>
      <c r="R829" s="16">
        <v>1476230400</v>
      </c>
      <c r="S829" s="30" t="s">
        <v>219</v>
      </c>
    </row>
    <row r="830" spans="1:19" ht="16" x14ac:dyDescent="0.2">
      <c r="A830" s="27" t="s">
        <v>887</v>
      </c>
      <c r="B830" s="29">
        <v>0.05</v>
      </c>
      <c r="C830" s="29">
        <v>6.36</v>
      </c>
      <c r="D830" s="28">
        <v>1.411159126</v>
      </c>
      <c r="E830" s="30">
        <v>207130.2776</v>
      </c>
      <c r="F830" s="30">
        <v>366996.86820000003</v>
      </c>
      <c r="G830" s="30" t="s">
        <v>219</v>
      </c>
      <c r="H830" s="45" t="s">
        <v>22</v>
      </c>
      <c r="I830" s="16">
        <v>100</v>
      </c>
      <c r="J830" s="28">
        <v>0</v>
      </c>
      <c r="K830" t="e">
        <f>NA()</f>
        <v>#N/A</v>
      </c>
      <c r="L830" s="29">
        <v>0.155</v>
      </c>
      <c r="M830" s="29">
        <v>-25.274999999999999</v>
      </c>
      <c r="N830" s="29">
        <v>0.16500000000000001</v>
      </c>
      <c r="O830" s="29">
        <v>-25.545000000000002</v>
      </c>
      <c r="P830" s="29">
        <v>0.06</v>
      </c>
      <c r="Q830" s="29">
        <v>2.5649999999999999</v>
      </c>
      <c r="R830" s="16">
        <v>1476230400</v>
      </c>
      <c r="S830" s="30" t="s">
        <v>219</v>
      </c>
    </row>
    <row r="831" spans="1:19" ht="16" x14ac:dyDescent="0.2">
      <c r="A831" s="27" t="s">
        <v>888</v>
      </c>
      <c r="B831" s="29">
        <v>0.15</v>
      </c>
      <c r="C831" s="29">
        <v>6.02</v>
      </c>
      <c r="D831" s="28">
        <v>1.0110997500000001</v>
      </c>
      <c r="E831" s="30">
        <v>207422.44510000001</v>
      </c>
      <c r="F831" s="30">
        <v>366364.82120000001</v>
      </c>
      <c r="G831" s="30" t="s">
        <v>34</v>
      </c>
      <c r="H831" s="45" t="s">
        <v>22</v>
      </c>
      <c r="I831" s="16">
        <v>10</v>
      </c>
      <c r="J831" s="28">
        <v>2.683E-2</v>
      </c>
      <c r="K831" t="e">
        <f>NA()</f>
        <v>#N/A</v>
      </c>
      <c r="L831" s="29">
        <v>1.45</v>
      </c>
      <c r="M831" s="29">
        <v>-23.76</v>
      </c>
      <c r="N831" s="29">
        <v>1.345</v>
      </c>
      <c r="O831" s="29">
        <v>-23.954999999999998</v>
      </c>
      <c r="P831" s="29">
        <v>0.13500000000000001</v>
      </c>
      <c r="Q831" s="29">
        <v>5.23</v>
      </c>
      <c r="R831" s="16">
        <v>1476230400</v>
      </c>
      <c r="S831" s="30" t="s">
        <v>34</v>
      </c>
    </row>
    <row r="832" spans="1:19" ht="16" x14ac:dyDescent="0.2">
      <c r="A832" s="27" t="s">
        <v>889</v>
      </c>
      <c r="B832" s="29">
        <v>0.16</v>
      </c>
      <c r="C832" s="29">
        <v>4.8499999999999996</v>
      </c>
      <c r="D832" s="28">
        <v>1.1844585299999999</v>
      </c>
      <c r="E832" s="30">
        <v>207422.44510000001</v>
      </c>
      <c r="F832" s="30">
        <v>366364.82120000001</v>
      </c>
      <c r="G832" s="30" t="s">
        <v>34</v>
      </c>
      <c r="H832" s="45" t="s">
        <v>22</v>
      </c>
      <c r="I832" s="16">
        <v>20</v>
      </c>
      <c r="J832" s="28">
        <v>4.4670000000000001E-2</v>
      </c>
      <c r="K832" t="e">
        <f>NA()</f>
        <v>#N/A</v>
      </c>
      <c r="L832" s="29">
        <v>1.51</v>
      </c>
      <c r="M832" s="29">
        <v>-23.04</v>
      </c>
      <c r="N832" s="29">
        <v>1.43</v>
      </c>
      <c r="O832" s="29">
        <v>-23.63</v>
      </c>
      <c r="P832" s="29">
        <v>0.14000000000000001</v>
      </c>
      <c r="Q832" s="29">
        <v>5.38</v>
      </c>
      <c r="R832" s="16">
        <v>1476230400</v>
      </c>
      <c r="S832" s="30" t="s">
        <v>34</v>
      </c>
    </row>
    <row r="833" spans="1:19" ht="16" x14ac:dyDescent="0.2">
      <c r="A833" s="27" t="s">
        <v>890</v>
      </c>
      <c r="B833" s="29">
        <v>0.16</v>
      </c>
      <c r="C833" s="29">
        <v>4.5350000000000001</v>
      </c>
      <c r="D833" s="28">
        <v>1.395021082</v>
      </c>
      <c r="E833" s="30">
        <v>207422.44510000001</v>
      </c>
      <c r="F833" s="30">
        <v>366364.82120000001</v>
      </c>
      <c r="G833" s="30" t="s">
        <v>34</v>
      </c>
      <c r="H833" s="45" t="s">
        <v>22</v>
      </c>
      <c r="I833" s="16">
        <v>30</v>
      </c>
      <c r="J833" s="28">
        <v>4.0390000000000002E-2</v>
      </c>
      <c r="K833" t="e">
        <f>NA()</f>
        <v>#N/A</v>
      </c>
      <c r="L833" s="29">
        <v>0.98499999999999999</v>
      </c>
      <c r="M833" s="29">
        <v>-24.19</v>
      </c>
      <c r="N833" s="29">
        <v>0.93</v>
      </c>
      <c r="O833" s="29">
        <v>-24.4</v>
      </c>
      <c r="P833" s="29">
        <v>0.11</v>
      </c>
      <c r="Q833" s="29">
        <v>5.54</v>
      </c>
      <c r="R833" s="16">
        <v>1476230400</v>
      </c>
      <c r="S833" s="30" t="s">
        <v>34</v>
      </c>
    </row>
    <row r="834" spans="1:19" ht="16" x14ac:dyDescent="0.2">
      <c r="A834" s="27" t="s">
        <v>891</v>
      </c>
      <c r="B834" s="29">
        <v>0.05</v>
      </c>
      <c r="C834" s="29">
        <v>4.0549999999999997</v>
      </c>
      <c r="D834" s="28">
        <v>1.5274417119999999</v>
      </c>
      <c r="E834" s="30">
        <v>207422.44510000001</v>
      </c>
      <c r="F834" s="30">
        <v>366364.82120000001</v>
      </c>
      <c r="G834" s="30" t="s">
        <v>34</v>
      </c>
      <c r="H834" s="45" t="s">
        <v>22</v>
      </c>
      <c r="I834" s="16">
        <v>60</v>
      </c>
      <c r="J834" s="28">
        <v>6.7000000000000002E-4</v>
      </c>
      <c r="K834" t="e">
        <f>NA()</f>
        <v>#N/A</v>
      </c>
      <c r="L834" s="29">
        <v>0.24</v>
      </c>
      <c r="M834" s="29">
        <v>-23.695</v>
      </c>
      <c r="N834" s="29">
        <v>0.23</v>
      </c>
      <c r="O834" s="29">
        <v>-23.56</v>
      </c>
      <c r="P834" s="29">
        <v>0.05</v>
      </c>
      <c r="Q834" s="29">
        <v>2.76</v>
      </c>
      <c r="R834" s="16">
        <v>1476230400</v>
      </c>
      <c r="S834" s="30" t="s">
        <v>34</v>
      </c>
    </row>
    <row r="835" spans="1:19" ht="16" x14ac:dyDescent="0.2">
      <c r="A835" s="27" t="s">
        <v>892</v>
      </c>
      <c r="B835" s="29">
        <v>0.04</v>
      </c>
      <c r="C835" s="29">
        <v>5.45</v>
      </c>
      <c r="D835" s="28">
        <v>1.5162532909999999</v>
      </c>
      <c r="E835" s="30">
        <v>207422.44510000001</v>
      </c>
      <c r="F835" s="30">
        <v>366364.82120000001</v>
      </c>
      <c r="G835" s="30" t="s">
        <v>34</v>
      </c>
      <c r="H835" s="45" t="s">
        <v>22</v>
      </c>
      <c r="I835" s="16">
        <v>100</v>
      </c>
      <c r="J835" s="28">
        <v>1.67E-3</v>
      </c>
      <c r="K835" t="e">
        <f>NA()</f>
        <v>#N/A</v>
      </c>
      <c r="L835" s="29">
        <v>0.17</v>
      </c>
      <c r="M835" s="29">
        <v>-14.335000000000001</v>
      </c>
      <c r="N835" s="29">
        <v>0.14000000000000001</v>
      </c>
      <c r="O835" s="29">
        <v>-22.13</v>
      </c>
      <c r="P835" s="29">
        <v>0.04</v>
      </c>
      <c r="Q835" s="29">
        <v>2.0499999999999998</v>
      </c>
      <c r="R835" s="16">
        <v>1476230400</v>
      </c>
      <c r="S835" s="30" t="s">
        <v>34</v>
      </c>
    </row>
    <row r="836" spans="1:19" ht="16" x14ac:dyDescent="0.2">
      <c r="A836" s="27" t="s">
        <v>893</v>
      </c>
      <c r="B836" s="29">
        <v>0.11</v>
      </c>
      <c r="C836" s="29">
        <v>5.16</v>
      </c>
      <c r="D836" s="28">
        <v>0.89686833799999999</v>
      </c>
      <c r="E836" s="30">
        <v>209868.28159999999</v>
      </c>
      <c r="F836" s="30">
        <v>370198.27370000002</v>
      </c>
      <c r="G836" s="30" t="s">
        <v>285</v>
      </c>
      <c r="H836" s="45" t="s">
        <v>22</v>
      </c>
      <c r="I836" s="16">
        <v>10</v>
      </c>
      <c r="J836" s="28">
        <v>3.5110000000000002E-2</v>
      </c>
      <c r="K836" t="e">
        <f>NA()</f>
        <v>#N/A</v>
      </c>
      <c r="L836" s="29">
        <v>0.95</v>
      </c>
      <c r="M836" s="29">
        <v>-23.56</v>
      </c>
      <c r="N836" s="29">
        <v>1.2</v>
      </c>
      <c r="O836" s="29">
        <v>-24.03</v>
      </c>
      <c r="P836" s="29">
        <v>0.1</v>
      </c>
      <c r="Q836" s="29">
        <v>3.68</v>
      </c>
      <c r="R836" s="16">
        <v>1476230400</v>
      </c>
      <c r="S836" s="30" t="s">
        <v>285</v>
      </c>
    </row>
    <row r="837" spans="1:19" ht="16" x14ac:dyDescent="0.2">
      <c r="A837" s="27" t="s">
        <v>894</v>
      </c>
      <c r="B837" s="29">
        <v>0.13</v>
      </c>
      <c r="C837" s="29">
        <v>5.0149999999999997</v>
      </c>
      <c r="D837" s="28">
        <v>1.123455452</v>
      </c>
      <c r="E837" s="30">
        <v>209868.28159999999</v>
      </c>
      <c r="F837" s="30">
        <v>370198.27370000002</v>
      </c>
      <c r="G837" s="30" t="s">
        <v>285</v>
      </c>
      <c r="H837" s="45" t="s">
        <v>22</v>
      </c>
      <c r="I837" s="16">
        <v>20</v>
      </c>
      <c r="J837" s="28">
        <v>1.506E-2</v>
      </c>
      <c r="K837" t="e">
        <f>NA()</f>
        <v>#N/A</v>
      </c>
      <c r="L837" s="29">
        <v>1.1599999999999999</v>
      </c>
      <c r="M837" s="29">
        <v>-22.52</v>
      </c>
      <c r="N837" s="29">
        <v>1.39</v>
      </c>
      <c r="O837" s="29">
        <v>-22.6</v>
      </c>
      <c r="P837" s="29">
        <v>0.12</v>
      </c>
      <c r="Q837" s="29">
        <v>3.75</v>
      </c>
      <c r="R837" s="16">
        <v>1476230400</v>
      </c>
      <c r="S837" s="30" t="s">
        <v>285</v>
      </c>
    </row>
    <row r="838" spans="1:19" ht="16" x14ac:dyDescent="0.2">
      <c r="A838" s="27" t="s">
        <v>895</v>
      </c>
      <c r="B838" s="29">
        <v>0.115</v>
      </c>
      <c r="C838" s="29">
        <v>6.84</v>
      </c>
      <c r="D838" s="28">
        <v>1.2478974039999999</v>
      </c>
      <c r="E838" s="30">
        <v>209868.28159999999</v>
      </c>
      <c r="F838" s="30">
        <v>370198.27370000002</v>
      </c>
      <c r="G838" s="30" t="s">
        <v>285</v>
      </c>
      <c r="H838" s="45" t="s">
        <v>22</v>
      </c>
      <c r="I838" s="16">
        <v>30</v>
      </c>
      <c r="J838" s="28">
        <v>1.95E-2</v>
      </c>
      <c r="K838" t="e">
        <f>NA()</f>
        <v>#N/A</v>
      </c>
      <c r="L838" s="29">
        <v>1.115</v>
      </c>
      <c r="M838" s="29">
        <v>-23.114999999999998</v>
      </c>
      <c r="N838" s="29">
        <v>1.02</v>
      </c>
      <c r="O838" s="29">
        <v>-23.1</v>
      </c>
      <c r="P838" s="29">
        <v>0.11</v>
      </c>
      <c r="Q838" s="29">
        <v>4.9800000000000004</v>
      </c>
      <c r="R838" s="16">
        <v>1476230400</v>
      </c>
      <c r="S838" s="30" t="s">
        <v>285</v>
      </c>
    </row>
    <row r="839" spans="1:19" ht="16" x14ac:dyDescent="0.2">
      <c r="A839" s="27" t="s">
        <v>896</v>
      </c>
      <c r="B839" s="29">
        <v>0.04</v>
      </c>
      <c r="C839" s="29">
        <v>4.33</v>
      </c>
      <c r="D839" s="28">
        <v>1.5064765870000001</v>
      </c>
      <c r="E839" s="30">
        <v>209868.28159999999</v>
      </c>
      <c r="F839" s="30">
        <v>370198.27370000002</v>
      </c>
      <c r="G839" s="30" t="s">
        <v>285</v>
      </c>
      <c r="H839" s="45" t="s">
        <v>22</v>
      </c>
      <c r="I839" s="16">
        <v>60</v>
      </c>
      <c r="J839" s="28">
        <v>2.461E-2</v>
      </c>
      <c r="K839" t="e">
        <f>NA()</f>
        <v>#N/A</v>
      </c>
      <c r="L839" s="29">
        <v>0.28999999999999998</v>
      </c>
      <c r="M839" s="29">
        <v>-23.14</v>
      </c>
      <c r="N839" s="29">
        <v>0.33</v>
      </c>
      <c r="O839" s="29">
        <v>-23.13</v>
      </c>
      <c r="P839" s="29">
        <v>0.04</v>
      </c>
      <c r="Q839" s="29">
        <v>2.2400000000000002</v>
      </c>
      <c r="R839" s="16">
        <v>1476230400</v>
      </c>
      <c r="S839" s="30" t="s">
        <v>285</v>
      </c>
    </row>
    <row r="840" spans="1:19" ht="16" x14ac:dyDescent="0.2">
      <c r="A840" s="27" t="s">
        <v>897</v>
      </c>
      <c r="B840" s="29">
        <v>0.03</v>
      </c>
      <c r="C840" s="29">
        <v>3.88</v>
      </c>
      <c r="D840" s="28">
        <v>1.522237711</v>
      </c>
      <c r="E840" s="30">
        <v>209868.28159999999</v>
      </c>
      <c r="F840" s="30">
        <v>370198.27370000002</v>
      </c>
      <c r="G840" s="30" t="s">
        <v>285</v>
      </c>
      <c r="H840" s="45" t="s">
        <v>22</v>
      </c>
      <c r="I840" s="16">
        <v>100</v>
      </c>
      <c r="J840" s="28">
        <v>3.2799999999999999E-3</v>
      </c>
      <c r="K840" t="e">
        <f>NA()</f>
        <v>#N/A</v>
      </c>
      <c r="L840" s="29">
        <v>0.11</v>
      </c>
      <c r="M840" s="29">
        <v>-24.74</v>
      </c>
      <c r="N840" s="29">
        <v>0.09</v>
      </c>
      <c r="O840" s="29">
        <v>-24.38</v>
      </c>
      <c r="P840" s="29">
        <v>0.03</v>
      </c>
      <c r="Q840" s="29">
        <v>5.32</v>
      </c>
      <c r="R840" s="16">
        <v>1476230400</v>
      </c>
      <c r="S840" s="30" t="s">
        <v>285</v>
      </c>
    </row>
    <row r="841" spans="1:19" ht="16" x14ac:dyDescent="0.2">
      <c r="A841" s="27" t="s">
        <v>898</v>
      </c>
      <c r="B841" s="29">
        <v>0.1</v>
      </c>
      <c r="C841" s="29">
        <v>4.5650000000000004</v>
      </c>
      <c r="D841" s="28">
        <v>1.060168056</v>
      </c>
      <c r="E841" s="30">
        <v>208112.63140000001</v>
      </c>
      <c r="F841" s="30">
        <v>365496.48340000003</v>
      </c>
      <c r="G841" s="30" t="s">
        <v>623</v>
      </c>
      <c r="H841" s="45" t="s">
        <v>22</v>
      </c>
      <c r="I841" s="16">
        <v>10</v>
      </c>
      <c r="J841" s="28">
        <v>3.2799999999999999E-3</v>
      </c>
      <c r="K841" t="e">
        <f>NA()</f>
        <v>#N/A</v>
      </c>
      <c r="L841" s="29">
        <v>1</v>
      </c>
      <c r="M841" s="29">
        <v>-21.58</v>
      </c>
      <c r="N841" s="29">
        <v>0.88500000000000001</v>
      </c>
      <c r="O841" s="29">
        <v>-21.28</v>
      </c>
      <c r="P841" s="29">
        <v>0.09</v>
      </c>
      <c r="Q841" s="29">
        <v>3.87</v>
      </c>
      <c r="R841" s="16">
        <v>1476230400</v>
      </c>
      <c r="S841" s="30" t="s">
        <v>623</v>
      </c>
    </row>
    <row r="842" spans="1:19" ht="16" x14ac:dyDescent="0.2">
      <c r="A842" s="27" t="s">
        <v>899</v>
      </c>
      <c r="B842" s="29">
        <v>9.5000000000000001E-2</v>
      </c>
      <c r="C842" s="29">
        <v>4.28</v>
      </c>
      <c r="D842" s="28">
        <v>1.2800391739999999</v>
      </c>
      <c r="E842" s="30">
        <v>208112.63140000001</v>
      </c>
      <c r="F842" s="30">
        <v>365496.48340000003</v>
      </c>
      <c r="G842" s="30" t="s">
        <v>623</v>
      </c>
      <c r="H842" s="45" t="s">
        <v>22</v>
      </c>
      <c r="I842" s="16">
        <v>20</v>
      </c>
      <c r="J842" s="28">
        <v>3.2200000000000002E-3</v>
      </c>
      <c r="K842" t="e">
        <f>NA()</f>
        <v>#N/A</v>
      </c>
      <c r="L842" s="29">
        <v>0.90500000000000003</v>
      </c>
      <c r="M842" s="29">
        <v>-21.405000000000001</v>
      </c>
      <c r="N842" s="29">
        <v>0.77</v>
      </c>
      <c r="O842" s="29">
        <v>-21.44</v>
      </c>
      <c r="P842" s="29">
        <v>0.08</v>
      </c>
      <c r="Q842" s="29">
        <v>4.1399999999999997</v>
      </c>
      <c r="R842" s="16">
        <v>1476230400</v>
      </c>
      <c r="S842" s="30" t="s">
        <v>623</v>
      </c>
    </row>
    <row r="843" spans="1:19" ht="16" x14ac:dyDescent="0.2">
      <c r="A843" s="27" t="s">
        <v>900</v>
      </c>
      <c r="B843" s="29">
        <v>7.0000000000000007E-2</v>
      </c>
      <c r="C843" s="29">
        <v>4.6950000000000003</v>
      </c>
      <c r="D843" s="28">
        <v>1.388866368</v>
      </c>
      <c r="E843" s="30">
        <v>208112.63140000001</v>
      </c>
      <c r="F843" s="30">
        <v>365496.48340000003</v>
      </c>
      <c r="G843" s="30" t="s">
        <v>623</v>
      </c>
      <c r="H843" s="45" t="s">
        <v>22</v>
      </c>
      <c r="I843" s="16">
        <v>30</v>
      </c>
      <c r="J843" s="28">
        <v>5.8300000000000001E-3</v>
      </c>
      <c r="K843" t="e">
        <f>NA()</f>
        <v>#N/A</v>
      </c>
      <c r="L843" s="29">
        <v>0.63</v>
      </c>
      <c r="M843" s="29">
        <v>-22.33</v>
      </c>
      <c r="N843" s="29">
        <v>0.56999999999999995</v>
      </c>
      <c r="O843" s="29">
        <v>-22.66</v>
      </c>
      <c r="P843" s="29">
        <v>7.0000000000000007E-2</v>
      </c>
      <c r="Q843" s="29">
        <v>5.4</v>
      </c>
      <c r="R843" s="16">
        <v>1476230400</v>
      </c>
      <c r="S843" s="30" t="s">
        <v>623</v>
      </c>
    </row>
    <row r="844" spans="1:19" ht="16" x14ac:dyDescent="0.2">
      <c r="A844" s="27" t="s">
        <v>901</v>
      </c>
      <c r="B844" s="29">
        <v>4.4999999999999998E-2</v>
      </c>
      <c r="C844" s="35">
        <v>2.13</v>
      </c>
      <c r="D844" s="28">
        <v>1.4605812920000001</v>
      </c>
      <c r="E844" s="30">
        <v>208112.63140000001</v>
      </c>
      <c r="F844" s="30">
        <v>365496.48340000003</v>
      </c>
      <c r="G844" s="30" t="s">
        <v>623</v>
      </c>
      <c r="H844" s="45" t="s">
        <v>22</v>
      </c>
      <c r="I844" s="16">
        <v>60</v>
      </c>
      <c r="J844" s="28">
        <v>7.6699999999999997E-3</v>
      </c>
      <c r="K844" t="e">
        <f>NA()</f>
        <v>#N/A</v>
      </c>
      <c r="L844" s="29">
        <v>0.28999999999999998</v>
      </c>
      <c r="M844" s="29">
        <v>-22.33</v>
      </c>
      <c r="N844" s="29">
        <v>0.26250000000000001</v>
      </c>
      <c r="O844" s="29">
        <v>-22.69</v>
      </c>
      <c r="P844" s="29">
        <v>4.4999999999999998E-2</v>
      </c>
      <c r="Q844" s="29">
        <v>5.415</v>
      </c>
      <c r="R844" s="16">
        <v>1476230400</v>
      </c>
      <c r="S844" s="30" t="s">
        <v>623</v>
      </c>
    </row>
    <row r="845" spans="1:19" ht="16" x14ac:dyDescent="0.2">
      <c r="A845" s="32" t="s">
        <v>902</v>
      </c>
      <c r="B845" s="35">
        <v>0.03</v>
      </c>
      <c r="D845" s="33">
        <v>1.383937016</v>
      </c>
      <c r="E845" s="47">
        <v>208112.63140000001</v>
      </c>
      <c r="F845" s="47">
        <v>365496.48340000003</v>
      </c>
      <c r="G845" s="47" t="s">
        <v>623</v>
      </c>
      <c r="H845" s="48" t="s">
        <v>22</v>
      </c>
      <c r="I845" s="17">
        <v>100</v>
      </c>
      <c r="J845" s="33">
        <v>5.8900000000000003E-3</v>
      </c>
      <c r="K845" t="e">
        <f>NA()</f>
        <v>#N/A</v>
      </c>
      <c r="L845" s="35">
        <v>0.12</v>
      </c>
      <c r="M845" s="35">
        <v>-23</v>
      </c>
      <c r="N845" s="35">
        <v>0.16</v>
      </c>
      <c r="O845" s="35">
        <v>-24.96</v>
      </c>
      <c r="P845" s="35">
        <v>0.03</v>
      </c>
      <c r="Q845" s="35">
        <v>2.0499999999999998</v>
      </c>
      <c r="R845" s="17">
        <v>1476230400</v>
      </c>
      <c r="S845" s="47" t="s">
        <v>623</v>
      </c>
    </row>
    <row r="846" spans="1:19" ht="16" x14ac:dyDescent="0.2">
      <c r="A846" s="37" t="s">
        <v>903</v>
      </c>
      <c r="B846" s="49">
        <v>0.19</v>
      </c>
      <c r="C846" s="49">
        <v>6.38</v>
      </c>
      <c r="D846" s="51">
        <v>1.9927115820000001</v>
      </c>
      <c r="E846" s="43">
        <v>209797.8315</v>
      </c>
      <c r="F846" s="43">
        <v>368638.50109999999</v>
      </c>
      <c r="G846" s="43" t="s">
        <v>55</v>
      </c>
      <c r="H846" s="53" t="s">
        <v>22</v>
      </c>
      <c r="I846" s="39">
        <v>15</v>
      </c>
      <c r="J846" s="39" t="e">
        <v>#N/A</v>
      </c>
      <c r="K846" s="39" t="e">
        <v>#N/A</v>
      </c>
      <c r="L846" s="49">
        <v>1.98</v>
      </c>
      <c r="M846" s="49">
        <v>-25.97</v>
      </c>
      <c r="N846" t="e">
        <f>-NA()</f>
        <v>#N/A</v>
      </c>
      <c r="O846" t="e">
        <f>-NA()</f>
        <v>#N/A</v>
      </c>
      <c r="P846" t="e">
        <f>-NA()</f>
        <v>#N/A</v>
      </c>
      <c r="Q846" t="e">
        <f>-NA()</f>
        <v>#N/A</v>
      </c>
      <c r="R846" s="39">
        <v>1449705600</v>
      </c>
      <c r="S846" s="39" t="s">
        <v>737</v>
      </c>
    </row>
    <row r="847" spans="1:19" ht="16" x14ac:dyDescent="0.2">
      <c r="A847" s="37" t="s">
        <v>904</v>
      </c>
      <c r="B847" s="49">
        <v>0.13</v>
      </c>
      <c r="C847" s="49">
        <v>7.87</v>
      </c>
      <c r="D847" s="51">
        <v>1.2689823140000001</v>
      </c>
      <c r="E847" s="43">
        <v>209797.8315</v>
      </c>
      <c r="F847" s="43">
        <v>368638.50109999999</v>
      </c>
      <c r="G847" s="43" t="s">
        <v>55</v>
      </c>
      <c r="H847" s="53" t="s">
        <v>22</v>
      </c>
      <c r="I847" s="39">
        <v>30</v>
      </c>
      <c r="J847" s="39" t="e">
        <v>#N/A</v>
      </c>
      <c r="K847" s="39" t="e">
        <v>#N/A</v>
      </c>
      <c r="L847" s="49">
        <v>1.54</v>
      </c>
      <c r="M847" s="49">
        <v>-25.58</v>
      </c>
      <c r="N847" t="e">
        <f>-NA()</f>
        <v>#N/A</v>
      </c>
      <c r="O847" t="e">
        <f>-NA()</f>
        <v>#N/A</v>
      </c>
      <c r="P847" t="e">
        <f>-NA()</f>
        <v>#N/A</v>
      </c>
      <c r="Q847" t="e">
        <f>-NA()</f>
        <v>#N/A</v>
      </c>
      <c r="R847" s="39">
        <v>1449705600</v>
      </c>
      <c r="S847" s="39" t="s">
        <v>737</v>
      </c>
    </row>
    <row r="848" spans="1:19" ht="16" x14ac:dyDescent="0.2">
      <c r="A848" s="37" t="s">
        <v>905</v>
      </c>
      <c r="B848" s="49">
        <v>0.15</v>
      </c>
      <c r="C848" s="49">
        <v>7.55</v>
      </c>
      <c r="D848" s="51">
        <v>2.3447518359999999</v>
      </c>
      <c r="E848" s="43">
        <v>208970.97630000001</v>
      </c>
      <c r="F848" s="43">
        <v>368740.52010000002</v>
      </c>
      <c r="G848" s="43" t="s">
        <v>91</v>
      </c>
      <c r="H848" s="53" t="s">
        <v>22</v>
      </c>
      <c r="I848" s="39">
        <v>15</v>
      </c>
      <c r="J848" s="39" t="e">
        <v>#N/A</v>
      </c>
      <c r="K848" s="39" t="e">
        <v>#N/A</v>
      </c>
      <c r="L848" s="49">
        <v>1.38</v>
      </c>
      <c r="M848" s="49">
        <v>-24.3</v>
      </c>
      <c r="N848" t="e">
        <f>-NA()</f>
        <v>#N/A</v>
      </c>
      <c r="O848" t="e">
        <f>-NA()</f>
        <v>#N/A</v>
      </c>
      <c r="P848" t="e">
        <f>-NA()</f>
        <v>#N/A</v>
      </c>
      <c r="Q848" t="e">
        <f>-NA()</f>
        <v>#N/A</v>
      </c>
      <c r="R848" s="39">
        <v>1450224000</v>
      </c>
      <c r="S848" s="39" t="s">
        <v>743</v>
      </c>
    </row>
    <row r="849" spans="1:19" ht="16" x14ac:dyDescent="0.2">
      <c r="A849" s="37" t="s">
        <v>906</v>
      </c>
      <c r="B849" s="49">
        <v>0.1</v>
      </c>
      <c r="C849" s="49">
        <v>9.6</v>
      </c>
      <c r="D849" s="51">
        <v>1.395061847</v>
      </c>
      <c r="E849" s="43">
        <v>208970.97630000001</v>
      </c>
      <c r="F849" s="43">
        <v>368740.52010000002</v>
      </c>
      <c r="G849" s="43" t="s">
        <v>91</v>
      </c>
      <c r="H849" s="53" t="s">
        <v>22</v>
      </c>
      <c r="I849" s="39">
        <v>30</v>
      </c>
      <c r="J849" s="39" t="e">
        <v>#N/A</v>
      </c>
      <c r="K849" s="39" t="e">
        <v>#N/A</v>
      </c>
      <c r="L849" s="49">
        <v>0.96</v>
      </c>
      <c r="M849" s="49">
        <v>-24.64</v>
      </c>
      <c r="N849" t="e">
        <f>-NA()</f>
        <v>#N/A</v>
      </c>
      <c r="O849" t="e">
        <f>-NA()</f>
        <v>#N/A</v>
      </c>
      <c r="P849" t="e">
        <f>-NA()</f>
        <v>#N/A</v>
      </c>
      <c r="Q849" t="e">
        <f>-NA()</f>
        <v>#N/A</v>
      </c>
      <c r="R849" s="39">
        <v>1450224000</v>
      </c>
      <c r="S849" s="39" t="s">
        <v>743</v>
      </c>
    </row>
    <row r="850" spans="1:19" ht="16" x14ac:dyDescent="0.2">
      <c r="A850" s="37" t="s">
        <v>907</v>
      </c>
      <c r="B850" s="49">
        <v>0.15</v>
      </c>
      <c r="C850" s="49">
        <v>8.27</v>
      </c>
      <c r="D850" s="51">
        <v>2.2219470960000001</v>
      </c>
      <c r="E850" s="43">
        <v>209274.8651</v>
      </c>
      <c r="F850" s="43">
        <v>368851.03860000003</v>
      </c>
      <c r="G850" s="43" t="s">
        <v>125</v>
      </c>
      <c r="H850" s="53" t="s">
        <v>22</v>
      </c>
      <c r="I850" s="39">
        <v>15</v>
      </c>
      <c r="J850" s="39" t="e">
        <v>#N/A</v>
      </c>
      <c r="K850" s="39" t="e">
        <v>#N/A</v>
      </c>
      <c r="L850" s="49">
        <v>1.41</v>
      </c>
      <c r="M850" s="49">
        <v>-24.34</v>
      </c>
      <c r="N850" t="e">
        <f>-NA()</f>
        <v>#N/A</v>
      </c>
      <c r="O850" t="e">
        <f>-NA()</f>
        <v>#N/A</v>
      </c>
      <c r="P850" t="e">
        <f>-NA()</f>
        <v>#N/A</v>
      </c>
      <c r="Q850" t="e">
        <f>-NA()</f>
        <v>#N/A</v>
      </c>
      <c r="R850" s="39">
        <v>1450224000</v>
      </c>
      <c r="S850" s="39" t="s">
        <v>749</v>
      </c>
    </row>
    <row r="851" spans="1:19" ht="16" x14ac:dyDescent="0.2">
      <c r="A851" s="37" t="s">
        <v>908</v>
      </c>
      <c r="B851" s="49">
        <v>0.1</v>
      </c>
      <c r="C851" s="49">
        <v>9.125</v>
      </c>
      <c r="D851" s="51">
        <v>1.306642434</v>
      </c>
      <c r="E851" s="43">
        <v>209274.8651</v>
      </c>
      <c r="F851" s="43">
        <v>368851.03860000003</v>
      </c>
      <c r="G851" s="43" t="s">
        <v>125</v>
      </c>
      <c r="H851" s="53" t="s">
        <v>22</v>
      </c>
      <c r="I851" s="39">
        <v>30</v>
      </c>
      <c r="J851" s="39" t="e">
        <v>#N/A</v>
      </c>
      <c r="K851" s="39" t="e">
        <v>#N/A</v>
      </c>
      <c r="L851" s="49">
        <v>0.93500000000000005</v>
      </c>
      <c r="M851" s="49">
        <v>-23.91</v>
      </c>
      <c r="N851" t="e">
        <f>-NA()</f>
        <v>#N/A</v>
      </c>
      <c r="O851" t="e">
        <f>-NA()</f>
        <v>#N/A</v>
      </c>
      <c r="P851" t="e">
        <f>-NA()</f>
        <v>#N/A</v>
      </c>
      <c r="Q851" t="e">
        <f>-NA()</f>
        <v>#N/A</v>
      </c>
      <c r="R851" s="39">
        <v>1450224000</v>
      </c>
      <c r="S851" s="39" t="s">
        <v>749</v>
      </c>
    </row>
    <row r="852" spans="1:19" x14ac:dyDescent="0.2">
      <c r="A852" s="37" t="s">
        <v>909</v>
      </c>
      <c r="B852" s="49">
        <v>0.33</v>
      </c>
      <c r="C852" s="49">
        <v>4.29</v>
      </c>
      <c r="D852" s="51">
        <v>1.4409089500000001</v>
      </c>
      <c r="E852" s="39" t="e">
        <f>NA()</f>
        <v>#N/A</v>
      </c>
      <c r="F852" s="39" t="e">
        <f>NA()</f>
        <v>#N/A</v>
      </c>
      <c r="G852" s="39" t="e">
        <f>NA()</f>
        <v>#N/A</v>
      </c>
      <c r="H852" s="54" t="e">
        <f>NA()</f>
        <v>#N/A</v>
      </c>
      <c r="I852" s="39">
        <v>15</v>
      </c>
      <c r="J852" s="39" t="e">
        <v>#N/A</v>
      </c>
      <c r="K852" s="39" t="e">
        <v>#N/A</v>
      </c>
      <c r="L852" s="49">
        <v>3.2050000000000001</v>
      </c>
      <c r="M852" s="49">
        <v>-26.965</v>
      </c>
      <c r="N852" t="e">
        <f>-NA()</f>
        <v>#N/A</v>
      </c>
      <c r="O852" t="e">
        <f>-NA()</f>
        <v>#N/A</v>
      </c>
      <c r="P852" t="e">
        <f>-NA()</f>
        <v>#N/A</v>
      </c>
      <c r="Q852" t="e">
        <f>-NA()</f>
        <v>#N/A</v>
      </c>
      <c r="R852" s="39">
        <v>1450828800</v>
      </c>
      <c r="S852" s="39" t="s">
        <v>910</v>
      </c>
    </row>
    <row r="853" spans="1:19" x14ac:dyDescent="0.2">
      <c r="A853" s="37" t="s">
        <v>911</v>
      </c>
      <c r="B853" s="49">
        <v>0.14000000000000001</v>
      </c>
      <c r="C853" s="49">
        <v>6.64</v>
      </c>
      <c r="D853" s="51">
        <v>1.295180658</v>
      </c>
      <c r="E853" s="39" t="e">
        <f>NA()</f>
        <v>#N/A</v>
      </c>
      <c r="F853" s="39" t="e">
        <f>NA()</f>
        <v>#N/A</v>
      </c>
      <c r="G853" s="39" t="e">
        <f>NA()</f>
        <v>#N/A</v>
      </c>
      <c r="H853" s="54" t="e">
        <f>NA()</f>
        <v>#N/A</v>
      </c>
      <c r="I853" s="39">
        <v>30</v>
      </c>
      <c r="J853" s="39" t="e">
        <v>#N/A</v>
      </c>
      <c r="K853" s="39" t="e">
        <v>#N/A</v>
      </c>
      <c r="L853" s="49">
        <v>1.48</v>
      </c>
      <c r="M853" s="49">
        <v>-25.92</v>
      </c>
      <c r="N853" t="e">
        <f>-NA()</f>
        <v>#N/A</v>
      </c>
      <c r="O853" t="e">
        <f>-NA()</f>
        <v>#N/A</v>
      </c>
      <c r="P853" t="e">
        <f>-NA()</f>
        <v>#N/A</v>
      </c>
      <c r="Q853" t="e">
        <f>-NA()</f>
        <v>#N/A</v>
      </c>
      <c r="R853" s="39">
        <v>1450828800</v>
      </c>
      <c r="S853" s="39" t="s">
        <v>910</v>
      </c>
    </row>
    <row r="854" spans="1:19" x14ac:dyDescent="0.2">
      <c r="A854" s="37" t="s">
        <v>912</v>
      </c>
      <c r="B854" s="49">
        <v>0.38</v>
      </c>
      <c r="C854" s="49">
        <v>3.3</v>
      </c>
      <c r="D854" s="51">
        <v>1.200211659</v>
      </c>
      <c r="E854" s="39" t="e">
        <f>NA()</f>
        <v>#N/A</v>
      </c>
      <c r="F854" s="39" t="e">
        <f>NA()</f>
        <v>#N/A</v>
      </c>
      <c r="G854" s="39" t="e">
        <f>NA()</f>
        <v>#N/A</v>
      </c>
      <c r="H854" s="54" t="e">
        <f>NA()</f>
        <v>#N/A</v>
      </c>
      <c r="I854" s="39">
        <v>15</v>
      </c>
      <c r="J854" s="39" t="e">
        <v>#N/A</v>
      </c>
      <c r="K854" s="39" t="e">
        <v>#N/A</v>
      </c>
      <c r="L854" s="49">
        <v>3.86</v>
      </c>
      <c r="M854" s="49">
        <v>-27.18</v>
      </c>
      <c r="N854" t="e">
        <f>-NA()</f>
        <v>#N/A</v>
      </c>
      <c r="O854" t="e">
        <f>-NA()</f>
        <v>#N/A</v>
      </c>
      <c r="P854" t="e">
        <f>-NA()</f>
        <v>#N/A</v>
      </c>
      <c r="Q854" t="e">
        <f>-NA()</f>
        <v>#N/A</v>
      </c>
      <c r="R854" s="39">
        <v>1441152000</v>
      </c>
      <c r="S854" s="39" t="s">
        <v>910</v>
      </c>
    </row>
    <row r="855" spans="1:19" x14ac:dyDescent="0.2">
      <c r="A855" s="37" t="s">
        <v>913</v>
      </c>
      <c r="B855" s="49">
        <v>0.16</v>
      </c>
      <c r="C855" s="49">
        <v>5.23</v>
      </c>
      <c r="D855" s="51">
        <v>3.4385327E-2</v>
      </c>
      <c r="E855" s="39" t="e">
        <f>NA()</f>
        <v>#N/A</v>
      </c>
      <c r="F855" s="39" t="e">
        <f>NA()</f>
        <v>#N/A</v>
      </c>
      <c r="G855" s="39" t="e">
        <f>NA()</f>
        <v>#N/A</v>
      </c>
      <c r="H855" s="54" t="e">
        <f>NA()</f>
        <v>#N/A</v>
      </c>
      <c r="I855" s="39">
        <v>30</v>
      </c>
      <c r="J855" s="39" t="e">
        <v>#N/A</v>
      </c>
      <c r="K855" s="39" t="e">
        <v>#N/A</v>
      </c>
      <c r="L855" s="49">
        <v>1.69</v>
      </c>
      <c r="M855" s="49">
        <v>-26.01</v>
      </c>
      <c r="N855" t="e">
        <f>-NA()</f>
        <v>#N/A</v>
      </c>
      <c r="O855" t="e">
        <f>-NA()</f>
        <v>#N/A</v>
      </c>
      <c r="P855" t="e">
        <f>-NA()</f>
        <v>#N/A</v>
      </c>
      <c r="Q855" t="e">
        <f>-NA()</f>
        <v>#N/A</v>
      </c>
      <c r="R855" s="39">
        <v>1441152000</v>
      </c>
      <c r="S855" s="39" t="s">
        <v>910</v>
      </c>
    </row>
    <row r="856" spans="1:19" ht="16" x14ac:dyDescent="0.2">
      <c r="A856" s="37" t="s">
        <v>914</v>
      </c>
      <c r="B856" s="49">
        <v>0.125</v>
      </c>
      <c r="C856" s="49">
        <v>4.92</v>
      </c>
      <c r="D856" s="51">
        <v>1.3983366399999999</v>
      </c>
      <c r="E856" s="43">
        <v>209797.8315</v>
      </c>
      <c r="F856" s="39" t="e">
        <f>NA()</f>
        <v>#N/A</v>
      </c>
      <c r="G856" s="39" t="e">
        <f>NA()</f>
        <v>#N/A</v>
      </c>
      <c r="H856" s="54" t="e">
        <f>NA()</f>
        <v>#N/A</v>
      </c>
      <c r="I856" s="39">
        <v>15</v>
      </c>
      <c r="J856" s="39" t="e">
        <v>#N/A</v>
      </c>
      <c r="K856" s="39" t="e">
        <v>#N/A</v>
      </c>
      <c r="L856" s="49">
        <v>1.3774999999999999</v>
      </c>
      <c r="M856" s="49">
        <v>-25.995000000000001</v>
      </c>
      <c r="N856" t="e">
        <f>-NA()</f>
        <v>#N/A</v>
      </c>
      <c r="O856" t="e">
        <f>-NA()</f>
        <v>#N/A</v>
      </c>
      <c r="P856" t="e">
        <f>-NA()</f>
        <v>#N/A</v>
      </c>
      <c r="Q856" t="e">
        <f>-NA()</f>
        <v>#N/A</v>
      </c>
      <c r="R856" s="39">
        <v>1439856000</v>
      </c>
      <c r="S856" s="39" t="s">
        <v>737</v>
      </c>
    </row>
    <row r="857" spans="1:19" ht="16" x14ac:dyDescent="0.2">
      <c r="A857" s="37" t="s">
        <v>915</v>
      </c>
      <c r="B857" s="49">
        <v>0.105</v>
      </c>
      <c r="C857" s="49">
        <v>5.23</v>
      </c>
      <c r="D857" s="51">
        <v>1.4032488299999999</v>
      </c>
      <c r="E857" s="43">
        <v>209797.8315</v>
      </c>
      <c r="F857" s="39" t="e">
        <f>NA()</f>
        <v>#N/A</v>
      </c>
      <c r="G857" s="39" t="e">
        <f>NA()</f>
        <v>#N/A</v>
      </c>
      <c r="H857" s="54" t="e">
        <f>NA()</f>
        <v>#N/A</v>
      </c>
      <c r="I857" s="39">
        <v>30</v>
      </c>
      <c r="J857" s="39" t="e">
        <v>#N/A</v>
      </c>
      <c r="K857" s="39" t="e">
        <v>#N/A</v>
      </c>
      <c r="L857" s="49">
        <v>1.405</v>
      </c>
      <c r="M857" s="49">
        <v>-26.065000000000001</v>
      </c>
      <c r="N857" t="e">
        <f>-NA()</f>
        <v>#N/A</v>
      </c>
      <c r="O857" t="e">
        <f>-NA()</f>
        <v>#N/A</v>
      </c>
      <c r="P857" t="e">
        <f>-NA()</f>
        <v>#N/A</v>
      </c>
      <c r="Q857" t="e">
        <f>-NA()</f>
        <v>#N/A</v>
      </c>
      <c r="R857" s="39">
        <v>1439856000</v>
      </c>
      <c r="S857" s="39" t="s">
        <v>737</v>
      </c>
    </row>
    <row r="858" spans="1:19" ht="16" x14ac:dyDescent="0.2">
      <c r="A858" s="37" t="s">
        <v>916</v>
      </c>
      <c r="B858" s="49">
        <v>0.125</v>
      </c>
      <c r="C858" s="49">
        <v>1.24</v>
      </c>
      <c r="D858" s="51">
        <v>1.390149657</v>
      </c>
      <c r="E858" s="43">
        <v>208970.97630000001</v>
      </c>
      <c r="F858" s="39" t="e">
        <f>NA()</f>
        <v>#N/A</v>
      </c>
      <c r="G858" s="39" t="e">
        <f>NA()</f>
        <v>#N/A</v>
      </c>
      <c r="H858" s="54" t="e">
        <f>NA()</f>
        <v>#N/A</v>
      </c>
      <c r="I858" s="39">
        <v>15</v>
      </c>
      <c r="J858" s="39" t="e">
        <v>#N/A</v>
      </c>
      <c r="K858" s="39" t="e">
        <v>#N/A</v>
      </c>
      <c r="L858" s="49">
        <v>1.0900000000000001</v>
      </c>
      <c r="M858" s="49">
        <v>-24.772500000000001</v>
      </c>
      <c r="N858" t="e">
        <f>-NA()</f>
        <v>#N/A</v>
      </c>
      <c r="O858" t="e">
        <f>-NA()</f>
        <v>#N/A</v>
      </c>
      <c r="P858" t="e">
        <f>-NA()</f>
        <v>#N/A</v>
      </c>
      <c r="Q858" t="e">
        <f>-NA()</f>
        <v>#N/A</v>
      </c>
      <c r="R858" s="39">
        <v>1439856000</v>
      </c>
      <c r="S858" s="39" t="s">
        <v>743</v>
      </c>
    </row>
    <row r="859" spans="1:19" ht="16" x14ac:dyDescent="0.2">
      <c r="A859" s="37" t="s">
        <v>917</v>
      </c>
      <c r="B859" s="49">
        <v>6.6666666999999999E-2</v>
      </c>
      <c r="C859" s="49">
        <v>5.8849999999999998</v>
      </c>
      <c r="D859" s="51">
        <v>1.336115572</v>
      </c>
      <c r="E859" s="43">
        <v>208970.97630000001</v>
      </c>
      <c r="F859" s="39" t="e">
        <f>NA()</f>
        <v>#N/A</v>
      </c>
      <c r="G859" s="39" t="e">
        <f>NA()</f>
        <v>#N/A</v>
      </c>
      <c r="H859" s="54" t="e">
        <f>NA()</f>
        <v>#N/A</v>
      </c>
      <c r="I859" s="39">
        <v>30</v>
      </c>
      <c r="J859" s="39" t="e">
        <v>#N/A</v>
      </c>
      <c r="K859" s="39" t="e">
        <v>#N/A</v>
      </c>
      <c r="L859" s="49">
        <v>0.40333333300000002</v>
      </c>
      <c r="M859" s="49">
        <v>-24.87</v>
      </c>
      <c r="N859" t="e">
        <f>-NA()</f>
        <v>#N/A</v>
      </c>
      <c r="O859" t="e">
        <f>-NA()</f>
        <v>#N/A</v>
      </c>
      <c r="P859" t="e">
        <f>-NA()</f>
        <v>#N/A</v>
      </c>
      <c r="Q859" t="e">
        <f>-NA()</f>
        <v>#N/A</v>
      </c>
      <c r="R859" s="39">
        <v>1439856000</v>
      </c>
      <c r="S859" s="39" t="s">
        <v>743</v>
      </c>
    </row>
    <row r="860" spans="1:19" ht="16" x14ac:dyDescent="0.2">
      <c r="A860" s="37" t="s">
        <v>918</v>
      </c>
      <c r="B860" s="49">
        <v>0.14749999999999999</v>
      </c>
      <c r="C860" s="49">
        <v>5.44</v>
      </c>
      <c r="D860" s="51">
        <v>1.383600071</v>
      </c>
      <c r="E860" s="43">
        <v>209274.8651</v>
      </c>
      <c r="F860" s="39" t="e">
        <f>NA()</f>
        <v>#N/A</v>
      </c>
      <c r="G860" s="39" t="e">
        <f>NA()</f>
        <v>#N/A</v>
      </c>
      <c r="H860" s="54" t="e">
        <f>NA()</f>
        <v>#N/A</v>
      </c>
      <c r="I860" s="39">
        <v>15</v>
      </c>
      <c r="J860" s="39" t="e">
        <v>#N/A</v>
      </c>
      <c r="K860" s="39" t="e">
        <v>#N/A</v>
      </c>
      <c r="L860" s="49">
        <v>1.4325000000000001</v>
      </c>
      <c r="M860" s="49">
        <v>-24.54</v>
      </c>
      <c r="N860" t="e">
        <f>-NA()</f>
        <v>#N/A</v>
      </c>
      <c r="O860" t="e">
        <f>-NA()</f>
        <v>#N/A</v>
      </c>
      <c r="P860" t="e">
        <f>-NA()</f>
        <v>#N/A</v>
      </c>
      <c r="Q860" t="e">
        <f>-NA()</f>
        <v>#N/A</v>
      </c>
      <c r="R860" s="39">
        <v>1440028800</v>
      </c>
      <c r="S860" s="39" t="s">
        <v>749</v>
      </c>
    </row>
    <row r="861" spans="1:19" ht="16" x14ac:dyDescent="0.2">
      <c r="A861" s="37" t="s">
        <v>919</v>
      </c>
      <c r="B861" s="49">
        <v>0.09</v>
      </c>
      <c r="C861" s="49">
        <v>5.83</v>
      </c>
      <c r="D861" s="51">
        <v>1.4589203120000001</v>
      </c>
      <c r="E861" s="43">
        <v>209274.8651</v>
      </c>
      <c r="F861" s="39" t="e">
        <f>NA()</f>
        <v>#N/A</v>
      </c>
      <c r="G861" s="39" t="e">
        <f>NA()</f>
        <v>#N/A</v>
      </c>
      <c r="H861" s="54" t="e">
        <f>NA()</f>
        <v>#N/A</v>
      </c>
      <c r="I861" s="39">
        <v>30</v>
      </c>
      <c r="J861" s="39" t="e">
        <v>#N/A</v>
      </c>
      <c r="K861" s="39" t="e">
        <v>#N/A</v>
      </c>
      <c r="L861" s="49">
        <v>0.83333333300000001</v>
      </c>
      <c r="M861" s="49">
        <v>-24.09333333</v>
      </c>
      <c r="N861" t="e">
        <f>-NA()</f>
        <v>#N/A</v>
      </c>
      <c r="O861" t="e">
        <f>-NA()</f>
        <v>#N/A</v>
      </c>
      <c r="P861" t="e">
        <f>-NA()</f>
        <v>#N/A</v>
      </c>
      <c r="Q861" t="e">
        <f>-NA()</f>
        <v>#N/A</v>
      </c>
      <c r="R861" s="39">
        <v>1440028800</v>
      </c>
      <c r="S861" s="39" t="s">
        <v>749</v>
      </c>
    </row>
    <row r="862" spans="1:19" ht="16" x14ac:dyDescent="0.2">
      <c r="A862" s="37" t="s">
        <v>920</v>
      </c>
      <c r="B862" s="49">
        <v>0.21666666700000001</v>
      </c>
      <c r="C862" s="49">
        <v>6.5549999999999997</v>
      </c>
      <c r="D862" s="51">
        <v>1.4294471740000001</v>
      </c>
      <c r="E862" s="43">
        <v>204909.54329999999</v>
      </c>
      <c r="F862" s="39" t="e">
        <f>NA()</f>
        <v>#N/A</v>
      </c>
      <c r="G862" s="39" t="e">
        <f>NA()</f>
        <v>#N/A</v>
      </c>
      <c r="H862" s="54" t="e">
        <f>NA()</f>
        <v>#N/A</v>
      </c>
      <c r="I862" s="39">
        <v>15</v>
      </c>
      <c r="J862" s="39" t="e">
        <v>#N/A</v>
      </c>
      <c r="K862" s="39" t="e">
        <v>#N/A</v>
      </c>
      <c r="L862" s="49">
        <v>2.0933333329999999</v>
      </c>
      <c r="M862" s="49">
        <v>-22.38666667</v>
      </c>
      <c r="N862" t="e">
        <f>-NA()</f>
        <v>#N/A</v>
      </c>
      <c r="O862" t="e">
        <f>-NA()</f>
        <v>#N/A</v>
      </c>
      <c r="P862" t="e">
        <f>-NA()</f>
        <v>#N/A</v>
      </c>
      <c r="Q862" t="e">
        <f>-NA()</f>
        <v>#N/A</v>
      </c>
      <c r="R862" s="39">
        <v>1440028800</v>
      </c>
      <c r="S862" s="39" t="s">
        <v>755</v>
      </c>
    </row>
    <row r="863" spans="1:19" ht="16" x14ac:dyDescent="0.2">
      <c r="A863" s="37" t="s">
        <v>921</v>
      </c>
      <c r="B863" s="49">
        <v>0.18333333299999999</v>
      </c>
      <c r="C863" s="49">
        <v>7.02</v>
      </c>
      <c r="D863" s="51">
        <v>1.2755319000000001</v>
      </c>
      <c r="E863" s="43">
        <v>204909.54329999999</v>
      </c>
      <c r="F863" s="39" t="e">
        <f>NA()</f>
        <v>#N/A</v>
      </c>
      <c r="G863" s="39" t="e">
        <f>NA()</f>
        <v>#N/A</v>
      </c>
      <c r="H863" s="54" t="e">
        <f>NA()</f>
        <v>#N/A</v>
      </c>
      <c r="I863" s="39">
        <v>30</v>
      </c>
      <c r="J863" s="39" t="e">
        <v>#N/A</v>
      </c>
      <c r="K863" s="39" t="e">
        <v>#N/A</v>
      </c>
      <c r="L863" s="49">
        <v>1.856666667</v>
      </c>
      <c r="M863" s="49">
        <v>-22.64</v>
      </c>
      <c r="N863" t="e">
        <f>-NA()</f>
        <v>#N/A</v>
      </c>
      <c r="O863" t="e">
        <f>-NA()</f>
        <v>#N/A</v>
      </c>
      <c r="P863" t="e">
        <f>-NA()</f>
        <v>#N/A</v>
      </c>
      <c r="Q863" t="e">
        <f>-NA()</f>
        <v>#N/A</v>
      </c>
      <c r="R863" s="39">
        <v>1440028800</v>
      </c>
      <c r="S863" s="39" t="s">
        <v>755</v>
      </c>
    </row>
    <row r="864" spans="1:19" ht="16" x14ac:dyDescent="0.2">
      <c r="A864" s="37" t="s">
        <v>922</v>
      </c>
      <c r="B864" s="49">
        <v>0.11333333299999999</v>
      </c>
      <c r="C864" s="49">
        <v>6.3449999999999998</v>
      </c>
      <c r="D864" s="51">
        <v>1.5047674150000001</v>
      </c>
      <c r="E864" s="43">
        <v>206923.5949</v>
      </c>
      <c r="F864" s="39" t="e">
        <f>NA()</f>
        <v>#N/A</v>
      </c>
      <c r="G864" s="39" t="e">
        <f>NA()</f>
        <v>#N/A</v>
      </c>
      <c r="H864" s="54" t="e">
        <f>NA()</f>
        <v>#N/A</v>
      </c>
      <c r="I864" s="39">
        <v>15</v>
      </c>
      <c r="J864" s="39" t="e">
        <v>#N/A</v>
      </c>
      <c r="K864" s="39" t="e">
        <v>#N/A</v>
      </c>
      <c r="L864" s="49">
        <v>1.04</v>
      </c>
      <c r="M864" s="49">
        <v>-23.783333330000001</v>
      </c>
      <c r="N864" t="e">
        <f>-NA()</f>
        <v>#N/A</v>
      </c>
      <c r="O864" t="e">
        <f>-NA()</f>
        <v>#N/A</v>
      </c>
      <c r="P864" t="e">
        <f>-NA()</f>
        <v>#N/A</v>
      </c>
      <c r="Q864" t="e">
        <f>-NA()</f>
        <v>#N/A</v>
      </c>
      <c r="R864" s="39">
        <v>1440460800</v>
      </c>
      <c r="S864" s="39" t="s">
        <v>761</v>
      </c>
    </row>
    <row r="865" spans="1:19" ht="16" x14ac:dyDescent="0.2">
      <c r="A865" s="37" t="s">
        <v>923</v>
      </c>
      <c r="B865" s="49">
        <v>0.06</v>
      </c>
      <c r="C865" s="49">
        <v>6.39</v>
      </c>
      <c r="D865" s="51">
        <v>1.2968180549999999</v>
      </c>
      <c r="E865" s="43">
        <v>206923.5949</v>
      </c>
      <c r="F865" s="39" t="e">
        <f>NA()</f>
        <v>#N/A</v>
      </c>
      <c r="G865" s="39" t="e">
        <f>NA()</f>
        <v>#N/A</v>
      </c>
      <c r="H865" s="54" t="e">
        <f>NA()</f>
        <v>#N/A</v>
      </c>
      <c r="I865" s="39">
        <v>30</v>
      </c>
      <c r="J865" s="39" t="e">
        <v>#N/A</v>
      </c>
      <c r="K865" s="39" t="e">
        <v>#N/A</v>
      </c>
      <c r="L865" s="49">
        <v>0.52500000000000002</v>
      </c>
      <c r="M865" s="49">
        <v>-24.16</v>
      </c>
      <c r="N865" t="e">
        <f>-NA()</f>
        <v>#N/A</v>
      </c>
      <c r="O865" t="e">
        <f>-NA()</f>
        <v>#N/A</v>
      </c>
      <c r="P865" t="e">
        <f>-NA()</f>
        <v>#N/A</v>
      </c>
      <c r="Q865" t="e">
        <f>-NA()</f>
        <v>#N/A</v>
      </c>
      <c r="R865" s="39">
        <v>1440460800</v>
      </c>
      <c r="S865" s="39" t="s">
        <v>761</v>
      </c>
    </row>
    <row r="866" spans="1:19" ht="16" x14ac:dyDescent="0.2">
      <c r="A866" s="37" t="s">
        <v>924</v>
      </c>
      <c r="B866" s="49">
        <v>0.203333333</v>
      </c>
      <c r="C866" s="49">
        <v>5.12</v>
      </c>
      <c r="D866" s="51">
        <v>1.288631072</v>
      </c>
      <c r="E866" s="43">
        <v>207130.2776</v>
      </c>
      <c r="F866" s="43">
        <v>366996.86820000003</v>
      </c>
      <c r="G866" s="43" t="s">
        <v>219</v>
      </c>
      <c r="H866" s="53" t="s">
        <v>22</v>
      </c>
      <c r="I866" s="39">
        <v>15</v>
      </c>
      <c r="J866" s="39" t="e">
        <v>#N/A</v>
      </c>
      <c r="K866" s="39" t="e">
        <v>#N/A</v>
      </c>
      <c r="L866" s="49">
        <v>1.81</v>
      </c>
      <c r="M866" s="49">
        <v>-26.25333333</v>
      </c>
      <c r="N866" t="e">
        <f>-NA()</f>
        <v>#N/A</v>
      </c>
      <c r="O866" t="e">
        <f>-NA()</f>
        <v>#N/A</v>
      </c>
      <c r="P866" t="e">
        <f>-NA()</f>
        <v>#N/A</v>
      </c>
      <c r="Q866" t="e">
        <f>-NA()</f>
        <v>#N/A</v>
      </c>
      <c r="R866" s="39">
        <v>1440547200</v>
      </c>
      <c r="S866" s="39" t="s">
        <v>767</v>
      </c>
    </row>
    <row r="867" spans="1:19" ht="16" x14ac:dyDescent="0.2">
      <c r="A867" s="37" t="s">
        <v>925</v>
      </c>
      <c r="B867" s="49">
        <v>0.09</v>
      </c>
      <c r="C867" s="49">
        <v>6.14</v>
      </c>
      <c r="D867" s="51">
        <v>1.390149657</v>
      </c>
      <c r="E867" s="43">
        <v>207130.2776</v>
      </c>
      <c r="F867" s="43">
        <v>366996.86820000003</v>
      </c>
      <c r="G867" s="43" t="s">
        <v>219</v>
      </c>
      <c r="H867" s="53" t="s">
        <v>22</v>
      </c>
      <c r="I867" s="39">
        <v>30</v>
      </c>
      <c r="J867" s="39" t="e">
        <v>#N/A</v>
      </c>
      <c r="K867" s="39" t="e">
        <v>#N/A</v>
      </c>
      <c r="L867" s="49">
        <v>0.65</v>
      </c>
      <c r="M867" s="49">
        <v>-24.54</v>
      </c>
      <c r="N867" t="e">
        <f>-NA()</f>
        <v>#N/A</v>
      </c>
      <c r="O867" t="e">
        <f>-NA()</f>
        <v>#N/A</v>
      </c>
      <c r="P867" t="e">
        <f>-NA()</f>
        <v>#N/A</v>
      </c>
      <c r="Q867" t="e">
        <f>-NA()</f>
        <v>#N/A</v>
      </c>
      <c r="R867" s="39">
        <v>1440547200</v>
      </c>
      <c r="S867" s="39" t="s">
        <v>767</v>
      </c>
    </row>
    <row r="868" spans="1:19" ht="16" x14ac:dyDescent="0.2">
      <c r="A868" s="37" t="s">
        <v>926</v>
      </c>
      <c r="B868" s="49">
        <v>0.18333333299999999</v>
      </c>
      <c r="C868" s="49">
        <v>6.3966666669999999</v>
      </c>
      <c r="D868" s="51">
        <v>1.3803252779999999</v>
      </c>
      <c r="E868" s="43">
        <v>207422.44510000001</v>
      </c>
      <c r="F868" s="43">
        <v>366364.82120000001</v>
      </c>
      <c r="G868" s="43" t="s">
        <v>34</v>
      </c>
      <c r="H868" s="53" t="s">
        <v>22</v>
      </c>
      <c r="I868" s="39">
        <v>15</v>
      </c>
      <c r="J868" s="39" t="e">
        <v>#N/A</v>
      </c>
      <c r="K868" s="39" t="e">
        <v>#N/A</v>
      </c>
      <c r="L868" s="49">
        <v>1.8766666670000001</v>
      </c>
      <c r="M868" s="49">
        <v>-22.373333330000001</v>
      </c>
      <c r="N868" t="e">
        <f>-NA()</f>
        <v>#N/A</v>
      </c>
      <c r="O868" t="e">
        <f>-NA()</f>
        <v>#N/A</v>
      </c>
      <c r="P868" t="e">
        <f>-NA()</f>
        <v>#N/A</v>
      </c>
      <c r="Q868" t="e">
        <f>-NA()</f>
        <v>#N/A</v>
      </c>
      <c r="R868" s="39">
        <v>1440720000</v>
      </c>
      <c r="S868" s="39" t="s">
        <v>773</v>
      </c>
    </row>
    <row r="869" spans="1:19" ht="16" x14ac:dyDescent="0.2">
      <c r="A869" s="37" t="s">
        <v>927</v>
      </c>
      <c r="B869" s="49">
        <v>0.14000000000000001</v>
      </c>
      <c r="C869" s="49">
        <v>6.3250000000000002</v>
      </c>
      <c r="D869" s="51">
        <v>1.3541269339999999</v>
      </c>
      <c r="E869" s="43">
        <v>207422.44510000001</v>
      </c>
      <c r="F869" s="43">
        <v>366364.82120000001</v>
      </c>
      <c r="G869" s="43" t="s">
        <v>34</v>
      </c>
      <c r="H869" s="53" t="s">
        <v>22</v>
      </c>
      <c r="I869" s="39">
        <v>30</v>
      </c>
      <c r="J869" s="39" t="e">
        <v>#N/A</v>
      </c>
      <c r="K869" s="39" t="e">
        <v>#N/A</v>
      </c>
      <c r="L869" s="49">
        <v>1.193333333</v>
      </c>
      <c r="M869" s="49">
        <v>-24.076666670000002</v>
      </c>
      <c r="N869" t="e">
        <f>-NA()</f>
        <v>#N/A</v>
      </c>
      <c r="O869" t="e">
        <f>-NA()</f>
        <v>#N/A</v>
      </c>
      <c r="P869" t="e">
        <f>-NA()</f>
        <v>#N/A</v>
      </c>
      <c r="Q869" t="e">
        <f>-NA()</f>
        <v>#N/A</v>
      </c>
      <c r="R869" s="39">
        <v>1440720000</v>
      </c>
      <c r="S869" s="39" t="s">
        <v>773</v>
      </c>
    </row>
    <row r="870" spans="1:19" ht="16" x14ac:dyDescent="0.2">
      <c r="A870" s="37" t="s">
        <v>928</v>
      </c>
      <c r="B870" s="49">
        <v>0.13750000000000001</v>
      </c>
      <c r="C870" s="49">
        <v>5.3949999999999996</v>
      </c>
      <c r="D870" s="51">
        <v>1.609560793</v>
      </c>
      <c r="E870" s="43">
        <v>209868.28159999999</v>
      </c>
      <c r="F870" s="43">
        <v>370198.27370000002</v>
      </c>
      <c r="G870" s="43" t="s">
        <v>285</v>
      </c>
      <c r="H870" s="53" t="s">
        <v>22</v>
      </c>
      <c r="I870" s="39">
        <v>15</v>
      </c>
      <c r="J870" s="39" t="e">
        <v>#N/A</v>
      </c>
      <c r="K870" s="39" t="e">
        <v>#N/A</v>
      </c>
      <c r="L870" s="49">
        <v>1.2324999999999999</v>
      </c>
      <c r="M870" s="49" t="s">
        <v>671</v>
      </c>
      <c r="N870" t="e">
        <f>-NA()</f>
        <v>#N/A</v>
      </c>
      <c r="O870" t="e">
        <f>-NA()</f>
        <v>#N/A</v>
      </c>
      <c r="P870" t="e">
        <f>-NA()</f>
        <v>#N/A</v>
      </c>
      <c r="Q870" t="e">
        <f>-NA()</f>
        <v>#N/A</v>
      </c>
      <c r="R870" s="39">
        <v>1440979200</v>
      </c>
      <c r="S870" s="39" t="s">
        <v>725</v>
      </c>
    </row>
    <row r="871" spans="1:19" ht="16" x14ac:dyDescent="0.2">
      <c r="A871" s="37" t="s">
        <v>929</v>
      </c>
      <c r="B871" s="49">
        <v>7.6666666999999994E-2</v>
      </c>
      <c r="C871" s="49">
        <v>5.5650000000000004</v>
      </c>
      <c r="D871" s="51">
        <v>1.10524266</v>
      </c>
      <c r="E871" s="43">
        <v>209868.28159999999</v>
      </c>
      <c r="F871" s="43">
        <v>370198.27370000002</v>
      </c>
      <c r="G871" s="43" t="s">
        <v>285</v>
      </c>
      <c r="H871" s="53" t="s">
        <v>22</v>
      </c>
      <c r="I871" s="39">
        <v>30</v>
      </c>
      <c r="J871" s="39" t="e">
        <v>#N/A</v>
      </c>
      <c r="K871" s="39" t="e">
        <v>#N/A</v>
      </c>
      <c r="L871" s="49">
        <v>0.59333333300000002</v>
      </c>
      <c r="M871" s="49">
        <v>-23.893333330000001</v>
      </c>
      <c r="N871" t="e">
        <f>-NA()</f>
        <v>#N/A</v>
      </c>
      <c r="O871" t="e">
        <f>-NA()</f>
        <v>#N/A</v>
      </c>
      <c r="P871" t="e">
        <f>-NA()</f>
        <v>#N/A</v>
      </c>
      <c r="Q871" t="e">
        <f>-NA()</f>
        <v>#N/A</v>
      </c>
      <c r="R871" s="39">
        <v>1440979200</v>
      </c>
      <c r="S871" s="39" t="s">
        <v>725</v>
      </c>
    </row>
    <row r="872" spans="1:19" x14ac:dyDescent="0.2">
      <c r="A872" s="37" t="s">
        <v>930</v>
      </c>
      <c r="B872" s="49">
        <v>0.44500000000000001</v>
      </c>
      <c r="C872" s="49">
        <v>3.19</v>
      </c>
      <c r="D872" s="51">
        <v>2.1482642520000002</v>
      </c>
      <c r="E872" s="39" t="e">
        <f>NA()</f>
        <v>#N/A</v>
      </c>
      <c r="F872" s="39" t="e">
        <f>NA()</f>
        <v>#N/A</v>
      </c>
      <c r="G872" s="39" t="e">
        <f>NA()</f>
        <v>#N/A</v>
      </c>
      <c r="H872" s="54" t="e">
        <f>NA()</f>
        <v>#N/A</v>
      </c>
      <c r="I872" s="39">
        <v>15</v>
      </c>
      <c r="J872" s="39" t="e">
        <v>#N/A</v>
      </c>
      <c r="K872" s="39" t="e">
        <v>#N/A</v>
      </c>
      <c r="L872" s="49">
        <v>4.3449999999999998</v>
      </c>
      <c r="M872" s="49">
        <v>-27.06</v>
      </c>
      <c r="N872" t="e">
        <f>-NA()</f>
        <v>#N/A</v>
      </c>
      <c r="O872" t="e">
        <f>-NA()</f>
        <v>#N/A</v>
      </c>
      <c r="P872" t="e">
        <f>-NA()</f>
        <v>#N/A</v>
      </c>
      <c r="Q872" t="e">
        <f>-NA()</f>
        <v>#N/A</v>
      </c>
      <c r="R872" s="39">
        <v>1444003200</v>
      </c>
      <c r="S872" s="39" t="s">
        <v>910</v>
      </c>
    </row>
    <row r="873" spans="1:19" x14ac:dyDescent="0.2">
      <c r="A873" s="37" t="s">
        <v>931</v>
      </c>
      <c r="B873" s="49">
        <v>0.28000000000000003</v>
      </c>
      <c r="C873" s="49">
        <v>4.4649999999999999</v>
      </c>
      <c r="D873" s="51">
        <v>1.1838376939999999</v>
      </c>
      <c r="E873" s="39" t="e">
        <f>NA()</f>
        <v>#N/A</v>
      </c>
      <c r="F873" s="39" t="e">
        <f>NA()</f>
        <v>#N/A</v>
      </c>
      <c r="G873" s="39" t="e">
        <f>NA()</f>
        <v>#N/A</v>
      </c>
      <c r="H873" s="54" t="e">
        <f>NA()</f>
        <v>#N/A</v>
      </c>
      <c r="I873" s="39">
        <v>15</v>
      </c>
      <c r="J873" s="39" t="e">
        <v>#N/A</v>
      </c>
      <c r="K873" s="39" t="e">
        <v>#N/A</v>
      </c>
      <c r="L873" s="49">
        <v>2.673333333</v>
      </c>
      <c r="M873" s="49">
        <v>-24.833333329999999</v>
      </c>
      <c r="N873" t="e">
        <f>-NA()</f>
        <v>#N/A</v>
      </c>
      <c r="O873" t="e">
        <f>-NA()</f>
        <v>#N/A</v>
      </c>
      <c r="P873" t="e">
        <f>-NA()</f>
        <v>#N/A</v>
      </c>
      <c r="Q873" t="e">
        <f>-NA()</f>
        <v>#N/A</v>
      </c>
      <c r="R873" s="39">
        <v>1441152000</v>
      </c>
      <c r="S873" s="39" t="s">
        <v>932</v>
      </c>
    </row>
    <row r="874" spans="1:19" x14ac:dyDescent="0.2">
      <c r="A874" s="37" t="s">
        <v>933</v>
      </c>
      <c r="B874" s="49">
        <v>0.18333333299999999</v>
      </c>
      <c r="C874" s="49">
        <v>5.76</v>
      </c>
      <c r="D874" s="51">
        <v>1.1379905910000001</v>
      </c>
      <c r="E874" s="39" t="e">
        <f>NA()</f>
        <v>#N/A</v>
      </c>
      <c r="F874" s="39" t="e">
        <f>NA()</f>
        <v>#N/A</v>
      </c>
      <c r="G874" s="39" t="e">
        <f>NA()</f>
        <v>#N/A</v>
      </c>
      <c r="H874" s="54" t="e">
        <f>NA()</f>
        <v>#N/A</v>
      </c>
      <c r="I874" s="39">
        <v>30</v>
      </c>
      <c r="J874" s="39" t="e">
        <v>#N/A</v>
      </c>
      <c r="K874" s="39" t="e">
        <v>#N/A</v>
      </c>
      <c r="L874" s="49">
        <v>1.73</v>
      </c>
      <c r="M874" s="49">
        <v>-23.89</v>
      </c>
      <c r="N874" t="e">
        <f>-NA()</f>
        <v>#N/A</v>
      </c>
      <c r="O874" t="e">
        <f>-NA()</f>
        <v>#N/A</v>
      </c>
      <c r="P874" t="e">
        <f>-NA()</f>
        <v>#N/A</v>
      </c>
      <c r="Q874" t="e">
        <f>-NA()</f>
        <v>#N/A</v>
      </c>
      <c r="R874" s="39">
        <v>1441152000</v>
      </c>
      <c r="S874" s="39" t="s">
        <v>932</v>
      </c>
    </row>
    <row r="875" spans="1:19" x14ac:dyDescent="0.2">
      <c r="A875" s="37" t="s">
        <v>934</v>
      </c>
      <c r="B875" s="49">
        <v>0.22</v>
      </c>
      <c r="C875" s="49">
        <v>4.7699999999999996</v>
      </c>
      <c r="D875" s="51">
        <v>2.3120039060000002</v>
      </c>
      <c r="E875" s="39" t="e">
        <f>NA()</f>
        <v>#N/A</v>
      </c>
      <c r="F875" s="39" t="e">
        <f>NA()</f>
        <v>#N/A</v>
      </c>
      <c r="G875" s="39" t="e">
        <f>NA()</f>
        <v>#N/A</v>
      </c>
      <c r="H875" s="54" t="e">
        <f>NA()</f>
        <v>#N/A</v>
      </c>
      <c r="I875" s="39">
        <v>15</v>
      </c>
      <c r="J875" s="39" t="e">
        <v>#N/A</v>
      </c>
      <c r="K875" s="39" t="e">
        <v>#N/A</v>
      </c>
      <c r="L875" s="49">
        <v>2.0099999999999998</v>
      </c>
      <c r="M875" s="49">
        <v>-24.29</v>
      </c>
      <c r="N875" t="e">
        <f>-NA()</f>
        <v>#N/A</v>
      </c>
      <c r="O875" t="e">
        <f>-NA()</f>
        <v>#N/A</v>
      </c>
      <c r="P875" t="e">
        <f>-NA()</f>
        <v>#N/A</v>
      </c>
      <c r="Q875" t="e">
        <f>-NA()</f>
        <v>#N/A</v>
      </c>
      <c r="R875" s="39">
        <v>1444176000</v>
      </c>
      <c r="S875" s="39" t="s">
        <v>932</v>
      </c>
    </row>
    <row r="876" spans="1:19" x14ac:dyDescent="0.2">
      <c r="A876" s="37" t="s">
        <v>935</v>
      </c>
      <c r="B876" s="49">
        <v>0.33500000000000002</v>
      </c>
      <c r="C876" s="49">
        <v>5.4</v>
      </c>
      <c r="D876" s="51">
        <v>2.3120039060000002</v>
      </c>
      <c r="E876" s="39" t="e">
        <f>NA()</f>
        <v>#N/A</v>
      </c>
      <c r="F876" s="39" t="e">
        <f>NA()</f>
        <v>#N/A</v>
      </c>
      <c r="G876" s="39" t="e">
        <f>NA()</f>
        <v>#N/A</v>
      </c>
      <c r="H876" s="54" t="e">
        <f>NA()</f>
        <v>#N/A</v>
      </c>
      <c r="I876" s="39">
        <v>15</v>
      </c>
      <c r="J876" s="39" t="e">
        <v>#N/A</v>
      </c>
      <c r="K876" s="39" t="e">
        <v>#N/A</v>
      </c>
      <c r="L876" s="49">
        <v>3.05</v>
      </c>
      <c r="M876" s="49">
        <v>-24.254999999999999</v>
      </c>
      <c r="N876" t="e">
        <f>-NA()</f>
        <v>#N/A</v>
      </c>
      <c r="O876" t="e">
        <f>-NA()</f>
        <v>#N/A</v>
      </c>
      <c r="P876" t="e">
        <f>-NA()</f>
        <v>#N/A</v>
      </c>
      <c r="Q876" t="e">
        <f>-NA()</f>
        <v>#N/A</v>
      </c>
      <c r="R876" s="39">
        <v>1447632000</v>
      </c>
      <c r="S876" s="39" t="s">
        <v>932</v>
      </c>
    </row>
    <row r="877" spans="1:19" x14ac:dyDescent="0.2">
      <c r="A877" s="37" t="s">
        <v>936</v>
      </c>
      <c r="B877" s="49">
        <v>0.28999999999999998</v>
      </c>
      <c r="C877" s="49">
        <v>6.37</v>
      </c>
      <c r="D877" s="51">
        <v>1.896105186</v>
      </c>
      <c r="E877" s="39" t="e">
        <f>NA()</f>
        <v>#N/A</v>
      </c>
      <c r="F877" s="39" t="e">
        <f>NA()</f>
        <v>#N/A</v>
      </c>
      <c r="G877" s="39" t="e">
        <f>NA()</f>
        <v>#N/A</v>
      </c>
      <c r="H877" s="54" t="e">
        <f>NA()</f>
        <v>#N/A</v>
      </c>
      <c r="I877" s="39">
        <v>15</v>
      </c>
      <c r="J877" s="39" t="e">
        <v>#N/A</v>
      </c>
      <c r="K877" s="39" t="e">
        <v>#N/A</v>
      </c>
      <c r="L877" s="49">
        <v>2.87</v>
      </c>
      <c r="M877" s="49">
        <v>-23.7</v>
      </c>
      <c r="N877" t="e">
        <f>-NA()</f>
        <v>#N/A</v>
      </c>
      <c r="O877" t="e">
        <f>-NA()</f>
        <v>#N/A</v>
      </c>
      <c r="P877" t="e">
        <f>-NA()</f>
        <v>#N/A</v>
      </c>
      <c r="Q877" t="e">
        <f>-NA()</f>
        <v>#N/A</v>
      </c>
      <c r="R877" s="39">
        <v>1450656000</v>
      </c>
      <c r="S877" s="39" t="s">
        <v>937</v>
      </c>
    </row>
    <row r="878" spans="1:19" ht="16" x14ac:dyDescent="0.2">
      <c r="A878" s="37" t="s">
        <v>938</v>
      </c>
      <c r="B878" s="49">
        <v>0.09</v>
      </c>
      <c r="C878" s="49">
        <v>5.0750000000000002</v>
      </c>
      <c r="D878" s="51">
        <v>1.5899120339999999</v>
      </c>
      <c r="E878" s="43">
        <v>208112.63140000001</v>
      </c>
      <c r="F878" s="43">
        <v>365496.48340000003</v>
      </c>
      <c r="G878" s="43" t="s">
        <v>623</v>
      </c>
      <c r="H878" s="53" t="s">
        <v>22</v>
      </c>
      <c r="I878" s="39">
        <v>15</v>
      </c>
      <c r="J878" s="39" t="e">
        <v>#N/A</v>
      </c>
      <c r="K878" s="39" t="e">
        <v>#N/A</v>
      </c>
      <c r="L878" s="49">
        <v>0.82666666700000002</v>
      </c>
      <c r="M878" s="49" t="s">
        <v>671</v>
      </c>
      <c r="N878" t="e">
        <f>-NA()</f>
        <v>#N/A</v>
      </c>
      <c r="O878" t="e">
        <f>-NA()</f>
        <v>#N/A</v>
      </c>
      <c r="P878" t="e">
        <f>-NA()</f>
        <v>#N/A</v>
      </c>
      <c r="Q878" t="e">
        <f>-NA()</f>
        <v>#N/A</v>
      </c>
      <c r="R878" s="39">
        <v>1441152000</v>
      </c>
      <c r="S878" s="39" t="s">
        <v>731</v>
      </c>
    </row>
    <row r="879" spans="1:19" ht="16" x14ac:dyDescent="0.2">
      <c r="A879" s="37" t="s">
        <v>939</v>
      </c>
      <c r="B879" s="49">
        <v>7.4999999999999997E-2</v>
      </c>
      <c r="C879" s="49">
        <v>5.99</v>
      </c>
      <c r="D879" s="51">
        <v>1.616110379</v>
      </c>
      <c r="E879" s="43">
        <v>208112.63140000001</v>
      </c>
      <c r="F879" s="43">
        <v>365496.48340000003</v>
      </c>
      <c r="G879" s="43" t="s">
        <v>623</v>
      </c>
      <c r="H879" s="53" t="s">
        <v>22</v>
      </c>
      <c r="I879" s="39">
        <v>30</v>
      </c>
      <c r="J879" s="39" t="e">
        <v>#N/A</v>
      </c>
      <c r="K879" s="39" t="e">
        <v>#N/A</v>
      </c>
      <c r="L879" s="49">
        <v>0.71499999999999997</v>
      </c>
      <c r="M879" s="49" t="s">
        <v>671</v>
      </c>
      <c r="N879" t="e">
        <f>-NA()</f>
        <v>#N/A</v>
      </c>
      <c r="O879" t="e">
        <f>-NA()</f>
        <v>#N/A</v>
      </c>
      <c r="P879" t="e">
        <f>-NA()</f>
        <v>#N/A</v>
      </c>
      <c r="Q879" t="e">
        <f>-NA()</f>
        <v>#N/A</v>
      </c>
      <c r="R879" s="39">
        <v>1441152000</v>
      </c>
      <c r="S879" s="39" t="s">
        <v>731</v>
      </c>
    </row>
    <row r="880" spans="1:19" ht="16" x14ac:dyDescent="0.2">
      <c r="A880" s="37" t="s">
        <v>940</v>
      </c>
      <c r="B880" s="49">
        <v>0.16</v>
      </c>
      <c r="C880" s="49">
        <v>5.0199999999999996</v>
      </c>
      <c r="D880" s="51">
        <v>2.3234656820000001</v>
      </c>
      <c r="E880" s="43">
        <v>209797.8315</v>
      </c>
      <c r="F880" s="43">
        <v>368638.50109999999</v>
      </c>
      <c r="G880" s="43" t="s">
        <v>55</v>
      </c>
      <c r="H880" s="53" t="s">
        <v>22</v>
      </c>
      <c r="I880" s="39">
        <v>15</v>
      </c>
      <c r="J880" s="39" t="e">
        <v>#N/A</v>
      </c>
      <c r="K880" s="39" t="e">
        <v>#N/A</v>
      </c>
      <c r="L880" s="49">
        <v>1.55</v>
      </c>
      <c r="M880" s="49">
        <v>-25.73</v>
      </c>
      <c r="N880" t="e">
        <f>-NA()</f>
        <v>#N/A</v>
      </c>
      <c r="O880" t="e">
        <f>-NA()</f>
        <v>#N/A</v>
      </c>
      <c r="P880" t="e">
        <f>-NA()</f>
        <v>#N/A</v>
      </c>
      <c r="Q880" t="e">
        <f>-NA()</f>
        <v>#N/A</v>
      </c>
      <c r="R880" s="39">
        <v>1443052800</v>
      </c>
      <c r="S880" s="39" t="s">
        <v>737</v>
      </c>
    </row>
    <row r="881" spans="1:19" ht="16" x14ac:dyDescent="0.2">
      <c r="A881" s="37" t="s">
        <v>941</v>
      </c>
      <c r="B881" s="49">
        <v>0.15</v>
      </c>
      <c r="C881" s="49">
        <v>4.8499999999999996</v>
      </c>
      <c r="D881" s="51">
        <v>2.573987351</v>
      </c>
      <c r="E881" s="43">
        <v>208970.97630000001</v>
      </c>
      <c r="F881" s="43">
        <v>368740.52010000002</v>
      </c>
      <c r="G881" s="43" t="s">
        <v>91</v>
      </c>
      <c r="H881" s="53" t="s">
        <v>22</v>
      </c>
      <c r="I881" s="39">
        <v>15</v>
      </c>
      <c r="J881" s="39" t="e">
        <v>#N/A</v>
      </c>
      <c r="K881" s="39" t="e">
        <v>#N/A</v>
      </c>
      <c r="L881" s="49">
        <v>1.47</v>
      </c>
      <c r="M881" s="49">
        <v>-25.04</v>
      </c>
      <c r="N881" t="e">
        <f>-NA()</f>
        <v>#N/A</v>
      </c>
      <c r="O881" t="e">
        <f>-NA()</f>
        <v>#N/A</v>
      </c>
      <c r="P881" t="e">
        <f>-NA()</f>
        <v>#N/A</v>
      </c>
      <c r="Q881" t="e">
        <f>-NA()</f>
        <v>#N/A</v>
      </c>
      <c r="R881" s="39">
        <v>1443139200</v>
      </c>
      <c r="S881" s="39" t="s">
        <v>743</v>
      </c>
    </row>
    <row r="882" spans="1:19" ht="16" x14ac:dyDescent="0.2">
      <c r="A882" s="37" t="s">
        <v>942</v>
      </c>
      <c r="B882" s="49">
        <v>0.155</v>
      </c>
      <c r="C882" s="49">
        <v>5.0049999999999999</v>
      </c>
      <c r="D882" s="51">
        <v>2.1973861480000001</v>
      </c>
      <c r="E882" s="43">
        <v>209274.8651</v>
      </c>
      <c r="F882" s="43">
        <v>368851.03860000003</v>
      </c>
      <c r="G882" s="43" t="s">
        <v>125</v>
      </c>
      <c r="H882" s="53" t="s">
        <v>22</v>
      </c>
      <c r="I882" s="39">
        <v>15</v>
      </c>
      <c r="J882" s="39" t="e">
        <v>#N/A</v>
      </c>
      <c r="K882" s="39" t="e">
        <v>#N/A</v>
      </c>
      <c r="L882" s="49">
        <v>1.395</v>
      </c>
      <c r="M882" s="49">
        <v>-24.425000000000001</v>
      </c>
      <c r="N882" t="e">
        <f>-NA()</f>
        <v>#N/A</v>
      </c>
      <c r="O882" t="e">
        <f>-NA()</f>
        <v>#N/A</v>
      </c>
      <c r="P882" t="e">
        <f>-NA()</f>
        <v>#N/A</v>
      </c>
      <c r="Q882" t="e">
        <f>-NA()</f>
        <v>#N/A</v>
      </c>
      <c r="R882" s="39">
        <v>1443398400</v>
      </c>
      <c r="S882" s="39" t="s">
        <v>749</v>
      </c>
    </row>
    <row r="883" spans="1:19" ht="16" x14ac:dyDescent="0.2">
      <c r="A883" s="37" t="s">
        <v>943</v>
      </c>
      <c r="B883" s="49">
        <v>0.24</v>
      </c>
      <c r="C883" s="49">
        <v>6.56</v>
      </c>
      <c r="D883" s="51">
        <v>2.4872053350000001</v>
      </c>
      <c r="E883" s="43">
        <v>204909.54329999999</v>
      </c>
      <c r="F883" s="43">
        <v>366099.93910000002</v>
      </c>
      <c r="G883" s="43" t="s">
        <v>159</v>
      </c>
      <c r="H883" s="53" t="s">
        <v>22</v>
      </c>
      <c r="I883" s="39">
        <v>15</v>
      </c>
      <c r="J883" s="39" t="e">
        <v>#N/A</v>
      </c>
      <c r="K883" s="39" t="e">
        <v>#N/A</v>
      </c>
      <c r="L883" s="49">
        <v>2.23</v>
      </c>
      <c r="M883" s="49">
        <v>-22.22</v>
      </c>
      <c r="N883" t="e">
        <f>-NA()</f>
        <v>#N/A</v>
      </c>
      <c r="O883" t="e">
        <f>-NA()</f>
        <v>#N/A</v>
      </c>
      <c r="P883" t="e">
        <f>-NA()</f>
        <v>#N/A</v>
      </c>
      <c r="Q883" t="e">
        <f>-NA()</f>
        <v>#N/A</v>
      </c>
      <c r="R883" s="39">
        <v>1443398400</v>
      </c>
      <c r="S883" s="39" t="s">
        <v>755</v>
      </c>
    </row>
    <row r="884" spans="1:19" ht="16" x14ac:dyDescent="0.2">
      <c r="A884" s="37" t="s">
        <v>944</v>
      </c>
      <c r="B884" s="49">
        <v>0.12</v>
      </c>
      <c r="C884" s="49">
        <v>5.21</v>
      </c>
      <c r="D884" s="51">
        <v>2.3889615430000002</v>
      </c>
      <c r="E884" s="43">
        <v>206923.5949</v>
      </c>
      <c r="F884" s="43">
        <v>367496.74829999998</v>
      </c>
      <c r="G884" s="43" t="s">
        <v>21</v>
      </c>
      <c r="H884" s="53" t="s">
        <v>22</v>
      </c>
      <c r="I884" s="39">
        <v>15</v>
      </c>
      <c r="J884" s="39" t="e">
        <v>#N/A</v>
      </c>
      <c r="K884" s="39" t="e">
        <v>#N/A</v>
      </c>
      <c r="L884" s="49">
        <v>1.06</v>
      </c>
      <c r="M884" s="49">
        <v>-23.27</v>
      </c>
      <c r="N884" t="e">
        <f>-NA()</f>
        <v>#N/A</v>
      </c>
      <c r="O884" t="e">
        <f>-NA()</f>
        <v>#N/A</v>
      </c>
      <c r="P884" t="e">
        <f>-NA()</f>
        <v>#N/A</v>
      </c>
      <c r="Q884" t="e">
        <f>-NA()</f>
        <v>#N/A</v>
      </c>
      <c r="R884" s="39">
        <v>1443398400</v>
      </c>
      <c r="S884" s="39" t="s">
        <v>761</v>
      </c>
    </row>
    <row r="885" spans="1:19" ht="16" x14ac:dyDescent="0.2">
      <c r="A885" s="37" t="s">
        <v>945</v>
      </c>
      <c r="B885" s="49">
        <v>0.215</v>
      </c>
      <c r="C885" s="49">
        <v>5.2949999999999999</v>
      </c>
      <c r="D885" s="51">
        <v>2.2415958549999999</v>
      </c>
      <c r="E885" s="43">
        <v>207130.2776</v>
      </c>
      <c r="F885" s="43">
        <v>366996.86820000003</v>
      </c>
      <c r="G885" s="43" t="s">
        <v>219</v>
      </c>
      <c r="H885" s="53" t="s">
        <v>22</v>
      </c>
      <c r="I885" s="39">
        <v>15</v>
      </c>
      <c r="J885" s="39" t="e">
        <v>#N/A</v>
      </c>
      <c r="K885" s="39" t="e">
        <v>#N/A</v>
      </c>
      <c r="L885" s="49">
        <v>1.74</v>
      </c>
      <c r="M885" s="49">
        <v>-25.74</v>
      </c>
      <c r="N885" t="e">
        <f>-NA()</f>
        <v>#N/A</v>
      </c>
      <c r="O885" t="e">
        <f>-NA()</f>
        <v>#N/A</v>
      </c>
      <c r="P885" t="e">
        <f>-NA()</f>
        <v>#N/A</v>
      </c>
      <c r="Q885" t="e">
        <f>-NA()</f>
        <v>#N/A</v>
      </c>
      <c r="R885" s="39">
        <v>1443484800</v>
      </c>
      <c r="S885" s="39" t="s">
        <v>767</v>
      </c>
    </row>
    <row r="886" spans="1:19" ht="16" x14ac:dyDescent="0.2">
      <c r="A886" s="37" t="s">
        <v>946</v>
      </c>
      <c r="B886" s="49">
        <v>0.18</v>
      </c>
      <c r="C886" s="49">
        <v>6.11</v>
      </c>
      <c r="D886" s="51">
        <v>2.3087291130000001</v>
      </c>
      <c r="E886" s="43">
        <v>207422.44510000001</v>
      </c>
      <c r="F886" s="43">
        <v>366364.82120000001</v>
      </c>
      <c r="G886" s="43" t="s">
        <v>34</v>
      </c>
      <c r="H886" s="53" t="s">
        <v>22</v>
      </c>
      <c r="I886" s="39">
        <v>15</v>
      </c>
      <c r="J886" s="39" t="e">
        <v>#N/A</v>
      </c>
      <c r="K886" s="39" t="e">
        <v>#N/A</v>
      </c>
      <c r="L886" s="49">
        <v>1.75</v>
      </c>
      <c r="M886" s="49">
        <v>-22.02</v>
      </c>
      <c r="N886" t="e">
        <f>-NA()</f>
        <v>#N/A</v>
      </c>
      <c r="O886" t="e">
        <f>-NA()</f>
        <v>#N/A</v>
      </c>
      <c r="P886" t="e">
        <f>-NA()</f>
        <v>#N/A</v>
      </c>
      <c r="Q886" t="e">
        <f>-NA()</f>
        <v>#N/A</v>
      </c>
      <c r="R886" s="39">
        <v>1443744000</v>
      </c>
      <c r="S886" s="39" t="s">
        <v>773</v>
      </c>
    </row>
    <row r="887" spans="1:19" ht="16" x14ac:dyDescent="0.2">
      <c r="A887" s="37" t="s">
        <v>947</v>
      </c>
      <c r="B887" s="49">
        <v>0.16</v>
      </c>
      <c r="C887" s="49">
        <v>5.28</v>
      </c>
      <c r="D887" s="51">
        <v>2.4184346809999999</v>
      </c>
      <c r="E887" s="43">
        <v>209868.28159999999</v>
      </c>
      <c r="F887" s="43">
        <v>370198.27370000002</v>
      </c>
      <c r="G887" s="43" t="s">
        <v>285</v>
      </c>
      <c r="H887" s="53" t="s">
        <v>22</v>
      </c>
      <c r="I887" s="39">
        <v>15</v>
      </c>
      <c r="J887" s="39" t="e">
        <v>#N/A</v>
      </c>
      <c r="K887" s="39" t="e">
        <v>#N/A</v>
      </c>
      <c r="L887" s="49">
        <v>1.47</v>
      </c>
      <c r="M887" s="49">
        <v>-22.76</v>
      </c>
      <c r="N887" t="e">
        <f>-NA()</f>
        <v>#N/A</v>
      </c>
      <c r="O887" t="e">
        <f>-NA()</f>
        <v>#N/A</v>
      </c>
      <c r="P887" t="e">
        <f>-NA()</f>
        <v>#N/A</v>
      </c>
      <c r="Q887" t="e">
        <f>-NA()</f>
        <v>#N/A</v>
      </c>
      <c r="R887" s="39">
        <v>1443744000</v>
      </c>
      <c r="S887" s="39" t="s">
        <v>725</v>
      </c>
    </row>
    <row r="888" spans="1:19" x14ac:dyDescent="0.2">
      <c r="A888" s="37" t="s">
        <v>948</v>
      </c>
      <c r="B888" s="49">
        <v>0.24</v>
      </c>
      <c r="C888" s="49">
        <v>5.95</v>
      </c>
      <c r="D888" s="51">
        <v>0.91694205900000003</v>
      </c>
      <c r="E888" s="39" t="e">
        <f>NA()</f>
        <v>#N/A</v>
      </c>
      <c r="F888" s="39" t="e">
        <f>NA()</f>
        <v>#N/A</v>
      </c>
      <c r="G888" s="39" t="e">
        <f>NA()</f>
        <v>#N/A</v>
      </c>
      <c r="H888" s="54" t="e">
        <f>NA()</f>
        <v>#N/A</v>
      </c>
      <c r="I888" s="39">
        <v>30</v>
      </c>
      <c r="J888" s="39" t="e">
        <v>#N/A</v>
      </c>
      <c r="K888" s="39" t="e">
        <v>#N/A</v>
      </c>
      <c r="L888" s="49">
        <v>2.4300000000000002</v>
      </c>
      <c r="M888" s="49">
        <v>-23.43</v>
      </c>
      <c r="N888" t="e">
        <f>-NA()</f>
        <v>#N/A</v>
      </c>
      <c r="O888" t="e">
        <f>-NA()</f>
        <v>#N/A</v>
      </c>
      <c r="P888" t="e">
        <f>-NA()</f>
        <v>#N/A</v>
      </c>
      <c r="Q888" t="e">
        <f>-NA()</f>
        <v>#N/A</v>
      </c>
      <c r="R888" s="39">
        <v>1450656000</v>
      </c>
      <c r="S888" s="39" t="s">
        <v>937</v>
      </c>
    </row>
    <row r="889" spans="1:19" x14ac:dyDescent="0.2">
      <c r="A889" s="37" t="s">
        <v>949</v>
      </c>
      <c r="B889" s="49">
        <v>0.22500000000000001</v>
      </c>
      <c r="C889" s="49">
        <v>5.8224999999999998</v>
      </c>
      <c r="D889" s="51">
        <v>0</v>
      </c>
      <c r="E889" s="39" t="e">
        <f>NA()</f>
        <v>#N/A</v>
      </c>
      <c r="F889" s="39" t="e">
        <f>NA()</f>
        <v>#N/A</v>
      </c>
      <c r="G889" s="39" t="e">
        <f>NA()</f>
        <v>#N/A</v>
      </c>
      <c r="H889" s="54" t="e">
        <f>NA()</f>
        <v>#N/A</v>
      </c>
      <c r="I889" s="39">
        <v>15</v>
      </c>
      <c r="J889" s="39" t="e">
        <v>#N/A</v>
      </c>
      <c r="K889" s="39" t="e">
        <v>#N/A</v>
      </c>
      <c r="L889" s="49">
        <v>2.4024999999999999</v>
      </c>
      <c r="M889" s="49">
        <v>-23.16</v>
      </c>
      <c r="N889" t="e">
        <f>-NA()</f>
        <v>#N/A</v>
      </c>
      <c r="O889" t="e">
        <f>-NA()</f>
        <v>#N/A</v>
      </c>
      <c r="P889" t="e">
        <f>-NA()</f>
        <v>#N/A</v>
      </c>
      <c r="Q889" t="e">
        <f>-NA()</f>
        <v>#N/A</v>
      </c>
      <c r="R889" s="39">
        <v>1441152000</v>
      </c>
      <c r="S889" s="39" t="s">
        <v>937</v>
      </c>
    </row>
    <row r="890" spans="1:19" x14ac:dyDescent="0.2">
      <c r="A890" s="37" t="s">
        <v>950</v>
      </c>
      <c r="B890" s="49">
        <v>0.21</v>
      </c>
      <c r="C890" s="49">
        <v>5.5549999999999997</v>
      </c>
      <c r="D890" s="51">
        <v>1.7667508599999999</v>
      </c>
      <c r="E890" s="39" t="e">
        <f>NA()</f>
        <v>#N/A</v>
      </c>
      <c r="F890" s="39" t="e">
        <f>NA()</f>
        <v>#N/A</v>
      </c>
      <c r="G890" s="39" t="e">
        <f>NA()</f>
        <v>#N/A</v>
      </c>
      <c r="H890" s="54" t="e">
        <f>NA()</f>
        <v>#N/A</v>
      </c>
      <c r="I890" s="39">
        <v>30</v>
      </c>
      <c r="J890" s="39" t="e">
        <v>#N/A</v>
      </c>
      <c r="K890" s="39" t="e">
        <v>#N/A</v>
      </c>
      <c r="L890" s="49">
        <v>2.0666666669999998</v>
      </c>
      <c r="M890" s="49">
        <v>-23.43</v>
      </c>
      <c r="N890" t="e">
        <f>-NA()</f>
        <v>#N/A</v>
      </c>
      <c r="O890" t="e">
        <f>-NA()</f>
        <v>#N/A</v>
      </c>
      <c r="P890" t="e">
        <f>-NA()</f>
        <v>#N/A</v>
      </c>
      <c r="Q890" t="e">
        <f>-NA()</f>
        <v>#N/A</v>
      </c>
      <c r="R890" s="39">
        <v>1441152000</v>
      </c>
      <c r="S890" s="39" t="s">
        <v>937</v>
      </c>
    </row>
    <row r="891" spans="1:19" ht="16" x14ac:dyDescent="0.2">
      <c r="A891" s="37" t="s">
        <v>951</v>
      </c>
      <c r="B891" s="49">
        <v>0.105</v>
      </c>
      <c r="C891" s="49">
        <v>4.3449999999999998</v>
      </c>
      <c r="D891" s="51">
        <v>2.763925349</v>
      </c>
      <c r="E891" s="43">
        <v>208112.63140000001</v>
      </c>
      <c r="F891" s="43">
        <v>365496.48340000003</v>
      </c>
      <c r="G891" s="43" t="s">
        <v>623</v>
      </c>
      <c r="H891" s="53" t="s">
        <v>22</v>
      </c>
      <c r="I891" s="39">
        <v>15</v>
      </c>
      <c r="J891" s="39" t="e">
        <v>#N/A</v>
      </c>
      <c r="K891" s="39" t="e">
        <v>#N/A</v>
      </c>
      <c r="L891" s="49">
        <v>0.98</v>
      </c>
      <c r="M891" s="49">
        <v>-21.58</v>
      </c>
      <c r="N891" t="e">
        <f>-NA()</f>
        <v>#N/A</v>
      </c>
      <c r="O891" t="e">
        <f>-NA()</f>
        <v>#N/A</v>
      </c>
      <c r="P891" t="e">
        <f>-NA()</f>
        <v>#N/A</v>
      </c>
      <c r="Q891" t="e">
        <f>-NA()</f>
        <v>#N/A</v>
      </c>
      <c r="R891" s="39">
        <v>1444176000</v>
      </c>
      <c r="S891" s="39" t="s">
        <v>731</v>
      </c>
    </row>
    <row r="892" spans="1:19" ht="16" x14ac:dyDescent="0.2">
      <c r="A892" s="37" t="s">
        <v>952</v>
      </c>
      <c r="B892" s="49">
        <v>0.26</v>
      </c>
      <c r="C892" s="49">
        <v>6.41</v>
      </c>
      <c r="D892" s="51">
        <v>2.1056919430000001</v>
      </c>
      <c r="E892" s="43">
        <v>204909.54329999999</v>
      </c>
      <c r="F892" s="43">
        <v>366099.93910000002</v>
      </c>
      <c r="G892" s="43" t="s">
        <v>159</v>
      </c>
      <c r="H892" s="53" t="s">
        <v>22</v>
      </c>
      <c r="I892" s="39">
        <v>15</v>
      </c>
      <c r="J892" s="39" t="e">
        <v>#N/A</v>
      </c>
      <c r="K892" s="39" t="e">
        <v>#N/A</v>
      </c>
      <c r="L892" s="49">
        <v>2.5499999999999998</v>
      </c>
      <c r="M892" s="49">
        <v>-22.21</v>
      </c>
      <c r="N892" t="e">
        <f>-NA()</f>
        <v>#N/A</v>
      </c>
      <c r="O892" t="e">
        <f>-NA()</f>
        <v>#N/A</v>
      </c>
      <c r="P892" t="e">
        <f>-NA()</f>
        <v>#N/A</v>
      </c>
      <c r="Q892" t="e">
        <f>-NA()</f>
        <v>#N/A</v>
      </c>
      <c r="R892" s="39">
        <v>1445385600</v>
      </c>
      <c r="S892" s="39" t="s">
        <v>755</v>
      </c>
    </row>
    <row r="893" spans="1:19" ht="16" x14ac:dyDescent="0.2">
      <c r="A893" s="37" t="s">
        <v>953</v>
      </c>
      <c r="B893" s="49">
        <v>0.26</v>
      </c>
      <c r="C893" s="49">
        <v>5.05</v>
      </c>
      <c r="D893" s="51">
        <v>1.6717818609999999</v>
      </c>
      <c r="E893" s="43">
        <v>207130.2776</v>
      </c>
      <c r="F893" s="43">
        <v>366996.86820000003</v>
      </c>
      <c r="G893" s="43" t="s">
        <v>219</v>
      </c>
      <c r="H893" s="53" t="s">
        <v>22</v>
      </c>
      <c r="I893" s="39">
        <v>15</v>
      </c>
      <c r="J893" s="39" t="e">
        <v>#N/A</v>
      </c>
      <c r="K893" s="39" t="e">
        <v>#N/A</v>
      </c>
      <c r="L893" s="49">
        <v>2.1800000000000002</v>
      </c>
      <c r="M893" s="49">
        <v>-26.33</v>
      </c>
      <c r="N893" t="e">
        <f>-NA()</f>
        <v>#N/A</v>
      </c>
      <c r="O893" t="e">
        <f>-NA()</f>
        <v>#N/A</v>
      </c>
      <c r="P893" t="e">
        <f>-NA()</f>
        <v>#N/A</v>
      </c>
      <c r="Q893" t="e">
        <f>-NA()</f>
        <v>#N/A</v>
      </c>
      <c r="R893" s="39">
        <v>1445385600</v>
      </c>
      <c r="S893" s="39" t="s">
        <v>767</v>
      </c>
    </row>
    <row r="894" spans="1:19" ht="16" x14ac:dyDescent="0.2">
      <c r="A894" s="37" t="s">
        <v>954</v>
      </c>
      <c r="B894" s="49">
        <v>0.14499999999999999</v>
      </c>
      <c r="C894" s="49">
        <v>4.82</v>
      </c>
      <c r="D894" s="51">
        <v>2.0876805809999999</v>
      </c>
      <c r="E894" s="43">
        <v>209868.28159999999</v>
      </c>
      <c r="F894" s="43">
        <v>370198.27370000002</v>
      </c>
      <c r="G894" s="43" t="s">
        <v>285</v>
      </c>
      <c r="H894" s="53" t="s">
        <v>22</v>
      </c>
      <c r="I894" s="39">
        <v>15</v>
      </c>
      <c r="J894" s="39" t="e">
        <v>#N/A</v>
      </c>
      <c r="K894" s="39" t="e">
        <v>#N/A</v>
      </c>
      <c r="L894" s="49">
        <v>1.31</v>
      </c>
      <c r="M894" s="49">
        <v>-22.46</v>
      </c>
      <c r="N894" t="e">
        <f>-NA()</f>
        <v>#N/A</v>
      </c>
      <c r="O894" t="e">
        <f>-NA()</f>
        <v>#N/A</v>
      </c>
      <c r="P894" t="e">
        <f>-NA()</f>
        <v>#N/A</v>
      </c>
      <c r="Q894" t="e">
        <f>-NA()</f>
        <v>#N/A</v>
      </c>
      <c r="R894" s="39">
        <v>1445385600</v>
      </c>
      <c r="S894" s="39" t="s">
        <v>725</v>
      </c>
    </row>
    <row r="895" spans="1:19" ht="16" x14ac:dyDescent="0.2">
      <c r="A895" s="37" t="s">
        <v>955</v>
      </c>
      <c r="B895" s="49">
        <v>0.12</v>
      </c>
      <c r="C895" s="49">
        <v>4.6399999999999997</v>
      </c>
      <c r="D895" s="51">
        <v>2.5919987130000002</v>
      </c>
      <c r="E895" s="43">
        <v>208112.63140000001</v>
      </c>
      <c r="F895" s="43">
        <v>365496.48340000003</v>
      </c>
      <c r="G895" s="43" t="s">
        <v>623</v>
      </c>
      <c r="H895" s="53" t="s">
        <v>22</v>
      </c>
      <c r="I895" s="39">
        <v>15</v>
      </c>
      <c r="J895" s="39" t="e">
        <v>#N/A</v>
      </c>
      <c r="K895" s="39" t="e">
        <v>#N/A</v>
      </c>
      <c r="L895" s="49">
        <v>1.07</v>
      </c>
      <c r="M895" s="49">
        <v>-21.05</v>
      </c>
      <c r="N895" t="e">
        <f>-NA()</f>
        <v>#N/A</v>
      </c>
      <c r="O895" t="e">
        <f>-NA()</f>
        <v>#N/A</v>
      </c>
      <c r="P895" t="e">
        <f>-NA()</f>
        <v>#N/A</v>
      </c>
      <c r="Q895" t="e">
        <f>-NA()</f>
        <v>#N/A</v>
      </c>
      <c r="R895" s="39">
        <v>1447113600</v>
      </c>
      <c r="S895" s="39" t="s">
        <v>731</v>
      </c>
    </row>
    <row r="896" spans="1:19" ht="16" x14ac:dyDescent="0.2">
      <c r="A896" s="37" t="s">
        <v>956</v>
      </c>
      <c r="B896" s="49">
        <v>0.15</v>
      </c>
      <c r="C896" s="49">
        <v>9.2200000000000006</v>
      </c>
      <c r="D896" s="51">
        <v>2.0385586849999999</v>
      </c>
      <c r="E896" s="43">
        <v>206923.5949</v>
      </c>
      <c r="F896" s="43">
        <v>367496.74829999998</v>
      </c>
      <c r="G896" s="43" t="s">
        <v>21</v>
      </c>
      <c r="H896" s="53" t="s">
        <v>22</v>
      </c>
      <c r="I896" s="39">
        <v>15</v>
      </c>
      <c r="J896" s="39" t="e">
        <v>#N/A</v>
      </c>
      <c r="K896" s="39" t="e">
        <v>#N/A</v>
      </c>
      <c r="L896" s="49">
        <v>1.44</v>
      </c>
      <c r="M896" s="49">
        <v>-22.68</v>
      </c>
      <c r="N896" t="e">
        <f>-NA()</f>
        <v>#N/A</v>
      </c>
      <c r="O896" t="e">
        <f>-NA()</f>
        <v>#N/A</v>
      </c>
      <c r="P896" t="e">
        <f>-NA()</f>
        <v>#N/A</v>
      </c>
      <c r="Q896" t="e">
        <f>-NA()</f>
        <v>#N/A</v>
      </c>
      <c r="R896" s="39">
        <v>1447632000</v>
      </c>
      <c r="S896" s="39" t="s">
        <v>761</v>
      </c>
    </row>
    <row r="897" spans="1:19" ht="16" x14ac:dyDescent="0.2">
      <c r="A897" s="37" t="s">
        <v>957</v>
      </c>
      <c r="B897" s="49">
        <v>0.18</v>
      </c>
      <c r="C897" s="49">
        <v>8.0299999999999994</v>
      </c>
      <c r="D897" s="51">
        <v>2.2596072170000001</v>
      </c>
      <c r="E897" s="43">
        <v>207422.44510000001</v>
      </c>
      <c r="F897" s="43">
        <v>366364.82120000001</v>
      </c>
      <c r="G897" s="43" t="s">
        <v>34</v>
      </c>
      <c r="H897" s="53" t="s">
        <v>22</v>
      </c>
      <c r="I897" s="39">
        <v>15</v>
      </c>
      <c r="J897" s="39" t="e">
        <v>#N/A</v>
      </c>
      <c r="K897" s="39" t="e">
        <v>#N/A</v>
      </c>
      <c r="L897" s="49">
        <v>1.63</v>
      </c>
      <c r="M897" s="49">
        <v>-22.8</v>
      </c>
      <c r="N897" t="e">
        <f>-NA()</f>
        <v>#N/A</v>
      </c>
      <c r="O897" t="e">
        <f>-NA()</f>
        <v>#N/A</v>
      </c>
      <c r="P897" t="e">
        <f>-NA()</f>
        <v>#N/A</v>
      </c>
      <c r="Q897" t="e">
        <f>-NA()</f>
        <v>#N/A</v>
      </c>
      <c r="R897" s="39">
        <v>1447632000</v>
      </c>
      <c r="S897" s="39" t="s">
        <v>773</v>
      </c>
    </row>
    <row r="898" spans="1:19" x14ac:dyDescent="0.2">
      <c r="A898" s="38" t="s">
        <v>958</v>
      </c>
      <c r="B898" s="50">
        <v>0.24</v>
      </c>
      <c r="C898" s="50">
        <v>5.76</v>
      </c>
      <c r="D898" s="52">
        <v>2.2415958549999999</v>
      </c>
      <c r="E898" s="40" t="e">
        <f>NA()</f>
        <v>#N/A</v>
      </c>
      <c r="F898" s="40" t="e">
        <f>NA()</f>
        <v>#N/A</v>
      </c>
      <c r="G898" s="40" t="e">
        <f>NA()</f>
        <v>#N/A</v>
      </c>
      <c r="H898" s="55" t="e">
        <f>NA()</f>
        <v>#N/A</v>
      </c>
      <c r="I898" s="40">
        <v>15</v>
      </c>
      <c r="J898" s="40" t="e">
        <v>#N/A</v>
      </c>
      <c r="K898" s="40" t="e">
        <v>#N/A</v>
      </c>
      <c r="L898" s="50">
        <v>2.34</v>
      </c>
      <c r="M898" s="50">
        <v>-23.26</v>
      </c>
      <c r="N898" t="e">
        <f>-NA()</f>
        <v>#N/A</v>
      </c>
      <c r="O898" t="e">
        <f>-NA()</f>
        <v>#N/A</v>
      </c>
      <c r="P898" t="e">
        <f>-NA()</f>
        <v>#N/A</v>
      </c>
      <c r="Q898" t="e">
        <f>-NA()</f>
        <v>#N/A</v>
      </c>
      <c r="R898" s="40">
        <v>1444176000</v>
      </c>
      <c r="S898" s="40" t="s">
        <v>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242DE-4FFE-4067-A993-887174913643}">
  <dimension ref="A1:T54"/>
  <sheetViews>
    <sheetView workbookViewId="0">
      <pane xSplit="1" topLeftCell="M1" activePane="topRight" state="frozen"/>
      <selection pane="topRight" activeCell="T17" sqref="T17"/>
    </sheetView>
  </sheetViews>
  <sheetFormatPr baseColWidth="10" defaultColWidth="8.83203125" defaultRowHeight="15" x14ac:dyDescent="0.2"/>
  <cols>
    <col min="1" max="1" width="27.33203125" customWidth="1"/>
    <col min="2" max="2" width="26.5" customWidth="1"/>
    <col min="3" max="3" width="28.5" customWidth="1"/>
    <col min="4" max="4" width="23.33203125" customWidth="1"/>
    <col min="5" max="5" width="22.6640625" customWidth="1"/>
    <col min="6" max="6" width="31" customWidth="1"/>
    <col min="7" max="7" width="31.5" customWidth="1"/>
    <col min="8" max="8" width="30.83203125" customWidth="1"/>
    <col min="9" max="9" width="34.1640625" customWidth="1"/>
    <col min="12" max="12" width="33" customWidth="1"/>
    <col min="13" max="13" width="22.83203125" bestFit="1" customWidth="1"/>
    <col min="14" max="14" width="24.6640625" customWidth="1"/>
    <col min="15" max="15" width="75.1640625" customWidth="1"/>
    <col min="16" max="16" width="36.5" customWidth="1"/>
    <col min="17" max="17" width="32.6640625" customWidth="1"/>
    <col min="18" max="18" width="31" customWidth="1"/>
    <col min="19" max="19" width="34" customWidth="1"/>
    <col min="20" max="20" width="41.33203125" customWidth="1"/>
  </cols>
  <sheetData>
    <row r="1" spans="1:20" x14ac:dyDescent="0.2">
      <c r="A1" t="s">
        <v>0</v>
      </c>
      <c r="B1" t="s">
        <v>959</v>
      </c>
      <c r="C1" t="s">
        <v>960</v>
      </c>
      <c r="D1" t="s">
        <v>961</v>
      </c>
      <c r="E1" t="s">
        <v>962</v>
      </c>
      <c r="F1" t="s">
        <v>13</v>
      </c>
      <c r="G1" t="s">
        <v>14</v>
      </c>
      <c r="H1" t="s">
        <v>15</v>
      </c>
      <c r="I1" t="s">
        <v>16</v>
      </c>
      <c r="J1" t="s">
        <v>963</v>
      </c>
      <c r="K1" t="s">
        <v>18</v>
      </c>
      <c r="L1" t="s">
        <v>964</v>
      </c>
      <c r="M1" t="s">
        <v>965</v>
      </c>
      <c r="N1" t="s">
        <v>966</v>
      </c>
      <c r="O1" s="14" t="s">
        <v>967</v>
      </c>
      <c r="P1" t="s">
        <v>4</v>
      </c>
      <c r="Q1" t="s">
        <v>5</v>
      </c>
      <c r="R1" t="s">
        <v>6</v>
      </c>
      <c r="S1" t="s">
        <v>7</v>
      </c>
      <c r="T1" t="s">
        <v>19</v>
      </c>
    </row>
    <row r="2" spans="1:20" ht="16" x14ac:dyDescent="0.2">
      <c r="A2" t="s">
        <v>903</v>
      </c>
      <c r="B2" s="3">
        <v>1.98</v>
      </c>
      <c r="C2" s="3">
        <v>-25.97</v>
      </c>
      <c r="D2" s="3">
        <v>0.19</v>
      </c>
      <c r="E2" s="3">
        <v>6.38</v>
      </c>
      <c r="F2" t="e">
        <v>#N/A</v>
      </c>
      <c r="G2" t="e">
        <v>#N/A</v>
      </c>
      <c r="H2" t="e">
        <v>#N/A</v>
      </c>
      <c r="I2" t="e">
        <v>#N/A</v>
      </c>
      <c r="J2" t="s">
        <v>968</v>
      </c>
      <c r="K2" t="s">
        <v>737</v>
      </c>
      <c r="L2">
        <v>1449705600</v>
      </c>
      <c r="M2" t="e">
        <v>#N/A</v>
      </c>
      <c r="N2">
        <v>15</v>
      </c>
      <c r="O2" s="2">
        <v>1.9927115820000001</v>
      </c>
      <c r="P2" s="8">
        <v>209797.8315</v>
      </c>
      <c r="Q2" s="8">
        <v>368638.50109999999</v>
      </c>
      <c r="R2" s="8" t="s">
        <v>55</v>
      </c>
      <c r="S2" s="8" t="s">
        <v>22</v>
      </c>
      <c r="T2" s="10" t="s">
        <v>969</v>
      </c>
    </row>
    <row r="3" spans="1:20" ht="16" x14ac:dyDescent="0.2">
      <c r="A3" t="s">
        <v>904</v>
      </c>
      <c r="B3" s="3">
        <v>1.54</v>
      </c>
      <c r="C3" s="3">
        <v>-25.58</v>
      </c>
      <c r="D3" s="3">
        <v>0.13</v>
      </c>
      <c r="E3" s="3">
        <v>7.87</v>
      </c>
      <c r="F3" t="e">
        <v>#N/A</v>
      </c>
      <c r="G3" t="e">
        <v>#N/A</v>
      </c>
      <c r="H3" t="e">
        <v>#N/A</v>
      </c>
      <c r="I3" t="e">
        <v>#N/A</v>
      </c>
      <c r="J3" t="s">
        <v>968</v>
      </c>
      <c r="K3" t="s">
        <v>737</v>
      </c>
      <c r="L3">
        <v>1449705600</v>
      </c>
      <c r="M3" t="e">
        <v>#N/A</v>
      </c>
      <c r="N3">
        <v>30</v>
      </c>
      <c r="O3" s="2">
        <v>1.2689823140000001</v>
      </c>
      <c r="P3" s="8">
        <v>209797.8315</v>
      </c>
      <c r="Q3" s="8">
        <v>368638.50109999999</v>
      </c>
      <c r="R3" s="8" t="s">
        <v>55</v>
      </c>
      <c r="S3" s="8" t="s">
        <v>22</v>
      </c>
    </row>
    <row r="4" spans="1:20" ht="16" x14ac:dyDescent="0.2">
      <c r="A4" t="s">
        <v>905</v>
      </c>
      <c r="B4" s="3">
        <v>1.38</v>
      </c>
      <c r="C4" s="3">
        <v>-24.3</v>
      </c>
      <c r="D4" s="3">
        <v>0.15</v>
      </c>
      <c r="E4" s="3">
        <v>7.55</v>
      </c>
      <c r="F4" t="e">
        <v>#N/A</v>
      </c>
      <c r="G4" t="e">
        <v>#N/A</v>
      </c>
      <c r="H4" t="e">
        <v>#N/A</v>
      </c>
      <c r="I4" t="e">
        <v>#N/A</v>
      </c>
      <c r="J4" t="s">
        <v>968</v>
      </c>
      <c r="K4" t="s">
        <v>743</v>
      </c>
      <c r="L4">
        <v>1450224000</v>
      </c>
      <c r="M4" t="e">
        <v>#N/A</v>
      </c>
      <c r="N4">
        <v>15</v>
      </c>
      <c r="O4" s="2">
        <v>2.3447518359999999</v>
      </c>
      <c r="P4" s="8">
        <v>208970.97630000001</v>
      </c>
      <c r="Q4" s="8">
        <v>368740.52010000002</v>
      </c>
      <c r="R4" s="8" t="s">
        <v>91</v>
      </c>
      <c r="S4" s="8" t="s">
        <v>22</v>
      </c>
    </row>
    <row r="5" spans="1:20" ht="16" x14ac:dyDescent="0.2">
      <c r="A5" t="s">
        <v>906</v>
      </c>
      <c r="B5" s="3">
        <v>0.96</v>
      </c>
      <c r="C5" s="3">
        <v>-24.64</v>
      </c>
      <c r="D5" s="3">
        <v>0.1</v>
      </c>
      <c r="E5" s="3">
        <v>9.6</v>
      </c>
      <c r="F5" t="e">
        <v>#N/A</v>
      </c>
      <c r="G5" t="e">
        <v>#N/A</v>
      </c>
      <c r="H5" t="e">
        <v>#N/A</v>
      </c>
      <c r="I5" t="e">
        <v>#N/A</v>
      </c>
      <c r="J5" t="s">
        <v>968</v>
      </c>
      <c r="K5" t="s">
        <v>743</v>
      </c>
      <c r="L5">
        <v>1450224000</v>
      </c>
      <c r="M5" t="e">
        <v>#N/A</v>
      </c>
      <c r="N5">
        <v>30</v>
      </c>
      <c r="O5" s="2">
        <v>1.395061847</v>
      </c>
      <c r="P5" s="8">
        <v>208970.97630000001</v>
      </c>
      <c r="Q5" s="8">
        <v>368740.52010000002</v>
      </c>
      <c r="R5" s="8" t="s">
        <v>91</v>
      </c>
      <c r="S5" s="8" t="s">
        <v>22</v>
      </c>
    </row>
    <row r="6" spans="1:20" ht="16" x14ac:dyDescent="0.2">
      <c r="A6" t="s">
        <v>907</v>
      </c>
      <c r="B6" s="3">
        <v>1.41</v>
      </c>
      <c r="C6" s="3">
        <v>-24.34</v>
      </c>
      <c r="D6" s="3">
        <v>0.15</v>
      </c>
      <c r="E6" s="3">
        <v>8.27</v>
      </c>
      <c r="F6" t="e">
        <v>#N/A</v>
      </c>
      <c r="G6" t="e">
        <v>#N/A</v>
      </c>
      <c r="H6" t="e">
        <v>#N/A</v>
      </c>
      <c r="I6" t="e">
        <v>#N/A</v>
      </c>
      <c r="J6" t="s">
        <v>968</v>
      </c>
      <c r="K6" t="s">
        <v>749</v>
      </c>
      <c r="L6">
        <v>1450224000</v>
      </c>
      <c r="M6" t="e">
        <v>#N/A</v>
      </c>
      <c r="N6">
        <v>15</v>
      </c>
      <c r="O6" s="2">
        <v>2.2219470960000001</v>
      </c>
      <c r="P6" s="8">
        <v>209274.8651</v>
      </c>
      <c r="Q6" s="8">
        <v>368851.03860000003</v>
      </c>
      <c r="R6" s="8" t="s">
        <v>125</v>
      </c>
      <c r="S6" s="8" t="s">
        <v>22</v>
      </c>
    </row>
    <row r="7" spans="1:20" ht="16" x14ac:dyDescent="0.2">
      <c r="A7" t="s">
        <v>908</v>
      </c>
      <c r="B7" s="3">
        <v>0.93500000000000005</v>
      </c>
      <c r="C7" s="3">
        <v>-23.91</v>
      </c>
      <c r="D7" s="3">
        <v>0.1</v>
      </c>
      <c r="E7" s="3">
        <v>9.125</v>
      </c>
      <c r="F7" t="e">
        <v>#N/A</v>
      </c>
      <c r="G7" t="e">
        <v>#N/A</v>
      </c>
      <c r="H7" t="e">
        <v>#N/A</v>
      </c>
      <c r="I7" t="e">
        <v>#N/A</v>
      </c>
      <c r="J7" t="s">
        <v>968</v>
      </c>
      <c r="K7" t="s">
        <v>749</v>
      </c>
      <c r="L7">
        <v>1450224000</v>
      </c>
      <c r="M7" t="e">
        <v>#N/A</v>
      </c>
      <c r="N7">
        <v>30</v>
      </c>
      <c r="O7" s="2">
        <v>1.306642434</v>
      </c>
      <c r="P7" s="8">
        <v>209274.8651</v>
      </c>
      <c r="Q7" s="8">
        <v>368851.03860000003</v>
      </c>
      <c r="R7" s="8" t="s">
        <v>125</v>
      </c>
      <c r="S7" s="8" t="s">
        <v>22</v>
      </c>
    </row>
    <row r="8" spans="1:20" x14ac:dyDescent="0.2">
      <c r="A8" t="s">
        <v>909</v>
      </c>
      <c r="B8" s="3">
        <v>3.2050000000000001</v>
      </c>
      <c r="C8" s="3">
        <v>-26.965</v>
      </c>
      <c r="D8" s="3">
        <v>0.33</v>
      </c>
      <c r="E8" s="3">
        <v>4.29</v>
      </c>
      <c r="F8" t="e">
        <v>#N/A</v>
      </c>
      <c r="G8" t="e">
        <v>#N/A</v>
      </c>
      <c r="H8" t="e">
        <v>#N/A</v>
      </c>
      <c r="I8" t="e">
        <v>#N/A</v>
      </c>
      <c r="J8" t="s">
        <v>968</v>
      </c>
      <c r="K8" t="s">
        <v>910</v>
      </c>
      <c r="L8">
        <v>1450828800</v>
      </c>
      <c r="M8" t="e">
        <v>#N/A</v>
      </c>
      <c r="N8">
        <v>15</v>
      </c>
      <c r="O8" s="2">
        <v>1.4409089500000001</v>
      </c>
      <c r="P8" t="e">
        <f>NA()</f>
        <v>#N/A</v>
      </c>
      <c r="Q8" t="e">
        <f>NA()</f>
        <v>#N/A</v>
      </c>
      <c r="R8" t="e">
        <f>NA()</f>
        <v>#N/A</v>
      </c>
      <c r="S8" t="e">
        <f>NA()</f>
        <v>#N/A</v>
      </c>
    </row>
    <row r="9" spans="1:20" x14ac:dyDescent="0.2">
      <c r="A9" t="s">
        <v>911</v>
      </c>
      <c r="B9" s="3">
        <v>1.48</v>
      </c>
      <c r="C9" s="3">
        <v>-25.92</v>
      </c>
      <c r="D9" s="3">
        <v>0.14000000000000001</v>
      </c>
      <c r="E9" s="3">
        <v>6.64</v>
      </c>
      <c r="F9" t="e">
        <v>#N/A</v>
      </c>
      <c r="G9" t="e">
        <v>#N/A</v>
      </c>
      <c r="H9" t="e">
        <v>#N/A</v>
      </c>
      <c r="I9" t="e">
        <v>#N/A</v>
      </c>
      <c r="J9" t="s">
        <v>968</v>
      </c>
      <c r="K9" t="s">
        <v>910</v>
      </c>
      <c r="L9">
        <v>1450828800</v>
      </c>
      <c r="M9" t="e">
        <v>#N/A</v>
      </c>
      <c r="N9">
        <v>30</v>
      </c>
      <c r="O9" s="2">
        <v>1.295180658</v>
      </c>
      <c r="P9" t="e">
        <f>NA()</f>
        <v>#N/A</v>
      </c>
      <c r="Q9" t="e">
        <f>NA()</f>
        <v>#N/A</v>
      </c>
      <c r="R9" t="e">
        <f>NA()</f>
        <v>#N/A</v>
      </c>
      <c r="S9" t="e">
        <f>NA()</f>
        <v>#N/A</v>
      </c>
    </row>
    <row r="10" spans="1:20" x14ac:dyDescent="0.2">
      <c r="A10" t="s">
        <v>912</v>
      </c>
      <c r="B10" s="3">
        <v>3.86</v>
      </c>
      <c r="C10" s="3">
        <v>-27.18</v>
      </c>
      <c r="D10" s="3">
        <v>0.38</v>
      </c>
      <c r="E10" s="3">
        <v>3.3</v>
      </c>
      <c r="F10" t="e">
        <v>#N/A</v>
      </c>
      <c r="G10" t="e">
        <v>#N/A</v>
      </c>
      <c r="H10" t="e">
        <v>#N/A</v>
      </c>
      <c r="I10" t="e">
        <v>#N/A</v>
      </c>
      <c r="J10" t="s">
        <v>968</v>
      </c>
      <c r="K10" t="s">
        <v>910</v>
      </c>
      <c r="L10">
        <v>1441152000</v>
      </c>
      <c r="M10" t="e">
        <v>#N/A</v>
      </c>
      <c r="N10">
        <v>15</v>
      </c>
      <c r="O10" s="2">
        <v>1.200211659</v>
      </c>
      <c r="P10" t="e">
        <f>NA()</f>
        <v>#N/A</v>
      </c>
      <c r="Q10" t="e">
        <f>NA()</f>
        <v>#N/A</v>
      </c>
      <c r="R10" t="e">
        <f>NA()</f>
        <v>#N/A</v>
      </c>
      <c r="S10" t="e">
        <f>NA()</f>
        <v>#N/A</v>
      </c>
    </row>
    <row r="11" spans="1:20" x14ac:dyDescent="0.2">
      <c r="A11" t="s">
        <v>913</v>
      </c>
      <c r="B11" s="3">
        <v>1.69</v>
      </c>
      <c r="C11" s="3">
        <v>-26.01</v>
      </c>
      <c r="D11" s="3">
        <v>0.16</v>
      </c>
      <c r="E11" s="3">
        <v>5.23</v>
      </c>
      <c r="F11" t="e">
        <v>#N/A</v>
      </c>
      <c r="G11" t="e">
        <v>#N/A</v>
      </c>
      <c r="H11" t="e">
        <v>#N/A</v>
      </c>
      <c r="I11" t="e">
        <v>#N/A</v>
      </c>
      <c r="J11" t="s">
        <v>968</v>
      </c>
      <c r="K11" t="s">
        <v>910</v>
      </c>
      <c r="L11">
        <v>1441152000</v>
      </c>
      <c r="M11" t="e">
        <v>#N/A</v>
      </c>
      <c r="N11">
        <v>30</v>
      </c>
      <c r="O11" s="2">
        <v>3.4385327E-2</v>
      </c>
      <c r="P11" t="e">
        <f>NA()</f>
        <v>#N/A</v>
      </c>
      <c r="Q11" t="e">
        <f>NA()</f>
        <v>#N/A</v>
      </c>
      <c r="R11" t="e">
        <f>NA()</f>
        <v>#N/A</v>
      </c>
      <c r="S11" t="e">
        <f>NA()</f>
        <v>#N/A</v>
      </c>
    </row>
    <row r="12" spans="1:20" ht="16" x14ac:dyDescent="0.2">
      <c r="A12" t="s">
        <v>914</v>
      </c>
      <c r="B12" s="3">
        <v>1.3774999999999999</v>
      </c>
      <c r="C12" s="3">
        <v>-25.995000000000001</v>
      </c>
      <c r="D12" s="3">
        <v>0.125</v>
      </c>
      <c r="E12" s="3">
        <v>4.92</v>
      </c>
      <c r="F12" t="e">
        <v>#N/A</v>
      </c>
      <c r="G12" t="e">
        <v>#N/A</v>
      </c>
      <c r="H12" t="e">
        <v>#N/A</v>
      </c>
      <c r="I12" t="e">
        <v>#N/A</v>
      </c>
      <c r="J12" t="s">
        <v>968</v>
      </c>
      <c r="K12" t="s">
        <v>737</v>
      </c>
      <c r="L12">
        <v>1439856000</v>
      </c>
      <c r="M12" t="e">
        <v>#N/A</v>
      </c>
      <c r="N12">
        <v>15</v>
      </c>
      <c r="O12" s="2">
        <v>1.3983366399999999</v>
      </c>
      <c r="P12" s="8">
        <v>209797.8315</v>
      </c>
      <c r="Q12" t="e">
        <f>NA()</f>
        <v>#N/A</v>
      </c>
      <c r="R12" t="e">
        <f>NA()</f>
        <v>#N/A</v>
      </c>
      <c r="S12" t="e">
        <f>NA()</f>
        <v>#N/A</v>
      </c>
    </row>
    <row r="13" spans="1:20" ht="16" x14ac:dyDescent="0.2">
      <c r="A13" t="s">
        <v>915</v>
      </c>
      <c r="B13" s="3">
        <v>1.405</v>
      </c>
      <c r="C13" s="3">
        <v>-26.065000000000001</v>
      </c>
      <c r="D13" s="3">
        <v>0.105</v>
      </c>
      <c r="E13" s="3">
        <v>5.23</v>
      </c>
      <c r="F13" t="e">
        <v>#N/A</v>
      </c>
      <c r="G13" t="e">
        <v>#N/A</v>
      </c>
      <c r="H13" t="e">
        <v>#N/A</v>
      </c>
      <c r="I13" t="e">
        <v>#N/A</v>
      </c>
      <c r="J13" t="s">
        <v>970</v>
      </c>
      <c r="K13" t="s">
        <v>737</v>
      </c>
      <c r="L13">
        <v>1439856000</v>
      </c>
      <c r="M13" t="e">
        <v>#N/A</v>
      </c>
      <c r="N13">
        <v>30</v>
      </c>
      <c r="O13" s="2">
        <v>1.4032488299999999</v>
      </c>
      <c r="P13" s="8">
        <v>209797.8315</v>
      </c>
      <c r="Q13" t="e">
        <f>NA()</f>
        <v>#N/A</v>
      </c>
      <c r="R13" t="e">
        <f>NA()</f>
        <v>#N/A</v>
      </c>
      <c r="S13" t="e">
        <f>NA()</f>
        <v>#N/A</v>
      </c>
    </row>
    <row r="14" spans="1:20" ht="16" x14ac:dyDescent="0.2">
      <c r="A14" t="s">
        <v>916</v>
      </c>
      <c r="B14" s="3">
        <v>1.0900000000000001</v>
      </c>
      <c r="C14" s="3">
        <v>-24.772500000000001</v>
      </c>
      <c r="D14" s="3">
        <v>0.125</v>
      </c>
      <c r="E14" s="3">
        <v>1.24</v>
      </c>
      <c r="F14" t="e">
        <v>#N/A</v>
      </c>
      <c r="G14" t="e">
        <v>#N/A</v>
      </c>
      <c r="H14" t="e">
        <v>#N/A</v>
      </c>
      <c r="I14" t="e">
        <v>#N/A</v>
      </c>
      <c r="J14" t="s">
        <v>968</v>
      </c>
      <c r="K14" t="s">
        <v>743</v>
      </c>
      <c r="L14">
        <v>1439856000</v>
      </c>
      <c r="M14" t="e">
        <v>#N/A</v>
      </c>
      <c r="N14">
        <v>15</v>
      </c>
      <c r="O14" s="2">
        <v>1.390149657</v>
      </c>
      <c r="P14" s="8">
        <v>208970.97630000001</v>
      </c>
      <c r="Q14" t="e">
        <f>NA()</f>
        <v>#N/A</v>
      </c>
      <c r="R14" t="e">
        <f>NA()</f>
        <v>#N/A</v>
      </c>
      <c r="S14" t="e">
        <f>NA()</f>
        <v>#N/A</v>
      </c>
    </row>
    <row r="15" spans="1:20" ht="16" x14ac:dyDescent="0.2">
      <c r="A15" t="s">
        <v>917</v>
      </c>
      <c r="B15" s="3">
        <v>0.40333333300000002</v>
      </c>
      <c r="C15" s="3">
        <v>-24.87</v>
      </c>
      <c r="D15" s="3">
        <v>6.6666666999999999E-2</v>
      </c>
      <c r="E15" s="3">
        <v>5.8849999999999998</v>
      </c>
      <c r="F15" t="e">
        <v>#N/A</v>
      </c>
      <c r="G15" t="e">
        <v>#N/A</v>
      </c>
      <c r="H15" t="e">
        <v>#N/A</v>
      </c>
      <c r="I15" t="e">
        <v>#N/A</v>
      </c>
      <c r="J15" t="s">
        <v>968</v>
      </c>
      <c r="K15" t="s">
        <v>743</v>
      </c>
      <c r="L15">
        <v>1439856000</v>
      </c>
      <c r="M15" t="e">
        <v>#N/A</v>
      </c>
      <c r="N15">
        <v>30</v>
      </c>
      <c r="O15" s="2">
        <v>1.336115572</v>
      </c>
      <c r="P15" s="8">
        <v>208970.97630000001</v>
      </c>
      <c r="Q15" t="e">
        <f>NA()</f>
        <v>#N/A</v>
      </c>
      <c r="R15" t="e">
        <f>NA()</f>
        <v>#N/A</v>
      </c>
      <c r="S15" t="e">
        <f>NA()</f>
        <v>#N/A</v>
      </c>
    </row>
    <row r="16" spans="1:20" ht="16" x14ac:dyDescent="0.2">
      <c r="A16" t="s">
        <v>918</v>
      </c>
      <c r="B16" s="3">
        <v>1.4325000000000001</v>
      </c>
      <c r="C16" s="3">
        <v>-24.54</v>
      </c>
      <c r="D16" s="3">
        <v>0.14749999999999999</v>
      </c>
      <c r="E16" s="3">
        <v>5.44</v>
      </c>
      <c r="F16" t="e">
        <v>#N/A</v>
      </c>
      <c r="G16" t="e">
        <v>#N/A</v>
      </c>
      <c r="H16" t="e">
        <v>#N/A</v>
      </c>
      <c r="I16" t="e">
        <v>#N/A</v>
      </c>
      <c r="J16" t="s">
        <v>968</v>
      </c>
      <c r="K16" t="s">
        <v>749</v>
      </c>
      <c r="L16">
        <v>1440028800</v>
      </c>
      <c r="M16" t="e">
        <v>#N/A</v>
      </c>
      <c r="N16">
        <v>15</v>
      </c>
      <c r="O16" s="2">
        <v>1.383600071</v>
      </c>
      <c r="P16" s="8">
        <v>209274.8651</v>
      </c>
      <c r="Q16" t="e">
        <f>NA()</f>
        <v>#N/A</v>
      </c>
      <c r="R16" t="e">
        <f>NA()</f>
        <v>#N/A</v>
      </c>
      <c r="S16" t="e">
        <f>NA()</f>
        <v>#N/A</v>
      </c>
    </row>
    <row r="17" spans="1:19" ht="16" x14ac:dyDescent="0.2">
      <c r="A17" t="s">
        <v>919</v>
      </c>
      <c r="B17" s="3">
        <v>0.83333333300000001</v>
      </c>
      <c r="C17" s="3">
        <v>-24.09333333</v>
      </c>
      <c r="D17" s="3">
        <v>0.09</v>
      </c>
      <c r="E17" s="3">
        <v>5.83</v>
      </c>
      <c r="F17" t="e">
        <v>#N/A</v>
      </c>
      <c r="G17" t="e">
        <v>#N/A</v>
      </c>
      <c r="H17" t="e">
        <v>#N/A</v>
      </c>
      <c r="I17" t="e">
        <v>#N/A</v>
      </c>
      <c r="J17" t="s">
        <v>968</v>
      </c>
      <c r="K17" t="s">
        <v>749</v>
      </c>
      <c r="L17">
        <v>1440028800</v>
      </c>
      <c r="M17" t="e">
        <v>#N/A</v>
      </c>
      <c r="N17">
        <v>30</v>
      </c>
      <c r="O17" s="2">
        <v>1.4589203120000001</v>
      </c>
      <c r="P17" s="8">
        <v>209274.8651</v>
      </c>
      <c r="Q17" t="e">
        <f>NA()</f>
        <v>#N/A</v>
      </c>
      <c r="R17" t="e">
        <f>NA()</f>
        <v>#N/A</v>
      </c>
      <c r="S17" t="e">
        <f>NA()</f>
        <v>#N/A</v>
      </c>
    </row>
    <row r="18" spans="1:19" ht="16" x14ac:dyDescent="0.2">
      <c r="A18" t="s">
        <v>920</v>
      </c>
      <c r="B18" s="3">
        <v>2.0933333329999999</v>
      </c>
      <c r="C18" s="3">
        <v>-22.38666667</v>
      </c>
      <c r="D18" s="3">
        <v>0.21666666700000001</v>
      </c>
      <c r="E18" s="3">
        <v>6.5549999999999997</v>
      </c>
      <c r="F18" t="e">
        <v>#N/A</v>
      </c>
      <c r="G18" t="e">
        <v>#N/A</v>
      </c>
      <c r="H18" t="e">
        <v>#N/A</v>
      </c>
      <c r="I18" t="e">
        <v>#N/A</v>
      </c>
      <c r="J18" t="s">
        <v>968</v>
      </c>
      <c r="K18" t="s">
        <v>755</v>
      </c>
      <c r="L18">
        <v>1440028800</v>
      </c>
      <c r="M18" t="e">
        <v>#N/A</v>
      </c>
      <c r="N18">
        <v>15</v>
      </c>
      <c r="O18" s="2">
        <v>1.4294471740000001</v>
      </c>
      <c r="P18" s="8">
        <v>204909.54329999999</v>
      </c>
      <c r="Q18" t="e">
        <f>NA()</f>
        <v>#N/A</v>
      </c>
      <c r="R18" t="e">
        <f>NA()</f>
        <v>#N/A</v>
      </c>
      <c r="S18" t="e">
        <f>NA()</f>
        <v>#N/A</v>
      </c>
    </row>
    <row r="19" spans="1:19" ht="16" x14ac:dyDescent="0.2">
      <c r="A19" t="s">
        <v>921</v>
      </c>
      <c r="B19" s="3">
        <v>1.856666667</v>
      </c>
      <c r="C19" s="3">
        <v>-22.64</v>
      </c>
      <c r="D19" s="3">
        <v>0.18333333299999999</v>
      </c>
      <c r="E19" s="3">
        <v>7.02</v>
      </c>
      <c r="F19" t="e">
        <v>#N/A</v>
      </c>
      <c r="G19" t="e">
        <v>#N/A</v>
      </c>
      <c r="H19" t="e">
        <v>#N/A</v>
      </c>
      <c r="I19" t="e">
        <v>#N/A</v>
      </c>
      <c r="J19" t="s">
        <v>968</v>
      </c>
      <c r="K19" t="s">
        <v>755</v>
      </c>
      <c r="L19">
        <v>1440028800</v>
      </c>
      <c r="M19" t="e">
        <v>#N/A</v>
      </c>
      <c r="N19">
        <v>30</v>
      </c>
      <c r="O19" s="2">
        <v>1.2755319000000001</v>
      </c>
      <c r="P19" s="8">
        <v>204909.54329999999</v>
      </c>
      <c r="Q19" t="e">
        <f>NA()</f>
        <v>#N/A</v>
      </c>
      <c r="R19" t="e">
        <f>NA()</f>
        <v>#N/A</v>
      </c>
      <c r="S19" t="e">
        <f>NA()</f>
        <v>#N/A</v>
      </c>
    </row>
    <row r="20" spans="1:19" ht="16" x14ac:dyDescent="0.2">
      <c r="A20" t="s">
        <v>922</v>
      </c>
      <c r="B20" s="3">
        <v>1.04</v>
      </c>
      <c r="C20" s="3">
        <v>-23.783333330000001</v>
      </c>
      <c r="D20" s="3">
        <v>0.11333333299999999</v>
      </c>
      <c r="E20" s="3">
        <v>6.3449999999999998</v>
      </c>
      <c r="F20" t="e">
        <v>#N/A</v>
      </c>
      <c r="G20" t="e">
        <v>#N/A</v>
      </c>
      <c r="H20" t="e">
        <v>#N/A</v>
      </c>
      <c r="I20" t="e">
        <v>#N/A</v>
      </c>
      <c r="J20" t="s">
        <v>968</v>
      </c>
      <c r="K20" t="s">
        <v>761</v>
      </c>
      <c r="L20">
        <v>1440460800</v>
      </c>
      <c r="M20" t="e">
        <v>#N/A</v>
      </c>
      <c r="N20">
        <v>15</v>
      </c>
      <c r="O20" s="2">
        <v>1.5047674150000001</v>
      </c>
      <c r="P20" s="8">
        <v>206923.5949</v>
      </c>
      <c r="Q20" t="e">
        <f>NA()</f>
        <v>#N/A</v>
      </c>
      <c r="R20" t="e">
        <f>NA()</f>
        <v>#N/A</v>
      </c>
      <c r="S20" t="e">
        <f>NA()</f>
        <v>#N/A</v>
      </c>
    </row>
    <row r="21" spans="1:19" ht="16" x14ac:dyDescent="0.2">
      <c r="A21" t="s">
        <v>923</v>
      </c>
      <c r="B21" s="3">
        <v>0.52500000000000002</v>
      </c>
      <c r="C21" s="3">
        <v>-24.16</v>
      </c>
      <c r="D21" s="3">
        <v>0.06</v>
      </c>
      <c r="E21" s="3">
        <v>6.39</v>
      </c>
      <c r="F21" t="e">
        <v>#N/A</v>
      </c>
      <c r="G21" t="e">
        <v>#N/A</v>
      </c>
      <c r="H21" t="e">
        <v>#N/A</v>
      </c>
      <c r="I21" t="e">
        <v>#N/A</v>
      </c>
      <c r="J21" t="s">
        <v>968</v>
      </c>
      <c r="K21" t="s">
        <v>761</v>
      </c>
      <c r="L21">
        <v>1440460800</v>
      </c>
      <c r="M21" t="e">
        <v>#N/A</v>
      </c>
      <c r="N21">
        <v>30</v>
      </c>
      <c r="O21" s="2">
        <v>1.2968180549999999</v>
      </c>
      <c r="P21" s="8">
        <v>206923.5949</v>
      </c>
      <c r="Q21" t="e">
        <f>NA()</f>
        <v>#N/A</v>
      </c>
      <c r="R21" t="e">
        <f>NA()</f>
        <v>#N/A</v>
      </c>
      <c r="S21" t="e">
        <f>NA()</f>
        <v>#N/A</v>
      </c>
    </row>
    <row r="22" spans="1:19" ht="16" x14ac:dyDescent="0.2">
      <c r="A22" t="s">
        <v>924</v>
      </c>
      <c r="B22" s="3">
        <v>1.81</v>
      </c>
      <c r="C22" s="3">
        <v>-26.25333333</v>
      </c>
      <c r="D22" s="3">
        <v>0.203333333</v>
      </c>
      <c r="E22" s="3">
        <v>5.12</v>
      </c>
      <c r="F22" t="e">
        <v>#N/A</v>
      </c>
      <c r="G22" t="e">
        <v>#N/A</v>
      </c>
      <c r="H22" t="e">
        <v>#N/A</v>
      </c>
      <c r="I22" t="e">
        <v>#N/A</v>
      </c>
      <c r="J22" t="s">
        <v>968</v>
      </c>
      <c r="K22" t="s">
        <v>767</v>
      </c>
      <c r="L22">
        <v>1440547200</v>
      </c>
      <c r="M22" t="e">
        <v>#N/A</v>
      </c>
      <c r="N22">
        <v>15</v>
      </c>
      <c r="O22" s="2">
        <v>1.288631072</v>
      </c>
      <c r="P22" s="8">
        <v>207130.2776</v>
      </c>
      <c r="Q22" s="8">
        <v>366996.86820000003</v>
      </c>
      <c r="R22" s="8" t="s">
        <v>219</v>
      </c>
      <c r="S22" s="8" t="s">
        <v>22</v>
      </c>
    </row>
    <row r="23" spans="1:19" ht="16" x14ac:dyDescent="0.2">
      <c r="A23" t="s">
        <v>925</v>
      </c>
      <c r="B23" s="3">
        <v>0.65</v>
      </c>
      <c r="C23" s="3">
        <v>-24.54</v>
      </c>
      <c r="D23" s="3">
        <v>0.09</v>
      </c>
      <c r="E23" s="3">
        <v>6.14</v>
      </c>
      <c r="F23" t="e">
        <v>#N/A</v>
      </c>
      <c r="G23" t="e">
        <v>#N/A</v>
      </c>
      <c r="H23" t="e">
        <v>#N/A</v>
      </c>
      <c r="I23" t="e">
        <v>#N/A</v>
      </c>
      <c r="J23" t="s">
        <v>968</v>
      </c>
      <c r="K23" t="s">
        <v>767</v>
      </c>
      <c r="L23">
        <v>1440547200</v>
      </c>
      <c r="M23" t="e">
        <v>#N/A</v>
      </c>
      <c r="N23">
        <v>30</v>
      </c>
      <c r="O23" s="2">
        <v>1.390149657</v>
      </c>
      <c r="P23" s="8">
        <v>207130.2776</v>
      </c>
      <c r="Q23" s="8">
        <v>366996.86820000003</v>
      </c>
      <c r="R23" s="8" t="s">
        <v>219</v>
      </c>
      <c r="S23" s="8" t="s">
        <v>22</v>
      </c>
    </row>
    <row r="24" spans="1:19" ht="16" x14ac:dyDescent="0.2">
      <c r="A24" t="s">
        <v>926</v>
      </c>
      <c r="B24" s="3">
        <v>1.8766666670000001</v>
      </c>
      <c r="C24" s="3">
        <v>-22.373333330000001</v>
      </c>
      <c r="D24" s="3">
        <v>0.18333333299999999</v>
      </c>
      <c r="E24" s="3">
        <v>6.3966666669999999</v>
      </c>
      <c r="F24" t="e">
        <v>#N/A</v>
      </c>
      <c r="G24" t="e">
        <v>#N/A</v>
      </c>
      <c r="H24" t="e">
        <v>#N/A</v>
      </c>
      <c r="I24" t="e">
        <v>#N/A</v>
      </c>
      <c r="J24" t="s">
        <v>968</v>
      </c>
      <c r="K24" t="s">
        <v>773</v>
      </c>
      <c r="L24">
        <v>1440720000</v>
      </c>
      <c r="M24" t="e">
        <v>#N/A</v>
      </c>
      <c r="N24">
        <v>15</v>
      </c>
      <c r="O24" s="2">
        <v>1.3803252779999999</v>
      </c>
      <c r="P24" s="8">
        <v>207422.44510000001</v>
      </c>
      <c r="Q24" s="8">
        <v>366364.82120000001</v>
      </c>
      <c r="R24" s="8" t="s">
        <v>34</v>
      </c>
      <c r="S24" s="8" t="s">
        <v>22</v>
      </c>
    </row>
    <row r="25" spans="1:19" ht="16" x14ac:dyDescent="0.2">
      <c r="A25" t="s">
        <v>927</v>
      </c>
      <c r="B25" s="3">
        <v>1.193333333</v>
      </c>
      <c r="C25" s="3">
        <v>-24.076666670000002</v>
      </c>
      <c r="D25" s="3">
        <v>0.14000000000000001</v>
      </c>
      <c r="E25" s="3">
        <v>6.3250000000000002</v>
      </c>
      <c r="F25" t="e">
        <v>#N/A</v>
      </c>
      <c r="G25" t="e">
        <v>#N/A</v>
      </c>
      <c r="H25" t="e">
        <v>#N/A</v>
      </c>
      <c r="I25" t="e">
        <v>#N/A</v>
      </c>
      <c r="J25" t="s">
        <v>968</v>
      </c>
      <c r="K25" t="s">
        <v>773</v>
      </c>
      <c r="L25">
        <v>1440720000</v>
      </c>
      <c r="M25" t="e">
        <v>#N/A</v>
      </c>
      <c r="N25">
        <v>30</v>
      </c>
      <c r="O25" s="2">
        <v>1.3541269339999999</v>
      </c>
      <c r="P25" s="8">
        <v>207422.44510000001</v>
      </c>
      <c r="Q25" s="8">
        <v>366364.82120000001</v>
      </c>
      <c r="R25" s="8" t="s">
        <v>34</v>
      </c>
      <c r="S25" s="8" t="s">
        <v>22</v>
      </c>
    </row>
    <row r="26" spans="1:19" ht="16" x14ac:dyDescent="0.2">
      <c r="A26" t="s">
        <v>928</v>
      </c>
      <c r="B26" s="3">
        <v>1.2324999999999999</v>
      </c>
      <c r="C26" s="3" t="s">
        <v>671</v>
      </c>
      <c r="D26" s="3">
        <v>0.13750000000000001</v>
      </c>
      <c r="E26" s="3">
        <v>5.3949999999999996</v>
      </c>
      <c r="F26" t="e">
        <v>#N/A</v>
      </c>
      <c r="G26" t="e">
        <v>#N/A</v>
      </c>
      <c r="H26" t="e">
        <v>#N/A</v>
      </c>
      <c r="I26" t="e">
        <v>#N/A</v>
      </c>
      <c r="J26" t="s">
        <v>968</v>
      </c>
      <c r="K26" t="s">
        <v>725</v>
      </c>
      <c r="L26">
        <v>1440979200</v>
      </c>
      <c r="M26" t="e">
        <v>#N/A</v>
      </c>
      <c r="N26">
        <v>15</v>
      </c>
      <c r="O26" s="2">
        <v>1.609560793</v>
      </c>
      <c r="P26" s="8">
        <v>209868.28159999999</v>
      </c>
      <c r="Q26" s="8">
        <v>370198.27370000002</v>
      </c>
      <c r="R26" s="8" t="s">
        <v>285</v>
      </c>
      <c r="S26" s="8" t="s">
        <v>22</v>
      </c>
    </row>
    <row r="27" spans="1:19" ht="16" x14ac:dyDescent="0.2">
      <c r="A27" t="s">
        <v>929</v>
      </c>
      <c r="B27" s="3">
        <v>0.59333333300000002</v>
      </c>
      <c r="C27" s="3">
        <v>-23.893333330000001</v>
      </c>
      <c r="D27" s="3">
        <v>7.6666666999999994E-2</v>
      </c>
      <c r="E27" s="3">
        <v>5.5650000000000004</v>
      </c>
      <c r="F27" t="e">
        <v>#N/A</v>
      </c>
      <c r="G27" t="e">
        <v>#N/A</v>
      </c>
      <c r="H27" t="e">
        <v>#N/A</v>
      </c>
      <c r="I27" t="e">
        <v>#N/A</v>
      </c>
      <c r="J27" t="s">
        <v>968</v>
      </c>
      <c r="K27" t="s">
        <v>725</v>
      </c>
      <c r="L27">
        <v>1440979200</v>
      </c>
      <c r="M27" t="e">
        <v>#N/A</v>
      </c>
      <c r="N27">
        <v>30</v>
      </c>
      <c r="O27" s="2">
        <v>1.10524266</v>
      </c>
      <c r="P27" s="8">
        <v>209868.28159999999</v>
      </c>
      <c r="Q27" s="8">
        <v>370198.27370000002</v>
      </c>
      <c r="R27" s="8" t="s">
        <v>285</v>
      </c>
      <c r="S27" s="8" t="s">
        <v>22</v>
      </c>
    </row>
    <row r="28" spans="1:19" x14ac:dyDescent="0.2">
      <c r="A28" t="s">
        <v>930</v>
      </c>
      <c r="B28" s="3">
        <v>4.3449999999999998</v>
      </c>
      <c r="C28" s="3">
        <v>-27.06</v>
      </c>
      <c r="D28" s="3">
        <v>0.44500000000000001</v>
      </c>
      <c r="E28" s="3">
        <v>3.19</v>
      </c>
      <c r="F28" t="e">
        <v>#N/A</v>
      </c>
      <c r="G28" t="e">
        <v>#N/A</v>
      </c>
      <c r="H28" t="e">
        <v>#N/A</v>
      </c>
      <c r="I28" t="e">
        <v>#N/A</v>
      </c>
      <c r="J28" t="s">
        <v>968</v>
      </c>
      <c r="K28" t="s">
        <v>910</v>
      </c>
      <c r="L28">
        <v>1444003200</v>
      </c>
      <c r="M28" t="e">
        <v>#N/A</v>
      </c>
      <c r="N28">
        <v>15</v>
      </c>
      <c r="O28" s="2">
        <v>2.1482642520000002</v>
      </c>
      <c r="P28" t="e">
        <f>NA()</f>
        <v>#N/A</v>
      </c>
      <c r="Q28" t="e">
        <f>NA()</f>
        <v>#N/A</v>
      </c>
      <c r="R28" t="e">
        <f>NA()</f>
        <v>#N/A</v>
      </c>
      <c r="S28" t="e">
        <f>NA()</f>
        <v>#N/A</v>
      </c>
    </row>
    <row r="29" spans="1:19" x14ac:dyDescent="0.2">
      <c r="A29" t="s">
        <v>931</v>
      </c>
      <c r="B29" s="3">
        <v>2.673333333</v>
      </c>
      <c r="C29" s="3">
        <v>-24.833333329999999</v>
      </c>
      <c r="D29" s="3">
        <v>0.28000000000000003</v>
      </c>
      <c r="E29" s="3">
        <v>4.4649999999999999</v>
      </c>
      <c r="F29" t="e">
        <v>#N/A</v>
      </c>
      <c r="G29" t="e">
        <v>#N/A</v>
      </c>
      <c r="H29" t="e">
        <v>#N/A</v>
      </c>
      <c r="I29" t="e">
        <v>#N/A</v>
      </c>
      <c r="J29" t="s">
        <v>968</v>
      </c>
      <c r="K29" t="s">
        <v>932</v>
      </c>
      <c r="L29">
        <v>1441152000</v>
      </c>
      <c r="M29" t="e">
        <v>#N/A</v>
      </c>
      <c r="N29">
        <v>15</v>
      </c>
      <c r="O29" s="2">
        <v>1.1838376939999999</v>
      </c>
      <c r="P29" t="e">
        <f>NA()</f>
        <v>#N/A</v>
      </c>
      <c r="Q29" t="e">
        <f>NA()</f>
        <v>#N/A</v>
      </c>
      <c r="R29" t="e">
        <f>NA()</f>
        <v>#N/A</v>
      </c>
      <c r="S29" t="e">
        <f>NA()</f>
        <v>#N/A</v>
      </c>
    </row>
    <row r="30" spans="1:19" x14ac:dyDescent="0.2">
      <c r="A30" t="s">
        <v>933</v>
      </c>
      <c r="B30" s="3">
        <v>1.73</v>
      </c>
      <c r="C30" s="3">
        <v>-23.89</v>
      </c>
      <c r="D30" s="3">
        <v>0.18333333299999999</v>
      </c>
      <c r="E30" s="3">
        <v>5.76</v>
      </c>
      <c r="F30" t="e">
        <v>#N/A</v>
      </c>
      <c r="G30" t="e">
        <v>#N/A</v>
      </c>
      <c r="H30" t="e">
        <v>#N/A</v>
      </c>
      <c r="I30" t="e">
        <v>#N/A</v>
      </c>
      <c r="J30" t="s">
        <v>968</v>
      </c>
      <c r="K30" t="s">
        <v>932</v>
      </c>
      <c r="L30">
        <v>1441152000</v>
      </c>
      <c r="M30" t="e">
        <v>#N/A</v>
      </c>
      <c r="N30">
        <v>30</v>
      </c>
      <c r="O30" s="2">
        <v>1.1379905910000001</v>
      </c>
      <c r="P30" t="e">
        <f>NA()</f>
        <v>#N/A</v>
      </c>
      <c r="Q30" t="e">
        <f>NA()</f>
        <v>#N/A</v>
      </c>
      <c r="R30" t="e">
        <f>NA()</f>
        <v>#N/A</v>
      </c>
      <c r="S30" t="e">
        <f>NA()</f>
        <v>#N/A</v>
      </c>
    </row>
    <row r="31" spans="1:19" x14ac:dyDescent="0.2">
      <c r="A31" t="s">
        <v>934</v>
      </c>
      <c r="B31" s="3">
        <v>2.0099999999999998</v>
      </c>
      <c r="C31" s="3">
        <v>-24.29</v>
      </c>
      <c r="D31" s="3">
        <v>0.22</v>
      </c>
      <c r="E31" s="3">
        <v>4.7699999999999996</v>
      </c>
      <c r="F31" t="e">
        <v>#N/A</v>
      </c>
      <c r="G31" t="e">
        <v>#N/A</v>
      </c>
      <c r="H31" t="e">
        <v>#N/A</v>
      </c>
      <c r="I31" t="e">
        <v>#N/A</v>
      </c>
      <c r="J31" t="s">
        <v>968</v>
      </c>
      <c r="K31" t="s">
        <v>932</v>
      </c>
      <c r="L31">
        <v>1444176000</v>
      </c>
      <c r="M31" t="e">
        <v>#N/A</v>
      </c>
      <c r="N31">
        <v>15</v>
      </c>
      <c r="O31" s="2">
        <v>2.3120039060000002</v>
      </c>
      <c r="P31" t="e">
        <f>NA()</f>
        <v>#N/A</v>
      </c>
      <c r="Q31" t="e">
        <f>NA()</f>
        <v>#N/A</v>
      </c>
      <c r="R31" t="e">
        <f>NA()</f>
        <v>#N/A</v>
      </c>
      <c r="S31" t="e">
        <f>NA()</f>
        <v>#N/A</v>
      </c>
    </row>
    <row r="32" spans="1:19" x14ac:dyDescent="0.2">
      <c r="A32" t="s">
        <v>935</v>
      </c>
      <c r="B32" s="3">
        <v>3.05</v>
      </c>
      <c r="C32" s="3">
        <v>-24.254999999999999</v>
      </c>
      <c r="D32" s="3">
        <v>0.33500000000000002</v>
      </c>
      <c r="E32" s="3">
        <v>5.4</v>
      </c>
      <c r="F32" t="e">
        <v>#N/A</v>
      </c>
      <c r="G32" t="e">
        <v>#N/A</v>
      </c>
      <c r="H32" t="e">
        <v>#N/A</v>
      </c>
      <c r="I32" t="e">
        <v>#N/A</v>
      </c>
      <c r="J32" t="s">
        <v>968</v>
      </c>
      <c r="K32" t="s">
        <v>932</v>
      </c>
      <c r="L32">
        <v>1447632000</v>
      </c>
      <c r="M32" t="e">
        <v>#N/A</v>
      </c>
      <c r="N32">
        <v>15</v>
      </c>
      <c r="O32" s="2">
        <v>2.3120039060000002</v>
      </c>
      <c r="P32" t="e">
        <f>NA()</f>
        <v>#N/A</v>
      </c>
      <c r="Q32" t="e">
        <f>NA()</f>
        <v>#N/A</v>
      </c>
      <c r="R32" t="e">
        <f>NA()</f>
        <v>#N/A</v>
      </c>
      <c r="S32" t="e">
        <f>NA()</f>
        <v>#N/A</v>
      </c>
    </row>
    <row r="33" spans="1:19" x14ac:dyDescent="0.2">
      <c r="A33" t="s">
        <v>936</v>
      </c>
      <c r="B33" s="3">
        <v>2.87</v>
      </c>
      <c r="C33" s="3">
        <v>-23.7</v>
      </c>
      <c r="D33" s="3">
        <v>0.28999999999999998</v>
      </c>
      <c r="E33" s="3">
        <v>6.37</v>
      </c>
      <c r="F33" t="e">
        <v>#N/A</v>
      </c>
      <c r="G33" t="e">
        <v>#N/A</v>
      </c>
      <c r="H33" t="e">
        <v>#N/A</v>
      </c>
      <c r="I33" t="e">
        <v>#N/A</v>
      </c>
      <c r="J33" t="s">
        <v>968</v>
      </c>
      <c r="K33" t="s">
        <v>937</v>
      </c>
      <c r="L33">
        <v>1450656000</v>
      </c>
      <c r="M33" t="e">
        <v>#N/A</v>
      </c>
      <c r="N33">
        <v>15</v>
      </c>
      <c r="O33" s="2">
        <v>1.896105186</v>
      </c>
      <c r="P33" t="e">
        <f>NA()</f>
        <v>#N/A</v>
      </c>
      <c r="Q33" t="e">
        <f>NA()</f>
        <v>#N/A</v>
      </c>
      <c r="R33" t="e">
        <f>NA()</f>
        <v>#N/A</v>
      </c>
      <c r="S33" t="e">
        <f>NA()</f>
        <v>#N/A</v>
      </c>
    </row>
    <row r="34" spans="1:19" ht="16" x14ac:dyDescent="0.2">
      <c r="A34" t="s">
        <v>938</v>
      </c>
      <c r="B34" s="3">
        <v>0.82666666700000002</v>
      </c>
      <c r="C34" s="3" t="s">
        <v>671</v>
      </c>
      <c r="D34" s="3">
        <v>0.09</v>
      </c>
      <c r="E34" s="3">
        <v>5.0750000000000002</v>
      </c>
      <c r="F34" t="e">
        <v>#N/A</v>
      </c>
      <c r="G34" t="e">
        <v>#N/A</v>
      </c>
      <c r="H34" t="e">
        <v>#N/A</v>
      </c>
      <c r="I34" t="e">
        <v>#N/A</v>
      </c>
      <c r="J34" t="s">
        <v>968</v>
      </c>
      <c r="K34" t="s">
        <v>731</v>
      </c>
      <c r="L34">
        <v>1441152000</v>
      </c>
      <c r="M34" t="e">
        <v>#N/A</v>
      </c>
      <c r="N34">
        <v>15</v>
      </c>
      <c r="O34" s="2">
        <v>1.5899120339999999</v>
      </c>
      <c r="P34" s="8">
        <v>208112.63140000001</v>
      </c>
      <c r="Q34" s="8">
        <v>365496.48340000003</v>
      </c>
      <c r="R34" s="8" t="s">
        <v>623</v>
      </c>
      <c r="S34" s="8" t="s">
        <v>22</v>
      </c>
    </row>
    <row r="35" spans="1:19" ht="16" x14ac:dyDescent="0.2">
      <c r="A35" t="s">
        <v>939</v>
      </c>
      <c r="B35" s="3">
        <v>0.71499999999999997</v>
      </c>
      <c r="C35" s="3" t="s">
        <v>671</v>
      </c>
      <c r="D35" s="3">
        <v>7.4999999999999997E-2</v>
      </c>
      <c r="E35" s="3">
        <v>5.99</v>
      </c>
      <c r="F35" t="e">
        <v>#N/A</v>
      </c>
      <c r="G35" t="e">
        <v>#N/A</v>
      </c>
      <c r="H35" t="e">
        <v>#N/A</v>
      </c>
      <c r="I35" t="e">
        <v>#N/A</v>
      </c>
      <c r="J35" t="s">
        <v>968</v>
      </c>
      <c r="K35" t="s">
        <v>731</v>
      </c>
      <c r="L35">
        <v>1441152000</v>
      </c>
      <c r="M35" t="e">
        <v>#N/A</v>
      </c>
      <c r="N35">
        <v>30</v>
      </c>
      <c r="O35" s="2">
        <v>1.616110379</v>
      </c>
      <c r="P35" s="8">
        <v>208112.63140000001</v>
      </c>
      <c r="Q35" s="8">
        <v>365496.48340000003</v>
      </c>
      <c r="R35" s="8" t="s">
        <v>623</v>
      </c>
      <c r="S35" s="8" t="s">
        <v>22</v>
      </c>
    </row>
    <row r="36" spans="1:19" ht="16" x14ac:dyDescent="0.2">
      <c r="A36" t="s">
        <v>940</v>
      </c>
      <c r="B36" s="3">
        <v>1.55</v>
      </c>
      <c r="C36" s="3">
        <v>-25.73</v>
      </c>
      <c r="D36" s="3">
        <v>0.16</v>
      </c>
      <c r="E36" s="3">
        <v>5.0199999999999996</v>
      </c>
      <c r="F36" t="e">
        <v>#N/A</v>
      </c>
      <c r="G36" t="e">
        <v>#N/A</v>
      </c>
      <c r="H36" t="e">
        <v>#N/A</v>
      </c>
      <c r="I36" t="e">
        <v>#N/A</v>
      </c>
      <c r="J36" t="s">
        <v>968</v>
      </c>
      <c r="K36" t="s">
        <v>737</v>
      </c>
      <c r="L36">
        <v>1443052800</v>
      </c>
      <c r="M36" t="e">
        <v>#N/A</v>
      </c>
      <c r="N36">
        <v>15</v>
      </c>
      <c r="O36" s="2">
        <v>2.3234656820000001</v>
      </c>
      <c r="P36" s="8">
        <v>209797.8315</v>
      </c>
      <c r="Q36" s="8">
        <v>368638.50109999999</v>
      </c>
      <c r="R36" s="8" t="s">
        <v>55</v>
      </c>
      <c r="S36" s="8" t="s">
        <v>22</v>
      </c>
    </row>
    <row r="37" spans="1:19" ht="16" x14ac:dyDescent="0.2">
      <c r="A37" t="s">
        <v>941</v>
      </c>
      <c r="B37" s="3">
        <v>1.47</v>
      </c>
      <c r="C37" s="3">
        <v>-25.04</v>
      </c>
      <c r="D37" s="3">
        <v>0.15</v>
      </c>
      <c r="E37" s="3">
        <v>4.8499999999999996</v>
      </c>
      <c r="F37" t="e">
        <v>#N/A</v>
      </c>
      <c r="G37" t="e">
        <v>#N/A</v>
      </c>
      <c r="H37" t="e">
        <v>#N/A</v>
      </c>
      <c r="I37" t="e">
        <v>#N/A</v>
      </c>
      <c r="J37" t="s">
        <v>968</v>
      </c>
      <c r="K37" t="s">
        <v>743</v>
      </c>
      <c r="L37">
        <v>1443139200</v>
      </c>
      <c r="M37" t="e">
        <v>#N/A</v>
      </c>
      <c r="N37">
        <v>15</v>
      </c>
      <c r="O37" s="2">
        <v>2.573987351</v>
      </c>
      <c r="P37" s="8">
        <v>208970.97630000001</v>
      </c>
      <c r="Q37" s="8">
        <v>368740.52010000002</v>
      </c>
      <c r="R37" s="8" t="s">
        <v>91</v>
      </c>
      <c r="S37" s="8" t="s">
        <v>22</v>
      </c>
    </row>
    <row r="38" spans="1:19" ht="16" x14ac:dyDescent="0.2">
      <c r="A38" t="s">
        <v>942</v>
      </c>
      <c r="B38" s="3">
        <v>1.395</v>
      </c>
      <c r="C38" s="3">
        <v>-24.425000000000001</v>
      </c>
      <c r="D38" s="3">
        <v>0.155</v>
      </c>
      <c r="E38" s="3">
        <v>5.0049999999999999</v>
      </c>
      <c r="F38" t="e">
        <v>#N/A</v>
      </c>
      <c r="G38" t="e">
        <v>#N/A</v>
      </c>
      <c r="H38" t="e">
        <v>#N/A</v>
      </c>
      <c r="I38" t="e">
        <v>#N/A</v>
      </c>
      <c r="J38" t="s">
        <v>968</v>
      </c>
      <c r="K38" t="s">
        <v>749</v>
      </c>
      <c r="L38">
        <v>1443398400</v>
      </c>
      <c r="M38" t="e">
        <v>#N/A</v>
      </c>
      <c r="N38">
        <v>15</v>
      </c>
      <c r="O38" s="2">
        <v>2.1973861480000001</v>
      </c>
      <c r="P38" s="8">
        <v>209274.8651</v>
      </c>
      <c r="Q38" s="8">
        <v>368851.03860000003</v>
      </c>
      <c r="R38" s="8" t="s">
        <v>125</v>
      </c>
      <c r="S38" s="8" t="s">
        <v>22</v>
      </c>
    </row>
    <row r="39" spans="1:19" ht="16" x14ac:dyDescent="0.2">
      <c r="A39" t="s">
        <v>943</v>
      </c>
      <c r="B39" s="3">
        <v>2.23</v>
      </c>
      <c r="C39" s="3">
        <v>-22.22</v>
      </c>
      <c r="D39" s="3">
        <v>0.24</v>
      </c>
      <c r="E39" s="3">
        <v>6.56</v>
      </c>
      <c r="F39" t="e">
        <v>#N/A</v>
      </c>
      <c r="G39" t="e">
        <v>#N/A</v>
      </c>
      <c r="H39" t="e">
        <v>#N/A</v>
      </c>
      <c r="I39" t="e">
        <v>#N/A</v>
      </c>
      <c r="J39" t="s">
        <v>968</v>
      </c>
      <c r="K39" t="s">
        <v>755</v>
      </c>
      <c r="L39">
        <v>1443398400</v>
      </c>
      <c r="M39" t="e">
        <v>#N/A</v>
      </c>
      <c r="N39">
        <v>15</v>
      </c>
      <c r="O39" s="2">
        <v>2.4872053350000001</v>
      </c>
      <c r="P39" s="8">
        <v>204909.54329999999</v>
      </c>
      <c r="Q39" s="8">
        <v>366099.93910000002</v>
      </c>
      <c r="R39" s="8" t="s">
        <v>159</v>
      </c>
      <c r="S39" s="8" t="s">
        <v>22</v>
      </c>
    </row>
    <row r="40" spans="1:19" ht="16" x14ac:dyDescent="0.2">
      <c r="A40" t="s">
        <v>944</v>
      </c>
      <c r="B40" s="3">
        <v>1.06</v>
      </c>
      <c r="C40" s="3">
        <v>-23.27</v>
      </c>
      <c r="D40" s="3">
        <v>0.12</v>
      </c>
      <c r="E40" s="3">
        <v>5.21</v>
      </c>
      <c r="F40" t="e">
        <v>#N/A</v>
      </c>
      <c r="G40" t="e">
        <v>#N/A</v>
      </c>
      <c r="H40" t="e">
        <v>#N/A</v>
      </c>
      <c r="I40" t="e">
        <v>#N/A</v>
      </c>
      <c r="J40" t="s">
        <v>968</v>
      </c>
      <c r="K40" t="s">
        <v>761</v>
      </c>
      <c r="L40">
        <v>1443398400</v>
      </c>
      <c r="M40" t="e">
        <v>#N/A</v>
      </c>
      <c r="N40">
        <v>15</v>
      </c>
      <c r="O40" s="2">
        <v>2.3889615430000002</v>
      </c>
      <c r="P40" s="8">
        <v>206923.5949</v>
      </c>
      <c r="Q40" s="8">
        <v>367496.74829999998</v>
      </c>
      <c r="R40" s="8" t="s">
        <v>21</v>
      </c>
      <c r="S40" s="8" t="s">
        <v>22</v>
      </c>
    </row>
    <row r="41" spans="1:19" ht="16" x14ac:dyDescent="0.2">
      <c r="A41" t="s">
        <v>945</v>
      </c>
      <c r="B41" s="3">
        <v>1.74</v>
      </c>
      <c r="C41" s="3">
        <v>-25.74</v>
      </c>
      <c r="D41" s="3">
        <v>0.215</v>
      </c>
      <c r="E41" s="3">
        <v>5.2949999999999999</v>
      </c>
      <c r="F41" t="e">
        <v>#N/A</v>
      </c>
      <c r="G41" t="e">
        <v>#N/A</v>
      </c>
      <c r="H41" t="e">
        <v>#N/A</v>
      </c>
      <c r="I41" t="e">
        <v>#N/A</v>
      </c>
      <c r="J41" t="s">
        <v>968</v>
      </c>
      <c r="K41" t="s">
        <v>767</v>
      </c>
      <c r="L41">
        <v>1443484800</v>
      </c>
      <c r="M41" t="e">
        <v>#N/A</v>
      </c>
      <c r="N41">
        <v>15</v>
      </c>
      <c r="O41" s="2">
        <v>2.2415958549999999</v>
      </c>
      <c r="P41" s="8">
        <v>207130.2776</v>
      </c>
      <c r="Q41" s="8">
        <v>366996.86820000003</v>
      </c>
      <c r="R41" s="8" t="s">
        <v>219</v>
      </c>
      <c r="S41" s="8" t="s">
        <v>22</v>
      </c>
    </row>
    <row r="42" spans="1:19" ht="16" x14ac:dyDescent="0.2">
      <c r="A42" t="s">
        <v>946</v>
      </c>
      <c r="B42" s="3">
        <v>1.75</v>
      </c>
      <c r="C42" s="3">
        <v>-22.02</v>
      </c>
      <c r="D42" s="3">
        <v>0.18</v>
      </c>
      <c r="E42" s="3">
        <v>6.11</v>
      </c>
      <c r="F42" t="e">
        <v>#N/A</v>
      </c>
      <c r="G42" t="e">
        <v>#N/A</v>
      </c>
      <c r="H42" t="e">
        <v>#N/A</v>
      </c>
      <c r="I42" t="e">
        <v>#N/A</v>
      </c>
      <c r="J42" t="s">
        <v>968</v>
      </c>
      <c r="K42" t="s">
        <v>773</v>
      </c>
      <c r="L42">
        <v>1443744000</v>
      </c>
      <c r="M42" t="e">
        <v>#N/A</v>
      </c>
      <c r="N42">
        <v>15</v>
      </c>
      <c r="O42" s="2">
        <v>2.3087291130000001</v>
      </c>
      <c r="P42" s="8">
        <v>207422.44510000001</v>
      </c>
      <c r="Q42" s="8">
        <v>366364.82120000001</v>
      </c>
      <c r="R42" s="8" t="s">
        <v>34</v>
      </c>
      <c r="S42" s="8" t="s">
        <v>22</v>
      </c>
    </row>
    <row r="43" spans="1:19" ht="16" x14ac:dyDescent="0.2">
      <c r="A43" t="s">
        <v>947</v>
      </c>
      <c r="B43" s="3">
        <v>1.47</v>
      </c>
      <c r="C43" s="3">
        <v>-22.76</v>
      </c>
      <c r="D43" s="3">
        <v>0.16</v>
      </c>
      <c r="E43" s="3">
        <v>5.28</v>
      </c>
      <c r="F43" t="e">
        <v>#N/A</v>
      </c>
      <c r="G43" t="e">
        <v>#N/A</v>
      </c>
      <c r="H43" t="e">
        <v>#N/A</v>
      </c>
      <c r="I43" t="e">
        <v>#N/A</v>
      </c>
      <c r="J43" t="s">
        <v>968</v>
      </c>
      <c r="K43" t="s">
        <v>725</v>
      </c>
      <c r="L43">
        <v>1443744000</v>
      </c>
      <c r="M43" t="e">
        <v>#N/A</v>
      </c>
      <c r="N43">
        <v>15</v>
      </c>
      <c r="O43" s="2">
        <v>2.4184346809999999</v>
      </c>
      <c r="P43" s="8">
        <v>209868.28159999999</v>
      </c>
      <c r="Q43" s="8">
        <v>370198.27370000002</v>
      </c>
      <c r="R43" s="8" t="s">
        <v>285</v>
      </c>
      <c r="S43" s="8" t="s">
        <v>22</v>
      </c>
    </row>
    <row r="44" spans="1:19" x14ac:dyDescent="0.2">
      <c r="A44" t="s">
        <v>948</v>
      </c>
      <c r="B44" s="3">
        <v>2.4300000000000002</v>
      </c>
      <c r="C44" s="3">
        <v>-23.43</v>
      </c>
      <c r="D44" s="3">
        <v>0.24</v>
      </c>
      <c r="E44" s="3">
        <v>5.95</v>
      </c>
      <c r="F44" t="e">
        <v>#N/A</v>
      </c>
      <c r="G44" t="e">
        <v>#N/A</v>
      </c>
      <c r="H44" t="e">
        <v>#N/A</v>
      </c>
      <c r="I44" t="e">
        <v>#N/A</v>
      </c>
      <c r="J44" t="s">
        <v>968</v>
      </c>
      <c r="K44" t="s">
        <v>937</v>
      </c>
      <c r="L44">
        <v>1450656000</v>
      </c>
      <c r="M44" t="e">
        <v>#N/A</v>
      </c>
      <c r="N44">
        <v>30</v>
      </c>
      <c r="O44" s="2">
        <v>0.91694205900000003</v>
      </c>
      <c r="P44" t="e">
        <f>NA()</f>
        <v>#N/A</v>
      </c>
      <c r="Q44" t="e">
        <f>NA()</f>
        <v>#N/A</v>
      </c>
      <c r="R44" t="e">
        <f>NA()</f>
        <v>#N/A</v>
      </c>
      <c r="S44" t="e">
        <f>NA()</f>
        <v>#N/A</v>
      </c>
    </row>
    <row r="45" spans="1:19" x14ac:dyDescent="0.2">
      <c r="A45" t="s">
        <v>949</v>
      </c>
      <c r="B45" s="3">
        <v>2.4024999999999999</v>
      </c>
      <c r="C45" s="3">
        <v>-23.16</v>
      </c>
      <c r="D45" s="3">
        <v>0.22500000000000001</v>
      </c>
      <c r="E45" s="3">
        <v>5.8224999999999998</v>
      </c>
      <c r="F45" t="e">
        <v>#N/A</v>
      </c>
      <c r="G45" t="e">
        <v>#N/A</v>
      </c>
      <c r="H45" t="e">
        <v>#N/A</v>
      </c>
      <c r="I45" t="e">
        <v>#N/A</v>
      </c>
      <c r="J45" t="s">
        <v>968</v>
      </c>
      <c r="K45" t="s">
        <v>937</v>
      </c>
      <c r="L45">
        <v>1441152000</v>
      </c>
      <c r="M45" t="e">
        <v>#N/A</v>
      </c>
      <c r="N45">
        <v>15</v>
      </c>
      <c r="O45" s="2">
        <v>0</v>
      </c>
      <c r="P45" t="e">
        <f>NA()</f>
        <v>#N/A</v>
      </c>
      <c r="Q45" t="e">
        <f>NA()</f>
        <v>#N/A</v>
      </c>
      <c r="R45" t="e">
        <f>NA()</f>
        <v>#N/A</v>
      </c>
      <c r="S45" t="e">
        <f>NA()</f>
        <v>#N/A</v>
      </c>
    </row>
    <row r="46" spans="1:19" x14ac:dyDescent="0.2">
      <c r="A46" t="s">
        <v>950</v>
      </c>
      <c r="B46" s="3">
        <v>2.0666666669999998</v>
      </c>
      <c r="C46" s="3">
        <v>-23.43</v>
      </c>
      <c r="D46" s="3">
        <v>0.21</v>
      </c>
      <c r="E46" s="3">
        <v>5.5549999999999997</v>
      </c>
      <c r="F46" t="e">
        <v>#N/A</v>
      </c>
      <c r="G46" t="e">
        <v>#N/A</v>
      </c>
      <c r="H46" t="e">
        <v>#N/A</v>
      </c>
      <c r="I46" t="e">
        <v>#N/A</v>
      </c>
      <c r="J46" t="s">
        <v>968</v>
      </c>
      <c r="K46" t="s">
        <v>937</v>
      </c>
      <c r="L46">
        <v>1441152000</v>
      </c>
      <c r="M46" t="e">
        <v>#N/A</v>
      </c>
      <c r="N46">
        <v>30</v>
      </c>
      <c r="O46" s="2">
        <v>1.7667508599999999</v>
      </c>
      <c r="P46" t="e">
        <f>NA()</f>
        <v>#N/A</v>
      </c>
      <c r="Q46" t="e">
        <f>NA()</f>
        <v>#N/A</v>
      </c>
      <c r="R46" t="e">
        <f>NA()</f>
        <v>#N/A</v>
      </c>
      <c r="S46" t="e">
        <f>NA()</f>
        <v>#N/A</v>
      </c>
    </row>
    <row r="47" spans="1:19" ht="16" x14ac:dyDescent="0.2">
      <c r="A47" t="s">
        <v>951</v>
      </c>
      <c r="B47" s="3">
        <v>0.98</v>
      </c>
      <c r="C47" s="3">
        <v>-21.58</v>
      </c>
      <c r="D47" s="3">
        <v>0.105</v>
      </c>
      <c r="E47" s="3">
        <v>4.3449999999999998</v>
      </c>
      <c r="F47" t="e">
        <v>#N/A</v>
      </c>
      <c r="G47" t="e">
        <v>#N/A</v>
      </c>
      <c r="H47" t="e">
        <v>#N/A</v>
      </c>
      <c r="I47" t="e">
        <v>#N/A</v>
      </c>
      <c r="J47" t="s">
        <v>968</v>
      </c>
      <c r="K47" t="s">
        <v>731</v>
      </c>
      <c r="L47">
        <v>1444176000</v>
      </c>
      <c r="M47" t="e">
        <v>#N/A</v>
      </c>
      <c r="N47">
        <v>15</v>
      </c>
      <c r="O47" s="2">
        <v>2.763925349</v>
      </c>
      <c r="P47" s="8">
        <v>208112.63140000001</v>
      </c>
      <c r="Q47" s="8">
        <v>365496.48340000003</v>
      </c>
      <c r="R47" s="8" t="s">
        <v>623</v>
      </c>
      <c r="S47" s="8" t="s">
        <v>22</v>
      </c>
    </row>
    <row r="48" spans="1:19" ht="16" x14ac:dyDescent="0.2">
      <c r="A48" t="s">
        <v>952</v>
      </c>
      <c r="B48" s="3">
        <v>2.5499999999999998</v>
      </c>
      <c r="C48" s="3">
        <v>-22.21</v>
      </c>
      <c r="D48" s="3">
        <v>0.26</v>
      </c>
      <c r="E48" s="3">
        <v>6.41</v>
      </c>
      <c r="F48" t="e">
        <v>#N/A</v>
      </c>
      <c r="G48" t="e">
        <v>#N/A</v>
      </c>
      <c r="H48" t="e">
        <v>#N/A</v>
      </c>
      <c r="I48" t="e">
        <v>#N/A</v>
      </c>
      <c r="J48" t="s">
        <v>968</v>
      </c>
      <c r="K48" t="s">
        <v>755</v>
      </c>
      <c r="L48">
        <v>1445385600</v>
      </c>
      <c r="M48" t="e">
        <v>#N/A</v>
      </c>
      <c r="N48">
        <v>15</v>
      </c>
      <c r="O48" s="2">
        <v>2.1056919430000001</v>
      </c>
      <c r="P48" s="8">
        <v>204909.54329999999</v>
      </c>
      <c r="Q48" s="8">
        <v>366099.93910000002</v>
      </c>
      <c r="R48" s="8" t="s">
        <v>159</v>
      </c>
      <c r="S48" s="8" t="s">
        <v>22</v>
      </c>
    </row>
    <row r="49" spans="1:19" ht="16" x14ac:dyDescent="0.2">
      <c r="A49" t="s">
        <v>953</v>
      </c>
      <c r="B49" s="3">
        <v>2.1800000000000002</v>
      </c>
      <c r="C49" s="3">
        <v>-26.33</v>
      </c>
      <c r="D49" s="3">
        <v>0.26</v>
      </c>
      <c r="E49" s="3">
        <v>5.05</v>
      </c>
      <c r="F49" t="e">
        <v>#N/A</v>
      </c>
      <c r="G49" t="e">
        <v>#N/A</v>
      </c>
      <c r="H49" t="e">
        <v>#N/A</v>
      </c>
      <c r="I49" t="e">
        <v>#N/A</v>
      </c>
      <c r="J49" t="s">
        <v>968</v>
      </c>
      <c r="K49" t="s">
        <v>767</v>
      </c>
      <c r="L49">
        <v>1445385600</v>
      </c>
      <c r="M49" t="e">
        <v>#N/A</v>
      </c>
      <c r="N49">
        <v>15</v>
      </c>
      <c r="O49" s="2">
        <v>1.6717818609999999</v>
      </c>
      <c r="P49" s="8">
        <v>207130.2776</v>
      </c>
      <c r="Q49" s="8">
        <v>366996.86820000003</v>
      </c>
      <c r="R49" s="8" t="s">
        <v>219</v>
      </c>
      <c r="S49" s="8" t="s">
        <v>22</v>
      </c>
    </row>
    <row r="50" spans="1:19" ht="16" x14ac:dyDescent="0.2">
      <c r="A50" t="s">
        <v>954</v>
      </c>
      <c r="B50" s="3">
        <v>1.31</v>
      </c>
      <c r="C50" s="3">
        <v>-22.46</v>
      </c>
      <c r="D50" s="3">
        <v>0.14499999999999999</v>
      </c>
      <c r="E50" s="3">
        <v>4.82</v>
      </c>
      <c r="F50" t="e">
        <v>#N/A</v>
      </c>
      <c r="G50" t="e">
        <v>#N/A</v>
      </c>
      <c r="H50" t="e">
        <v>#N/A</v>
      </c>
      <c r="I50" t="e">
        <v>#N/A</v>
      </c>
      <c r="J50" t="s">
        <v>968</v>
      </c>
      <c r="K50" t="s">
        <v>725</v>
      </c>
      <c r="L50">
        <v>1445385600</v>
      </c>
      <c r="M50" t="e">
        <v>#N/A</v>
      </c>
      <c r="N50">
        <v>15</v>
      </c>
      <c r="O50" s="2">
        <v>2.0876805809999999</v>
      </c>
      <c r="P50" s="8">
        <v>209868.28159999999</v>
      </c>
      <c r="Q50" s="8">
        <v>370198.27370000002</v>
      </c>
      <c r="R50" s="8" t="s">
        <v>285</v>
      </c>
      <c r="S50" s="8" t="s">
        <v>22</v>
      </c>
    </row>
    <row r="51" spans="1:19" ht="16" x14ac:dyDescent="0.2">
      <c r="A51" t="s">
        <v>955</v>
      </c>
      <c r="B51" s="3">
        <v>1.07</v>
      </c>
      <c r="C51" s="3">
        <v>-21.05</v>
      </c>
      <c r="D51" s="3">
        <v>0.12</v>
      </c>
      <c r="E51" s="3">
        <v>4.6399999999999997</v>
      </c>
      <c r="F51" t="e">
        <v>#N/A</v>
      </c>
      <c r="G51" t="e">
        <v>#N/A</v>
      </c>
      <c r="H51" t="e">
        <v>#N/A</v>
      </c>
      <c r="I51" t="e">
        <v>#N/A</v>
      </c>
      <c r="J51" t="s">
        <v>968</v>
      </c>
      <c r="K51" t="s">
        <v>731</v>
      </c>
      <c r="L51">
        <v>1447113600</v>
      </c>
      <c r="M51" t="e">
        <v>#N/A</v>
      </c>
      <c r="N51">
        <v>15</v>
      </c>
      <c r="O51" s="2">
        <v>2.5919987130000002</v>
      </c>
      <c r="P51" s="8">
        <v>208112.63140000001</v>
      </c>
      <c r="Q51" s="8">
        <v>365496.48340000003</v>
      </c>
      <c r="R51" s="8" t="s">
        <v>623</v>
      </c>
      <c r="S51" s="8" t="s">
        <v>22</v>
      </c>
    </row>
    <row r="52" spans="1:19" ht="16" x14ac:dyDescent="0.2">
      <c r="A52" t="s">
        <v>956</v>
      </c>
      <c r="B52" s="3">
        <v>1.44</v>
      </c>
      <c r="C52" s="3">
        <v>-22.68</v>
      </c>
      <c r="D52" s="3">
        <v>0.15</v>
      </c>
      <c r="E52" s="3">
        <v>9.2200000000000006</v>
      </c>
      <c r="F52" t="e">
        <v>#N/A</v>
      </c>
      <c r="G52" t="e">
        <v>#N/A</v>
      </c>
      <c r="H52" t="e">
        <v>#N/A</v>
      </c>
      <c r="I52" t="e">
        <v>#N/A</v>
      </c>
      <c r="J52" t="s">
        <v>968</v>
      </c>
      <c r="K52" t="s">
        <v>761</v>
      </c>
      <c r="L52">
        <v>1447632000</v>
      </c>
      <c r="M52" t="e">
        <v>#N/A</v>
      </c>
      <c r="N52">
        <v>15</v>
      </c>
      <c r="O52" s="2">
        <v>2.0385586849999999</v>
      </c>
      <c r="P52" s="8">
        <v>206923.5949</v>
      </c>
      <c r="Q52" s="8">
        <v>367496.74829999998</v>
      </c>
      <c r="R52" s="8" t="s">
        <v>21</v>
      </c>
      <c r="S52" s="8" t="s">
        <v>22</v>
      </c>
    </row>
    <row r="53" spans="1:19" ht="16" x14ac:dyDescent="0.2">
      <c r="A53" t="s">
        <v>957</v>
      </c>
      <c r="B53" s="3">
        <v>1.63</v>
      </c>
      <c r="C53" s="3">
        <v>-22.8</v>
      </c>
      <c r="D53" s="3">
        <v>0.18</v>
      </c>
      <c r="E53" s="3">
        <v>8.0299999999999994</v>
      </c>
      <c r="F53" t="e">
        <v>#N/A</v>
      </c>
      <c r="G53" t="e">
        <v>#N/A</v>
      </c>
      <c r="H53" t="e">
        <v>#N/A</v>
      </c>
      <c r="I53" t="e">
        <v>#N/A</v>
      </c>
      <c r="J53" t="s">
        <v>968</v>
      </c>
      <c r="K53" t="s">
        <v>773</v>
      </c>
      <c r="L53">
        <v>1447632000</v>
      </c>
      <c r="M53" t="e">
        <v>#N/A</v>
      </c>
      <c r="N53">
        <v>15</v>
      </c>
      <c r="O53" s="2">
        <v>2.2596072170000001</v>
      </c>
      <c r="P53" s="8">
        <v>207422.44510000001</v>
      </c>
      <c r="Q53" s="8">
        <v>366364.82120000001</v>
      </c>
      <c r="R53" s="8" t="s">
        <v>34</v>
      </c>
      <c r="S53" s="8" t="s">
        <v>22</v>
      </c>
    </row>
    <row r="54" spans="1:19" x14ac:dyDescent="0.2">
      <c r="A54" t="s">
        <v>958</v>
      </c>
      <c r="B54" s="3">
        <v>2.34</v>
      </c>
      <c r="C54" s="3">
        <v>-23.26</v>
      </c>
      <c r="D54" s="3">
        <v>0.24</v>
      </c>
      <c r="E54" s="3">
        <v>5.76</v>
      </c>
      <c r="F54" t="e">
        <v>#N/A</v>
      </c>
      <c r="G54" t="e">
        <v>#N/A</v>
      </c>
      <c r="H54" t="e">
        <v>#N/A</v>
      </c>
      <c r="I54" t="e">
        <v>#N/A</v>
      </c>
      <c r="J54" t="s">
        <v>968</v>
      </c>
      <c r="K54" t="s">
        <v>937</v>
      </c>
      <c r="L54">
        <v>1444176000</v>
      </c>
      <c r="M54" t="e">
        <v>#N/A</v>
      </c>
      <c r="N54">
        <v>15</v>
      </c>
      <c r="O54" s="2">
        <v>2.2415958549999999</v>
      </c>
      <c r="P54" t="e">
        <f>NA()</f>
        <v>#N/A</v>
      </c>
      <c r="Q54" t="e">
        <f>NA()</f>
        <v>#N/A</v>
      </c>
      <c r="R54" t="e">
        <f>NA()</f>
        <v>#N/A</v>
      </c>
      <c r="S54" t="e">
        <f>NA()</f>
        <v>#N/A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E178-B447-41AE-84C5-94BD25CD3649}">
  <dimension ref="A1:S83"/>
  <sheetViews>
    <sheetView workbookViewId="0">
      <selection activeCell="R2" sqref="R2"/>
    </sheetView>
  </sheetViews>
  <sheetFormatPr baseColWidth="10" defaultColWidth="8.83203125" defaultRowHeight="15" x14ac:dyDescent="0.2"/>
  <cols>
    <col min="1" max="1" width="21.1640625" customWidth="1"/>
    <col min="2" max="2" width="22.33203125" customWidth="1"/>
    <col min="3" max="3" width="30.6640625" customWidth="1"/>
    <col min="4" max="4" width="23.5" customWidth="1"/>
    <col min="5" max="5" width="25.5" customWidth="1"/>
    <col min="6" max="6" width="41.6640625" customWidth="1"/>
    <col min="7" max="7" width="26.5" customWidth="1"/>
    <col min="8" max="8" width="34.1640625" customWidth="1"/>
    <col min="9" max="9" width="25" customWidth="1"/>
    <col min="11" max="11" width="16.33203125" customWidth="1"/>
    <col min="12" max="12" width="31.33203125" customWidth="1"/>
    <col min="13" max="13" width="30.5" customWidth="1"/>
    <col min="14" max="14" width="31.33203125" customWidth="1"/>
    <col min="15" max="15" width="26.6640625" customWidth="1"/>
    <col min="16" max="16" width="24.5" customWidth="1"/>
    <col min="17" max="17" width="22.5" customWidth="1"/>
    <col min="18" max="18" width="17.33203125" customWidth="1"/>
    <col min="19" max="19" width="17" customWidth="1"/>
  </cols>
  <sheetData>
    <row r="1" spans="1:19" x14ac:dyDescent="0.2">
      <c r="A1" t="s">
        <v>0</v>
      </c>
      <c r="B1" t="s">
        <v>971</v>
      </c>
      <c r="C1" t="s">
        <v>960</v>
      </c>
      <c r="D1" t="s">
        <v>961</v>
      </c>
      <c r="E1" t="s">
        <v>962</v>
      </c>
      <c r="F1" t="s">
        <v>13</v>
      </c>
      <c r="G1" t="s">
        <v>14</v>
      </c>
      <c r="H1" t="s">
        <v>15</v>
      </c>
      <c r="I1" t="s">
        <v>972</v>
      </c>
      <c r="J1" t="s">
        <v>963</v>
      </c>
      <c r="K1" t="s">
        <v>18</v>
      </c>
      <c r="L1" t="s">
        <v>964</v>
      </c>
      <c r="M1" t="s">
        <v>965</v>
      </c>
      <c r="N1" t="s">
        <v>973</v>
      </c>
      <c r="O1" t="s">
        <v>967</v>
      </c>
      <c r="P1" t="s">
        <v>4</v>
      </c>
      <c r="Q1" t="s">
        <v>5</v>
      </c>
      <c r="R1" t="s">
        <v>6</v>
      </c>
      <c r="S1" t="s">
        <v>7</v>
      </c>
    </row>
    <row r="2" spans="1:19" ht="16" x14ac:dyDescent="0.2">
      <c r="A2" t="s">
        <v>822</v>
      </c>
      <c r="B2" s="3">
        <v>1.28</v>
      </c>
      <c r="C2" s="3">
        <v>-25.51</v>
      </c>
      <c r="D2" s="3">
        <v>0.12</v>
      </c>
      <c r="E2" s="3">
        <v>4.8499999999999996</v>
      </c>
      <c r="F2" s="3">
        <v>1.23</v>
      </c>
      <c r="G2" s="3">
        <v>-25.48</v>
      </c>
      <c r="H2" s="3">
        <v>0.125</v>
      </c>
      <c r="I2" s="3">
        <v>3.9750000000000001</v>
      </c>
      <c r="J2" t="s">
        <v>968</v>
      </c>
      <c r="K2" t="s">
        <v>737</v>
      </c>
      <c r="L2">
        <v>1462838400</v>
      </c>
      <c r="M2" t="e">
        <f>NA()</f>
        <v>#N/A</v>
      </c>
      <c r="N2">
        <v>10</v>
      </c>
      <c r="O2" s="2">
        <v>1.3156481149999999</v>
      </c>
      <c r="P2" s="8">
        <v>209797.8315</v>
      </c>
      <c r="Q2" s="8">
        <v>368638.50109999999</v>
      </c>
      <c r="R2" s="8" t="s">
        <v>55</v>
      </c>
      <c r="S2" s="8" t="s">
        <v>22</v>
      </c>
    </row>
    <row r="3" spans="1:19" ht="16" x14ac:dyDescent="0.2">
      <c r="A3" t="s">
        <v>823</v>
      </c>
      <c r="B3" s="3">
        <v>1.44</v>
      </c>
      <c r="C3" s="3">
        <v>-25.75</v>
      </c>
      <c r="D3" s="3">
        <v>0.13</v>
      </c>
      <c r="E3" s="3">
        <v>4.8</v>
      </c>
      <c r="F3" s="3">
        <v>1.405</v>
      </c>
      <c r="G3" s="3">
        <v>-25.805</v>
      </c>
      <c r="H3" s="3">
        <v>0.13</v>
      </c>
      <c r="I3" s="3">
        <v>4.25</v>
      </c>
      <c r="J3" t="s">
        <v>968</v>
      </c>
      <c r="K3" t="s">
        <v>737</v>
      </c>
      <c r="L3">
        <v>1462838400</v>
      </c>
      <c r="M3" t="e">
        <f>NA()</f>
        <v>#N/A</v>
      </c>
      <c r="N3">
        <v>20</v>
      </c>
      <c r="O3" s="2">
        <v>1.2010303579999999</v>
      </c>
      <c r="P3" s="8">
        <v>209797.8315</v>
      </c>
      <c r="Q3" s="8">
        <v>368638.50109999999</v>
      </c>
      <c r="R3" s="8" t="s">
        <v>55</v>
      </c>
      <c r="S3" s="8" t="s">
        <v>22</v>
      </c>
    </row>
    <row r="4" spans="1:19" ht="16" x14ac:dyDescent="0.2">
      <c r="A4" t="s">
        <v>824</v>
      </c>
      <c r="B4" s="3">
        <v>1.3049999999999999</v>
      </c>
      <c r="C4" s="3">
        <v>-25.6</v>
      </c>
      <c r="D4" s="3">
        <v>0.115</v>
      </c>
      <c r="E4" s="3">
        <v>4.3849999999999998</v>
      </c>
      <c r="F4" s="3">
        <v>1.4</v>
      </c>
      <c r="G4" s="3">
        <v>-25.91</v>
      </c>
      <c r="H4" s="3">
        <v>0.11</v>
      </c>
      <c r="I4" s="3">
        <v>3.66</v>
      </c>
      <c r="J4" t="s">
        <v>968</v>
      </c>
      <c r="K4" t="s">
        <v>737</v>
      </c>
      <c r="L4">
        <v>1462838400</v>
      </c>
      <c r="M4" t="e">
        <f>NA()</f>
        <v>#N/A</v>
      </c>
      <c r="N4">
        <v>30</v>
      </c>
      <c r="O4" s="2">
        <v>1.490030846</v>
      </c>
      <c r="P4" s="8">
        <v>209797.8315</v>
      </c>
      <c r="Q4" s="8">
        <v>368638.50109999999</v>
      </c>
      <c r="R4" s="8" t="s">
        <v>55</v>
      </c>
      <c r="S4" s="8" t="s">
        <v>22</v>
      </c>
    </row>
    <row r="5" spans="1:19" ht="16" x14ac:dyDescent="0.2">
      <c r="A5" t="s">
        <v>825</v>
      </c>
      <c r="B5" s="3">
        <v>0.35</v>
      </c>
      <c r="C5" s="3">
        <v>-24.27</v>
      </c>
      <c r="D5" s="3">
        <v>0.05</v>
      </c>
      <c r="E5" s="3">
        <v>5.53</v>
      </c>
      <c r="F5" s="3">
        <v>0.32</v>
      </c>
      <c r="G5" s="3">
        <v>-24.56</v>
      </c>
      <c r="H5" s="3">
        <v>0.05</v>
      </c>
      <c r="I5" s="3">
        <v>4.54</v>
      </c>
      <c r="J5" t="s">
        <v>968</v>
      </c>
      <c r="K5" t="s">
        <v>737</v>
      </c>
      <c r="L5">
        <v>1462838400</v>
      </c>
      <c r="M5" t="e">
        <f>NA()</f>
        <v>#N/A</v>
      </c>
      <c r="N5">
        <v>60</v>
      </c>
      <c r="O5" s="2">
        <v>1.074677925</v>
      </c>
      <c r="P5" s="8">
        <v>209797.8315</v>
      </c>
      <c r="Q5" s="8">
        <v>368638.50109999999</v>
      </c>
      <c r="R5" s="8" t="s">
        <v>55</v>
      </c>
      <c r="S5" s="8" t="s">
        <v>22</v>
      </c>
    </row>
    <row r="6" spans="1:19" ht="16" x14ac:dyDescent="0.2">
      <c r="A6" t="s">
        <v>826</v>
      </c>
      <c r="B6" s="3">
        <v>1.39</v>
      </c>
      <c r="C6" s="3">
        <v>-24.7</v>
      </c>
      <c r="D6" s="3">
        <v>0.14499999999999999</v>
      </c>
      <c r="E6" s="3">
        <v>5.34</v>
      </c>
      <c r="F6" s="3">
        <v>1.26</v>
      </c>
      <c r="G6" s="3">
        <v>-24.85</v>
      </c>
      <c r="H6" s="3">
        <v>0.14000000000000001</v>
      </c>
      <c r="I6" s="3">
        <v>4.6900000000000004</v>
      </c>
      <c r="J6" t="s">
        <v>968</v>
      </c>
      <c r="K6" t="s">
        <v>743</v>
      </c>
      <c r="L6">
        <v>1462752000</v>
      </c>
      <c r="M6" t="e">
        <f>NA()</f>
        <v>#N/A</v>
      </c>
      <c r="N6">
        <v>10</v>
      </c>
      <c r="O6" s="2">
        <v>1.383600071</v>
      </c>
      <c r="P6" s="8">
        <v>208970.97630000001</v>
      </c>
      <c r="Q6" s="8">
        <v>368740.52010000002</v>
      </c>
      <c r="R6" s="8" t="s">
        <v>91</v>
      </c>
      <c r="S6" s="8" t="s">
        <v>22</v>
      </c>
    </row>
    <row r="7" spans="1:19" ht="16" x14ac:dyDescent="0.2">
      <c r="A7" t="s">
        <v>827</v>
      </c>
      <c r="B7" s="3">
        <v>1.45</v>
      </c>
      <c r="C7" s="3">
        <v>-25.1</v>
      </c>
      <c r="D7" s="3">
        <v>0.15</v>
      </c>
      <c r="E7" s="3">
        <v>5.66</v>
      </c>
      <c r="F7" s="3">
        <v>1.33</v>
      </c>
      <c r="G7" s="3">
        <v>-24.74</v>
      </c>
      <c r="H7" s="3">
        <v>0.14000000000000001</v>
      </c>
      <c r="I7" s="3">
        <v>4.54</v>
      </c>
      <c r="J7" t="s">
        <v>968</v>
      </c>
      <c r="K7" t="s">
        <v>743</v>
      </c>
      <c r="L7">
        <v>1462752000</v>
      </c>
      <c r="M7" t="e">
        <f>NA()</f>
        <v>#N/A</v>
      </c>
      <c r="N7">
        <v>20</v>
      </c>
      <c r="O7" s="2">
        <v>1.343483856</v>
      </c>
      <c r="P7" s="8">
        <v>208970.97630000001</v>
      </c>
      <c r="Q7" s="8">
        <v>368740.52010000002</v>
      </c>
      <c r="R7" s="8" t="s">
        <v>91</v>
      </c>
      <c r="S7" s="8" t="s">
        <v>22</v>
      </c>
    </row>
    <row r="8" spans="1:19" ht="16" x14ac:dyDescent="0.2">
      <c r="A8" t="s">
        <v>828</v>
      </c>
      <c r="B8" s="3">
        <v>0.98</v>
      </c>
      <c r="C8" s="3">
        <v>-24.64</v>
      </c>
      <c r="D8" s="3">
        <v>0.1</v>
      </c>
      <c r="E8" s="3">
        <v>5.72</v>
      </c>
      <c r="F8" s="3">
        <v>0.95</v>
      </c>
      <c r="G8" s="3">
        <v>-24.585000000000001</v>
      </c>
      <c r="H8" s="3">
        <v>0.1</v>
      </c>
      <c r="I8" s="3">
        <v>4.9400000000000004</v>
      </c>
      <c r="J8" t="s">
        <v>968</v>
      </c>
      <c r="K8" t="s">
        <v>743</v>
      </c>
      <c r="L8">
        <v>1462752000</v>
      </c>
      <c r="M8" t="e">
        <f>NA()</f>
        <v>#N/A</v>
      </c>
      <c r="N8">
        <v>30</v>
      </c>
      <c r="O8" s="2">
        <v>1.566169785</v>
      </c>
      <c r="P8" s="8">
        <v>208970.97630000001</v>
      </c>
      <c r="Q8" s="8">
        <v>368740.52010000002</v>
      </c>
      <c r="R8" s="8" t="s">
        <v>91</v>
      </c>
      <c r="S8" s="8" t="s">
        <v>22</v>
      </c>
    </row>
    <row r="9" spans="1:19" ht="16" x14ac:dyDescent="0.2">
      <c r="A9" t="s">
        <v>829</v>
      </c>
      <c r="B9" s="3">
        <v>0.4</v>
      </c>
      <c r="C9" s="3">
        <v>-24.87</v>
      </c>
      <c r="D9" s="3">
        <v>0.06</v>
      </c>
      <c r="E9" s="3">
        <v>5.3650000000000002</v>
      </c>
      <c r="F9" s="3">
        <v>0.4</v>
      </c>
      <c r="G9" s="3">
        <v>-24.69</v>
      </c>
      <c r="H9" s="3">
        <v>0.06</v>
      </c>
      <c r="I9" s="3">
        <v>4.12</v>
      </c>
      <c r="J9" t="s">
        <v>968</v>
      </c>
      <c r="K9" t="s">
        <v>743</v>
      </c>
      <c r="L9">
        <v>1462752000</v>
      </c>
      <c r="M9" t="e">
        <f>NA()</f>
        <v>#N/A</v>
      </c>
      <c r="N9">
        <v>60</v>
      </c>
      <c r="O9" s="2">
        <v>0.71990867599999997</v>
      </c>
      <c r="P9" s="8">
        <v>208970.97630000001</v>
      </c>
      <c r="Q9" s="8">
        <v>368740.52010000002</v>
      </c>
      <c r="R9" s="8" t="s">
        <v>91</v>
      </c>
      <c r="S9" s="8" t="s">
        <v>22</v>
      </c>
    </row>
    <row r="10" spans="1:19" ht="16" x14ac:dyDescent="0.2">
      <c r="A10" t="s">
        <v>830</v>
      </c>
      <c r="B10" s="3">
        <v>1.5</v>
      </c>
      <c r="C10" s="3">
        <v>-24.55</v>
      </c>
      <c r="D10" s="3">
        <v>0.15</v>
      </c>
      <c r="E10" s="3">
        <v>5.52</v>
      </c>
      <c r="F10" s="3">
        <v>1.41</v>
      </c>
      <c r="G10" s="3">
        <v>-24.5</v>
      </c>
      <c r="H10" s="3">
        <v>0.15</v>
      </c>
      <c r="I10" s="3">
        <v>4.3600000000000003</v>
      </c>
      <c r="J10" t="s">
        <v>968</v>
      </c>
      <c r="K10" t="s">
        <v>749</v>
      </c>
      <c r="L10">
        <v>1463270400</v>
      </c>
      <c r="M10" t="e">
        <f>NA()</f>
        <v>#N/A</v>
      </c>
      <c r="N10">
        <v>10</v>
      </c>
      <c r="O10" s="2">
        <v>1.4294471740000001</v>
      </c>
      <c r="P10" s="8">
        <v>209274.8651</v>
      </c>
      <c r="Q10" s="8">
        <v>368851.03860000003</v>
      </c>
      <c r="R10" s="8" t="s">
        <v>125</v>
      </c>
      <c r="S10" s="8" t="s">
        <v>22</v>
      </c>
    </row>
    <row r="11" spans="1:19" ht="16" x14ac:dyDescent="0.2">
      <c r="A11" t="s">
        <v>831</v>
      </c>
      <c r="B11" s="3">
        <v>1.24</v>
      </c>
      <c r="C11" s="3">
        <v>-24.1</v>
      </c>
      <c r="D11" s="3">
        <v>0.12</v>
      </c>
      <c r="E11" s="3">
        <v>5.78</v>
      </c>
      <c r="F11" s="3">
        <v>1.22</v>
      </c>
      <c r="G11" s="3">
        <v>-24.204999999999998</v>
      </c>
      <c r="H11" s="3">
        <v>0.13</v>
      </c>
      <c r="I11" s="3">
        <v>5.04</v>
      </c>
      <c r="J11" t="s">
        <v>968</v>
      </c>
      <c r="K11" t="s">
        <v>749</v>
      </c>
      <c r="L11">
        <v>1463270400</v>
      </c>
      <c r="M11" t="e">
        <f>NA()</f>
        <v>#N/A</v>
      </c>
      <c r="N11">
        <v>20</v>
      </c>
      <c r="O11" s="2">
        <v>1.4106171139999999</v>
      </c>
      <c r="P11" s="8">
        <v>209274.8651</v>
      </c>
      <c r="Q11" s="8">
        <v>368851.03860000003</v>
      </c>
      <c r="R11" s="8" t="s">
        <v>125</v>
      </c>
      <c r="S11" s="8" t="s">
        <v>22</v>
      </c>
    </row>
    <row r="12" spans="1:19" ht="16" x14ac:dyDescent="0.2">
      <c r="A12" t="s">
        <v>832</v>
      </c>
      <c r="B12" s="3">
        <v>0.92500000000000004</v>
      </c>
      <c r="C12" s="3">
        <v>-23.97</v>
      </c>
      <c r="D12" s="3">
        <v>0.1</v>
      </c>
      <c r="E12" s="3">
        <v>5.9749999999999996</v>
      </c>
      <c r="F12" s="3">
        <v>0.87</v>
      </c>
      <c r="G12" s="3">
        <v>-23.97</v>
      </c>
      <c r="H12" s="3">
        <v>0.1</v>
      </c>
      <c r="I12" s="3">
        <v>4.4000000000000004</v>
      </c>
      <c r="J12" t="s">
        <v>968</v>
      </c>
      <c r="K12" t="s">
        <v>749</v>
      </c>
      <c r="L12">
        <v>1463270400</v>
      </c>
      <c r="M12" t="e">
        <f>NA()</f>
        <v>#N/A</v>
      </c>
      <c r="N12">
        <v>30</v>
      </c>
      <c r="O12" s="2">
        <v>1.400792735</v>
      </c>
      <c r="P12" s="8">
        <v>209274.8651</v>
      </c>
      <c r="Q12" s="8">
        <v>368851.03860000003</v>
      </c>
      <c r="R12" s="8" t="s">
        <v>125</v>
      </c>
      <c r="S12" s="8" t="s">
        <v>22</v>
      </c>
    </row>
    <row r="13" spans="1:19" ht="16" x14ac:dyDescent="0.2">
      <c r="A13" t="s">
        <v>833</v>
      </c>
      <c r="B13" s="3">
        <v>0.23</v>
      </c>
      <c r="C13" s="3">
        <v>-24.44</v>
      </c>
      <c r="D13" s="3">
        <v>7.0000000000000007E-2</v>
      </c>
      <c r="E13" s="3">
        <v>3.74</v>
      </c>
      <c r="F13" s="3">
        <v>0.24</v>
      </c>
      <c r="G13" s="3">
        <v>-24.74</v>
      </c>
      <c r="H13" s="3">
        <v>7.0000000000000007E-2</v>
      </c>
      <c r="I13" s="3">
        <v>2.59</v>
      </c>
      <c r="J13" t="s">
        <v>968</v>
      </c>
      <c r="K13" t="s">
        <v>749</v>
      </c>
      <c r="L13">
        <v>1463270400</v>
      </c>
      <c r="M13" t="e">
        <f>NA()</f>
        <v>#N/A</v>
      </c>
      <c r="N13">
        <v>60</v>
      </c>
      <c r="O13" s="2">
        <v>0.69261873399999996</v>
      </c>
      <c r="P13" s="8">
        <v>209274.8651</v>
      </c>
      <c r="Q13" s="8">
        <v>368851.03860000003</v>
      </c>
      <c r="R13" s="8" t="s">
        <v>125</v>
      </c>
      <c r="S13" s="8" t="s">
        <v>22</v>
      </c>
    </row>
    <row r="14" spans="1:19" ht="16" x14ac:dyDescent="0.2">
      <c r="A14" t="s">
        <v>834</v>
      </c>
      <c r="B14" s="3">
        <v>2.4300000000000002</v>
      </c>
      <c r="C14" s="3">
        <v>-22.25</v>
      </c>
      <c r="D14" s="3">
        <v>0.24</v>
      </c>
      <c r="E14" s="3">
        <v>6.78</v>
      </c>
      <c r="F14" s="3">
        <v>2.2850000000000001</v>
      </c>
      <c r="G14" s="3">
        <v>-22.63</v>
      </c>
      <c r="H14" s="3">
        <v>0.22</v>
      </c>
      <c r="I14" s="3">
        <v>5.68</v>
      </c>
      <c r="J14" t="s">
        <v>968</v>
      </c>
      <c r="K14" t="s">
        <v>755</v>
      </c>
      <c r="L14">
        <v>1463356800</v>
      </c>
      <c r="M14" t="e">
        <f>NA()</f>
        <v>#N/A</v>
      </c>
      <c r="N14">
        <v>10</v>
      </c>
      <c r="O14" s="2">
        <v>1.4097984160000001</v>
      </c>
      <c r="P14" s="8">
        <v>204909.54329999999</v>
      </c>
      <c r="Q14" s="8">
        <v>366099.93910000002</v>
      </c>
      <c r="R14" s="8" t="s">
        <v>159</v>
      </c>
      <c r="S14" s="8" t="s">
        <v>22</v>
      </c>
    </row>
    <row r="15" spans="1:19" ht="16" x14ac:dyDescent="0.2">
      <c r="A15" t="s">
        <v>835</v>
      </c>
      <c r="B15" s="3">
        <v>1.81</v>
      </c>
      <c r="C15" s="3">
        <v>-22.64</v>
      </c>
      <c r="D15" s="3">
        <v>0.185</v>
      </c>
      <c r="E15" s="3">
        <v>7.5049999999999999</v>
      </c>
      <c r="F15" s="3">
        <v>2.0299999999999998</v>
      </c>
      <c r="G15" s="3">
        <v>-22.82</v>
      </c>
      <c r="H15" s="3">
        <v>0.2</v>
      </c>
      <c r="I15" s="3">
        <v>6.45</v>
      </c>
      <c r="J15" t="s">
        <v>968</v>
      </c>
      <c r="K15" t="s">
        <v>755</v>
      </c>
      <c r="L15">
        <v>1463356800</v>
      </c>
      <c r="M15" t="e">
        <f>NA()</f>
        <v>#N/A</v>
      </c>
      <c r="N15">
        <v>20</v>
      </c>
      <c r="O15" s="2">
        <v>1.4425463460000001</v>
      </c>
      <c r="P15" s="8">
        <v>204909.54329999999</v>
      </c>
      <c r="Q15" s="8">
        <v>366099.93910000002</v>
      </c>
      <c r="R15" s="8" t="s">
        <v>159</v>
      </c>
      <c r="S15" s="8" t="s">
        <v>22</v>
      </c>
    </row>
    <row r="16" spans="1:19" ht="16" x14ac:dyDescent="0.2">
      <c r="A16" t="s">
        <v>836</v>
      </c>
      <c r="B16" s="3">
        <v>1.82</v>
      </c>
      <c r="C16" s="3">
        <v>-23.03</v>
      </c>
      <c r="D16" s="3">
        <v>0.19</v>
      </c>
      <c r="E16" s="3">
        <v>7.63</v>
      </c>
      <c r="F16" s="3">
        <v>1.44</v>
      </c>
      <c r="G16" s="3">
        <v>-23.25</v>
      </c>
      <c r="H16" s="3">
        <v>0.15</v>
      </c>
      <c r="I16" s="3">
        <v>6.37</v>
      </c>
      <c r="J16" t="s">
        <v>968</v>
      </c>
      <c r="K16" t="s">
        <v>755</v>
      </c>
      <c r="L16">
        <v>1463356800</v>
      </c>
      <c r="M16" t="e">
        <f>NA()</f>
        <v>#N/A</v>
      </c>
      <c r="N16">
        <v>30</v>
      </c>
      <c r="O16" s="2">
        <v>1.5293283630000001</v>
      </c>
      <c r="P16" s="8">
        <v>204909.54329999999</v>
      </c>
      <c r="Q16" s="8">
        <v>366099.93910000002</v>
      </c>
      <c r="R16" s="8" t="s">
        <v>159</v>
      </c>
      <c r="S16" s="8" t="s">
        <v>22</v>
      </c>
    </row>
    <row r="17" spans="1:19" ht="16" x14ac:dyDescent="0.2">
      <c r="A17" t="s">
        <v>837</v>
      </c>
      <c r="B17" s="3">
        <v>1.08</v>
      </c>
      <c r="C17" s="3">
        <v>-23.47</v>
      </c>
      <c r="D17" s="3">
        <v>0.11</v>
      </c>
      <c r="E17" s="3">
        <v>6.22</v>
      </c>
      <c r="F17" s="3">
        <v>0.97</v>
      </c>
      <c r="G17" s="3">
        <v>-23.785</v>
      </c>
      <c r="H17" s="3">
        <v>9.5000000000000001E-2</v>
      </c>
      <c r="I17" s="3">
        <v>6.63</v>
      </c>
      <c r="J17" t="s">
        <v>968</v>
      </c>
      <c r="K17" t="s">
        <v>755</v>
      </c>
      <c r="L17">
        <v>1463356800</v>
      </c>
      <c r="M17" t="e">
        <f>NA()</f>
        <v>#N/A</v>
      </c>
      <c r="N17">
        <v>60</v>
      </c>
      <c r="O17" s="2">
        <v>0.589735652</v>
      </c>
      <c r="P17" s="8">
        <v>204909.54329999999</v>
      </c>
      <c r="Q17" s="8">
        <v>366099.93910000002</v>
      </c>
      <c r="R17" s="8" t="s">
        <v>159</v>
      </c>
      <c r="S17" s="8" t="s">
        <v>22</v>
      </c>
    </row>
    <row r="18" spans="1:19" ht="16" x14ac:dyDescent="0.2">
      <c r="A18" t="s">
        <v>838</v>
      </c>
      <c r="B18" s="3">
        <v>1.46</v>
      </c>
      <c r="C18" s="3">
        <v>-22.55</v>
      </c>
      <c r="D18" s="3">
        <v>0.15</v>
      </c>
      <c r="E18" s="3">
        <v>6.66</v>
      </c>
      <c r="F18" s="3">
        <v>1.44</v>
      </c>
      <c r="G18" s="3">
        <v>-22.93</v>
      </c>
      <c r="H18" s="3">
        <v>0.14000000000000001</v>
      </c>
      <c r="I18" s="3">
        <v>5.62</v>
      </c>
      <c r="J18" t="s">
        <v>968</v>
      </c>
      <c r="K18" t="s">
        <v>761</v>
      </c>
      <c r="L18">
        <v>1463875200</v>
      </c>
      <c r="M18" t="e">
        <f>NA()</f>
        <v>#N/A</v>
      </c>
      <c r="N18">
        <v>10</v>
      </c>
      <c r="O18" s="2">
        <v>1.522778776</v>
      </c>
      <c r="P18" s="8">
        <v>206923.5949</v>
      </c>
      <c r="Q18" s="8">
        <v>367496.74829999998</v>
      </c>
      <c r="R18" s="8" t="s">
        <v>21</v>
      </c>
      <c r="S18" s="8" t="s">
        <v>22</v>
      </c>
    </row>
    <row r="19" spans="1:19" ht="16" x14ac:dyDescent="0.2">
      <c r="A19" t="s">
        <v>839</v>
      </c>
      <c r="B19" s="3">
        <v>0.99</v>
      </c>
      <c r="C19" s="3">
        <v>-24.21</v>
      </c>
      <c r="D19" s="3">
        <v>0.11</v>
      </c>
      <c r="E19" s="3">
        <v>5.81</v>
      </c>
      <c r="F19" s="3">
        <v>0.94</v>
      </c>
      <c r="G19" s="3">
        <v>-24.5</v>
      </c>
      <c r="H19" s="3">
        <v>0.1</v>
      </c>
      <c r="I19" s="3">
        <v>4.83</v>
      </c>
      <c r="J19" t="s">
        <v>968</v>
      </c>
      <c r="K19" t="s">
        <v>761</v>
      </c>
      <c r="L19">
        <v>1463875200</v>
      </c>
      <c r="M19" t="e">
        <f>NA()</f>
        <v>#N/A</v>
      </c>
      <c r="N19">
        <v>20</v>
      </c>
      <c r="O19" s="2">
        <v>1.520322682</v>
      </c>
      <c r="P19" s="8">
        <v>206923.5949</v>
      </c>
      <c r="Q19" s="8">
        <v>367496.74829999998</v>
      </c>
      <c r="R19" s="8" t="s">
        <v>21</v>
      </c>
      <c r="S19" s="8" t="s">
        <v>22</v>
      </c>
    </row>
    <row r="20" spans="1:19" ht="16" x14ac:dyDescent="0.2">
      <c r="A20" t="s">
        <v>840</v>
      </c>
      <c r="B20" s="3">
        <v>0.53</v>
      </c>
      <c r="C20" s="3">
        <v>-23.73</v>
      </c>
      <c r="D20" s="3">
        <v>7.0000000000000007E-2</v>
      </c>
      <c r="E20" s="3">
        <v>5.94</v>
      </c>
      <c r="F20" s="3">
        <v>0.53</v>
      </c>
      <c r="G20" s="3">
        <v>-24.34</v>
      </c>
      <c r="H20" s="3">
        <v>6.5000000000000002E-2</v>
      </c>
      <c r="I20" s="3">
        <v>6.13</v>
      </c>
      <c r="J20" t="s">
        <v>968</v>
      </c>
      <c r="K20" t="s">
        <v>761</v>
      </c>
      <c r="L20">
        <v>1463875200</v>
      </c>
      <c r="M20" t="e">
        <f>NA()</f>
        <v>#N/A</v>
      </c>
      <c r="N20">
        <v>30</v>
      </c>
      <c r="O20" s="2">
        <v>1.5497958190000001</v>
      </c>
      <c r="P20" s="8">
        <v>206923.5949</v>
      </c>
      <c r="Q20" s="8">
        <v>367496.74829999998</v>
      </c>
      <c r="R20" s="8" t="s">
        <v>21</v>
      </c>
      <c r="S20" s="8" t="s">
        <v>22</v>
      </c>
    </row>
    <row r="21" spans="1:19" ht="16" x14ac:dyDescent="0.2">
      <c r="A21" t="s">
        <v>841</v>
      </c>
      <c r="B21" s="3">
        <v>0.21</v>
      </c>
      <c r="C21" s="3">
        <v>-23.015000000000001</v>
      </c>
      <c r="D21" s="3">
        <v>4.4999999999999998E-2</v>
      </c>
      <c r="E21" s="3">
        <v>6</v>
      </c>
      <c r="F21" s="3">
        <v>0.2</v>
      </c>
      <c r="G21" s="3">
        <v>-23.8</v>
      </c>
      <c r="H21" s="3">
        <v>0.04</v>
      </c>
      <c r="I21" s="3">
        <v>5.51</v>
      </c>
      <c r="J21" t="s">
        <v>968</v>
      </c>
      <c r="K21" t="s">
        <v>761</v>
      </c>
      <c r="L21">
        <v>1463875200</v>
      </c>
      <c r="M21" t="e">
        <f>NA()</f>
        <v>#N/A</v>
      </c>
      <c r="N21">
        <v>60</v>
      </c>
      <c r="O21" s="2">
        <v>0.74092193200000001</v>
      </c>
      <c r="P21" s="8">
        <v>206923.5949</v>
      </c>
      <c r="Q21" s="8">
        <v>367496.74829999998</v>
      </c>
      <c r="R21" s="8" t="s">
        <v>21</v>
      </c>
      <c r="S21" s="8" t="s">
        <v>22</v>
      </c>
    </row>
    <row r="22" spans="1:19" ht="16" x14ac:dyDescent="0.2">
      <c r="A22" t="s">
        <v>842</v>
      </c>
      <c r="B22" s="3">
        <v>1.91</v>
      </c>
      <c r="C22" s="3">
        <v>-26.11</v>
      </c>
      <c r="D22" s="3">
        <v>0.22</v>
      </c>
      <c r="E22" s="3">
        <v>5.05</v>
      </c>
      <c r="F22" s="3">
        <v>1.84</v>
      </c>
      <c r="G22" s="3">
        <v>-26.22</v>
      </c>
      <c r="H22" s="3">
        <v>0.2</v>
      </c>
      <c r="I22" s="3">
        <v>4.4800000000000004</v>
      </c>
      <c r="J22" t="s">
        <v>968</v>
      </c>
      <c r="K22" t="s">
        <v>767</v>
      </c>
      <c r="L22">
        <v>1463875200</v>
      </c>
      <c r="M22" t="e">
        <f>NA()</f>
        <v>#N/A</v>
      </c>
      <c r="N22">
        <v>10</v>
      </c>
      <c r="O22" s="2">
        <v>1.2403278740000001</v>
      </c>
      <c r="P22" s="8">
        <v>207130.2776</v>
      </c>
      <c r="Q22" s="8">
        <v>366996.86820000003</v>
      </c>
      <c r="R22" s="8" t="s">
        <v>219</v>
      </c>
      <c r="S22" s="8" t="s">
        <v>22</v>
      </c>
    </row>
    <row r="23" spans="1:19" ht="16" x14ac:dyDescent="0.2">
      <c r="A23" t="s">
        <v>843</v>
      </c>
      <c r="B23" s="3">
        <v>1.29</v>
      </c>
      <c r="C23" s="3">
        <v>-24.94</v>
      </c>
      <c r="D23" s="3">
        <v>0.15</v>
      </c>
      <c r="E23" s="3">
        <v>6.52</v>
      </c>
      <c r="F23" s="3">
        <v>1.165</v>
      </c>
      <c r="G23" s="3">
        <v>-24.234999999999999</v>
      </c>
      <c r="H23" s="3">
        <v>0.13500000000000001</v>
      </c>
      <c r="I23" s="3">
        <v>6.22</v>
      </c>
      <c r="J23" t="s">
        <v>968</v>
      </c>
      <c r="K23" t="s">
        <v>767</v>
      </c>
      <c r="L23">
        <v>1463875200</v>
      </c>
      <c r="M23" t="e">
        <f>NA()</f>
        <v>#N/A</v>
      </c>
      <c r="N23">
        <v>20</v>
      </c>
      <c r="O23" s="2">
        <v>1.3205603050000001</v>
      </c>
      <c r="P23" s="8">
        <v>207130.2776</v>
      </c>
      <c r="Q23" s="8">
        <v>366996.86820000003</v>
      </c>
      <c r="R23" s="8" t="s">
        <v>219</v>
      </c>
      <c r="S23" s="8" t="s">
        <v>22</v>
      </c>
    </row>
    <row r="24" spans="1:19" ht="16" x14ac:dyDescent="0.2">
      <c r="A24" t="s">
        <v>844</v>
      </c>
      <c r="B24" s="3">
        <v>0.70499999999999996</v>
      </c>
      <c r="C24" s="3">
        <v>-24.265000000000001</v>
      </c>
      <c r="D24" s="3">
        <v>0.105</v>
      </c>
      <c r="E24" s="3">
        <v>5.98</v>
      </c>
      <c r="F24" s="3">
        <v>0.69</v>
      </c>
      <c r="G24" s="3">
        <v>-24.83</v>
      </c>
      <c r="H24" s="3">
        <v>0.09</v>
      </c>
      <c r="I24" s="3">
        <v>5.79</v>
      </c>
      <c r="J24" t="s">
        <v>968</v>
      </c>
      <c r="K24" t="s">
        <v>767</v>
      </c>
      <c r="L24">
        <v>1463875200</v>
      </c>
      <c r="M24" t="e">
        <f>NA()</f>
        <v>#N/A</v>
      </c>
      <c r="N24">
        <v>30</v>
      </c>
      <c r="O24" s="2">
        <v>1.508042208</v>
      </c>
      <c r="P24" s="8">
        <v>207130.2776</v>
      </c>
      <c r="Q24" s="8">
        <v>366996.86820000003</v>
      </c>
      <c r="R24" s="8" t="s">
        <v>219</v>
      </c>
      <c r="S24" s="8" t="s">
        <v>22</v>
      </c>
    </row>
    <row r="25" spans="1:19" ht="16" x14ac:dyDescent="0.2">
      <c r="A25" t="s">
        <v>845</v>
      </c>
      <c r="B25" s="3">
        <v>0.24</v>
      </c>
      <c r="C25" s="3">
        <v>-24.38</v>
      </c>
      <c r="D25" s="3">
        <v>0.06</v>
      </c>
      <c r="E25" s="3">
        <v>4.83</v>
      </c>
      <c r="F25" s="3">
        <v>0.23</v>
      </c>
      <c r="G25" s="3">
        <v>-24.86</v>
      </c>
      <c r="H25" s="3">
        <v>0.06</v>
      </c>
      <c r="I25" s="3">
        <v>3.24</v>
      </c>
      <c r="J25" t="s">
        <v>968</v>
      </c>
      <c r="K25" t="s">
        <v>767</v>
      </c>
      <c r="L25">
        <v>1463875200</v>
      </c>
      <c r="M25" t="e">
        <f>NA()</f>
        <v>#N/A</v>
      </c>
      <c r="N25">
        <v>60</v>
      </c>
      <c r="O25" s="2">
        <v>0.72809565899999995</v>
      </c>
      <c r="P25" s="8">
        <v>207130.2776</v>
      </c>
      <c r="Q25" s="8">
        <v>366996.86820000003</v>
      </c>
      <c r="R25" s="8" t="s">
        <v>219</v>
      </c>
      <c r="S25" s="8" t="s">
        <v>22</v>
      </c>
    </row>
    <row r="26" spans="1:19" ht="16" x14ac:dyDescent="0.2">
      <c r="A26" t="s">
        <v>846</v>
      </c>
      <c r="B26" s="3">
        <v>1.73</v>
      </c>
      <c r="C26" s="3">
        <v>-22.8</v>
      </c>
      <c r="D26" s="3">
        <v>0.18</v>
      </c>
      <c r="E26" s="3">
        <v>6.03</v>
      </c>
      <c r="F26" s="3">
        <v>1.62</v>
      </c>
      <c r="G26" s="3">
        <v>-23.91</v>
      </c>
      <c r="H26" s="3">
        <v>0.16</v>
      </c>
      <c r="I26" s="3">
        <v>4.9850000000000003</v>
      </c>
      <c r="J26" t="s">
        <v>968</v>
      </c>
      <c r="K26" t="s">
        <v>773</v>
      </c>
      <c r="L26">
        <v>1464048000</v>
      </c>
      <c r="M26" t="e">
        <f>NA()</f>
        <v>#N/A</v>
      </c>
      <c r="N26">
        <v>10</v>
      </c>
      <c r="O26" s="2">
        <v>1.4941243369999999</v>
      </c>
      <c r="P26" s="8">
        <v>207422.44510000001</v>
      </c>
      <c r="Q26" s="8">
        <v>366364.82120000001</v>
      </c>
      <c r="R26" s="8" t="s">
        <v>34</v>
      </c>
      <c r="S26" s="8" t="s">
        <v>22</v>
      </c>
    </row>
    <row r="27" spans="1:19" ht="16" x14ac:dyDescent="0.2">
      <c r="A27" t="s">
        <v>847</v>
      </c>
      <c r="B27" s="3">
        <v>1.575</v>
      </c>
      <c r="C27" s="3">
        <v>-23.52</v>
      </c>
      <c r="D27" s="3">
        <v>0.16500000000000001</v>
      </c>
      <c r="E27" s="3">
        <v>6.5250000000000004</v>
      </c>
      <c r="F27" s="3">
        <v>1.59</v>
      </c>
      <c r="G27" s="3">
        <v>-24.23</v>
      </c>
      <c r="H27" s="3">
        <v>0.15</v>
      </c>
      <c r="I27" s="3">
        <v>5.2</v>
      </c>
      <c r="J27" t="s">
        <v>968</v>
      </c>
      <c r="K27" t="s">
        <v>773</v>
      </c>
      <c r="L27">
        <v>1464048000</v>
      </c>
      <c r="M27" t="e">
        <f>NA()</f>
        <v>#N/A</v>
      </c>
      <c r="N27">
        <v>20</v>
      </c>
      <c r="O27" s="2">
        <v>1.2526083480000001</v>
      </c>
      <c r="P27" s="8">
        <v>207422.44510000001</v>
      </c>
      <c r="Q27" s="8">
        <v>366364.82120000001</v>
      </c>
      <c r="R27" s="8" t="s">
        <v>34</v>
      </c>
      <c r="S27" s="8" t="s">
        <v>22</v>
      </c>
    </row>
    <row r="28" spans="1:19" ht="16" x14ac:dyDescent="0.2">
      <c r="A28" t="s">
        <v>848</v>
      </c>
      <c r="B28" s="3">
        <v>1.29</v>
      </c>
      <c r="C28" s="3">
        <v>-24.29</v>
      </c>
      <c r="D28" s="3">
        <v>0.15</v>
      </c>
      <c r="E28" s="3">
        <v>6.22</v>
      </c>
      <c r="F28" s="3">
        <v>1.37</v>
      </c>
      <c r="G28" s="3">
        <v>-24.405000000000001</v>
      </c>
      <c r="H28" s="3">
        <v>0.14000000000000001</v>
      </c>
      <c r="I28" s="3">
        <v>5.1449999999999996</v>
      </c>
      <c r="J28" t="s">
        <v>968</v>
      </c>
      <c r="K28" t="s">
        <v>773</v>
      </c>
      <c r="L28">
        <v>1464048000</v>
      </c>
      <c r="M28" t="e">
        <f>NA()</f>
        <v>#N/A</v>
      </c>
      <c r="N28">
        <v>30</v>
      </c>
      <c r="O28" s="2">
        <v>1.4294471740000001</v>
      </c>
      <c r="P28" s="8">
        <v>207422.44510000001</v>
      </c>
      <c r="Q28" s="8">
        <v>366364.82120000001</v>
      </c>
      <c r="R28" s="8" t="s">
        <v>34</v>
      </c>
      <c r="S28" s="8" t="s">
        <v>22</v>
      </c>
    </row>
    <row r="29" spans="1:19" ht="16" x14ac:dyDescent="0.2">
      <c r="A29" t="s">
        <v>849</v>
      </c>
      <c r="B29" s="3">
        <v>0.35</v>
      </c>
      <c r="C29" s="3">
        <v>-24.8</v>
      </c>
      <c r="D29" s="3">
        <v>7.0000000000000007E-2</v>
      </c>
      <c r="E29" s="3">
        <v>4.91</v>
      </c>
      <c r="F29" s="3">
        <v>0.32</v>
      </c>
      <c r="G29" s="3">
        <v>-25.34</v>
      </c>
      <c r="H29" s="3">
        <v>7.0000000000000007E-2</v>
      </c>
      <c r="I29" s="3">
        <v>3.99</v>
      </c>
      <c r="J29" t="s">
        <v>968</v>
      </c>
      <c r="K29" t="s">
        <v>773</v>
      </c>
      <c r="L29">
        <v>1464048000</v>
      </c>
      <c r="M29" t="e">
        <f>NA()</f>
        <v>#N/A</v>
      </c>
      <c r="N29">
        <v>60</v>
      </c>
      <c r="O29" s="2">
        <v>0.548254939</v>
      </c>
      <c r="P29" s="8">
        <v>207422.44510000001</v>
      </c>
      <c r="Q29" s="8">
        <v>366364.82120000001</v>
      </c>
      <c r="R29" s="8" t="s">
        <v>34</v>
      </c>
      <c r="S29" s="8" t="s">
        <v>22</v>
      </c>
    </row>
    <row r="30" spans="1:19" ht="16" x14ac:dyDescent="0.2">
      <c r="A30" t="s">
        <v>850</v>
      </c>
      <c r="B30" s="3">
        <v>1.41</v>
      </c>
      <c r="C30" s="3">
        <v>-22.635000000000002</v>
      </c>
      <c r="D30" s="3">
        <v>0.155</v>
      </c>
      <c r="E30" s="3">
        <v>4.8499999999999996</v>
      </c>
      <c r="F30" s="3">
        <v>1.32</v>
      </c>
      <c r="G30" s="3">
        <v>-22.68</v>
      </c>
      <c r="H30" s="3">
        <v>0.14000000000000001</v>
      </c>
      <c r="I30" s="3">
        <v>4.8</v>
      </c>
      <c r="J30" t="s">
        <v>968</v>
      </c>
      <c r="K30" t="s">
        <v>725</v>
      </c>
      <c r="L30">
        <v>1464652800</v>
      </c>
      <c r="M30" t="e">
        <f>NA()</f>
        <v>#N/A</v>
      </c>
      <c r="N30">
        <v>10</v>
      </c>
      <c r="O30" s="2">
        <v>1.3991553379999999</v>
      </c>
      <c r="P30" s="8">
        <v>209868.28159999999</v>
      </c>
      <c r="Q30" s="8">
        <v>370198.27370000002</v>
      </c>
      <c r="R30" s="8" t="s">
        <v>285</v>
      </c>
      <c r="S30" s="8" t="s">
        <v>22</v>
      </c>
    </row>
    <row r="31" spans="1:19" ht="16" x14ac:dyDescent="0.2">
      <c r="A31" t="s">
        <v>851</v>
      </c>
      <c r="B31" s="3">
        <v>1.36</v>
      </c>
      <c r="C31" s="3">
        <v>-22.91</v>
      </c>
      <c r="D31" s="3">
        <v>0.15</v>
      </c>
      <c r="E31" s="3">
        <v>5.07</v>
      </c>
      <c r="F31" s="3">
        <v>1.2749999999999999</v>
      </c>
      <c r="G31" s="3">
        <v>-22.89</v>
      </c>
      <c r="H31" s="3">
        <v>0.13</v>
      </c>
      <c r="I31" s="3">
        <v>4.41</v>
      </c>
      <c r="J31" t="s">
        <v>968</v>
      </c>
      <c r="K31" t="s">
        <v>725</v>
      </c>
      <c r="L31">
        <v>1464652800</v>
      </c>
      <c r="M31" t="e">
        <f>NA()</f>
        <v>#N/A</v>
      </c>
      <c r="N31">
        <v>20</v>
      </c>
      <c r="O31" s="2">
        <v>1.2632514260000001</v>
      </c>
      <c r="P31" s="8">
        <v>209868.28159999999</v>
      </c>
      <c r="Q31" s="8">
        <v>370198.27370000002</v>
      </c>
      <c r="R31" s="8" t="s">
        <v>285</v>
      </c>
      <c r="S31" s="8" t="s">
        <v>22</v>
      </c>
    </row>
    <row r="32" spans="1:19" ht="16" x14ac:dyDescent="0.2">
      <c r="A32" t="s">
        <v>852</v>
      </c>
      <c r="B32" s="3">
        <v>0.94</v>
      </c>
      <c r="C32" s="3">
        <v>-23.87</v>
      </c>
      <c r="D32" s="3">
        <v>0.11</v>
      </c>
      <c r="E32" s="3">
        <v>6</v>
      </c>
      <c r="F32" s="3">
        <v>0.89</v>
      </c>
      <c r="G32" s="3">
        <v>-23.99</v>
      </c>
      <c r="H32" s="3">
        <v>0.1</v>
      </c>
      <c r="I32" s="3">
        <v>5.15</v>
      </c>
      <c r="J32" t="s">
        <v>968</v>
      </c>
      <c r="K32" t="s">
        <v>725</v>
      </c>
      <c r="L32">
        <v>1464652800</v>
      </c>
      <c r="M32" t="e">
        <f>NA()</f>
        <v>#N/A</v>
      </c>
      <c r="N32">
        <v>30</v>
      </c>
      <c r="O32" s="2">
        <v>1.5129543969999999</v>
      </c>
      <c r="P32" s="8">
        <v>209868.28159999999</v>
      </c>
      <c r="Q32" s="8">
        <v>370198.27370000002</v>
      </c>
      <c r="R32" s="8" t="s">
        <v>285</v>
      </c>
      <c r="S32" s="8" t="s">
        <v>22</v>
      </c>
    </row>
    <row r="33" spans="1:19" ht="16" x14ac:dyDescent="0.2">
      <c r="A33" t="s">
        <v>853</v>
      </c>
      <c r="B33" s="3">
        <v>0.35</v>
      </c>
      <c r="C33" s="3">
        <v>-23.114999999999998</v>
      </c>
      <c r="D33" s="3">
        <v>0.05</v>
      </c>
      <c r="E33" s="3">
        <v>6.8150000000000004</v>
      </c>
      <c r="F33" s="3">
        <v>0.35</v>
      </c>
      <c r="G33" s="3">
        <v>-23.56</v>
      </c>
      <c r="H33" s="3">
        <v>0.05</v>
      </c>
      <c r="I33" s="3">
        <v>4.7699999999999996</v>
      </c>
      <c r="J33" t="s">
        <v>968</v>
      </c>
      <c r="K33" t="s">
        <v>725</v>
      </c>
      <c r="L33">
        <v>1464652800</v>
      </c>
      <c r="M33" t="e">
        <f>NA()</f>
        <v>#N/A</v>
      </c>
      <c r="N33">
        <v>60</v>
      </c>
      <c r="O33" s="2">
        <v>0.56217280999999997</v>
      </c>
      <c r="P33" s="8">
        <v>209868.28159999999</v>
      </c>
      <c r="Q33" s="8">
        <v>370198.27370000002</v>
      </c>
      <c r="R33" s="8" t="s">
        <v>285</v>
      </c>
      <c r="S33" s="8" t="s">
        <v>22</v>
      </c>
    </row>
    <row r="34" spans="1:19" ht="16" x14ac:dyDescent="0.2">
      <c r="A34" t="s">
        <v>854</v>
      </c>
      <c r="B34" s="3">
        <v>1.08</v>
      </c>
      <c r="C34" s="3">
        <v>-21.97</v>
      </c>
      <c r="D34" s="3">
        <v>0.11</v>
      </c>
      <c r="E34" s="3">
        <v>5.07</v>
      </c>
      <c r="F34" s="3">
        <v>0.92</v>
      </c>
      <c r="G34" s="3">
        <v>-21.625</v>
      </c>
      <c r="H34" s="3">
        <v>9.5000000000000001E-2</v>
      </c>
      <c r="I34" s="3">
        <v>4.085</v>
      </c>
      <c r="J34" t="s">
        <v>968</v>
      </c>
      <c r="K34" t="s">
        <v>731</v>
      </c>
      <c r="L34">
        <v>1465084800</v>
      </c>
      <c r="M34" t="e">
        <f>NA()</f>
        <v>#N/A</v>
      </c>
      <c r="N34">
        <v>10</v>
      </c>
      <c r="O34" s="2">
        <v>1.3393903650000001</v>
      </c>
      <c r="P34" s="8">
        <v>208112.63140000001</v>
      </c>
      <c r="Q34" s="8">
        <v>365496.48340000003</v>
      </c>
      <c r="R34" s="8" t="s">
        <v>623</v>
      </c>
      <c r="S34" s="8" t="s">
        <v>22</v>
      </c>
    </row>
    <row r="35" spans="1:19" ht="16" x14ac:dyDescent="0.2">
      <c r="A35" t="s">
        <v>855</v>
      </c>
      <c r="B35" s="3">
        <v>0.99</v>
      </c>
      <c r="C35" s="3">
        <v>-21.06</v>
      </c>
      <c r="D35" s="3">
        <v>0.11</v>
      </c>
      <c r="E35" s="3">
        <v>4.54</v>
      </c>
      <c r="F35" s="3">
        <v>0.92</v>
      </c>
      <c r="G35" s="3">
        <v>-21.52</v>
      </c>
      <c r="H35" s="3">
        <v>0.1</v>
      </c>
      <c r="I35" s="3">
        <v>4.13</v>
      </c>
      <c r="J35" t="s">
        <v>968</v>
      </c>
      <c r="K35" t="s">
        <v>731</v>
      </c>
      <c r="L35">
        <v>1465084800</v>
      </c>
      <c r="M35" t="e">
        <f>NA()</f>
        <v>#N/A</v>
      </c>
      <c r="N35">
        <v>20</v>
      </c>
      <c r="O35" s="2">
        <v>1.3467586490000001</v>
      </c>
      <c r="P35" s="8">
        <v>208112.63140000001</v>
      </c>
      <c r="Q35" s="8">
        <v>365496.48340000003</v>
      </c>
      <c r="R35" s="8" t="s">
        <v>623</v>
      </c>
      <c r="S35" s="8" t="s">
        <v>22</v>
      </c>
    </row>
    <row r="36" spans="1:19" ht="16" x14ac:dyDescent="0.2">
      <c r="A36" t="s">
        <v>856</v>
      </c>
      <c r="B36" s="3">
        <v>0.495</v>
      </c>
      <c r="C36" s="3">
        <v>-22.75</v>
      </c>
      <c r="D36" s="3">
        <v>6.5000000000000002E-2</v>
      </c>
      <c r="E36" s="3">
        <v>6.2</v>
      </c>
      <c r="F36" s="3">
        <v>0.48</v>
      </c>
      <c r="G36" s="3">
        <v>-23.21</v>
      </c>
      <c r="H36" s="3">
        <v>0.06</v>
      </c>
      <c r="I36" s="3">
        <v>5.58</v>
      </c>
      <c r="J36" t="s">
        <v>968</v>
      </c>
      <c r="K36" t="s">
        <v>731</v>
      </c>
      <c r="L36">
        <v>1465084800</v>
      </c>
      <c r="M36" t="e">
        <f>NA()</f>
        <v>#N/A</v>
      </c>
      <c r="N36">
        <v>30</v>
      </c>
      <c r="O36" s="2">
        <v>1.6185664740000001</v>
      </c>
      <c r="P36" s="8">
        <v>208112.63140000001</v>
      </c>
      <c r="Q36" s="8">
        <v>365496.48340000003</v>
      </c>
      <c r="R36" s="8" t="s">
        <v>623</v>
      </c>
      <c r="S36" s="8" t="s">
        <v>22</v>
      </c>
    </row>
    <row r="37" spans="1:19" ht="16" x14ac:dyDescent="0.2">
      <c r="A37" t="s">
        <v>857</v>
      </c>
      <c r="B37" s="3">
        <v>0.28999999999999998</v>
      </c>
      <c r="C37" s="3">
        <v>-22.83</v>
      </c>
      <c r="D37" s="3">
        <v>0.05</v>
      </c>
      <c r="E37" s="3">
        <v>6.31</v>
      </c>
      <c r="F37" s="3">
        <v>0.27</v>
      </c>
      <c r="G37" s="3">
        <v>-23.01</v>
      </c>
      <c r="H37" s="3">
        <v>0.05</v>
      </c>
      <c r="I37" s="3">
        <v>5.09</v>
      </c>
      <c r="J37" t="s">
        <v>968</v>
      </c>
      <c r="K37" t="s">
        <v>731</v>
      </c>
      <c r="L37">
        <v>1465084800</v>
      </c>
      <c r="M37" t="e">
        <f>NA()</f>
        <v>#N/A</v>
      </c>
      <c r="N37">
        <v>60</v>
      </c>
      <c r="O37" s="2">
        <v>0.56544760299999997</v>
      </c>
      <c r="P37" s="8">
        <v>208112.63140000001</v>
      </c>
      <c r="Q37" s="8">
        <v>365496.48340000003</v>
      </c>
      <c r="R37" s="8" t="s">
        <v>623</v>
      </c>
      <c r="S37" s="8" t="s">
        <v>22</v>
      </c>
    </row>
    <row r="38" spans="1:19" ht="16" x14ac:dyDescent="0.2">
      <c r="A38" t="s">
        <v>858</v>
      </c>
      <c r="B38" s="3">
        <v>1.4850000000000001</v>
      </c>
      <c r="C38" s="3">
        <v>-25.76</v>
      </c>
      <c r="D38" s="3">
        <v>0.14499999999999999</v>
      </c>
      <c r="E38" s="3">
        <v>5.09</v>
      </c>
      <c r="F38" s="3">
        <v>1.29</v>
      </c>
      <c r="G38" s="3">
        <v>-26.06</v>
      </c>
      <c r="H38" s="3">
        <v>0.11</v>
      </c>
      <c r="I38" s="3">
        <v>5.07</v>
      </c>
      <c r="J38" t="s">
        <v>968</v>
      </c>
      <c r="K38" t="s">
        <v>737</v>
      </c>
      <c r="L38">
        <v>1475712000</v>
      </c>
      <c r="M38" s="2">
        <v>6.5599999999999999E-3</v>
      </c>
      <c r="N38">
        <v>10</v>
      </c>
      <c r="O38" s="2">
        <v>1.118248981</v>
      </c>
      <c r="P38" s="8">
        <v>209797.8315</v>
      </c>
      <c r="Q38" s="8">
        <v>368638.50109999999</v>
      </c>
      <c r="R38" s="8" t="s">
        <v>55</v>
      </c>
      <c r="S38" s="8" t="s">
        <v>22</v>
      </c>
    </row>
    <row r="39" spans="1:19" ht="16" x14ac:dyDescent="0.2">
      <c r="A39" t="s">
        <v>859</v>
      </c>
      <c r="B39" s="3">
        <v>1.56</v>
      </c>
      <c r="C39" s="3">
        <v>-25.24</v>
      </c>
      <c r="D39" s="3">
        <v>0.16</v>
      </c>
      <c r="E39" s="3">
        <v>4.55</v>
      </c>
      <c r="F39" s="3">
        <v>1.35</v>
      </c>
      <c r="G39" s="3">
        <v>-25.46</v>
      </c>
      <c r="H39" s="3">
        <v>0.13</v>
      </c>
      <c r="I39" s="3">
        <v>4.25</v>
      </c>
      <c r="J39" t="s">
        <v>968</v>
      </c>
      <c r="K39" t="s">
        <v>737</v>
      </c>
      <c r="L39">
        <v>1475712000</v>
      </c>
      <c r="M39" s="2">
        <v>2.7200000000000002E-3</v>
      </c>
      <c r="N39">
        <v>20</v>
      </c>
      <c r="O39" s="2">
        <v>1.117451349</v>
      </c>
      <c r="P39" s="8">
        <v>209797.8315</v>
      </c>
      <c r="Q39" s="8">
        <v>368638.50109999999</v>
      </c>
      <c r="R39" s="8" t="s">
        <v>55</v>
      </c>
      <c r="S39" s="8" t="s">
        <v>22</v>
      </c>
    </row>
    <row r="40" spans="1:19" ht="16" x14ac:dyDescent="0.2">
      <c r="A40" t="s">
        <v>860</v>
      </c>
      <c r="B40" s="3">
        <v>1.34</v>
      </c>
      <c r="C40" s="3">
        <v>-25.38</v>
      </c>
      <c r="D40" s="3">
        <v>0.13</v>
      </c>
      <c r="E40" s="3">
        <v>4.71</v>
      </c>
      <c r="F40" s="3">
        <v>1.3</v>
      </c>
      <c r="G40" s="3">
        <v>-25.55</v>
      </c>
      <c r="H40" s="3">
        <v>0.12</v>
      </c>
      <c r="I40" s="3">
        <v>4.9550000000000001</v>
      </c>
      <c r="J40" t="s">
        <v>968</v>
      </c>
      <c r="K40" t="s">
        <v>737</v>
      </c>
      <c r="L40">
        <v>1475712000</v>
      </c>
      <c r="M40" s="2">
        <v>2.1099999999999999E-3</v>
      </c>
      <c r="N40">
        <v>30</v>
      </c>
      <c r="O40" s="2">
        <v>1.2356185609999999</v>
      </c>
      <c r="P40" s="8">
        <v>209797.8315</v>
      </c>
      <c r="Q40" s="8">
        <v>368638.50109999999</v>
      </c>
      <c r="R40" s="8" t="s">
        <v>55</v>
      </c>
      <c r="S40" s="8" t="s">
        <v>22</v>
      </c>
    </row>
    <row r="41" spans="1:19" ht="16" x14ac:dyDescent="0.2">
      <c r="A41" t="s">
        <v>861</v>
      </c>
      <c r="B41" s="3">
        <v>0.46</v>
      </c>
      <c r="C41" s="3">
        <v>-24.92</v>
      </c>
      <c r="D41" s="3">
        <v>0.06</v>
      </c>
      <c r="E41" s="3">
        <v>6.44</v>
      </c>
      <c r="F41" s="3">
        <v>0.46</v>
      </c>
      <c r="G41" s="3">
        <v>-24.925000000000001</v>
      </c>
      <c r="H41" s="3">
        <v>0.05</v>
      </c>
      <c r="I41" s="3">
        <v>4.67</v>
      </c>
      <c r="J41" t="s">
        <v>968</v>
      </c>
      <c r="K41" t="s">
        <v>737</v>
      </c>
      <c r="L41">
        <v>1475712000</v>
      </c>
      <c r="M41" s="2">
        <v>6.5599999999999999E-3</v>
      </c>
      <c r="N41">
        <v>60</v>
      </c>
      <c r="O41" s="2">
        <v>1.2903028999999999</v>
      </c>
      <c r="P41" s="8">
        <v>209797.8315</v>
      </c>
      <c r="Q41" s="8">
        <v>368638.50109999999</v>
      </c>
      <c r="R41" s="8" t="s">
        <v>55</v>
      </c>
      <c r="S41" s="8" t="s">
        <v>22</v>
      </c>
    </row>
    <row r="42" spans="1:19" ht="16" x14ac:dyDescent="0.2">
      <c r="A42" t="s">
        <v>862</v>
      </c>
      <c r="B42" s="3">
        <v>0.2</v>
      </c>
      <c r="C42" s="3">
        <v>-24.5</v>
      </c>
      <c r="D42" s="3">
        <v>0.03</v>
      </c>
      <c r="E42" s="3">
        <v>4.34</v>
      </c>
      <c r="F42" s="3">
        <v>0.185</v>
      </c>
      <c r="G42" s="3">
        <v>-24.524999999999999</v>
      </c>
      <c r="H42" s="3">
        <v>3.5000000000000003E-2</v>
      </c>
      <c r="I42" s="3">
        <v>5.7249999999999996</v>
      </c>
      <c r="J42" t="s">
        <v>968</v>
      </c>
      <c r="K42" t="s">
        <v>737</v>
      </c>
      <c r="L42">
        <v>1475712000</v>
      </c>
      <c r="M42" s="2">
        <v>1.17E-3</v>
      </c>
      <c r="N42">
        <v>100</v>
      </c>
      <c r="O42" s="2">
        <v>1.2454041060000001</v>
      </c>
      <c r="P42" s="8">
        <v>209797.8315</v>
      </c>
      <c r="Q42" s="8">
        <v>368638.50109999999</v>
      </c>
      <c r="R42" s="8" t="s">
        <v>55</v>
      </c>
      <c r="S42" s="8" t="s">
        <v>22</v>
      </c>
    </row>
    <row r="43" spans="1:19" ht="16" x14ac:dyDescent="0.2">
      <c r="A43" t="s">
        <v>863</v>
      </c>
      <c r="B43" s="3">
        <v>1.1499999999999999</v>
      </c>
      <c r="C43" s="3">
        <v>-24.29</v>
      </c>
      <c r="D43" s="3">
        <v>0.14000000000000001</v>
      </c>
      <c r="E43" s="3">
        <v>4.9800000000000004</v>
      </c>
      <c r="F43" s="3">
        <v>1.22</v>
      </c>
      <c r="G43" s="3">
        <v>-24.71</v>
      </c>
      <c r="H43" s="3">
        <v>0.12</v>
      </c>
      <c r="I43" s="3">
        <v>4.5599999999999996</v>
      </c>
      <c r="J43" t="s">
        <v>968</v>
      </c>
      <c r="K43" t="s">
        <v>743</v>
      </c>
      <c r="L43">
        <v>1475712000</v>
      </c>
      <c r="M43" s="2">
        <v>6.0220000000000003E-2</v>
      </c>
      <c r="N43">
        <v>10</v>
      </c>
      <c r="O43" s="2">
        <v>0.94212960300000004</v>
      </c>
      <c r="P43" s="8">
        <v>208970.97630000001</v>
      </c>
      <c r="Q43" s="8">
        <v>368740.52010000002</v>
      </c>
      <c r="R43" s="8" t="s">
        <v>91</v>
      </c>
      <c r="S43" s="8" t="s">
        <v>22</v>
      </c>
    </row>
    <row r="44" spans="1:19" ht="16" x14ac:dyDescent="0.2">
      <c r="A44" t="s">
        <v>864</v>
      </c>
      <c r="B44" s="3">
        <v>1.49</v>
      </c>
      <c r="C44" s="3">
        <v>-24.81</v>
      </c>
      <c r="D44" s="3">
        <v>0.16</v>
      </c>
      <c r="E44" s="3">
        <v>4.9050000000000002</v>
      </c>
      <c r="F44" s="3">
        <v>1.51</v>
      </c>
      <c r="G44" s="3">
        <v>-24.97</v>
      </c>
      <c r="H44" s="3">
        <v>0.14000000000000001</v>
      </c>
      <c r="I44" s="3">
        <v>4.8</v>
      </c>
      <c r="J44" t="s">
        <v>968</v>
      </c>
      <c r="K44" t="s">
        <v>743</v>
      </c>
      <c r="L44">
        <v>1475712000</v>
      </c>
      <c r="M44" s="2">
        <v>4.2439999999999999E-2</v>
      </c>
      <c r="N44">
        <v>20</v>
      </c>
      <c r="O44" s="2">
        <v>1.0948610139999999</v>
      </c>
      <c r="P44" s="8">
        <v>208970.97630000001</v>
      </c>
      <c r="Q44" s="8">
        <v>368740.52010000002</v>
      </c>
      <c r="R44" s="8" t="s">
        <v>91</v>
      </c>
      <c r="S44" s="8" t="s">
        <v>22</v>
      </c>
    </row>
    <row r="45" spans="1:19" ht="16" x14ac:dyDescent="0.2">
      <c r="A45" t="s">
        <v>865</v>
      </c>
      <c r="B45" s="3">
        <v>1.0349999999999999</v>
      </c>
      <c r="C45" s="3">
        <v>-24.414999999999999</v>
      </c>
      <c r="D45" s="3">
        <v>0.12</v>
      </c>
      <c r="E45" s="3">
        <v>5.57</v>
      </c>
      <c r="F45" s="3">
        <v>1.04</v>
      </c>
      <c r="G45" s="3">
        <v>-24.58</v>
      </c>
      <c r="H45" s="3">
        <v>0.1</v>
      </c>
      <c r="I45" s="3">
        <v>4.68</v>
      </c>
      <c r="J45" t="s">
        <v>968</v>
      </c>
      <c r="K45" t="s">
        <v>743</v>
      </c>
      <c r="L45">
        <v>1475712000</v>
      </c>
      <c r="M45" s="2">
        <v>2.9780000000000001E-2</v>
      </c>
      <c r="N45">
        <v>30</v>
      </c>
      <c r="O45" s="2">
        <v>1.3593073099999999</v>
      </c>
      <c r="P45" s="8">
        <v>208970.97630000001</v>
      </c>
      <c r="Q45" s="8">
        <v>368740.52010000002</v>
      </c>
      <c r="R45" s="8" t="s">
        <v>91</v>
      </c>
      <c r="S45" s="8" t="s">
        <v>22</v>
      </c>
    </row>
    <row r="46" spans="1:19" ht="16" x14ac:dyDescent="0.2">
      <c r="A46" t="s">
        <v>866</v>
      </c>
      <c r="B46" s="3">
        <v>0.27500000000000002</v>
      </c>
      <c r="C46" s="3">
        <v>-24.71</v>
      </c>
      <c r="D46" s="3">
        <v>0.06</v>
      </c>
      <c r="E46" s="3">
        <v>3.4449999999999998</v>
      </c>
      <c r="F46" s="3">
        <v>0.255</v>
      </c>
      <c r="G46" s="3">
        <v>-25.06</v>
      </c>
      <c r="H46" s="3">
        <v>0.05</v>
      </c>
      <c r="I46" s="3">
        <v>4.4550000000000001</v>
      </c>
      <c r="J46" t="s">
        <v>968</v>
      </c>
      <c r="K46" t="s">
        <v>743</v>
      </c>
      <c r="L46">
        <v>1475712000</v>
      </c>
      <c r="M46" s="2">
        <v>3.0000000000000001E-3</v>
      </c>
      <c r="N46">
        <v>60</v>
      </c>
      <c r="O46" s="2">
        <v>1.5549825450000001</v>
      </c>
      <c r="P46" s="8">
        <v>208970.97630000001</v>
      </c>
      <c r="Q46" s="8">
        <v>368740.52010000002</v>
      </c>
      <c r="R46" s="8" t="s">
        <v>91</v>
      </c>
      <c r="S46" s="8" t="s">
        <v>22</v>
      </c>
    </row>
    <row r="47" spans="1:19" ht="16" x14ac:dyDescent="0.2">
      <c r="A47" t="s">
        <v>867</v>
      </c>
      <c r="B47" s="3">
        <v>0.12</v>
      </c>
      <c r="C47" s="3">
        <v>-25</v>
      </c>
      <c r="D47" s="3">
        <v>0.04</v>
      </c>
      <c r="E47" s="3">
        <v>2.1949999999999998</v>
      </c>
      <c r="F47" s="3">
        <v>0.12</v>
      </c>
      <c r="G47" s="3">
        <v>-25.87</v>
      </c>
      <c r="H47" s="3">
        <v>7.0000000000000007E-2</v>
      </c>
      <c r="I47" s="3">
        <v>4.9000000000000004</v>
      </c>
      <c r="J47" t="s">
        <v>968</v>
      </c>
      <c r="K47" t="s">
        <v>743</v>
      </c>
      <c r="L47">
        <v>1475712000</v>
      </c>
      <c r="M47" s="2">
        <v>1.72E-3</v>
      </c>
      <c r="N47">
        <v>100</v>
      </c>
      <c r="O47" s="2">
        <v>1.475641252</v>
      </c>
      <c r="P47" s="8">
        <v>208970.97630000001</v>
      </c>
      <c r="Q47" s="8">
        <v>368740.52010000002</v>
      </c>
      <c r="R47" s="8" t="s">
        <v>91</v>
      </c>
      <c r="S47" s="8" t="s">
        <v>22</v>
      </c>
    </row>
    <row r="48" spans="1:19" ht="16" x14ac:dyDescent="0.2">
      <c r="A48" t="s">
        <v>868</v>
      </c>
      <c r="B48" s="3">
        <v>1.46</v>
      </c>
      <c r="C48" s="3">
        <v>-24.41</v>
      </c>
      <c r="D48" s="3">
        <v>0.16</v>
      </c>
      <c r="E48" s="3">
        <v>5.19</v>
      </c>
      <c r="F48" s="3">
        <v>1.48</v>
      </c>
      <c r="G48" s="3">
        <v>-24.42</v>
      </c>
      <c r="H48" s="3">
        <v>0.14000000000000001</v>
      </c>
      <c r="I48" s="3">
        <v>5.1100000000000003</v>
      </c>
      <c r="J48" t="s">
        <v>968</v>
      </c>
      <c r="K48" t="s">
        <v>749</v>
      </c>
      <c r="L48">
        <v>1475712000</v>
      </c>
      <c r="M48" t="e">
        <f>NA()</f>
        <v>#N/A</v>
      </c>
      <c r="N48">
        <v>10</v>
      </c>
      <c r="O48" s="2">
        <v>1.1554378380000001</v>
      </c>
      <c r="P48" s="8">
        <v>209274.8651</v>
      </c>
      <c r="Q48" s="8">
        <v>368851.03860000003</v>
      </c>
      <c r="R48" s="8" t="s">
        <v>125</v>
      </c>
      <c r="S48" s="8" t="s">
        <v>22</v>
      </c>
    </row>
    <row r="49" spans="1:19" ht="16" x14ac:dyDescent="0.2">
      <c r="A49" t="s">
        <v>869</v>
      </c>
      <c r="B49" s="3">
        <v>1.32</v>
      </c>
      <c r="C49" s="3">
        <v>-24.2</v>
      </c>
      <c r="D49" s="3">
        <v>0.15</v>
      </c>
      <c r="E49" s="3">
        <v>5.03</v>
      </c>
      <c r="F49" s="3">
        <v>1.35</v>
      </c>
      <c r="G49" s="3">
        <v>-24.34</v>
      </c>
      <c r="H49" s="3">
        <v>0.13</v>
      </c>
      <c r="I49" s="3">
        <v>4.92</v>
      </c>
      <c r="J49" t="s">
        <v>968</v>
      </c>
      <c r="K49" t="s">
        <v>749</v>
      </c>
      <c r="L49">
        <v>1475712000</v>
      </c>
      <c r="M49" t="e">
        <f>NA()</f>
        <v>#N/A</v>
      </c>
      <c r="N49">
        <v>20</v>
      </c>
      <c r="O49" s="2">
        <v>1.2494443159999999</v>
      </c>
      <c r="P49" s="8">
        <v>209274.8651</v>
      </c>
      <c r="Q49" s="8">
        <v>368851.03860000003</v>
      </c>
      <c r="R49" s="8" t="s">
        <v>125</v>
      </c>
      <c r="S49" s="8" t="s">
        <v>22</v>
      </c>
    </row>
    <row r="50" spans="1:19" ht="16" x14ac:dyDescent="0.2">
      <c r="A50" t="s">
        <v>870</v>
      </c>
      <c r="B50" s="3">
        <v>0.98</v>
      </c>
      <c r="C50" s="3">
        <v>-24.03</v>
      </c>
      <c r="D50" s="3">
        <v>0.11</v>
      </c>
      <c r="E50" s="3">
        <v>5.42</v>
      </c>
      <c r="F50" s="3">
        <v>1.04</v>
      </c>
      <c r="G50" s="3">
        <v>-24.23</v>
      </c>
      <c r="H50" s="3">
        <v>0.1</v>
      </c>
      <c r="I50" s="3">
        <v>5.2350000000000003</v>
      </c>
      <c r="J50" t="s">
        <v>968</v>
      </c>
      <c r="K50" t="s">
        <v>749</v>
      </c>
      <c r="L50">
        <v>1475712000</v>
      </c>
      <c r="M50" t="e">
        <f>NA()</f>
        <v>#N/A</v>
      </c>
      <c r="N50">
        <v>30</v>
      </c>
      <c r="O50" s="2">
        <v>1.4262326190000001</v>
      </c>
      <c r="P50" s="8">
        <v>209274.8651</v>
      </c>
      <c r="Q50" s="8">
        <v>368851.03860000003</v>
      </c>
      <c r="R50" s="8" t="s">
        <v>125</v>
      </c>
      <c r="S50" s="8" t="s">
        <v>22</v>
      </c>
    </row>
    <row r="51" spans="1:19" ht="16" x14ac:dyDescent="0.2">
      <c r="A51" t="s">
        <v>871</v>
      </c>
      <c r="B51" s="3">
        <v>0.38</v>
      </c>
      <c r="C51" s="3">
        <v>-23.86</v>
      </c>
      <c r="D51" s="3">
        <v>0.06</v>
      </c>
      <c r="E51" s="3">
        <v>2.89</v>
      </c>
      <c r="F51" s="3">
        <v>0.34</v>
      </c>
      <c r="G51" s="3">
        <v>-24.14</v>
      </c>
      <c r="H51" s="3">
        <v>0.06</v>
      </c>
      <c r="I51" s="3">
        <v>3.58</v>
      </c>
      <c r="J51" t="s">
        <v>968</v>
      </c>
      <c r="K51" t="s">
        <v>749</v>
      </c>
      <c r="L51">
        <v>1475712000</v>
      </c>
      <c r="M51" t="e">
        <f>NA()</f>
        <v>#N/A</v>
      </c>
      <c r="N51">
        <v>60</v>
      </c>
      <c r="O51" s="2">
        <v>1.2810136560000001</v>
      </c>
      <c r="P51" s="8">
        <v>209274.8651</v>
      </c>
      <c r="Q51" s="8">
        <v>368851.03860000003</v>
      </c>
      <c r="R51" s="8" t="s">
        <v>125</v>
      </c>
      <c r="S51" s="8" t="s">
        <v>22</v>
      </c>
    </row>
    <row r="52" spans="1:19" ht="16" x14ac:dyDescent="0.2">
      <c r="A52" t="s">
        <v>872</v>
      </c>
      <c r="B52" s="3">
        <v>0.23</v>
      </c>
      <c r="C52" s="3">
        <v>-18.149999999999999</v>
      </c>
      <c r="D52" s="3">
        <v>0.04</v>
      </c>
      <c r="E52" s="3">
        <v>2.69</v>
      </c>
      <c r="F52" s="3">
        <v>0.13</v>
      </c>
      <c r="G52" s="3">
        <v>-25.5</v>
      </c>
      <c r="H52" s="3">
        <v>0.06</v>
      </c>
      <c r="I52" s="3">
        <v>3.5350000000000001</v>
      </c>
      <c r="J52" t="s">
        <v>968</v>
      </c>
      <c r="K52" t="s">
        <v>749</v>
      </c>
      <c r="L52">
        <v>1475712000</v>
      </c>
      <c r="M52" t="e">
        <f>NA()</f>
        <v>#N/A</v>
      </c>
      <c r="N52">
        <v>100</v>
      </c>
      <c r="O52" s="2">
        <v>1.239096588</v>
      </c>
      <c r="P52" s="8">
        <v>209274.8651</v>
      </c>
      <c r="Q52" s="8">
        <v>368851.03860000003</v>
      </c>
      <c r="R52" s="8" t="s">
        <v>125</v>
      </c>
      <c r="S52" s="8" t="s">
        <v>22</v>
      </c>
    </row>
    <row r="53" spans="1:19" ht="16" x14ac:dyDescent="0.2">
      <c r="A53" t="s">
        <v>873</v>
      </c>
      <c r="B53" s="3">
        <v>2.19</v>
      </c>
      <c r="C53" s="3">
        <v>-21.45</v>
      </c>
      <c r="D53" s="3">
        <v>0.25</v>
      </c>
      <c r="E53" s="3">
        <v>6.57</v>
      </c>
      <c r="F53" s="3">
        <v>2.37</v>
      </c>
      <c r="G53" s="3">
        <v>-22.44</v>
      </c>
      <c r="H53" s="3">
        <v>0.23</v>
      </c>
      <c r="I53" s="3">
        <v>5.88</v>
      </c>
      <c r="J53" t="s">
        <v>968</v>
      </c>
      <c r="K53" t="s">
        <v>755</v>
      </c>
      <c r="L53">
        <v>1475712000</v>
      </c>
      <c r="M53" s="2">
        <v>0.13594000000000001</v>
      </c>
      <c r="N53">
        <v>10</v>
      </c>
      <c r="O53" s="2">
        <v>1.2931935219999999</v>
      </c>
      <c r="P53" s="8">
        <v>204909.54329999999</v>
      </c>
      <c r="Q53" s="8">
        <v>366099.93910000002</v>
      </c>
      <c r="R53" s="8" t="s">
        <v>159</v>
      </c>
      <c r="S53" s="8" t="s">
        <v>22</v>
      </c>
    </row>
    <row r="54" spans="1:19" ht="16" x14ac:dyDescent="0.2">
      <c r="A54" t="s">
        <v>874</v>
      </c>
      <c r="B54" s="3">
        <v>1.59</v>
      </c>
      <c r="C54" s="3">
        <v>-22.72</v>
      </c>
      <c r="D54" s="3">
        <v>0.19</v>
      </c>
      <c r="E54" s="3">
        <v>7.1</v>
      </c>
      <c r="F54" s="3">
        <v>2.0499999999999998</v>
      </c>
      <c r="G54" s="3">
        <v>-22.63</v>
      </c>
      <c r="H54" s="3">
        <v>0.19500000000000001</v>
      </c>
      <c r="I54" s="3">
        <v>6.2750000000000004</v>
      </c>
      <c r="J54" t="s">
        <v>968</v>
      </c>
      <c r="K54" t="s">
        <v>755</v>
      </c>
      <c r="L54">
        <v>1475712000</v>
      </c>
      <c r="M54" s="2">
        <v>0.10778</v>
      </c>
      <c r="N54">
        <v>20</v>
      </c>
      <c r="O54" s="2">
        <v>1.4302712040000001</v>
      </c>
      <c r="P54" s="8">
        <v>204909.54329999999</v>
      </c>
      <c r="Q54" s="8">
        <v>366099.93910000002</v>
      </c>
      <c r="R54" s="8" t="s">
        <v>159</v>
      </c>
      <c r="S54" s="8" t="s">
        <v>22</v>
      </c>
    </row>
    <row r="55" spans="1:19" ht="16" x14ac:dyDescent="0.2">
      <c r="A55" t="s">
        <v>875</v>
      </c>
      <c r="B55" s="3">
        <v>1.42</v>
      </c>
      <c r="C55" s="3">
        <v>-23.17</v>
      </c>
      <c r="D55" s="3">
        <v>0.17</v>
      </c>
      <c r="E55" s="3">
        <v>6.81</v>
      </c>
      <c r="F55" s="3">
        <v>1.2949999999999999</v>
      </c>
      <c r="G55" s="3">
        <v>-23.14</v>
      </c>
      <c r="H55" s="3">
        <v>0.14000000000000001</v>
      </c>
      <c r="I55" s="3">
        <v>6.12</v>
      </c>
      <c r="J55" t="s">
        <v>968</v>
      </c>
      <c r="K55" t="s">
        <v>755</v>
      </c>
      <c r="L55">
        <v>1475712000</v>
      </c>
      <c r="M55" s="2">
        <v>8.3830000000000002E-2</v>
      </c>
      <c r="N55">
        <v>30</v>
      </c>
      <c r="O55" s="2">
        <v>1.3010289049999999</v>
      </c>
      <c r="P55" s="8">
        <v>204909.54329999999</v>
      </c>
      <c r="Q55" s="8">
        <v>366099.93910000002</v>
      </c>
      <c r="R55" s="8" t="s">
        <v>159</v>
      </c>
      <c r="S55" s="8" t="s">
        <v>22</v>
      </c>
    </row>
    <row r="56" spans="1:19" ht="16" x14ac:dyDescent="0.2">
      <c r="A56" t="s">
        <v>876</v>
      </c>
      <c r="B56" s="3">
        <v>0.65</v>
      </c>
      <c r="C56" s="3">
        <v>-24.285</v>
      </c>
      <c r="D56" s="3">
        <v>0.09</v>
      </c>
      <c r="E56" s="3">
        <v>4.7300000000000004</v>
      </c>
      <c r="F56" s="3">
        <v>0.71</v>
      </c>
      <c r="G56" s="3">
        <v>-24.09</v>
      </c>
      <c r="H56" s="3">
        <v>0.08</v>
      </c>
      <c r="I56" s="3">
        <v>4.22</v>
      </c>
      <c r="J56" t="s">
        <v>968</v>
      </c>
      <c r="K56" t="s">
        <v>755</v>
      </c>
      <c r="L56">
        <v>1475712000</v>
      </c>
      <c r="M56" s="2">
        <v>0.19950000000000001</v>
      </c>
      <c r="N56">
        <v>60</v>
      </c>
      <c r="O56" s="2">
        <v>1.4254783820000001</v>
      </c>
      <c r="P56" s="8">
        <v>204909.54329999999</v>
      </c>
      <c r="Q56" s="8">
        <v>366099.93910000002</v>
      </c>
      <c r="R56" s="8" t="s">
        <v>159</v>
      </c>
      <c r="S56" s="8" t="s">
        <v>22</v>
      </c>
    </row>
    <row r="57" spans="1:19" ht="16" x14ac:dyDescent="0.2">
      <c r="A57" t="s">
        <v>877</v>
      </c>
      <c r="B57" s="3" t="s">
        <v>671</v>
      </c>
      <c r="C57" s="3" t="s">
        <v>671</v>
      </c>
      <c r="D57" s="3">
        <v>4.4999999999999998E-2</v>
      </c>
      <c r="E57" s="3">
        <v>4.49</v>
      </c>
      <c r="F57" s="3">
        <v>0.27</v>
      </c>
      <c r="G57" s="3">
        <v>-24.54</v>
      </c>
      <c r="H57" s="3">
        <v>0.05</v>
      </c>
      <c r="I57" s="3">
        <v>4.5</v>
      </c>
      <c r="J57" t="s">
        <v>968</v>
      </c>
      <c r="K57" t="s">
        <v>755</v>
      </c>
      <c r="L57">
        <v>1475712000</v>
      </c>
      <c r="M57" s="2">
        <v>0.14860999999999999</v>
      </c>
      <c r="N57">
        <v>100</v>
      </c>
      <c r="O57" s="2">
        <v>1.393812029</v>
      </c>
      <c r="P57" s="8">
        <v>204909.54329999999</v>
      </c>
      <c r="Q57" s="8">
        <v>366099.93910000002</v>
      </c>
      <c r="R57" s="8" t="s">
        <v>159</v>
      </c>
      <c r="S57" s="8" t="s">
        <v>22</v>
      </c>
    </row>
    <row r="58" spans="1:19" ht="16" x14ac:dyDescent="0.2">
      <c r="A58" t="s">
        <v>878</v>
      </c>
      <c r="B58" s="3">
        <v>1.47</v>
      </c>
      <c r="C58" s="3">
        <v>-23.585000000000001</v>
      </c>
      <c r="D58" s="3">
        <v>0.15</v>
      </c>
      <c r="E58" s="3">
        <v>5.7850000000000001</v>
      </c>
      <c r="F58" s="3">
        <v>1.57</v>
      </c>
      <c r="G58" s="3">
        <v>-23.95</v>
      </c>
      <c r="H58" s="3">
        <v>0.13</v>
      </c>
      <c r="I58" s="3">
        <v>4.8099999999999996</v>
      </c>
      <c r="J58" t="s">
        <v>968</v>
      </c>
      <c r="K58" t="s">
        <v>761</v>
      </c>
      <c r="L58">
        <v>1475712000</v>
      </c>
      <c r="M58" s="2">
        <v>4.4999999999999997E-3</v>
      </c>
      <c r="N58">
        <v>10</v>
      </c>
      <c r="O58" s="2">
        <v>1.233169977</v>
      </c>
      <c r="P58" s="8">
        <v>206923.5949</v>
      </c>
      <c r="Q58" s="8">
        <v>367496.74829999998</v>
      </c>
      <c r="R58" s="8" t="s">
        <v>21</v>
      </c>
      <c r="S58" s="8" t="s">
        <v>22</v>
      </c>
    </row>
    <row r="59" spans="1:19" ht="16" x14ac:dyDescent="0.2">
      <c r="A59" t="s">
        <v>879</v>
      </c>
      <c r="B59" s="3">
        <v>0.97</v>
      </c>
      <c r="C59" s="3">
        <v>-24.49</v>
      </c>
      <c r="D59" s="3">
        <v>0.11</v>
      </c>
      <c r="E59" s="3">
        <v>5.39</v>
      </c>
      <c r="F59" s="3">
        <v>0.94</v>
      </c>
      <c r="G59" s="3">
        <v>-24.475000000000001</v>
      </c>
      <c r="H59" s="3">
        <v>0.1</v>
      </c>
      <c r="I59" s="3">
        <v>5.47</v>
      </c>
      <c r="J59" t="s">
        <v>968</v>
      </c>
      <c r="K59" t="s">
        <v>761</v>
      </c>
      <c r="L59">
        <v>1475712000</v>
      </c>
      <c r="M59" s="2">
        <v>0</v>
      </c>
      <c r="N59">
        <v>20</v>
      </c>
      <c r="O59" s="2">
        <v>1.3516420039999999</v>
      </c>
      <c r="P59" s="8">
        <v>206923.5949</v>
      </c>
      <c r="Q59" s="8">
        <v>367496.74829999998</v>
      </c>
      <c r="R59" s="8" t="s">
        <v>21</v>
      </c>
      <c r="S59" s="8" t="s">
        <v>22</v>
      </c>
    </row>
    <row r="60" spans="1:19" ht="16" x14ac:dyDescent="0.2">
      <c r="A60" t="s">
        <v>880</v>
      </c>
      <c r="B60" s="3">
        <v>0.5</v>
      </c>
      <c r="C60" s="3">
        <v>-24.06</v>
      </c>
      <c r="D60" s="3">
        <v>7.0000000000000007E-2</v>
      </c>
      <c r="E60" s="3">
        <v>4.9000000000000004</v>
      </c>
      <c r="F60" s="3">
        <v>0.54</v>
      </c>
      <c r="G60" s="3">
        <v>-24.3</v>
      </c>
      <c r="H60" s="3">
        <v>0.06</v>
      </c>
      <c r="I60" s="3">
        <v>4.78</v>
      </c>
      <c r="J60" t="s">
        <v>968</v>
      </c>
      <c r="K60" t="s">
        <v>761</v>
      </c>
      <c r="L60">
        <v>1475712000</v>
      </c>
      <c r="M60" s="2">
        <v>0</v>
      </c>
      <c r="N60">
        <v>30</v>
      </c>
      <c r="O60" s="2">
        <v>1.469464619</v>
      </c>
      <c r="P60" s="8">
        <v>206923.5949</v>
      </c>
      <c r="Q60" s="8">
        <v>367496.74829999998</v>
      </c>
      <c r="R60" s="8" t="s">
        <v>21</v>
      </c>
      <c r="S60" s="8" t="s">
        <v>22</v>
      </c>
    </row>
    <row r="61" spans="1:19" ht="16" x14ac:dyDescent="0.2">
      <c r="A61" t="s">
        <v>881</v>
      </c>
      <c r="B61" s="3">
        <v>0.18</v>
      </c>
      <c r="C61" s="3">
        <v>-23.215</v>
      </c>
      <c r="D61" s="3">
        <v>0.04</v>
      </c>
      <c r="E61" s="3" t="s">
        <v>671</v>
      </c>
      <c r="F61" s="3">
        <v>0.193333333</v>
      </c>
      <c r="G61" s="3">
        <v>-23.41333333</v>
      </c>
      <c r="H61" s="3">
        <v>4.6666667000000002E-2</v>
      </c>
      <c r="I61" s="3">
        <v>3.1866666669999999</v>
      </c>
      <c r="J61" t="s">
        <v>968</v>
      </c>
      <c r="K61" t="s">
        <v>761</v>
      </c>
      <c r="L61">
        <v>1475712000</v>
      </c>
      <c r="M61" s="2">
        <v>0</v>
      </c>
      <c r="N61">
        <v>60</v>
      </c>
      <c r="O61" s="2">
        <v>1.485075484</v>
      </c>
      <c r="P61" s="8">
        <v>206923.5949</v>
      </c>
      <c r="Q61" s="8">
        <v>367496.74829999998</v>
      </c>
      <c r="R61" s="8" t="s">
        <v>21</v>
      </c>
      <c r="S61" s="8" t="s">
        <v>22</v>
      </c>
    </row>
    <row r="62" spans="1:19" ht="16" x14ac:dyDescent="0.2">
      <c r="A62" t="s">
        <v>882</v>
      </c>
      <c r="B62" s="3">
        <v>0.115</v>
      </c>
      <c r="C62" s="3">
        <v>-24.774999999999999</v>
      </c>
      <c r="D62" s="3">
        <v>0.04</v>
      </c>
      <c r="E62" s="3" t="s">
        <v>671</v>
      </c>
      <c r="F62" s="3"/>
      <c r="G62" s="3"/>
      <c r="H62" s="3"/>
      <c r="I62" s="3"/>
      <c r="J62" t="s">
        <v>968</v>
      </c>
      <c r="K62" t="s">
        <v>761</v>
      </c>
      <c r="L62">
        <v>1475712000</v>
      </c>
      <c r="M62" s="2">
        <v>0</v>
      </c>
      <c r="N62">
        <v>100</v>
      </c>
      <c r="O62" s="2">
        <v>1.4439216269999999</v>
      </c>
      <c r="P62" s="8">
        <v>206923.5949</v>
      </c>
      <c r="Q62" s="8">
        <v>367496.74829999998</v>
      </c>
      <c r="R62" s="8" t="s">
        <v>21</v>
      </c>
      <c r="S62" s="8" t="s">
        <v>22</v>
      </c>
    </row>
    <row r="63" spans="1:19" ht="16" x14ac:dyDescent="0.2">
      <c r="A63" t="s">
        <v>883</v>
      </c>
      <c r="B63" s="3">
        <v>3.26</v>
      </c>
      <c r="C63" s="3">
        <v>-27.22</v>
      </c>
      <c r="D63" s="3">
        <v>0.33</v>
      </c>
      <c r="E63" s="3">
        <v>3.69</v>
      </c>
      <c r="F63" s="3">
        <v>2.89</v>
      </c>
      <c r="G63" s="3">
        <v>-26.94</v>
      </c>
      <c r="H63" s="3">
        <v>0.245</v>
      </c>
      <c r="I63" s="3">
        <v>2.71</v>
      </c>
      <c r="J63" t="s">
        <v>968</v>
      </c>
      <c r="K63" t="s">
        <v>767</v>
      </c>
      <c r="L63">
        <v>1476230400</v>
      </c>
      <c r="M63" s="2">
        <v>2.2200000000000002E-3</v>
      </c>
      <c r="N63">
        <v>10</v>
      </c>
      <c r="O63" s="2">
        <v>1.0089477870000001</v>
      </c>
      <c r="P63" s="8">
        <v>207130.2776</v>
      </c>
      <c r="Q63" s="8">
        <v>366996.86820000003</v>
      </c>
      <c r="R63" s="8" t="s">
        <v>219</v>
      </c>
      <c r="S63" s="8" t="s">
        <v>22</v>
      </c>
    </row>
    <row r="64" spans="1:19" ht="16" x14ac:dyDescent="0.2">
      <c r="A64" t="s">
        <v>884</v>
      </c>
      <c r="B64" s="3">
        <v>1.23</v>
      </c>
      <c r="C64" s="3">
        <v>-24.914999999999999</v>
      </c>
      <c r="D64" s="3">
        <v>0.14499999999999999</v>
      </c>
      <c r="E64" s="3">
        <v>6.2750000000000004</v>
      </c>
      <c r="F64" s="3">
        <v>1.29</v>
      </c>
      <c r="G64" s="3">
        <v>-25.05</v>
      </c>
      <c r="H64" s="3">
        <v>0.12</v>
      </c>
      <c r="I64" s="3">
        <v>5.0999999999999996</v>
      </c>
      <c r="J64" t="s">
        <v>968</v>
      </c>
      <c r="K64" t="s">
        <v>767</v>
      </c>
      <c r="L64">
        <v>1476230400</v>
      </c>
      <c r="M64" s="2">
        <v>2.6099999999999999E-3</v>
      </c>
      <c r="N64">
        <v>20</v>
      </c>
      <c r="O64" s="2">
        <v>1.3515329190000001</v>
      </c>
      <c r="P64" s="8">
        <v>207130.2776</v>
      </c>
      <c r="Q64" s="8">
        <v>366996.86820000003</v>
      </c>
      <c r="R64" s="8" t="s">
        <v>219</v>
      </c>
      <c r="S64" s="8" t="s">
        <v>22</v>
      </c>
    </row>
    <row r="65" spans="1:19" ht="16" x14ac:dyDescent="0.2">
      <c r="A65" t="s">
        <v>885</v>
      </c>
      <c r="B65" s="3">
        <v>0.75</v>
      </c>
      <c r="C65" s="3">
        <v>-24.67</v>
      </c>
      <c r="D65" s="3">
        <v>0.1</v>
      </c>
      <c r="E65" s="3">
        <v>5.71</v>
      </c>
      <c r="F65" s="3">
        <v>0.66</v>
      </c>
      <c r="G65" s="3">
        <v>-24.97</v>
      </c>
      <c r="H65" s="3">
        <v>0.08</v>
      </c>
      <c r="I65" s="3">
        <v>4.5599999999999996</v>
      </c>
      <c r="J65" t="s">
        <v>968</v>
      </c>
      <c r="K65" t="s">
        <v>767</v>
      </c>
      <c r="L65">
        <v>1476230400</v>
      </c>
      <c r="M65" s="2">
        <v>6.0000000000000002E-5</v>
      </c>
      <c r="N65">
        <v>30</v>
      </c>
      <c r="O65" s="2">
        <v>1.40812709</v>
      </c>
      <c r="P65" s="8">
        <v>207130.2776</v>
      </c>
      <c r="Q65" s="8">
        <v>366996.86820000003</v>
      </c>
      <c r="R65" s="8" t="s">
        <v>219</v>
      </c>
      <c r="S65" s="8" t="s">
        <v>22</v>
      </c>
    </row>
    <row r="66" spans="1:19" ht="16" x14ac:dyDescent="0.2">
      <c r="A66" t="s">
        <v>886</v>
      </c>
      <c r="B66" s="3">
        <v>0.22</v>
      </c>
      <c r="C66" s="3">
        <v>-24.47</v>
      </c>
      <c r="D66" s="3">
        <v>0.06</v>
      </c>
      <c r="E66" s="3">
        <v>5.1100000000000003</v>
      </c>
      <c r="F66" s="3">
        <v>0.25</v>
      </c>
      <c r="G66" s="3">
        <v>-24.75</v>
      </c>
      <c r="H66" s="3">
        <v>0.06</v>
      </c>
      <c r="I66" s="3">
        <v>1.08</v>
      </c>
      <c r="J66" t="s">
        <v>968</v>
      </c>
      <c r="K66" t="s">
        <v>767</v>
      </c>
      <c r="L66">
        <v>1476230400</v>
      </c>
      <c r="M66" s="2">
        <v>6.0000000000000002E-5</v>
      </c>
      <c r="N66">
        <v>60</v>
      </c>
      <c r="O66" s="2">
        <v>1.4873555839999999</v>
      </c>
      <c r="P66" s="8">
        <v>207130.2776</v>
      </c>
      <c r="Q66" s="8">
        <v>366996.86820000003</v>
      </c>
      <c r="R66" s="8" t="s">
        <v>219</v>
      </c>
      <c r="S66" s="8" t="s">
        <v>22</v>
      </c>
    </row>
    <row r="67" spans="1:19" ht="16" x14ac:dyDescent="0.2">
      <c r="A67" t="s">
        <v>887</v>
      </c>
      <c r="B67" s="3">
        <v>0.155</v>
      </c>
      <c r="C67" s="3">
        <v>-25.274999999999999</v>
      </c>
      <c r="D67" s="3">
        <v>0.05</v>
      </c>
      <c r="E67" s="3">
        <v>2.5499999999999998</v>
      </c>
      <c r="F67" s="3">
        <v>0.16500000000000001</v>
      </c>
      <c r="G67" s="3">
        <v>-25.545000000000002</v>
      </c>
      <c r="H67" s="3">
        <v>0.06</v>
      </c>
      <c r="I67" s="3">
        <v>2.5649999999999999</v>
      </c>
      <c r="J67" t="s">
        <v>968</v>
      </c>
      <c r="K67" t="s">
        <v>767</v>
      </c>
      <c r="L67">
        <v>1476230400</v>
      </c>
      <c r="M67" s="2">
        <v>0</v>
      </c>
      <c r="N67">
        <v>100</v>
      </c>
      <c r="O67" s="2">
        <v>1.411159126</v>
      </c>
      <c r="P67" s="8">
        <v>207130.2776</v>
      </c>
      <c r="Q67" s="8">
        <v>366996.86820000003</v>
      </c>
      <c r="R67" s="8" t="s">
        <v>219</v>
      </c>
      <c r="S67" s="8" t="s">
        <v>22</v>
      </c>
    </row>
    <row r="68" spans="1:19" ht="16" x14ac:dyDescent="0.2">
      <c r="A68" t="s">
        <v>888</v>
      </c>
      <c r="B68" s="3">
        <v>1.45</v>
      </c>
      <c r="C68" s="3">
        <v>-23.76</v>
      </c>
      <c r="D68" s="3">
        <v>0.15</v>
      </c>
      <c r="E68" s="3">
        <v>6.36</v>
      </c>
      <c r="F68" s="3">
        <v>1.345</v>
      </c>
      <c r="G68" s="3">
        <v>-23.954999999999998</v>
      </c>
      <c r="H68" s="3">
        <v>0.13500000000000001</v>
      </c>
      <c r="I68" s="3">
        <v>5.23</v>
      </c>
      <c r="J68" t="s">
        <v>968</v>
      </c>
      <c r="K68" t="s">
        <v>773</v>
      </c>
      <c r="L68">
        <v>1476230400</v>
      </c>
      <c r="M68" s="2">
        <v>2.683E-2</v>
      </c>
      <c r="N68">
        <v>10</v>
      </c>
      <c r="O68" s="2">
        <v>1.0110997500000001</v>
      </c>
      <c r="P68" s="8">
        <v>207422.44510000001</v>
      </c>
      <c r="Q68" s="8">
        <v>366364.82120000001</v>
      </c>
      <c r="R68" s="8" t="s">
        <v>34</v>
      </c>
      <c r="S68" s="8" t="s">
        <v>22</v>
      </c>
    </row>
    <row r="69" spans="1:19" ht="16" x14ac:dyDescent="0.2">
      <c r="A69" t="s">
        <v>889</v>
      </c>
      <c r="B69" s="3">
        <v>1.51</v>
      </c>
      <c r="C69" s="3">
        <v>-23.04</v>
      </c>
      <c r="D69" s="3">
        <v>0.16</v>
      </c>
      <c r="E69" s="3">
        <v>6.02</v>
      </c>
      <c r="F69" s="3">
        <v>1.43</v>
      </c>
      <c r="G69" s="3">
        <v>-23.63</v>
      </c>
      <c r="H69" s="3">
        <v>0.14000000000000001</v>
      </c>
      <c r="I69" s="3">
        <v>5.38</v>
      </c>
      <c r="J69" t="s">
        <v>968</v>
      </c>
      <c r="K69" t="s">
        <v>773</v>
      </c>
      <c r="L69">
        <v>1476230400</v>
      </c>
      <c r="M69" s="2">
        <v>4.4670000000000001E-2</v>
      </c>
      <c r="N69">
        <v>20</v>
      </c>
      <c r="O69" s="2">
        <v>1.1844585299999999</v>
      </c>
      <c r="P69" s="8">
        <v>207422.44510000001</v>
      </c>
      <c r="Q69" s="8">
        <v>366364.82120000001</v>
      </c>
      <c r="R69" s="8" t="s">
        <v>34</v>
      </c>
      <c r="S69" s="8" t="s">
        <v>22</v>
      </c>
    </row>
    <row r="70" spans="1:19" ht="16" x14ac:dyDescent="0.2">
      <c r="A70" t="s">
        <v>890</v>
      </c>
      <c r="B70" s="3">
        <v>0.98499999999999999</v>
      </c>
      <c r="C70" s="3">
        <v>-24.19</v>
      </c>
      <c r="D70" s="3">
        <v>0.16</v>
      </c>
      <c r="E70" s="3">
        <v>4.8499999999999996</v>
      </c>
      <c r="F70" s="3">
        <v>0.93</v>
      </c>
      <c r="G70" s="3">
        <v>-24.4</v>
      </c>
      <c r="H70" s="3">
        <v>0.11</v>
      </c>
      <c r="I70" s="3">
        <v>5.54</v>
      </c>
      <c r="J70" t="s">
        <v>968</v>
      </c>
      <c r="K70" t="s">
        <v>773</v>
      </c>
      <c r="L70">
        <v>1476230400</v>
      </c>
      <c r="M70" s="2">
        <v>4.0390000000000002E-2</v>
      </c>
      <c r="N70">
        <v>30</v>
      </c>
      <c r="O70" s="2">
        <v>1.395021082</v>
      </c>
      <c r="P70" s="8">
        <v>207422.44510000001</v>
      </c>
      <c r="Q70" s="8">
        <v>366364.82120000001</v>
      </c>
      <c r="R70" s="8" t="s">
        <v>34</v>
      </c>
      <c r="S70" s="8" t="s">
        <v>22</v>
      </c>
    </row>
    <row r="71" spans="1:19" ht="16" x14ac:dyDescent="0.2">
      <c r="A71" t="s">
        <v>891</v>
      </c>
      <c r="B71" s="3">
        <v>0.24</v>
      </c>
      <c r="C71" s="3">
        <v>-23.695</v>
      </c>
      <c r="D71" s="3">
        <v>0.05</v>
      </c>
      <c r="E71" s="3">
        <v>4.5350000000000001</v>
      </c>
      <c r="F71" s="3">
        <v>0.23</v>
      </c>
      <c r="G71" s="3">
        <v>-23.56</v>
      </c>
      <c r="H71" s="3">
        <v>0.05</v>
      </c>
      <c r="I71" s="3">
        <v>2.76</v>
      </c>
      <c r="J71" t="s">
        <v>968</v>
      </c>
      <c r="K71" t="s">
        <v>773</v>
      </c>
      <c r="L71">
        <v>1476230400</v>
      </c>
      <c r="M71" s="2">
        <v>6.7000000000000002E-4</v>
      </c>
      <c r="N71">
        <v>60</v>
      </c>
      <c r="O71" s="2">
        <v>1.5274417119999999</v>
      </c>
      <c r="P71" s="8">
        <v>207422.44510000001</v>
      </c>
      <c r="Q71" s="8">
        <v>366364.82120000001</v>
      </c>
      <c r="R71" s="8" t="s">
        <v>34</v>
      </c>
      <c r="S71" s="8" t="s">
        <v>22</v>
      </c>
    </row>
    <row r="72" spans="1:19" ht="16" x14ac:dyDescent="0.2">
      <c r="A72" t="s">
        <v>892</v>
      </c>
      <c r="B72" s="3">
        <v>0.17</v>
      </c>
      <c r="C72" s="3">
        <v>-14.335000000000001</v>
      </c>
      <c r="D72" s="3">
        <v>0.04</v>
      </c>
      <c r="E72" s="3">
        <v>4.0549999999999997</v>
      </c>
      <c r="F72" s="3">
        <v>0.14000000000000001</v>
      </c>
      <c r="G72" s="3">
        <v>-22.13</v>
      </c>
      <c r="H72" s="3">
        <v>0.04</v>
      </c>
      <c r="I72" s="3">
        <v>2.0499999999999998</v>
      </c>
      <c r="J72" t="s">
        <v>968</v>
      </c>
      <c r="K72" t="s">
        <v>773</v>
      </c>
      <c r="L72">
        <v>1476230400</v>
      </c>
      <c r="M72" s="2">
        <v>1.67E-3</v>
      </c>
      <c r="N72">
        <v>100</v>
      </c>
      <c r="O72" s="2">
        <v>1.5162532909999999</v>
      </c>
      <c r="P72" s="8">
        <v>207422.44510000001</v>
      </c>
      <c r="Q72" s="8">
        <v>366364.82120000001</v>
      </c>
      <c r="R72" s="8" t="s">
        <v>34</v>
      </c>
      <c r="S72" s="8" t="s">
        <v>22</v>
      </c>
    </row>
    <row r="73" spans="1:19" ht="16" x14ac:dyDescent="0.2">
      <c r="A73" t="s">
        <v>893</v>
      </c>
      <c r="B73" s="3">
        <v>0.95</v>
      </c>
      <c r="C73" s="3">
        <v>-23.56</v>
      </c>
      <c r="D73" s="3">
        <v>0.11</v>
      </c>
      <c r="E73" s="3">
        <v>5.45</v>
      </c>
      <c r="F73" s="3">
        <v>1.2</v>
      </c>
      <c r="G73" s="3">
        <v>-24.03</v>
      </c>
      <c r="H73" s="3">
        <v>0.1</v>
      </c>
      <c r="I73" s="3">
        <v>3.68</v>
      </c>
      <c r="J73" t="s">
        <v>968</v>
      </c>
      <c r="K73" t="s">
        <v>725</v>
      </c>
      <c r="L73">
        <v>1476230400</v>
      </c>
      <c r="M73" s="2">
        <v>3.5110000000000002E-2</v>
      </c>
      <c r="N73">
        <v>10</v>
      </c>
      <c r="O73" s="2">
        <v>0.89686833799999999</v>
      </c>
      <c r="P73" s="8">
        <v>209868.28159999999</v>
      </c>
      <c r="Q73" s="8">
        <v>370198.27370000002</v>
      </c>
      <c r="R73" s="8" t="s">
        <v>285</v>
      </c>
      <c r="S73" s="8" t="s">
        <v>22</v>
      </c>
    </row>
    <row r="74" spans="1:19" ht="16" x14ac:dyDescent="0.2">
      <c r="A74" t="s">
        <v>894</v>
      </c>
      <c r="B74" s="3">
        <v>1.1599999999999999</v>
      </c>
      <c r="C74" s="3">
        <v>-22.52</v>
      </c>
      <c r="D74" s="3">
        <v>0.13</v>
      </c>
      <c r="E74" s="3">
        <v>5.16</v>
      </c>
      <c r="F74" s="3">
        <v>1.39</v>
      </c>
      <c r="G74" s="3">
        <v>-22.6</v>
      </c>
      <c r="H74" s="3">
        <v>0.12</v>
      </c>
      <c r="I74" s="3">
        <v>3.75</v>
      </c>
      <c r="J74" t="s">
        <v>968</v>
      </c>
      <c r="K74" t="s">
        <v>725</v>
      </c>
      <c r="L74">
        <v>1476230400</v>
      </c>
      <c r="M74" s="2">
        <v>1.506E-2</v>
      </c>
      <c r="N74">
        <v>20</v>
      </c>
      <c r="O74" s="2">
        <v>1.123455452</v>
      </c>
      <c r="P74" s="8">
        <v>209868.28159999999</v>
      </c>
      <c r="Q74" s="8">
        <v>370198.27370000002</v>
      </c>
      <c r="R74" s="8" t="s">
        <v>285</v>
      </c>
      <c r="S74" s="8" t="s">
        <v>22</v>
      </c>
    </row>
    <row r="75" spans="1:19" ht="16" x14ac:dyDescent="0.2">
      <c r="A75" t="s">
        <v>895</v>
      </c>
      <c r="B75" s="3">
        <v>1.115</v>
      </c>
      <c r="C75" s="3">
        <v>-23.114999999999998</v>
      </c>
      <c r="D75" s="3">
        <v>0.115</v>
      </c>
      <c r="E75" s="3">
        <v>5.0149999999999997</v>
      </c>
      <c r="F75" s="3">
        <v>1.02</v>
      </c>
      <c r="G75" s="3">
        <v>-23.1</v>
      </c>
      <c r="H75" s="3">
        <v>0.11</v>
      </c>
      <c r="I75" s="3">
        <v>4.9800000000000004</v>
      </c>
      <c r="J75" t="s">
        <v>968</v>
      </c>
      <c r="K75" t="s">
        <v>725</v>
      </c>
      <c r="L75">
        <v>1476230400</v>
      </c>
      <c r="M75" s="2">
        <v>1.95E-2</v>
      </c>
      <c r="N75">
        <v>30</v>
      </c>
      <c r="O75" s="2">
        <v>1.2478974039999999</v>
      </c>
      <c r="P75" s="8">
        <v>209868.28159999999</v>
      </c>
      <c r="Q75" s="8">
        <v>370198.27370000002</v>
      </c>
      <c r="R75" s="8" t="s">
        <v>285</v>
      </c>
      <c r="S75" s="8" t="s">
        <v>22</v>
      </c>
    </row>
    <row r="76" spans="1:19" ht="16" x14ac:dyDescent="0.2">
      <c r="A76" t="s">
        <v>896</v>
      </c>
      <c r="B76" s="3">
        <v>0.28999999999999998</v>
      </c>
      <c r="C76" s="3">
        <v>-23.14</v>
      </c>
      <c r="D76" s="3">
        <v>0.04</v>
      </c>
      <c r="E76" s="3">
        <v>6.84</v>
      </c>
      <c r="F76" s="3">
        <v>0.33</v>
      </c>
      <c r="G76" s="3">
        <v>-23.13</v>
      </c>
      <c r="H76" s="3">
        <v>0.04</v>
      </c>
      <c r="I76" s="3">
        <v>2.2400000000000002</v>
      </c>
      <c r="J76" t="s">
        <v>968</v>
      </c>
      <c r="K76" t="s">
        <v>725</v>
      </c>
      <c r="L76">
        <v>1476230400</v>
      </c>
      <c r="M76" s="2">
        <v>2.461E-2</v>
      </c>
      <c r="N76">
        <v>60</v>
      </c>
      <c r="O76" s="2">
        <v>1.5064765870000001</v>
      </c>
      <c r="P76" s="8">
        <v>209868.28159999999</v>
      </c>
      <c r="Q76" s="8">
        <v>370198.27370000002</v>
      </c>
      <c r="R76" s="8" t="s">
        <v>285</v>
      </c>
      <c r="S76" s="8" t="s">
        <v>22</v>
      </c>
    </row>
    <row r="77" spans="1:19" ht="16" x14ac:dyDescent="0.2">
      <c r="A77" t="s">
        <v>897</v>
      </c>
      <c r="B77" s="3">
        <v>0.11</v>
      </c>
      <c r="C77" s="3">
        <v>-24.74</v>
      </c>
      <c r="D77" s="3">
        <v>0.03</v>
      </c>
      <c r="E77" s="3">
        <v>4.33</v>
      </c>
      <c r="F77" s="3">
        <v>0.09</v>
      </c>
      <c r="G77" s="3">
        <v>-24.38</v>
      </c>
      <c r="H77" s="3">
        <v>0.03</v>
      </c>
      <c r="I77" s="3">
        <v>5.32</v>
      </c>
      <c r="J77" t="s">
        <v>968</v>
      </c>
      <c r="K77" t="s">
        <v>725</v>
      </c>
      <c r="L77">
        <v>1476230400</v>
      </c>
      <c r="M77" s="2">
        <v>3.2799999999999999E-3</v>
      </c>
      <c r="N77">
        <v>100</v>
      </c>
      <c r="O77" s="2">
        <v>1.522237711</v>
      </c>
      <c r="P77" s="8">
        <v>209868.28159999999</v>
      </c>
      <c r="Q77" s="8">
        <v>370198.27370000002</v>
      </c>
      <c r="R77" s="8" t="s">
        <v>285</v>
      </c>
      <c r="S77" s="8" t="s">
        <v>22</v>
      </c>
    </row>
    <row r="78" spans="1:19" ht="16" x14ac:dyDescent="0.2">
      <c r="A78" t="s">
        <v>898</v>
      </c>
      <c r="B78" s="3">
        <v>1</v>
      </c>
      <c r="C78" s="3">
        <v>-21.58</v>
      </c>
      <c r="D78" s="3">
        <v>0.1</v>
      </c>
      <c r="E78" s="3">
        <v>3.88</v>
      </c>
      <c r="F78" s="3">
        <v>0.88500000000000001</v>
      </c>
      <c r="G78" s="3">
        <v>-21.28</v>
      </c>
      <c r="H78" s="3">
        <v>0.09</v>
      </c>
      <c r="I78" s="3">
        <v>3.87</v>
      </c>
      <c r="J78" t="s">
        <v>968</v>
      </c>
      <c r="K78" t="s">
        <v>731</v>
      </c>
      <c r="L78">
        <v>1476230400</v>
      </c>
      <c r="M78" s="2">
        <v>3.2799999999999999E-3</v>
      </c>
      <c r="N78">
        <v>10</v>
      </c>
      <c r="O78" s="2">
        <v>1.060168056</v>
      </c>
      <c r="P78" s="8">
        <v>208112.63140000001</v>
      </c>
      <c r="Q78" s="8">
        <v>365496.48340000003</v>
      </c>
      <c r="R78" s="8" t="s">
        <v>623</v>
      </c>
      <c r="S78" s="8" t="s">
        <v>22</v>
      </c>
    </row>
    <row r="79" spans="1:19" ht="16" x14ac:dyDescent="0.2">
      <c r="A79" t="s">
        <v>899</v>
      </c>
      <c r="B79" s="3">
        <v>0.90500000000000003</v>
      </c>
      <c r="C79" s="3">
        <v>-21.405000000000001</v>
      </c>
      <c r="D79" s="3">
        <v>9.5000000000000001E-2</v>
      </c>
      <c r="E79" s="3">
        <v>4.5650000000000004</v>
      </c>
      <c r="F79" s="3">
        <v>0.77</v>
      </c>
      <c r="G79" s="3">
        <v>-21.44</v>
      </c>
      <c r="H79" s="3">
        <v>0.08</v>
      </c>
      <c r="I79" s="3">
        <v>4.1399999999999997</v>
      </c>
      <c r="J79" t="s">
        <v>968</v>
      </c>
      <c r="K79" t="s">
        <v>731</v>
      </c>
      <c r="L79">
        <v>1476230400</v>
      </c>
      <c r="M79" s="2">
        <v>3.2200000000000002E-3</v>
      </c>
      <c r="N79">
        <v>20</v>
      </c>
      <c r="O79" s="2">
        <v>1.2800391739999999</v>
      </c>
      <c r="P79" s="8">
        <v>208112.63140000001</v>
      </c>
      <c r="Q79" s="8">
        <v>365496.48340000003</v>
      </c>
      <c r="R79" s="8" t="s">
        <v>623</v>
      </c>
      <c r="S79" s="8" t="s">
        <v>22</v>
      </c>
    </row>
    <row r="80" spans="1:19" ht="16" x14ac:dyDescent="0.2">
      <c r="A80" t="s">
        <v>900</v>
      </c>
      <c r="B80" s="3">
        <v>0.63</v>
      </c>
      <c r="C80" s="3">
        <v>-22.33</v>
      </c>
      <c r="D80" s="3">
        <v>7.0000000000000007E-2</v>
      </c>
      <c r="E80" s="3">
        <v>4.28</v>
      </c>
      <c r="F80" s="3">
        <v>0.56999999999999995</v>
      </c>
      <c r="G80" s="3">
        <v>-22.66</v>
      </c>
      <c r="H80" s="3">
        <v>7.0000000000000007E-2</v>
      </c>
      <c r="I80" s="3">
        <v>5.4</v>
      </c>
      <c r="J80" t="s">
        <v>968</v>
      </c>
      <c r="K80" t="s">
        <v>731</v>
      </c>
      <c r="L80">
        <v>1476230400</v>
      </c>
      <c r="M80" s="2">
        <v>5.8300000000000001E-3</v>
      </c>
      <c r="N80">
        <v>30</v>
      </c>
      <c r="O80" s="2">
        <v>1.388866368</v>
      </c>
      <c r="P80" s="8">
        <v>208112.63140000001</v>
      </c>
      <c r="Q80" s="8">
        <v>365496.48340000003</v>
      </c>
      <c r="R80" s="8" t="s">
        <v>623</v>
      </c>
      <c r="S80" s="8" t="s">
        <v>22</v>
      </c>
    </row>
    <row r="81" spans="1:19" ht="16" x14ac:dyDescent="0.2">
      <c r="A81" t="s">
        <v>901</v>
      </c>
      <c r="B81" s="3">
        <v>0.28999999999999998</v>
      </c>
      <c r="C81" s="3">
        <v>-22.33</v>
      </c>
      <c r="D81" s="3">
        <v>4.4999999999999998E-2</v>
      </c>
      <c r="E81" s="3">
        <v>4.6950000000000003</v>
      </c>
      <c r="F81" s="3">
        <v>0.26250000000000001</v>
      </c>
      <c r="G81" s="3">
        <v>-22.69</v>
      </c>
      <c r="H81" s="3">
        <v>4.4999999999999998E-2</v>
      </c>
      <c r="I81" s="3">
        <v>5.415</v>
      </c>
      <c r="J81" t="s">
        <v>968</v>
      </c>
      <c r="K81" t="s">
        <v>731</v>
      </c>
      <c r="L81">
        <v>1476230400</v>
      </c>
      <c r="M81" s="2">
        <v>7.6699999999999997E-3</v>
      </c>
      <c r="N81">
        <v>60</v>
      </c>
      <c r="O81" s="2">
        <v>1.4605812920000001</v>
      </c>
      <c r="P81" s="8">
        <v>208112.63140000001</v>
      </c>
      <c r="Q81" s="8">
        <v>365496.48340000003</v>
      </c>
      <c r="R81" s="8" t="s">
        <v>623</v>
      </c>
      <c r="S81" s="8" t="s">
        <v>22</v>
      </c>
    </row>
    <row r="82" spans="1:19" ht="16" x14ac:dyDescent="0.2">
      <c r="A82" t="s">
        <v>902</v>
      </c>
      <c r="B82" s="3">
        <v>0.12</v>
      </c>
      <c r="C82" s="3">
        <v>-23</v>
      </c>
      <c r="D82" s="3">
        <v>0.03</v>
      </c>
      <c r="E82" s="3">
        <v>2.13</v>
      </c>
      <c r="F82" s="3">
        <v>0.16</v>
      </c>
      <c r="G82" s="3">
        <v>-24.96</v>
      </c>
      <c r="H82" s="3">
        <v>0.03</v>
      </c>
      <c r="I82" s="3">
        <v>2.0499999999999998</v>
      </c>
      <c r="J82" t="s">
        <v>968</v>
      </c>
      <c r="K82" t="s">
        <v>731</v>
      </c>
      <c r="L82">
        <v>1476230400</v>
      </c>
      <c r="M82" s="2">
        <v>5.8900000000000003E-3</v>
      </c>
      <c r="N82">
        <v>100</v>
      </c>
      <c r="O82" s="2">
        <v>1.383937016</v>
      </c>
      <c r="P82" s="8">
        <v>208112.63140000001</v>
      </c>
      <c r="Q82" s="8">
        <v>365496.48340000003</v>
      </c>
      <c r="R82" s="8" t="s">
        <v>623</v>
      </c>
      <c r="S82" s="8" t="s">
        <v>22</v>
      </c>
    </row>
    <row r="83" spans="1:19" x14ac:dyDescent="0.2">
      <c r="O8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4E17-3800-439E-928B-48D357D224D2}">
  <dimension ref="A1:S90"/>
  <sheetViews>
    <sheetView workbookViewId="0">
      <pane xSplit="1" topLeftCell="B1" activePane="topRight" state="frozen"/>
      <selection pane="topRight" activeCell="S2" sqref="S2"/>
    </sheetView>
  </sheetViews>
  <sheetFormatPr baseColWidth="10" defaultColWidth="8.83203125" defaultRowHeight="15" x14ac:dyDescent="0.2"/>
  <cols>
    <col min="1" max="1" width="17" customWidth="1"/>
    <col min="2" max="2" width="46" customWidth="1"/>
    <col min="3" max="3" width="24" customWidth="1"/>
    <col min="4" max="4" width="22.6640625" customWidth="1"/>
    <col min="5" max="5" width="20.5" customWidth="1"/>
    <col min="6" max="6" width="41.6640625" bestFit="1" customWidth="1"/>
    <col min="7" max="8" width="29.5" customWidth="1"/>
    <col min="9" max="9" width="30.5" customWidth="1"/>
    <col min="12" max="12" width="25.83203125" bestFit="1" customWidth="1"/>
    <col min="13" max="13" width="19.6640625" customWidth="1"/>
    <col min="14" max="14" width="80.5" bestFit="1" customWidth="1"/>
    <col min="15" max="15" width="43.6640625" customWidth="1"/>
    <col min="16" max="16" width="34.1640625" customWidth="1"/>
    <col min="17" max="17" width="33.83203125" customWidth="1"/>
    <col min="18" max="18" width="36.6640625" customWidth="1"/>
    <col min="19" max="19" width="59.5" customWidth="1"/>
  </cols>
  <sheetData>
    <row r="1" spans="1:19" x14ac:dyDescent="0.2">
      <c r="A1" t="s">
        <v>0</v>
      </c>
      <c r="B1" t="s">
        <v>959</v>
      </c>
      <c r="C1" t="s">
        <v>960</v>
      </c>
      <c r="D1" t="s">
        <v>961</v>
      </c>
      <c r="E1" t="s">
        <v>962</v>
      </c>
      <c r="F1" t="s">
        <v>13</v>
      </c>
      <c r="G1" t="s">
        <v>14</v>
      </c>
      <c r="H1" t="s">
        <v>15</v>
      </c>
      <c r="I1" t="s">
        <v>16</v>
      </c>
      <c r="J1" t="s">
        <v>963</v>
      </c>
      <c r="K1" t="s">
        <v>18</v>
      </c>
      <c r="L1" t="s">
        <v>964</v>
      </c>
      <c r="M1" t="s">
        <v>974</v>
      </c>
      <c r="N1" t="s">
        <v>967</v>
      </c>
      <c r="O1" t="s">
        <v>4</v>
      </c>
      <c r="P1" t="s">
        <v>5</v>
      </c>
      <c r="Q1" t="s">
        <v>6</v>
      </c>
      <c r="R1" t="s">
        <v>7</v>
      </c>
      <c r="S1" t="s">
        <v>19</v>
      </c>
    </row>
    <row r="2" spans="1:19" ht="48" x14ac:dyDescent="0.2">
      <c r="A2" t="s">
        <v>724</v>
      </c>
      <c r="B2" s="3">
        <v>1.36</v>
      </c>
      <c r="C2" s="3">
        <v>-23.425000000000001</v>
      </c>
      <c r="D2" s="3">
        <v>0.16500000000000001</v>
      </c>
      <c r="E2" s="3">
        <v>5.2450000000000001</v>
      </c>
      <c r="F2" s="3">
        <v>1.29</v>
      </c>
      <c r="G2" s="3">
        <v>-23.97</v>
      </c>
      <c r="H2" s="3">
        <v>0.14000000000000001</v>
      </c>
      <c r="I2" s="3">
        <v>5.12</v>
      </c>
      <c r="J2" t="s">
        <v>968</v>
      </c>
      <c r="K2" t="s">
        <v>725</v>
      </c>
      <c r="L2">
        <v>1510185600</v>
      </c>
      <c r="M2">
        <v>10</v>
      </c>
      <c r="N2" s="2">
        <v>1.315844265</v>
      </c>
      <c r="O2" s="8">
        <v>209868.28159999999</v>
      </c>
      <c r="P2" s="8">
        <v>370198.27370000002</v>
      </c>
      <c r="Q2" s="8" t="s">
        <v>285</v>
      </c>
      <c r="R2" s="8" t="s">
        <v>22</v>
      </c>
      <c r="S2" s="5" t="s">
        <v>975</v>
      </c>
    </row>
    <row r="3" spans="1:19" ht="16" x14ac:dyDescent="0.2">
      <c r="A3" t="s">
        <v>726</v>
      </c>
      <c r="B3" s="3">
        <v>1.0900000000000001</v>
      </c>
      <c r="C3" s="3">
        <v>-22.98</v>
      </c>
      <c r="D3" s="3">
        <v>0.13</v>
      </c>
      <c r="E3" s="3">
        <v>5.47</v>
      </c>
      <c r="F3" s="3">
        <v>1.0249999999999999</v>
      </c>
      <c r="G3" s="3">
        <v>-23.254999999999999</v>
      </c>
      <c r="H3" s="3">
        <v>0.12</v>
      </c>
      <c r="I3" s="3">
        <v>4.7750000000000004</v>
      </c>
      <c r="J3" t="s">
        <v>968</v>
      </c>
      <c r="K3" t="s">
        <v>725</v>
      </c>
      <c r="L3">
        <v>1510185600</v>
      </c>
      <c r="M3">
        <v>20</v>
      </c>
      <c r="N3" s="2">
        <v>1.189088903</v>
      </c>
      <c r="O3" s="8">
        <v>209868.28159999999</v>
      </c>
      <c r="P3" s="8">
        <v>370198.27370000002</v>
      </c>
      <c r="Q3" s="8" t="s">
        <v>285</v>
      </c>
      <c r="R3" s="8" t="s">
        <v>22</v>
      </c>
    </row>
    <row r="4" spans="1:19" ht="16" x14ac:dyDescent="0.2">
      <c r="A4" t="s">
        <v>727</v>
      </c>
      <c r="B4" s="3">
        <v>0.65</v>
      </c>
      <c r="C4" s="3">
        <v>-23.39</v>
      </c>
      <c r="D4" s="3">
        <v>0.08</v>
      </c>
      <c r="E4" s="3">
        <v>5.9</v>
      </c>
      <c r="F4" s="3">
        <v>0.7</v>
      </c>
      <c r="G4" s="3">
        <v>-23.81</v>
      </c>
      <c r="H4" s="3">
        <v>0.09</v>
      </c>
      <c r="I4" s="3">
        <v>5.59</v>
      </c>
      <c r="J4" t="s">
        <v>968</v>
      </c>
      <c r="K4" t="s">
        <v>725</v>
      </c>
      <c r="L4">
        <v>1510185600</v>
      </c>
      <c r="M4">
        <v>30</v>
      </c>
      <c r="N4" s="2">
        <v>1.468727412</v>
      </c>
      <c r="O4" s="8">
        <v>209868.28159999999</v>
      </c>
      <c r="P4" s="8">
        <v>370198.27370000002</v>
      </c>
      <c r="Q4" s="8" t="s">
        <v>285</v>
      </c>
      <c r="R4" s="8" t="s">
        <v>22</v>
      </c>
    </row>
    <row r="5" spans="1:19" ht="16" x14ac:dyDescent="0.2">
      <c r="A5" t="s">
        <v>728</v>
      </c>
      <c r="B5" s="3">
        <v>0.23499999999999999</v>
      </c>
      <c r="C5" s="3">
        <v>-22.83</v>
      </c>
      <c r="D5" s="3">
        <v>0.05</v>
      </c>
      <c r="E5" s="3">
        <v>6.0149999999999997</v>
      </c>
      <c r="F5" s="3">
        <v>0.23</v>
      </c>
      <c r="G5" s="3">
        <v>-23.35</v>
      </c>
      <c r="H5" s="3">
        <v>0.04</v>
      </c>
      <c r="I5" s="3">
        <v>4.3600000000000003</v>
      </c>
      <c r="J5" t="s">
        <v>968</v>
      </c>
      <c r="K5" t="s">
        <v>725</v>
      </c>
      <c r="L5">
        <v>1510185600</v>
      </c>
      <c r="M5">
        <v>60</v>
      </c>
      <c r="N5" s="2">
        <v>1.52220803</v>
      </c>
      <c r="O5" s="8">
        <v>209868.28159999999</v>
      </c>
      <c r="P5" s="8">
        <v>370198.27370000002</v>
      </c>
      <c r="Q5" s="8" t="s">
        <v>285</v>
      </c>
      <c r="R5" s="8" t="s">
        <v>22</v>
      </c>
    </row>
    <row r="6" spans="1:19" ht="16" x14ac:dyDescent="0.2">
      <c r="A6" t="s">
        <v>729</v>
      </c>
      <c r="B6" s="3">
        <v>0.09</v>
      </c>
      <c r="C6" s="3">
        <v>-23.33</v>
      </c>
      <c r="D6" s="3">
        <v>0.03</v>
      </c>
      <c r="E6" s="3">
        <v>4.88</v>
      </c>
      <c r="F6" s="3">
        <v>0.1</v>
      </c>
      <c r="G6" s="3" t="s">
        <v>671</v>
      </c>
      <c r="H6" s="3">
        <v>3.3333333E-2</v>
      </c>
      <c r="I6" s="3">
        <v>3.503333333</v>
      </c>
      <c r="J6" t="s">
        <v>968</v>
      </c>
      <c r="K6" t="s">
        <v>725</v>
      </c>
      <c r="L6">
        <v>1510185600</v>
      </c>
      <c r="M6">
        <v>100</v>
      </c>
      <c r="N6" s="2">
        <v>1.526876034</v>
      </c>
      <c r="O6" s="8">
        <v>209868.28159999999</v>
      </c>
      <c r="P6" s="8">
        <v>370198.27370000002</v>
      </c>
      <c r="Q6" s="8" t="s">
        <v>285</v>
      </c>
      <c r="R6" s="8" t="s">
        <v>22</v>
      </c>
    </row>
    <row r="7" spans="1:19" ht="16" x14ac:dyDescent="0.2">
      <c r="A7" t="s">
        <v>730</v>
      </c>
      <c r="B7" s="3">
        <v>0.87</v>
      </c>
      <c r="C7" s="3">
        <v>-21.84</v>
      </c>
      <c r="D7" s="3">
        <v>0.11</v>
      </c>
      <c r="E7" s="3">
        <v>5.52</v>
      </c>
      <c r="F7" s="3">
        <v>0.82</v>
      </c>
      <c r="G7" s="3">
        <v>-22.59</v>
      </c>
      <c r="H7" s="3">
        <v>0.09</v>
      </c>
      <c r="I7" s="3">
        <v>5.34</v>
      </c>
      <c r="J7" t="s">
        <v>968</v>
      </c>
      <c r="K7" t="s">
        <v>731</v>
      </c>
      <c r="L7">
        <v>1510185600</v>
      </c>
      <c r="M7">
        <v>10</v>
      </c>
      <c r="N7" s="2">
        <v>1.5091362779999999</v>
      </c>
      <c r="O7" s="8">
        <v>208112.63140000001</v>
      </c>
      <c r="P7" s="8">
        <v>365496.48340000003</v>
      </c>
      <c r="Q7" s="8" t="s">
        <v>623</v>
      </c>
      <c r="R7" s="8" t="s">
        <v>22</v>
      </c>
    </row>
    <row r="8" spans="1:19" ht="16" x14ac:dyDescent="0.2">
      <c r="A8" t="s">
        <v>732</v>
      </c>
      <c r="B8" s="3">
        <v>0.69</v>
      </c>
      <c r="C8" s="3">
        <v>-22.43</v>
      </c>
      <c r="D8" s="3">
        <v>0.09</v>
      </c>
      <c r="E8" s="3">
        <v>5.415</v>
      </c>
      <c r="F8" s="3">
        <v>0.74</v>
      </c>
      <c r="G8" s="3">
        <v>-22.84</v>
      </c>
      <c r="H8" s="3">
        <v>0.09</v>
      </c>
      <c r="I8" s="3">
        <v>4.8600000000000003</v>
      </c>
      <c r="J8" t="s">
        <v>968</v>
      </c>
      <c r="K8" t="s">
        <v>731</v>
      </c>
      <c r="L8">
        <v>1510185600</v>
      </c>
      <c r="M8">
        <v>20</v>
      </c>
      <c r="N8" s="2">
        <v>1.5806476220000001</v>
      </c>
      <c r="O8" s="8">
        <v>208112.63140000001</v>
      </c>
      <c r="P8" s="8">
        <v>365496.48340000003</v>
      </c>
      <c r="Q8" s="8" t="s">
        <v>623</v>
      </c>
      <c r="R8" s="8" t="s">
        <v>22</v>
      </c>
    </row>
    <row r="9" spans="1:19" ht="16" x14ac:dyDescent="0.2">
      <c r="A9" t="s">
        <v>733</v>
      </c>
      <c r="B9" s="3">
        <v>0.56000000000000005</v>
      </c>
      <c r="C9" s="3">
        <v>-22.9</v>
      </c>
      <c r="D9" s="3">
        <v>7.0000000000000007E-2</v>
      </c>
      <c r="E9" s="3">
        <v>5.79</v>
      </c>
      <c r="F9" s="3">
        <v>0.54</v>
      </c>
      <c r="G9" s="3">
        <v>-23.184999999999999</v>
      </c>
      <c r="H9" s="3">
        <v>7.0000000000000007E-2</v>
      </c>
      <c r="I9" s="3">
        <v>4.8899999999999997</v>
      </c>
      <c r="J9" t="s">
        <v>968</v>
      </c>
      <c r="K9" t="s">
        <v>731</v>
      </c>
      <c r="L9">
        <v>1510185600</v>
      </c>
      <c r="M9">
        <v>30</v>
      </c>
      <c r="N9" s="2">
        <v>1.3615814799999999</v>
      </c>
      <c r="O9" s="8">
        <v>208112.63140000001</v>
      </c>
      <c r="P9" s="8">
        <v>365496.48340000003</v>
      </c>
      <c r="Q9" s="8" t="s">
        <v>623</v>
      </c>
      <c r="R9" s="8" t="s">
        <v>22</v>
      </c>
    </row>
    <row r="10" spans="1:19" ht="16" x14ac:dyDescent="0.2">
      <c r="A10" t="s">
        <v>734</v>
      </c>
      <c r="B10" s="3">
        <v>0.18</v>
      </c>
      <c r="C10" s="3">
        <v>-22.4</v>
      </c>
      <c r="D10" s="3">
        <v>0.04</v>
      </c>
      <c r="E10" s="3">
        <v>5.16</v>
      </c>
      <c r="F10" s="3">
        <v>0.19</v>
      </c>
      <c r="G10" s="3">
        <v>-22.79</v>
      </c>
      <c r="H10" s="3">
        <v>0.04</v>
      </c>
      <c r="I10" s="3">
        <v>4.29</v>
      </c>
      <c r="J10" t="s">
        <v>968</v>
      </c>
      <c r="K10" t="s">
        <v>731</v>
      </c>
      <c r="L10">
        <v>1510185600</v>
      </c>
      <c r="M10">
        <v>60</v>
      </c>
      <c r="N10" s="2">
        <v>1.541609191</v>
      </c>
      <c r="O10" s="8">
        <v>208112.63140000001</v>
      </c>
      <c r="P10" s="8">
        <v>365496.48340000003</v>
      </c>
      <c r="Q10" s="8" t="s">
        <v>623</v>
      </c>
      <c r="R10" s="8" t="s">
        <v>22</v>
      </c>
    </row>
    <row r="11" spans="1:19" ht="16" x14ac:dyDescent="0.2">
      <c r="A11" t="s">
        <v>735</v>
      </c>
      <c r="B11" s="3">
        <v>0.125</v>
      </c>
      <c r="C11" s="3">
        <v>-23.675000000000001</v>
      </c>
      <c r="D11" s="3">
        <v>0.04</v>
      </c>
      <c r="E11" s="3">
        <v>4.3949999999999996</v>
      </c>
      <c r="F11" s="3">
        <v>0.15</v>
      </c>
      <c r="G11" s="3">
        <v>-24.35</v>
      </c>
      <c r="H11" s="3">
        <v>0.03</v>
      </c>
      <c r="I11" s="3">
        <v>2.29</v>
      </c>
      <c r="J11" t="s">
        <v>968</v>
      </c>
      <c r="K11" t="s">
        <v>731</v>
      </c>
      <c r="L11">
        <v>1510185600</v>
      </c>
      <c r="M11">
        <v>100</v>
      </c>
      <c r="N11" s="2">
        <v>1.512330795</v>
      </c>
      <c r="O11" s="8">
        <v>208112.63140000001</v>
      </c>
      <c r="P11" s="8">
        <v>365496.48340000003</v>
      </c>
      <c r="Q11" s="8" t="s">
        <v>623</v>
      </c>
      <c r="R11" s="8" t="s">
        <v>22</v>
      </c>
    </row>
    <row r="12" spans="1:19" ht="16" x14ac:dyDescent="0.2">
      <c r="A12" t="s">
        <v>736</v>
      </c>
      <c r="B12" s="3">
        <v>1.335</v>
      </c>
      <c r="C12" s="3">
        <v>-25.465</v>
      </c>
      <c r="D12" s="3">
        <v>0.155</v>
      </c>
      <c r="E12" s="3">
        <v>5.125</v>
      </c>
      <c r="F12" s="3">
        <v>1.575</v>
      </c>
      <c r="G12" s="3">
        <v>-25.86</v>
      </c>
      <c r="H12" s="3">
        <v>0.14499999999999999</v>
      </c>
      <c r="I12" s="3">
        <v>4.21</v>
      </c>
      <c r="J12" t="s">
        <v>968</v>
      </c>
      <c r="K12" t="s">
        <v>737</v>
      </c>
      <c r="L12">
        <v>1495497600</v>
      </c>
      <c r="M12">
        <v>10</v>
      </c>
      <c r="N12" s="2">
        <v>1.1235327690000001</v>
      </c>
      <c r="O12" s="8">
        <v>209797.8315</v>
      </c>
      <c r="P12" s="8">
        <v>368638.50109999999</v>
      </c>
      <c r="Q12" s="8" t="s">
        <v>55</v>
      </c>
      <c r="R12" s="8" t="s">
        <v>22</v>
      </c>
    </row>
    <row r="13" spans="1:19" ht="16" x14ac:dyDescent="0.2">
      <c r="A13" t="s">
        <v>738</v>
      </c>
      <c r="B13" s="3">
        <v>0.98</v>
      </c>
      <c r="C13" s="3">
        <v>-25.24</v>
      </c>
      <c r="D13" s="3">
        <v>0.13</v>
      </c>
      <c r="E13" s="3">
        <v>6.61</v>
      </c>
      <c r="F13" s="3">
        <v>2.44</v>
      </c>
      <c r="G13" s="3">
        <v>-25.85</v>
      </c>
      <c r="H13" s="3">
        <v>0.13</v>
      </c>
      <c r="I13" s="3">
        <v>4.42</v>
      </c>
      <c r="J13" t="s">
        <v>968</v>
      </c>
      <c r="K13" t="s">
        <v>737</v>
      </c>
      <c r="L13">
        <v>1495497600</v>
      </c>
      <c r="M13">
        <v>20</v>
      </c>
      <c r="N13" s="2">
        <v>1.1850985679999999</v>
      </c>
      <c r="O13" s="8">
        <v>209797.8315</v>
      </c>
      <c r="P13" s="8">
        <v>368638.50109999999</v>
      </c>
      <c r="Q13" s="8" t="s">
        <v>55</v>
      </c>
      <c r="R13" s="8" t="s">
        <v>22</v>
      </c>
    </row>
    <row r="14" spans="1:19" ht="16" x14ac:dyDescent="0.2">
      <c r="A14" t="s">
        <v>739</v>
      </c>
      <c r="B14" s="3">
        <v>0.72499999999999998</v>
      </c>
      <c r="C14" s="3">
        <v>-25.23</v>
      </c>
      <c r="D14" s="3">
        <v>0.105</v>
      </c>
      <c r="E14" s="3">
        <v>6.9950000000000001</v>
      </c>
      <c r="F14" s="3">
        <v>1.41</v>
      </c>
      <c r="G14" s="3">
        <v>-25.39</v>
      </c>
      <c r="H14" s="3">
        <v>0.1</v>
      </c>
      <c r="I14" s="3">
        <v>4.45</v>
      </c>
      <c r="J14" t="s">
        <v>968</v>
      </c>
      <c r="K14" t="s">
        <v>737</v>
      </c>
      <c r="L14">
        <v>1495497600</v>
      </c>
      <c r="M14">
        <v>30</v>
      </c>
      <c r="N14" s="2">
        <v>1.2489008589999999</v>
      </c>
      <c r="O14" s="8">
        <v>209797.8315</v>
      </c>
      <c r="P14" s="8">
        <v>368638.50109999999</v>
      </c>
      <c r="Q14" s="8" t="s">
        <v>55</v>
      </c>
      <c r="R14" s="8" t="s">
        <v>22</v>
      </c>
    </row>
    <row r="15" spans="1:19" ht="16" x14ac:dyDescent="0.2">
      <c r="A15" t="s">
        <v>740</v>
      </c>
      <c r="B15" s="3" t="s">
        <v>671</v>
      </c>
      <c r="C15" s="3">
        <v>-24.923333329999998</v>
      </c>
      <c r="D15" s="3">
        <v>0.09</v>
      </c>
      <c r="E15" s="3">
        <v>6.43</v>
      </c>
      <c r="F15" s="3">
        <v>0.55500000000000005</v>
      </c>
      <c r="G15" s="3">
        <v>-24.63</v>
      </c>
      <c r="H15" s="3">
        <v>0.06</v>
      </c>
      <c r="I15" s="3">
        <v>3.91</v>
      </c>
      <c r="J15" t="s">
        <v>968</v>
      </c>
      <c r="K15" t="s">
        <v>737</v>
      </c>
      <c r="L15">
        <v>1495497600</v>
      </c>
      <c r="M15">
        <v>60</v>
      </c>
      <c r="N15" s="2">
        <v>1.349550421</v>
      </c>
      <c r="O15" s="8">
        <v>209797.8315</v>
      </c>
      <c r="P15" s="8">
        <v>368638.50109999999</v>
      </c>
      <c r="Q15" s="8" t="s">
        <v>55</v>
      </c>
      <c r="R15" s="8" t="s">
        <v>22</v>
      </c>
    </row>
    <row r="16" spans="1:19" ht="16" x14ac:dyDescent="0.2">
      <c r="A16" t="s">
        <v>741</v>
      </c>
      <c r="B16" s="3">
        <v>0.11</v>
      </c>
      <c r="C16" s="3">
        <v>-23.99</v>
      </c>
      <c r="D16" s="3">
        <v>0.04</v>
      </c>
      <c r="E16" s="3">
        <v>11.96</v>
      </c>
      <c r="F16" s="3">
        <v>0.19</v>
      </c>
      <c r="G16" s="3">
        <v>-24.52</v>
      </c>
      <c r="H16" s="3">
        <v>0.03</v>
      </c>
      <c r="I16" s="3">
        <v>4.42</v>
      </c>
      <c r="J16" t="s">
        <v>968</v>
      </c>
      <c r="K16" t="s">
        <v>737</v>
      </c>
      <c r="L16">
        <v>1495497600</v>
      </c>
      <c r="M16">
        <v>100</v>
      </c>
      <c r="N16" s="2">
        <v>1.354044751</v>
      </c>
      <c r="O16" s="8">
        <v>209797.8315</v>
      </c>
      <c r="P16" s="8">
        <v>368638.50109999999</v>
      </c>
      <c r="Q16" s="8" t="s">
        <v>55</v>
      </c>
      <c r="R16" s="8" t="s">
        <v>22</v>
      </c>
    </row>
    <row r="17" spans="1:18" ht="16" x14ac:dyDescent="0.2">
      <c r="A17" t="s">
        <v>742</v>
      </c>
      <c r="B17" s="3">
        <v>0.93</v>
      </c>
      <c r="C17" s="3">
        <v>-24.86</v>
      </c>
      <c r="D17" s="3">
        <v>0.14000000000000001</v>
      </c>
      <c r="E17" s="3">
        <v>7.55</v>
      </c>
      <c r="F17" s="3">
        <v>1.42</v>
      </c>
      <c r="G17" s="3">
        <v>-24.88</v>
      </c>
      <c r="H17" s="3">
        <v>0.14499999999999999</v>
      </c>
      <c r="I17" s="3">
        <v>5.08</v>
      </c>
      <c r="J17" t="s">
        <v>968</v>
      </c>
      <c r="K17" t="s">
        <v>743</v>
      </c>
      <c r="L17">
        <v>1495497600</v>
      </c>
      <c r="M17">
        <v>10</v>
      </c>
      <c r="N17" s="2">
        <v>1.1912392220000001</v>
      </c>
      <c r="O17" s="8">
        <v>208970.97630000001</v>
      </c>
      <c r="P17" s="8">
        <v>368740.52010000002</v>
      </c>
      <c r="Q17" s="8" t="s">
        <v>91</v>
      </c>
      <c r="R17" s="8" t="s">
        <v>22</v>
      </c>
    </row>
    <row r="18" spans="1:18" ht="16" x14ac:dyDescent="0.2">
      <c r="A18" t="s">
        <v>744</v>
      </c>
      <c r="B18" s="3">
        <v>1</v>
      </c>
      <c r="C18" s="3">
        <v>-24.86</v>
      </c>
      <c r="D18" s="3">
        <v>0.14000000000000001</v>
      </c>
      <c r="E18" s="3">
        <v>6.47</v>
      </c>
      <c r="F18" s="3">
        <v>1.25</v>
      </c>
      <c r="G18" s="3">
        <v>-24.73</v>
      </c>
      <c r="H18" s="3">
        <v>0.15</v>
      </c>
      <c r="I18" s="3">
        <v>4.54</v>
      </c>
      <c r="J18" t="s">
        <v>968</v>
      </c>
      <c r="K18" t="s">
        <v>743</v>
      </c>
      <c r="L18">
        <v>1495497600</v>
      </c>
      <c r="M18">
        <v>20</v>
      </c>
      <c r="N18" s="2">
        <v>1.290664142</v>
      </c>
      <c r="O18" s="8">
        <v>208970.97630000001</v>
      </c>
      <c r="P18" s="8">
        <v>368740.52010000002</v>
      </c>
      <c r="Q18" s="8" t="s">
        <v>91</v>
      </c>
      <c r="R18" s="8" t="s">
        <v>22</v>
      </c>
    </row>
    <row r="19" spans="1:18" ht="16" x14ac:dyDescent="0.2">
      <c r="A19" t="s">
        <v>745</v>
      </c>
      <c r="B19" s="3" t="s">
        <v>671</v>
      </c>
      <c r="C19" s="3">
        <v>-24.46</v>
      </c>
      <c r="D19" s="3">
        <v>0.103333333</v>
      </c>
      <c r="E19" s="3" t="s">
        <v>671</v>
      </c>
      <c r="F19" s="3">
        <v>0.505</v>
      </c>
      <c r="G19" s="3">
        <v>-24.4</v>
      </c>
      <c r="H19" s="3">
        <v>0.1</v>
      </c>
      <c r="I19" s="3">
        <v>5.5250000000000004</v>
      </c>
      <c r="J19" t="s">
        <v>968</v>
      </c>
      <c r="K19" t="s">
        <v>743</v>
      </c>
      <c r="L19">
        <v>1495497600</v>
      </c>
      <c r="M19">
        <v>30</v>
      </c>
      <c r="N19" s="2">
        <v>1.4450187830000001</v>
      </c>
      <c r="O19" s="8">
        <v>208970.97630000001</v>
      </c>
      <c r="P19" s="8">
        <v>368740.52010000002</v>
      </c>
      <c r="Q19" s="8" t="s">
        <v>91</v>
      </c>
      <c r="R19" s="8" t="s">
        <v>22</v>
      </c>
    </row>
    <row r="20" spans="1:18" ht="16" x14ac:dyDescent="0.2">
      <c r="A20" t="s">
        <v>746</v>
      </c>
      <c r="B20" s="3">
        <v>0.12</v>
      </c>
      <c r="C20" s="3">
        <v>-24.86</v>
      </c>
      <c r="D20" s="3">
        <v>0.06</v>
      </c>
      <c r="E20" s="3">
        <v>6.31</v>
      </c>
      <c r="F20" s="3">
        <v>0.19666666699999999</v>
      </c>
      <c r="G20" s="3" t="s">
        <v>671</v>
      </c>
      <c r="H20" s="3">
        <v>6.6666666999999999E-2</v>
      </c>
      <c r="I20" s="3">
        <v>2.6033333330000001</v>
      </c>
      <c r="J20" t="s">
        <v>968</v>
      </c>
      <c r="K20" t="s">
        <v>743</v>
      </c>
      <c r="L20">
        <v>1495497600</v>
      </c>
      <c r="M20">
        <v>60</v>
      </c>
      <c r="N20" s="2">
        <v>1.559905077</v>
      </c>
      <c r="O20" s="8">
        <v>208970.97630000001</v>
      </c>
      <c r="P20" s="8">
        <v>368740.52010000002</v>
      </c>
      <c r="Q20" s="8" t="s">
        <v>91</v>
      </c>
      <c r="R20" s="8" t="s">
        <v>22</v>
      </c>
    </row>
    <row r="21" spans="1:18" ht="16" x14ac:dyDescent="0.2">
      <c r="A21" t="s">
        <v>747</v>
      </c>
      <c r="B21" s="3">
        <v>8.6666667000000003E-2</v>
      </c>
      <c r="C21" s="3" t="s">
        <v>671</v>
      </c>
      <c r="D21" s="3">
        <v>4.3333333000000002E-2</v>
      </c>
      <c r="E21" s="3" t="s">
        <v>671</v>
      </c>
      <c r="F21" s="3" t="s">
        <v>671</v>
      </c>
      <c r="G21" s="3" t="s">
        <v>671</v>
      </c>
      <c r="H21" s="3">
        <v>0.04</v>
      </c>
      <c r="I21" s="3">
        <v>2.87</v>
      </c>
      <c r="J21" t="s">
        <v>968</v>
      </c>
      <c r="K21" t="s">
        <v>743</v>
      </c>
      <c r="L21">
        <v>1495497600</v>
      </c>
      <c r="M21">
        <v>100</v>
      </c>
      <c r="N21" s="2">
        <v>1.5299821629999999</v>
      </c>
      <c r="O21" s="8">
        <v>208970.97630000001</v>
      </c>
      <c r="P21" s="8">
        <v>368740.52010000002</v>
      </c>
      <c r="Q21" s="8" t="s">
        <v>91</v>
      </c>
      <c r="R21" s="8" t="s">
        <v>22</v>
      </c>
    </row>
    <row r="22" spans="1:18" ht="16" x14ac:dyDescent="0.2">
      <c r="A22" t="s">
        <v>748</v>
      </c>
      <c r="B22" s="3">
        <v>0.94</v>
      </c>
      <c r="C22" s="3">
        <v>-24.41</v>
      </c>
      <c r="D22" s="3">
        <v>0.15</v>
      </c>
      <c r="E22" s="3">
        <v>6.82</v>
      </c>
      <c r="F22" s="3">
        <v>1.6</v>
      </c>
      <c r="G22" s="3">
        <v>-24.25</v>
      </c>
      <c r="H22" s="3">
        <v>0.15</v>
      </c>
      <c r="I22" s="3">
        <v>4.88</v>
      </c>
      <c r="J22" t="s">
        <v>968</v>
      </c>
      <c r="K22" t="s">
        <v>749</v>
      </c>
      <c r="L22">
        <v>1495584000</v>
      </c>
      <c r="M22">
        <v>10</v>
      </c>
      <c r="N22" s="2">
        <v>1.1273685280000001</v>
      </c>
      <c r="O22" s="8">
        <v>209274.8651</v>
      </c>
      <c r="P22" s="8">
        <v>368851.03860000003</v>
      </c>
      <c r="Q22" s="8" t="s">
        <v>125</v>
      </c>
      <c r="R22" s="8" t="s">
        <v>22</v>
      </c>
    </row>
    <row r="23" spans="1:18" ht="16" x14ac:dyDescent="0.2">
      <c r="A23" t="s">
        <v>750</v>
      </c>
      <c r="B23" s="3">
        <v>0.78</v>
      </c>
      <c r="C23" s="3">
        <v>-24.175000000000001</v>
      </c>
      <c r="D23" s="3">
        <v>0.13</v>
      </c>
      <c r="E23" s="3">
        <v>7.1050000000000004</v>
      </c>
      <c r="F23" s="3">
        <v>1.01</v>
      </c>
      <c r="G23" s="3">
        <v>-24.22</v>
      </c>
      <c r="H23" s="3">
        <v>0.13</v>
      </c>
      <c r="I23" s="3">
        <v>4.3</v>
      </c>
      <c r="J23" t="s">
        <v>968</v>
      </c>
      <c r="K23" t="s">
        <v>749</v>
      </c>
      <c r="L23">
        <v>1495584000</v>
      </c>
      <c r="M23">
        <v>20</v>
      </c>
      <c r="N23" s="2">
        <v>1.289390169</v>
      </c>
      <c r="O23" s="8">
        <v>209274.8651</v>
      </c>
      <c r="P23" s="8">
        <v>368851.03860000003</v>
      </c>
      <c r="Q23" s="8" t="s">
        <v>125</v>
      </c>
      <c r="R23" s="8" t="s">
        <v>22</v>
      </c>
    </row>
    <row r="24" spans="1:18" ht="16" x14ac:dyDescent="0.2">
      <c r="A24" t="s">
        <v>751</v>
      </c>
      <c r="B24" s="3">
        <v>0.76</v>
      </c>
      <c r="C24" s="3">
        <v>-24.215</v>
      </c>
      <c r="D24" s="3">
        <v>0.115</v>
      </c>
      <c r="E24" s="3">
        <v>7.37</v>
      </c>
      <c r="F24" s="3">
        <v>1</v>
      </c>
      <c r="G24" s="3">
        <v>-24.07</v>
      </c>
      <c r="H24" s="3">
        <v>0.12</v>
      </c>
      <c r="I24" s="3">
        <v>4.7</v>
      </c>
      <c r="J24" t="s">
        <v>968</v>
      </c>
      <c r="K24" t="s">
        <v>749</v>
      </c>
      <c r="L24">
        <v>1495584000</v>
      </c>
      <c r="M24">
        <v>30</v>
      </c>
      <c r="N24" s="2">
        <v>1.7053122549999999</v>
      </c>
      <c r="O24" s="8">
        <v>209274.8651</v>
      </c>
      <c r="P24" s="8">
        <v>368851.03860000003</v>
      </c>
      <c r="Q24" s="8" t="s">
        <v>125</v>
      </c>
      <c r="R24" s="8" t="s">
        <v>22</v>
      </c>
    </row>
    <row r="25" spans="1:18" ht="16" x14ac:dyDescent="0.2">
      <c r="A25" t="s">
        <v>752</v>
      </c>
      <c r="B25" s="3">
        <v>0.11</v>
      </c>
      <c r="C25" s="3">
        <v>-24.23</v>
      </c>
      <c r="D25" s="3">
        <v>7.0000000000000007E-2</v>
      </c>
      <c r="E25" s="3">
        <v>6.47</v>
      </c>
      <c r="F25" s="3">
        <v>0.17</v>
      </c>
      <c r="G25" s="3">
        <v>-24.72</v>
      </c>
      <c r="H25" s="3">
        <v>7.4999999999999997E-2</v>
      </c>
      <c r="I25" s="3">
        <v>2.46</v>
      </c>
      <c r="J25" t="s">
        <v>968</v>
      </c>
      <c r="K25" t="s">
        <v>749</v>
      </c>
      <c r="L25">
        <v>1495584000</v>
      </c>
      <c r="M25">
        <v>60</v>
      </c>
      <c r="N25" s="2">
        <v>1.5097383150000001</v>
      </c>
      <c r="O25" s="8">
        <v>209274.8651</v>
      </c>
      <c r="P25" s="8">
        <v>368851.03860000003</v>
      </c>
      <c r="Q25" s="8" t="s">
        <v>125</v>
      </c>
      <c r="R25" s="8" t="s">
        <v>22</v>
      </c>
    </row>
    <row r="26" spans="1:18" ht="16" x14ac:dyDescent="0.2">
      <c r="A26" t="s">
        <v>753</v>
      </c>
      <c r="B26" s="3">
        <v>0.15</v>
      </c>
      <c r="C26" s="3">
        <v>-25.234999999999999</v>
      </c>
      <c r="D26" s="3">
        <v>0.06</v>
      </c>
      <c r="E26" s="3">
        <v>3.04</v>
      </c>
      <c r="F26" s="3">
        <v>0.11</v>
      </c>
      <c r="G26" s="3" t="s">
        <v>671</v>
      </c>
      <c r="H26" s="3">
        <v>6.3333333000000006E-2</v>
      </c>
      <c r="I26" s="3">
        <v>2.41</v>
      </c>
      <c r="J26" t="s">
        <v>968</v>
      </c>
      <c r="K26" t="s">
        <v>749</v>
      </c>
      <c r="L26">
        <v>1495584000</v>
      </c>
      <c r="M26">
        <v>100</v>
      </c>
      <c r="N26" s="2">
        <v>1.470083413</v>
      </c>
      <c r="O26" s="8">
        <v>209274.8651</v>
      </c>
      <c r="P26" s="8">
        <v>368851.03860000003</v>
      </c>
      <c r="Q26" s="8" t="s">
        <v>125</v>
      </c>
      <c r="R26" s="8" t="s">
        <v>22</v>
      </c>
    </row>
    <row r="27" spans="1:18" ht="16" x14ac:dyDescent="0.2">
      <c r="A27" t="s">
        <v>754</v>
      </c>
      <c r="B27" s="3">
        <v>1.41</v>
      </c>
      <c r="C27" s="3">
        <v>-22.35</v>
      </c>
      <c r="D27" s="3">
        <v>0.24</v>
      </c>
      <c r="E27" s="3">
        <v>8</v>
      </c>
      <c r="F27" s="3">
        <v>2.11</v>
      </c>
      <c r="G27" s="3">
        <v>-22.555</v>
      </c>
      <c r="H27" s="3">
        <v>0.22500000000000001</v>
      </c>
      <c r="I27" s="3">
        <v>6.3449999999999998</v>
      </c>
      <c r="J27" t="s">
        <v>968</v>
      </c>
      <c r="K27" t="s">
        <v>755</v>
      </c>
      <c r="L27">
        <v>1495584000</v>
      </c>
      <c r="M27">
        <v>10</v>
      </c>
      <c r="N27" s="2">
        <v>1.2339307939999999</v>
      </c>
      <c r="O27" s="8">
        <v>204909.54329999999</v>
      </c>
      <c r="P27" s="8">
        <v>366099.93910000002</v>
      </c>
      <c r="Q27" s="8" t="s">
        <v>159</v>
      </c>
      <c r="R27" s="8" t="s">
        <v>22</v>
      </c>
    </row>
    <row r="28" spans="1:18" ht="16" x14ac:dyDescent="0.2">
      <c r="A28" t="s">
        <v>756</v>
      </c>
      <c r="B28" s="3">
        <v>1.57</v>
      </c>
      <c r="C28" s="3">
        <v>-22.67</v>
      </c>
      <c r="D28" s="3">
        <v>0.23</v>
      </c>
      <c r="E28" s="3">
        <v>7.74</v>
      </c>
      <c r="F28" s="3">
        <v>1.31</v>
      </c>
      <c r="G28" s="3">
        <v>-22.675000000000001</v>
      </c>
      <c r="H28" s="3">
        <v>0.22500000000000001</v>
      </c>
      <c r="I28" s="3">
        <v>6.0949999999999998</v>
      </c>
      <c r="J28" t="s">
        <v>968</v>
      </c>
      <c r="K28" t="s">
        <v>755</v>
      </c>
      <c r="L28">
        <v>1495584000</v>
      </c>
      <c r="M28">
        <v>20</v>
      </c>
      <c r="N28" s="2">
        <v>1.2923945370000001</v>
      </c>
      <c r="O28" s="8">
        <v>204909.54329999999</v>
      </c>
      <c r="P28" s="8">
        <v>366099.93910000002</v>
      </c>
      <c r="Q28" s="8" t="s">
        <v>159</v>
      </c>
      <c r="R28" s="8" t="s">
        <v>22</v>
      </c>
    </row>
    <row r="29" spans="1:18" ht="16" x14ac:dyDescent="0.2">
      <c r="A29" t="s">
        <v>757</v>
      </c>
      <c r="B29" s="3">
        <v>0.8</v>
      </c>
      <c r="C29" s="3">
        <v>-22.83</v>
      </c>
      <c r="D29" s="3">
        <v>0.14000000000000001</v>
      </c>
      <c r="E29" s="3">
        <v>8.2799999999999994</v>
      </c>
      <c r="F29" s="3">
        <v>1.38</v>
      </c>
      <c r="G29" s="3">
        <v>-22.813333329999999</v>
      </c>
      <c r="H29" s="3">
        <v>0.17</v>
      </c>
      <c r="I29" s="3">
        <v>6.7133333329999996</v>
      </c>
      <c r="J29" t="s">
        <v>968</v>
      </c>
      <c r="K29" t="s">
        <v>755</v>
      </c>
      <c r="L29">
        <v>1495584000</v>
      </c>
      <c r="M29">
        <v>30</v>
      </c>
      <c r="N29" s="2">
        <v>1.4875393539999999</v>
      </c>
      <c r="O29" s="8">
        <v>204909.54329999999</v>
      </c>
      <c r="P29" s="8">
        <v>366099.93910000002</v>
      </c>
      <c r="Q29" s="8" t="s">
        <v>159</v>
      </c>
      <c r="R29" s="8" t="s">
        <v>22</v>
      </c>
    </row>
    <row r="30" spans="1:18" ht="16" x14ac:dyDescent="0.2">
      <c r="A30" t="s">
        <v>758</v>
      </c>
      <c r="B30" s="3">
        <v>0.38500000000000001</v>
      </c>
      <c r="C30" s="3">
        <v>-23.545000000000002</v>
      </c>
      <c r="D30" s="3">
        <v>0.08</v>
      </c>
      <c r="E30" s="3">
        <v>7.0350000000000001</v>
      </c>
      <c r="F30" s="3">
        <v>0.88</v>
      </c>
      <c r="G30" s="3">
        <v>-23.77</v>
      </c>
      <c r="H30" s="3">
        <v>0.09</v>
      </c>
      <c r="I30" s="3">
        <v>4.57</v>
      </c>
      <c r="J30" t="s">
        <v>968</v>
      </c>
      <c r="K30" t="s">
        <v>755</v>
      </c>
      <c r="L30">
        <v>1495584000</v>
      </c>
      <c r="M30">
        <v>60</v>
      </c>
      <c r="N30" s="2">
        <v>1.5585967220000001</v>
      </c>
      <c r="O30" s="8">
        <v>204909.54329999999</v>
      </c>
      <c r="P30" s="8">
        <v>366099.93910000002</v>
      </c>
      <c r="Q30" s="8" t="s">
        <v>159</v>
      </c>
      <c r="R30" s="8" t="s">
        <v>22</v>
      </c>
    </row>
    <row r="31" spans="1:18" ht="16" x14ac:dyDescent="0.2">
      <c r="A31" t="s">
        <v>759</v>
      </c>
      <c r="B31" s="3">
        <v>0.11333333299999999</v>
      </c>
      <c r="C31" s="3">
        <v>-23.81666667</v>
      </c>
      <c r="D31" s="3">
        <v>4.3333333000000002E-2</v>
      </c>
      <c r="E31" s="3" t="s">
        <v>671</v>
      </c>
      <c r="F31" s="3">
        <v>0.185</v>
      </c>
      <c r="G31" s="3">
        <v>-24.1</v>
      </c>
      <c r="H31" s="3">
        <v>4.4999999999999998E-2</v>
      </c>
      <c r="I31" s="3">
        <v>3.1</v>
      </c>
      <c r="J31" t="s">
        <v>968</v>
      </c>
      <c r="K31" t="s">
        <v>755</v>
      </c>
      <c r="L31">
        <v>1495584000</v>
      </c>
      <c r="M31">
        <v>100</v>
      </c>
      <c r="N31" s="2">
        <v>1.5908438650000001</v>
      </c>
      <c r="O31" s="8">
        <v>204909.54329999999</v>
      </c>
      <c r="P31" s="8">
        <v>366099.93910000002</v>
      </c>
      <c r="Q31" s="8" t="s">
        <v>159</v>
      </c>
      <c r="R31" s="8" t="s">
        <v>22</v>
      </c>
    </row>
    <row r="32" spans="1:18" ht="16" x14ac:dyDescent="0.2">
      <c r="A32" t="s">
        <v>760</v>
      </c>
      <c r="B32" s="3">
        <v>0.82</v>
      </c>
      <c r="C32" s="3">
        <v>-23.87</v>
      </c>
      <c r="D32" s="3">
        <v>0.14000000000000001</v>
      </c>
      <c r="E32" s="3">
        <v>6.2</v>
      </c>
      <c r="F32" s="3">
        <v>1.7849999999999999</v>
      </c>
      <c r="G32" s="3">
        <v>-23.655000000000001</v>
      </c>
      <c r="H32" s="3">
        <v>0.155</v>
      </c>
      <c r="I32" s="3">
        <v>5.0449999999999999</v>
      </c>
      <c r="J32" t="s">
        <v>968</v>
      </c>
      <c r="K32" t="s">
        <v>761</v>
      </c>
      <c r="L32">
        <v>1495584000</v>
      </c>
      <c r="M32">
        <v>10</v>
      </c>
      <c r="N32" s="2">
        <v>1.2085919759999999</v>
      </c>
      <c r="O32" s="8">
        <v>206923.5949</v>
      </c>
      <c r="P32" s="8">
        <v>367496.74829999998</v>
      </c>
      <c r="Q32" s="8" t="s">
        <v>21</v>
      </c>
      <c r="R32" s="8" t="s">
        <v>22</v>
      </c>
    </row>
    <row r="33" spans="1:18" ht="16" x14ac:dyDescent="0.2">
      <c r="A33" t="s">
        <v>762</v>
      </c>
      <c r="B33" s="3">
        <v>0.73</v>
      </c>
      <c r="C33" s="3">
        <v>-24.4</v>
      </c>
      <c r="D33" s="3">
        <v>0.11</v>
      </c>
      <c r="E33" s="3">
        <v>6.94</v>
      </c>
      <c r="F33" s="3">
        <v>1.0049999999999999</v>
      </c>
      <c r="G33" s="3">
        <v>-24.35</v>
      </c>
      <c r="H33" s="3">
        <v>0.105</v>
      </c>
      <c r="I33" s="3">
        <v>5.2750000000000004</v>
      </c>
      <c r="J33" t="s">
        <v>968</v>
      </c>
      <c r="K33" t="s">
        <v>761</v>
      </c>
      <c r="L33">
        <v>1495584000</v>
      </c>
      <c r="M33">
        <v>20</v>
      </c>
      <c r="N33" s="2">
        <v>1.444372939</v>
      </c>
      <c r="O33" s="8">
        <v>206923.5949</v>
      </c>
      <c r="P33" s="8">
        <v>367496.74829999998</v>
      </c>
      <c r="Q33" s="8" t="s">
        <v>21</v>
      </c>
      <c r="R33" s="8" t="s">
        <v>22</v>
      </c>
    </row>
    <row r="34" spans="1:18" ht="16" x14ac:dyDescent="0.2">
      <c r="A34" t="s">
        <v>763</v>
      </c>
      <c r="B34" s="3">
        <v>0.25</v>
      </c>
      <c r="C34" s="3">
        <v>-23.34</v>
      </c>
      <c r="D34" s="3">
        <v>0.06</v>
      </c>
      <c r="E34" s="3">
        <v>6.68</v>
      </c>
      <c r="F34" s="3">
        <v>0.16</v>
      </c>
      <c r="G34" s="3">
        <v>-23</v>
      </c>
      <c r="H34" s="3">
        <v>0.06</v>
      </c>
      <c r="I34" s="3">
        <v>6.71</v>
      </c>
      <c r="J34" t="s">
        <v>968</v>
      </c>
      <c r="K34" t="s">
        <v>761</v>
      </c>
      <c r="L34">
        <v>1495584000</v>
      </c>
      <c r="M34">
        <v>30</v>
      </c>
      <c r="N34" s="2">
        <v>1.48098167</v>
      </c>
      <c r="O34" s="8">
        <v>206923.5949</v>
      </c>
      <c r="P34" s="8">
        <v>367496.74829999998</v>
      </c>
      <c r="Q34" s="8" t="s">
        <v>21</v>
      </c>
      <c r="R34" s="8" t="s">
        <v>22</v>
      </c>
    </row>
    <row r="35" spans="1:18" ht="16" x14ac:dyDescent="0.2">
      <c r="A35" t="s">
        <v>764</v>
      </c>
      <c r="B35" s="3" t="s">
        <v>671</v>
      </c>
      <c r="C35" s="3">
        <v>-22.19</v>
      </c>
      <c r="D35" s="3">
        <v>0.26500000000000001</v>
      </c>
      <c r="E35" s="3">
        <v>10.215</v>
      </c>
      <c r="F35" s="3">
        <v>0.1</v>
      </c>
      <c r="G35" s="3">
        <v>-22.44</v>
      </c>
      <c r="H35" s="3">
        <v>0.05</v>
      </c>
      <c r="I35" s="3">
        <v>8.2799999999999994</v>
      </c>
      <c r="J35" t="s">
        <v>968</v>
      </c>
      <c r="K35" t="s">
        <v>761</v>
      </c>
      <c r="L35">
        <v>1495584000</v>
      </c>
      <c r="M35">
        <v>60</v>
      </c>
      <c r="N35" s="2">
        <v>1.5286337750000001</v>
      </c>
      <c r="O35" s="8">
        <v>206923.5949</v>
      </c>
      <c r="P35" s="8">
        <v>367496.74829999998</v>
      </c>
      <c r="Q35" s="8" t="s">
        <v>21</v>
      </c>
      <c r="R35" s="8" t="s">
        <v>22</v>
      </c>
    </row>
    <row r="36" spans="1:18" ht="16" x14ac:dyDescent="0.2">
      <c r="A36" t="s">
        <v>765</v>
      </c>
      <c r="B36" s="3">
        <v>0.11</v>
      </c>
      <c r="C36" s="3">
        <v>-25.73</v>
      </c>
      <c r="D36" s="3">
        <v>0.05</v>
      </c>
      <c r="E36" s="3">
        <v>2.34</v>
      </c>
      <c r="F36" s="3">
        <v>0.155</v>
      </c>
      <c r="G36" s="3" t="s">
        <v>671</v>
      </c>
      <c r="H36" s="3">
        <v>5.7500000000000002E-2</v>
      </c>
      <c r="I36" s="3" t="s">
        <v>671</v>
      </c>
      <c r="J36" t="s">
        <v>968</v>
      </c>
      <c r="K36" t="s">
        <v>761</v>
      </c>
      <c r="L36">
        <v>1495584000</v>
      </c>
      <c r="M36">
        <v>100</v>
      </c>
      <c r="N36" s="2">
        <v>1.474406946</v>
      </c>
      <c r="O36" s="8">
        <v>206923.5949</v>
      </c>
      <c r="P36" s="8">
        <v>367496.74829999998</v>
      </c>
      <c r="Q36" s="8" t="s">
        <v>21</v>
      </c>
      <c r="R36" s="8" t="s">
        <v>22</v>
      </c>
    </row>
    <row r="37" spans="1:18" ht="16" x14ac:dyDescent="0.2">
      <c r="A37" t="s">
        <v>766</v>
      </c>
      <c r="B37" s="3">
        <v>1.32</v>
      </c>
      <c r="C37" s="3">
        <v>-26.23</v>
      </c>
      <c r="D37" s="3">
        <v>0.22</v>
      </c>
      <c r="E37" s="3">
        <v>5.56</v>
      </c>
      <c r="F37" s="3">
        <v>0.89500000000000002</v>
      </c>
      <c r="G37" s="3">
        <v>-26.274999999999999</v>
      </c>
      <c r="H37" s="3">
        <v>0.21</v>
      </c>
      <c r="I37" s="3">
        <v>5.2949999999999999</v>
      </c>
      <c r="J37" t="s">
        <v>968</v>
      </c>
      <c r="K37" t="s">
        <v>767</v>
      </c>
      <c r="L37">
        <v>1496275200</v>
      </c>
      <c r="M37">
        <v>10</v>
      </c>
      <c r="N37" s="2">
        <v>1.1217510449999999</v>
      </c>
      <c r="O37" s="8">
        <v>207130.2776</v>
      </c>
      <c r="P37" s="8">
        <v>366996.86820000003</v>
      </c>
      <c r="Q37" s="8" t="s">
        <v>219</v>
      </c>
      <c r="R37" s="8" t="s">
        <v>22</v>
      </c>
    </row>
    <row r="38" spans="1:18" ht="16" x14ac:dyDescent="0.2">
      <c r="A38" t="s">
        <v>768</v>
      </c>
      <c r="B38" s="3">
        <v>0.72</v>
      </c>
      <c r="C38" s="3">
        <v>-24.38</v>
      </c>
      <c r="D38" s="3">
        <v>0.14000000000000001</v>
      </c>
      <c r="E38" s="3">
        <v>7.07</v>
      </c>
      <c r="F38" s="3">
        <v>1.33</v>
      </c>
      <c r="G38" s="3">
        <v>-24.48</v>
      </c>
      <c r="H38" s="3">
        <v>0.14000000000000001</v>
      </c>
      <c r="I38" s="3">
        <v>6.35</v>
      </c>
      <c r="J38" t="s">
        <v>968</v>
      </c>
      <c r="K38" t="s">
        <v>767</v>
      </c>
      <c r="L38">
        <v>1496275200</v>
      </c>
      <c r="M38">
        <v>20</v>
      </c>
      <c r="N38" s="2">
        <v>1.3851659540000001</v>
      </c>
      <c r="O38" s="8">
        <v>207130.2776</v>
      </c>
      <c r="P38" s="8">
        <v>366996.86820000003</v>
      </c>
      <c r="Q38" s="8" t="s">
        <v>219</v>
      </c>
      <c r="R38" s="8" t="s">
        <v>22</v>
      </c>
    </row>
    <row r="39" spans="1:18" ht="16" x14ac:dyDescent="0.2">
      <c r="A39" t="s">
        <v>769</v>
      </c>
      <c r="B39" s="3">
        <v>0.55000000000000004</v>
      </c>
      <c r="C39" s="3">
        <v>-24.47</v>
      </c>
      <c r="D39" s="3">
        <v>0.09</v>
      </c>
      <c r="E39" s="3">
        <v>9.24</v>
      </c>
      <c r="F39" s="3" t="s">
        <v>671</v>
      </c>
      <c r="G39" s="3" t="s">
        <v>671</v>
      </c>
      <c r="H39" s="3">
        <v>0.09</v>
      </c>
      <c r="I39" s="3">
        <v>5.125</v>
      </c>
      <c r="J39" t="s">
        <v>968</v>
      </c>
      <c r="K39" t="s">
        <v>767</v>
      </c>
      <c r="L39">
        <v>1496275200</v>
      </c>
      <c r="M39">
        <v>30</v>
      </c>
      <c r="N39" s="2">
        <v>1.407675145</v>
      </c>
      <c r="O39" s="8">
        <v>207130.2776</v>
      </c>
      <c r="P39" s="8">
        <v>366996.86820000003</v>
      </c>
      <c r="Q39" s="8" t="s">
        <v>219</v>
      </c>
      <c r="R39" s="8" t="s">
        <v>22</v>
      </c>
    </row>
    <row r="40" spans="1:18" ht="16" x14ac:dyDescent="0.2">
      <c r="A40" t="s">
        <v>770</v>
      </c>
      <c r="B40" s="3">
        <v>0.14000000000000001</v>
      </c>
      <c r="C40" s="3">
        <v>-24.71</v>
      </c>
      <c r="D40" s="3">
        <v>7.0000000000000007E-2</v>
      </c>
      <c r="E40" s="3">
        <v>5.99</v>
      </c>
      <c r="F40" s="3">
        <v>0.18333333299999999</v>
      </c>
      <c r="G40" s="3">
        <v>-24.693333330000002</v>
      </c>
      <c r="H40" s="3">
        <v>7.3333333000000001E-2</v>
      </c>
      <c r="I40" s="3">
        <v>2.82</v>
      </c>
      <c r="J40" t="s">
        <v>968</v>
      </c>
      <c r="K40" t="s">
        <v>767</v>
      </c>
      <c r="L40">
        <v>1496275200</v>
      </c>
      <c r="M40">
        <v>60</v>
      </c>
      <c r="N40" s="2">
        <v>1.474112227</v>
      </c>
      <c r="O40" s="8">
        <v>207130.2776</v>
      </c>
      <c r="P40" s="8">
        <v>366996.86820000003</v>
      </c>
      <c r="Q40" s="8" t="s">
        <v>219</v>
      </c>
      <c r="R40" s="8" t="s">
        <v>22</v>
      </c>
    </row>
    <row r="41" spans="1:18" ht="16" x14ac:dyDescent="0.2">
      <c r="A41" t="s">
        <v>771</v>
      </c>
      <c r="B41" s="3">
        <v>7.0000000000000007E-2</v>
      </c>
      <c r="C41" s="3">
        <v>-21.63</v>
      </c>
      <c r="D41" s="3">
        <v>0.06</v>
      </c>
      <c r="E41" s="3">
        <v>6.76</v>
      </c>
      <c r="F41" s="3">
        <v>0.09</v>
      </c>
      <c r="G41" s="3">
        <v>-24.61</v>
      </c>
      <c r="H41" s="3">
        <v>0.05</v>
      </c>
      <c r="I41" s="3">
        <v>3.96</v>
      </c>
      <c r="J41" t="s">
        <v>968</v>
      </c>
      <c r="K41" t="s">
        <v>767</v>
      </c>
      <c r="L41">
        <v>1496275200</v>
      </c>
      <c r="M41">
        <v>100</v>
      </c>
      <c r="N41" s="2">
        <v>1.4463925769999999</v>
      </c>
      <c r="O41" s="8">
        <v>207130.2776</v>
      </c>
      <c r="P41" s="8">
        <v>366996.86820000003</v>
      </c>
      <c r="Q41" s="8" t="s">
        <v>219</v>
      </c>
      <c r="R41" s="8" t="s">
        <v>22</v>
      </c>
    </row>
    <row r="42" spans="1:18" ht="16" x14ac:dyDescent="0.2">
      <c r="A42" t="s">
        <v>772</v>
      </c>
      <c r="B42" s="3">
        <v>1.24</v>
      </c>
      <c r="C42" s="3">
        <v>-22.65</v>
      </c>
      <c r="D42" s="3">
        <v>0.16</v>
      </c>
      <c r="E42" s="3">
        <v>8.1999999999999993</v>
      </c>
      <c r="F42" s="3">
        <v>0.98</v>
      </c>
      <c r="G42" s="3">
        <v>-23.01</v>
      </c>
      <c r="H42" s="3">
        <v>0.18</v>
      </c>
      <c r="I42" s="3">
        <v>6.99</v>
      </c>
      <c r="J42" t="s">
        <v>968</v>
      </c>
      <c r="K42" t="s">
        <v>773</v>
      </c>
      <c r="L42">
        <v>1496361600</v>
      </c>
      <c r="M42">
        <v>10</v>
      </c>
      <c r="N42" s="2">
        <v>1.2080582550000001</v>
      </c>
      <c r="O42" s="8">
        <v>207422.44510000001</v>
      </c>
      <c r="P42" s="8">
        <v>366364.82120000001</v>
      </c>
      <c r="Q42" s="8" t="s">
        <v>34</v>
      </c>
      <c r="R42" s="8" t="s">
        <v>22</v>
      </c>
    </row>
    <row r="43" spans="1:18" ht="16" x14ac:dyDescent="0.2">
      <c r="A43" t="s">
        <v>774</v>
      </c>
      <c r="B43" s="3">
        <v>0.72</v>
      </c>
      <c r="C43" s="3">
        <v>-24.32</v>
      </c>
      <c r="D43" s="3">
        <v>0.13</v>
      </c>
      <c r="E43" s="3">
        <v>7.35</v>
      </c>
      <c r="F43" s="3">
        <v>0.96</v>
      </c>
      <c r="G43" s="3">
        <v>-24.18</v>
      </c>
      <c r="H43" s="3">
        <v>0.13</v>
      </c>
      <c r="I43" s="3">
        <v>4.8099999999999996</v>
      </c>
      <c r="J43" t="s">
        <v>968</v>
      </c>
      <c r="K43" t="s">
        <v>773</v>
      </c>
      <c r="L43">
        <v>1496361600</v>
      </c>
      <c r="M43">
        <v>20</v>
      </c>
      <c r="N43" s="2">
        <v>1.3424274359999999</v>
      </c>
      <c r="O43" s="8">
        <v>207422.44510000001</v>
      </c>
      <c r="P43" s="8">
        <v>366364.82120000001</v>
      </c>
      <c r="Q43" s="8" t="s">
        <v>34</v>
      </c>
      <c r="R43" s="8" t="s">
        <v>22</v>
      </c>
    </row>
    <row r="44" spans="1:18" ht="16" x14ac:dyDescent="0.2">
      <c r="A44" t="s">
        <v>775</v>
      </c>
      <c r="B44" s="3">
        <v>0.37</v>
      </c>
      <c r="C44" s="3">
        <v>-24.63</v>
      </c>
      <c r="D44" s="3">
        <v>0.1</v>
      </c>
      <c r="E44" s="3">
        <v>7.46</v>
      </c>
      <c r="F44" s="3">
        <v>0.28000000000000003</v>
      </c>
      <c r="G44" s="3">
        <v>-24.5</v>
      </c>
      <c r="H44" s="3">
        <v>0.105</v>
      </c>
      <c r="I44" s="3">
        <v>7.1550000000000002</v>
      </c>
      <c r="J44" t="s">
        <v>968</v>
      </c>
      <c r="K44" t="s">
        <v>773</v>
      </c>
      <c r="L44">
        <v>1496361600</v>
      </c>
      <c r="M44">
        <v>30</v>
      </c>
      <c r="N44" s="2">
        <v>1.476340518</v>
      </c>
      <c r="O44" s="8">
        <v>207422.44510000001</v>
      </c>
      <c r="P44" s="8">
        <v>366364.82120000001</v>
      </c>
      <c r="Q44" s="8" t="s">
        <v>34</v>
      </c>
      <c r="R44" s="8" t="s">
        <v>22</v>
      </c>
    </row>
    <row r="45" spans="1:18" ht="16" x14ac:dyDescent="0.2">
      <c r="A45" t="s">
        <v>776</v>
      </c>
      <c r="B45" s="3">
        <v>0.22</v>
      </c>
      <c r="C45" s="3">
        <v>-9.2899999999999991</v>
      </c>
      <c r="D45" s="3">
        <v>0.06</v>
      </c>
      <c r="E45" s="3">
        <v>9.61</v>
      </c>
      <c r="F45" s="3">
        <v>0.09</v>
      </c>
      <c r="G45" s="3">
        <v>-25.21</v>
      </c>
      <c r="H45" s="3">
        <v>0.06</v>
      </c>
      <c r="I45" s="3">
        <v>2.4900000000000002</v>
      </c>
      <c r="J45" t="s">
        <v>968</v>
      </c>
      <c r="K45" t="s">
        <v>773</v>
      </c>
      <c r="L45">
        <v>1496361600</v>
      </c>
      <c r="M45">
        <v>60</v>
      </c>
      <c r="N45" s="2">
        <v>1.535675181</v>
      </c>
      <c r="O45" s="8">
        <v>207422.44510000001</v>
      </c>
      <c r="P45" s="8">
        <v>366364.82120000001</v>
      </c>
      <c r="Q45" s="8" t="s">
        <v>34</v>
      </c>
      <c r="R45" s="8" t="s">
        <v>22</v>
      </c>
    </row>
    <row r="46" spans="1:18" ht="16" x14ac:dyDescent="0.2">
      <c r="A46" t="s">
        <v>777</v>
      </c>
      <c r="B46" s="3">
        <v>0.87</v>
      </c>
      <c r="C46" s="3">
        <v>-22.71</v>
      </c>
      <c r="D46" s="3">
        <v>0.15</v>
      </c>
      <c r="E46" s="3">
        <v>6.09</v>
      </c>
      <c r="F46" s="3">
        <v>0.62</v>
      </c>
      <c r="G46" s="3">
        <v>-22.72</v>
      </c>
      <c r="H46" s="3">
        <v>0.15</v>
      </c>
      <c r="I46" s="3">
        <v>7.43</v>
      </c>
      <c r="J46" t="s">
        <v>968</v>
      </c>
      <c r="K46" t="s">
        <v>725</v>
      </c>
      <c r="L46">
        <v>1496361600</v>
      </c>
      <c r="M46">
        <v>10</v>
      </c>
      <c r="N46" s="2">
        <v>1.248331004</v>
      </c>
      <c r="O46" s="8">
        <v>209868.28159999999</v>
      </c>
      <c r="P46" s="8">
        <v>370198.27370000002</v>
      </c>
      <c r="Q46" s="8" t="s">
        <v>285</v>
      </c>
      <c r="R46" s="8" t="s">
        <v>22</v>
      </c>
    </row>
    <row r="47" spans="1:18" ht="16" x14ac:dyDescent="0.2">
      <c r="A47" t="s">
        <v>778</v>
      </c>
      <c r="B47" s="3">
        <v>0.96</v>
      </c>
      <c r="C47" s="3">
        <v>-23.51</v>
      </c>
      <c r="D47" s="3">
        <v>0.13</v>
      </c>
      <c r="E47" s="3">
        <v>8.08</v>
      </c>
      <c r="F47" s="3">
        <v>0.61</v>
      </c>
      <c r="G47" s="3">
        <v>-23.62</v>
      </c>
      <c r="H47" s="3">
        <v>0.13</v>
      </c>
      <c r="I47" s="3">
        <v>6.415</v>
      </c>
      <c r="J47" t="s">
        <v>968</v>
      </c>
      <c r="K47" t="s">
        <v>725</v>
      </c>
      <c r="L47">
        <v>1496361600</v>
      </c>
      <c r="M47">
        <v>20</v>
      </c>
      <c r="N47" s="2">
        <v>1.331036667</v>
      </c>
      <c r="O47" s="8">
        <v>209868.28159999999</v>
      </c>
      <c r="P47" s="8">
        <v>370198.27370000002</v>
      </c>
      <c r="Q47" s="8" t="s">
        <v>285</v>
      </c>
      <c r="R47" s="8" t="s">
        <v>22</v>
      </c>
    </row>
    <row r="48" spans="1:18" ht="16" x14ac:dyDescent="0.2">
      <c r="A48" t="s">
        <v>779</v>
      </c>
      <c r="B48" s="3">
        <v>0.56999999999999995</v>
      </c>
      <c r="C48" s="3">
        <v>-24.04</v>
      </c>
      <c r="D48" s="3">
        <v>0.09</v>
      </c>
      <c r="E48" s="3">
        <v>7.95</v>
      </c>
      <c r="F48" s="3">
        <v>0.32</v>
      </c>
      <c r="G48" s="3">
        <v>-23.9</v>
      </c>
      <c r="H48" s="3">
        <v>0.09</v>
      </c>
      <c r="I48" s="3">
        <v>7.65</v>
      </c>
      <c r="J48" t="s">
        <v>968</v>
      </c>
      <c r="K48" t="s">
        <v>725</v>
      </c>
      <c r="L48">
        <v>1496361600</v>
      </c>
      <c r="M48">
        <v>30</v>
      </c>
      <c r="N48" s="2">
        <v>1.432543533</v>
      </c>
      <c r="O48" s="8">
        <v>209868.28159999999</v>
      </c>
      <c r="P48" s="8">
        <v>370198.27370000002</v>
      </c>
      <c r="Q48" s="8" t="s">
        <v>285</v>
      </c>
      <c r="R48" s="8" t="s">
        <v>22</v>
      </c>
    </row>
    <row r="49" spans="1:18" ht="16" x14ac:dyDescent="0.2">
      <c r="A49" t="s">
        <v>780</v>
      </c>
      <c r="B49" s="3">
        <v>0.185</v>
      </c>
      <c r="C49" s="3" t="s">
        <v>671</v>
      </c>
      <c r="D49" s="3">
        <v>4.2500000000000003E-2</v>
      </c>
      <c r="E49" s="3" t="s">
        <v>671</v>
      </c>
      <c r="F49" s="3">
        <v>5.5E-2</v>
      </c>
      <c r="G49" s="3" t="s">
        <v>671</v>
      </c>
      <c r="H49" s="3">
        <v>0.02</v>
      </c>
      <c r="I49" s="3">
        <v>8.7799999999999994</v>
      </c>
      <c r="J49" t="s">
        <v>968</v>
      </c>
      <c r="K49" t="s">
        <v>725</v>
      </c>
      <c r="L49">
        <v>1496361600</v>
      </c>
      <c r="M49">
        <v>60</v>
      </c>
      <c r="N49" s="2">
        <v>1.5129011880000001</v>
      </c>
      <c r="O49" s="8">
        <v>209868.28159999999</v>
      </c>
      <c r="P49" s="8">
        <v>370198.27370000002</v>
      </c>
      <c r="Q49" s="8" t="s">
        <v>285</v>
      </c>
      <c r="R49" s="8" t="s">
        <v>22</v>
      </c>
    </row>
    <row r="50" spans="1:18" ht="16" x14ac:dyDescent="0.2">
      <c r="A50" t="s">
        <v>781</v>
      </c>
      <c r="B50" s="3">
        <v>0.1</v>
      </c>
      <c r="C50" s="3">
        <v>-23.3</v>
      </c>
      <c r="D50" s="3">
        <v>0.04</v>
      </c>
      <c r="E50" s="3">
        <v>8.0299999999999994</v>
      </c>
      <c r="F50" s="3">
        <v>0.1</v>
      </c>
      <c r="G50" s="3">
        <v>-24.27</v>
      </c>
      <c r="H50" s="3">
        <v>0.04</v>
      </c>
      <c r="I50" s="3">
        <v>4.41</v>
      </c>
      <c r="J50" t="s">
        <v>968</v>
      </c>
      <c r="K50" t="s">
        <v>725</v>
      </c>
      <c r="L50">
        <v>1496361600</v>
      </c>
      <c r="M50">
        <v>100</v>
      </c>
      <c r="N50" s="2">
        <v>1.5179089480000001</v>
      </c>
      <c r="O50" s="8">
        <v>209868.28159999999</v>
      </c>
      <c r="P50" s="8">
        <v>370198.27370000002</v>
      </c>
      <c r="Q50" s="8" t="s">
        <v>285</v>
      </c>
      <c r="R50" s="8" t="s">
        <v>22</v>
      </c>
    </row>
    <row r="51" spans="1:18" ht="16" x14ac:dyDescent="0.2">
      <c r="A51" t="s">
        <v>782</v>
      </c>
      <c r="B51" s="3">
        <v>0.54</v>
      </c>
      <c r="C51" s="3">
        <v>-21.15</v>
      </c>
      <c r="D51" s="3">
        <v>0.1</v>
      </c>
      <c r="E51" s="3">
        <v>5.22</v>
      </c>
      <c r="F51" s="3">
        <v>0.33</v>
      </c>
      <c r="G51" s="3">
        <v>-21.4</v>
      </c>
      <c r="H51" s="3">
        <v>0.09</v>
      </c>
      <c r="I51" s="3">
        <v>5.32</v>
      </c>
      <c r="J51" t="s">
        <v>968</v>
      </c>
      <c r="K51" t="s">
        <v>731</v>
      </c>
      <c r="L51">
        <v>1496793600</v>
      </c>
      <c r="M51">
        <v>10</v>
      </c>
      <c r="N51" s="2">
        <v>1.4660064589999999</v>
      </c>
      <c r="O51" s="8">
        <v>208112.63140000001</v>
      </c>
      <c r="P51" s="8">
        <v>365496.48340000003</v>
      </c>
      <c r="Q51" s="8" t="s">
        <v>623</v>
      </c>
      <c r="R51" s="8" t="s">
        <v>22</v>
      </c>
    </row>
    <row r="52" spans="1:18" ht="16" x14ac:dyDescent="0.2">
      <c r="A52" t="s">
        <v>783</v>
      </c>
      <c r="B52" s="3">
        <v>0.62</v>
      </c>
      <c r="C52" s="3">
        <v>-20.164999999999999</v>
      </c>
      <c r="D52" s="3">
        <v>0.09</v>
      </c>
      <c r="E52" s="3">
        <v>6.61</v>
      </c>
      <c r="F52" s="3">
        <v>1.1299999999999999</v>
      </c>
      <c r="G52" s="3">
        <v>-21.89</v>
      </c>
      <c r="H52" s="3">
        <v>0.09</v>
      </c>
      <c r="I52" s="3">
        <v>4.55</v>
      </c>
      <c r="J52" t="s">
        <v>968</v>
      </c>
      <c r="K52" t="s">
        <v>731</v>
      </c>
      <c r="L52">
        <v>1496793600</v>
      </c>
      <c r="M52">
        <v>20</v>
      </c>
      <c r="N52" s="2">
        <v>1.435198392</v>
      </c>
      <c r="O52" s="8">
        <v>208112.63140000001</v>
      </c>
      <c r="P52" s="8">
        <v>365496.48340000003</v>
      </c>
      <c r="Q52" s="8" t="s">
        <v>623</v>
      </c>
      <c r="R52" s="8" t="s">
        <v>22</v>
      </c>
    </row>
    <row r="53" spans="1:18" ht="16" x14ac:dyDescent="0.2">
      <c r="A53" t="s">
        <v>784</v>
      </c>
      <c r="B53" s="3">
        <v>0.32</v>
      </c>
      <c r="C53" s="3">
        <v>-22.43</v>
      </c>
      <c r="D53" s="3">
        <v>0.06</v>
      </c>
      <c r="E53" s="3">
        <v>7.25</v>
      </c>
      <c r="F53" s="3">
        <v>0.61</v>
      </c>
      <c r="G53" s="3">
        <v>-22.63</v>
      </c>
      <c r="H53" s="3">
        <v>0.06</v>
      </c>
      <c r="I53" s="3">
        <v>5.97</v>
      </c>
      <c r="J53" t="s">
        <v>968</v>
      </c>
      <c r="K53" t="s">
        <v>731</v>
      </c>
      <c r="L53">
        <v>1496793600</v>
      </c>
      <c r="M53">
        <v>30</v>
      </c>
      <c r="N53" s="2">
        <v>1.477807809</v>
      </c>
      <c r="O53" s="8">
        <v>208112.63140000001</v>
      </c>
      <c r="P53" s="8">
        <v>365496.48340000003</v>
      </c>
      <c r="Q53" s="8" t="s">
        <v>623</v>
      </c>
      <c r="R53" s="8" t="s">
        <v>22</v>
      </c>
    </row>
    <row r="54" spans="1:18" ht="16" x14ac:dyDescent="0.2">
      <c r="A54" t="s">
        <v>785</v>
      </c>
      <c r="B54" s="3">
        <v>0.1</v>
      </c>
      <c r="C54" s="3">
        <v>-22.26</v>
      </c>
      <c r="D54" s="3">
        <v>3.5000000000000003E-2</v>
      </c>
      <c r="E54" s="3">
        <v>7.74</v>
      </c>
      <c r="F54" s="3">
        <v>0.16500000000000001</v>
      </c>
      <c r="G54" s="3">
        <v>-22.91</v>
      </c>
      <c r="H54" s="3">
        <v>0.04</v>
      </c>
      <c r="I54" s="3">
        <v>3.56</v>
      </c>
      <c r="J54" t="s">
        <v>968</v>
      </c>
      <c r="K54" t="s">
        <v>731</v>
      </c>
      <c r="L54">
        <v>1496793600</v>
      </c>
      <c r="M54">
        <v>60</v>
      </c>
      <c r="N54" s="2">
        <v>1.4607485529999999</v>
      </c>
      <c r="O54" s="8">
        <v>208112.63140000001</v>
      </c>
      <c r="P54" s="8">
        <v>365496.48340000003</v>
      </c>
      <c r="Q54" s="8" t="s">
        <v>623</v>
      </c>
      <c r="R54" s="8" t="s">
        <v>22</v>
      </c>
    </row>
    <row r="55" spans="1:18" ht="16" x14ac:dyDescent="0.2">
      <c r="A55" t="s">
        <v>786</v>
      </c>
      <c r="B55" s="3">
        <v>0.09</v>
      </c>
      <c r="C55" s="3">
        <v>-23.49666667</v>
      </c>
      <c r="D55" s="3">
        <v>0.03</v>
      </c>
      <c r="E55" s="3" t="s">
        <v>671</v>
      </c>
      <c r="F55" s="3">
        <v>0.13</v>
      </c>
      <c r="G55" s="3">
        <v>-24.17</v>
      </c>
      <c r="H55" s="3">
        <v>0.03</v>
      </c>
      <c r="I55" s="3" t="s">
        <v>671</v>
      </c>
      <c r="J55" t="s">
        <v>968</v>
      </c>
      <c r="K55" t="s">
        <v>731</v>
      </c>
      <c r="L55">
        <v>1496793600</v>
      </c>
      <c r="M55">
        <v>100</v>
      </c>
      <c r="N55" s="2">
        <v>1.521920221</v>
      </c>
      <c r="O55" s="8">
        <v>208112.63140000001</v>
      </c>
      <c r="P55" s="8">
        <v>365496.48340000003</v>
      </c>
      <c r="Q55" s="8" t="s">
        <v>623</v>
      </c>
      <c r="R55" s="8" t="s">
        <v>22</v>
      </c>
    </row>
    <row r="56" spans="1:18" ht="16" x14ac:dyDescent="0.2">
      <c r="A56" t="s">
        <v>787</v>
      </c>
      <c r="B56" s="3">
        <v>1.45</v>
      </c>
      <c r="C56" s="3">
        <v>-25.84</v>
      </c>
      <c r="D56" s="3">
        <v>0.17</v>
      </c>
      <c r="E56" s="3">
        <v>4.3899999999999997</v>
      </c>
      <c r="F56" s="3">
        <v>1.54</v>
      </c>
      <c r="G56" s="3">
        <v>-25.945</v>
      </c>
      <c r="H56" s="3">
        <v>0.155</v>
      </c>
      <c r="I56" s="3">
        <v>5.165</v>
      </c>
      <c r="J56" t="s">
        <v>968</v>
      </c>
      <c r="K56" t="s">
        <v>737</v>
      </c>
      <c r="L56">
        <v>1509667200</v>
      </c>
      <c r="M56">
        <v>10</v>
      </c>
      <c r="N56" s="2">
        <v>1.171608628</v>
      </c>
      <c r="O56" s="8">
        <v>209797.8315</v>
      </c>
      <c r="P56" s="8">
        <v>368638.50109999999</v>
      </c>
      <c r="Q56" s="8" t="s">
        <v>55</v>
      </c>
      <c r="R56" s="8" t="s">
        <v>22</v>
      </c>
    </row>
    <row r="57" spans="1:18" ht="16" x14ac:dyDescent="0.2">
      <c r="A57" t="s">
        <v>788</v>
      </c>
      <c r="B57" s="3">
        <v>1.1000000000000001</v>
      </c>
      <c r="C57" s="3">
        <v>-25.29</v>
      </c>
      <c r="D57" s="3">
        <v>0.11</v>
      </c>
      <c r="E57" s="3">
        <v>4.9000000000000004</v>
      </c>
      <c r="F57" s="3">
        <v>1.1000000000000001</v>
      </c>
      <c r="G57" s="3">
        <v>-25.54</v>
      </c>
      <c r="H57" s="3">
        <v>0.1</v>
      </c>
      <c r="I57" s="3">
        <v>3.73</v>
      </c>
      <c r="J57" t="s">
        <v>968</v>
      </c>
      <c r="K57" t="s">
        <v>737</v>
      </c>
      <c r="L57">
        <v>1509667200</v>
      </c>
      <c r="M57">
        <v>20</v>
      </c>
      <c r="N57" s="2">
        <v>1.3391747249999999</v>
      </c>
      <c r="O57" s="8">
        <v>209797.8315</v>
      </c>
      <c r="P57" s="8">
        <v>368638.50109999999</v>
      </c>
      <c r="Q57" s="8" t="s">
        <v>55</v>
      </c>
      <c r="R57" s="8" t="s">
        <v>22</v>
      </c>
    </row>
    <row r="58" spans="1:18" ht="16" x14ac:dyDescent="0.2">
      <c r="A58" t="s">
        <v>789</v>
      </c>
      <c r="B58" s="3">
        <v>0.78500000000000003</v>
      </c>
      <c r="C58" s="3">
        <v>-24.975000000000001</v>
      </c>
      <c r="D58" s="3">
        <v>8.5000000000000006E-2</v>
      </c>
      <c r="E58" s="3">
        <v>5.7450000000000001</v>
      </c>
      <c r="F58" s="3">
        <v>0.6</v>
      </c>
      <c r="G58" s="3">
        <v>-25.04</v>
      </c>
      <c r="H58" s="3">
        <v>0.06</v>
      </c>
      <c r="I58" s="3">
        <v>3.4</v>
      </c>
      <c r="J58" t="s">
        <v>968</v>
      </c>
      <c r="K58" t="s">
        <v>737</v>
      </c>
      <c r="L58">
        <v>1509667200</v>
      </c>
      <c r="M58">
        <v>30</v>
      </c>
      <c r="N58" s="2">
        <v>1.351612888</v>
      </c>
      <c r="O58" s="8">
        <v>209797.8315</v>
      </c>
      <c r="P58" s="8">
        <v>368638.50109999999</v>
      </c>
      <c r="Q58" s="8" t="s">
        <v>55</v>
      </c>
      <c r="R58" s="8" t="s">
        <v>22</v>
      </c>
    </row>
    <row r="59" spans="1:18" ht="16" x14ac:dyDescent="0.2">
      <c r="A59" t="s">
        <v>790</v>
      </c>
      <c r="B59" s="3">
        <v>0.31</v>
      </c>
      <c r="C59" s="3">
        <v>-23.82</v>
      </c>
      <c r="D59" s="3">
        <v>0.05</v>
      </c>
      <c r="E59" s="3">
        <v>5.12</v>
      </c>
      <c r="F59" s="3">
        <v>0.28499999999999998</v>
      </c>
      <c r="G59" s="3">
        <v>-23.82</v>
      </c>
      <c r="H59" s="3">
        <v>0.05</v>
      </c>
      <c r="I59" s="3">
        <v>5.43</v>
      </c>
      <c r="J59" t="s">
        <v>968</v>
      </c>
      <c r="K59" t="s">
        <v>737</v>
      </c>
      <c r="L59">
        <v>1509667200</v>
      </c>
      <c r="M59">
        <v>60</v>
      </c>
      <c r="N59" s="2">
        <v>1.3359117970000001</v>
      </c>
      <c r="O59" s="8">
        <v>209797.8315</v>
      </c>
      <c r="P59" s="8">
        <v>368638.50109999999</v>
      </c>
      <c r="Q59" s="8" t="s">
        <v>55</v>
      </c>
      <c r="R59" s="8" t="s">
        <v>22</v>
      </c>
    </row>
    <row r="60" spans="1:18" ht="16" x14ac:dyDescent="0.2">
      <c r="A60" t="s">
        <v>791</v>
      </c>
      <c r="B60" s="3">
        <v>0.16</v>
      </c>
      <c r="C60" s="3">
        <v>-24.56</v>
      </c>
      <c r="D60" s="3">
        <v>0.03</v>
      </c>
      <c r="E60" s="3">
        <v>5.25</v>
      </c>
      <c r="F60" s="3">
        <v>0.16</v>
      </c>
      <c r="G60" s="3">
        <v>-24.69</v>
      </c>
      <c r="H60" s="3">
        <v>0.04</v>
      </c>
      <c r="I60" s="3">
        <v>3.69</v>
      </c>
      <c r="J60" t="s">
        <v>968</v>
      </c>
      <c r="K60" t="s">
        <v>737</v>
      </c>
      <c r="L60">
        <v>1509667200</v>
      </c>
      <c r="M60">
        <v>100</v>
      </c>
      <c r="N60" s="2">
        <v>1.392548723</v>
      </c>
      <c r="O60" s="8">
        <v>209797.8315</v>
      </c>
      <c r="P60" s="8">
        <v>368638.50109999999</v>
      </c>
      <c r="Q60" s="8" t="s">
        <v>55</v>
      </c>
      <c r="R60" s="8" t="s">
        <v>22</v>
      </c>
    </row>
    <row r="61" spans="1:18" ht="16" x14ac:dyDescent="0.2">
      <c r="A61" t="s">
        <v>792</v>
      </c>
      <c r="B61" s="3">
        <v>1.5049999999999999</v>
      </c>
      <c r="C61" s="3">
        <v>-25.3</v>
      </c>
      <c r="D61" s="3">
        <v>0.16500000000000001</v>
      </c>
      <c r="E61" s="3">
        <v>5.335</v>
      </c>
      <c r="F61" s="3">
        <v>1.17</v>
      </c>
      <c r="G61" s="3">
        <v>-25.35</v>
      </c>
      <c r="H61" s="3">
        <v>0.13</v>
      </c>
      <c r="I61" s="3">
        <v>5.69</v>
      </c>
      <c r="J61" t="s">
        <v>968</v>
      </c>
      <c r="K61" t="s">
        <v>743</v>
      </c>
      <c r="L61">
        <v>1509667200</v>
      </c>
      <c r="M61">
        <v>10</v>
      </c>
      <c r="N61" s="2">
        <v>1.286618743</v>
      </c>
      <c r="O61" s="8">
        <v>208970.97630000001</v>
      </c>
      <c r="P61" s="8">
        <v>368740.52010000002</v>
      </c>
      <c r="Q61" s="8" t="s">
        <v>91</v>
      </c>
      <c r="R61" s="8" t="s">
        <v>22</v>
      </c>
    </row>
    <row r="62" spans="1:18" ht="16" x14ac:dyDescent="0.2">
      <c r="A62" t="s">
        <v>793</v>
      </c>
      <c r="B62" s="3">
        <v>1.25</v>
      </c>
      <c r="C62" s="3">
        <v>-24.63</v>
      </c>
      <c r="D62" s="3">
        <v>0.14000000000000001</v>
      </c>
      <c r="E62" s="3">
        <v>5.25</v>
      </c>
      <c r="F62" s="3">
        <v>1.1850000000000001</v>
      </c>
      <c r="G62" s="3">
        <v>-24.68</v>
      </c>
      <c r="H62" s="3">
        <v>0.13</v>
      </c>
      <c r="I62" s="3">
        <v>4.915</v>
      </c>
      <c r="J62" t="s">
        <v>968</v>
      </c>
      <c r="K62" t="s">
        <v>743</v>
      </c>
      <c r="L62">
        <v>1509667200</v>
      </c>
      <c r="M62">
        <v>20</v>
      </c>
      <c r="N62" s="2">
        <v>1.3637791500000001</v>
      </c>
      <c r="O62" s="8">
        <v>208970.97630000001</v>
      </c>
      <c r="P62" s="8">
        <v>368740.52010000002</v>
      </c>
      <c r="Q62" s="8" t="s">
        <v>91</v>
      </c>
      <c r="R62" s="8" t="s">
        <v>22</v>
      </c>
    </row>
    <row r="63" spans="1:18" ht="16" x14ac:dyDescent="0.2">
      <c r="A63" t="s">
        <v>794</v>
      </c>
      <c r="B63" s="3">
        <v>0.91</v>
      </c>
      <c r="C63" s="3">
        <v>-24.4</v>
      </c>
      <c r="D63" s="3">
        <v>0.11</v>
      </c>
      <c r="E63" s="3">
        <v>5.44</v>
      </c>
      <c r="F63" s="3">
        <v>0.89</v>
      </c>
      <c r="G63" s="3">
        <v>-24.364999999999998</v>
      </c>
      <c r="H63" s="3">
        <v>0.105</v>
      </c>
      <c r="I63" s="3">
        <v>5.56</v>
      </c>
      <c r="J63" t="s">
        <v>968</v>
      </c>
      <c r="K63" t="s">
        <v>743</v>
      </c>
      <c r="L63">
        <v>1509667200</v>
      </c>
      <c r="M63">
        <v>30</v>
      </c>
      <c r="N63" s="2">
        <v>1.467827282</v>
      </c>
      <c r="O63" s="8">
        <v>208970.97630000001</v>
      </c>
      <c r="P63" s="8">
        <v>368740.52010000002</v>
      </c>
      <c r="Q63" s="8" t="s">
        <v>91</v>
      </c>
      <c r="R63" s="8" t="s">
        <v>22</v>
      </c>
    </row>
    <row r="64" spans="1:18" ht="16" x14ac:dyDescent="0.2">
      <c r="A64" t="s">
        <v>795</v>
      </c>
      <c r="B64" s="3">
        <v>0.20499999999999999</v>
      </c>
      <c r="C64" s="3">
        <v>-24.89</v>
      </c>
      <c r="D64" s="3">
        <v>0.06</v>
      </c>
      <c r="E64" s="3">
        <v>4.3550000000000004</v>
      </c>
      <c r="F64" s="3">
        <v>0.21</v>
      </c>
      <c r="G64" s="3">
        <v>-24.65</v>
      </c>
      <c r="H64" s="3">
        <v>0.06</v>
      </c>
      <c r="I64" s="3">
        <v>4.21</v>
      </c>
      <c r="J64" t="s">
        <v>968</v>
      </c>
      <c r="K64" t="s">
        <v>743</v>
      </c>
      <c r="L64">
        <v>1509667200</v>
      </c>
      <c r="M64">
        <v>60</v>
      </c>
      <c r="N64" s="2">
        <v>1.5145853220000001</v>
      </c>
      <c r="O64" s="8">
        <v>208970.97630000001</v>
      </c>
      <c r="P64" s="8">
        <v>368740.52010000002</v>
      </c>
      <c r="Q64" s="8" t="s">
        <v>91</v>
      </c>
      <c r="R64" s="8" t="s">
        <v>22</v>
      </c>
    </row>
    <row r="65" spans="1:18" ht="16" x14ac:dyDescent="0.2">
      <c r="A65" t="s">
        <v>796</v>
      </c>
      <c r="B65" s="3">
        <v>0.14000000000000001</v>
      </c>
      <c r="C65" s="3">
        <v>-25.14</v>
      </c>
      <c r="D65" s="3">
        <v>0.05</v>
      </c>
      <c r="E65" s="3">
        <v>4.21</v>
      </c>
      <c r="F65" s="3">
        <v>0.15</v>
      </c>
      <c r="G65" s="3">
        <v>-25.28</v>
      </c>
      <c r="H65" s="3">
        <v>0.06</v>
      </c>
      <c r="I65" s="3">
        <v>3.48</v>
      </c>
      <c r="J65" t="s">
        <v>968</v>
      </c>
      <c r="K65" t="s">
        <v>743</v>
      </c>
      <c r="L65">
        <v>1509667200</v>
      </c>
      <c r="M65">
        <v>100</v>
      </c>
      <c r="N65" s="2">
        <v>1.483293057</v>
      </c>
      <c r="O65" s="8">
        <v>208970.97630000001</v>
      </c>
      <c r="P65" s="8">
        <v>368740.52010000002</v>
      </c>
      <c r="Q65" s="8" t="s">
        <v>91</v>
      </c>
      <c r="R65" s="8" t="s">
        <v>22</v>
      </c>
    </row>
    <row r="66" spans="1:18" ht="16" x14ac:dyDescent="0.2">
      <c r="A66" t="s">
        <v>797</v>
      </c>
      <c r="B66" s="3">
        <v>1.59</v>
      </c>
      <c r="C66" s="3">
        <v>-24.66</v>
      </c>
      <c r="D66" s="3">
        <v>0.17</v>
      </c>
      <c r="E66" s="3">
        <v>5.9</v>
      </c>
      <c r="F66" s="3">
        <v>1.46</v>
      </c>
      <c r="G66" s="3">
        <v>-24.44</v>
      </c>
      <c r="H66" s="3">
        <v>0.16</v>
      </c>
      <c r="I66" s="3">
        <v>6.2</v>
      </c>
      <c r="J66" t="s">
        <v>968</v>
      </c>
      <c r="K66" t="s">
        <v>749</v>
      </c>
      <c r="L66">
        <v>1509667200</v>
      </c>
      <c r="M66">
        <v>10</v>
      </c>
      <c r="N66" s="2">
        <v>1.4189024530000001</v>
      </c>
      <c r="O66" s="8">
        <v>209274.8651</v>
      </c>
      <c r="P66" s="8">
        <v>368851.03860000003</v>
      </c>
      <c r="Q66" s="8" t="s">
        <v>125</v>
      </c>
      <c r="R66" s="8" t="s">
        <v>22</v>
      </c>
    </row>
    <row r="67" spans="1:18" ht="16" x14ac:dyDescent="0.2">
      <c r="A67" t="s">
        <v>798</v>
      </c>
      <c r="B67" s="3">
        <v>1.3</v>
      </c>
      <c r="C67" s="3">
        <v>-24.44</v>
      </c>
      <c r="D67" s="3">
        <v>0.14499999999999999</v>
      </c>
      <c r="E67" s="3">
        <v>5.84</v>
      </c>
      <c r="F67" s="3">
        <v>1.1399999999999999</v>
      </c>
      <c r="G67" s="3">
        <v>-24.45</v>
      </c>
      <c r="H67" s="3">
        <v>0.13</v>
      </c>
      <c r="I67" s="3">
        <v>5.88</v>
      </c>
      <c r="J67" t="s">
        <v>968</v>
      </c>
      <c r="K67" t="s">
        <v>749</v>
      </c>
      <c r="L67">
        <v>1509667200</v>
      </c>
      <c r="M67">
        <v>20</v>
      </c>
      <c r="N67" s="2">
        <v>1.5091406220000001</v>
      </c>
      <c r="O67" s="8">
        <v>209274.8651</v>
      </c>
      <c r="P67" s="8">
        <v>368851.03860000003</v>
      </c>
      <c r="Q67" s="8" t="s">
        <v>125</v>
      </c>
      <c r="R67" s="8" t="s">
        <v>22</v>
      </c>
    </row>
    <row r="68" spans="1:18" ht="16" x14ac:dyDescent="0.2">
      <c r="A68" t="s">
        <v>799</v>
      </c>
      <c r="B68" s="3">
        <v>0.89</v>
      </c>
      <c r="C68" s="3">
        <v>-24.53</v>
      </c>
      <c r="D68" s="3">
        <v>0.11</v>
      </c>
      <c r="E68" s="3">
        <v>6.36</v>
      </c>
      <c r="F68" s="3">
        <v>0.86</v>
      </c>
      <c r="G68" s="3">
        <v>-24.38</v>
      </c>
      <c r="H68" s="3">
        <v>0.11</v>
      </c>
      <c r="I68" s="3">
        <v>6.48</v>
      </c>
      <c r="J68" t="s">
        <v>968</v>
      </c>
      <c r="K68" t="s">
        <v>749</v>
      </c>
      <c r="L68">
        <v>1509667200</v>
      </c>
      <c r="M68">
        <v>30</v>
      </c>
      <c r="N68" s="2">
        <v>1.519453881</v>
      </c>
      <c r="O68" s="8">
        <v>209274.8651</v>
      </c>
      <c r="P68" s="8">
        <v>368851.03860000003</v>
      </c>
      <c r="Q68" s="8" t="s">
        <v>125</v>
      </c>
      <c r="R68" s="8" t="s">
        <v>22</v>
      </c>
    </row>
    <row r="69" spans="1:18" ht="16" x14ac:dyDescent="0.2">
      <c r="A69" t="s">
        <v>800</v>
      </c>
      <c r="B69" s="3">
        <v>0.34</v>
      </c>
      <c r="C69" s="3">
        <v>-25.17</v>
      </c>
      <c r="D69" s="3">
        <v>0.09</v>
      </c>
      <c r="E69" s="3">
        <v>4.0599999999999996</v>
      </c>
      <c r="F69" s="3">
        <v>0.31</v>
      </c>
      <c r="G69" s="3">
        <v>-24.88</v>
      </c>
      <c r="H69" s="3">
        <v>0.09</v>
      </c>
      <c r="I69" s="3">
        <v>3.93</v>
      </c>
      <c r="J69" t="s">
        <v>968</v>
      </c>
      <c r="K69" t="s">
        <v>749</v>
      </c>
      <c r="L69">
        <v>1509667200</v>
      </c>
      <c r="M69">
        <v>60</v>
      </c>
      <c r="N69" s="2">
        <v>1.5463518650000001</v>
      </c>
      <c r="O69" s="8">
        <v>209274.8651</v>
      </c>
      <c r="P69" s="8">
        <v>368851.03860000003</v>
      </c>
      <c r="Q69" s="8" t="s">
        <v>125</v>
      </c>
      <c r="R69" s="8" t="s">
        <v>22</v>
      </c>
    </row>
    <row r="70" spans="1:18" ht="16" x14ac:dyDescent="0.2">
      <c r="A70" t="s">
        <v>801</v>
      </c>
      <c r="B70" s="3">
        <v>0.176666667</v>
      </c>
      <c r="C70" s="3">
        <v>-24.45</v>
      </c>
      <c r="D70" s="3">
        <v>6.6666666999999999E-2</v>
      </c>
      <c r="E70" s="3">
        <v>3.6666666669999999</v>
      </c>
      <c r="F70" s="3">
        <v>0.14000000000000001</v>
      </c>
      <c r="G70" s="3">
        <v>-24.855</v>
      </c>
      <c r="H70" s="3">
        <v>7.0000000000000007E-2</v>
      </c>
      <c r="I70" s="3">
        <v>3.7</v>
      </c>
      <c r="J70" t="s">
        <v>968</v>
      </c>
      <c r="K70" t="s">
        <v>749</v>
      </c>
      <c r="L70">
        <v>1509667200</v>
      </c>
      <c r="M70">
        <v>100</v>
      </c>
      <c r="N70" s="2">
        <v>1.485241061</v>
      </c>
      <c r="O70" s="8">
        <v>209274.8651</v>
      </c>
      <c r="P70" s="8">
        <v>368851.03860000003</v>
      </c>
      <c r="Q70" s="8" t="s">
        <v>125</v>
      </c>
      <c r="R70" s="8" t="s">
        <v>22</v>
      </c>
    </row>
    <row r="71" spans="1:18" ht="16" x14ac:dyDescent="0.2">
      <c r="A71" t="s">
        <v>802</v>
      </c>
      <c r="B71" s="3">
        <v>2.56</v>
      </c>
      <c r="C71" s="3">
        <v>-22.75</v>
      </c>
      <c r="D71" s="3">
        <v>0.26</v>
      </c>
      <c r="E71" s="3">
        <v>6.95</v>
      </c>
      <c r="F71" s="3">
        <v>1.32</v>
      </c>
      <c r="G71" s="3">
        <v>-22.58</v>
      </c>
      <c r="H71" s="3">
        <v>0.17</v>
      </c>
      <c r="I71" s="3">
        <v>6.65</v>
      </c>
      <c r="J71" t="s">
        <v>968</v>
      </c>
      <c r="K71" t="s">
        <v>755</v>
      </c>
      <c r="L71">
        <v>1510185600</v>
      </c>
      <c r="M71">
        <v>10</v>
      </c>
      <c r="N71" s="2">
        <v>1.2435350409999999</v>
      </c>
      <c r="O71" s="8">
        <v>204909.54329999999</v>
      </c>
      <c r="P71" s="8">
        <v>366099.93910000002</v>
      </c>
      <c r="Q71" s="8" t="s">
        <v>159</v>
      </c>
      <c r="R71" s="8" t="s">
        <v>22</v>
      </c>
    </row>
    <row r="72" spans="1:18" ht="16" x14ac:dyDescent="0.2">
      <c r="A72" t="s">
        <v>803</v>
      </c>
      <c r="B72" s="3">
        <v>2.41</v>
      </c>
      <c r="C72" s="3">
        <v>-22.66</v>
      </c>
      <c r="D72" s="3">
        <v>0.25</v>
      </c>
      <c r="E72" s="3">
        <v>6.83</v>
      </c>
      <c r="F72" s="3">
        <v>2.06</v>
      </c>
      <c r="G72" s="3">
        <v>-22.9</v>
      </c>
      <c r="H72" s="3">
        <v>0.21</v>
      </c>
      <c r="I72" s="3">
        <v>7.29</v>
      </c>
      <c r="J72" t="s">
        <v>968</v>
      </c>
      <c r="K72" t="s">
        <v>755</v>
      </c>
      <c r="L72">
        <v>1510185600</v>
      </c>
      <c r="M72">
        <v>20</v>
      </c>
      <c r="N72" s="2">
        <v>1.2081477810000001</v>
      </c>
      <c r="O72" s="8">
        <v>204909.54329999999</v>
      </c>
      <c r="P72" s="8">
        <v>366099.93910000002</v>
      </c>
      <c r="Q72" s="8" t="s">
        <v>159</v>
      </c>
      <c r="R72" s="8" t="s">
        <v>22</v>
      </c>
    </row>
    <row r="73" spans="1:18" ht="16" x14ac:dyDescent="0.2">
      <c r="A73" t="s">
        <v>804</v>
      </c>
      <c r="B73" s="3">
        <v>1.54</v>
      </c>
      <c r="C73" s="3">
        <v>-22.88</v>
      </c>
      <c r="D73" s="3">
        <v>0.155</v>
      </c>
      <c r="E73" s="3">
        <v>6.8650000000000002</v>
      </c>
      <c r="F73" s="3">
        <v>1.23</v>
      </c>
      <c r="G73" s="3">
        <v>-22.84</v>
      </c>
      <c r="H73" s="3">
        <v>0.14000000000000001</v>
      </c>
      <c r="I73" s="3">
        <v>6.43</v>
      </c>
      <c r="J73" t="s">
        <v>968</v>
      </c>
      <c r="K73" t="s">
        <v>755</v>
      </c>
      <c r="L73">
        <v>1510185600</v>
      </c>
      <c r="M73">
        <v>30</v>
      </c>
      <c r="N73" s="2">
        <v>1.3662283180000001</v>
      </c>
      <c r="O73" s="8">
        <v>204909.54329999999</v>
      </c>
      <c r="P73" s="8">
        <v>366099.93910000002</v>
      </c>
      <c r="Q73" s="8" t="s">
        <v>159</v>
      </c>
      <c r="R73" s="8" t="s">
        <v>22</v>
      </c>
    </row>
    <row r="74" spans="1:18" ht="16" x14ac:dyDescent="0.2">
      <c r="A74" t="s">
        <v>805</v>
      </c>
      <c r="B74" s="3">
        <v>0.86</v>
      </c>
      <c r="C74" s="3">
        <v>-23.53</v>
      </c>
      <c r="D74" s="3">
        <v>0.1</v>
      </c>
      <c r="E74" s="3">
        <v>4.93</v>
      </c>
      <c r="F74" s="3">
        <v>0.63</v>
      </c>
      <c r="G74" s="3">
        <v>-23.87</v>
      </c>
      <c r="H74" s="3">
        <v>0.1</v>
      </c>
      <c r="I74" s="3">
        <v>5.57</v>
      </c>
      <c r="J74" t="s">
        <v>968</v>
      </c>
      <c r="K74" t="s">
        <v>755</v>
      </c>
      <c r="L74">
        <v>1510185600</v>
      </c>
      <c r="M74">
        <v>60</v>
      </c>
      <c r="N74" s="2">
        <v>1.2251709260000001</v>
      </c>
      <c r="O74" s="8">
        <v>204909.54329999999</v>
      </c>
      <c r="P74" s="8">
        <v>366099.93910000002</v>
      </c>
      <c r="Q74" s="8" t="s">
        <v>159</v>
      </c>
      <c r="R74" s="8" t="s">
        <v>22</v>
      </c>
    </row>
    <row r="75" spans="1:18" ht="16" x14ac:dyDescent="0.2">
      <c r="A75" t="s">
        <v>806</v>
      </c>
      <c r="B75" s="3">
        <v>0.3</v>
      </c>
      <c r="C75" s="3">
        <v>-23.78</v>
      </c>
      <c r="D75" s="3">
        <v>0.05</v>
      </c>
      <c r="E75" s="3">
        <v>4.32</v>
      </c>
      <c r="F75" s="3">
        <v>0.24</v>
      </c>
      <c r="G75" s="3">
        <v>-23.81</v>
      </c>
      <c r="H75" s="3">
        <v>0.05</v>
      </c>
      <c r="I75" s="3">
        <v>3.6</v>
      </c>
      <c r="J75" t="s">
        <v>968</v>
      </c>
      <c r="K75" t="s">
        <v>755</v>
      </c>
      <c r="L75">
        <v>1510185600</v>
      </c>
      <c r="M75">
        <v>100</v>
      </c>
      <c r="N75" s="2">
        <v>1.595121657</v>
      </c>
      <c r="O75" s="8">
        <v>204909.54329999999</v>
      </c>
      <c r="P75" s="8">
        <v>366099.93910000002</v>
      </c>
      <c r="Q75" s="8" t="s">
        <v>159</v>
      </c>
      <c r="R75" s="8" t="s">
        <v>22</v>
      </c>
    </row>
    <row r="76" spans="1:18" ht="16" x14ac:dyDescent="0.2">
      <c r="A76" t="s">
        <v>807</v>
      </c>
      <c r="B76" s="3">
        <v>1.29</v>
      </c>
      <c r="C76" s="3">
        <v>-23.15</v>
      </c>
      <c r="D76" s="3">
        <v>0.14499999999999999</v>
      </c>
      <c r="E76" s="3">
        <v>6.0350000000000001</v>
      </c>
      <c r="F76" s="3">
        <v>1.395</v>
      </c>
      <c r="G76" s="3">
        <v>-22.88</v>
      </c>
      <c r="H76" s="3">
        <v>0.15</v>
      </c>
      <c r="I76" s="3">
        <v>6.0949999999999998</v>
      </c>
      <c r="J76" t="s">
        <v>968</v>
      </c>
      <c r="K76" t="s">
        <v>761</v>
      </c>
      <c r="L76">
        <v>1510185600</v>
      </c>
      <c r="M76">
        <v>10</v>
      </c>
      <c r="N76" s="2">
        <v>1.34773904</v>
      </c>
      <c r="O76" s="8">
        <v>206923.5949</v>
      </c>
      <c r="P76" s="8">
        <v>367496.74829999998</v>
      </c>
      <c r="Q76" s="8" t="s">
        <v>21</v>
      </c>
      <c r="R76" s="8" t="s">
        <v>22</v>
      </c>
    </row>
    <row r="77" spans="1:18" ht="16" x14ac:dyDescent="0.2">
      <c r="A77" t="s">
        <v>808</v>
      </c>
      <c r="B77" s="3">
        <v>1.1599999999999999</v>
      </c>
      <c r="C77" s="3">
        <v>-22.95</v>
      </c>
      <c r="D77" s="3">
        <v>0.13</v>
      </c>
      <c r="E77" s="3">
        <v>4.96</v>
      </c>
      <c r="F77" s="3">
        <v>1.07</v>
      </c>
      <c r="G77" s="3">
        <v>-23.2</v>
      </c>
      <c r="H77" s="3">
        <v>0.13</v>
      </c>
      <c r="I77" s="3">
        <v>5.55</v>
      </c>
      <c r="J77" t="s">
        <v>968</v>
      </c>
      <c r="K77" t="s">
        <v>761</v>
      </c>
      <c r="L77">
        <v>1510185600</v>
      </c>
      <c r="M77">
        <v>20</v>
      </c>
      <c r="N77" s="2">
        <v>1.299873378</v>
      </c>
      <c r="O77" s="8">
        <v>206923.5949</v>
      </c>
      <c r="P77" s="8">
        <v>367496.74829999998</v>
      </c>
      <c r="Q77" s="8" t="s">
        <v>21</v>
      </c>
      <c r="R77" s="8" t="s">
        <v>22</v>
      </c>
    </row>
    <row r="78" spans="1:18" ht="16" x14ac:dyDescent="0.2">
      <c r="A78" t="s">
        <v>809</v>
      </c>
      <c r="B78" s="3">
        <v>0.42</v>
      </c>
      <c r="C78" s="3">
        <v>-23.44</v>
      </c>
      <c r="D78" s="3">
        <v>7.0000000000000007E-2</v>
      </c>
      <c r="E78" s="3">
        <v>5.89</v>
      </c>
      <c r="F78" s="3">
        <v>0.46</v>
      </c>
      <c r="G78" s="3">
        <v>-23.62</v>
      </c>
      <c r="H78" s="3">
        <v>7.0000000000000007E-2</v>
      </c>
      <c r="I78" s="3">
        <v>4.87</v>
      </c>
      <c r="J78" t="s">
        <v>968</v>
      </c>
      <c r="K78" t="s">
        <v>761</v>
      </c>
      <c r="L78">
        <v>1510185600</v>
      </c>
      <c r="M78">
        <v>30</v>
      </c>
      <c r="N78" s="2">
        <v>1.3317963639999999</v>
      </c>
      <c r="O78" s="8">
        <v>206923.5949</v>
      </c>
      <c r="P78" s="8">
        <v>367496.74829999998</v>
      </c>
      <c r="Q78" s="8" t="s">
        <v>21</v>
      </c>
      <c r="R78" s="8" t="s">
        <v>22</v>
      </c>
    </row>
    <row r="79" spans="1:18" ht="16" x14ac:dyDescent="0.2">
      <c r="A79" t="s">
        <v>810</v>
      </c>
      <c r="B79" s="3">
        <v>0.16500000000000001</v>
      </c>
      <c r="C79" s="3">
        <v>-23.515000000000001</v>
      </c>
      <c r="D79" s="3">
        <v>0.05</v>
      </c>
      <c r="E79" s="3">
        <v>5.0549999999999997</v>
      </c>
      <c r="F79" s="3">
        <v>0.16</v>
      </c>
      <c r="G79" s="3">
        <v>-23.54</v>
      </c>
      <c r="H79" s="3">
        <v>0.05</v>
      </c>
      <c r="I79" s="3">
        <v>3.99</v>
      </c>
      <c r="J79" t="s">
        <v>968</v>
      </c>
      <c r="K79" t="s">
        <v>761</v>
      </c>
      <c r="L79">
        <v>1510185600</v>
      </c>
      <c r="M79">
        <v>60</v>
      </c>
      <c r="N79" s="2">
        <v>1.531759758</v>
      </c>
      <c r="O79" s="8">
        <v>206923.5949</v>
      </c>
      <c r="P79" s="8">
        <v>367496.74829999998</v>
      </c>
      <c r="Q79" s="8" t="s">
        <v>21</v>
      </c>
      <c r="R79" s="8" t="s">
        <v>22</v>
      </c>
    </row>
    <row r="80" spans="1:18" ht="16" x14ac:dyDescent="0.2">
      <c r="A80" t="s">
        <v>811</v>
      </c>
      <c r="B80" s="3">
        <v>0.15</v>
      </c>
      <c r="C80" s="3">
        <v>-24.315000000000001</v>
      </c>
      <c r="D80" s="3">
        <v>0.05</v>
      </c>
      <c r="E80" s="3">
        <v>4.6150000000000002</v>
      </c>
      <c r="F80" s="3">
        <v>0.155</v>
      </c>
      <c r="G80" s="3">
        <v>-24.34</v>
      </c>
      <c r="H80" s="3">
        <v>5.5E-2</v>
      </c>
      <c r="I80" s="3">
        <v>3.75</v>
      </c>
      <c r="J80" t="s">
        <v>968</v>
      </c>
      <c r="K80" t="s">
        <v>761</v>
      </c>
      <c r="L80">
        <v>1510185600</v>
      </c>
      <c r="M80">
        <v>100</v>
      </c>
      <c r="N80" s="2">
        <v>1.4488274320000001</v>
      </c>
      <c r="O80" s="8">
        <v>206923.5949</v>
      </c>
      <c r="P80" s="8">
        <v>367496.74829999998</v>
      </c>
      <c r="Q80" s="8" t="s">
        <v>21</v>
      </c>
      <c r="R80" s="8" t="s">
        <v>22</v>
      </c>
    </row>
    <row r="81" spans="1:18" ht="16" x14ac:dyDescent="0.2">
      <c r="A81" t="s">
        <v>812</v>
      </c>
      <c r="B81" s="3">
        <v>2.48</v>
      </c>
      <c r="C81" s="3">
        <v>-26.29</v>
      </c>
      <c r="D81" s="3">
        <v>0.31</v>
      </c>
      <c r="E81" s="3">
        <v>5.17</v>
      </c>
      <c r="F81" s="3">
        <v>2.34</v>
      </c>
      <c r="G81" s="3">
        <v>-26.64</v>
      </c>
      <c r="H81" s="3">
        <v>0.28000000000000003</v>
      </c>
      <c r="I81" s="3">
        <v>5.49</v>
      </c>
      <c r="J81" t="s">
        <v>968</v>
      </c>
      <c r="K81" t="s">
        <v>767</v>
      </c>
      <c r="L81">
        <v>1510012800</v>
      </c>
      <c r="M81">
        <v>10</v>
      </c>
      <c r="N81" s="2">
        <v>0.91494356600000004</v>
      </c>
      <c r="O81" s="8">
        <v>207130.2776</v>
      </c>
      <c r="P81" s="8">
        <v>366996.86820000003</v>
      </c>
      <c r="Q81" s="8" t="s">
        <v>219</v>
      </c>
      <c r="R81" s="8" t="s">
        <v>22</v>
      </c>
    </row>
    <row r="82" spans="1:18" ht="16" x14ac:dyDescent="0.2">
      <c r="A82" t="s">
        <v>813</v>
      </c>
      <c r="B82" s="3">
        <v>1.4550000000000001</v>
      </c>
      <c r="C82" s="3">
        <v>-24.795000000000002</v>
      </c>
      <c r="D82" s="3">
        <v>0.185</v>
      </c>
      <c r="E82" s="3">
        <v>6.23</v>
      </c>
      <c r="F82" s="3">
        <v>1.42</v>
      </c>
      <c r="G82" s="3">
        <v>-25.02</v>
      </c>
      <c r="H82" s="3">
        <v>0.17</v>
      </c>
      <c r="I82" s="3">
        <v>6.37</v>
      </c>
      <c r="J82" t="s">
        <v>968</v>
      </c>
      <c r="K82" t="s">
        <v>767</v>
      </c>
      <c r="L82">
        <v>1510012800</v>
      </c>
      <c r="M82">
        <v>20</v>
      </c>
      <c r="N82" s="2">
        <v>1.1289997009999999</v>
      </c>
      <c r="O82" s="8">
        <v>207130.2776</v>
      </c>
      <c r="P82" s="8">
        <v>366996.86820000003</v>
      </c>
      <c r="Q82" s="8" t="s">
        <v>219</v>
      </c>
      <c r="R82" s="8" t="s">
        <v>22</v>
      </c>
    </row>
    <row r="83" spans="1:18" ht="16" x14ac:dyDescent="0.2">
      <c r="A83" t="s">
        <v>814</v>
      </c>
      <c r="B83" s="3">
        <v>1.1399999999999999</v>
      </c>
      <c r="C83" s="3">
        <v>-24.12</v>
      </c>
      <c r="D83" s="3">
        <v>0.15</v>
      </c>
      <c r="E83" s="3">
        <v>6.7</v>
      </c>
      <c r="F83" s="3">
        <v>1.1766666670000001</v>
      </c>
      <c r="G83" s="3">
        <v>-25.326666670000002</v>
      </c>
      <c r="H83" s="3">
        <v>0.146666667</v>
      </c>
      <c r="I83" s="3" t="s">
        <v>671</v>
      </c>
      <c r="J83" t="s">
        <v>968</v>
      </c>
      <c r="K83" t="s">
        <v>767</v>
      </c>
      <c r="L83">
        <v>1510012800</v>
      </c>
      <c r="M83">
        <v>30</v>
      </c>
      <c r="N83" s="2">
        <v>1.3940539890000001</v>
      </c>
      <c r="O83" s="8">
        <v>207130.2776</v>
      </c>
      <c r="P83" s="8">
        <v>366996.86820000003</v>
      </c>
      <c r="Q83" s="8" t="s">
        <v>219</v>
      </c>
      <c r="R83" s="8" t="s">
        <v>22</v>
      </c>
    </row>
    <row r="84" spans="1:18" ht="16" x14ac:dyDescent="0.2">
      <c r="A84" t="s">
        <v>815</v>
      </c>
      <c r="B84" s="3">
        <v>0.36</v>
      </c>
      <c r="C84" s="3">
        <v>-24.86</v>
      </c>
      <c r="D84" s="3">
        <v>0.09</v>
      </c>
      <c r="E84" s="3">
        <v>4.28</v>
      </c>
      <c r="F84" s="3">
        <v>0.36499999999999999</v>
      </c>
      <c r="G84" s="3">
        <v>-25.024999999999999</v>
      </c>
      <c r="H84" s="3">
        <v>8.5000000000000006E-2</v>
      </c>
      <c r="I84" s="3" t="s">
        <v>671</v>
      </c>
      <c r="J84" t="s">
        <v>968</v>
      </c>
      <c r="K84" t="s">
        <v>767</v>
      </c>
      <c r="L84">
        <v>1510012800</v>
      </c>
      <c r="M84">
        <v>60</v>
      </c>
      <c r="N84" s="2">
        <v>1.4209703469999999</v>
      </c>
      <c r="O84" s="8">
        <v>207130.2776</v>
      </c>
      <c r="P84" s="8">
        <v>366996.86820000003</v>
      </c>
      <c r="Q84" s="8" t="s">
        <v>219</v>
      </c>
      <c r="R84" s="8" t="s">
        <v>22</v>
      </c>
    </row>
    <row r="85" spans="1:18" ht="16" x14ac:dyDescent="0.2">
      <c r="A85" t="s">
        <v>816</v>
      </c>
      <c r="B85" s="3">
        <v>0.123333333</v>
      </c>
      <c r="C85" s="3">
        <v>-24.973333329999999</v>
      </c>
      <c r="D85" s="3">
        <v>0.06</v>
      </c>
      <c r="E85" s="3" t="s">
        <v>671</v>
      </c>
      <c r="F85" s="3">
        <v>0.12</v>
      </c>
      <c r="G85" s="3">
        <v>-25.36</v>
      </c>
      <c r="H85" s="3">
        <v>6.5000000000000002E-2</v>
      </c>
      <c r="I85" s="3">
        <v>3.95</v>
      </c>
      <c r="J85" t="s">
        <v>968</v>
      </c>
      <c r="K85" t="s">
        <v>767</v>
      </c>
      <c r="L85">
        <v>1510012800</v>
      </c>
      <c r="M85">
        <v>100</v>
      </c>
      <c r="N85" s="2">
        <v>1.263578563</v>
      </c>
      <c r="O85" s="8">
        <v>207130.2776</v>
      </c>
      <c r="P85" s="8">
        <v>366996.86820000003</v>
      </c>
      <c r="Q85" s="8" t="s">
        <v>219</v>
      </c>
      <c r="R85" s="8" t="s">
        <v>22</v>
      </c>
    </row>
    <row r="86" spans="1:18" ht="16" x14ac:dyDescent="0.2">
      <c r="A86" t="s">
        <v>817</v>
      </c>
      <c r="B86" s="3">
        <v>1.62</v>
      </c>
      <c r="C86" s="3">
        <v>-24.03</v>
      </c>
      <c r="D86" s="3">
        <v>0.19</v>
      </c>
      <c r="E86" s="3">
        <v>6.34</v>
      </c>
      <c r="F86" s="3">
        <v>1.49</v>
      </c>
      <c r="G86" s="3">
        <v>-24.32</v>
      </c>
      <c r="H86" s="3">
        <v>0.17</v>
      </c>
      <c r="I86" s="3">
        <v>6.42</v>
      </c>
      <c r="J86" t="s">
        <v>968</v>
      </c>
      <c r="K86" t="s">
        <v>773</v>
      </c>
      <c r="L86">
        <v>1510012800</v>
      </c>
      <c r="M86">
        <v>10</v>
      </c>
      <c r="N86" s="2">
        <v>1.172517332</v>
      </c>
      <c r="O86" s="8">
        <v>207422.44510000001</v>
      </c>
      <c r="P86" s="8">
        <v>366364.82120000001</v>
      </c>
      <c r="Q86" s="8" t="s">
        <v>34</v>
      </c>
      <c r="R86" s="8" t="s">
        <v>22</v>
      </c>
    </row>
    <row r="87" spans="1:18" ht="16" x14ac:dyDescent="0.2">
      <c r="A87" t="s">
        <v>818</v>
      </c>
      <c r="B87" s="3">
        <v>1.51</v>
      </c>
      <c r="C87" s="3">
        <v>-23.7</v>
      </c>
      <c r="D87" s="3">
        <v>0.19</v>
      </c>
      <c r="E87" s="3">
        <v>6.26</v>
      </c>
      <c r="F87" s="3">
        <v>1.46</v>
      </c>
      <c r="G87" s="3">
        <v>-24.23</v>
      </c>
      <c r="H87" s="3">
        <v>0.17</v>
      </c>
      <c r="I87" s="3">
        <v>5.73</v>
      </c>
      <c r="J87" t="s">
        <v>968</v>
      </c>
      <c r="K87" t="s">
        <v>773</v>
      </c>
      <c r="L87">
        <v>1510012800</v>
      </c>
      <c r="M87">
        <v>20</v>
      </c>
      <c r="N87" s="2">
        <v>1.2098211670000001</v>
      </c>
      <c r="O87" s="8">
        <v>207422.44510000001</v>
      </c>
      <c r="P87" s="8">
        <v>366364.82120000001</v>
      </c>
      <c r="Q87" s="8" t="s">
        <v>34</v>
      </c>
      <c r="R87" s="8" t="s">
        <v>22</v>
      </c>
    </row>
    <row r="88" spans="1:18" ht="16" x14ac:dyDescent="0.2">
      <c r="A88" t="s">
        <v>819</v>
      </c>
      <c r="B88" s="3">
        <v>0.84</v>
      </c>
      <c r="C88" s="3">
        <v>-24.21</v>
      </c>
      <c r="D88" s="3">
        <v>0.13</v>
      </c>
      <c r="E88" s="3">
        <v>5.72</v>
      </c>
      <c r="F88" s="3">
        <v>0.77</v>
      </c>
      <c r="G88" s="3">
        <v>-24.63</v>
      </c>
      <c r="H88" s="3">
        <v>0.13</v>
      </c>
      <c r="I88" s="3">
        <v>4.66</v>
      </c>
      <c r="J88" t="s">
        <v>968</v>
      </c>
      <c r="K88" t="s">
        <v>773</v>
      </c>
      <c r="L88">
        <v>1510012800</v>
      </c>
      <c r="M88">
        <v>30</v>
      </c>
      <c r="N88" s="2">
        <v>1.1812776979999999</v>
      </c>
      <c r="O88" s="8">
        <v>207422.44510000001</v>
      </c>
      <c r="P88" s="8">
        <v>366364.82120000001</v>
      </c>
      <c r="Q88" s="8" t="s">
        <v>34</v>
      </c>
      <c r="R88" s="8" t="s">
        <v>22</v>
      </c>
    </row>
    <row r="89" spans="1:18" ht="16" x14ac:dyDescent="0.2">
      <c r="A89" t="s">
        <v>820</v>
      </c>
      <c r="B89" s="3">
        <v>0.19</v>
      </c>
      <c r="C89" s="3">
        <v>-24.16</v>
      </c>
      <c r="D89" s="3">
        <v>0.08</v>
      </c>
      <c r="E89" s="3">
        <v>4.28</v>
      </c>
      <c r="F89" s="3">
        <v>0.18666666700000001</v>
      </c>
      <c r="G89" s="3">
        <v>-24.743333329999999</v>
      </c>
      <c r="H89" s="3">
        <v>7.6666666999999994E-2</v>
      </c>
      <c r="I89" s="3" t="s">
        <v>671</v>
      </c>
      <c r="J89" t="s">
        <v>968</v>
      </c>
      <c r="K89" t="s">
        <v>773</v>
      </c>
      <c r="L89">
        <v>1510012800</v>
      </c>
      <c r="M89">
        <v>60</v>
      </c>
      <c r="N89" s="2">
        <v>1.475033523</v>
      </c>
      <c r="O89" s="8">
        <v>207422.44510000001</v>
      </c>
      <c r="P89" s="8">
        <v>366364.82120000001</v>
      </c>
      <c r="Q89" s="8" t="s">
        <v>34</v>
      </c>
      <c r="R89" s="8" t="s">
        <v>22</v>
      </c>
    </row>
    <row r="90" spans="1:18" ht="16" x14ac:dyDescent="0.2">
      <c r="A90" t="s">
        <v>821</v>
      </c>
      <c r="B90" s="3">
        <v>0.16</v>
      </c>
      <c r="C90" s="3">
        <v>-15.18</v>
      </c>
      <c r="D90" s="3">
        <v>0.06</v>
      </c>
      <c r="E90" s="3">
        <v>3.72</v>
      </c>
      <c r="F90" s="3">
        <v>0.09</v>
      </c>
      <c r="G90" s="3">
        <v>-25.33</v>
      </c>
      <c r="H90" s="3">
        <v>0.06</v>
      </c>
      <c r="I90" s="3">
        <v>1.85</v>
      </c>
      <c r="J90" t="s">
        <v>968</v>
      </c>
      <c r="K90" t="s">
        <v>773</v>
      </c>
      <c r="L90">
        <v>1510012800</v>
      </c>
      <c r="M90">
        <v>100</v>
      </c>
      <c r="N90" s="2">
        <v>1.582268641</v>
      </c>
      <c r="O90" s="8">
        <v>207422.44510000001</v>
      </c>
      <c r="P90" s="8">
        <v>366364.82120000001</v>
      </c>
      <c r="Q90" s="8" t="s">
        <v>34</v>
      </c>
      <c r="R90" s="8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66D3-69FA-4169-A983-D08C0845E860}">
  <dimension ref="A1:S81"/>
  <sheetViews>
    <sheetView workbookViewId="0">
      <pane xSplit="1" topLeftCell="B1" activePane="topRight" state="frozen"/>
      <selection pane="topRight" activeCell="R2" sqref="R2"/>
    </sheetView>
  </sheetViews>
  <sheetFormatPr baseColWidth="10" defaultColWidth="8.83203125" defaultRowHeight="15" x14ac:dyDescent="0.2"/>
  <cols>
    <col min="1" max="1" width="23.83203125" customWidth="1"/>
    <col min="2" max="2" width="40" customWidth="1"/>
    <col min="3" max="3" width="36.83203125" customWidth="1"/>
    <col min="4" max="4" width="22.33203125" customWidth="1"/>
    <col min="5" max="5" width="27.33203125" customWidth="1"/>
    <col min="6" max="6" width="41.6640625" bestFit="1" customWidth="1"/>
    <col min="7" max="7" width="34.1640625" customWidth="1"/>
    <col min="8" max="8" width="50.5" customWidth="1"/>
    <col min="9" max="9" width="33.33203125" customWidth="1"/>
    <col min="11" max="11" width="15.5" customWidth="1"/>
    <col min="12" max="12" width="26" customWidth="1"/>
    <col min="13" max="13" width="28.33203125" customWidth="1"/>
    <col min="14" max="14" width="12.5" bestFit="1" customWidth="1"/>
    <col min="15" max="15" width="79" customWidth="1"/>
    <col min="16" max="16" width="30.6640625" customWidth="1"/>
    <col min="17" max="17" width="29" customWidth="1"/>
    <col min="18" max="18" width="34" customWidth="1"/>
    <col min="19" max="19" width="22.1640625" customWidth="1"/>
  </cols>
  <sheetData>
    <row r="1" spans="1:19" x14ac:dyDescent="0.2">
      <c r="A1" t="s">
        <v>0</v>
      </c>
      <c r="B1" t="s">
        <v>971</v>
      </c>
      <c r="C1" s="11" t="s">
        <v>960</v>
      </c>
      <c r="D1" t="s">
        <v>976</v>
      </c>
      <c r="E1" t="s">
        <v>962</v>
      </c>
      <c r="F1" t="s">
        <v>13</v>
      </c>
      <c r="G1" t="s">
        <v>14</v>
      </c>
      <c r="H1" t="s">
        <v>15</v>
      </c>
      <c r="I1" t="s">
        <v>972</v>
      </c>
      <c r="J1" t="s">
        <v>963</v>
      </c>
      <c r="K1" t="s">
        <v>18</v>
      </c>
      <c r="L1" t="s">
        <v>964</v>
      </c>
      <c r="M1" t="s">
        <v>965</v>
      </c>
      <c r="N1" t="s">
        <v>973</v>
      </c>
      <c r="O1" t="s">
        <v>967</v>
      </c>
      <c r="P1" t="s">
        <v>4</v>
      </c>
      <c r="Q1" t="s">
        <v>5</v>
      </c>
      <c r="R1" t="s">
        <v>6</v>
      </c>
      <c r="S1" t="s">
        <v>7</v>
      </c>
    </row>
    <row r="2" spans="1:19" ht="16" x14ac:dyDescent="0.2">
      <c r="A2" t="s">
        <v>643</v>
      </c>
      <c r="B2">
        <v>1.07</v>
      </c>
      <c r="C2">
        <v>-20.85</v>
      </c>
      <c r="D2">
        <v>0.13</v>
      </c>
      <c r="E2">
        <v>5.0199999999999996</v>
      </c>
      <c r="F2" s="3">
        <v>1.04</v>
      </c>
      <c r="G2" s="3">
        <v>-21.31</v>
      </c>
      <c r="H2" s="3">
        <v>0.12</v>
      </c>
      <c r="I2">
        <v>4.2300000000000004</v>
      </c>
      <c r="J2" t="s">
        <v>968</v>
      </c>
      <c r="K2" t="s">
        <v>42</v>
      </c>
      <c r="L2">
        <v>1525132800</v>
      </c>
      <c r="N2">
        <v>10</v>
      </c>
      <c r="O2" s="3">
        <v>1.177034736</v>
      </c>
      <c r="P2" s="8">
        <v>207160.9541</v>
      </c>
      <c r="Q2" s="8">
        <v>364717.0062</v>
      </c>
      <c r="R2" s="8" t="s">
        <v>42</v>
      </c>
      <c r="S2" s="8" t="s">
        <v>22</v>
      </c>
    </row>
    <row r="3" spans="1:19" ht="16" x14ac:dyDescent="0.2">
      <c r="A3" t="s">
        <v>644</v>
      </c>
      <c r="B3">
        <v>1</v>
      </c>
      <c r="C3">
        <v>-21.08</v>
      </c>
      <c r="D3">
        <v>0.11</v>
      </c>
      <c r="E3">
        <v>4.5599999999999996</v>
      </c>
      <c r="F3" s="3">
        <v>1.03</v>
      </c>
      <c r="G3" s="3">
        <v>-21.21</v>
      </c>
      <c r="H3" s="3">
        <v>0.12</v>
      </c>
      <c r="I3">
        <v>3.83</v>
      </c>
      <c r="J3" t="s">
        <v>968</v>
      </c>
      <c r="K3" t="s">
        <v>42</v>
      </c>
      <c r="L3">
        <v>1525132800</v>
      </c>
      <c r="N3">
        <v>20</v>
      </c>
      <c r="O3" s="3">
        <v>1.384628296</v>
      </c>
      <c r="P3" s="8">
        <v>207160.9541</v>
      </c>
      <c r="Q3" s="8">
        <v>364717.0062</v>
      </c>
      <c r="R3" s="8" t="s">
        <v>42</v>
      </c>
      <c r="S3" s="8" t="s">
        <v>22</v>
      </c>
    </row>
    <row r="4" spans="1:19" ht="16" x14ac:dyDescent="0.2">
      <c r="A4" t="s">
        <v>645</v>
      </c>
      <c r="B4">
        <v>0.56999999999999995</v>
      </c>
      <c r="C4">
        <v>-22.26</v>
      </c>
      <c r="D4">
        <v>7.0000000000000007E-2</v>
      </c>
      <c r="E4">
        <v>4.4400000000000004</v>
      </c>
      <c r="F4" s="3">
        <v>0.48</v>
      </c>
      <c r="G4" s="3">
        <v>-22.39</v>
      </c>
      <c r="H4" s="3">
        <v>7.0000000000000007E-2</v>
      </c>
      <c r="I4">
        <v>3.35</v>
      </c>
      <c r="J4" t="s">
        <v>968</v>
      </c>
      <c r="K4" t="s">
        <v>42</v>
      </c>
      <c r="L4">
        <v>1525132800</v>
      </c>
      <c r="N4">
        <v>30</v>
      </c>
      <c r="O4" s="3">
        <v>1.513712645</v>
      </c>
      <c r="P4" s="8">
        <v>207160.9541</v>
      </c>
      <c r="Q4" s="8">
        <v>364717.0062</v>
      </c>
      <c r="R4" s="8" t="s">
        <v>42</v>
      </c>
      <c r="S4" s="8" t="s">
        <v>22</v>
      </c>
    </row>
    <row r="5" spans="1:19" ht="16" x14ac:dyDescent="0.2">
      <c r="A5" t="s">
        <v>646</v>
      </c>
      <c r="B5">
        <v>0.22500000000000001</v>
      </c>
      <c r="C5">
        <v>-22.335000000000001</v>
      </c>
      <c r="D5">
        <v>0.05</v>
      </c>
      <c r="E5">
        <v>5.43</v>
      </c>
      <c r="F5" s="3">
        <v>0.215</v>
      </c>
      <c r="G5" s="3">
        <v>-22.835000000000001</v>
      </c>
      <c r="H5" s="3">
        <v>0.05</v>
      </c>
      <c r="I5">
        <v>3.2</v>
      </c>
      <c r="J5" t="s">
        <v>968</v>
      </c>
      <c r="K5" t="s">
        <v>42</v>
      </c>
      <c r="L5">
        <v>1525132800</v>
      </c>
      <c r="N5">
        <v>60</v>
      </c>
      <c r="O5" s="3">
        <v>1.5283862349999999</v>
      </c>
      <c r="P5" s="8">
        <v>207160.9541</v>
      </c>
      <c r="Q5" s="8">
        <v>364717.0062</v>
      </c>
      <c r="R5" s="8" t="s">
        <v>42</v>
      </c>
      <c r="S5" s="8" t="s">
        <v>22</v>
      </c>
    </row>
    <row r="6" spans="1:19" ht="16" x14ac:dyDescent="0.2">
      <c r="A6" t="s">
        <v>647</v>
      </c>
      <c r="B6">
        <v>0.13</v>
      </c>
      <c r="C6">
        <v>-23.46</v>
      </c>
      <c r="D6">
        <v>0.03</v>
      </c>
      <c r="E6">
        <v>4.2300000000000004</v>
      </c>
      <c r="F6" s="3">
        <v>0.13</v>
      </c>
      <c r="G6" s="3">
        <v>-24.86</v>
      </c>
      <c r="H6" s="3">
        <v>0.04</v>
      </c>
      <c r="I6">
        <v>2.0299999999999998</v>
      </c>
      <c r="J6" t="s">
        <v>968</v>
      </c>
      <c r="K6" t="s">
        <v>42</v>
      </c>
      <c r="L6">
        <v>1525132800</v>
      </c>
      <c r="N6">
        <v>100</v>
      </c>
      <c r="O6" s="3">
        <v>1.4842530490000001</v>
      </c>
      <c r="P6" s="8">
        <v>207160.9541</v>
      </c>
      <c r="Q6" s="8">
        <v>364717.0062</v>
      </c>
      <c r="R6" s="8" t="s">
        <v>42</v>
      </c>
      <c r="S6" s="8" t="s">
        <v>22</v>
      </c>
    </row>
    <row r="7" spans="1:19" ht="16" x14ac:dyDescent="0.2">
      <c r="A7" t="s">
        <v>648</v>
      </c>
      <c r="B7">
        <v>1.26</v>
      </c>
      <c r="C7">
        <v>-21.68</v>
      </c>
      <c r="D7">
        <v>0.13</v>
      </c>
      <c r="E7">
        <v>4.42</v>
      </c>
      <c r="F7" s="3">
        <v>1.1299999999999999</v>
      </c>
      <c r="G7" s="3">
        <v>-23.465</v>
      </c>
      <c r="H7" s="3">
        <v>0.13</v>
      </c>
      <c r="I7">
        <v>3.6349999999999998</v>
      </c>
      <c r="J7" t="s">
        <v>968</v>
      </c>
      <c r="K7" t="s">
        <v>49</v>
      </c>
      <c r="L7">
        <v>1525219200</v>
      </c>
      <c r="M7" s="2">
        <v>0.27261000000000002</v>
      </c>
      <c r="N7">
        <v>10</v>
      </c>
      <c r="O7" s="3">
        <v>1.2914697589999999</v>
      </c>
      <c r="P7" s="8">
        <v>210268.54399999999</v>
      </c>
      <c r="Q7" s="8">
        <v>370278.37790000002</v>
      </c>
      <c r="R7" s="8" t="s">
        <v>49</v>
      </c>
      <c r="S7" s="8" t="s">
        <v>22</v>
      </c>
    </row>
    <row r="8" spans="1:19" ht="16" x14ac:dyDescent="0.2">
      <c r="A8" t="s">
        <v>649</v>
      </c>
      <c r="B8">
        <v>0.83</v>
      </c>
      <c r="C8">
        <v>-23.19</v>
      </c>
      <c r="D8">
        <v>0.1</v>
      </c>
      <c r="E8">
        <v>4.93</v>
      </c>
      <c r="F8" s="3">
        <v>0.86</v>
      </c>
      <c r="G8" s="3">
        <v>-23.29</v>
      </c>
      <c r="H8" s="3">
        <v>0.1</v>
      </c>
      <c r="I8">
        <v>3.51</v>
      </c>
      <c r="J8" t="s">
        <v>968</v>
      </c>
      <c r="K8" t="s">
        <v>49</v>
      </c>
      <c r="L8">
        <v>1525219200</v>
      </c>
      <c r="M8" s="2">
        <v>0.27633000000000002</v>
      </c>
      <c r="N8">
        <v>20</v>
      </c>
      <c r="O8" s="3">
        <v>1.5264263840000001</v>
      </c>
      <c r="P8" s="8">
        <v>210268.54399999999</v>
      </c>
      <c r="Q8" s="8">
        <v>370278.37790000002</v>
      </c>
      <c r="R8" s="8" t="s">
        <v>49</v>
      </c>
      <c r="S8" s="8" t="s">
        <v>22</v>
      </c>
    </row>
    <row r="9" spans="1:19" ht="16" x14ac:dyDescent="0.2">
      <c r="A9" t="s">
        <v>650</v>
      </c>
      <c r="B9">
        <v>0.68500000000000005</v>
      </c>
      <c r="C9">
        <v>-23.375</v>
      </c>
      <c r="D9">
        <v>0.08</v>
      </c>
      <c r="E9">
        <v>5.2050000000000001</v>
      </c>
      <c r="F9" s="3">
        <v>0.68333333299999999</v>
      </c>
      <c r="G9" s="3">
        <v>-23.77</v>
      </c>
      <c r="H9" s="3">
        <v>8.3333332999999996E-2</v>
      </c>
      <c r="I9">
        <v>4.3600000000000003</v>
      </c>
      <c r="J9" t="s">
        <v>968</v>
      </c>
      <c r="K9" t="s">
        <v>49</v>
      </c>
      <c r="L9">
        <v>1525219200</v>
      </c>
      <c r="M9" s="2">
        <v>0.26961000000000002</v>
      </c>
      <c r="N9">
        <v>30</v>
      </c>
      <c r="O9" s="3">
        <v>1.600254563</v>
      </c>
      <c r="P9" s="8">
        <v>210268.54399999999</v>
      </c>
      <c r="Q9" s="8">
        <v>370278.37790000002</v>
      </c>
      <c r="R9" s="8" t="s">
        <v>49</v>
      </c>
      <c r="S9" s="8" t="s">
        <v>22</v>
      </c>
    </row>
    <row r="10" spans="1:19" ht="16" x14ac:dyDescent="0.2">
      <c r="A10" t="s">
        <v>651</v>
      </c>
      <c r="B10">
        <v>0.41</v>
      </c>
      <c r="C10">
        <v>-23.66</v>
      </c>
      <c r="D10">
        <v>0.06</v>
      </c>
      <c r="E10">
        <v>5.22</v>
      </c>
      <c r="F10" s="3">
        <v>0.38</v>
      </c>
      <c r="G10" s="3">
        <v>-23.41</v>
      </c>
      <c r="H10" s="3">
        <v>0.06</v>
      </c>
      <c r="I10">
        <v>3.17</v>
      </c>
      <c r="J10" t="s">
        <v>968</v>
      </c>
      <c r="K10" t="s">
        <v>49</v>
      </c>
      <c r="L10">
        <v>1525219200</v>
      </c>
      <c r="M10" s="2">
        <v>0.33294000000000001</v>
      </c>
      <c r="N10">
        <v>60</v>
      </c>
      <c r="O10" s="3">
        <v>1.4995817579999999</v>
      </c>
      <c r="P10" s="8">
        <v>210268.54399999999</v>
      </c>
      <c r="Q10" s="8">
        <v>370278.37790000002</v>
      </c>
      <c r="R10" s="8" t="s">
        <v>49</v>
      </c>
      <c r="S10" s="8" t="s">
        <v>22</v>
      </c>
    </row>
    <row r="11" spans="1:19" ht="16" x14ac:dyDescent="0.2">
      <c r="A11" t="s">
        <v>652</v>
      </c>
      <c r="B11">
        <v>0.12</v>
      </c>
      <c r="C11">
        <v>-24.66</v>
      </c>
      <c r="D11">
        <v>0.04</v>
      </c>
      <c r="E11">
        <v>4.51</v>
      </c>
      <c r="F11" s="3">
        <v>0.12</v>
      </c>
      <c r="G11" s="3">
        <v>-26.08</v>
      </c>
      <c r="H11" s="3">
        <v>0.04</v>
      </c>
      <c r="I11">
        <v>2.97</v>
      </c>
      <c r="J11" t="s">
        <v>968</v>
      </c>
      <c r="K11" t="s">
        <v>49</v>
      </c>
      <c r="L11">
        <v>1525219200</v>
      </c>
      <c r="M11" s="2">
        <v>0.38472000000000001</v>
      </c>
      <c r="N11">
        <v>100</v>
      </c>
      <c r="O11" s="3">
        <v>1.5759084670000001</v>
      </c>
      <c r="P11" s="8">
        <v>210268.54399999999</v>
      </c>
      <c r="Q11" s="8">
        <v>370278.37790000002</v>
      </c>
      <c r="R11" s="8" t="s">
        <v>49</v>
      </c>
      <c r="S11" s="8" t="s">
        <v>22</v>
      </c>
    </row>
    <row r="12" spans="1:19" ht="16" x14ac:dyDescent="0.2">
      <c r="A12" t="s">
        <v>653</v>
      </c>
      <c r="B12">
        <v>1.56</v>
      </c>
      <c r="C12">
        <v>-25.13</v>
      </c>
      <c r="D12">
        <v>0.16</v>
      </c>
      <c r="E12">
        <v>-0.22</v>
      </c>
      <c r="F12" s="3">
        <v>1.48</v>
      </c>
      <c r="G12" s="3">
        <v>-25.52</v>
      </c>
      <c r="H12" s="3">
        <v>0.16</v>
      </c>
      <c r="I12">
        <v>5.07</v>
      </c>
      <c r="J12" t="s">
        <v>968</v>
      </c>
      <c r="K12" t="s">
        <v>737</v>
      </c>
      <c r="L12">
        <v>1525737600</v>
      </c>
      <c r="M12" s="2">
        <v>0.22594</v>
      </c>
      <c r="N12">
        <v>10</v>
      </c>
      <c r="O12" s="3">
        <v>1.3174289539999999</v>
      </c>
      <c r="P12" s="8">
        <v>209797.8315</v>
      </c>
      <c r="Q12" s="8">
        <v>368638.50109999999</v>
      </c>
      <c r="R12" s="8" t="s">
        <v>55</v>
      </c>
      <c r="S12" s="8" t="s">
        <v>22</v>
      </c>
    </row>
    <row r="13" spans="1:19" ht="16" x14ac:dyDescent="0.2">
      <c r="A13" t="s">
        <v>654</v>
      </c>
      <c r="B13">
        <v>1.335</v>
      </c>
      <c r="C13">
        <v>-25.245000000000001</v>
      </c>
      <c r="D13">
        <v>0.13</v>
      </c>
      <c r="E13">
        <v>5.3049999999999997</v>
      </c>
      <c r="F13" s="3">
        <v>1.28</v>
      </c>
      <c r="G13" s="3">
        <v>-25.234999999999999</v>
      </c>
      <c r="H13" s="3">
        <v>0.13</v>
      </c>
      <c r="I13">
        <v>4.4950000000000001</v>
      </c>
      <c r="J13" t="s">
        <v>968</v>
      </c>
      <c r="K13" t="s">
        <v>737</v>
      </c>
      <c r="L13">
        <v>1525737600</v>
      </c>
      <c r="M13" s="2">
        <v>0.23488999999999999</v>
      </c>
      <c r="N13">
        <v>20</v>
      </c>
      <c r="O13" s="3">
        <v>1.311586838</v>
      </c>
      <c r="P13" s="8">
        <v>209797.8315</v>
      </c>
      <c r="Q13" s="8">
        <v>368638.50109999999</v>
      </c>
      <c r="R13" s="13" t="s">
        <v>55</v>
      </c>
      <c r="S13" s="8" t="s">
        <v>22</v>
      </c>
    </row>
    <row r="14" spans="1:19" ht="16" x14ac:dyDescent="0.2">
      <c r="A14" t="s">
        <v>655</v>
      </c>
      <c r="B14">
        <v>1.02</v>
      </c>
      <c r="C14">
        <v>-25.29</v>
      </c>
      <c r="D14">
        <v>0.11</v>
      </c>
      <c r="E14">
        <v>5.24</v>
      </c>
      <c r="F14" s="3">
        <v>1.04</v>
      </c>
      <c r="G14" s="3">
        <v>-25.21</v>
      </c>
      <c r="H14" s="3">
        <v>0.11</v>
      </c>
      <c r="I14">
        <v>4.2699999999999996</v>
      </c>
      <c r="J14" t="s">
        <v>968</v>
      </c>
      <c r="K14" t="s">
        <v>737</v>
      </c>
      <c r="L14">
        <v>1525737600</v>
      </c>
      <c r="M14" s="2">
        <v>0.23805999999999999</v>
      </c>
      <c r="N14">
        <v>30</v>
      </c>
      <c r="O14" s="3">
        <v>1.3481005779999999</v>
      </c>
      <c r="P14" s="8">
        <v>209797.8315</v>
      </c>
      <c r="Q14" s="8">
        <v>368638.50109999999</v>
      </c>
      <c r="R14" s="13" t="s">
        <v>55</v>
      </c>
      <c r="S14" s="8" t="s">
        <v>22</v>
      </c>
    </row>
    <row r="15" spans="1:19" ht="16" x14ac:dyDescent="0.2">
      <c r="A15" t="s">
        <v>656</v>
      </c>
      <c r="B15">
        <v>0.32</v>
      </c>
      <c r="C15">
        <v>-24.78</v>
      </c>
      <c r="D15">
        <v>0.05</v>
      </c>
      <c r="E15">
        <v>5.79</v>
      </c>
      <c r="F15" s="3">
        <v>0.31</v>
      </c>
      <c r="G15" s="3">
        <v>-25.28</v>
      </c>
      <c r="H15" s="3">
        <v>0.05</v>
      </c>
      <c r="I15">
        <v>3.07</v>
      </c>
      <c r="J15" t="s">
        <v>968</v>
      </c>
      <c r="K15" t="s">
        <v>737</v>
      </c>
      <c r="L15">
        <v>1525737600</v>
      </c>
      <c r="M15" s="2">
        <v>0.24188999999999999</v>
      </c>
      <c r="N15">
        <v>60</v>
      </c>
      <c r="O15" s="3">
        <v>1.4037547450000001</v>
      </c>
      <c r="P15" s="8">
        <v>209797.8315</v>
      </c>
      <c r="Q15" s="8">
        <v>368638.50109999999</v>
      </c>
      <c r="R15" s="13" t="s">
        <v>55</v>
      </c>
      <c r="S15" s="8" t="s">
        <v>22</v>
      </c>
    </row>
    <row r="16" spans="1:19" ht="16" x14ac:dyDescent="0.2">
      <c r="A16" t="s">
        <v>657</v>
      </c>
      <c r="B16">
        <v>0.12</v>
      </c>
      <c r="C16">
        <v>-24.51</v>
      </c>
      <c r="D16">
        <v>0.03</v>
      </c>
      <c r="E16">
        <v>5.61</v>
      </c>
      <c r="F16" s="3">
        <v>0.12</v>
      </c>
      <c r="G16" s="3">
        <v>-25.95</v>
      </c>
      <c r="H16" s="3">
        <v>0.03</v>
      </c>
      <c r="I16">
        <v>0.44</v>
      </c>
      <c r="J16" t="s">
        <v>968</v>
      </c>
      <c r="K16" t="s">
        <v>737</v>
      </c>
      <c r="L16">
        <v>1525737600</v>
      </c>
      <c r="M16" s="2">
        <v>0.24682999999999999</v>
      </c>
      <c r="N16">
        <v>100</v>
      </c>
      <c r="O16" s="3">
        <v>1.4320923729999999</v>
      </c>
      <c r="P16" s="8">
        <v>209797.8315</v>
      </c>
      <c r="Q16" s="8">
        <v>368638.50109999999</v>
      </c>
      <c r="R16" s="13" t="s">
        <v>55</v>
      </c>
      <c r="S16" s="8" t="s">
        <v>22</v>
      </c>
    </row>
    <row r="17" spans="1:19" ht="16" x14ac:dyDescent="0.2">
      <c r="A17" t="s">
        <v>658</v>
      </c>
      <c r="B17">
        <v>2.58</v>
      </c>
      <c r="C17">
        <v>-22.15</v>
      </c>
      <c r="D17">
        <v>0.27</v>
      </c>
      <c r="E17">
        <v>7.21</v>
      </c>
      <c r="F17" s="3">
        <v>2.5150000000000001</v>
      </c>
      <c r="G17" s="3">
        <v>-22.204999999999998</v>
      </c>
      <c r="H17" s="3">
        <v>0.26500000000000001</v>
      </c>
      <c r="I17">
        <v>6.42</v>
      </c>
      <c r="J17" t="s">
        <v>968</v>
      </c>
      <c r="K17" t="s">
        <v>755</v>
      </c>
      <c r="L17">
        <v>1525824000</v>
      </c>
      <c r="M17" s="2">
        <v>0.46400000000000002</v>
      </c>
      <c r="N17">
        <v>10</v>
      </c>
      <c r="O17" s="3">
        <v>1.2843579030000001</v>
      </c>
      <c r="P17" s="8">
        <v>204909.54329999999</v>
      </c>
      <c r="Q17" s="8">
        <v>366099.93910000002</v>
      </c>
      <c r="R17" s="8" t="s">
        <v>159</v>
      </c>
      <c r="S17" s="8" t="s">
        <v>22</v>
      </c>
    </row>
    <row r="18" spans="1:19" ht="16" x14ac:dyDescent="0.2">
      <c r="A18" t="s">
        <v>659</v>
      </c>
      <c r="B18">
        <v>2.99</v>
      </c>
      <c r="C18">
        <v>-22.22</v>
      </c>
      <c r="D18">
        <v>0.3</v>
      </c>
      <c r="E18">
        <v>6.59</v>
      </c>
      <c r="F18" s="3">
        <v>2.72</v>
      </c>
      <c r="G18" s="3">
        <v>-22.15</v>
      </c>
      <c r="H18" s="3">
        <v>0.28000000000000003</v>
      </c>
      <c r="I18">
        <v>5.97</v>
      </c>
      <c r="J18" t="s">
        <v>968</v>
      </c>
      <c r="K18" t="s">
        <v>755</v>
      </c>
      <c r="L18">
        <v>1525824000</v>
      </c>
      <c r="M18" s="2">
        <v>0.40949999999999998</v>
      </c>
      <c r="N18">
        <v>20</v>
      </c>
      <c r="O18" s="3">
        <v>1.255450164</v>
      </c>
      <c r="P18" s="8">
        <v>204909.54329999999</v>
      </c>
      <c r="Q18" s="8">
        <v>366099.93910000002</v>
      </c>
      <c r="R18" s="8" t="s">
        <v>159</v>
      </c>
      <c r="S18" s="8" t="s">
        <v>22</v>
      </c>
    </row>
    <row r="19" spans="1:19" ht="16" x14ac:dyDescent="0.2">
      <c r="A19" t="s">
        <v>660</v>
      </c>
      <c r="B19">
        <v>2.1800000000000002</v>
      </c>
      <c r="C19">
        <v>-22.73</v>
      </c>
      <c r="D19">
        <v>0.23</v>
      </c>
      <c r="E19">
        <v>7.73</v>
      </c>
      <c r="F19" s="3">
        <v>1.93</v>
      </c>
      <c r="G19" s="3">
        <v>-22.88</v>
      </c>
      <c r="H19" s="3">
        <v>0.21</v>
      </c>
      <c r="I19">
        <v>7.25</v>
      </c>
      <c r="J19" t="s">
        <v>968</v>
      </c>
      <c r="K19" t="s">
        <v>755</v>
      </c>
      <c r="L19">
        <v>1525824000</v>
      </c>
      <c r="M19" s="2">
        <v>0.44322</v>
      </c>
      <c r="N19">
        <v>30</v>
      </c>
      <c r="O19" s="3">
        <v>1.3142939520000001</v>
      </c>
      <c r="P19" s="8">
        <v>204909.54329999999</v>
      </c>
      <c r="Q19" s="8">
        <v>366099.93910000002</v>
      </c>
      <c r="R19" s="8" t="s">
        <v>159</v>
      </c>
      <c r="S19" s="8" t="s">
        <v>22</v>
      </c>
    </row>
    <row r="20" spans="1:19" ht="16" x14ac:dyDescent="0.2">
      <c r="A20" t="s">
        <v>661</v>
      </c>
      <c r="B20">
        <v>1.1000000000000001</v>
      </c>
      <c r="C20">
        <v>-23.1</v>
      </c>
      <c r="D20">
        <v>0.13</v>
      </c>
      <c r="E20">
        <v>7.39</v>
      </c>
      <c r="F20" s="3">
        <v>1.0900000000000001</v>
      </c>
      <c r="G20" s="3">
        <v>-23.36</v>
      </c>
      <c r="H20" s="3">
        <v>0.13</v>
      </c>
      <c r="I20">
        <v>6.19</v>
      </c>
      <c r="J20" t="s">
        <v>968</v>
      </c>
      <c r="K20" t="s">
        <v>755</v>
      </c>
      <c r="L20">
        <v>1525824000</v>
      </c>
      <c r="M20" s="2">
        <v>0.57394000000000001</v>
      </c>
      <c r="N20">
        <v>60</v>
      </c>
      <c r="O20" s="3">
        <v>1.4651492740000001</v>
      </c>
      <c r="P20" s="8">
        <v>204909.54329999999</v>
      </c>
      <c r="Q20" s="8">
        <v>366099.93910000002</v>
      </c>
      <c r="R20" s="8" t="s">
        <v>159</v>
      </c>
      <c r="S20" s="8" t="s">
        <v>22</v>
      </c>
    </row>
    <row r="21" spans="1:19" ht="16" x14ac:dyDescent="0.2">
      <c r="A21" t="s">
        <v>662</v>
      </c>
      <c r="B21">
        <v>0.22500000000000001</v>
      </c>
      <c r="C21">
        <v>-23.774999999999999</v>
      </c>
      <c r="D21">
        <v>0.05</v>
      </c>
      <c r="E21">
        <v>5.6749999999999998</v>
      </c>
      <c r="F21" s="3">
        <v>0.24</v>
      </c>
      <c r="G21" s="3">
        <v>-23.9</v>
      </c>
      <c r="H21" s="3">
        <v>0.05</v>
      </c>
      <c r="I21">
        <v>2.835</v>
      </c>
      <c r="J21" t="s">
        <v>968</v>
      </c>
      <c r="K21" t="s">
        <v>755</v>
      </c>
      <c r="L21">
        <v>1525824000</v>
      </c>
      <c r="M21" s="2">
        <v>0.50494000000000006</v>
      </c>
      <c r="N21">
        <v>100</v>
      </c>
      <c r="O21" s="3">
        <v>1.585001281</v>
      </c>
      <c r="P21" s="8">
        <v>204909.54329999999</v>
      </c>
      <c r="Q21" s="8">
        <v>366099.93910000002</v>
      </c>
      <c r="R21" s="8" t="s">
        <v>159</v>
      </c>
      <c r="S21" s="8" t="s">
        <v>22</v>
      </c>
    </row>
    <row r="22" spans="1:19" ht="16" x14ac:dyDescent="0.2">
      <c r="A22" t="s">
        <v>663</v>
      </c>
      <c r="B22">
        <v>1.21</v>
      </c>
      <c r="C22">
        <v>-20.13</v>
      </c>
      <c r="D22">
        <v>0.13</v>
      </c>
      <c r="E22">
        <v>6.14</v>
      </c>
      <c r="F22" s="3">
        <v>1.1399999999999999</v>
      </c>
      <c r="G22" s="3">
        <v>-22.63</v>
      </c>
      <c r="H22" s="3">
        <v>0.13</v>
      </c>
      <c r="I22">
        <v>5.27</v>
      </c>
      <c r="J22" t="s">
        <v>968</v>
      </c>
      <c r="K22" t="s">
        <v>725</v>
      </c>
      <c r="L22">
        <v>1525910400</v>
      </c>
      <c r="M22" s="2">
        <v>0.32267000000000001</v>
      </c>
      <c r="N22">
        <v>10</v>
      </c>
      <c r="O22" s="3">
        <v>1.4259905909999999</v>
      </c>
      <c r="P22" s="8">
        <v>209868.28159999999</v>
      </c>
      <c r="Q22" s="8">
        <v>370198.27370000002</v>
      </c>
      <c r="R22" s="8" t="s">
        <v>285</v>
      </c>
      <c r="S22" s="8" t="s">
        <v>22</v>
      </c>
    </row>
    <row r="23" spans="1:19" ht="16" x14ac:dyDescent="0.2">
      <c r="A23" t="s">
        <v>664</v>
      </c>
      <c r="B23">
        <v>0.99</v>
      </c>
      <c r="C23">
        <v>-22.73</v>
      </c>
      <c r="D23">
        <v>0.12</v>
      </c>
      <c r="E23">
        <v>6.01</v>
      </c>
      <c r="F23" s="3">
        <v>1.1499999999999999</v>
      </c>
      <c r="G23" s="3">
        <v>-22.68</v>
      </c>
      <c r="H23" s="3">
        <v>0.14000000000000001</v>
      </c>
      <c r="I23">
        <v>5.23</v>
      </c>
      <c r="J23" t="s">
        <v>968</v>
      </c>
      <c r="K23" t="s">
        <v>725</v>
      </c>
      <c r="L23">
        <v>1525910400</v>
      </c>
      <c r="M23" s="2">
        <v>0.33117000000000002</v>
      </c>
      <c r="N23">
        <v>20</v>
      </c>
      <c r="O23" s="3">
        <v>1.495884427</v>
      </c>
      <c r="P23" s="8">
        <v>209868.28159999999</v>
      </c>
      <c r="Q23" s="8">
        <v>370198.27370000002</v>
      </c>
      <c r="R23" s="8" t="s">
        <v>285</v>
      </c>
      <c r="S23" s="8" t="s">
        <v>22</v>
      </c>
    </row>
    <row r="24" spans="1:19" ht="16" x14ac:dyDescent="0.2">
      <c r="A24" t="s">
        <v>665</v>
      </c>
      <c r="B24">
        <v>0.39</v>
      </c>
      <c r="C24">
        <v>-23.13</v>
      </c>
      <c r="D24">
        <v>0.06</v>
      </c>
      <c r="E24">
        <v>6.18</v>
      </c>
      <c r="F24" s="3">
        <v>0.36</v>
      </c>
      <c r="G24" s="3">
        <v>-23</v>
      </c>
      <c r="H24" s="3">
        <v>0.06</v>
      </c>
      <c r="I24">
        <v>4.5199999999999996</v>
      </c>
      <c r="J24" t="s">
        <v>968</v>
      </c>
      <c r="K24" t="s">
        <v>725</v>
      </c>
      <c r="L24">
        <v>1525910400</v>
      </c>
      <c r="M24" s="2">
        <v>0.31844</v>
      </c>
      <c r="N24">
        <v>30</v>
      </c>
      <c r="O24" s="3">
        <v>1.627062529</v>
      </c>
      <c r="P24" s="8">
        <v>209868.28159999999</v>
      </c>
      <c r="Q24" s="8">
        <v>370198.27370000002</v>
      </c>
      <c r="R24" s="8" t="s">
        <v>285</v>
      </c>
      <c r="S24" s="8" t="s">
        <v>22</v>
      </c>
    </row>
    <row r="25" spans="1:19" ht="16" x14ac:dyDescent="0.2">
      <c r="A25" t="s">
        <v>666</v>
      </c>
      <c r="B25">
        <v>0.37</v>
      </c>
      <c r="C25">
        <v>-23.335000000000001</v>
      </c>
      <c r="D25">
        <v>0.06</v>
      </c>
      <c r="E25">
        <v>6.2750000000000004</v>
      </c>
      <c r="F25" s="3">
        <v>0.38</v>
      </c>
      <c r="G25" s="3">
        <v>-23.625</v>
      </c>
      <c r="H25" s="3">
        <v>0.06</v>
      </c>
      <c r="I25">
        <v>4.38</v>
      </c>
      <c r="J25" t="s">
        <v>968</v>
      </c>
      <c r="K25" t="s">
        <v>725</v>
      </c>
      <c r="L25">
        <v>1525910400</v>
      </c>
      <c r="M25" s="2">
        <v>0.30621999999999999</v>
      </c>
      <c r="N25">
        <v>60</v>
      </c>
      <c r="O25" s="3">
        <v>1.484634912</v>
      </c>
      <c r="P25" s="8">
        <v>209868.28159999999</v>
      </c>
      <c r="Q25" s="8">
        <v>370198.27370000002</v>
      </c>
      <c r="R25" s="8" t="s">
        <v>285</v>
      </c>
      <c r="S25" s="8" t="s">
        <v>22</v>
      </c>
    </row>
    <row r="26" spans="1:19" ht="16" x14ac:dyDescent="0.2">
      <c r="A26" t="s">
        <v>667</v>
      </c>
      <c r="B26">
        <v>0.14499999999999999</v>
      </c>
      <c r="C26">
        <v>-23.934999999999999</v>
      </c>
      <c r="D26">
        <v>0.04</v>
      </c>
      <c r="E26">
        <v>5.0449999999999999</v>
      </c>
      <c r="F26" s="3">
        <v>0.15</v>
      </c>
      <c r="G26" s="3">
        <v>-24.25</v>
      </c>
      <c r="H26" s="3">
        <v>0.04</v>
      </c>
      <c r="I26">
        <v>3.06</v>
      </c>
      <c r="J26" t="s">
        <v>968</v>
      </c>
      <c r="K26" t="s">
        <v>725</v>
      </c>
      <c r="L26">
        <v>1525910400</v>
      </c>
      <c r="M26" s="2">
        <v>0.30939</v>
      </c>
      <c r="N26">
        <v>100</v>
      </c>
      <c r="O26" s="3">
        <v>1.536137909</v>
      </c>
      <c r="P26" s="8">
        <v>209868.28159999999</v>
      </c>
      <c r="Q26" s="8">
        <v>370198.27370000002</v>
      </c>
      <c r="R26" s="8" t="s">
        <v>285</v>
      </c>
      <c r="S26" s="8" t="s">
        <v>22</v>
      </c>
    </row>
    <row r="27" spans="1:19" ht="16" x14ac:dyDescent="0.2">
      <c r="A27" t="s">
        <v>668</v>
      </c>
      <c r="B27">
        <v>0.82</v>
      </c>
      <c r="C27">
        <v>-22.02</v>
      </c>
      <c r="D27">
        <v>0.105</v>
      </c>
      <c r="E27">
        <v>4.57</v>
      </c>
      <c r="F27" s="3">
        <v>0.83</v>
      </c>
      <c r="G27" s="3">
        <v>-22.24</v>
      </c>
      <c r="H27" s="3">
        <v>0.09</v>
      </c>
      <c r="I27">
        <v>4.51</v>
      </c>
      <c r="J27" t="s">
        <v>968</v>
      </c>
      <c r="K27" t="s">
        <v>731</v>
      </c>
      <c r="L27">
        <v>1525910400</v>
      </c>
      <c r="M27" s="2">
        <v>0.3105</v>
      </c>
      <c r="N27">
        <v>10</v>
      </c>
      <c r="O27" s="3">
        <v>1.541575527</v>
      </c>
      <c r="P27" s="8">
        <v>208112.63140000001</v>
      </c>
      <c r="Q27" s="8">
        <v>365496.48340000003</v>
      </c>
      <c r="R27" s="8" t="s">
        <v>623</v>
      </c>
      <c r="S27" s="8" t="s">
        <v>22</v>
      </c>
    </row>
    <row r="28" spans="1:19" ht="16" x14ac:dyDescent="0.2">
      <c r="A28" t="s">
        <v>669</v>
      </c>
      <c r="B28">
        <v>0.61</v>
      </c>
      <c r="C28">
        <v>-22.59</v>
      </c>
      <c r="D28">
        <v>0.08</v>
      </c>
      <c r="E28">
        <v>4.8</v>
      </c>
      <c r="F28" s="3">
        <v>0.69</v>
      </c>
      <c r="G28" s="3">
        <v>-22.56</v>
      </c>
      <c r="H28" s="3">
        <v>0.08</v>
      </c>
      <c r="I28">
        <v>4.5999999999999996</v>
      </c>
      <c r="J28" t="s">
        <v>968</v>
      </c>
      <c r="K28" t="s">
        <v>731</v>
      </c>
      <c r="L28">
        <v>1525910400</v>
      </c>
      <c r="M28" s="2">
        <v>0.31522</v>
      </c>
      <c r="N28">
        <v>20</v>
      </c>
      <c r="O28" s="3">
        <v>1.6421622950000001</v>
      </c>
      <c r="P28" s="8">
        <v>208112.63140000001</v>
      </c>
      <c r="Q28" s="8">
        <v>365496.48340000003</v>
      </c>
      <c r="R28" s="8" t="s">
        <v>623</v>
      </c>
      <c r="S28" s="8" t="s">
        <v>22</v>
      </c>
    </row>
    <row r="29" spans="1:19" ht="16" x14ac:dyDescent="0.2">
      <c r="A29" t="s">
        <v>670</v>
      </c>
      <c r="B29">
        <v>0.48</v>
      </c>
      <c r="C29">
        <v>-22.51</v>
      </c>
      <c r="D29">
        <v>6.5000000000000002E-2</v>
      </c>
      <c r="E29">
        <v>5.6449999999999996</v>
      </c>
      <c r="F29" s="3">
        <v>0.49333333299999999</v>
      </c>
      <c r="G29" s="3" t="s">
        <v>671</v>
      </c>
      <c r="H29" s="3">
        <v>6.3333333000000006E-2</v>
      </c>
      <c r="I29">
        <v>4.3</v>
      </c>
      <c r="J29" t="s">
        <v>968</v>
      </c>
      <c r="K29" t="s">
        <v>731</v>
      </c>
      <c r="L29">
        <v>1525910400</v>
      </c>
      <c r="M29" s="2">
        <v>0.31983</v>
      </c>
      <c r="N29">
        <v>30</v>
      </c>
      <c r="O29" s="3">
        <v>1.6332148369999999</v>
      </c>
      <c r="P29" s="8">
        <v>208112.63140000001</v>
      </c>
      <c r="Q29" s="8">
        <v>365496.48340000003</v>
      </c>
      <c r="R29" s="8" t="s">
        <v>623</v>
      </c>
      <c r="S29" s="8" t="s">
        <v>22</v>
      </c>
    </row>
    <row r="30" spans="1:19" ht="16" x14ac:dyDescent="0.2">
      <c r="A30" t="s">
        <v>672</v>
      </c>
      <c r="B30">
        <v>0.12</v>
      </c>
      <c r="C30">
        <v>-22.44</v>
      </c>
      <c r="D30">
        <v>0.03</v>
      </c>
      <c r="E30">
        <v>6.04</v>
      </c>
      <c r="F30" s="3">
        <v>0.13</v>
      </c>
      <c r="G30" s="3">
        <v>-23.33</v>
      </c>
      <c r="H30" s="3">
        <v>0.03</v>
      </c>
      <c r="I30">
        <v>3.07</v>
      </c>
      <c r="J30" t="s">
        <v>968</v>
      </c>
      <c r="K30" t="s">
        <v>731</v>
      </c>
      <c r="L30">
        <v>1525910400</v>
      </c>
      <c r="M30" s="2">
        <v>0.33194000000000001</v>
      </c>
      <c r="N30">
        <v>60</v>
      </c>
      <c r="O30" s="3">
        <v>1.5190074849999999</v>
      </c>
      <c r="P30" s="8">
        <v>208112.63140000001</v>
      </c>
      <c r="Q30" s="8">
        <v>365496.48340000003</v>
      </c>
      <c r="R30" s="8" t="s">
        <v>623</v>
      </c>
      <c r="S30" s="8" t="s">
        <v>22</v>
      </c>
    </row>
    <row r="31" spans="1:19" ht="16" x14ac:dyDescent="0.2">
      <c r="A31" t="s">
        <v>673</v>
      </c>
      <c r="B31">
        <v>0.09</v>
      </c>
      <c r="C31">
        <v>-24</v>
      </c>
      <c r="D31">
        <v>0.03</v>
      </c>
      <c r="E31">
        <v>5.41</v>
      </c>
      <c r="F31" s="3">
        <v>0.1</v>
      </c>
      <c r="G31" s="3">
        <v>-24.64</v>
      </c>
      <c r="H31" s="3">
        <v>0.03</v>
      </c>
      <c r="I31">
        <v>2.09</v>
      </c>
      <c r="J31" t="s">
        <v>968</v>
      </c>
      <c r="K31" t="s">
        <v>731</v>
      </c>
      <c r="L31">
        <v>1525910400</v>
      </c>
      <c r="M31" s="2">
        <v>0.33439000000000002</v>
      </c>
      <c r="N31">
        <v>100</v>
      </c>
      <c r="O31" s="3">
        <v>1.4181919110000001</v>
      </c>
      <c r="P31" s="8">
        <v>208112.63140000001</v>
      </c>
      <c r="Q31" s="8">
        <v>365496.48340000003</v>
      </c>
      <c r="R31" s="8" t="s">
        <v>623</v>
      </c>
      <c r="S31" s="8" t="s">
        <v>22</v>
      </c>
    </row>
    <row r="32" spans="1:19" ht="16" x14ac:dyDescent="0.2">
      <c r="A32" t="s">
        <v>674</v>
      </c>
      <c r="B32">
        <v>1.51</v>
      </c>
      <c r="C32">
        <v>-25.81</v>
      </c>
      <c r="D32">
        <v>0.15</v>
      </c>
      <c r="E32">
        <v>5.82</v>
      </c>
      <c r="F32" s="3">
        <v>1.45</v>
      </c>
      <c r="G32" s="3">
        <v>-25.725000000000001</v>
      </c>
      <c r="H32" s="3">
        <v>0.14499999999999999</v>
      </c>
      <c r="I32">
        <v>4.91</v>
      </c>
      <c r="J32" t="s">
        <v>968</v>
      </c>
      <c r="K32" t="s">
        <v>737</v>
      </c>
      <c r="L32">
        <v>1541635200</v>
      </c>
      <c r="N32">
        <v>10</v>
      </c>
      <c r="O32" s="3">
        <v>1.3232654260000001</v>
      </c>
      <c r="P32" s="8">
        <v>209797.8315</v>
      </c>
      <c r="Q32" s="8">
        <v>368638.50109999999</v>
      </c>
      <c r="R32" s="13" t="s">
        <v>55</v>
      </c>
      <c r="S32" s="8" t="s">
        <v>22</v>
      </c>
    </row>
    <row r="33" spans="1:19" ht="16" x14ac:dyDescent="0.2">
      <c r="A33" t="s">
        <v>675</v>
      </c>
      <c r="B33">
        <v>1.57</v>
      </c>
      <c r="C33">
        <v>-25.89</v>
      </c>
      <c r="D33">
        <v>0.16</v>
      </c>
      <c r="E33">
        <v>5.32</v>
      </c>
      <c r="F33" s="3">
        <v>1.43</v>
      </c>
      <c r="G33" s="3">
        <v>-25.53</v>
      </c>
      <c r="H33" s="3">
        <v>1.55</v>
      </c>
      <c r="I33">
        <v>5.0199999999999996</v>
      </c>
      <c r="J33" t="s">
        <v>968</v>
      </c>
      <c r="K33" t="s">
        <v>737</v>
      </c>
      <c r="L33">
        <v>1541635200</v>
      </c>
      <c r="N33">
        <v>20</v>
      </c>
      <c r="O33" s="3">
        <v>1.3383138020000001</v>
      </c>
      <c r="P33" s="8">
        <v>209797.8315</v>
      </c>
      <c r="Q33" s="8">
        <v>368638.50109999999</v>
      </c>
      <c r="R33" s="13" t="s">
        <v>55</v>
      </c>
      <c r="S33" s="8" t="s">
        <v>22</v>
      </c>
    </row>
    <row r="34" spans="1:19" ht="16" x14ac:dyDescent="0.2">
      <c r="A34" t="s">
        <v>676</v>
      </c>
      <c r="B34">
        <v>1.0549999999999999</v>
      </c>
      <c r="C34">
        <v>-25.15</v>
      </c>
      <c r="D34">
        <v>0.105</v>
      </c>
      <c r="E34">
        <v>6.01</v>
      </c>
      <c r="F34" s="3">
        <v>1.08</v>
      </c>
      <c r="G34" s="3">
        <v>-25.08</v>
      </c>
      <c r="H34" s="3">
        <v>0.11</v>
      </c>
      <c r="I34">
        <v>5.12</v>
      </c>
      <c r="J34" t="s">
        <v>968</v>
      </c>
      <c r="K34" t="s">
        <v>737</v>
      </c>
      <c r="L34">
        <v>1541635200</v>
      </c>
      <c r="N34">
        <v>30</v>
      </c>
      <c r="O34" s="3">
        <v>1.3385755939999999</v>
      </c>
      <c r="P34" s="8">
        <v>209797.8315</v>
      </c>
      <c r="Q34" s="8">
        <v>368638.50109999999</v>
      </c>
      <c r="R34" s="13" t="s">
        <v>55</v>
      </c>
      <c r="S34" s="8" t="s">
        <v>22</v>
      </c>
    </row>
    <row r="35" spans="1:19" ht="16" x14ac:dyDescent="0.2">
      <c r="A35" t="s">
        <v>677</v>
      </c>
      <c r="B35">
        <v>0.49</v>
      </c>
      <c r="C35">
        <v>-24.04</v>
      </c>
      <c r="D35">
        <v>0.06</v>
      </c>
      <c r="E35">
        <v>6.77</v>
      </c>
      <c r="F35" s="3">
        <v>0.41</v>
      </c>
      <c r="G35" s="3">
        <v>-24.02</v>
      </c>
      <c r="H35" s="3">
        <v>7.0000000000000007E-2</v>
      </c>
      <c r="I35">
        <v>4.58</v>
      </c>
      <c r="J35" t="s">
        <v>968</v>
      </c>
      <c r="K35" t="s">
        <v>737</v>
      </c>
      <c r="L35">
        <v>1541635200</v>
      </c>
      <c r="N35">
        <v>60</v>
      </c>
      <c r="O35" s="3">
        <v>1.3536717709999999</v>
      </c>
      <c r="P35" s="8">
        <v>209797.8315</v>
      </c>
      <c r="Q35" s="8">
        <v>368638.50109999999</v>
      </c>
      <c r="R35" s="13" t="s">
        <v>55</v>
      </c>
      <c r="S35" s="8" t="s">
        <v>22</v>
      </c>
    </row>
    <row r="36" spans="1:19" ht="16" x14ac:dyDescent="0.2">
      <c r="A36" t="s">
        <v>678</v>
      </c>
      <c r="B36">
        <v>0.17</v>
      </c>
      <c r="C36">
        <v>-24.29</v>
      </c>
      <c r="D36">
        <v>0.04</v>
      </c>
      <c r="E36">
        <v>5.57</v>
      </c>
      <c r="F36" s="3">
        <v>0.17</v>
      </c>
      <c r="G36" s="3">
        <v>-24.614999999999998</v>
      </c>
      <c r="H36" s="3">
        <v>4.4999999999999998E-2</v>
      </c>
      <c r="I36">
        <v>1.7350000000000001</v>
      </c>
      <c r="J36" t="s">
        <v>968</v>
      </c>
      <c r="K36" t="s">
        <v>737</v>
      </c>
      <c r="L36">
        <v>1541635200</v>
      </c>
      <c r="N36">
        <v>100</v>
      </c>
      <c r="O36" s="3">
        <v>1.382577172</v>
      </c>
      <c r="P36" s="8">
        <v>209797.8315</v>
      </c>
      <c r="Q36" s="8">
        <v>368638.50109999999</v>
      </c>
      <c r="R36" s="13" t="s">
        <v>55</v>
      </c>
      <c r="S36" s="8" t="s">
        <v>22</v>
      </c>
    </row>
    <row r="37" spans="1:19" ht="16" x14ac:dyDescent="0.2">
      <c r="A37" t="s">
        <v>679</v>
      </c>
      <c r="B37">
        <v>1.04</v>
      </c>
      <c r="C37">
        <v>-22.11</v>
      </c>
      <c r="D37">
        <v>0.13</v>
      </c>
      <c r="E37">
        <v>5.97</v>
      </c>
      <c r="F37" s="3">
        <v>1.03</v>
      </c>
      <c r="G37" s="3">
        <v>-22.05</v>
      </c>
      <c r="H37" s="3">
        <v>0.14000000000000001</v>
      </c>
      <c r="I37">
        <v>4.3099999999999996</v>
      </c>
      <c r="J37" t="s">
        <v>968</v>
      </c>
      <c r="K37" t="s">
        <v>725</v>
      </c>
      <c r="L37">
        <v>1541721600</v>
      </c>
      <c r="N37">
        <v>10</v>
      </c>
      <c r="O37" s="3">
        <v>1.4927882299999999</v>
      </c>
      <c r="P37" s="8">
        <v>209868.28159999999</v>
      </c>
      <c r="Q37" s="8">
        <v>370198.27370000002</v>
      </c>
      <c r="R37" s="8" t="s">
        <v>285</v>
      </c>
      <c r="S37" s="8" t="s">
        <v>22</v>
      </c>
    </row>
    <row r="38" spans="1:19" ht="16" x14ac:dyDescent="0.2">
      <c r="A38" t="s">
        <v>680</v>
      </c>
      <c r="B38">
        <v>1.19</v>
      </c>
      <c r="C38">
        <v>-21.77</v>
      </c>
      <c r="D38">
        <v>0.13</v>
      </c>
      <c r="E38">
        <v>5.66</v>
      </c>
      <c r="F38" s="3">
        <v>1.05</v>
      </c>
      <c r="G38" s="3">
        <v>-22.094999999999999</v>
      </c>
      <c r="H38" s="3">
        <v>0.14000000000000001</v>
      </c>
      <c r="I38">
        <v>4.05</v>
      </c>
      <c r="J38" t="s">
        <v>968</v>
      </c>
      <c r="K38" t="s">
        <v>725</v>
      </c>
      <c r="L38">
        <v>1541721600</v>
      </c>
      <c r="N38">
        <v>20</v>
      </c>
      <c r="O38" s="3">
        <v>1.511826366</v>
      </c>
      <c r="P38" s="8">
        <v>209868.28159999999</v>
      </c>
      <c r="Q38" s="8">
        <v>370198.27370000002</v>
      </c>
      <c r="R38" s="8" t="s">
        <v>285</v>
      </c>
      <c r="S38" s="8" t="s">
        <v>22</v>
      </c>
    </row>
    <row r="39" spans="1:19" ht="16" x14ac:dyDescent="0.2">
      <c r="A39" t="s">
        <v>681</v>
      </c>
      <c r="B39">
        <v>0.81</v>
      </c>
      <c r="C39">
        <v>-22.61</v>
      </c>
      <c r="D39">
        <v>0.1</v>
      </c>
      <c r="E39">
        <v>5.47</v>
      </c>
      <c r="F39" s="3">
        <v>0.83</v>
      </c>
      <c r="G39" s="3">
        <v>-22.78</v>
      </c>
      <c r="H39" s="3">
        <v>0.13</v>
      </c>
      <c r="I39">
        <v>3.61</v>
      </c>
      <c r="J39" t="s">
        <v>968</v>
      </c>
      <c r="K39" t="s">
        <v>725</v>
      </c>
      <c r="L39">
        <v>1541721600</v>
      </c>
      <c r="N39">
        <v>30</v>
      </c>
      <c r="O39" s="3">
        <v>1.5716024159999999</v>
      </c>
      <c r="P39" s="8">
        <v>209868.28159999999</v>
      </c>
      <c r="Q39" s="8">
        <v>370198.27370000002</v>
      </c>
      <c r="R39" s="8" t="s">
        <v>285</v>
      </c>
      <c r="S39" s="8" t="s">
        <v>22</v>
      </c>
    </row>
    <row r="40" spans="1:19" ht="16" x14ac:dyDescent="0.2">
      <c r="A40" t="s">
        <v>682</v>
      </c>
      <c r="B40">
        <v>0.47</v>
      </c>
      <c r="C40">
        <v>-23.045000000000002</v>
      </c>
      <c r="D40">
        <v>0.65</v>
      </c>
      <c r="E40">
        <v>6.0650000000000004</v>
      </c>
      <c r="F40" s="3">
        <v>0.5</v>
      </c>
      <c r="G40" s="3">
        <v>-23.18</v>
      </c>
      <c r="H40" s="3">
        <v>0.09</v>
      </c>
      <c r="I40">
        <v>2.59</v>
      </c>
      <c r="J40" t="s">
        <v>968</v>
      </c>
      <c r="K40" t="s">
        <v>725</v>
      </c>
      <c r="L40">
        <v>1541721600</v>
      </c>
      <c r="N40">
        <v>60</v>
      </c>
      <c r="O40" s="3">
        <v>1.55575324</v>
      </c>
      <c r="P40" s="8">
        <v>209868.28159999999</v>
      </c>
      <c r="Q40" s="8">
        <v>370198.27370000002</v>
      </c>
      <c r="R40" s="8" t="s">
        <v>285</v>
      </c>
      <c r="S40" s="8" t="s">
        <v>22</v>
      </c>
    </row>
    <row r="41" spans="1:19" ht="16" x14ac:dyDescent="0.2">
      <c r="A41" t="s">
        <v>683</v>
      </c>
      <c r="B41">
        <v>0.24</v>
      </c>
      <c r="C41">
        <v>-22.65</v>
      </c>
      <c r="D41">
        <v>0.05</v>
      </c>
      <c r="E41">
        <v>6.49</v>
      </c>
      <c r="F41" s="3">
        <v>0.24</v>
      </c>
      <c r="G41" s="3">
        <v>-22.84</v>
      </c>
      <c r="H41" s="3">
        <v>7.0000000000000007E-2</v>
      </c>
      <c r="I41">
        <v>1.72</v>
      </c>
      <c r="J41" t="s">
        <v>968</v>
      </c>
      <c r="K41" t="s">
        <v>725</v>
      </c>
      <c r="L41">
        <v>1541721600</v>
      </c>
      <c r="N41">
        <v>100</v>
      </c>
      <c r="O41" s="3">
        <v>1.5628913959999999</v>
      </c>
      <c r="P41" s="8">
        <v>209868.28159999999</v>
      </c>
      <c r="Q41" s="8">
        <v>370198.27370000002</v>
      </c>
      <c r="R41" s="8" t="s">
        <v>285</v>
      </c>
      <c r="S41" s="8" t="s">
        <v>22</v>
      </c>
    </row>
    <row r="42" spans="1:19" ht="16" x14ac:dyDescent="0.2">
      <c r="A42" t="s">
        <v>684</v>
      </c>
      <c r="B42">
        <v>1.01</v>
      </c>
      <c r="C42">
        <v>-21.36</v>
      </c>
      <c r="D42">
        <v>0.11</v>
      </c>
      <c r="E42">
        <v>4.95</v>
      </c>
      <c r="F42" s="3">
        <v>1.1100000000000001</v>
      </c>
      <c r="G42" s="3">
        <v>-21.69</v>
      </c>
      <c r="H42" s="3">
        <v>0.13</v>
      </c>
      <c r="I42">
        <v>4.08</v>
      </c>
      <c r="J42" t="s">
        <v>968</v>
      </c>
      <c r="K42" t="s">
        <v>42</v>
      </c>
      <c r="L42">
        <v>1541721600</v>
      </c>
      <c r="N42">
        <v>10</v>
      </c>
      <c r="O42" s="3">
        <v>1.5721628670000001</v>
      </c>
      <c r="P42" s="8">
        <v>207160.9541</v>
      </c>
      <c r="Q42" s="8">
        <v>364717.0062</v>
      </c>
      <c r="R42" s="8" t="s">
        <v>42</v>
      </c>
      <c r="S42" s="8" t="s">
        <v>22</v>
      </c>
    </row>
    <row r="43" spans="1:19" ht="16" x14ac:dyDescent="0.2">
      <c r="A43" t="s">
        <v>685</v>
      </c>
      <c r="B43">
        <v>1.06</v>
      </c>
      <c r="C43">
        <v>-20.734999999999999</v>
      </c>
      <c r="D43">
        <v>0.125</v>
      </c>
      <c r="E43">
        <v>5.35</v>
      </c>
      <c r="F43" s="3">
        <v>1.02</v>
      </c>
      <c r="G43" s="3">
        <v>-21.15</v>
      </c>
      <c r="H43" s="3">
        <v>0.13</v>
      </c>
      <c r="I43">
        <v>3.44</v>
      </c>
      <c r="J43" t="s">
        <v>968</v>
      </c>
      <c r="K43" t="s">
        <v>42</v>
      </c>
      <c r="L43">
        <v>1541721600</v>
      </c>
      <c r="N43">
        <v>20</v>
      </c>
      <c r="O43" s="3">
        <v>1.6127014159999999</v>
      </c>
      <c r="P43" s="8">
        <v>207160.9541</v>
      </c>
      <c r="Q43" s="8">
        <v>364717.0062</v>
      </c>
      <c r="R43" s="8" t="s">
        <v>42</v>
      </c>
      <c r="S43" s="8" t="s">
        <v>22</v>
      </c>
    </row>
    <row r="44" spans="1:19" ht="16" x14ac:dyDescent="0.2">
      <c r="A44" t="s">
        <v>686</v>
      </c>
      <c r="B44">
        <v>0.95</v>
      </c>
      <c r="C44">
        <v>-22.91</v>
      </c>
      <c r="D44">
        <v>0.08</v>
      </c>
      <c r="E44">
        <v>5.5</v>
      </c>
      <c r="F44" s="3">
        <v>0.56000000000000005</v>
      </c>
      <c r="G44" s="3">
        <v>-22.19</v>
      </c>
      <c r="H44" s="3">
        <v>0.1</v>
      </c>
      <c r="I44">
        <v>3.64</v>
      </c>
      <c r="J44" t="s">
        <v>968</v>
      </c>
      <c r="K44" t="s">
        <v>42</v>
      </c>
      <c r="L44">
        <v>1541721600</v>
      </c>
      <c r="N44">
        <v>30</v>
      </c>
      <c r="O44" s="3">
        <v>1.5308001040000001</v>
      </c>
      <c r="P44" s="8">
        <v>207160.9541</v>
      </c>
      <c r="Q44" s="8">
        <v>364717.0062</v>
      </c>
      <c r="R44" s="8" t="s">
        <v>42</v>
      </c>
      <c r="S44" s="8" t="s">
        <v>22</v>
      </c>
    </row>
    <row r="45" spans="1:19" ht="16" x14ac:dyDescent="0.2">
      <c r="A45" t="s">
        <v>687</v>
      </c>
      <c r="B45">
        <v>0.32</v>
      </c>
      <c r="C45">
        <v>-23.03</v>
      </c>
      <c r="D45">
        <v>0.05</v>
      </c>
      <c r="E45">
        <v>5.6</v>
      </c>
      <c r="F45" s="3">
        <v>0.23</v>
      </c>
      <c r="G45" s="3">
        <v>-22.545000000000002</v>
      </c>
      <c r="H45" s="3">
        <v>0.06</v>
      </c>
      <c r="I45">
        <v>2.2250000000000001</v>
      </c>
      <c r="J45" t="s">
        <v>968</v>
      </c>
      <c r="K45" t="s">
        <v>42</v>
      </c>
      <c r="L45">
        <v>1541721600</v>
      </c>
      <c r="N45">
        <v>60</v>
      </c>
      <c r="O45" s="3">
        <v>1.5938326119999999</v>
      </c>
      <c r="P45" s="8">
        <v>207160.9541</v>
      </c>
      <c r="Q45" s="8">
        <v>364717.0062</v>
      </c>
      <c r="R45" s="8" t="s">
        <v>42</v>
      </c>
      <c r="S45" s="8" t="s">
        <v>22</v>
      </c>
    </row>
    <row r="46" spans="1:19" ht="16" x14ac:dyDescent="0.2">
      <c r="A46" t="s">
        <v>688</v>
      </c>
      <c r="B46">
        <v>0.12</v>
      </c>
      <c r="C46">
        <v>-23.53</v>
      </c>
      <c r="D46">
        <v>0.04</v>
      </c>
      <c r="E46">
        <v>5.39</v>
      </c>
      <c r="F46" s="3">
        <v>0.13</v>
      </c>
      <c r="G46" s="3">
        <v>-23.84</v>
      </c>
      <c r="H46" s="3">
        <v>0.05</v>
      </c>
      <c r="I46">
        <v>0.16</v>
      </c>
      <c r="J46" t="s">
        <v>968</v>
      </c>
      <c r="K46" t="s">
        <v>42</v>
      </c>
      <c r="L46">
        <v>1541721600</v>
      </c>
      <c r="N46">
        <v>100</v>
      </c>
      <c r="O46" s="3">
        <v>1.4764963390000001</v>
      </c>
      <c r="P46" s="8">
        <v>207160.9541</v>
      </c>
      <c r="Q46" s="8">
        <v>364717.0062</v>
      </c>
      <c r="R46" s="8" t="s">
        <v>42</v>
      </c>
      <c r="S46" s="8" t="s">
        <v>22</v>
      </c>
    </row>
    <row r="47" spans="1:19" ht="16" x14ac:dyDescent="0.2">
      <c r="A47" t="s">
        <v>689</v>
      </c>
      <c r="B47">
        <v>1.115</v>
      </c>
      <c r="C47">
        <v>-22.45</v>
      </c>
      <c r="D47">
        <v>0.12</v>
      </c>
      <c r="E47">
        <v>4.3449999999999998</v>
      </c>
      <c r="F47" s="3">
        <v>1.1399999999999999</v>
      </c>
      <c r="G47" s="3">
        <v>-22.19</v>
      </c>
      <c r="H47" s="3">
        <v>0.14000000000000001</v>
      </c>
      <c r="I47">
        <v>3.27</v>
      </c>
      <c r="J47" t="s">
        <v>968</v>
      </c>
      <c r="K47" t="s">
        <v>49</v>
      </c>
      <c r="L47">
        <v>1541721600</v>
      </c>
      <c r="N47">
        <v>10</v>
      </c>
      <c r="O47" s="3">
        <v>1.5794370900000001</v>
      </c>
      <c r="P47" s="8">
        <v>210268.54399999999</v>
      </c>
      <c r="Q47" s="8">
        <v>370278.37790000002</v>
      </c>
      <c r="R47" s="8" t="s">
        <v>49</v>
      </c>
      <c r="S47" s="8" t="s">
        <v>22</v>
      </c>
    </row>
    <row r="48" spans="1:19" ht="16" x14ac:dyDescent="0.2">
      <c r="A48" t="s">
        <v>690</v>
      </c>
      <c r="B48">
        <v>0.86</v>
      </c>
      <c r="C48">
        <v>-23.45</v>
      </c>
      <c r="D48">
        <v>0.09</v>
      </c>
      <c r="E48">
        <v>5.14</v>
      </c>
      <c r="F48" s="3">
        <v>0.79</v>
      </c>
      <c r="G48" s="3">
        <v>-23.17</v>
      </c>
      <c r="H48" s="3">
        <v>0.11</v>
      </c>
      <c r="I48">
        <v>3.11</v>
      </c>
      <c r="J48" t="s">
        <v>968</v>
      </c>
      <c r="K48" t="s">
        <v>49</v>
      </c>
      <c r="L48">
        <v>1541721600</v>
      </c>
      <c r="N48">
        <v>20</v>
      </c>
      <c r="O48" s="3">
        <v>1.507635056</v>
      </c>
      <c r="P48" s="8">
        <v>210268.54399999999</v>
      </c>
      <c r="Q48" s="8">
        <v>370278.37790000002</v>
      </c>
      <c r="R48" s="8" t="s">
        <v>49</v>
      </c>
      <c r="S48" s="8" t="s">
        <v>22</v>
      </c>
    </row>
    <row r="49" spans="1:19" ht="16" x14ac:dyDescent="0.2">
      <c r="A49" t="s">
        <v>691</v>
      </c>
      <c r="B49">
        <v>0.67</v>
      </c>
      <c r="C49">
        <v>-23.54</v>
      </c>
      <c r="D49">
        <v>0.08</v>
      </c>
      <c r="E49">
        <v>6.02</v>
      </c>
      <c r="F49" s="3">
        <v>0.67</v>
      </c>
      <c r="G49" s="3">
        <v>-23.68</v>
      </c>
      <c r="H49" s="3">
        <v>0.1</v>
      </c>
      <c r="I49">
        <v>3.7149999999999999</v>
      </c>
      <c r="J49" t="s">
        <v>968</v>
      </c>
      <c r="K49" t="s">
        <v>49</v>
      </c>
      <c r="L49">
        <v>1541721600</v>
      </c>
      <c r="N49">
        <v>30</v>
      </c>
      <c r="O49" s="3">
        <v>1.570550023</v>
      </c>
      <c r="P49" s="8">
        <v>210268.54399999999</v>
      </c>
      <c r="Q49" s="8">
        <v>370278.37790000002</v>
      </c>
      <c r="R49" s="8" t="s">
        <v>49</v>
      </c>
      <c r="S49" s="8" t="s">
        <v>22</v>
      </c>
    </row>
    <row r="50" spans="1:19" ht="16" x14ac:dyDescent="0.2">
      <c r="A50" t="s">
        <v>692</v>
      </c>
      <c r="B50">
        <v>0.27</v>
      </c>
      <c r="C50">
        <v>-23.7</v>
      </c>
      <c r="D50">
        <v>0.06</v>
      </c>
      <c r="E50">
        <v>5.34</v>
      </c>
      <c r="F50" s="3">
        <v>0.32</v>
      </c>
      <c r="G50" s="3">
        <v>-23.77</v>
      </c>
      <c r="H50" s="3">
        <v>7.0000000000000007E-2</v>
      </c>
      <c r="I50">
        <v>2.2999999999999998</v>
      </c>
      <c r="J50" t="s">
        <v>968</v>
      </c>
      <c r="K50" t="s">
        <v>49</v>
      </c>
      <c r="L50">
        <v>1541721600</v>
      </c>
      <c r="N50">
        <v>60</v>
      </c>
      <c r="O50" s="3">
        <v>1.6192557409999999</v>
      </c>
      <c r="P50" s="8">
        <v>210268.54399999999</v>
      </c>
      <c r="Q50" s="8">
        <v>370278.37790000002</v>
      </c>
      <c r="R50" s="8" t="s">
        <v>49</v>
      </c>
      <c r="S50" s="8" t="s">
        <v>22</v>
      </c>
    </row>
    <row r="51" spans="1:19" ht="16" x14ac:dyDescent="0.2">
      <c r="A51" t="s">
        <v>693</v>
      </c>
      <c r="B51">
        <v>9.5000000000000001E-2</v>
      </c>
      <c r="C51">
        <v>-24.465</v>
      </c>
      <c r="D51">
        <v>0.04</v>
      </c>
      <c r="E51">
        <v>5.8049999999999997</v>
      </c>
      <c r="F51" s="3">
        <v>0.11</v>
      </c>
      <c r="G51" s="3">
        <v>-24.88</v>
      </c>
      <c r="H51" s="3">
        <v>0.06</v>
      </c>
      <c r="I51">
        <v>0.91</v>
      </c>
      <c r="J51" t="s">
        <v>968</v>
      </c>
      <c r="K51" t="s">
        <v>49</v>
      </c>
      <c r="L51">
        <v>1541721600</v>
      </c>
      <c r="N51">
        <v>100</v>
      </c>
      <c r="O51" s="3">
        <v>1.559282456</v>
      </c>
      <c r="P51" s="8">
        <v>210268.54399999999</v>
      </c>
      <c r="Q51" s="8">
        <v>370278.37790000002</v>
      </c>
      <c r="R51" s="8" t="s">
        <v>49</v>
      </c>
      <c r="S51" s="8" t="s">
        <v>22</v>
      </c>
    </row>
    <row r="52" spans="1:19" ht="16" x14ac:dyDescent="0.2">
      <c r="A52" t="s">
        <v>694</v>
      </c>
      <c r="B52">
        <v>2.13</v>
      </c>
      <c r="C52">
        <v>-22.26</v>
      </c>
      <c r="D52">
        <v>0.22</v>
      </c>
      <c r="E52">
        <v>6.9</v>
      </c>
      <c r="F52" s="3">
        <v>2.09</v>
      </c>
      <c r="G52" s="3">
        <v>-22.434999999999999</v>
      </c>
      <c r="H52" s="3">
        <v>0.245</v>
      </c>
      <c r="I52">
        <v>5.875</v>
      </c>
      <c r="J52" t="s">
        <v>968</v>
      </c>
      <c r="K52" t="s">
        <v>755</v>
      </c>
      <c r="L52">
        <v>1541980800</v>
      </c>
      <c r="N52">
        <v>10</v>
      </c>
      <c r="O52" s="3">
        <v>1.2542225360000001</v>
      </c>
      <c r="P52" s="8">
        <v>204909.54329999999</v>
      </c>
      <c r="Q52" s="8">
        <v>366099.93910000002</v>
      </c>
      <c r="R52" s="8" t="s">
        <v>159</v>
      </c>
      <c r="S52" s="8" t="s">
        <v>22</v>
      </c>
    </row>
    <row r="53" spans="1:19" ht="16" x14ac:dyDescent="0.2">
      <c r="A53" t="s">
        <v>695</v>
      </c>
      <c r="B53">
        <v>2.17</v>
      </c>
      <c r="C53">
        <v>-22.73</v>
      </c>
      <c r="D53">
        <v>0.23</v>
      </c>
      <c r="E53">
        <v>6.68</v>
      </c>
      <c r="F53" s="3">
        <v>2.0099999999999998</v>
      </c>
      <c r="G53" s="3">
        <v>-22.4</v>
      </c>
      <c r="H53" s="3">
        <v>0.24</v>
      </c>
      <c r="I53">
        <v>5.92</v>
      </c>
      <c r="J53" t="s">
        <v>968</v>
      </c>
      <c r="K53" t="s">
        <v>755</v>
      </c>
      <c r="L53">
        <v>1541980800</v>
      </c>
      <c r="N53">
        <v>20</v>
      </c>
      <c r="O53" s="3">
        <v>1.280411159</v>
      </c>
      <c r="P53" s="8">
        <v>204909.54329999999</v>
      </c>
      <c r="Q53" s="8">
        <v>366099.93910000002</v>
      </c>
      <c r="R53" s="8" t="s">
        <v>159</v>
      </c>
      <c r="S53" s="8" t="s">
        <v>22</v>
      </c>
    </row>
    <row r="54" spans="1:19" ht="16" x14ac:dyDescent="0.2">
      <c r="A54" t="s">
        <v>696</v>
      </c>
      <c r="B54">
        <v>1.64</v>
      </c>
      <c r="C54">
        <v>-22.7</v>
      </c>
      <c r="D54">
        <v>0.18</v>
      </c>
      <c r="E54">
        <v>7.2</v>
      </c>
      <c r="F54" s="3">
        <v>1.59</v>
      </c>
      <c r="G54" s="3">
        <v>-22.5</v>
      </c>
      <c r="H54" s="3">
        <v>0.2</v>
      </c>
      <c r="I54">
        <v>6.3</v>
      </c>
      <c r="J54" t="s">
        <v>968</v>
      </c>
      <c r="K54" t="s">
        <v>755</v>
      </c>
      <c r="L54">
        <v>1541980800</v>
      </c>
      <c r="N54">
        <v>30</v>
      </c>
      <c r="O54" s="3">
        <v>1.348987001</v>
      </c>
      <c r="P54" s="8">
        <v>204909.54329999999</v>
      </c>
      <c r="Q54" s="8">
        <v>366099.93910000002</v>
      </c>
      <c r="R54" s="8" t="s">
        <v>159</v>
      </c>
      <c r="S54" s="8" t="s">
        <v>22</v>
      </c>
    </row>
    <row r="55" spans="1:19" ht="16" x14ac:dyDescent="0.2">
      <c r="A55" t="s">
        <v>697</v>
      </c>
      <c r="B55">
        <v>0.6</v>
      </c>
      <c r="C55">
        <v>-23.04</v>
      </c>
      <c r="D55">
        <v>0.08</v>
      </c>
      <c r="E55">
        <v>6.62</v>
      </c>
      <c r="F55" s="3">
        <v>0.69</v>
      </c>
      <c r="G55" s="3">
        <v>-23.14</v>
      </c>
      <c r="H55" s="3">
        <v>0.13</v>
      </c>
      <c r="I55">
        <v>4.17</v>
      </c>
      <c r="J55" t="s">
        <v>968</v>
      </c>
      <c r="K55" t="s">
        <v>755</v>
      </c>
      <c r="L55">
        <v>1541980800</v>
      </c>
      <c r="N55">
        <v>60</v>
      </c>
      <c r="O55" s="3">
        <v>1.5596910349999999</v>
      </c>
      <c r="P55" s="8">
        <v>204909.54329999999</v>
      </c>
      <c r="Q55" s="8">
        <v>366099.93910000002</v>
      </c>
      <c r="R55" s="8" t="s">
        <v>159</v>
      </c>
      <c r="S55" s="8" t="s">
        <v>22</v>
      </c>
    </row>
    <row r="56" spans="1:19" ht="16" x14ac:dyDescent="0.2">
      <c r="A56" t="s">
        <v>698</v>
      </c>
      <c r="B56">
        <v>0.32</v>
      </c>
      <c r="C56">
        <v>-23.51</v>
      </c>
      <c r="D56">
        <v>0.06</v>
      </c>
      <c r="E56">
        <v>4.34</v>
      </c>
      <c r="F56" s="3">
        <v>0.32500000000000001</v>
      </c>
      <c r="G56" s="3">
        <v>-23.56</v>
      </c>
      <c r="H56" s="3">
        <v>9.5000000000000001E-2</v>
      </c>
      <c r="I56">
        <v>2.42</v>
      </c>
      <c r="J56" t="s">
        <v>968</v>
      </c>
      <c r="K56" t="s">
        <v>755</v>
      </c>
      <c r="L56">
        <v>1541980800</v>
      </c>
      <c r="N56">
        <v>100</v>
      </c>
      <c r="O56" s="3">
        <v>1.6661172339999999</v>
      </c>
      <c r="P56" s="8">
        <v>204909.54329999999</v>
      </c>
      <c r="Q56" s="8">
        <v>366099.93910000002</v>
      </c>
      <c r="R56" s="8" t="s">
        <v>159</v>
      </c>
      <c r="S56" s="8" t="s">
        <v>22</v>
      </c>
    </row>
    <row r="57" spans="1:19" ht="16" x14ac:dyDescent="0.2">
      <c r="A57" t="s">
        <v>699</v>
      </c>
      <c r="B57" t="s">
        <v>671</v>
      </c>
      <c r="C57">
        <v>-25.35</v>
      </c>
      <c r="D57">
        <v>0.11</v>
      </c>
      <c r="E57">
        <v>4.9800000000000004</v>
      </c>
      <c r="F57" s="3">
        <v>0.9</v>
      </c>
      <c r="G57" s="3">
        <v>-21.87</v>
      </c>
      <c r="H57" s="3">
        <v>0.14000000000000001</v>
      </c>
      <c r="I57">
        <v>3.28</v>
      </c>
      <c r="J57" t="s">
        <v>968</v>
      </c>
      <c r="K57" t="s">
        <v>731</v>
      </c>
      <c r="L57">
        <v>1541980800</v>
      </c>
      <c r="N57">
        <v>10</v>
      </c>
      <c r="O57" s="3">
        <v>1.5849213639999999</v>
      </c>
      <c r="P57" s="8">
        <v>208112.63140000001</v>
      </c>
      <c r="Q57" s="8">
        <v>365496.48340000003</v>
      </c>
      <c r="R57" s="8" t="s">
        <v>623</v>
      </c>
      <c r="S57" s="8" t="s">
        <v>22</v>
      </c>
    </row>
    <row r="58" spans="1:19" ht="16" x14ac:dyDescent="0.2">
      <c r="A58" t="s">
        <v>700</v>
      </c>
      <c r="B58">
        <v>0.84499999999999997</v>
      </c>
      <c r="C58">
        <v>-21.815000000000001</v>
      </c>
      <c r="D58">
        <v>0.105</v>
      </c>
      <c r="E58">
        <v>4.7850000000000001</v>
      </c>
      <c r="F58" s="3">
        <v>0.81</v>
      </c>
      <c r="G58" s="3">
        <v>-21.87</v>
      </c>
      <c r="H58" s="3">
        <v>0.13</v>
      </c>
      <c r="I58">
        <v>3.53</v>
      </c>
      <c r="J58" t="s">
        <v>968</v>
      </c>
      <c r="K58" t="s">
        <v>731</v>
      </c>
      <c r="L58">
        <v>1541980800</v>
      </c>
      <c r="N58">
        <v>20</v>
      </c>
      <c r="O58" s="3">
        <v>1.6026844119999999</v>
      </c>
      <c r="P58" s="8">
        <v>208112.63140000001</v>
      </c>
      <c r="Q58" s="8">
        <v>365496.48340000003</v>
      </c>
      <c r="R58" s="8" t="s">
        <v>623</v>
      </c>
      <c r="S58" s="8" t="s">
        <v>22</v>
      </c>
    </row>
    <row r="59" spans="1:19" ht="16" x14ac:dyDescent="0.2">
      <c r="A59" t="s">
        <v>701</v>
      </c>
      <c r="B59">
        <v>0.55000000000000004</v>
      </c>
      <c r="C59">
        <v>-22.83</v>
      </c>
      <c r="D59">
        <v>7.0000000000000007E-2</v>
      </c>
      <c r="E59">
        <v>6.15</v>
      </c>
      <c r="F59" s="3">
        <v>0.57999999999999996</v>
      </c>
      <c r="G59" s="3">
        <v>-22.99</v>
      </c>
      <c r="H59" s="3">
        <v>0.11</v>
      </c>
      <c r="I59">
        <v>3.37</v>
      </c>
      <c r="J59" t="s">
        <v>968</v>
      </c>
      <c r="K59" t="s">
        <v>731</v>
      </c>
      <c r="L59">
        <v>1541980800</v>
      </c>
      <c r="N59">
        <v>30</v>
      </c>
      <c r="O59" s="3">
        <v>1.579757799</v>
      </c>
      <c r="P59" s="8">
        <v>208112.63140000001</v>
      </c>
      <c r="Q59" s="8">
        <v>365496.48340000003</v>
      </c>
      <c r="R59" s="8" t="s">
        <v>623</v>
      </c>
      <c r="S59" s="8" t="s">
        <v>22</v>
      </c>
    </row>
    <row r="60" spans="1:19" ht="16" x14ac:dyDescent="0.2">
      <c r="A60" t="s">
        <v>702</v>
      </c>
      <c r="B60">
        <v>0.36</v>
      </c>
      <c r="C60">
        <v>-21.94</v>
      </c>
      <c r="D60">
        <v>0.06</v>
      </c>
      <c r="E60">
        <v>5.95</v>
      </c>
      <c r="F60" s="3">
        <v>0.34499999999999997</v>
      </c>
      <c r="G60" s="3">
        <v>-22.22</v>
      </c>
      <c r="H60" s="3">
        <v>0.08</v>
      </c>
      <c r="I60">
        <v>2.4550000000000001</v>
      </c>
      <c r="J60" t="s">
        <v>968</v>
      </c>
      <c r="K60" t="s">
        <v>731</v>
      </c>
      <c r="L60">
        <v>1541980800</v>
      </c>
      <c r="N60">
        <v>60</v>
      </c>
      <c r="O60" s="3">
        <v>1.5599992899999999</v>
      </c>
      <c r="P60" s="8">
        <v>208112.63140000001</v>
      </c>
      <c r="Q60" s="8">
        <v>365496.48340000003</v>
      </c>
      <c r="R60" s="8" t="s">
        <v>623</v>
      </c>
      <c r="S60" s="8" t="s">
        <v>22</v>
      </c>
    </row>
    <row r="61" spans="1:19" ht="16" x14ac:dyDescent="0.2">
      <c r="A61" t="s">
        <v>703</v>
      </c>
      <c r="B61">
        <v>0.12</v>
      </c>
      <c r="C61">
        <v>-22.27</v>
      </c>
      <c r="D61">
        <v>0.04</v>
      </c>
      <c r="E61">
        <v>4.9000000000000004</v>
      </c>
      <c r="F61" s="3">
        <v>0.13</v>
      </c>
      <c r="G61" s="3">
        <v>-23.04</v>
      </c>
      <c r="H61" s="3">
        <v>0.08</v>
      </c>
      <c r="I61">
        <v>0.68</v>
      </c>
      <c r="J61" t="s">
        <v>968</v>
      </c>
      <c r="K61" t="s">
        <v>731</v>
      </c>
      <c r="L61">
        <v>1541980800</v>
      </c>
      <c r="N61">
        <v>100</v>
      </c>
      <c r="O61" s="3">
        <v>1.549518959</v>
      </c>
      <c r="P61" s="8">
        <v>208112.63140000001</v>
      </c>
      <c r="Q61" s="8">
        <v>365496.48340000003</v>
      </c>
      <c r="R61" s="8" t="s">
        <v>623</v>
      </c>
      <c r="S61" s="8" t="s">
        <v>22</v>
      </c>
    </row>
    <row r="62" spans="1:19" ht="16" x14ac:dyDescent="0.2">
      <c r="A62" t="s">
        <v>704</v>
      </c>
      <c r="B62">
        <v>1.4350000000000001</v>
      </c>
      <c r="C62">
        <v>-24.34</v>
      </c>
      <c r="D62">
        <v>0.15</v>
      </c>
      <c r="E62">
        <v>6.4050000000000002</v>
      </c>
      <c r="F62" s="3">
        <v>1.37</v>
      </c>
      <c r="G62" s="3">
        <v>-24.45</v>
      </c>
      <c r="H62" s="3">
        <v>0.17</v>
      </c>
      <c r="I62">
        <v>4.8499999999999996</v>
      </c>
      <c r="J62" t="s">
        <v>968</v>
      </c>
      <c r="K62" t="s">
        <v>761</v>
      </c>
      <c r="L62">
        <v>1544054400</v>
      </c>
      <c r="N62">
        <v>10</v>
      </c>
      <c r="O62" s="3">
        <v>1.3094758280000001</v>
      </c>
      <c r="P62" s="8">
        <v>206923.5949</v>
      </c>
      <c r="Q62" s="8">
        <v>367496.74829999998</v>
      </c>
      <c r="R62" s="8" t="s">
        <v>21</v>
      </c>
      <c r="S62" s="8" t="s">
        <v>22</v>
      </c>
    </row>
    <row r="63" spans="1:19" ht="16" x14ac:dyDescent="0.2">
      <c r="A63" t="s">
        <v>705</v>
      </c>
      <c r="B63">
        <v>1.37</v>
      </c>
      <c r="C63">
        <v>-23.92</v>
      </c>
      <c r="D63">
        <v>0.16</v>
      </c>
      <c r="E63">
        <v>6.31</v>
      </c>
      <c r="F63" s="3">
        <v>1.33</v>
      </c>
      <c r="G63" s="3">
        <v>-23.48</v>
      </c>
      <c r="H63" s="3">
        <v>0.18</v>
      </c>
      <c r="I63">
        <v>5.42</v>
      </c>
      <c r="J63" t="s">
        <v>968</v>
      </c>
      <c r="K63" t="s">
        <v>761</v>
      </c>
      <c r="L63">
        <v>1544054400</v>
      </c>
      <c r="N63">
        <v>20</v>
      </c>
      <c r="O63" s="3">
        <v>1.2587255470000001</v>
      </c>
      <c r="P63" s="8">
        <v>206923.5949</v>
      </c>
      <c r="Q63" s="8">
        <v>367496.74829999998</v>
      </c>
      <c r="R63" s="8" t="s">
        <v>21</v>
      </c>
      <c r="S63" s="8" t="s">
        <v>22</v>
      </c>
    </row>
    <row r="64" spans="1:19" ht="16" x14ac:dyDescent="0.2">
      <c r="A64" t="s">
        <v>706</v>
      </c>
      <c r="B64">
        <v>0.85</v>
      </c>
      <c r="C64">
        <v>-24.58</v>
      </c>
      <c r="D64">
        <v>0.1</v>
      </c>
      <c r="E64">
        <v>6.25</v>
      </c>
      <c r="F64" s="3">
        <v>0.81499999999999995</v>
      </c>
      <c r="G64" s="3">
        <v>-24.45</v>
      </c>
      <c r="H64" s="3">
        <v>0.13</v>
      </c>
      <c r="I64">
        <v>4.0149999999999997</v>
      </c>
      <c r="J64" t="s">
        <v>968</v>
      </c>
      <c r="K64" t="s">
        <v>761</v>
      </c>
      <c r="L64">
        <v>1544054400</v>
      </c>
      <c r="N64">
        <v>30</v>
      </c>
      <c r="O64" s="3">
        <v>1.4674020240000001</v>
      </c>
      <c r="P64" s="8">
        <v>206923.5949</v>
      </c>
      <c r="Q64" s="8">
        <v>367496.74829999998</v>
      </c>
      <c r="R64" s="8" t="s">
        <v>21</v>
      </c>
      <c r="S64" s="8" t="s">
        <v>22</v>
      </c>
    </row>
    <row r="65" spans="1:19" ht="16" x14ac:dyDescent="0.2">
      <c r="A65" t="s">
        <v>707</v>
      </c>
      <c r="B65">
        <v>0.2</v>
      </c>
      <c r="C65">
        <v>-23.2</v>
      </c>
      <c r="D65">
        <v>0.05</v>
      </c>
      <c r="E65">
        <v>4.38</v>
      </c>
      <c r="F65" s="3">
        <v>0.19</v>
      </c>
      <c r="G65" s="3">
        <v>-23.28</v>
      </c>
      <c r="H65" s="3">
        <v>0.08</v>
      </c>
      <c r="I65">
        <v>1.46</v>
      </c>
      <c r="J65" t="s">
        <v>968</v>
      </c>
      <c r="K65" t="s">
        <v>761</v>
      </c>
      <c r="L65">
        <v>1544054400</v>
      </c>
      <c r="N65">
        <v>60</v>
      </c>
      <c r="O65" s="3">
        <v>1.5180875389999999</v>
      </c>
      <c r="P65" s="8">
        <v>206923.5949</v>
      </c>
      <c r="Q65" s="8">
        <v>367496.74829999998</v>
      </c>
      <c r="R65" s="8" t="s">
        <v>21</v>
      </c>
      <c r="S65" s="8" t="s">
        <v>22</v>
      </c>
    </row>
    <row r="66" spans="1:19" ht="16" x14ac:dyDescent="0.2">
      <c r="A66" t="s">
        <v>708</v>
      </c>
      <c r="B66">
        <v>0.15</v>
      </c>
      <c r="C66">
        <v>-24.015000000000001</v>
      </c>
      <c r="D66">
        <v>0.06</v>
      </c>
      <c r="E66">
        <v>4.07</v>
      </c>
      <c r="F66" s="3">
        <v>0.17</v>
      </c>
      <c r="G66" s="3">
        <v>-23.78</v>
      </c>
      <c r="H66" s="3">
        <v>0.1</v>
      </c>
      <c r="I66">
        <v>1.94</v>
      </c>
      <c r="J66" t="s">
        <v>968</v>
      </c>
      <c r="K66" t="s">
        <v>761</v>
      </c>
      <c r="L66">
        <v>1544054400</v>
      </c>
      <c r="N66">
        <v>100</v>
      </c>
      <c r="O66" s="3">
        <v>1.473463974</v>
      </c>
      <c r="P66" s="8">
        <v>206923.5949</v>
      </c>
      <c r="Q66" s="8">
        <v>367496.74829999998</v>
      </c>
      <c r="R66" s="8" t="s">
        <v>21</v>
      </c>
      <c r="S66" s="8" t="s">
        <v>22</v>
      </c>
    </row>
    <row r="67" spans="1:19" ht="16" x14ac:dyDescent="0.2">
      <c r="A67" t="s">
        <v>709</v>
      </c>
      <c r="B67">
        <v>2.0299999999999998</v>
      </c>
      <c r="C67">
        <v>-26.6</v>
      </c>
      <c r="D67">
        <v>0.22</v>
      </c>
      <c r="E67">
        <v>5.73</v>
      </c>
      <c r="F67" s="3">
        <v>2.0099999999999998</v>
      </c>
      <c r="G67" s="3">
        <v>-26.67</v>
      </c>
      <c r="H67" s="3">
        <v>0.26</v>
      </c>
      <c r="I67">
        <v>4.82</v>
      </c>
      <c r="J67" t="s">
        <v>968</v>
      </c>
      <c r="K67" t="s">
        <v>767</v>
      </c>
      <c r="L67">
        <v>1544054400</v>
      </c>
      <c r="N67">
        <v>10</v>
      </c>
      <c r="O67" s="3">
        <v>1.125992468</v>
      </c>
      <c r="P67" s="8">
        <v>207130.2776</v>
      </c>
      <c r="Q67" s="8">
        <v>366996.86820000003</v>
      </c>
      <c r="R67" s="8" t="s">
        <v>219</v>
      </c>
      <c r="S67" s="8" t="s">
        <v>22</v>
      </c>
    </row>
    <row r="68" spans="1:19" ht="16" x14ac:dyDescent="0.2">
      <c r="A68" t="s">
        <v>710</v>
      </c>
      <c r="B68">
        <v>1.1100000000000001</v>
      </c>
      <c r="C68">
        <v>-24.83</v>
      </c>
      <c r="D68">
        <v>0.14000000000000001</v>
      </c>
      <c r="E68">
        <v>6.81</v>
      </c>
      <c r="F68" s="3">
        <v>1.24</v>
      </c>
      <c r="G68" s="3">
        <v>-25.175000000000001</v>
      </c>
      <c r="H68" s="3">
        <v>0.185</v>
      </c>
      <c r="I68">
        <v>5.585</v>
      </c>
      <c r="J68" t="s">
        <v>968</v>
      </c>
      <c r="K68" t="s">
        <v>767</v>
      </c>
      <c r="L68">
        <v>1544054400</v>
      </c>
      <c r="N68">
        <v>20</v>
      </c>
      <c r="O68" s="3">
        <v>1.2562188249999999</v>
      </c>
      <c r="P68" s="8">
        <v>207130.2776</v>
      </c>
      <c r="Q68" s="8">
        <v>366996.86820000003</v>
      </c>
      <c r="R68" s="8" t="s">
        <v>219</v>
      </c>
      <c r="S68" s="8" t="s">
        <v>22</v>
      </c>
    </row>
    <row r="69" spans="1:19" ht="16" x14ac:dyDescent="0.2">
      <c r="A69" t="s">
        <v>711</v>
      </c>
      <c r="B69">
        <v>0.94</v>
      </c>
      <c r="C69">
        <v>-24.45</v>
      </c>
      <c r="D69">
        <v>0.13</v>
      </c>
      <c r="E69">
        <v>6.79</v>
      </c>
      <c r="F69" s="3">
        <v>0.92</v>
      </c>
      <c r="G69" s="3">
        <v>-24.48</v>
      </c>
      <c r="H69" s="3">
        <v>0.16</v>
      </c>
      <c r="I69">
        <v>4.7699999999999996</v>
      </c>
      <c r="J69" t="s">
        <v>968</v>
      </c>
      <c r="K69" t="s">
        <v>767</v>
      </c>
      <c r="L69">
        <v>1544054400</v>
      </c>
      <c r="N69">
        <v>30</v>
      </c>
      <c r="O69" s="3">
        <v>1.3598479530000001</v>
      </c>
      <c r="P69" s="8">
        <v>207130.2776</v>
      </c>
      <c r="Q69" s="8">
        <v>366996.86820000003</v>
      </c>
      <c r="R69" s="8" t="s">
        <v>219</v>
      </c>
      <c r="S69" s="8" t="s">
        <v>22</v>
      </c>
    </row>
    <row r="70" spans="1:19" ht="16" x14ac:dyDescent="0.2">
      <c r="A70" t="s">
        <v>712</v>
      </c>
      <c r="B70">
        <v>0.42499999999999999</v>
      </c>
      <c r="C70">
        <v>-24.274999999999999</v>
      </c>
      <c r="D70">
        <v>8.5000000000000006E-2</v>
      </c>
      <c r="E70">
        <v>4.6900000000000004</v>
      </c>
      <c r="F70" s="3">
        <v>0.39</v>
      </c>
      <c r="G70" s="3">
        <v>-24.3</v>
      </c>
      <c r="H70" s="3">
        <v>0.12</v>
      </c>
      <c r="I70">
        <v>3.6</v>
      </c>
      <c r="J70" t="s">
        <v>968</v>
      </c>
      <c r="K70" t="s">
        <v>767</v>
      </c>
      <c r="L70">
        <v>1544054400</v>
      </c>
      <c r="N70">
        <v>60</v>
      </c>
      <c r="O70" s="3">
        <v>1.4554582460000001</v>
      </c>
      <c r="P70" s="8">
        <v>207130.2776</v>
      </c>
      <c r="Q70" s="8">
        <v>366996.86820000003</v>
      </c>
      <c r="R70" s="8" t="s">
        <v>219</v>
      </c>
      <c r="S70" s="8" t="s">
        <v>22</v>
      </c>
    </row>
    <row r="71" spans="1:19" ht="16" x14ac:dyDescent="0.2">
      <c r="A71" t="s">
        <v>713</v>
      </c>
      <c r="B71">
        <v>0.22</v>
      </c>
      <c r="C71">
        <v>-23.49</v>
      </c>
      <c r="D71">
        <v>7.0000000000000007E-2</v>
      </c>
      <c r="E71">
        <v>3.98</v>
      </c>
      <c r="F71" s="3">
        <v>0.16</v>
      </c>
      <c r="G71" s="3">
        <v>-24.87</v>
      </c>
      <c r="H71" s="3">
        <v>0.08</v>
      </c>
      <c r="I71">
        <v>1.41</v>
      </c>
      <c r="J71" t="s">
        <v>968</v>
      </c>
      <c r="K71" t="s">
        <v>767</v>
      </c>
      <c r="L71">
        <v>1544054400</v>
      </c>
      <c r="N71">
        <v>100</v>
      </c>
      <c r="O71" s="3">
        <v>1.4882911270000001</v>
      </c>
      <c r="P71" s="8">
        <v>207130.2776</v>
      </c>
      <c r="Q71" s="8">
        <v>366996.86820000003</v>
      </c>
      <c r="R71" s="8" t="s">
        <v>219</v>
      </c>
      <c r="S71" s="8" t="s">
        <v>22</v>
      </c>
    </row>
    <row r="72" spans="1:19" ht="16" x14ac:dyDescent="0.2">
      <c r="A72" t="s">
        <v>714</v>
      </c>
      <c r="B72">
        <v>1.51</v>
      </c>
      <c r="C72">
        <v>-24.36</v>
      </c>
      <c r="D72">
        <v>0.17</v>
      </c>
      <c r="E72">
        <v>6.21</v>
      </c>
      <c r="F72" s="3">
        <v>1.4650000000000001</v>
      </c>
      <c r="G72" s="3">
        <v>-24.41</v>
      </c>
      <c r="H72" s="3">
        <v>0.185</v>
      </c>
      <c r="I72">
        <v>5.23</v>
      </c>
      <c r="J72" t="s">
        <v>968</v>
      </c>
      <c r="K72" t="s">
        <v>773</v>
      </c>
      <c r="L72">
        <v>1544054400</v>
      </c>
      <c r="N72">
        <v>10</v>
      </c>
      <c r="O72" s="3">
        <v>1.218770226</v>
      </c>
      <c r="P72" s="8">
        <v>207422.44510000001</v>
      </c>
      <c r="Q72" s="8">
        <v>366364.82120000001</v>
      </c>
      <c r="R72" s="8" t="s">
        <v>34</v>
      </c>
      <c r="S72" s="8" t="s">
        <v>22</v>
      </c>
    </row>
    <row r="73" spans="1:19" ht="16" x14ac:dyDescent="0.2">
      <c r="A73" t="s">
        <v>715</v>
      </c>
      <c r="B73">
        <v>1.36</v>
      </c>
      <c r="C73">
        <v>-23.74</v>
      </c>
      <c r="D73">
        <v>0.17</v>
      </c>
      <c r="E73">
        <v>6.22</v>
      </c>
      <c r="F73" s="3">
        <v>1.19</v>
      </c>
      <c r="G73" s="3">
        <v>-23.64</v>
      </c>
      <c r="H73" s="3">
        <v>0.15</v>
      </c>
      <c r="I73">
        <v>6.8</v>
      </c>
      <c r="J73" t="s">
        <v>968</v>
      </c>
      <c r="K73" t="s">
        <v>773</v>
      </c>
      <c r="L73">
        <v>1544054400</v>
      </c>
      <c r="N73">
        <v>20</v>
      </c>
      <c r="O73" s="3">
        <v>1.331209181</v>
      </c>
      <c r="P73" s="8">
        <v>207422.44510000001</v>
      </c>
      <c r="Q73" s="8">
        <v>366364.82120000001</v>
      </c>
      <c r="R73" s="8" t="s">
        <v>34</v>
      </c>
      <c r="S73" s="8" t="s">
        <v>22</v>
      </c>
    </row>
    <row r="74" spans="1:19" ht="16" x14ac:dyDescent="0.2">
      <c r="A74" t="s">
        <v>716</v>
      </c>
      <c r="B74">
        <v>0.7</v>
      </c>
      <c r="C74">
        <v>-24.34</v>
      </c>
      <c r="D74">
        <v>0.11</v>
      </c>
      <c r="E74">
        <v>5.6449999999999996</v>
      </c>
      <c r="F74" s="3">
        <v>0.7</v>
      </c>
      <c r="G74" s="3">
        <v>-24.47</v>
      </c>
      <c r="H74" s="3">
        <v>0.11</v>
      </c>
      <c r="I74">
        <v>5.95</v>
      </c>
      <c r="J74" t="s">
        <v>968</v>
      </c>
      <c r="K74" t="s">
        <v>773</v>
      </c>
      <c r="L74">
        <v>1544054400</v>
      </c>
      <c r="N74">
        <v>30</v>
      </c>
      <c r="O74" s="3">
        <v>1.359988797</v>
      </c>
      <c r="P74" s="8">
        <v>207422.44510000001</v>
      </c>
      <c r="Q74" s="8">
        <v>366364.82120000001</v>
      </c>
      <c r="R74" s="8" t="s">
        <v>34</v>
      </c>
      <c r="S74" s="8" t="s">
        <v>22</v>
      </c>
    </row>
    <row r="75" spans="1:19" ht="16" x14ac:dyDescent="0.2">
      <c r="A75" t="s">
        <v>717</v>
      </c>
      <c r="B75">
        <v>0.22</v>
      </c>
      <c r="C75">
        <v>-24.82</v>
      </c>
      <c r="D75">
        <v>7.0000000000000007E-2</v>
      </c>
      <c r="E75">
        <v>4.3899999999999997</v>
      </c>
      <c r="F75" s="3">
        <v>0.25</v>
      </c>
      <c r="G75" s="3">
        <v>-24.99</v>
      </c>
      <c r="H75" s="3">
        <v>0.08</v>
      </c>
      <c r="I75">
        <v>4.29</v>
      </c>
      <c r="J75" t="s">
        <v>968</v>
      </c>
      <c r="K75" t="s">
        <v>773</v>
      </c>
      <c r="L75">
        <v>1544054400</v>
      </c>
      <c r="N75">
        <v>60</v>
      </c>
      <c r="O75" s="3">
        <v>1.5387055460000001</v>
      </c>
      <c r="P75" s="8">
        <v>207422.44510000001</v>
      </c>
      <c r="Q75" s="8">
        <v>366364.82120000001</v>
      </c>
      <c r="R75" s="8" t="s">
        <v>34</v>
      </c>
      <c r="S75" s="8" t="s">
        <v>22</v>
      </c>
    </row>
    <row r="76" spans="1:19" ht="16" x14ac:dyDescent="0.2">
      <c r="A76" t="s">
        <v>718</v>
      </c>
      <c r="B76">
        <v>0.12</v>
      </c>
      <c r="C76">
        <v>-24.08</v>
      </c>
      <c r="D76">
        <v>7.0000000000000007E-2</v>
      </c>
      <c r="E76">
        <v>3.44</v>
      </c>
      <c r="F76" s="3">
        <v>0.13</v>
      </c>
      <c r="G76" s="3">
        <v>-25.15</v>
      </c>
      <c r="H76" s="3">
        <v>1.355</v>
      </c>
      <c r="I76">
        <v>3.39</v>
      </c>
      <c r="J76" t="s">
        <v>968</v>
      </c>
      <c r="K76" t="s">
        <v>773</v>
      </c>
      <c r="L76">
        <v>1544054400</v>
      </c>
      <c r="N76">
        <v>100</v>
      </c>
      <c r="O76" s="3">
        <v>1.490198014</v>
      </c>
      <c r="P76" s="8">
        <v>207422.44510000001</v>
      </c>
      <c r="Q76" s="8">
        <v>366364.82120000001</v>
      </c>
      <c r="R76" s="8" t="s">
        <v>34</v>
      </c>
      <c r="S76" s="8" t="s">
        <v>22</v>
      </c>
    </row>
    <row r="77" spans="1:19" ht="16" x14ac:dyDescent="0.2">
      <c r="A77" t="s">
        <v>719</v>
      </c>
      <c r="B77">
        <v>1.1599999999999999</v>
      </c>
      <c r="C77">
        <v>-24.38</v>
      </c>
      <c r="D77">
        <v>0.13</v>
      </c>
      <c r="E77">
        <v>6.31</v>
      </c>
      <c r="F77" s="3">
        <v>1.1100000000000001</v>
      </c>
      <c r="G77" s="3">
        <v>-24.38</v>
      </c>
      <c r="H77" s="3">
        <v>1.3</v>
      </c>
      <c r="I77">
        <v>6.9</v>
      </c>
      <c r="J77" t="s">
        <v>968</v>
      </c>
      <c r="K77" t="s">
        <v>743</v>
      </c>
      <c r="L77">
        <v>1544140800</v>
      </c>
      <c r="N77">
        <v>10</v>
      </c>
      <c r="O77" s="3">
        <v>1.4054996959999999</v>
      </c>
      <c r="P77" s="8">
        <v>208970.97630000001</v>
      </c>
      <c r="Q77" s="8">
        <v>368740.52010000002</v>
      </c>
      <c r="R77" s="8" t="s">
        <v>91</v>
      </c>
      <c r="S77" s="8" t="s">
        <v>22</v>
      </c>
    </row>
    <row r="78" spans="1:19" ht="16" x14ac:dyDescent="0.2">
      <c r="A78" t="s">
        <v>720</v>
      </c>
      <c r="B78">
        <v>1.1299999999999999</v>
      </c>
      <c r="C78">
        <v>-24.795000000000002</v>
      </c>
      <c r="D78">
        <v>0.13</v>
      </c>
      <c r="E78">
        <v>6.32</v>
      </c>
      <c r="F78" s="3">
        <v>1.01</v>
      </c>
      <c r="G78" s="3">
        <v>-24.49</v>
      </c>
      <c r="H78" s="3">
        <v>0.11</v>
      </c>
      <c r="I78">
        <v>7.22</v>
      </c>
      <c r="J78" t="s">
        <v>968</v>
      </c>
      <c r="K78" t="s">
        <v>743</v>
      </c>
      <c r="L78">
        <v>1544140800</v>
      </c>
      <c r="N78">
        <v>20</v>
      </c>
      <c r="O78" s="3">
        <v>1.4626677610000001</v>
      </c>
      <c r="P78" s="8">
        <v>208970.97630000001</v>
      </c>
      <c r="Q78" s="8">
        <v>368740.52010000002</v>
      </c>
      <c r="R78" s="8" t="s">
        <v>91</v>
      </c>
      <c r="S78" s="8" t="s">
        <v>22</v>
      </c>
    </row>
    <row r="79" spans="1:19" ht="16" x14ac:dyDescent="0.2">
      <c r="A79" t="s">
        <v>721</v>
      </c>
      <c r="B79">
        <v>0.74</v>
      </c>
      <c r="C79">
        <v>-24.1</v>
      </c>
      <c r="D79">
        <v>0.1</v>
      </c>
      <c r="E79">
        <v>5.63</v>
      </c>
      <c r="F79" s="3">
        <v>0.8</v>
      </c>
      <c r="G79" s="3">
        <v>-24.19</v>
      </c>
      <c r="H79" s="3">
        <v>0.1</v>
      </c>
      <c r="I79">
        <v>6.24</v>
      </c>
      <c r="J79" t="s">
        <v>968</v>
      </c>
      <c r="K79" t="s">
        <v>743</v>
      </c>
      <c r="L79">
        <v>1544140800</v>
      </c>
      <c r="N79">
        <v>30</v>
      </c>
      <c r="O79" s="3">
        <v>1.5155996039999999</v>
      </c>
      <c r="P79" s="8">
        <v>208970.97630000001</v>
      </c>
      <c r="Q79" s="8">
        <v>368740.52010000002</v>
      </c>
      <c r="R79" s="8" t="s">
        <v>91</v>
      </c>
      <c r="S79" s="8" t="s">
        <v>22</v>
      </c>
    </row>
    <row r="80" spans="1:19" ht="16" x14ac:dyDescent="0.2">
      <c r="A80" t="s">
        <v>722</v>
      </c>
      <c r="B80">
        <v>0.24</v>
      </c>
      <c r="C80">
        <v>-24.54</v>
      </c>
      <c r="D80">
        <v>7.0000000000000007E-2</v>
      </c>
      <c r="E80">
        <v>4.68</v>
      </c>
      <c r="F80" s="3">
        <v>0.28999999999999998</v>
      </c>
      <c r="G80" s="3">
        <v>-24.745000000000001</v>
      </c>
      <c r="H80" s="3">
        <v>0.64500000000000002</v>
      </c>
      <c r="I80">
        <v>4.7699999999999996</v>
      </c>
      <c r="J80" t="s">
        <v>968</v>
      </c>
      <c r="K80" t="s">
        <v>743</v>
      </c>
      <c r="L80">
        <v>1544140800</v>
      </c>
      <c r="N80">
        <v>60</v>
      </c>
      <c r="O80" s="3">
        <v>1.5516657920000001</v>
      </c>
      <c r="P80" s="8">
        <v>208970.97630000001</v>
      </c>
      <c r="Q80" s="8">
        <v>368740.52010000002</v>
      </c>
      <c r="R80" s="8" t="s">
        <v>91</v>
      </c>
      <c r="S80" s="8" t="s">
        <v>22</v>
      </c>
    </row>
    <row r="81" spans="1:19" ht="16" x14ac:dyDescent="0.2">
      <c r="A81" t="s">
        <v>723</v>
      </c>
      <c r="B81">
        <v>0.12</v>
      </c>
      <c r="C81">
        <v>-25.2</v>
      </c>
      <c r="D81">
        <v>0.05</v>
      </c>
      <c r="E81">
        <v>3.38</v>
      </c>
      <c r="F81" s="3">
        <v>0.13</v>
      </c>
      <c r="G81" s="3">
        <v>-25.59</v>
      </c>
      <c r="H81" s="3">
        <v>0.05</v>
      </c>
      <c r="I81">
        <v>4.03</v>
      </c>
      <c r="J81" t="s">
        <v>968</v>
      </c>
      <c r="K81" t="s">
        <v>743</v>
      </c>
      <c r="L81">
        <v>1544140800</v>
      </c>
      <c r="N81">
        <v>100</v>
      </c>
      <c r="O81" s="3">
        <v>1.505599119</v>
      </c>
      <c r="P81" s="8">
        <v>208970.97630000001</v>
      </c>
      <c r="Q81" s="8">
        <v>368740.52010000002</v>
      </c>
      <c r="R81" s="8" t="s">
        <v>91</v>
      </c>
      <c r="S81" s="8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AFAC-F11C-4FF8-AA34-7CDD6446EED8}">
  <dimension ref="A1:R41"/>
  <sheetViews>
    <sheetView workbookViewId="0">
      <pane xSplit="1" topLeftCell="B1" activePane="topRight" state="frozen"/>
      <selection pane="topRight" activeCell="P2" sqref="P2"/>
    </sheetView>
  </sheetViews>
  <sheetFormatPr baseColWidth="10" defaultColWidth="8.83203125" defaultRowHeight="15" x14ac:dyDescent="0.2"/>
  <cols>
    <col min="1" max="1" width="23.1640625" customWidth="1"/>
    <col min="2" max="2" width="27.83203125" customWidth="1"/>
    <col min="3" max="3" width="25.5" customWidth="1"/>
    <col min="4" max="4" width="14.83203125" customWidth="1"/>
    <col min="5" max="5" width="23.5" customWidth="1"/>
    <col min="6" max="6" width="36.5" customWidth="1"/>
    <col min="7" max="7" width="28.5" customWidth="1"/>
    <col min="8" max="8" width="34" customWidth="1"/>
    <col min="9" max="9" width="25.5" bestFit="1" customWidth="1"/>
    <col min="10" max="10" width="6.83203125" bestFit="1" customWidth="1"/>
    <col min="12" max="12" width="29.83203125" customWidth="1"/>
    <col min="13" max="13" width="14.83203125" customWidth="1"/>
    <col min="14" max="14" width="33.6640625" customWidth="1"/>
    <col min="15" max="15" width="26" customWidth="1"/>
    <col min="16" max="16" width="19.5" customWidth="1"/>
    <col min="17" max="17" width="25.5" customWidth="1"/>
    <col min="18" max="18" width="90.6640625" customWidth="1"/>
  </cols>
  <sheetData>
    <row r="1" spans="1:18" ht="16" x14ac:dyDescent="0.2">
      <c r="A1" t="s">
        <v>0</v>
      </c>
      <c r="B1" t="s">
        <v>971</v>
      </c>
      <c r="C1" t="s">
        <v>960</v>
      </c>
      <c r="D1" t="s">
        <v>976</v>
      </c>
      <c r="E1" t="s">
        <v>962</v>
      </c>
      <c r="F1" t="s">
        <v>13</v>
      </c>
      <c r="G1" t="s">
        <v>14</v>
      </c>
      <c r="H1" t="s">
        <v>15</v>
      </c>
      <c r="I1" t="s">
        <v>16</v>
      </c>
      <c r="J1" t="s">
        <v>963</v>
      </c>
      <c r="K1" t="s">
        <v>18</v>
      </c>
      <c r="L1" t="s">
        <v>964</v>
      </c>
      <c r="M1" t="s">
        <v>974</v>
      </c>
      <c r="N1" s="11" t="s">
        <v>4</v>
      </c>
      <c r="O1" s="11" t="s">
        <v>5</v>
      </c>
      <c r="P1" s="12" t="s">
        <v>6</v>
      </c>
      <c r="Q1" s="12" t="s">
        <v>977</v>
      </c>
      <c r="R1" t="s">
        <v>967</v>
      </c>
    </row>
    <row r="2" spans="1:18" ht="16" x14ac:dyDescent="0.2">
      <c r="A2" t="s">
        <v>597</v>
      </c>
      <c r="B2">
        <v>1.51</v>
      </c>
      <c r="C2">
        <v>-25.26</v>
      </c>
      <c r="D2">
        <v>0.16</v>
      </c>
      <c r="E2">
        <v>5.45</v>
      </c>
      <c r="F2" t="e">
        <v>#N/A</v>
      </c>
      <c r="G2" t="e">
        <v>#N/A</v>
      </c>
      <c r="H2" t="e">
        <v>#N/A</v>
      </c>
      <c r="I2" t="e">
        <v>#N/A</v>
      </c>
      <c r="J2" t="s">
        <v>968</v>
      </c>
      <c r="K2" t="s">
        <v>737</v>
      </c>
      <c r="L2">
        <v>1576713600</v>
      </c>
      <c r="M2">
        <v>10</v>
      </c>
      <c r="N2" s="8">
        <v>209797.8315</v>
      </c>
      <c r="O2" s="8">
        <v>368638.50109999999</v>
      </c>
      <c r="P2" s="8" t="s">
        <v>55</v>
      </c>
      <c r="Q2" s="8" t="s">
        <v>22</v>
      </c>
      <c r="R2" s="1">
        <v>1.3845564020000001</v>
      </c>
    </row>
    <row r="3" spans="1:18" ht="16" x14ac:dyDescent="0.2">
      <c r="A3" t="s">
        <v>598</v>
      </c>
      <c r="B3">
        <v>0.84</v>
      </c>
      <c r="C3">
        <v>-24.41</v>
      </c>
      <c r="D3">
        <v>0.08</v>
      </c>
      <c r="E3">
        <v>6.01</v>
      </c>
      <c r="F3" t="e">
        <v>#N/A</v>
      </c>
      <c r="G3" t="e">
        <v>#N/A</v>
      </c>
      <c r="H3" t="e">
        <v>#N/A</v>
      </c>
      <c r="I3" t="e">
        <v>#N/A</v>
      </c>
      <c r="J3" t="s">
        <v>968</v>
      </c>
      <c r="K3" t="s">
        <v>737</v>
      </c>
      <c r="L3">
        <v>1576713600</v>
      </c>
      <c r="M3">
        <v>20</v>
      </c>
      <c r="N3" s="8">
        <v>209797.8315</v>
      </c>
      <c r="O3" s="8">
        <v>368638.50109999999</v>
      </c>
      <c r="P3" s="8" t="s">
        <v>55</v>
      </c>
      <c r="Q3" s="8" t="s">
        <v>22</v>
      </c>
      <c r="R3" s="1">
        <v>1.2775273739999999</v>
      </c>
    </row>
    <row r="4" spans="1:18" ht="16" x14ac:dyDescent="0.2">
      <c r="A4" t="s">
        <v>599</v>
      </c>
      <c r="B4">
        <v>0.35</v>
      </c>
      <c r="C4">
        <v>-23.7</v>
      </c>
      <c r="D4">
        <v>7.0000000000000007E-2</v>
      </c>
      <c r="E4">
        <v>5.45</v>
      </c>
      <c r="F4" t="e">
        <v>#N/A</v>
      </c>
      <c r="G4" t="e">
        <v>#N/A</v>
      </c>
      <c r="H4" t="e">
        <v>#N/A</v>
      </c>
      <c r="I4" t="e">
        <v>#N/A</v>
      </c>
      <c r="J4" t="s">
        <v>968</v>
      </c>
      <c r="K4" t="s">
        <v>737</v>
      </c>
      <c r="L4">
        <v>1576713600</v>
      </c>
      <c r="M4">
        <v>30</v>
      </c>
      <c r="N4" s="8">
        <v>209797.8315</v>
      </c>
      <c r="O4" s="8">
        <v>368638.50109999999</v>
      </c>
      <c r="P4" s="8" t="s">
        <v>55</v>
      </c>
      <c r="Q4" s="8" t="s">
        <v>22</v>
      </c>
      <c r="R4" s="1">
        <v>1.3426777919999999</v>
      </c>
    </row>
    <row r="5" spans="1:18" ht="16" x14ac:dyDescent="0.2">
      <c r="A5" t="s">
        <v>600</v>
      </c>
      <c r="B5">
        <v>0.34</v>
      </c>
      <c r="C5">
        <v>-23.805</v>
      </c>
      <c r="D5">
        <v>6.5000000000000002E-2</v>
      </c>
      <c r="E5">
        <v>5.36</v>
      </c>
      <c r="F5" t="e">
        <v>#N/A</v>
      </c>
      <c r="G5" t="e">
        <v>#N/A</v>
      </c>
      <c r="H5" t="e">
        <v>#N/A</v>
      </c>
      <c r="I5" t="e">
        <v>#N/A</v>
      </c>
      <c r="J5" t="s">
        <v>968</v>
      </c>
      <c r="K5" t="s">
        <v>737</v>
      </c>
      <c r="L5">
        <v>1576713600</v>
      </c>
      <c r="M5">
        <v>60</v>
      </c>
      <c r="N5" s="8">
        <v>209797.8315</v>
      </c>
      <c r="O5" s="8">
        <v>368638.50109999999</v>
      </c>
      <c r="P5" s="8" t="s">
        <v>55</v>
      </c>
      <c r="Q5" s="8" t="s">
        <v>22</v>
      </c>
      <c r="R5" s="1">
        <v>1.387533962</v>
      </c>
    </row>
    <row r="6" spans="1:18" ht="16" x14ac:dyDescent="0.2">
      <c r="A6" t="s">
        <v>601</v>
      </c>
      <c r="B6">
        <v>0.16</v>
      </c>
      <c r="C6">
        <v>-24.37</v>
      </c>
      <c r="D6">
        <v>0.05</v>
      </c>
      <c r="E6">
        <v>4.7699999999999996</v>
      </c>
      <c r="F6" t="e">
        <v>#N/A</v>
      </c>
      <c r="G6" t="e">
        <v>#N/A</v>
      </c>
      <c r="H6" t="e">
        <v>#N/A</v>
      </c>
      <c r="I6" t="e">
        <v>#N/A</v>
      </c>
      <c r="J6" t="s">
        <v>968</v>
      </c>
      <c r="K6" t="s">
        <v>737</v>
      </c>
      <c r="L6">
        <v>1576713600</v>
      </c>
      <c r="M6">
        <v>100</v>
      </c>
      <c r="N6" s="8">
        <v>209797.8315</v>
      </c>
      <c r="O6" s="8">
        <v>368638.50109999999</v>
      </c>
      <c r="P6" s="8" t="s">
        <v>55</v>
      </c>
      <c r="Q6" s="8" t="s">
        <v>22</v>
      </c>
      <c r="R6" s="1">
        <v>1.418852126</v>
      </c>
    </row>
    <row r="7" spans="1:18" ht="16" x14ac:dyDescent="0.2">
      <c r="A7" t="s">
        <v>602</v>
      </c>
      <c r="B7">
        <v>1.385</v>
      </c>
      <c r="C7">
        <v>-24.56</v>
      </c>
      <c r="D7">
        <v>1.63</v>
      </c>
      <c r="E7">
        <v>5.95</v>
      </c>
      <c r="F7" t="e">
        <v>#N/A</v>
      </c>
      <c r="G7" t="e">
        <v>#N/A</v>
      </c>
      <c r="H7" t="e">
        <v>#N/A</v>
      </c>
      <c r="I7" t="e">
        <v>#N/A</v>
      </c>
      <c r="J7" t="s">
        <v>968</v>
      </c>
      <c r="K7" t="s">
        <v>743</v>
      </c>
      <c r="L7">
        <v>1576713600</v>
      </c>
      <c r="M7">
        <v>10</v>
      </c>
      <c r="N7" s="8">
        <v>208970.97630000001</v>
      </c>
      <c r="O7" s="8">
        <v>368740.52010000002</v>
      </c>
      <c r="P7" s="8" t="s">
        <v>91</v>
      </c>
      <c r="Q7" s="8" t="s">
        <v>22</v>
      </c>
      <c r="R7" s="1">
        <v>1.4175709889999999</v>
      </c>
    </row>
    <row r="8" spans="1:18" ht="16" x14ac:dyDescent="0.2">
      <c r="A8" t="s">
        <v>603</v>
      </c>
      <c r="B8">
        <v>1.26</v>
      </c>
      <c r="C8">
        <v>-24.88</v>
      </c>
      <c r="D8">
        <v>0.16</v>
      </c>
      <c r="E8">
        <v>5.8</v>
      </c>
      <c r="F8" t="e">
        <v>#N/A</v>
      </c>
      <c r="G8" t="e">
        <v>#N/A</v>
      </c>
      <c r="H8" t="e">
        <v>#N/A</v>
      </c>
      <c r="I8" t="e">
        <v>#N/A</v>
      </c>
      <c r="J8" t="s">
        <v>968</v>
      </c>
      <c r="K8" t="s">
        <v>743</v>
      </c>
      <c r="L8">
        <v>1576713600</v>
      </c>
      <c r="M8">
        <v>20</v>
      </c>
      <c r="N8" s="8">
        <v>208970.97630000001</v>
      </c>
      <c r="O8" s="8">
        <v>368740.52010000002</v>
      </c>
      <c r="P8" s="8" t="s">
        <v>91</v>
      </c>
      <c r="Q8" s="8" t="s">
        <v>22</v>
      </c>
      <c r="R8" s="1">
        <v>1.419892282</v>
      </c>
    </row>
    <row r="9" spans="1:18" ht="16" x14ac:dyDescent="0.2">
      <c r="A9" t="s">
        <v>604</v>
      </c>
      <c r="B9">
        <v>0.41</v>
      </c>
      <c r="C9">
        <v>-24.47</v>
      </c>
      <c r="D9">
        <v>0.09</v>
      </c>
      <c r="E9">
        <v>4.2350000000000003</v>
      </c>
      <c r="F9" t="e">
        <v>#N/A</v>
      </c>
      <c r="G9" t="e">
        <v>#N/A</v>
      </c>
      <c r="H9" t="e">
        <v>#N/A</v>
      </c>
      <c r="I9" t="e">
        <v>#N/A</v>
      </c>
      <c r="J9" t="s">
        <v>968</v>
      </c>
      <c r="K9" t="s">
        <v>743</v>
      </c>
      <c r="L9">
        <v>1576713600</v>
      </c>
      <c r="M9">
        <v>30</v>
      </c>
      <c r="N9" s="8">
        <v>208970.97630000001</v>
      </c>
      <c r="O9" s="8">
        <v>368740.52010000002</v>
      </c>
      <c r="P9" s="8" t="s">
        <v>91</v>
      </c>
      <c r="Q9" s="8" t="s">
        <v>22</v>
      </c>
      <c r="R9" s="1">
        <v>1.4696085569999999</v>
      </c>
    </row>
    <row r="10" spans="1:18" ht="16" x14ac:dyDescent="0.2">
      <c r="A10" t="s">
        <v>605</v>
      </c>
      <c r="B10">
        <v>0.22</v>
      </c>
      <c r="C10">
        <v>-24.81</v>
      </c>
      <c r="D10">
        <v>0.08</v>
      </c>
      <c r="E10">
        <v>3.42</v>
      </c>
      <c r="F10" t="e">
        <v>#N/A</v>
      </c>
      <c r="G10" t="e">
        <v>#N/A</v>
      </c>
      <c r="H10" t="e">
        <v>#N/A</v>
      </c>
      <c r="I10" t="e">
        <v>#N/A</v>
      </c>
      <c r="J10" t="s">
        <v>968</v>
      </c>
      <c r="K10" t="s">
        <v>743</v>
      </c>
      <c r="L10">
        <v>1576713600</v>
      </c>
      <c r="M10">
        <v>60</v>
      </c>
      <c r="N10" s="8">
        <v>208970.97630000001</v>
      </c>
      <c r="O10" s="8">
        <v>368740.52010000002</v>
      </c>
      <c r="P10" s="8" t="s">
        <v>91</v>
      </c>
      <c r="Q10" s="8" t="s">
        <v>22</v>
      </c>
      <c r="R10" s="1">
        <v>1.478041902</v>
      </c>
    </row>
    <row r="11" spans="1:18" ht="16" x14ac:dyDescent="0.2">
      <c r="A11" t="s">
        <v>606</v>
      </c>
      <c r="B11">
        <v>0.11</v>
      </c>
      <c r="C11">
        <v>-25.58</v>
      </c>
      <c r="D11">
        <v>7.0000000000000007E-2</v>
      </c>
      <c r="E11">
        <v>2.75</v>
      </c>
      <c r="F11" t="e">
        <v>#N/A</v>
      </c>
      <c r="G11" t="e">
        <v>#N/A</v>
      </c>
      <c r="H11" t="e">
        <v>#N/A</v>
      </c>
      <c r="I11" t="e">
        <v>#N/A</v>
      </c>
      <c r="J11" t="s">
        <v>968</v>
      </c>
      <c r="K11" t="s">
        <v>743</v>
      </c>
      <c r="L11">
        <v>1576713600</v>
      </c>
      <c r="M11">
        <v>100</v>
      </c>
      <c r="N11" s="8">
        <v>208970.97630000001</v>
      </c>
      <c r="O11" s="8">
        <v>368740.52010000002</v>
      </c>
      <c r="P11" s="8" t="s">
        <v>91</v>
      </c>
      <c r="Q11" s="8" t="s">
        <v>22</v>
      </c>
      <c r="R11" s="1">
        <v>1.586669903</v>
      </c>
    </row>
    <row r="12" spans="1:18" ht="16" x14ac:dyDescent="0.2">
      <c r="A12" t="s">
        <v>607</v>
      </c>
      <c r="B12">
        <v>2.21</v>
      </c>
      <c r="C12">
        <v>-22</v>
      </c>
      <c r="D12">
        <v>0.23</v>
      </c>
      <c r="E12">
        <v>7.4</v>
      </c>
      <c r="F12" t="e">
        <v>#N/A</v>
      </c>
      <c r="G12" t="e">
        <v>#N/A</v>
      </c>
      <c r="H12" t="e">
        <v>#N/A</v>
      </c>
      <c r="I12" t="e">
        <v>#N/A</v>
      </c>
      <c r="J12" t="s">
        <v>978</v>
      </c>
      <c r="K12" t="s">
        <v>755</v>
      </c>
      <c r="L12">
        <v>1576800000</v>
      </c>
      <c r="M12">
        <v>10</v>
      </c>
      <c r="N12" s="8">
        <v>204909.54329999999</v>
      </c>
      <c r="O12" s="8">
        <v>366099.93910000002</v>
      </c>
      <c r="P12" s="8" t="s">
        <v>159</v>
      </c>
      <c r="Q12" s="8" t="s">
        <v>22</v>
      </c>
      <c r="R12" s="1">
        <v>1.274312927</v>
      </c>
    </row>
    <row r="13" spans="1:18" ht="16" x14ac:dyDescent="0.2">
      <c r="A13" t="s">
        <v>608</v>
      </c>
      <c r="B13">
        <v>2.0699999999999998</v>
      </c>
      <c r="C13">
        <v>-22.5</v>
      </c>
      <c r="D13">
        <v>0.22</v>
      </c>
      <c r="E13">
        <v>7.3</v>
      </c>
      <c r="F13" t="e">
        <v>#N/A</v>
      </c>
      <c r="G13" t="e">
        <v>#N/A</v>
      </c>
      <c r="H13" t="e">
        <v>#N/A</v>
      </c>
      <c r="I13" t="e">
        <v>#N/A</v>
      </c>
      <c r="J13" t="s">
        <v>978</v>
      </c>
      <c r="K13" t="s">
        <v>755</v>
      </c>
      <c r="L13">
        <v>1576800000</v>
      </c>
      <c r="M13">
        <v>20</v>
      </c>
      <c r="N13" s="8">
        <v>204909.54329999999</v>
      </c>
      <c r="O13" s="8">
        <v>366099.93910000002</v>
      </c>
      <c r="P13" s="8" t="s">
        <v>159</v>
      </c>
      <c r="Q13" s="8" t="s">
        <v>22</v>
      </c>
      <c r="R13" s="1">
        <v>1.293587373</v>
      </c>
    </row>
    <row r="14" spans="1:18" ht="16" x14ac:dyDescent="0.2">
      <c r="A14" t="s">
        <v>609</v>
      </c>
      <c r="B14">
        <v>1.46</v>
      </c>
      <c r="C14">
        <v>-23.01</v>
      </c>
      <c r="D14">
        <v>0.17</v>
      </c>
      <c r="E14">
        <v>7.01</v>
      </c>
      <c r="F14" t="e">
        <v>#N/A</v>
      </c>
      <c r="G14" t="e">
        <v>#N/A</v>
      </c>
      <c r="H14" t="e">
        <v>#N/A</v>
      </c>
      <c r="I14" t="e">
        <v>#N/A</v>
      </c>
      <c r="J14" t="s">
        <v>968</v>
      </c>
      <c r="K14" t="s">
        <v>755</v>
      </c>
      <c r="L14">
        <v>1576800000</v>
      </c>
      <c r="M14">
        <v>30</v>
      </c>
      <c r="N14" s="8">
        <v>204909.54329999999</v>
      </c>
      <c r="O14" s="8">
        <v>366099.93910000002</v>
      </c>
      <c r="P14" s="8" t="s">
        <v>159</v>
      </c>
      <c r="Q14" s="8" t="s">
        <v>22</v>
      </c>
      <c r="R14" s="1">
        <v>1.3274067860000001</v>
      </c>
    </row>
    <row r="15" spans="1:18" ht="16" x14ac:dyDescent="0.2">
      <c r="A15" t="s">
        <v>610</v>
      </c>
      <c r="B15">
        <v>0.54</v>
      </c>
      <c r="C15">
        <v>-23.504999999999999</v>
      </c>
      <c r="D15">
        <v>0.1</v>
      </c>
      <c r="E15">
        <v>5.6749999999999998</v>
      </c>
      <c r="F15" t="e">
        <v>#N/A</v>
      </c>
      <c r="G15" t="e">
        <v>#N/A</v>
      </c>
      <c r="H15" t="e">
        <v>#N/A</v>
      </c>
      <c r="I15" t="e">
        <v>#N/A</v>
      </c>
      <c r="J15" t="s">
        <v>968</v>
      </c>
      <c r="K15" t="s">
        <v>755</v>
      </c>
      <c r="L15">
        <v>1576800000</v>
      </c>
      <c r="M15">
        <v>60</v>
      </c>
      <c r="N15" s="8">
        <v>204909.54329999999</v>
      </c>
      <c r="O15" s="8">
        <v>366099.93910000002</v>
      </c>
      <c r="P15" s="8" t="s">
        <v>159</v>
      </c>
      <c r="Q15" s="8" t="s">
        <v>22</v>
      </c>
      <c r="R15" s="1">
        <v>1.463691063</v>
      </c>
    </row>
    <row r="16" spans="1:18" ht="16" x14ac:dyDescent="0.2">
      <c r="A16" t="s">
        <v>611</v>
      </c>
      <c r="B16">
        <v>0.28000000000000003</v>
      </c>
      <c r="C16">
        <v>-24</v>
      </c>
      <c r="D16">
        <v>0.05</v>
      </c>
      <c r="E16">
        <v>4.5</v>
      </c>
      <c r="F16" t="e">
        <v>#N/A</v>
      </c>
      <c r="G16" t="e">
        <v>#N/A</v>
      </c>
      <c r="H16" t="e">
        <v>#N/A</v>
      </c>
      <c r="I16" t="e">
        <v>#N/A</v>
      </c>
      <c r="J16" t="s">
        <v>978</v>
      </c>
      <c r="K16" t="s">
        <v>755</v>
      </c>
      <c r="L16">
        <v>1576800000</v>
      </c>
      <c r="M16">
        <v>100</v>
      </c>
      <c r="N16" s="8">
        <v>204909.54329999999</v>
      </c>
      <c r="O16" s="8">
        <v>366099.93910000002</v>
      </c>
      <c r="P16" s="8" t="s">
        <v>159</v>
      </c>
      <c r="Q16" s="8" t="s">
        <v>22</v>
      </c>
      <c r="R16" s="1">
        <v>1.618025874</v>
      </c>
    </row>
    <row r="17" spans="1:18" ht="16" x14ac:dyDescent="0.2">
      <c r="A17" t="s">
        <v>612</v>
      </c>
      <c r="B17">
        <v>2.02</v>
      </c>
      <c r="C17">
        <v>-26.79</v>
      </c>
      <c r="D17">
        <v>0.26</v>
      </c>
      <c r="E17">
        <v>5.0599999999999996</v>
      </c>
      <c r="F17" t="e">
        <v>#N/A</v>
      </c>
      <c r="G17" t="e">
        <v>#N/A</v>
      </c>
      <c r="H17" t="e">
        <v>#N/A</v>
      </c>
      <c r="I17" t="e">
        <v>#N/A</v>
      </c>
      <c r="J17" t="s">
        <v>968</v>
      </c>
      <c r="K17" t="s">
        <v>767</v>
      </c>
      <c r="L17">
        <v>1576800000</v>
      </c>
      <c r="M17">
        <v>10</v>
      </c>
      <c r="N17" s="8">
        <v>207130.2776</v>
      </c>
      <c r="O17" s="8">
        <v>366996.86820000003</v>
      </c>
      <c r="P17" s="8" t="s">
        <v>219</v>
      </c>
      <c r="Q17" s="8" t="s">
        <v>22</v>
      </c>
      <c r="R17" s="1">
        <v>1.320801986</v>
      </c>
    </row>
    <row r="18" spans="1:18" ht="16" x14ac:dyDescent="0.2">
      <c r="A18" t="s">
        <v>613</v>
      </c>
      <c r="B18">
        <v>1.01</v>
      </c>
      <c r="C18">
        <v>-24.6</v>
      </c>
      <c r="D18">
        <v>0.13</v>
      </c>
      <c r="E18">
        <v>7.2</v>
      </c>
      <c r="F18" t="e">
        <v>#N/A</v>
      </c>
      <c r="G18" t="e">
        <v>#N/A</v>
      </c>
      <c r="H18" t="e">
        <v>#N/A</v>
      </c>
      <c r="I18" t="e">
        <v>#N/A</v>
      </c>
      <c r="J18" t="s">
        <v>978</v>
      </c>
      <c r="K18" t="s">
        <v>767</v>
      </c>
      <c r="L18">
        <v>1576800000</v>
      </c>
      <c r="M18">
        <v>20</v>
      </c>
      <c r="N18" s="8">
        <v>207130.2776</v>
      </c>
      <c r="O18" s="8">
        <v>366996.86820000003</v>
      </c>
      <c r="P18" s="8" t="s">
        <v>219</v>
      </c>
      <c r="Q18" s="8" t="s">
        <v>22</v>
      </c>
      <c r="R18" s="1">
        <v>1.3689825849999999</v>
      </c>
    </row>
    <row r="19" spans="1:18" ht="16" x14ac:dyDescent="0.2">
      <c r="A19" t="s">
        <v>614</v>
      </c>
      <c r="B19">
        <v>0.47499999999999998</v>
      </c>
      <c r="C19">
        <v>-24.524999999999999</v>
      </c>
      <c r="D19">
        <v>0.1</v>
      </c>
      <c r="E19">
        <v>4.82</v>
      </c>
      <c r="F19" t="e">
        <v>#N/A</v>
      </c>
      <c r="G19" t="e">
        <v>#N/A</v>
      </c>
      <c r="H19" t="e">
        <v>#N/A</v>
      </c>
      <c r="I19" t="e">
        <v>#N/A</v>
      </c>
      <c r="J19" t="s">
        <v>968</v>
      </c>
      <c r="K19" t="s">
        <v>767</v>
      </c>
      <c r="L19">
        <v>1576800000</v>
      </c>
      <c r="M19">
        <v>30</v>
      </c>
      <c r="N19" s="8">
        <v>207130.2776</v>
      </c>
      <c r="O19" s="8">
        <v>366996.86820000003</v>
      </c>
      <c r="P19" s="8" t="s">
        <v>219</v>
      </c>
      <c r="Q19" s="8" t="s">
        <v>22</v>
      </c>
      <c r="R19" s="1">
        <v>1.5211685070000001</v>
      </c>
    </row>
    <row r="20" spans="1:18" ht="16" x14ac:dyDescent="0.2">
      <c r="A20" t="s">
        <v>615</v>
      </c>
      <c r="B20">
        <v>0.19</v>
      </c>
      <c r="C20">
        <v>-24.35</v>
      </c>
      <c r="D20">
        <v>0.1</v>
      </c>
      <c r="E20">
        <v>2.9</v>
      </c>
      <c r="F20" t="e">
        <v>#N/A</v>
      </c>
      <c r="G20" t="e">
        <v>#N/A</v>
      </c>
      <c r="H20" t="e">
        <v>#N/A</v>
      </c>
      <c r="I20" t="e">
        <v>#N/A</v>
      </c>
      <c r="J20" t="s">
        <v>968</v>
      </c>
      <c r="K20" t="s">
        <v>767</v>
      </c>
      <c r="L20">
        <v>1576800000</v>
      </c>
      <c r="M20">
        <v>60</v>
      </c>
      <c r="N20" s="8">
        <v>207130.2776</v>
      </c>
      <c r="O20" s="8">
        <v>366996.86820000003</v>
      </c>
      <c r="P20" s="8" t="s">
        <v>219</v>
      </c>
      <c r="Q20" s="8" t="s">
        <v>22</v>
      </c>
      <c r="R20" s="1">
        <v>1.5442734549999999</v>
      </c>
    </row>
    <row r="21" spans="1:18" ht="16" x14ac:dyDescent="0.2">
      <c r="A21" t="s">
        <v>616</v>
      </c>
      <c r="B21">
        <v>0.14000000000000001</v>
      </c>
      <c r="C21">
        <v>-22.66</v>
      </c>
      <c r="D21">
        <v>0.1</v>
      </c>
      <c r="E21">
        <v>2.2599999999999998</v>
      </c>
      <c r="F21" t="e">
        <v>#N/A</v>
      </c>
      <c r="G21" t="e">
        <v>#N/A</v>
      </c>
      <c r="H21" t="e">
        <v>#N/A</v>
      </c>
      <c r="I21" t="e">
        <v>#N/A</v>
      </c>
      <c r="J21" t="s">
        <v>978</v>
      </c>
      <c r="K21" t="s">
        <v>767</v>
      </c>
      <c r="L21">
        <v>1576800000</v>
      </c>
      <c r="M21">
        <v>100</v>
      </c>
      <c r="N21" s="8">
        <v>207130.2776</v>
      </c>
      <c r="O21" s="8">
        <v>366996.86820000003</v>
      </c>
      <c r="P21" s="8" t="s">
        <v>219</v>
      </c>
      <c r="Q21" s="8" t="s">
        <v>22</v>
      </c>
      <c r="R21" s="1">
        <v>1.4183641730000001</v>
      </c>
    </row>
    <row r="22" spans="1:18" ht="16" x14ac:dyDescent="0.2">
      <c r="A22" t="s">
        <v>617</v>
      </c>
      <c r="B22">
        <v>1.32</v>
      </c>
      <c r="C22">
        <v>-22.5</v>
      </c>
      <c r="D22">
        <v>0.15</v>
      </c>
      <c r="E22">
        <v>5.5</v>
      </c>
      <c r="F22" t="e">
        <v>#N/A</v>
      </c>
      <c r="G22" t="e">
        <v>#N/A</v>
      </c>
      <c r="H22" t="e">
        <v>#N/A</v>
      </c>
      <c r="I22" t="e">
        <v>#N/A</v>
      </c>
      <c r="J22" t="s">
        <v>978</v>
      </c>
      <c r="K22" t="s">
        <v>725</v>
      </c>
      <c r="L22">
        <v>1576713600</v>
      </c>
      <c r="M22">
        <v>10</v>
      </c>
      <c r="N22" s="8">
        <v>209868.28159999999</v>
      </c>
      <c r="O22" s="8">
        <v>370198.27370000002</v>
      </c>
      <c r="P22" s="8" t="s">
        <v>285</v>
      </c>
      <c r="Q22" s="8" t="s">
        <v>22</v>
      </c>
      <c r="R22" s="1">
        <v>1.2814960360000001</v>
      </c>
    </row>
    <row r="23" spans="1:18" ht="16" x14ac:dyDescent="0.2">
      <c r="A23" t="s">
        <v>618</v>
      </c>
      <c r="B23">
        <v>1.07</v>
      </c>
      <c r="C23">
        <v>-23.405000000000001</v>
      </c>
      <c r="D23">
        <v>0.13500000000000001</v>
      </c>
      <c r="E23">
        <v>5.36</v>
      </c>
      <c r="F23" t="e">
        <v>#N/A</v>
      </c>
      <c r="G23" t="e">
        <v>#N/A</v>
      </c>
      <c r="H23" t="e">
        <v>#N/A</v>
      </c>
      <c r="I23" t="e">
        <v>#N/A</v>
      </c>
      <c r="J23" t="s">
        <v>968</v>
      </c>
      <c r="K23" t="s">
        <v>725</v>
      </c>
      <c r="L23">
        <v>1576713600</v>
      </c>
      <c r="M23">
        <v>20</v>
      </c>
      <c r="N23" s="8">
        <v>209868.28159999999</v>
      </c>
      <c r="O23" s="8">
        <v>370198.27370000002</v>
      </c>
      <c r="P23" s="8" t="s">
        <v>285</v>
      </c>
      <c r="Q23" s="8" t="s">
        <v>22</v>
      </c>
      <c r="R23" s="1">
        <v>1.4044426489999999</v>
      </c>
    </row>
    <row r="24" spans="1:18" ht="16" x14ac:dyDescent="0.2">
      <c r="A24" t="s">
        <v>619</v>
      </c>
      <c r="B24">
        <v>0.74</v>
      </c>
      <c r="C24">
        <v>-23.66</v>
      </c>
      <c r="D24">
        <v>0.1</v>
      </c>
      <c r="E24">
        <v>5.31</v>
      </c>
      <c r="F24" t="e">
        <v>#N/A</v>
      </c>
      <c r="G24" t="e">
        <v>#N/A</v>
      </c>
      <c r="H24" t="e">
        <v>#N/A</v>
      </c>
      <c r="I24" t="e">
        <v>#N/A</v>
      </c>
      <c r="J24" t="s">
        <v>968</v>
      </c>
      <c r="K24" t="s">
        <v>725</v>
      </c>
      <c r="L24">
        <v>1576713600</v>
      </c>
      <c r="M24">
        <v>30</v>
      </c>
      <c r="N24" s="8">
        <v>209868.28159999999</v>
      </c>
      <c r="O24" s="8">
        <v>370198.27370000002</v>
      </c>
      <c r="P24" s="8" t="s">
        <v>285</v>
      </c>
      <c r="Q24" s="8" t="s">
        <v>22</v>
      </c>
      <c r="R24" s="1">
        <v>1.4774823580000001</v>
      </c>
    </row>
    <row r="25" spans="1:18" ht="16" x14ac:dyDescent="0.2">
      <c r="A25" t="s">
        <v>620</v>
      </c>
      <c r="B25">
        <v>0.18</v>
      </c>
      <c r="C25">
        <v>-22.5</v>
      </c>
      <c r="D25">
        <v>0.04</v>
      </c>
      <c r="E25">
        <v>5.5</v>
      </c>
      <c r="F25" t="e">
        <v>#N/A</v>
      </c>
      <c r="G25" t="e">
        <v>#N/A</v>
      </c>
      <c r="H25" t="e">
        <v>#N/A</v>
      </c>
      <c r="I25" t="e">
        <v>#N/A</v>
      </c>
      <c r="J25" t="s">
        <v>978</v>
      </c>
      <c r="K25" t="s">
        <v>725</v>
      </c>
      <c r="L25">
        <v>1576713600</v>
      </c>
      <c r="M25">
        <v>60</v>
      </c>
      <c r="N25" s="8">
        <v>209868.28159999999</v>
      </c>
      <c r="O25" s="8">
        <v>370198.27370000002</v>
      </c>
      <c r="P25" s="8" t="s">
        <v>285</v>
      </c>
      <c r="Q25" s="8" t="s">
        <v>22</v>
      </c>
      <c r="R25" s="1">
        <v>1.607568348</v>
      </c>
    </row>
    <row r="26" spans="1:18" ht="16" x14ac:dyDescent="0.2">
      <c r="A26" t="s">
        <v>621</v>
      </c>
      <c r="B26">
        <v>0.09</v>
      </c>
      <c r="C26">
        <v>-23.6</v>
      </c>
      <c r="D26">
        <v>0.03</v>
      </c>
      <c r="E26">
        <v>4.4000000000000004</v>
      </c>
      <c r="F26" t="e">
        <v>#N/A</v>
      </c>
      <c r="G26" t="e">
        <v>#N/A</v>
      </c>
      <c r="H26" t="e">
        <v>#N/A</v>
      </c>
      <c r="I26" t="e">
        <v>#N/A</v>
      </c>
      <c r="J26" t="s">
        <v>978</v>
      </c>
      <c r="K26" t="s">
        <v>725</v>
      </c>
      <c r="L26">
        <v>1576713600</v>
      </c>
      <c r="M26">
        <v>100</v>
      </c>
      <c r="N26" s="8">
        <v>209868.28159999999</v>
      </c>
      <c r="O26" s="8">
        <v>370198.27370000002</v>
      </c>
      <c r="P26" s="8" t="s">
        <v>285</v>
      </c>
      <c r="Q26" s="8" t="s">
        <v>22</v>
      </c>
      <c r="R26" s="1">
        <v>1.551093233</v>
      </c>
    </row>
    <row r="27" spans="1:18" ht="16" x14ac:dyDescent="0.2">
      <c r="A27" t="s">
        <v>622</v>
      </c>
      <c r="B27">
        <v>0.75</v>
      </c>
      <c r="C27">
        <v>-22.69</v>
      </c>
      <c r="D27">
        <v>0.13</v>
      </c>
      <c r="E27">
        <v>4.5999999999999996</v>
      </c>
      <c r="F27" t="e">
        <v>#N/A</v>
      </c>
      <c r="G27" t="e">
        <v>#N/A</v>
      </c>
      <c r="H27" t="e">
        <v>#N/A</v>
      </c>
      <c r="I27" t="e">
        <v>#N/A</v>
      </c>
      <c r="J27" t="s">
        <v>978</v>
      </c>
      <c r="K27" t="s">
        <v>731</v>
      </c>
      <c r="L27">
        <v>1576800000</v>
      </c>
      <c r="M27">
        <v>10</v>
      </c>
      <c r="N27" s="8">
        <v>208112.63140000001</v>
      </c>
      <c r="O27" s="8">
        <v>365496.48340000003</v>
      </c>
      <c r="P27" s="8" t="s">
        <v>623</v>
      </c>
      <c r="Q27" s="8" t="s">
        <v>22</v>
      </c>
      <c r="R27" s="1">
        <v>1.5543432559999999</v>
      </c>
    </row>
    <row r="28" spans="1:18" ht="16" x14ac:dyDescent="0.2">
      <c r="A28" t="s">
        <v>624</v>
      </c>
      <c r="B28">
        <v>0.72499999999999998</v>
      </c>
      <c r="C28">
        <v>-22.55</v>
      </c>
      <c r="D28">
        <v>0.09</v>
      </c>
      <c r="E28">
        <v>5.5350000000000001</v>
      </c>
      <c r="F28" t="e">
        <v>#N/A</v>
      </c>
      <c r="G28" t="e">
        <v>#N/A</v>
      </c>
      <c r="H28" t="e">
        <v>#N/A</v>
      </c>
      <c r="I28" t="e">
        <v>#N/A</v>
      </c>
      <c r="J28" t="s">
        <v>978</v>
      </c>
      <c r="K28" t="s">
        <v>731</v>
      </c>
      <c r="L28">
        <v>1576800000</v>
      </c>
      <c r="M28">
        <v>20</v>
      </c>
      <c r="N28" s="8">
        <v>208112.63140000001</v>
      </c>
      <c r="O28" s="8">
        <v>365496.48340000003</v>
      </c>
      <c r="P28" s="8" t="s">
        <v>623</v>
      </c>
      <c r="Q28" s="8" t="s">
        <v>22</v>
      </c>
      <c r="R28" s="1">
        <v>1.5376792699999999</v>
      </c>
    </row>
    <row r="29" spans="1:18" ht="16" x14ac:dyDescent="0.2">
      <c r="A29" t="s">
        <v>625</v>
      </c>
      <c r="B29">
        <v>0.52</v>
      </c>
      <c r="C29">
        <v>-22.52</v>
      </c>
      <c r="D29">
        <v>0.08</v>
      </c>
      <c r="E29">
        <v>5.15</v>
      </c>
      <c r="F29" t="e">
        <v>#N/A</v>
      </c>
      <c r="G29" t="e">
        <v>#N/A</v>
      </c>
      <c r="H29" t="e">
        <v>#N/A</v>
      </c>
      <c r="I29" t="e">
        <v>#N/A</v>
      </c>
      <c r="J29" t="s">
        <v>978</v>
      </c>
      <c r="K29" t="s">
        <v>731</v>
      </c>
      <c r="L29">
        <v>1576800000</v>
      </c>
      <c r="M29">
        <v>30</v>
      </c>
      <c r="N29" s="8">
        <v>208112.63140000001</v>
      </c>
      <c r="O29" s="8">
        <v>365496.48340000003</v>
      </c>
      <c r="P29" s="8" t="s">
        <v>623</v>
      </c>
      <c r="Q29" s="8" t="s">
        <v>22</v>
      </c>
      <c r="R29" s="1">
        <v>1.435117381</v>
      </c>
    </row>
    <row r="30" spans="1:18" ht="16" x14ac:dyDescent="0.2">
      <c r="A30" t="s">
        <v>626</v>
      </c>
      <c r="B30">
        <v>0.2</v>
      </c>
      <c r="C30">
        <v>-21.77</v>
      </c>
      <c r="D30">
        <v>0.06</v>
      </c>
      <c r="E30">
        <v>4.67</v>
      </c>
      <c r="F30" t="e">
        <v>#N/A</v>
      </c>
      <c r="G30" t="e">
        <v>#N/A</v>
      </c>
      <c r="H30" t="e">
        <v>#N/A</v>
      </c>
      <c r="I30" t="e">
        <v>#N/A</v>
      </c>
      <c r="J30" t="s">
        <v>978</v>
      </c>
      <c r="K30" t="s">
        <v>731</v>
      </c>
      <c r="L30">
        <v>1576800000</v>
      </c>
      <c r="M30">
        <v>60</v>
      </c>
      <c r="N30" s="8">
        <v>208112.63140000001</v>
      </c>
      <c r="O30" s="8">
        <v>365496.48340000003</v>
      </c>
      <c r="P30" s="8" t="s">
        <v>623</v>
      </c>
      <c r="Q30" s="8" t="s">
        <v>22</v>
      </c>
      <c r="R30" s="1">
        <v>1.534043381</v>
      </c>
    </row>
    <row r="31" spans="1:18" ht="16" x14ac:dyDescent="0.2">
      <c r="A31" t="s">
        <v>627</v>
      </c>
      <c r="B31">
        <v>0.1</v>
      </c>
      <c r="C31">
        <v>-23.76</v>
      </c>
      <c r="D31">
        <v>0.04</v>
      </c>
      <c r="E31">
        <v>3.45</v>
      </c>
      <c r="F31" t="e">
        <v>#N/A</v>
      </c>
      <c r="G31" t="e">
        <v>#N/A</v>
      </c>
      <c r="H31" t="e">
        <v>#N/A</v>
      </c>
      <c r="I31" t="e">
        <v>#N/A</v>
      </c>
      <c r="J31" t="s">
        <v>978</v>
      </c>
      <c r="K31" t="s">
        <v>731</v>
      </c>
      <c r="L31">
        <v>1576800000</v>
      </c>
      <c r="M31">
        <v>100</v>
      </c>
      <c r="N31" s="8">
        <v>208112.63140000001</v>
      </c>
      <c r="O31" s="8">
        <v>365496.48340000003</v>
      </c>
      <c r="P31" s="8" t="s">
        <v>623</v>
      </c>
      <c r="Q31" s="8" t="s">
        <v>22</v>
      </c>
      <c r="R31" s="1">
        <v>1.543523008</v>
      </c>
    </row>
    <row r="32" spans="1:18" ht="16" x14ac:dyDescent="0.2">
      <c r="A32" t="s">
        <v>628</v>
      </c>
      <c r="B32">
        <v>1.05</v>
      </c>
      <c r="C32">
        <v>-22.2</v>
      </c>
      <c r="D32">
        <v>0.11</v>
      </c>
      <c r="E32">
        <v>4.7</v>
      </c>
      <c r="F32" t="e">
        <v>#N/A</v>
      </c>
      <c r="G32" t="e">
        <v>#N/A</v>
      </c>
      <c r="H32" t="e">
        <v>#N/A</v>
      </c>
      <c r="I32" t="e">
        <v>#N/A</v>
      </c>
      <c r="J32" t="s">
        <v>978</v>
      </c>
      <c r="K32" t="s">
        <v>42</v>
      </c>
      <c r="L32">
        <v>1576713600</v>
      </c>
      <c r="M32">
        <v>10</v>
      </c>
      <c r="N32" s="8">
        <v>207160.9541</v>
      </c>
      <c r="O32" s="8">
        <v>364717.0062</v>
      </c>
      <c r="P32" s="8" t="s">
        <v>629</v>
      </c>
      <c r="Q32" s="8" t="s">
        <v>22</v>
      </c>
      <c r="R32" s="1">
        <v>1.490824699</v>
      </c>
    </row>
    <row r="33" spans="1:18" ht="16" x14ac:dyDescent="0.2">
      <c r="A33" t="s">
        <v>630</v>
      </c>
      <c r="B33">
        <v>1.1599999999999999</v>
      </c>
      <c r="C33">
        <v>-22.51</v>
      </c>
      <c r="D33">
        <v>0.14000000000000001</v>
      </c>
      <c r="E33">
        <v>4.7699999999999996</v>
      </c>
      <c r="F33" t="e">
        <v>#N/A</v>
      </c>
      <c r="G33" t="e">
        <v>#N/A</v>
      </c>
      <c r="H33" t="e">
        <v>#N/A</v>
      </c>
      <c r="I33" t="e">
        <v>#N/A</v>
      </c>
      <c r="J33" t="s">
        <v>968</v>
      </c>
      <c r="K33" t="s">
        <v>42</v>
      </c>
      <c r="L33">
        <v>1576713600</v>
      </c>
      <c r="M33">
        <v>20</v>
      </c>
      <c r="N33" s="8">
        <v>207160.9541</v>
      </c>
      <c r="O33" s="8">
        <v>364717.0062</v>
      </c>
      <c r="P33" s="8" t="s">
        <v>42</v>
      </c>
      <c r="Q33" s="8" t="s">
        <v>22</v>
      </c>
      <c r="R33" s="1">
        <v>1.393340588</v>
      </c>
    </row>
    <row r="34" spans="1:18" ht="16" x14ac:dyDescent="0.2">
      <c r="A34" t="s">
        <v>631</v>
      </c>
      <c r="B34">
        <v>0.76</v>
      </c>
      <c r="C34">
        <v>-22.75</v>
      </c>
      <c r="D34">
        <v>0.09</v>
      </c>
      <c r="E34">
        <v>5.0599999999999996</v>
      </c>
      <c r="F34" t="e">
        <v>#N/A</v>
      </c>
      <c r="G34" t="e">
        <v>#N/A</v>
      </c>
      <c r="H34" t="e">
        <v>#N/A</v>
      </c>
      <c r="I34" t="e">
        <v>#N/A</v>
      </c>
      <c r="J34" t="s">
        <v>968</v>
      </c>
      <c r="K34" t="s">
        <v>42</v>
      </c>
      <c r="L34">
        <v>1576713600</v>
      </c>
      <c r="M34">
        <v>30</v>
      </c>
      <c r="N34" s="8">
        <v>207160.9541</v>
      </c>
      <c r="O34" s="8">
        <v>364717.0062</v>
      </c>
      <c r="P34" s="8" t="s">
        <v>49</v>
      </c>
      <c r="Q34" s="8" t="s">
        <v>22</v>
      </c>
      <c r="R34" s="1">
        <v>1.4594982860000001</v>
      </c>
    </row>
    <row r="35" spans="1:18" ht="16" x14ac:dyDescent="0.2">
      <c r="A35" t="s">
        <v>632</v>
      </c>
      <c r="B35">
        <v>0.31</v>
      </c>
      <c r="C35">
        <v>-22.4</v>
      </c>
      <c r="D35">
        <v>0.05</v>
      </c>
      <c r="E35">
        <v>5.4</v>
      </c>
      <c r="F35" t="e">
        <v>#N/A</v>
      </c>
      <c r="G35" t="e">
        <v>#N/A</v>
      </c>
      <c r="H35" t="e">
        <v>#N/A</v>
      </c>
      <c r="I35" t="e">
        <v>#N/A</v>
      </c>
      <c r="J35" t="s">
        <v>978</v>
      </c>
      <c r="K35" t="s">
        <v>42</v>
      </c>
      <c r="L35">
        <v>1576713600</v>
      </c>
      <c r="M35">
        <v>60</v>
      </c>
      <c r="N35" s="8">
        <v>207160.9541</v>
      </c>
      <c r="O35" s="8">
        <v>364717.0062</v>
      </c>
      <c r="P35" s="8" t="s">
        <v>633</v>
      </c>
      <c r="Q35" s="8" t="s">
        <v>22</v>
      </c>
      <c r="R35" s="1">
        <v>1.4437274929999999</v>
      </c>
    </row>
    <row r="36" spans="1:18" ht="16" x14ac:dyDescent="0.2">
      <c r="A36" t="s">
        <v>634</v>
      </c>
      <c r="B36">
        <v>0.13</v>
      </c>
      <c r="C36">
        <v>-23.175000000000001</v>
      </c>
      <c r="D36">
        <v>0.05</v>
      </c>
      <c r="E36">
        <v>3.8</v>
      </c>
      <c r="F36" t="e">
        <v>#N/A</v>
      </c>
      <c r="G36" t="e">
        <v>#N/A</v>
      </c>
      <c r="H36" t="e">
        <v>#N/A</v>
      </c>
      <c r="I36" t="e">
        <v>#N/A</v>
      </c>
      <c r="J36" t="s">
        <v>968</v>
      </c>
      <c r="K36" t="s">
        <v>42</v>
      </c>
      <c r="L36">
        <v>1576713600</v>
      </c>
      <c r="M36">
        <v>100</v>
      </c>
      <c r="N36" s="8">
        <v>207160.9541</v>
      </c>
      <c r="O36" s="8">
        <v>364717.0062</v>
      </c>
      <c r="P36" s="8" t="s">
        <v>635</v>
      </c>
      <c r="Q36" s="8" t="s">
        <v>22</v>
      </c>
      <c r="R36" s="1">
        <v>1.506500006</v>
      </c>
    </row>
    <row r="37" spans="1:18" ht="16" x14ac:dyDescent="0.2">
      <c r="A37" t="s">
        <v>636</v>
      </c>
      <c r="B37">
        <v>1.2450000000000001</v>
      </c>
      <c r="C37">
        <v>-22.72</v>
      </c>
      <c r="D37">
        <v>0.13500000000000001</v>
      </c>
      <c r="E37">
        <v>3.86</v>
      </c>
      <c r="F37" t="e">
        <v>#N/A</v>
      </c>
      <c r="G37" t="e">
        <v>#N/A</v>
      </c>
      <c r="H37" t="e">
        <v>#N/A</v>
      </c>
      <c r="I37" t="e">
        <v>#N/A</v>
      </c>
      <c r="J37" t="s">
        <v>978</v>
      </c>
      <c r="K37" t="s">
        <v>49</v>
      </c>
      <c r="L37">
        <v>1576800000</v>
      </c>
      <c r="M37">
        <v>10</v>
      </c>
      <c r="N37" s="8">
        <v>210268.54399999999</v>
      </c>
      <c r="O37" s="8">
        <v>370278.37790000002</v>
      </c>
      <c r="P37" s="8" t="s">
        <v>49</v>
      </c>
      <c r="Q37" s="8" t="s">
        <v>22</v>
      </c>
      <c r="R37" s="1">
        <v>1.5070895399999999</v>
      </c>
    </row>
    <row r="38" spans="1:18" ht="16" x14ac:dyDescent="0.2">
      <c r="A38" t="s">
        <v>637</v>
      </c>
      <c r="B38">
        <v>0.87</v>
      </c>
      <c r="C38">
        <v>-23.36</v>
      </c>
      <c r="D38">
        <v>0.11</v>
      </c>
      <c r="E38">
        <v>4.6500000000000004</v>
      </c>
      <c r="F38" t="e">
        <v>#N/A</v>
      </c>
      <c r="G38" t="e">
        <v>#N/A</v>
      </c>
      <c r="H38" t="e">
        <v>#N/A</v>
      </c>
      <c r="I38" t="e">
        <v>#N/A</v>
      </c>
      <c r="J38" t="s">
        <v>978</v>
      </c>
      <c r="K38" t="s">
        <v>49</v>
      </c>
      <c r="L38">
        <v>1576800000</v>
      </c>
      <c r="M38">
        <v>20</v>
      </c>
      <c r="N38" s="8">
        <v>210268.54399999999</v>
      </c>
      <c r="O38" s="8">
        <v>370278.37790000002</v>
      </c>
      <c r="P38" s="8" t="s">
        <v>633</v>
      </c>
      <c r="Q38" s="8" t="s">
        <v>22</v>
      </c>
      <c r="R38" s="1">
        <v>1.5741187539999999</v>
      </c>
    </row>
    <row r="39" spans="1:18" ht="16" x14ac:dyDescent="0.2">
      <c r="A39" t="s">
        <v>638</v>
      </c>
      <c r="B39">
        <v>0.7</v>
      </c>
      <c r="C39">
        <v>-23.44</v>
      </c>
      <c r="D39">
        <v>0.08</v>
      </c>
      <c r="E39">
        <v>5.45</v>
      </c>
      <c r="F39" t="e">
        <v>#N/A</v>
      </c>
      <c r="G39" t="e">
        <v>#N/A</v>
      </c>
      <c r="H39" t="e">
        <v>#N/A</v>
      </c>
      <c r="I39" t="e">
        <v>#N/A</v>
      </c>
      <c r="J39" t="s">
        <v>978</v>
      </c>
      <c r="K39" t="s">
        <v>49</v>
      </c>
      <c r="L39">
        <v>1576800000</v>
      </c>
      <c r="M39">
        <v>30</v>
      </c>
      <c r="N39" s="8">
        <v>210268.54399999999</v>
      </c>
      <c r="O39" s="8">
        <v>370278.37790000002</v>
      </c>
      <c r="P39" s="8" t="s">
        <v>635</v>
      </c>
      <c r="Q39" s="8" t="s">
        <v>22</v>
      </c>
      <c r="R39" s="1">
        <v>1.5307320879999999</v>
      </c>
    </row>
    <row r="40" spans="1:18" ht="16" x14ac:dyDescent="0.2">
      <c r="A40" t="s">
        <v>639</v>
      </c>
      <c r="B40">
        <v>0.23</v>
      </c>
      <c r="C40">
        <v>-23.14</v>
      </c>
      <c r="D40">
        <v>0.06</v>
      </c>
      <c r="E40">
        <v>4.0999999999999996</v>
      </c>
      <c r="F40" t="e">
        <v>#N/A</v>
      </c>
      <c r="G40" t="e">
        <v>#N/A</v>
      </c>
      <c r="H40" t="e">
        <v>#N/A</v>
      </c>
      <c r="I40" t="e">
        <v>#N/A</v>
      </c>
      <c r="J40" t="s">
        <v>978</v>
      </c>
      <c r="K40" t="s">
        <v>49</v>
      </c>
      <c r="L40">
        <v>1576800000</v>
      </c>
      <c r="M40">
        <v>60</v>
      </c>
      <c r="N40" s="8">
        <v>210268.54399999999</v>
      </c>
      <c r="O40" s="8">
        <v>370278.37790000002</v>
      </c>
      <c r="P40" s="8" t="s">
        <v>640</v>
      </c>
      <c r="Q40" s="8" t="s">
        <v>22</v>
      </c>
      <c r="R40" s="1">
        <v>1.582758983</v>
      </c>
    </row>
    <row r="41" spans="1:18" ht="16" x14ac:dyDescent="0.2">
      <c r="A41" t="s">
        <v>641</v>
      </c>
      <c r="B41">
        <v>8.5000000000000006E-2</v>
      </c>
      <c r="C41">
        <v>-24.375</v>
      </c>
      <c r="D41">
        <v>0.05</v>
      </c>
      <c r="E41">
        <v>3.7650000000000001</v>
      </c>
      <c r="F41" t="e">
        <v>#N/A</v>
      </c>
      <c r="G41" t="e">
        <v>#N/A</v>
      </c>
      <c r="H41" t="e">
        <v>#N/A</v>
      </c>
      <c r="I41" t="e">
        <v>#N/A</v>
      </c>
      <c r="J41" t="s">
        <v>978</v>
      </c>
      <c r="K41" t="s">
        <v>49</v>
      </c>
      <c r="L41">
        <v>1576800000</v>
      </c>
      <c r="M41">
        <v>100</v>
      </c>
      <c r="N41" s="8">
        <v>210268.54399999999</v>
      </c>
      <c r="O41" s="8">
        <v>370278.37790000002</v>
      </c>
      <c r="P41" s="8" t="s">
        <v>642</v>
      </c>
      <c r="Q41" s="8" t="s">
        <v>22</v>
      </c>
      <c r="R41" s="1">
        <v>1.6078346830000001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5"/>
  <sheetViews>
    <sheetView topLeftCell="A261" workbookViewId="0">
      <pane xSplit="1" topLeftCell="B1" activePane="topRight" state="frozen"/>
      <selection pane="topRight" activeCell="A282" sqref="A282"/>
    </sheetView>
  </sheetViews>
  <sheetFormatPr baseColWidth="10" defaultColWidth="8.83203125" defaultRowHeight="15" x14ac:dyDescent="0.2"/>
  <cols>
    <col min="1" max="1" width="24" customWidth="1"/>
    <col min="2" max="2" width="21.33203125" customWidth="1"/>
    <col min="3" max="3" width="21.1640625" bestFit="1" customWidth="1"/>
    <col min="4" max="4" width="24.33203125" customWidth="1"/>
    <col min="5" max="5" width="26.6640625" customWidth="1"/>
    <col min="6" max="6" width="34" customWidth="1"/>
    <col min="7" max="7" width="24" bestFit="1" customWidth="1"/>
    <col min="8" max="9" width="18" customWidth="1"/>
    <col min="10" max="10" width="30.5" customWidth="1"/>
    <col min="11" max="12" width="18" customWidth="1"/>
    <col min="13" max="13" width="24" customWidth="1"/>
    <col min="14" max="14" width="43" customWidth="1"/>
    <col min="15" max="15" width="85.33203125" customWidth="1"/>
  </cols>
  <sheetData>
    <row r="1" spans="1:15" ht="16" x14ac:dyDescent="0.2">
      <c r="A1" t="s">
        <v>0</v>
      </c>
      <c r="B1" s="2" t="s">
        <v>967</v>
      </c>
      <c r="C1" t="s">
        <v>979</v>
      </c>
      <c r="D1" t="s">
        <v>9</v>
      </c>
      <c r="E1" t="s">
        <v>10</v>
      </c>
      <c r="F1" t="s">
        <v>11</v>
      </c>
      <c r="G1" t="s">
        <v>12</v>
      </c>
      <c r="H1" t="s">
        <v>1</v>
      </c>
      <c r="I1" t="s">
        <v>4</v>
      </c>
      <c r="J1" t="s">
        <v>5</v>
      </c>
      <c r="K1" t="s">
        <v>6</v>
      </c>
      <c r="L1" t="s">
        <v>7</v>
      </c>
      <c r="M1" t="s">
        <v>2</v>
      </c>
      <c r="N1" t="s">
        <v>8</v>
      </c>
      <c r="O1" s="5" t="s">
        <v>19</v>
      </c>
    </row>
    <row r="2" spans="1:15" ht="16" x14ac:dyDescent="0.2">
      <c r="A2" t="s">
        <v>20</v>
      </c>
      <c r="B2" s="2">
        <v>1.40303008</v>
      </c>
      <c r="C2">
        <v>10</v>
      </c>
      <c r="D2" t="e">
        <f>NA()</f>
        <v>#N/A</v>
      </c>
      <c r="E2" s="2">
        <v>1.40303008</v>
      </c>
      <c r="F2" s="3">
        <v>0.98</v>
      </c>
      <c r="G2">
        <v>-23.68</v>
      </c>
      <c r="H2">
        <v>0.15</v>
      </c>
      <c r="I2" s="8">
        <v>206923.5949</v>
      </c>
      <c r="J2" s="8">
        <v>367496.74829999998</v>
      </c>
      <c r="K2" s="8" t="s">
        <v>21</v>
      </c>
      <c r="L2" t="s">
        <v>22</v>
      </c>
      <c r="M2">
        <v>6.01</v>
      </c>
      <c r="N2">
        <v>10</v>
      </c>
      <c r="O2" s="9" t="s">
        <v>24</v>
      </c>
    </row>
    <row r="3" spans="1:15" ht="16" x14ac:dyDescent="0.2">
      <c r="A3" t="s">
        <v>25</v>
      </c>
      <c r="B3" s="2">
        <v>1.3236521109999999</v>
      </c>
      <c r="C3">
        <v>10</v>
      </c>
      <c r="D3" t="e">
        <f>NA()</f>
        <v>#N/A</v>
      </c>
      <c r="E3" s="2">
        <v>1.3236521109999999</v>
      </c>
      <c r="F3" s="3">
        <v>1.1599999999999999</v>
      </c>
      <c r="G3">
        <v>-23.74</v>
      </c>
      <c r="H3">
        <v>0.15</v>
      </c>
      <c r="I3" s="8">
        <v>206923.5949</v>
      </c>
      <c r="J3" s="8">
        <v>367496.74829999998</v>
      </c>
      <c r="K3" s="8" t="s">
        <v>21</v>
      </c>
      <c r="L3" t="s">
        <v>22</v>
      </c>
      <c r="M3">
        <v>5.57</v>
      </c>
      <c r="N3">
        <v>20</v>
      </c>
      <c r="O3" s="15" t="s">
        <v>26</v>
      </c>
    </row>
    <row r="4" spans="1:15" ht="48" x14ac:dyDescent="0.2">
      <c r="A4" t="s">
        <v>27</v>
      </c>
      <c r="B4" s="2">
        <v>1.5151961279999999</v>
      </c>
      <c r="C4">
        <v>10</v>
      </c>
      <c r="D4" t="e">
        <f>NA()</f>
        <v>#N/A</v>
      </c>
      <c r="E4" s="2">
        <v>1.5151961279999999</v>
      </c>
      <c r="F4" s="3">
        <v>0.4</v>
      </c>
      <c r="G4">
        <v>-23.16</v>
      </c>
      <c r="H4">
        <v>0.08</v>
      </c>
      <c r="I4" s="8">
        <v>206923.5949</v>
      </c>
      <c r="J4" s="8">
        <v>367496.74829999998</v>
      </c>
      <c r="K4" s="8" t="s">
        <v>21</v>
      </c>
      <c r="L4" t="s">
        <v>22</v>
      </c>
      <c r="M4">
        <v>5.01</v>
      </c>
      <c r="N4">
        <v>30</v>
      </c>
      <c r="O4" s="7" t="s">
        <v>980</v>
      </c>
    </row>
    <row r="5" spans="1:15" ht="16" x14ac:dyDescent="0.2">
      <c r="A5" t="s">
        <v>29</v>
      </c>
      <c r="B5" s="2">
        <v>1.532940492</v>
      </c>
      <c r="C5">
        <v>30</v>
      </c>
      <c r="D5" t="e">
        <f>NA()</f>
        <v>#N/A</v>
      </c>
      <c r="E5" s="2">
        <v>1.532940492</v>
      </c>
      <c r="F5" s="3">
        <v>0.17499999999999999</v>
      </c>
      <c r="G5">
        <v>-22.63</v>
      </c>
      <c r="H5">
        <v>7.0000000000000007E-2</v>
      </c>
      <c r="I5" s="8">
        <v>206923.5949</v>
      </c>
      <c r="J5" s="8">
        <v>367496.74829999998</v>
      </c>
      <c r="K5" s="8" t="s">
        <v>21</v>
      </c>
      <c r="L5" t="s">
        <v>22</v>
      </c>
      <c r="M5">
        <v>3.5249999999999999</v>
      </c>
      <c r="N5">
        <v>60</v>
      </c>
      <c r="O5" s="6" t="s">
        <v>30</v>
      </c>
    </row>
    <row r="6" spans="1:15" ht="16" x14ac:dyDescent="0.2">
      <c r="A6" t="s">
        <v>31</v>
      </c>
      <c r="B6" s="2">
        <v>1.4451012560000001</v>
      </c>
      <c r="C6">
        <v>40</v>
      </c>
      <c r="D6" t="e">
        <f>NA()</f>
        <v>#N/A</v>
      </c>
      <c r="E6" s="2">
        <v>1.4451012560000001</v>
      </c>
      <c r="F6" s="3">
        <v>0.11</v>
      </c>
      <c r="G6">
        <v>-25.34</v>
      </c>
      <c r="H6">
        <v>0.04</v>
      </c>
      <c r="I6" s="8">
        <v>206923.5949</v>
      </c>
      <c r="J6" s="8">
        <v>367496.74829999998</v>
      </c>
      <c r="K6" s="8" t="s">
        <v>21</v>
      </c>
      <c r="L6" t="s">
        <v>22</v>
      </c>
      <c r="M6">
        <v>3.16</v>
      </c>
      <c r="N6">
        <v>100</v>
      </c>
      <c r="O6" s="6" t="s">
        <v>32</v>
      </c>
    </row>
    <row r="7" spans="1:15" ht="27.75" customHeight="1" x14ac:dyDescent="0.2">
      <c r="A7" t="s">
        <v>33</v>
      </c>
      <c r="B7" s="2">
        <v>1.351932879</v>
      </c>
      <c r="C7">
        <v>10</v>
      </c>
      <c r="D7" t="e">
        <f>NA()</f>
        <v>#N/A</v>
      </c>
      <c r="E7" s="2">
        <v>1.351932879</v>
      </c>
      <c r="F7" s="3">
        <v>1.1499999999999999</v>
      </c>
      <c r="G7">
        <v>-24.49</v>
      </c>
      <c r="H7">
        <v>0.17</v>
      </c>
      <c r="I7" s="8">
        <v>207422.44510000001</v>
      </c>
      <c r="J7" s="8">
        <v>366364.82120000001</v>
      </c>
      <c r="K7" s="8" t="s">
        <v>34</v>
      </c>
      <c r="L7" t="s">
        <v>22</v>
      </c>
      <c r="M7">
        <v>5.23</v>
      </c>
      <c r="N7">
        <v>10</v>
      </c>
      <c r="O7" s="7" t="s">
        <v>35</v>
      </c>
    </row>
    <row r="8" spans="1:15" ht="16" x14ac:dyDescent="0.2">
      <c r="A8" t="s">
        <v>36</v>
      </c>
      <c r="B8" s="2">
        <v>1.403294786</v>
      </c>
      <c r="C8">
        <v>10</v>
      </c>
      <c r="D8" t="e">
        <f>NA()</f>
        <v>#N/A</v>
      </c>
      <c r="E8" s="2">
        <v>1.403294786</v>
      </c>
      <c r="F8" s="3">
        <v>1.29</v>
      </c>
      <c r="G8">
        <v>-24.74</v>
      </c>
      <c r="H8">
        <v>0.16</v>
      </c>
      <c r="I8" s="8">
        <v>207422.44510000001</v>
      </c>
      <c r="J8" s="8">
        <v>366364.82120000001</v>
      </c>
      <c r="K8" s="8" t="s">
        <v>34</v>
      </c>
      <c r="L8" t="s">
        <v>22</v>
      </c>
      <c r="M8">
        <v>5.0199999999999996</v>
      </c>
      <c r="N8">
        <v>20</v>
      </c>
    </row>
    <row r="9" spans="1:15" ht="16" x14ac:dyDescent="0.2">
      <c r="A9" t="s">
        <v>38</v>
      </c>
      <c r="B9" s="2">
        <v>1.5334634229999999</v>
      </c>
      <c r="C9">
        <v>10</v>
      </c>
      <c r="D9" t="e">
        <f>NA()</f>
        <v>#N/A</v>
      </c>
      <c r="E9" s="2">
        <v>1.5334634229999999</v>
      </c>
      <c r="F9" s="3">
        <v>0.45</v>
      </c>
      <c r="G9">
        <v>-23.08</v>
      </c>
      <c r="H9">
        <v>0.08</v>
      </c>
      <c r="I9" s="8">
        <v>207422.44510000001</v>
      </c>
      <c r="J9" s="8">
        <v>366364.82120000001</v>
      </c>
      <c r="K9" s="8" t="s">
        <v>34</v>
      </c>
      <c r="L9" t="s">
        <v>22</v>
      </c>
      <c r="M9">
        <v>5.25</v>
      </c>
      <c r="N9">
        <v>30</v>
      </c>
    </row>
    <row r="10" spans="1:15" ht="16" x14ac:dyDescent="0.2">
      <c r="A10" t="s">
        <v>39</v>
      </c>
      <c r="B10" s="2">
        <v>1.544672491</v>
      </c>
      <c r="C10">
        <v>30</v>
      </c>
      <c r="D10" t="e">
        <f>NA()</f>
        <v>#N/A</v>
      </c>
      <c r="E10" s="2">
        <v>1.544672491</v>
      </c>
      <c r="F10" s="3">
        <v>1.1399999999999999</v>
      </c>
      <c r="G10">
        <v>-19.07</v>
      </c>
      <c r="H10">
        <v>0.09</v>
      </c>
      <c r="I10" s="8">
        <v>207422.44510000001</v>
      </c>
      <c r="J10" s="8">
        <v>366364.82120000001</v>
      </c>
      <c r="K10" s="8" t="s">
        <v>34</v>
      </c>
      <c r="L10" t="s">
        <v>22</v>
      </c>
      <c r="M10">
        <v>1.73</v>
      </c>
      <c r="N10">
        <v>60</v>
      </c>
      <c r="O10" s="5"/>
    </row>
    <row r="11" spans="1:15" ht="16" x14ac:dyDescent="0.2">
      <c r="A11" t="s">
        <v>40</v>
      </c>
      <c r="B11" s="2">
        <v>1.504430202</v>
      </c>
      <c r="C11">
        <v>40</v>
      </c>
      <c r="D11" t="e">
        <f>NA()</f>
        <v>#N/A</v>
      </c>
      <c r="E11" s="2">
        <v>1.504430202</v>
      </c>
      <c r="F11" s="3">
        <v>0.96</v>
      </c>
      <c r="G11">
        <v>-13.98</v>
      </c>
      <c r="H11">
        <v>7.0000000000000007E-2</v>
      </c>
      <c r="I11" s="8">
        <v>207422.44510000001</v>
      </c>
      <c r="J11" s="8">
        <v>366364.82120000001</v>
      </c>
      <c r="K11" s="8" t="s">
        <v>34</v>
      </c>
      <c r="L11" t="s">
        <v>22</v>
      </c>
      <c r="M11">
        <v>2.38</v>
      </c>
      <c r="N11">
        <v>100</v>
      </c>
    </row>
    <row r="12" spans="1:15" ht="16" x14ac:dyDescent="0.2">
      <c r="A12" t="s">
        <v>402</v>
      </c>
      <c r="B12" s="2">
        <v>1.42731297</v>
      </c>
      <c r="C12">
        <v>10</v>
      </c>
      <c r="D12" t="e">
        <f>NA()</f>
        <v>#N/A</v>
      </c>
      <c r="E12" s="2">
        <v>1.42731297</v>
      </c>
      <c r="F12" s="3">
        <v>0.96</v>
      </c>
      <c r="G12">
        <v>-21.4</v>
      </c>
      <c r="H12">
        <v>0.11</v>
      </c>
      <c r="I12" s="8">
        <v>207160.9541</v>
      </c>
      <c r="J12" s="8">
        <v>364717.0062</v>
      </c>
      <c r="K12" s="8" t="s">
        <v>42</v>
      </c>
      <c r="L12" t="s">
        <v>22</v>
      </c>
      <c r="M12">
        <v>4.5999999999999996</v>
      </c>
      <c r="N12">
        <v>10</v>
      </c>
    </row>
    <row r="13" spans="1:15" ht="16" x14ac:dyDescent="0.2">
      <c r="A13" t="s">
        <v>403</v>
      </c>
      <c r="B13" s="2">
        <v>1.5246517660000001</v>
      </c>
      <c r="C13">
        <v>10</v>
      </c>
      <c r="D13" t="e">
        <f>NA()</f>
        <v>#N/A</v>
      </c>
      <c r="E13" s="2">
        <v>1.5246517660000001</v>
      </c>
      <c r="F13" s="3">
        <v>0.83</v>
      </c>
      <c r="G13">
        <v>-22</v>
      </c>
      <c r="H13">
        <v>0.1</v>
      </c>
      <c r="I13" s="8">
        <v>207160.9541</v>
      </c>
      <c r="J13" s="8">
        <v>364717.0062</v>
      </c>
      <c r="K13" s="8" t="s">
        <v>42</v>
      </c>
      <c r="L13" t="s">
        <v>22</v>
      </c>
      <c r="M13">
        <v>4.5</v>
      </c>
      <c r="N13">
        <v>20</v>
      </c>
    </row>
    <row r="14" spans="1:15" ht="16" x14ac:dyDescent="0.2">
      <c r="A14" t="s">
        <v>404</v>
      </c>
      <c r="B14" s="2">
        <v>1.51269114</v>
      </c>
      <c r="C14">
        <v>10</v>
      </c>
      <c r="D14" t="e">
        <f>NA()</f>
        <v>#N/A</v>
      </c>
      <c r="E14" s="2">
        <v>1.51269114</v>
      </c>
      <c r="F14" s="3">
        <v>0.56499999999999995</v>
      </c>
      <c r="G14">
        <v>-22.4</v>
      </c>
      <c r="H14">
        <v>7.0000000000000007E-2</v>
      </c>
      <c r="I14" s="8">
        <v>207160.9541</v>
      </c>
      <c r="J14" s="8">
        <v>364717.0062</v>
      </c>
      <c r="K14" s="8" t="s">
        <v>42</v>
      </c>
      <c r="L14" t="s">
        <v>22</v>
      </c>
      <c r="M14">
        <v>4.3</v>
      </c>
      <c r="N14">
        <v>30</v>
      </c>
    </row>
    <row r="15" spans="1:15" ht="16" x14ac:dyDescent="0.2">
      <c r="A15" t="s">
        <v>405</v>
      </c>
      <c r="B15" s="2">
        <v>1.549094081</v>
      </c>
      <c r="C15">
        <v>30</v>
      </c>
      <c r="D15" t="e">
        <f>NA()</f>
        <v>#N/A</v>
      </c>
      <c r="E15" s="2">
        <v>1.549094081</v>
      </c>
      <c r="F15" s="3">
        <v>0.18</v>
      </c>
      <c r="G15">
        <v>-21.9</v>
      </c>
      <c r="H15">
        <v>0.04</v>
      </c>
      <c r="I15" s="8">
        <v>207160.9541</v>
      </c>
      <c r="J15" s="8">
        <v>364717.0062</v>
      </c>
      <c r="K15" s="8" t="s">
        <v>42</v>
      </c>
      <c r="L15" t="s">
        <v>22</v>
      </c>
      <c r="M15">
        <v>4.4000000000000004</v>
      </c>
      <c r="N15">
        <v>60</v>
      </c>
    </row>
    <row r="16" spans="1:15" ht="16" x14ac:dyDescent="0.2">
      <c r="A16" t="s">
        <v>406</v>
      </c>
      <c r="B16" s="2">
        <v>1.4995410440000001</v>
      </c>
      <c r="C16">
        <v>40</v>
      </c>
      <c r="D16" t="e">
        <f>NA()</f>
        <v>#N/A</v>
      </c>
      <c r="E16" s="2">
        <v>1.4995410440000001</v>
      </c>
      <c r="F16" s="3">
        <v>0.11</v>
      </c>
      <c r="G16">
        <v>-24.8</v>
      </c>
      <c r="H16">
        <v>0.03</v>
      </c>
      <c r="I16" s="8">
        <v>207160.9541</v>
      </c>
      <c r="J16" s="8">
        <v>364717.0062</v>
      </c>
      <c r="K16" s="8" t="s">
        <v>42</v>
      </c>
      <c r="L16" t="s">
        <v>22</v>
      </c>
      <c r="M16">
        <v>2.6</v>
      </c>
      <c r="N16">
        <v>100</v>
      </c>
    </row>
    <row r="17" spans="1:14" ht="16" x14ac:dyDescent="0.2">
      <c r="A17" t="s">
        <v>462</v>
      </c>
      <c r="B17" s="2">
        <v>1.4567851629999999</v>
      </c>
      <c r="C17">
        <v>10</v>
      </c>
      <c r="D17" t="e">
        <f>NA()</f>
        <v>#N/A</v>
      </c>
      <c r="E17" s="2">
        <v>1.4567851629999999</v>
      </c>
      <c r="F17" s="3">
        <v>0.97499999999999998</v>
      </c>
      <c r="G17">
        <v>-19.850000000000001</v>
      </c>
      <c r="H17">
        <v>0.105</v>
      </c>
      <c r="I17" s="8">
        <v>210268.54399999999</v>
      </c>
      <c r="J17" s="8">
        <v>370278.37790000002</v>
      </c>
      <c r="K17" s="8" t="s">
        <v>49</v>
      </c>
      <c r="L17" t="s">
        <v>22</v>
      </c>
      <c r="M17">
        <v>4.3</v>
      </c>
      <c r="N17">
        <v>10</v>
      </c>
    </row>
    <row r="18" spans="1:14" ht="16" x14ac:dyDescent="0.2">
      <c r="A18" t="s">
        <v>463</v>
      </c>
      <c r="B18" s="2">
        <v>1.536324161</v>
      </c>
      <c r="C18">
        <v>10</v>
      </c>
      <c r="D18" t="e">
        <f>NA()</f>
        <v>#N/A</v>
      </c>
      <c r="E18" s="2">
        <v>1.536324161</v>
      </c>
      <c r="F18" s="3">
        <v>0.6</v>
      </c>
      <c r="G18">
        <v>-21.4</v>
      </c>
      <c r="H18">
        <v>7.0000000000000007E-2</v>
      </c>
      <c r="I18" s="8">
        <v>210268.54399999999</v>
      </c>
      <c r="J18" s="8">
        <v>370278.37790000002</v>
      </c>
      <c r="K18" s="8" t="s">
        <v>49</v>
      </c>
      <c r="L18" t="s">
        <v>22</v>
      </c>
      <c r="M18">
        <v>4.5</v>
      </c>
      <c r="N18">
        <v>20</v>
      </c>
    </row>
    <row r="19" spans="1:14" ht="16" x14ac:dyDescent="0.2">
      <c r="A19" t="s">
        <v>464</v>
      </c>
      <c r="B19" s="2">
        <v>1.5742509339999999</v>
      </c>
      <c r="C19">
        <v>10</v>
      </c>
      <c r="D19" t="e">
        <f>NA()</f>
        <v>#N/A</v>
      </c>
      <c r="E19" s="2">
        <v>1.5742509339999999</v>
      </c>
      <c r="F19" s="3">
        <v>0.47</v>
      </c>
      <c r="G19">
        <v>-22</v>
      </c>
      <c r="H19">
        <v>0.06</v>
      </c>
      <c r="I19" s="8">
        <v>210268.54399999999</v>
      </c>
      <c r="J19" s="8">
        <v>370278.37790000002</v>
      </c>
      <c r="K19" s="8" t="s">
        <v>49</v>
      </c>
      <c r="L19" t="s">
        <v>22</v>
      </c>
      <c r="M19">
        <v>5</v>
      </c>
      <c r="N19">
        <v>30</v>
      </c>
    </row>
    <row r="20" spans="1:14" ht="16" x14ac:dyDescent="0.2">
      <c r="A20" t="s">
        <v>465</v>
      </c>
      <c r="B20" s="2">
        <v>1.559416932</v>
      </c>
      <c r="C20">
        <v>30</v>
      </c>
      <c r="D20" t="e">
        <f>NA()</f>
        <v>#N/A</v>
      </c>
      <c r="E20" s="2">
        <v>1.559416932</v>
      </c>
      <c r="F20" s="3">
        <v>0.14000000000000001</v>
      </c>
      <c r="G20">
        <v>-23.2</v>
      </c>
      <c r="H20">
        <v>0.04</v>
      </c>
      <c r="I20" s="8">
        <v>210268.54399999999</v>
      </c>
      <c r="J20" s="8">
        <v>370278.37790000002</v>
      </c>
      <c r="K20" s="8" t="s">
        <v>49</v>
      </c>
      <c r="L20" t="s">
        <v>22</v>
      </c>
      <c r="M20">
        <v>3.2</v>
      </c>
      <c r="N20">
        <v>60</v>
      </c>
    </row>
    <row r="21" spans="1:14" ht="16" x14ac:dyDescent="0.2">
      <c r="A21" t="s">
        <v>466</v>
      </c>
      <c r="B21" s="2">
        <v>1.3650779179999999</v>
      </c>
      <c r="C21">
        <v>40</v>
      </c>
      <c r="D21" t="e">
        <f>NA()</f>
        <v>#N/A</v>
      </c>
      <c r="E21" s="2">
        <v>1.3650779179999999</v>
      </c>
      <c r="F21" s="3">
        <v>0.09</v>
      </c>
      <c r="G21">
        <v>-24.8</v>
      </c>
      <c r="H21">
        <v>0.03</v>
      </c>
      <c r="I21" s="8">
        <v>210268.54399999999</v>
      </c>
      <c r="J21" s="8">
        <v>370278.37790000002</v>
      </c>
      <c r="K21" s="8" t="s">
        <v>49</v>
      </c>
      <c r="L21" t="s">
        <v>22</v>
      </c>
      <c r="M21">
        <v>2.5</v>
      </c>
      <c r="N21">
        <v>100</v>
      </c>
    </row>
    <row r="22" spans="1:14" ht="16" x14ac:dyDescent="0.2">
      <c r="A22" t="s">
        <v>54</v>
      </c>
      <c r="B22" s="2">
        <v>0.95122941699999997</v>
      </c>
      <c r="C22">
        <v>10</v>
      </c>
      <c r="D22" s="2">
        <v>0.35561409300000002</v>
      </c>
      <c r="E22" s="2">
        <v>0.94784671099999995</v>
      </c>
      <c r="F22" s="3">
        <v>2.0485124159999999</v>
      </c>
      <c r="G22">
        <v>-24.8</v>
      </c>
      <c r="H22">
        <v>0.2</v>
      </c>
      <c r="I22" s="8">
        <v>209805.76439999999</v>
      </c>
      <c r="J22" s="8">
        <v>368632.92560000002</v>
      </c>
      <c r="K22" s="8" t="s">
        <v>55</v>
      </c>
      <c r="L22" s="8" t="s">
        <v>43</v>
      </c>
      <c r="M22">
        <v>6.5</v>
      </c>
      <c r="N22">
        <v>10</v>
      </c>
    </row>
    <row r="23" spans="1:14" ht="16" x14ac:dyDescent="0.2">
      <c r="A23" t="s">
        <v>64</v>
      </c>
      <c r="B23" s="2">
        <v>1.448522203</v>
      </c>
      <c r="C23">
        <v>10</v>
      </c>
      <c r="D23" s="2">
        <v>0</v>
      </c>
      <c r="E23" s="2">
        <v>1.448522203</v>
      </c>
      <c r="F23" s="3">
        <v>0.11936097900000001</v>
      </c>
      <c r="G23">
        <v>-24.5</v>
      </c>
      <c r="H23">
        <v>2.5000000000000001E-2</v>
      </c>
      <c r="I23" s="8">
        <v>209805.76439999999</v>
      </c>
      <c r="J23" s="8">
        <v>368632.92560000002</v>
      </c>
      <c r="K23" s="8" t="s">
        <v>55</v>
      </c>
      <c r="L23" s="8" t="s">
        <v>43</v>
      </c>
      <c r="M23">
        <v>4.2</v>
      </c>
      <c r="N23">
        <v>100</v>
      </c>
    </row>
    <row r="24" spans="1:14" ht="16" x14ac:dyDescent="0.2">
      <c r="A24" t="s">
        <v>65</v>
      </c>
      <c r="B24" s="2">
        <v>1.3728718950000001</v>
      </c>
      <c r="C24">
        <v>10</v>
      </c>
      <c r="D24" s="2">
        <v>0</v>
      </c>
      <c r="E24" s="2">
        <v>1.3728718950000001</v>
      </c>
      <c r="F24" s="3">
        <v>0.10381061599999999</v>
      </c>
      <c r="G24">
        <v>-25.2</v>
      </c>
      <c r="H24">
        <v>2.5999999999999999E-2</v>
      </c>
      <c r="I24" s="8">
        <v>209805.76439999999</v>
      </c>
      <c r="J24" s="8">
        <v>368632.92560000002</v>
      </c>
      <c r="K24" s="8" t="s">
        <v>55</v>
      </c>
      <c r="L24" s="8" t="s">
        <v>43</v>
      </c>
      <c r="M24">
        <v>3.7</v>
      </c>
      <c r="N24">
        <v>110</v>
      </c>
    </row>
    <row r="25" spans="1:14" ht="16" x14ac:dyDescent="0.2">
      <c r="A25" t="s">
        <v>66</v>
      </c>
      <c r="B25" s="2">
        <v>1.434666252</v>
      </c>
      <c r="C25">
        <v>10</v>
      </c>
      <c r="D25" s="2">
        <v>0</v>
      </c>
      <c r="E25" s="2">
        <v>1.434666252</v>
      </c>
      <c r="F25" s="3">
        <v>0.12614080799999999</v>
      </c>
      <c r="G25">
        <v>-26.6</v>
      </c>
      <c r="H25">
        <v>2.5999999999999999E-2</v>
      </c>
      <c r="I25" s="8">
        <v>209805.76439999999</v>
      </c>
      <c r="J25" s="8">
        <v>368632.92560000002</v>
      </c>
      <c r="K25" s="8" t="s">
        <v>55</v>
      </c>
      <c r="L25" s="8" t="s">
        <v>43</v>
      </c>
      <c r="M25">
        <v>2.5</v>
      </c>
      <c r="N25">
        <v>120</v>
      </c>
    </row>
    <row r="26" spans="1:14" ht="16" x14ac:dyDescent="0.2">
      <c r="A26" t="s">
        <v>56</v>
      </c>
      <c r="B26" s="2">
        <v>1.1795813020000001</v>
      </c>
      <c r="C26">
        <v>10</v>
      </c>
      <c r="D26" s="2">
        <v>0.27378167199999998</v>
      </c>
      <c r="E26" s="2">
        <v>1.176351825</v>
      </c>
      <c r="F26" s="3">
        <v>1.7064424920000001</v>
      </c>
      <c r="G26">
        <v>-24.8</v>
      </c>
      <c r="H26">
        <v>0.17</v>
      </c>
      <c r="I26" s="8">
        <v>209805.76439999999</v>
      </c>
      <c r="J26" s="8">
        <v>368632.92560000002</v>
      </c>
      <c r="K26" s="8" t="s">
        <v>55</v>
      </c>
      <c r="L26" s="8" t="s">
        <v>43</v>
      </c>
      <c r="M26">
        <v>6</v>
      </c>
      <c r="N26">
        <v>20</v>
      </c>
    </row>
    <row r="27" spans="1:14" ht="16" x14ac:dyDescent="0.2">
      <c r="A27" t="s">
        <v>57</v>
      </c>
      <c r="B27" s="2">
        <v>1.2875131150000001</v>
      </c>
      <c r="C27">
        <v>10</v>
      </c>
      <c r="D27" s="2">
        <v>0.36006871000000001</v>
      </c>
      <c r="E27" s="2">
        <v>1.2828771830000001</v>
      </c>
      <c r="F27" s="3">
        <v>1.4837344260000001</v>
      </c>
      <c r="G27">
        <v>-24.6</v>
      </c>
      <c r="H27">
        <v>0.12</v>
      </c>
      <c r="I27" s="8">
        <v>209805.76439999999</v>
      </c>
      <c r="J27" s="8">
        <v>368632.92560000002</v>
      </c>
      <c r="K27" s="8" t="s">
        <v>55</v>
      </c>
      <c r="L27" s="8" t="s">
        <v>43</v>
      </c>
      <c r="M27">
        <v>6.2</v>
      </c>
      <c r="N27">
        <v>30</v>
      </c>
    </row>
    <row r="28" spans="1:14" ht="16" x14ac:dyDescent="0.2">
      <c r="A28" t="s">
        <v>58</v>
      </c>
      <c r="B28" s="2">
        <v>1.3523696599999999</v>
      </c>
      <c r="C28">
        <v>10</v>
      </c>
      <c r="D28" s="2">
        <v>0.74289143700000004</v>
      </c>
      <c r="E28" s="2">
        <v>1.3423230209999999</v>
      </c>
      <c r="F28" s="3">
        <v>0.51855667400000005</v>
      </c>
      <c r="G28">
        <v>-23.5</v>
      </c>
      <c r="H28">
        <v>6.5000000000000002E-2</v>
      </c>
      <c r="I28" s="8">
        <v>209805.76439999999</v>
      </c>
      <c r="J28" s="8">
        <v>368632.92560000002</v>
      </c>
      <c r="K28" s="8" t="s">
        <v>55</v>
      </c>
      <c r="L28" s="8" t="s">
        <v>43</v>
      </c>
      <c r="M28">
        <v>6.7</v>
      </c>
      <c r="N28">
        <v>40</v>
      </c>
    </row>
    <row r="29" spans="1:14" ht="16" x14ac:dyDescent="0.2">
      <c r="A29" t="s">
        <v>59</v>
      </c>
      <c r="B29" s="2">
        <v>1.268862677</v>
      </c>
      <c r="C29">
        <v>10</v>
      </c>
      <c r="D29" s="2">
        <v>0.29190300899999999</v>
      </c>
      <c r="E29" s="2">
        <v>1.2651588279999999</v>
      </c>
      <c r="F29" s="3">
        <v>0.392645401</v>
      </c>
      <c r="G29">
        <v>-23.6</v>
      </c>
      <c r="H29">
        <v>5.7000000000000002E-2</v>
      </c>
      <c r="I29" s="8">
        <v>209805.76439999999</v>
      </c>
      <c r="J29" s="8">
        <v>368632.92560000002</v>
      </c>
      <c r="K29" s="8" t="s">
        <v>55</v>
      </c>
      <c r="L29" s="8" t="s">
        <v>43</v>
      </c>
      <c r="M29">
        <v>6.3</v>
      </c>
      <c r="N29">
        <v>50</v>
      </c>
    </row>
    <row r="30" spans="1:14" ht="16" x14ac:dyDescent="0.2">
      <c r="A30" t="s">
        <v>60</v>
      </c>
      <c r="B30" s="2">
        <v>1.359218238</v>
      </c>
      <c r="C30">
        <v>10</v>
      </c>
      <c r="D30" s="2">
        <v>0.15780730900000001</v>
      </c>
      <c r="E30" s="2">
        <v>1.3570732919999999</v>
      </c>
      <c r="F30" s="3">
        <v>0.32984623800000001</v>
      </c>
      <c r="G30">
        <v>-23.8</v>
      </c>
      <c r="H30">
        <v>0.05</v>
      </c>
      <c r="I30" s="8">
        <v>209805.76439999999</v>
      </c>
      <c r="J30" s="8">
        <v>368632.92560000002</v>
      </c>
      <c r="K30" s="8" t="s">
        <v>55</v>
      </c>
      <c r="L30" s="8" t="s">
        <v>43</v>
      </c>
      <c r="M30">
        <v>5.5</v>
      </c>
      <c r="N30">
        <v>60</v>
      </c>
    </row>
    <row r="31" spans="1:14" ht="16" x14ac:dyDescent="0.2">
      <c r="A31" t="s">
        <v>61</v>
      </c>
      <c r="B31" s="2">
        <v>1.2722381469999999</v>
      </c>
      <c r="C31">
        <v>10</v>
      </c>
      <c r="D31" s="2">
        <v>0</v>
      </c>
      <c r="E31" s="2">
        <v>1.2722381469999999</v>
      </c>
      <c r="F31" s="3">
        <v>0.21823083400000001</v>
      </c>
      <c r="G31">
        <v>-23.2</v>
      </c>
      <c r="H31">
        <v>0.04</v>
      </c>
      <c r="I31" s="8">
        <v>209805.76439999999</v>
      </c>
      <c r="J31" s="8">
        <v>368632.92560000002</v>
      </c>
      <c r="K31" s="8" t="s">
        <v>55</v>
      </c>
      <c r="L31" s="8" t="s">
        <v>43</v>
      </c>
      <c r="M31">
        <v>5.4</v>
      </c>
      <c r="N31">
        <v>70</v>
      </c>
    </row>
    <row r="32" spans="1:14" ht="16" x14ac:dyDescent="0.2">
      <c r="A32" t="s">
        <v>62</v>
      </c>
      <c r="B32" s="2">
        <v>1.4409230550000001</v>
      </c>
      <c r="C32">
        <v>10</v>
      </c>
      <c r="D32" s="2">
        <v>0</v>
      </c>
      <c r="E32" s="2">
        <v>1.4409230550000001</v>
      </c>
      <c r="F32" s="3">
        <v>0.20927462899999999</v>
      </c>
      <c r="G32">
        <v>-24.3</v>
      </c>
      <c r="H32">
        <v>3.5000000000000003E-2</v>
      </c>
      <c r="I32" s="8">
        <v>209805.76439999999</v>
      </c>
      <c r="J32" s="8">
        <v>368632.92560000002</v>
      </c>
      <c r="K32" s="8" t="s">
        <v>55</v>
      </c>
      <c r="L32" s="8" t="s">
        <v>43</v>
      </c>
      <c r="M32">
        <v>5.7</v>
      </c>
      <c r="N32">
        <v>80</v>
      </c>
    </row>
    <row r="33" spans="1:14" ht="16" x14ac:dyDescent="0.2">
      <c r="A33" t="s">
        <v>63</v>
      </c>
      <c r="B33" s="2">
        <v>1.3188702160000001</v>
      </c>
      <c r="C33">
        <v>10</v>
      </c>
      <c r="D33" s="2">
        <v>0</v>
      </c>
      <c r="E33" s="2">
        <v>1.3188702160000001</v>
      </c>
      <c r="F33" s="3">
        <v>0.13798200499999999</v>
      </c>
      <c r="G33">
        <v>-23.8</v>
      </c>
      <c r="H33">
        <v>2.8000000000000001E-2</v>
      </c>
      <c r="I33" s="8">
        <v>209805.76439999999</v>
      </c>
      <c r="J33" s="8">
        <v>368632.92560000002</v>
      </c>
      <c r="K33" s="8" t="s">
        <v>55</v>
      </c>
      <c r="L33" s="8" t="s">
        <v>43</v>
      </c>
      <c r="M33">
        <v>5.0999999999999996</v>
      </c>
      <c r="N33">
        <v>90</v>
      </c>
    </row>
    <row r="34" spans="1:14" ht="16" x14ac:dyDescent="0.2">
      <c r="A34" t="s">
        <v>67</v>
      </c>
      <c r="B34" s="2">
        <v>1.2442667039999999</v>
      </c>
      <c r="C34">
        <v>10</v>
      </c>
      <c r="D34" s="2">
        <v>0.54938690400000001</v>
      </c>
      <c r="E34" s="2">
        <v>1.237430866</v>
      </c>
      <c r="F34" s="3">
        <v>1.7056555799999999</v>
      </c>
      <c r="G34">
        <v>-25.7</v>
      </c>
      <c r="H34">
        <v>0.17</v>
      </c>
      <c r="I34" s="8">
        <v>209797.9872</v>
      </c>
      <c r="J34" s="8">
        <v>368645.14059999998</v>
      </c>
      <c r="K34" s="8" t="s">
        <v>55</v>
      </c>
      <c r="L34" s="8" t="s">
        <v>68</v>
      </c>
      <c r="M34">
        <v>5.5</v>
      </c>
      <c r="N34">
        <v>10</v>
      </c>
    </row>
    <row r="35" spans="1:14" ht="16" x14ac:dyDescent="0.2">
      <c r="A35" t="s">
        <v>77</v>
      </c>
      <c r="B35" s="2">
        <v>1.3703262409999999</v>
      </c>
      <c r="C35">
        <v>10</v>
      </c>
      <c r="D35" s="2">
        <v>0</v>
      </c>
      <c r="E35" s="2">
        <v>1.3703262409999999</v>
      </c>
      <c r="F35" s="3">
        <v>0.15603471299999999</v>
      </c>
      <c r="G35">
        <v>-27.2</v>
      </c>
      <c r="H35">
        <v>2.7E-2</v>
      </c>
      <c r="I35" s="8">
        <v>209797.9872</v>
      </c>
      <c r="J35" s="8">
        <v>368645.14059999998</v>
      </c>
      <c r="K35" s="8" t="s">
        <v>55</v>
      </c>
      <c r="L35" s="8" t="s">
        <v>68</v>
      </c>
      <c r="M35">
        <v>2.8</v>
      </c>
      <c r="N35">
        <v>100</v>
      </c>
    </row>
    <row r="36" spans="1:14" ht="16" x14ac:dyDescent="0.2">
      <c r="A36" t="s">
        <v>78</v>
      </c>
      <c r="B36" s="2">
        <v>1.450271925</v>
      </c>
      <c r="C36">
        <v>10</v>
      </c>
      <c r="D36" s="2">
        <v>0</v>
      </c>
      <c r="E36" s="2">
        <v>1.450271925</v>
      </c>
      <c r="F36" s="3">
        <v>0.110271043</v>
      </c>
      <c r="G36">
        <v>-26.8</v>
      </c>
      <c r="H36">
        <v>2.3E-2</v>
      </c>
      <c r="I36" s="8">
        <v>209797.9872</v>
      </c>
      <c r="J36" s="8">
        <v>368645.14059999998</v>
      </c>
      <c r="K36" s="8" t="s">
        <v>55</v>
      </c>
      <c r="L36" s="8" t="s">
        <v>68</v>
      </c>
      <c r="M36">
        <v>2.6</v>
      </c>
      <c r="N36">
        <v>110</v>
      </c>
    </row>
    <row r="37" spans="1:14" ht="16" x14ac:dyDescent="0.2">
      <c r="A37" t="s">
        <v>79</v>
      </c>
      <c r="B37" s="2">
        <v>1.173196108</v>
      </c>
      <c r="C37">
        <v>10</v>
      </c>
      <c r="D37" s="2">
        <v>0</v>
      </c>
      <c r="E37" s="2">
        <v>1.173196108</v>
      </c>
      <c r="F37" s="3">
        <v>9.9314457999999994E-2</v>
      </c>
      <c r="G37">
        <v>-27</v>
      </c>
      <c r="H37">
        <v>2.1000000000000001E-2</v>
      </c>
      <c r="I37" s="8">
        <v>209797.9872</v>
      </c>
      <c r="J37" s="8">
        <v>368645.14059999998</v>
      </c>
      <c r="K37" s="8" t="s">
        <v>55</v>
      </c>
      <c r="L37" s="8" t="s">
        <v>68</v>
      </c>
      <c r="M37">
        <v>1.7</v>
      </c>
      <c r="N37">
        <v>120</v>
      </c>
    </row>
    <row r="38" spans="1:14" ht="16" x14ac:dyDescent="0.2">
      <c r="A38" t="s">
        <v>69</v>
      </c>
      <c r="B38" s="2">
        <v>1.2392393960000001</v>
      </c>
      <c r="C38">
        <v>10</v>
      </c>
      <c r="D38" s="2">
        <v>5.8176257000000002E-2</v>
      </c>
      <c r="E38" s="2">
        <v>1.238518453</v>
      </c>
      <c r="F38" s="3">
        <v>1.6152571710000001</v>
      </c>
      <c r="G38">
        <v>-25.2</v>
      </c>
      <c r="H38">
        <v>0.16</v>
      </c>
      <c r="I38" s="8">
        <v>209797.9872</v>
      </c>
      <c r="J38" s="8">
        <v>368645.14059999998</v>
      </c>
      <c r="K38" s="8" t="s">
        <v>55</v>
      </c>
      <c r="L38" s="8" t="s">
        <v>68</v>
      </c>
      <c r="M38">
        <v>5.8</v>
      </c>
      <c r="N38">
        <v>20</v>
      </c>
    </row>
    <row r="39" spans="1:14" ht="16" x14ac:dyDescent="0.2">
      <c r="A39" t="s">
        <v>70</v>
      </c>
      <c r="B39" s="2">
        <v>1.332390049</v>
      </c>
      <c r="C39">
        <v>10</v>
      </c>
      <c r="D39" s="2">
        <v>0.111301228</v>
      </c>
      <c r="E39" s="2">
        <v>1.330907082</v>
      </c>
      <c r="F39" s="3">
        <v>1.0862329479999999</v>
      </c>
      <c r="G39">
        <v>-24.3</v>
      </c>
      <c r="H39">
        <v>0.11</v>
      </c>
      <c r="I39" s="8">
        <v>209797.9872</v>
      </c>
      <c r="J39" s="8">
        <v>368645.14059999998</v>
      </c>
      <c r="K39" s="8" t="s">
        <v>55</v>
      </c>
      <c r="L39" s="8" t="s">
        <v>68</v>
      </c>
      <c r="M39">
        <v>6.5</v>
      </c>
      <c r="N39">
        <v>30</v>
      </c>
    </row>
    <row r="40" spans="1:14" ht="16" x14ac:dyDescent="0.2">
      <c r="A40" t="s">
        <v>71</v>
      </c>
      <c r="B40" s="2">
        <v>1.2982682839999999</v>
      </c>
      <c r="C40">
        <v>10</v>
      </c>
      <c r="D40" s="2">
        <v>0.21923268600000001</v>
      </c>
      <c r="E40" s="2">
        <v>1.295422055</v>
      </c>
      <c r="F40" s="3">
        <v>0.49072934200000001</v>
      </c>
      <c r="G40">
        <v>-23.1</v>
      </c>
      <c r="H40">
        <v>6.7000000000000004E-2</v>
      </c>
      <c r="I40" s="8">
        <v>209797.9872</v>
      </c>
      <c r="J40" s="8">
        <v>368645.14059999998</v>
      </c>
      <c r="K40" s="8" t="s">
        <v>55</v>
      </c>
      <c r="L40" s="8" t="s">
        <v>68</v>
      </c>
      <c r="M40">
        <v>6.8</v>
      </c>
      <c r="N40">
        <v>40</v>
      </c>
    </row>
    <row r="41" spans="1:14" ht="16" x14ac:dyDescent="0.2">
      <c r="A41" t="s">
        <v>72</v>
      </c>
      <c r="B41" s="2">
        <v>1.206206219</v>
      </c>
      <c r="C41">
        <v>10</v>
      </c>
      <c r="D41" s="2">
        <v>0.309119011</v>
      </c>
      <c r="E41" s="2">
        <v>1.2024776070000001</v>
      </c>
      <c r="F41" s="3">
        <v>0.42686525199999997</v>
      </c>
      <c r="G41">
        <v>-23.4</v>
      </c>
      <c r="H41">
        <v>6.0999999999999999E-2</v>
      </c>
      <c r="I41" s="8">
        <v>209797.9872</v>
      </c>
      <c r="J41" s="8">
        <v>368645.14059999998</v>
      </c>
      <c r="K41" s="8" t="s">
        <v>55</v>
      </c>
      <c r="L41" s="8" t="s">
        <v>68</v>
      </c>
      <c r="M41">
        <v>6.1</v>
      </c>
      <c r="N41">
        <v>50</v>
      </c>
    </row>
    <row r="42" spans="1:14" ht="16" x14ac:dyDescent="0.2">
      <c r="A42" t="s">
        <v>73</v>
      </c>
      <c r="B42" s="2">
        <v>1.34377043</v>
      </c>
      <c r="C42">
        <v>10</v>
      </c>
      <c r="D42" s="2">
        <v>0</v>
      </c>
      <c r="E42" s="2">
        <v>1.34377043</v>
      </c>
      <c r="F42" s="3">
        <v>0.346409996</v>
      </c>
      <c r="G42">
        <v>-23.4</v>
      </c>
      <c r="H42">
        <v>5.0999999999999997E-2</v>
      </c>
      <c r="I42" s="8">
        <v>209797.9872</v>
      </c>
      <c r="J42" s="8">
        <v>368645.14059999998</v>
      </c>
      <c r="K42" s="8" t="s">
        <v>55</v>
      </c>
      <c r="L42" s="8" t="s">
        <v>68</v>
      </c>
      <c r="M42">
        <v>6.6</v>
      </c>
      <c r="N42">
        <v>60</v>
      </c>
    </row>
    <row r="43" spans="1:14" ht="16" x14ac:dyDescent="0.2">
      <c r="A43" t="s">
        <v>74</v>
      </c>
      <c r="B43" s="2">
        <v>1.42719343</v>
      </c>
      <c r="C43">
        <v>10</v>
      </c>
      <c r="D43" s="2">
        <v>0</v>
      </c>
      <c r="E43" s="2">
        <v>1.42719343</v>
      </c>
      <c r="F43" s="3">
        <v>0.182906387</v>
      </c>
      <c r="G43">
        <v>-24.35</v>
      </c>
      <c r="H43">
        <v>3.1E-2</v>
      </c>
      <c r="I43" s="8">
        <v>209797.9872</v>
      </c>
      <c r="J43" s="8">
        <v>368645.14059999998</v>
      </c>
      <c r="K43" s="8" t="s">
        <v>55</v>
      </c>
      <c r="L43" s="8" t="s">
        <v>68</v>
      </c>
      <c r="M43">
        <v>4.9000000000000004</v>
      </c>
      <c r="N43">
        <v>70</v>
      </c>
    </row>
    <row r="44" spans="1:14" ht="16" x14ac:dyDescent="0.2">
      <c r="A44" t="s">
        <v>75</v>
      </c>
      <c r="B44" s="2">
        <v>1.366109097</v>
      </c>
      <c r="C44">
        <v>10</v>
      </c>
      <c r="D44" s="2">
        <v>0</v>
      </c>
      <c r="E44" s="2">
        <v>1.366109097</v>
      </c>
      <c r="F44" s="3">
        <v>0.165937749</v>
      </c>
      <c r="G44">
        <v>-26.1</v>
      </c>
      <c r="H44">
        <v>0.03</v>
      </c>
      <c r="I44" s="8">
        <v>209797.9872</v>
      </c>
      <c r="J44" s="8">
        <v>368645.14059999998</v>
      </c>
      <c r="K44" s="8" t="s">
        <v>55</v>
      </c>
      <c r="L44" s="8" t="s">
        <v>68</v>
      </c>
      <c r="M44">
        <v>3.2</v>
      </c>
      <c r="N44">
        <v>80</v>
      </c>
    </row>
    <row r="45" spans="1:14" ht="16" x14ac:dyDescent="0.2">
      <c r="A45" t="s">
        <v>76</v>
      </c>
      <c r="B45" s="2">
        <v>1.5324492949999999</v>
      </c>
      <c r="C45">
        <v>10</v>
      </c>
      <c r="D45" s="2">
        <v>0</v>
      </c>
      <c r="E45" s="2">
        <v>1.5324492949999999</v>
      </c>
      <c r="F45" s="3">
        <v>0.13474830400000001</v>
      </c>
      <c r="G45">
        <v>-26.7</v>
      </c>
      <c r="H45">
        <v>2.7E-2</v>
      </c>
      <c r="I45" s="8">
        <v>209797.9872</v>
      </c>
      <c r="J45" s="8">
        <v>368645.14059999998</v>
      </c>
      <c r="K45" s="8" t="s">
        <v>55</v>
      </c>
      <c r="L45" s="8" t="s">
        <v>68</v>
      </c>
      <c r="M45">
        <v>2</v>
      </c>
      <c r="N45">
        <v>90</v>
      </c>
    </row>
    <row r="46" spans="1:14" ht="16" x14ac:dyDescent="0.2">
      <c r="A46" t="s">
        <v>80</v>
      </c>
      <c r="B46" s="2">
        <v>0.64784019900000001</v>
      </c>
      <c r="C46">
        <v>10</v>
      </c>
      <c r="D46" s="2">
        <v>0.65208036800000002</v>
      </c>
      <c r="E46" s="2">
        <v>0.64361575999999998</v>
      </c>
      <c r="F46" s="3">
        <v>2.0241593349999998</v>
      </c>
      <c r="G46">
        <v>-24.55</v>
      </c>
      <c r="H46">
        <v>0.19</v>
      </c>
      <c r="I46" s="8">
        <v>209790.071</v>
      </c>
      <c r="J46" s="8">
        <v>368632.98629999999</v>
      </c>
      <c r="K46" s="8" t="s">
        <v>55</v>
      </c>
      <c r="L46" s="8" t="s">
        <v>81</v>
      </c>
      <c r="M46">
        <v>6.5</v>
      </c>
      <c r="N46">
        <v>10</v>
      </c>
    </row>
    <row r="47" spans="1:14" ht="16" x14ac:dyDescent="0.2">
      <c r="A47" t="s">
        <v>82</v>
      </c>
      <c r="B47" s="2">
        <v>0.78829919999999998</v>
      </c>
      <c r="C47">
        <v>10</v>
      </c>
      <c r="D47" s="2">
        <v>4.2933338000000001E-2</v>
      </c>
      <c r="E47" s="2">
        <v>0.78796075700000001</v>
      </c>
      <c r="F47" s="3">
        <v>1.716536614</v>
      </c>
      <c r="G47">
        <v>-24.6</v>
      </c>
      <c r="H47">
        <v>0.17</v>
      </c>
      <c r="I47" s="8">
        <v>209790.071</v>
      </c>
      <c r="J47" s="8">
        <v>368632.98629999999</v>
      </c>
      <c r="K47" s="8" t="s">
        <v>55</v>
      </c>
      <c r="L47" s="8" t="s">
        <v>81</v>
      </c>
      <c r="M47">
        <v>6.3</v>
      </c>
      <c r="N47">
        <v>20</v>
      </c>
    </row>
    <row r="48" spans="1:14" ht="16" x14ac:dyDescent="0.2">
      <c r="A48" t="s">
        <v>83</v>
      </c>
      <c r="B48" s="2">
        <v>1.1595609149999999</v>
      </c>
      <c r="C48">
        <v>10</v>
      </c>
      <c r="D48" s="2">
        <v>0.21112127</v>
      </c>
      <c r="E48" s="2">
        <v>1.157112835</v>
      </c>
      <c r="F48" s="3">
        <v>1.9123716390000001</v>
      </c>
      <c r="G48">
        <v>-24.9</v>
      </c>
      <c r="H48">
        <v>0.18</v>
      </c>
      <c r="I48" s="8">
        <v>209790.071</v>
      </c>
      <c r="J48" s="8">
        <v>368632.98629999999</v>
      </c>
      <c r="K48" s="8" t="s">
        <v>55</v>
      </c>
      <c r="L48" s="8" t="s">
        <v>81</v>
      </c>
      <c r="M48">
        <v>6</v>
      </c>
      <c r="N48">
        <v>30</v>
      </c>
    </row>
    <row r="49" spans="1:14" ht="16" x14ac:dyDescent="0.2">
      <c r="A49" t="s">
        <v>84</v>
      </c>
      <c r="B49" s="2">
        <v>1.042007176</v>
      </c>
      <c r="C49">
        <v>10</v>
      </c>
      <c r="D49" s="2">
        <v>0.18623522200000001</v>
      </c>
      <c r="E49" s="2">
        <v>1.0400665920000001</v>
      </c>
      <c r="F49" s="3">
        <v>1.1210554429999999</v>
      </c>
      <c r="G49">
        <v>-24.5</v>
      </c>
      <c r="H49">
        <v>0.11</v>
      </c>
      <c r="I49" s="8">
        <v>209790.071</v>
      </c>
      <c r="J49" s="8">
        <v>368632.98629999999</v>
      </c>
      <c r="K49" s="8" t="s">
        <v>55</v>
      </c>
      <c r="L49" s="8" t="s">
        <v>81</v>
      </c>
      <c r="M49">
        <v>6.4</v>
      </c>
      <c r="N49">
        <v>40</v>
      </c>
    </row>
    <row r="50" spans="1:14" ht="16" x14ac:dyDescent="0.2">
      <c r="A50" t="s">
        <v>85</v>
      </c>
      <c r="B50" s="2">
        <v>1.7537841940000001</v>
      </c>
      <c r="C50">
        <v>10</v>
      </c>
      <c r="D50" s="2">
        <v>0.36125981099999999</v>
      </c>
      <c r="E50" s="2">
        <v>1.7474484770000001</v>
      </c>
      <c r="F50" s="3">
        <v>0.48649038900000002</v>
      </c>
      <c r="G50">
        <v>-24.1</v>
      </c>
      <c r="H50">
        <v>6.3E-2</v>
      </c>
      <c r="I50" s="8">
        <v>209790.071</v>
      </c>
      <c r="J50" s="8">
        <v>368632.98629999999</v>
      </c>
      <c r="K50" s="8" t="s">
        <v>55</v>
      </c>
      <c r="L50" s="8" t="s">
        <v>81</v>
      </c>
      <c r="M50">
        <v>6.2</v>
      </c>
      <c r="N50">
        <v>50</v>
      </c>
    </row>
    <row r="51" spans="1:14" ht="16" x14ac:dyDescent="0.2">
      <c r="A51" t="s">
        <v>86</v>
      </c>
      <c r="B51" s="2">
        <v>1.7029989640000001</v>
      </c>
      <c r="C51">
        <v>10</v>
      </c>
      <c r="D51" s="2">
        <v>0.15332419899999999</v>
      </c>
      <c r="E51" s="2">
        <v>1.7003878539999999</v>
      </c>
      <c r="F51" s="3">
        <v>0.263011579</v>
      </c>
      <c r="G51">
        <v>-24</v>
      </c>
      <c r="H51">
        <v>4.3999999999999997E-2</v>
      </c>
      <c r="I51" s="8">
        <v>209790.071</v>
      </c>
      <c r="J51" s="8">
        <v>368632.98629999999</v>
      </c>
      <c r="K51" s="8" t="s">
        <v>55</v>
      </c>
      <c r="L51" s="8" t="s">
        <v>81</v>
      </c>
      <c r="M51">
        <v>6.5</v>
      </c>
      <c r="N51">
        <v>60</v>
      </c>
    </row>
    <row r="52" spans="1:14" ht="16" x14ac:dyDescent="0.2">
      <c r="A52" t="s">
        <v>87</v>
      </c>
      <c r="B52" s="2">
        <v>1.8309019120000001</v>
      </c>
      <c r="C52">
        <v>10</v>
      </c>
      <c r="D52" s="2">
        <v>2.1491511000000001E-2</v>
      </c>
      <c r="E52" s="2">
        <v>1.8305084229999999</v>
      </c>
      <c r="F52" s="3">
        <v>0.25327596000000002</v>
      </c>
      <c r="G52">
        <v>-24.4</v>
      </c>
      <c r="H52">
        <v>0.04</v>
      </c>
      <c r="I52" s="8">
        <v>209790.071</v>
      </c>
      <c r="J52" s="8">
        <v>368632.98629999999</v>
      </c>
      <c r="K52" s="8" t="s">
        <v>55</v>
      </c>
      <c r="L52" s="8" t="s">
        <v>81</v>
      </c>
      <c r="M52">
        <v>5.9</v>
      </c>
      <c r="N52">
        <v>70</v>
      </c>
    </row>
    <row r="53" spans="1:14" ht="16" x14ac:dyDescent="0.2">
      <c r="A53" t="s">
        <v>88</v>
      </c>
      <c r="B53" s="2">
        <v>1.5629376740000001</v>
      </c>
      <c r="C53">
        <v>10</v>
      </c>
      <c r="D53" s="2">
        <v>0</v>
      </c>
      <c r="E53" s="2">
        <v>1.5629376740000001</v>
      </c>
      <c r="F53" s="3">
        <v>0.15359985100000001</v>
      </c>
      <c r="G53">
        <v>-25.4</v>
      </c>
      <c r="H53">
        <v>2.7E-2</v>
      </c>
      <c r="I53" s="8">
        <v>209790.071</v>
      </c>
      <c r="J53" s="8">
        <v>368632.98629999999</v>
      </c>
      <c r="K53" s="8" t="s">
        <v>55</v>
      </c>
      <c r="L53" s="8" t="s">
        <v>81</v>
      </c>
      <c r="M53">
        <v>5.2</v>
      </c>
      <c r="N53">
        <v>80</v>
      </c>
    </row>
    <row r="54" spans="1:14" ht="16" x14ac:dyDescent="0.2">
      <c r="A54" t="s">
        <v>89</v>
      </c>
      <c r="B54" s="2">
        <v>1.8855729670000001</v>
      </c>
      <c r="C54">
        <v>10</v>
      </c>
      <c r="D54" s="2">
        <v>0</v>
      </c>
      <c r="E54" s="2">
        <v>1.8855729670000001</v>
      </c>
      <c r="F54" s="3">
        <v>0.121674801</v>
      </c>
      <c r="G54">
        <v>-26.2</v>
      </c>
      <c r="H54">
        <v>2.4E-2</v>
      </c>
      <c r="I54" s="8">
        <v>209790.071</v>
      </c>
      <c r="J54" s="8">
        <v>368632.98629999999</v>
      </c>
      <c r="K54" s="8" t="s">
        <v>55</v>
      </c>
      <c r="L54" s="8" t="s">
        <v>81</v>
      </c>
      <c r="M54">
        <v>3.3</v>
      </c>
      <c r="N54">
        <v>90</v>
      </c>
    </row>
    <row r="55" spans="1:14" ht="16" x14ac:dyDescent="0.2">
      <c r="A55" t="s">
        <v>90</v>
      </c>
      <c r="B55" s="2">
        <v>1.3741088269999999</v>
      </c>
      <c r="C55">
        <v>10</v>
      </c>
      <c r="D55" s="2">
        <v>3.5232383810000001</v>
      </c>
      <c r="E55" s="2">
        <v>1.3256956980000001</v>
      </c>
      <c r="F55" s="3">
        <v>1.3264854850000001</v>
      </c>
      <c r="G55">
        <v>-24.05</v>
      </c>
      <c r="H55">
        <v>0.14499999999999999</v>
      </c>
      <c r="I55" s="8">
        <v>208978.8602</v>
      </c>
      <c r="J55" s="8">
        <v>368735.93900000001</v>
      </c>
      <c r="K55" s="8" t="s">
        <v>91</v>
      </c>
      <c r="L55" s="8" t="s">
        <v>43</v>
      </c>
      <c r="M55">
        <v>6</v>
      </c>
      <c r="N55">
        <v>10</v>
      </c>
    </row>
    <row r="56" spans="1:14" ht="16" x14ac:dyDescent="0.2">
      <c r="A56" t="s">
        <v>100</v>
      </c>
      <c r="B56" s="2">
        <v>1.4011773000000001</v>
      </c>
      <c r="C56">
        <v>10</v>
      </c>
      <c r="D56" s="2">
        <v>16.840188690000002</v>
      </c>
      <c r="E56" s="2">
        <v>1.165216399</v>
      </c>
      <c r="F56" s="3">
        <v>0.132634639</v>
      </c>
      <c r="G56">
        <v>-27</v>
      </c>
      <c r="H56">
        <v>5.7000000000000002E-2</v>
      </c>
      <c r="I56" s="8">
        <v>208978.8602</v>
      </c>
      <c r="J56" s="8">
        <v>368735.93900000001</v>
      </c>
      <c r="K56" s="8" t="s">
        <v>91</v>
      </c>
      <c r="L56" s="8" t="s">
        <v>43</v>
      </c>
      <c r="M56">
        <v>2.4</v>
      </c>
      <c r="N56">
        <v>100</v>
      </c>
    </row>
    <row r="57" spans="1:14" ht="16" x14ac:dyDescent="0.2">
      <c r="A57" t="s">
        <v>92</v>
      </c>
      <c r="B57" s="2">
        <v>1.483286369</v>
      </c>
      <c r="C57">
        <v>10</v>
      </c>
      <c r="D57" s="2">
        <v>1.723652154</v>
      </c>
      <c r="E57" s="2">
        <v>1.4577196720000001</v>
      </c>
      <c r="F57" s="3">
        <v>1.157054832</v>
      </c>
      <c r="G57">
        <v>-24.8</v>
      </c>
      <c r="H57">
        <v>0.12</v>
      </c>
      <c r="I57" s="8">
        <v>208978.8602</v>
      </c>
      <c r="J57" s="8">
        <v>368735.93900000001</v>
      </c>
      <c r="K57" s="8" t="s">
        <v>91</v>
      </c>
      <c r="L57" s="8" t="s">
        <v>43</v>
      </c>
      <c r="M57">
        <v>6.1</v>
      </c>
      <c r="N57">
        <v>20</v>
      </c>
    </row>
    <row r="58" spans="1:14" ht="16" x14ac:dyDescent="0.2">
      <c r="A58" t="s">
        <v>93</v>
      </c>
      <c r="B58" s="2">
        <v>1.51392522</v>
      </c>
      <c r="C58">
        <v>10</v>
      </c>
      <c r="D58" s="2">
        <v>1.495754842</v>
      </c>
      <c r="E58" s="2">
        <v>1.49128061</v>
      </c>
      <c r="F58" s="3">
        <v>0.49707593900000002</v>
      </c>
      <c r="G58">
        <v>-24.8</v>
      </c>
      <c r="H58">
        <v>7.5999999999999998E-2</v>
      </c>
      <c r="I58" s="8">
        <v>208978.8602</v>
      </c>
      <c r="J58" s="8">
        <v>368735.93900000001</v>
      </c>
      <c r="K58" s="8" t="s">
        <v>91</v>
      </c>
      <c r="L58" s="8" t="s">
        <v>43</v>
      </c>
      <c r="M58">
        <v>5.7</v>
      </c>
      <c r="N58">
        <v>30</v>
      </c>
    </row>
    <row r="59" spans="1:14" ht="16" x14ac:dyDescent="0.2">
      <c r="A59" t="s">
        <v>94</v>
      </c>
      <c r="B59" s="2">
        <v>1.466196426</v>
      </c>
      <c r="C59">
        <v>10</v>
      </c>
      <c r="D59" s="2">
        <v>0.20722320899999999</v>
      </c>
      <c r="E59" s="2">
        <v>1.4631581259999999</v>
      </c>
      <c r="F59" s="3">
        <v>0.19562601900000001</v>
      </c>
      <c r="G59">
        <v>-25.4</v>
      </c>
      <c r="H59">
        <v>0.06</v>
      </c>
      <c r="I59" s="8">
        <v>208978.8602</v>
      </c>
      <c r="J59" s="8">
        <v>368735.93900000001</v>
      </c>
      <c r="K59" s="8" t="s">
        <v>91</v>
      </c>
      <c r="L59" s="8" t="s">
        <v>43</v>
      </c>
      <c r="M59">
        <v>3.9</v>
      </c>
      <c r="N59">
        <v>40</v>
      </c>
    </row>
    <row r="60" spans="1:14" ht="16" x14ac:dyDescent="0.2">
      <c r="A60" t="s">
        <v>95</v>
      </c>
      <c r="B60" s="2">
        <v>1.583027054</v>
      </c>
      <c r="C60">
        <v>10</v>
      </c>
      <c r="D60" s="2">
        <v>1.6272582360000001</v>
      </c>
      <c r="E60" s="2">
        <v>1.557267116</v>
      </c>
      <c r="F60" s="3">
        <v>0.137251764</v>
      </c>
      <c r="G60">
        <v>-25.9</v>
      </c>
      <c r="H60">
        <v>5.3999999999999999E-2</v>
      </c>
      <c r="I60" s="8">
        <v>208978.8602</v>
      </c>
      <c r="J60" s="8">
        <v>368735.93900000001</v>
      </c>
      <c r="K60" s="8" t="s">
        <v>91</v>
      </c>
      <c r="L60" s="8" t="s">
        <v>43</v>
      </c>
      <c r="M60">
        <v>3.2</v>
      </c>
      <c r="N60">
        <v>50</v>
      </c>
    </row>
    <row r="61" spans="1:14" ht="16" x14ac:dyDescent="0.2">
      <c r="A61" t="s">
        <v>96</v>
      </c>
      <c r="B61" s="2">
        <v>1.5588151619999999</v>
      </c>
      <c r="C61">
        <v>10</v>
      </c>
      <c r="D61" s="2">
        <v>5.4338226719999998</v>
      </c>
      <c r="E61" s="2">
        <v>1.4741119110000001</v>
      </c>
      <c r="F61" s="3">
        <v>0.11298140399999999</v>
      </c>
      <c r="G61">
        <v>-25.8</v>
      </c>
      <c r="H61">
        <v>5.5E-2</v>
      </c>
      <c r="I61" s="8">
        <v>208978.8602</v>
      </c>
      <c r="J61" s="8">
        <v>368735.93900000001</v>
      </c>
      <c r="K61" s="8" t="s">
        <v>91</v>
      </c>
      <c r="L61" s="8" t="s">
        <v>43</v>
      </c>
      <c r="M61">
        <v>3.1</v>
      </c>
      <c r="N61">
        <v>60</v>
      </c>
    </row>
    <row r="62" spans="1:14" ht="16" x14ac:dyDescent="0.2">
      <c r="A62" t="s">
        <v>97</v>
      </c>
      <c r="B62" s="2">
        <v>1.463105501</v>
      </c>
      <c r="C62">
        <v>10</v>
      </c>
      <c r="D62" s="2">
        <v>0.86827335800000005</v>
      </c>
      <c r="E62" s="2">
        <v>1.450401746</v>
      </c>
      <c r="F62" s="3">
        <v>0.122245153</v>
      </c>
      <c r="G62">
        <v>-26.3</v>
      </c>
      <c r="H62">
        <v>4.8000000000000001E-2</v>
      </c>
      <c r="I62" s="8">
        <v>208978.8602</v>
      </c>
      <c r="J62" s="8">
        <v>368735.93900000001</v>
      </c>
      <c r="K62" s="8" t="s">
        <v>91</v>
      </c>
      <c r="L62" s="8" t="s">
        <v>43</v>
      </c>
      <c r="M62">
        <v>2.6</v>
      </c>
      <c r="N62">
        <v>70</v>
      </c>
    </row>
    <row r="63" spans="1:14" ht="16" x14ac:dyDescent="0.2">
      <c r="A63" t="s">
        <v>98</v>
      </c>
      <c r="B63" s="2">
        <v>1.593533944</v>
      </c>
      <c r="C63">
        <v>10</v>
      </c>
      <c r="D63" s="2">
        <v>4.4093026340000003</v>
      </c>
      <c r="E63" s="2">
        <v>1.5232702090000001</v>
      </c>
      <c r="F63" s="3">
        <v>0.111998194</v>
      </c>
      <c r="G63">
        <v>-26</v>
      </c>
      <c r="H63">
        <v>5.3999999999999999E-2</v>
      </c>
      <c r="I63" s="8">
        <v>208978.8602</v>
      </c>
      <c r="J63" s="8">
        <v>368735.93900000001</v>
      </c>
      <c r="K63" s="8" t="s">
        <v>91</v>
      </c>
      <c r="L63" s="8" t="s">
        <v>43</v>
      </c>
      <c r="M63">
        <v>2.8</v>
      </c>
      <c r="N63">
        <v>80</v>
      </c>
    </row>
    <row r="64" spans="1:14" ht="16" x14ac:dyDescent="0.2">
      <c r="A64" t="s">
        <v>99</v>
      </c>
      <c r="B64" s="2">
        <v>1.4689161150000001</v>
      </c>
      <c r="C64">
        <v>10</v>
      </c>
      <c r="D64" s="2">
        <v>2.4591508630000001</v>
      </c>
      <c r="E64" s="2">
        <v>1.432793252</v>
      </c>
      <c r="F64" s="3">
        <v>0.11707994200000001</v>
      </c>
      <c r="G64">
        <v>-27.2</v>
      </c>
      <c r="H64">
        <v>4.1000000000000002E-2</v>
      </c>
      <c r="I64" s="8">
        <v>208978.8602</v>
      </c>
      <c r="J64" s="8">
        <v>368735.93900000001</v>
      </c>
      <c r="K64" s="8" t="s">
        <v>91</v>
      </c>
      <c r="L64" s="8" t="s">
        <v>43</v>
      </c>
      <c r="M64">
        <v>2.9</v>
      </c>
      <c r="N64">
        <v>90</v>
      </c>
    </row>
    <row r="65" spans="1:14" ht="16" x14ac:dyDescent="0.2">
      <c r="A65" t="s">
        <v>101</v>
      </c>
      <c r="B65" s="2">
        <v>1.2865415330000001</v>
      </c>
      <c r="C65">
        <v>10</v>
      </c>
      <c r="D65" s="2">
        <v>1.0449458570000001</v>
      </c>
      <c r="E65" s="2">
        <v>1.27309787</v>
      </c>
      <c r="F65" s="3">
        <v>1.540841812</v>
      </c>
      <c r="G65">
        <v>-23.3</v>
      </c>
      <c r="H65">
        <v>0.155</v>
      </c>
      <c r="I65" s="8">
        <v>208971.00709999999</v>
      </c>
      <c r="J65" s="8">
        <v>368747.75199999998</v>
      </c>
      <c r="K65" s="8" t="s">
        <v>91</v>
      </c>
      <c r="L65" s="8" t="s">
        <v>68</v>
      </c>
      <c r="M65">
        <v>6</v>
      </c>
      <c r="N65">
        <v>10</v>
      </c>
    </row>
    <row r="66" spans="1:14" ht="16" x14ac:dyDescent="0.2">
      <c r="A66" t="s">
        <v>110</v>
      </c>
      <c r="B66" s="2">
        <v>1.4857088570000001</v>
      </c>
      <c r="C66">
        <v>10</v>
      </c>
      <c r="D66" s="2">
        <v>4.7035579680000001</v>
      </c>
      <c r="E66" s="2">
        <v>1.41582768</v>
      </c>
      <c r="F66" s="3">
        <v>0.13993185299999999</v>
      </c>
      <c r="G66">
        <v>-22.1</v>
      </c>
      <c r="H66">
        <v>5.6000000000000001E-2</v>
      </c>
      <c r="I66" s="8">
        <v>208971.00709999999</v>
      </c>
      <c r="J66" s="8">
        <v>368747.75199999998</v>
      </c>
      <c r="K66" s="8" t="s">
        <v>91</v>
      </c>
      <c r="L66" s="8" t="s">
        <v>68</v>
      </c>
      <c r="M66">
        <v>2.2000000000000002</v>
      </c>
      <c r="N66">
        <v>100</v>
      </c>
    </row>
    <row r="67" spans="1:14" ht="16" x14ac:dyDescent="0.2">
      <c r="A67" t="s">
        <v>111</v>
      </c>
      <c r="B67" s="2">
        <v>1.554885335</v>
      </c>
      <c r="C67">
        <v>10</v>
      </c>
      <c r="D67" s="2">
        <v>6.1060498340000002</v>
      </c>
      <c r="E67" s="2">
        <v>1.459943261</v>
      </c>
      <c r="F67" s="3">
        <v>0.64422596099999996</v>
      </c>
      <c r="G67">
        <v>-10.7</v>
      </c>
      <c r="H67">
        <v>4.8000000000000001E-2</v>
      </c>
      <c r="I67" s="8">
        <v>208971.00709999999</v>
      </c>
      <c r="J67" s="8">
        <v>368747.75199999998</v>
      </c>
      <c r="K67" s="8" t="s">
        <v>91</v>
      </c>
      <c r="L67" s="8" t="s">
        <v>68</v>
      </c>
      <c r="M67">
        <v>2.4</v>
      </c>
      <c r="N67">
        <v>110</v>
      </c>
    </row>
    <row r="68" spans="1:14" ht="16" x14ac:dyDescent="0.2">
      <c r="A68" t="s">
        <v>112</v>
      </c>
      <c r="B68" s="2">
        <v>1.494588335</v>
      </c>
      <c r="C68">
        <v>10</v>
      </c>
      <c r="D68" s="2">
        <v>12.16390943</v>
      </c>
      <c r="E68" s="2">
        <v>1.312787964</v>
      </c>
      <c r="F68" s="3">
        <v>0.77830311299999999</v>
      </c>
      <c r="G68">
        <v>-7.8</v>
      </c>
      <c r="H68">
        <v>0.05</v>
      </c>
      <c r="I68" s="8">
        <v>208971.00709999999</v>
      </c>
      <c r="J68" s="8">
        <v>368747.75199999998</v>
      </c>
      <c r="K68" s="8" t="s">
        <v>91</v>
      </c>
      <c r="L68" s="8" t="s">
        <v>68</v>
      </c>
      <c r="M68">
        <v>1.7</v>
      </c>
      <c r="N68">
        <v>120</v>
      </c>
    </row>
    <row r="69" spans="1:14" ht="16" x14ac:dyDescent="0.2">
      <c r="A69" t="s">
        <v>102</v>
      </c>
      <c r="B69" s="2">
        <v>1.4682996239999999</v>
      </c>
      <c r="C69">
        <v>10</v>
      </c>
      <c r="D69" s="2">
        <v>1.342103515</v>
      </c>
      <c r="E69" s="2">
        <v>1.448593523</v>
      </c>
      <c r="F69" s="3">
        <v>1.047302427</v>
      </c>
      <c r="G69">
        <v>-24.3</v>
      </c>
      <c r="H69">
        <v>0.12</v>
      </c>
      <c r="I69" s="8">
        <v>208971.00709999999</v>
      </c>
      <c r="J69" s="8">
        <v>368747.75199999998</v>
      </c>
      <c r="K69" s="8" t="s">
        <v>91</v>
      </c>
      <c r="L69" s="8" t="s">
        <v>68</v>
      </c>
      <c r="M69">
        <v>6.5</v>
      </c>
      <c r="N69">
        <v>20</v>
      </c>
    </row>
    <row r="70" spans="1:14" ht="16" x14ac:dyDescent="0.2">
      <c r="A70" t="s">
        <v>103</v>
      </c>
      <c r="B70" s="2">
        <v>1.3654216690000001</v>
      </c>
      <c r="C70">
        <v>10</v>
      </c>
      <c r="D70" s="2">
        <v>3.9783446809999998</v>
      </c>
      <c r="E70" s="2">
        <v>1.3111004879999999</v>
      </c>
      <c r="F70" s="3">
        <v>0.58938990599999996</v>
      </c>
      <c r="G70">
        <v>-24.7</v>
      </c>
      <c r="H70">
        <v>8.6999999999999994E-2</v>
      </c>
      <c r="I70" s="8">
        <v>208971.00709999999</v>
      </c>
      <c r="J70" s="8">
        <v>368747.75199999998</v>
      </c>
      <c r="K70" s="8" t="s">
        <v>91</v>
      </c>
      <c r="L70" s="8" t="s">
        <v>68</v>
      </c>
      <c r="M70">
        <v>5.3</v>
      </c>
      <c r="N70">
        <v>30</v>
      </c>
    </row>
    <row r="71" spans="1:14" ht="16" x14ac:dyDescent="0.2">
      <c r="A71" t="s">
        <v>104</v>
      </c>
      <c r="B71" s="2">
        <v>1.4745285319999999</v>
      </c>
      <c r="C71">
        <v>10</v>
      </c>
      <c r="D71" s="2">
        <v>0.109672456</v>
      </c>
      <c r="E71" s="2">
        <v>1.47291138</v>
      </c>
      <c r="F71" s="3">
        <v>0.23210399300000001</v>
      </c>
      <c r="G71">
        <v>-25.1</v>
      </c>
      <c r="H71">
        <v>6.5000000000000002E-2</v>
      </c>
      <c r="I71" s="8">
        <v>208971.00709999999</v>
      </c>
      <c r="J71" s="8">
        <v>368747.75199999998</v>
      </c>
      <c r="K71" s="8" t="s">
        <v>91</v>
      </c>
      <c r="L71" s="8" t="s">
        <v>68</v>
      </c>
      <c r="M71">
        <v>3.8</v>
      </c>
      <c r="N71">
        <v>40</v>
      </c>
    </row>
    <row r="72" spans="1:14" ht="16" x14ac:dyDescent="0.2">
      <c r="A72" t="s">
        <v>105</v>
      </c>
      <c r="B72" s="2">
        <v>1.6097505940000001</v>
      </c>
      <c r="C72">
        <v>10</v>
      </c>
      <c r="D72" s="2">
        <v>7.4940536000000002E-2</v>
      </c>
      <c r="E72" s="2">
        <v>1.608544239</v>
      </c>
      <c r="F72" s="3">
        <v>0.14693661199999999</v>
      </c>
      <c r="G72">
        <v>-25.2</v>
      </c>
      <c r="H72">
        <v>4.9000000000000002E-2</v>
      </c>
      <c r="I72" s="8">
        <v>208971.00709999999</v>
      </c>
      <c r="J72" s="8">
        <v>368747.75199999998</v>
      </c>
      <c r="K72" s="8" t="s">
        <v>91</v>
      </c>
      <c r="L72" s="8" t="s">
        <v>68</v>
      </c>
      <c r="M72">
        <v>3.1</v>
      </c>
      <c r="N72">
        <v>50</v>
      </c>
    </row>
    <row r="73" spans="1:14" ht="16" x14ac:dyDescent="0.2">
      <c r="A73" t="s">
        <v>106</v>
      </c>
      <c r="B73" s="2">
        <v>1.47518613</v>
      </c>
      <c r="C73">
        <v>10</v>
      </c>
      <c r="D73" s="2">
        <v>6.7695863999999994E-2</v>
      </c>
      <c r="E73" s="2">
        <v>1.47418749</v>
      </c>
      <c r="F73" s="3">
        <v>0.12255614300000001</v>
      </c>
      <c r="G73">
        <v>-24.9</v>
      </c>
      <c r="H73">
        <v>5.1999999999999998E-2</v>
      </c>
      <c r="I73" s="8">
        <v>208971.00709999999</v>
      </c>
      <c r="J73" s="8">
        <v>368747.75199999998</v>
      </c>
      <c r="K73" s="8" t="s">
        <v>91</v>
      </c>
      <c r="L73" s="8" t="s">
        <v>68</v>
      </c>
      <c r="M73">
        <v>2.4</v>
      </c>
      <c r="N73">
        <v>60</v>
      </c>
    </row>
    <row r="74" spans="1:14" ht="16" x14ac:dyDescent="0.2">
      <c r="A74" t="s">
        <v>107</v>
      </c>
      <c r="B74" s="2">
        <v>1.611731689</v>
      </c>
      <c r="C74">
        <v>10</v>
      </c>
      <c r="D74" s="2">
        <v>0.27413191599999998</v>
      </c>
      <c r="E74" s="2">
        <v>1.6073134179999999</v>
      </c>
      <c r="F74" s="3">
        <v>0.114625436</v>
      </c>
      <c r="G74">
        <v>-25.2</v>
      </c>
      <c r="H74">
        <v>4.3999999999999997E-2</v>
      </c>
      <c r="I74" s="8">
        <v>208971.00709999999</v>
      </c>
      <c r="J74" s="8">
        <v>368747.75199999998</v>
      </c>
      <c r="K74" s="8" t="s">
        <v>91</v>
      </c>
      <c r="L74" s="8" t="s">
        <v>68</v>
      </c>
      <c r="M74">
        <v>3.3</v>
      </c>
      <c r="N74">
        <v>70</v>
      </c>
    </row>
    <row r="75" spans="1:14" ht="16" x14ac:dyDescent="0.2">
      <c r="A75" t="s">
        <v>108</v>
      </c>
      <c r="B75" s="2">
        <v>1.494042256</v>
      </c>
      <c r="C75">
        <v>10</v>
      </c>
      <c r="D75" s="2">
        <v>1.690243138</v>
      </c>
      <c r="E75" s="2">
        <v>1.4687893089999999</v>
      </c>
      <c r="F75" s="3">
        <v>0.11390819100000001</v>
      </c>
      <c r="G75">
        <v>-26.1</v>
      </c>
      <c r="H75">
        <v>5.0999999999999997E-2</v>
      </c>
      <c r="I75" s="8">
        <v>208971.00709999999</v>
      </c>
      <c r="J75" s="8">
        <v>368747.75199999998</v>
      </c>
      <c r="K75" s="8" t="s">
        <v>91</v>
      </c>
      <c r="L75" s="8" t="s">
        <v>68</v>
      </c>
      <c r="M75">
        <v>2.8</v>
      </c>
      <c r="N75">
        <v>80</v>
      </c>
    </row>
    <row r="76" spans="1:14" ht="16" x14ac:dyDescent="0.2">
      <c r="A76" t="s">
        <v>109</v>
      </c>
      <c r="B76" s="2">
        <v>1.6097205990000001</v>
      </c>
      <c r="C76">
        <v>10</v>
      </c>
      <c r="D76" s="2">
        <v>2.4822753909999999</v>
      </c>
      <c r="E76" s="2">
        <v>1.569762901</v>
      </c>
      <c r="F76" s="3">
        <v>0.10862711</v>
      </c>
      <c r="G76">
        <v>-26.4</v>
      </c>
      <c r="H76">
        <v>4.2000000000000003E-2</v>
      </c>
      <c r="I76" s="8">
        <v>208971.00709999999</v>
      </c>
      <c r="J76" s="8">
        <v>368747.75199999998</v>
      </c>
      <c r="K76" s="8" t="s">
        <v>91</v>
      </c>
      <c r="L76" s="8" t="s">
        <v>68</v>
      </c>
      <c r="M76">
        <v>2.9</v>
      </c>
      <c r="N76">
        <v>90</v>
      </c>
    </row>
    <row r="77" spans="1:14" ht="16" x14ac:dyDescent="0.2">
      <c r="A77" t="s">
        <v>113</v>
      </c>
      <c r="B77" s="2">
        <v>1.3321787599999999</v>
      </c>
      <c r="C77">
        <v>10</v>
      </c>
      <c r="D77" s="2">
        <v>13.453926020000001</v>
      </c>
      <c r="E77" s="2">
        <v>1.152948415</v>
      </c>
      <c r="F77" s="3">
        <v>1.460131045</v>
      </c>
      <c r="G77">
        <v>-24.1</v>
      </c>
      <c r="H77">
        <v>0.14499999999999999</v>
      </c>
      <c r="I77" s="8">
        <v>208963.02679999999</v>
      </c>
      <c r="J77" s="8">
        <v>368735.8345</v>
      </c>
      <c r="K77" s="8" t="s">
        <v>91</v>
      </c>
      <c r="L77" s="8" t="s">
        <v>81</v>
      </c>
      <c r="M77">
        <v>5.7</v>
      </c>
      <c r="N77">
        <v>10</v>
      </c>
    </row>
    <row r="78" spans="1:14" ht="16" x14ac:dyDescent="0.2">
      <c r="A78" t="s">
        <v>122</v>
      </c>
      <c r="B78" s="2">
        <v>1.0469187929999999</v>
      </c>
      <c r="C78">
        <v>10</v>
      </c>
      <c r="D78" s="2">
        <v>11.659939039999999</v>
      </c>
      <c r="E78" s="2">
        <v>0.92484869999999997</v>
      </c>
      <c r="F78" s="3">
        <v>0.14017526499999999</v>
      </c>
      <c r="G78">
        <v>-26.4</v>
      </c>
      <c r="H78">
        <v>6.4000000000000001E-2</v>
      </c>
      <c r="I78" s="8">
        <v>208963.02679999999</v>
      </c>
      <c r="J78" s="8">
        <v>368735.8345</v>
      </c>
      <c r="K78" s="8" t="s">
        <v>91</v>
      </c>
      <c r="L78" s="8" t="s">
        <v>81</v>
      </c>
      <c r="M78">
        <v>2.7</v>
      </c>
      <c r="N78">
        <v>100</v>
      </c>
    </row>
    <row r="79" spans="1:14" ht="16" x14ac:dyDescent="0.2">
      <c r="A79" t="s">
        <v>123</v>
      </c>
      <c r="B79" s="2">
        <v>1.680381033</v>
      </c>
      <c r="C79">
        <v>10</v>
      </c>
      <c r="D79" s="2">
        <v>11.098388809999999</v>
      </c>
      <c r="E79" s="2">
        <v>1.493885812</v>
      </c>
      <c r="F79" s="3">
        <v>0.13391607899999999</v>
      </c>
      <c r="G79">
        <v>-26.4</v>
      </c>
      <c r="H79">
        <v>7.0999999999999994E-2</v>
      </c>
      <c r="I79" s="8">
        <v>208963.02679999999</v>
      </c>
      <c r="J79" s="8">
        <v>368735.8345</v>
      </c>
      <c r="K79" s="8" t="s">
        <v>91</v>
      </c>
      <c r="L79" s="8" t="s">
        <v>81</v>
      </c>
      <c r="M79">
        <v>2.5</v>
      </c>
      <c r="N79">
        <v>110</v>
      </c>
    </row>
    <row r="80" spans="1:14" ht="16" x14ac:dyDescent="0.2">
      <c r="A80" t="s">
        <v>114</v>
      </c>
      <c r="B80" s="2">
        <v>1.3539515369999999</v>
      </c>
      <c r="C80">
        <v>10</v>
      </c>
      <c r="D80" s="2">
        <v>5.1363943169999997</v>
      </c>
      <c r="E80" s="2">
        <v>1.2844072470000001</v>
      </c>
      <c r="F80" s="3">
        <v>1.257484711</v>
      </c>
      <c r="G80">
        <v>-24.8</v>
      </c>
      <c r="H80">
        <v>0.14000000000000001</v>
      </c>
      <c r="I80" s="8">
        <v>208963.02679999999</v>
      </c>
      <c r="J80" s="8">
        <v>368735.8345</v>
      </c>
      <c r="K80" s="8" t="s">
        <v>91</v>
      </c>
      <c r="L80" s="8" t="s">
        <v>81</v>
      </c>
      <c r="M80">
        <v>6.5</v>
      </c>
      <c r="N80">
        <v>20</v>
      </c>
    </row>
    <row r="81" spans="1:14" ht="16" x14ac:dyDescent="0.2">
      <c r="A81" t="s">
        <v>115</v>
      </c>
      <c r="B81" s="2">
        <v>1.527057807</v>
      </c>
      <c r="C81">
        <v>10</v>
      </c>
      <c r="D81" s="2">
        <v>5.4592720970000004</v>
      </c>
      <c r="E81" s="2">
        <v>1.443691566</v>
      </c>
      <c r="F81" s="3">
        <v>0.82910410700000003</v>
      </c>
      <c r="G81">
        <v>-24.6</v>
      </c>
      <c r="H81">
        <v>0.1</v>
      </c>
      <c r="I81" s="8">
        <v>208963.02679999999</v>
      </c>
      <c r="J81" s="8">
        <v>368735.8345</v>
      </c>
      <c r="K81" s="8" t="s">
        <v>91</v>
      </c>
      <c r="L81" s="8" t="s">
        <v>81</v>
      </c>
      <c r="M81">
        <v>6.2</v>
      </c>
      <c r="N81">
        <v>30</v>
      </c>
    </row>
    <row r="82" spans="1:14" ht="16" x14ac:dyDescent="0.2">
      <c r="A82" t="s">
        <v>116</v>
      </c>
      <c r="B82" s="2">
        <v>1.358760027</v>
      </c>
      <c r="C82">
        <v>10</v>
      </c>
      <c r="D82" s="2">
        <v>0.33931970500000003</v>
      </c>
      <c r="E82" s="2">
        <v>1.3541494869999999</v>
      </c>
      <c r="F82" s="3">
        <v>0.35743123399999999</v>
      </c>
      <c r="G82">
        <v>-25</v>
      </c>
      <c r="H82">
        <v>6.8000000000000005E-2</v>
      </c>
      <c r="I82" s="8">
        <v>208963.02679999999</v>
      </c>
      <c r="J82" s="8">
        <v>368735.8345</v>
      </c>
      <c r="K82" s="8" t="s">
        <v>91</v>
      </c>
      <c r="L82" s="8" t="s">
        <v>81</v>
      </c>
      <c r="M82">
        <v>4.9000000000000004</v>
      </c>
      <c r="N82">
        <v>40</v>
      </c>
    </row>
    <row r="83" spans="1:14" ht="16" x14ac:dyDescent="0.2">
      <c r="A83" t="s">
        <v>117</v>
      </c>
      <c r="B83" s="2">
        <v>1.6320256150000001</v>
      </c>
      <c r="C83">
        <v>10</v>
      </c>
      <c r="D83" s="2">
        <v>0</v>
      </c>
      <c r="E83" s="2">
        <v>1.6320256150000001</v>
      </c>
      <c r="F83" s="3">
        <v>0.25137362099999999</v>
      </c>
      <c r="G83">
        <v>-25.6</v>
      </c>
      <c r="H83">
        <v>5.7000000000000002E-2</v>
      </c>
      <c r="I83" s="8">
        <v>208963.02679999999</v>
      </c>
      <c r="J83" s="8">
        <v>368735.8345</v>
      </c>
      <c r="K83" s="8" t="s">
        <v>91</v>
      </c>
      <c r="L83" s="8" t="s">
        <v>81</v>
      </c>
      <c r="M83">
        <v>4.5</v>
      </c>
      <c r="N83">
        <v>50</v>
      </c>
    </row>
    <row r="84" spans="1:14" ht="16" x14ac:dyDescent="0.2">
      <c r="A84" t="s">
        <v>118</v>
      </c>
      <c r="B84" s="2">
        <v>1.4783479479999999</v>
      </c>
      <c r="C84">
        <v>10</v>
      </c>
      <c r="D84" s="2">
        <v>7.5006919459999999</v>
      </c>
      <c r="E84" s="2">
        <v>1.3674616230000001</v>
      </c>
      <c r="F84" s="3">
        <v>0.27065945000000002</v>
      </c>
      <c r="G84">
        <v>-26</v>
      </c>
      <c r="H84">
        <v>7.0999999999999994E-2</v>
      </c>
      <c r="I84" s="8">
        <v>208963.02679999999</v>
      </c>
      <c r="J84" s="8">
        <v>368735.8345</v>
      </c>
      <c r="K84" s="8" t="s">
        <v>91</v>
      </c>
      <c r="L84" s="8" t="s">
        <v>81</v>
      </c>
      <c r="M84">
        <v>4.4000000000000004</v>
      </c>
      <c r="N84">
        <v>60</v>
      </c>
    </row>
    <row r="85" spans="1:14" ht="16" x14ac:dyDescent="0.2">
      <c r="A85" t="s">
        <v>119</v>
      </c>
      <c r="B85" s="2">
        <v>1.5889629999999999</v>
      </c>
      <c r="C85">
        <v>10</v>
      </c>
      <c r="D85" s="2">
        <v>2.5217045530000002</v>
      </c>
      <c r="E85" s="2">
        <v>1.5488940470000001</v>
      </c>
      <c r="F85" s="3">
        <v>0.170052077</v>
      </c>
      <c r="G85">
        <v>-26</v>
      </c>
      <c r="H85">
        <v>5.6000000000000001E-2</v>
      </c>
      <c r="I85" s="8">
        <v>208963.02679999999</v>
      </c>
      <c r="J85" s="8">
        <v>368735.8345</v>
      </c>
      <c r="K85" s="8" t="s">
        <v>91</v>
      </c>
      <c r="L85" s="8" t="s">
        <v>81</v>
      </c>
      <c r="M85">
        <v>3.4</v>
      </c>
      <c r="N85">
        <v>70</v>
      </c>
    </row>
    <row r="86" spans="1:14" ht="16" x14ac:dyDescent="0.2">
      <c r="A86" t="s">
        <v>120</v>
      </c>
      <c r="B86" s="2">
        <v>1.5579394550000001</v>
      </c>
      <c r="C86">
        <v>10</v>
      </c>
      <c r="D86" s="2">
        <v>12.39369374</v>
      </c>
      <c r="E86" s="2">
        <v>1.3648532099999999</v>
      </c>
      <c r="F86" s="3">
        <v>0.14062139700000001</v>
      </c>
      <c r="G86">
        <v>-26.3</v>
      </c>
      <c r="H86">
        <v>5.3999999999999999E-2</v>
      </c>
      <c r="I86" s="8">
        <v>208963.02679999999</v>
      </c>
      <c r="J86" s="8">
        <v>368735.8345</v>
      </c>
      <c r="K86" s="8" t="s">
        <v>91</v>
      </c>
      <c r="L86" s="8" t="s">
        <v>81</v>
      </c>
      <c r="M86">
        <v>2.5</v>
      </c>
      <c r="N86">
        <v>80</v>
      </c>
    </row>
    <row r="87" spans="1:14" ht="16" x14ac:dyDescent="0.2">
      <c r="A87" t="s">
        <v>121</v>
      </c>
      <c r="B87" s="2">
        <v>1.379232646</v>
      </c>
      <c r="C87">
        <v>10</v>
      </c>
      <c r="D87" s="2">
        <v>5.2585581430000001</v>
      </c>
      <c r="E87" s="2">
        <v>1.306704895</v>
      </c>
      <c r="F87" s="3">
        <v>0.14596357500000001</v>
      </c>
      <c r="G87">
        <v>-25.7</v>
      </c>
      <c r="H87">
        <v>6.0499999999999998E-2</v>
      </c>
      <c r="I87" s="8">
        <v>208963.02679999999</v>
      </c>
      <c r="J87" s="8">
        <v>368735.8345</v>
      </c>
      <c r="K87" s="8" t="s">
        <v>91</v>
      </c>
      <c r="L87" s="8" t="s">
        <v>81</v>
      </c>
      <c r="M87">
        <v>2.2999999999999998</v>
      </c>
      <c r="N87">
        <v>90</v>
      </c>
    </row>
    <row r="88" spans="1:14" ht="16" x14ac:dyDescent="0.2">
      <c r="A88" t="s">
        <v>124</v>
      </c>
      <c r="B88" s="2">
        <v>1.3328629080000001</v>
      </c>
      <c r="C88">
        <v>10</v>
      </c>
      <c r="D88" s="2">
        <v>1.659943894</v>
      </c>
      <c r="E88" s="2">
        <v>1.310738132</v>
      </c>
      <c r="F88" s="3">
        <v>1.76008108</v>
      </c>
      <c r="G88">
        <v>-25</v>
      </c>
      <c r="H88">
        <v>0.18</v>
      </c>
      <c r="I88" s="8">
        <v>209282.80869999999</v>
      </c>
      <c r="J88" s="8">
        <v>368846.10889999999</v>
      </c>
      <c r="K88" s="8" t="s">
        <v>125</v>
      </c>
      <c r="L88" s="8" t="s">
        <v>43</v>
      </c>
      <c r="M88">
        <v>6.2</v>
      </c>
      <c r="N88">
        <v>10</v>
      </c>
    </row>
    <row r="89" spans="1:14" ht="16" x14ac:dyDescent="0.2">
      <c r="A89" t="s">
        <v>134</v>
      </c>
      <c r="B89" s="2">
        <v>1.371879904</v>
      </c>
      <c r="C89">
        <v>10</v>
      </c>
      <c r="D89" s="2">
        <v>3.9753278320000001</v>
      </c>
      <c r="E89" s="2">
        <v>1.3173431799999999</v>
      </c>
      <c r="F89" s="3">
        <v>0.19061004600000001</v>
      </c>
      <c r="G89">
        <v>-26.2</v>
      </c>
      <c r="H89">
        <v>6.8000000000000005E-2</v>
      </c>
      <c r="I89" s="8">
        <v>209282.80869999999</v>
      </c>
      <c r="J89" s="8">
        <v>368846.10889999999</v>
      </c>
      <c r="K89" s="8" t="s">
        <v>125</v>
      </c>
      <c r="L89" s="8" t="s">
        <v>43</v>
      </c>
      <c r="M89">
        <v>3.5</v>
      </c>
      <c r="N89">
        <v>100</v>
      </c>
    </row>
    <row r="90" spans="1:14" ht="16" x14ac:dyDescent="0.2">
      <c r="A90" t="s">
        <v>126</v>
      </c>
      <c r="B90" s="2">
        <v>1.401744967</v>
      </c>
      <c r="C90">
        <v>10</v>
      </c>
      <c r="D90" s="2">
        <v>2.9912120710000001</v>
      </c>
      <c r="E90" s="2">
        <v>1.359815803</v>
      </c>
      <c r="F90" s="3">
        <v>1.23484561</v>
      </c>
      <c r="G90">
        <v>-24.3</v>
      </c>
      <c r="H90">
        <v>0.13</v>
      </c>
      <c r="I90" s="8">
        <v>209282.80869999999</v>
      </c>
      <c r="J90" s="8">
        <v>368846.10889999999</v>
      </c>
      <c r="K90" s="8" t="s">
        <v>125</v>
      </c>
      <c r="L90" s="8" t="s">
        <v>43</v>
      </c>
      <c r="M90">
        <v>6.4</v>
      </c>
      <c r="N90">
        <v>20</v>
      </c>
    </row>
    <row r="91" spans="1:14" ht="16" x14ac:dyDescent="0.2">
      <c r="A91" t="s">
        <v>127</v>
      </c>
      <c r="B91" s="2">
        <v>1.381958215</v>
      </c>
      <c r="C91">
        <v>10</v>
      </c>
      <c r="D91" s="2">
        <v>6.9943572420000004</v>
      </c>
      <c r="E91" s="2">
        <v>1.2852991199999999</v>
      </c>
      <c r="F91" s="3">
        <v>0.89155537399999996</v>
      </c>
      <c r="G91">
        <v>-23.8</v>
      </c>
      <c r="H91">
        <v>0.11</v>
      </c>
      <c r="I91" s="8">
        <v>209282.80869999999</v>
      </c>
      <c r="J91" s="8">
        <v>368846.10889999999</v>
      </c>
      <c r="K91" s="8" t="s">
        <v>125</v>
      </c>
      <c r="L91" s="8" t="s">
        <v>43</v>
      </c>
      <c r="M91">
        <v>6.4</v>
      </c>
      <c r="N91">
        <v>30</v>
      </c>
    </row>
    <row r="92" spans="1:14" ht="16" x14ac:dyDescent="0.2">
      <c r="A92" t="s">
        <v>128</v>
      </c>
      <c r="B92" s="2">
        <v>1.5480521350000001</v>
      </c>
      <c r="C92">
        <v>10</v>
      </c>
      <c r="D92" s="2">
        <v>4.0370912969999999</v>
      </c>
      <c r="E92" s="2">
        <v>1.485555857</v>
      </c>
      <c r="F92" s="3">
        <v>0.41136042900000003</v>
      </c>
      <c r="G92">
        <v>-23.8</v>
      </c>
      <c r="H92">
        <v>8.6999999999999994E-2</v>
      </c>
      <c r="I92" s="8">
        <v>209282.80869999999</v>
      </c>
      <c r="J92" s="8">
        <v>368846.10889999999</v>
      </c>
      <c r="K92" s="8" t="s">
        <v>125</v>
      </c>
      <c r="L92" s="8" t="s">
        <v>43</v>
      </c>
      <c r="M92">
        <v>5.0999999999999996</v>
      </c>
      <c r="N92">
        <v>40</v>
      </c>
    </row>
    <row r="93" spans="1:14" ht="16" x14ac:dyDescent="0.2">
      <c r="A93" t="s">
        <v>129</v>
      </c>
      <c r="B93" s="2">
        <v>1.4321538300000001</v>
      </c>
      <c r="C93">
        <v>10</v>
      </c>
      <c r="D93" s="2">
        <v>2.2361880059999999</v>
      </c>
      <c r="E93" s="2">
        <v>1.4001281779999999</v>
      </c>
      <c r="F93" s="3">
        <v>0.23711685699999999</v>
      </c>
      <c r="G93">
        <v>-24.3</v>
      </c>
      <c r="H93">
        <v>8.2000000000000003E-2</v>
      </c>
      <c r="I93" s="8">
        <v>209282.80869999999</v>
      </c>
      <c r="J93" s="8">
        <v>368846.10889999999</v>
      </c>
      <c r="K93" s="8" t="s">
        <v>125</v>
      </c>
      <c r="L93" s="8" t="s">
        <v>43</v>
      </c>
      <c r="M93">
        <v>4</v>
      </c>
      <c r="N93">
        <v>50</v>
      </c>
    </row>
    <row r="94" spans="1:14" ht="16" x14ac:dyDescent="0.2">
      <c r="A94" t="s">
        <v>130</v>
      </c>
      <c r="B94" s="2">
        <v>1.423239181</v>
      </c>
      <c r="C94">
        <v>10</v>
      </c>
      <c r="D94" s="2">
        <v>2.1836293769999999</v>
      </c>
      <c r="E94" s="2">
        <v>1.392160912</v>
      </c>
      <c r="F94" s="3">
        <v>0.194616012</v>
      </c>
      <c r="G94">
        <v>-25.2</v>
      </c>
      <c r="H94">
        <v>6.9000000000000006E-2</v>
      </c>
      <c r="I94" s="8">
        <v>209282.80869999999</v>
      </c>
      <c r="J94" s="8">
        <v>368846.10889999999</v>
      </c>
      <c r="K94" s="8" t="s">
        <v>125</v>
      </c>
      <c r="L94" s="8" t="s">
        <v>43</v>
      </c>
      <c r="M94">
        <v>3.5</v>
      </c>
      <c r="N94">
        <v>60</v>
      </c>
    </row>
    <row r="95" spans="1:14" ht="16" x14ac:dyDescent="0.2">
      <c r="A95" t="s">
        <v>131</v>
      </c>
      <c r="B95" s="2">
        <v>1.493588245</v>
      </c>
      <c r="C95">
        <v>10</v>
      </c>
      <c r="D95" s="2">
        <v>4.3155543879999998</v>
      </c>
      <c r="E95" s="2">
        <v>1.429131632</v>
      </c>
      <c r="F95" s="3">
        <v>0.22096333200000001</v>
      </c>
      <c r="G95">
        <v>-25.7</v>
      </c>
      <c r="H95">
        <v>7.9000000000000001E-2</v>
      </c>
      <c r="I95" s="8">
        <v>209282.80869999999</v>
      </c>
      <c r="J95" s="8">
        <v>368846.10889999999</v>
      </c>
      <c r="K95" s="8" t="s">
        <v>125</v>
      </c>
      <c r="L95" s="8" t="s">
        <v>43</v>
      </c>
      <c r="M95">
        <v>3.1</v>
      </c>
      <c r="N95">
        <v>70</v>
      </c>
    </row>
    <row r="96" spans="1:14" ht="16" x14ac:dyDescent="0.2">
      <c r="A96" t="s">
        <v>132</v>
      </c>
      <c r="B96" s="2">
        <v>0.81634638299999995</v>
      </c>
      <c r="C96">
        <v>10</v>
      </c>
      <c r="D96" s="2">
        <v>6.2753801889999998</v>
      </c>
      <c r="E96" s="2">
        <v>0.76511754399999998</v>
      </c>
      <c r="F96" s="3">
        <v>0.17826271099999999</v>
      </c>
      <c r="G96">
        <v>-25.5</v>
      </c>
      <c r="H96">
        <v>7.0999999999999994E-2</v>
      </c>
      <c r="I96" s="8">
        <v>209282.80869999999</v>
      </c>
      <c r="J96" s="8">
        <v>368846.10889999999</v>
      </c>
      <c r="K96" s="8" t="s">
        <v>125</v>
      </c>
      <c r="L96" s="8" t="s">
        <v>43</v>
      </c>
      <c r="M96">
        <v>3.25</v>
      </c>
      <c r="N96">
        <v>80</v>
      </c>
    </row>
    <row r="97" spans="1:14" ht="16" x14ac:dyDescent="0.2">
      <c r="A97" t="s">
        <v>133</v>
      </c>
      <c r="B97" s="2">
        <v>1.4529746320000001</v>
      </c>
      <c r="C97">
        <v>10</v>
      </c>
      <c r="D97" s="2">
        <v>4.7929339219999996</v>
      </c>
      <c r="E97" s="2">
        <v>1.3833345180000001</v>
      </c>
      <c r="F97" s="3">
        <v>0.25927684499999998</v>
      </c>
      <c r="G97">
        <v>-27.1</v>
      </c>
      <c r="H97">
        <v>6.8000000000000005E-2</v>
      </c>
      <c r="I97" s="8">
        <v>209282.80869999999</v>
      </c>
      <c r="J97" s="8">
        <v>368846.10889999999</v>
      </c>
      <c r="K97" s="8" t="s">
        <v>125</v>
      </c>
      <c r="L97" s="8" t="s">
        <v>43</v>
      </c>
      <c r="M97">
        <v>3.4</v>
      </c>
      <c r="N97">
        <v>90</v>
      </c>
    </row>
    <row r="98" spans="1:14" ht="16" x14ac:dyDescent="0.2">
      <c r="A98" t="s">
        <v>135</v>
      </c>
      <c r="B98" s="2">
        <v>1.4453664369999999</v>
      </c>
      <c r="C98">
        <v>10</v>
      </c>
      <c r="D98" s="2">
        <v>2.13166353</v>
      </c>
      <c r="E98" s="2">
        <v>1.4145560880000001</v>
      </c>
      <c r="F98" s="3">
        <v>1.4046659990000001</v>
      </c>
      <c r="G98">
        <v>-25.2</v>
      </c>
      <c r="H98">
        <v>0.15</v>
      </c>
      <c r="I98" s="8">
        <v>209275.03959999999</v>
      </c>
      <c r="J98" s="8">
        <v>368858.30060000002</v>
      </c>
      <c r="K98" s="8" t="s">
        <v>125</v>
      </c>
      <c r="L98" s="8" t="s">
        <v>68</v>
      </c>
      <c r="M98">
        <v>5.8</v>
      </c>
      <c r="N98">
        <v>10</v>
      </c>
    </row>
    <row r="99" spans="1:14" ht="16" x14ac:dyDescent="0.2">
      <c r="A99" t="s">
        <v>144</v>
      </c>
      <c r="B99" s="2">
        <v>1.2675035539999999</v>
      </c>
      <c r="C99">
        <v>10</v>
      </c>
      <c r="D99" s="2">
        <v>4.7302904559999996</v>
      </c>
      <c r="E99" s="2">
        <v>1.2075469539999999</v>
      </c>
      <c r="F99" s="3">
        <v>0.24554483499999999</v>
      </c>
      <c r="G99">
        <v>-21.6</v>
      </c>
      <c r="H99">
        <v>0.06</v>
      </c>
      <c r="I99" s="8">
        <v>209275.03959999999</v>
      </c>
      <c r="J99" s="8">
        <v>368858.30060000002</v>
      </c>
      <c r="K99" s="8" t="s">
        <v>125</v>
      </c>
      <c r="L99" s="8" t="s">
        <v>68</v>
      </c>
      <c r="M99">
        <v>2.6</v>
      </c>
      <c r="N99">
        <v>100</v>
      </c>
    </row>
    <row r="100" spans="1:14" ht="16" x14ac:dyDescent="0.2">
      <c r="A100" t="s">
        <v>145</v>
      </c>
      <c r="B100" s="2">
        <v>1.29644045</v>
      </c>
      <c r="C100">
        <v>10</v>
      </c>
      <c r="D100" s="2">
        <v>6.815305715</v>
      </c>
      <c r="E100" s="2">
        <v>1.20808407</v>
      </c>
      <c r="F100" s="3">
        <v>0.255614958</v>
      </c>
      <c r="G100">
        <v>-17.5</v>
      </c>
      <c r="H100">
        <v>4.7E-2</v>
      </c>
      <c r="I100" s="8">
        <v>209275.03959999999</v>
      </c>
      <c r="J100" s="8">
        <v>368858.30060000002</v>
      </c>
      <c r="K100" s="8" t="s">
        <v>125</v>
      </c>
      <c r="L100" s="8" t="s">
        <v>68</v>
      </c>
      <c r="M100">
        <v>2.9</v>
      </c>
      <c r="N100">
        <v>110</v>
      </c>
    </row>
    <row r="101" spans="1:14" ht="16" x14ac:dyDescent="0.2">
      <c r="A101" t="s">
        <v>146</v>
      </c>
      <c r="B101" s="2">
        <v>1.222911203</v>
      </c>
      <c r="C101">
        <v>10</v>
      </c>
      <c r="D101" s="2">
        <v>92.601140819999998</v>
      </c>
      <c r="E101" s="2">
        <v>9.0481478000000004E-2</v>
      </c>
      <c r="F101" s="3">
        <v>0.30632387599999999</v>
      </c>
      <c r="G101">
        <v>-17.600000000000001</v>
      </c>
      <c r="H101">
        <v>0.06</v>
      </c>
      <c r="I101" s="8">
        <v>209275.03959999999</v>
      </c>
      <c r="J101" s="8">
        <v>368858.30060000002</v>
      </c>
      <c r="K101" s="8" t="s">
        <v>125</v>
      </c>
      <c r="L101" s="8" t="s">
        <v>68</v>
      </c>
      <c r="M101">
        <v>2.5</v>
      </c>
      <c r="N101">
        <v>120</v>
      </c>
    </row>
    <row r="102" spans="1:14" ht="16" x14ac:dyDescent="0.2">
      <c r="A102" t="s">
        <v>136</v>
      </c>
      <c r="B102" s="2">
        <v>1.374557458</v>
      </c>
      <c r="C102">
        <v>10</v>
      </c>
      <c r="D102" s="2">
        <v>1.5924520769999999</v>
      </c>
      <c r="E102" s="2">
        <v>1.3526682889999999</v>
      </c>
      <c r="F102" s="3">
        <v>1.3026621650000001</v>
      </c>
      <c r="G102">
        <v>-24.5</v>
      </c>
      <c r="H102">
        <v>0.14000000000000001</v>
      </c>
      <c r="I102" s="8">
        <v>209275.03959999999</v>
      </c>
      <c r="J102" s="8">
        <v>368858.30060000002</v>
      </c>
      <c r="K102" s="8" t="s">
        <v>125</v>
      </c>
      <c r="L102" s="8" t="s">
        <v>68</v>
      </c>
      <c r="M102">
        <v>5.7</v>
      </c>
      <c r="N102">
        <v>20</v>
      </c>
    </row>
    <row r="103" spans="1:14" ht="16" x14ac:dyDescent="0.2">
      <c r="A103" t="s">
        <v>137</v>
      </c>
      <c r="B103" s="2">
        <v>1.4772062180000001</v>
      </c>
      <c r="C103">
        <v>10</v>
      </c>
      <c r="D103" s="2">
        <v>3.0499365279999999</v>
      </c>
      <c r="E103" s="2">
        <v>1.432152366</v>
      </c>
      <c r="F103" s="3">
        <v>0.83776756399999996</v>
      </c>
      <c r="G103">
        <v>-24.1</v>
      </c>
      <c r="H103">
        <v>0.11</v>
      </c>
      <c r="I103" s="8">
        <v>209275.03959999999</v>
      </c>
      <c r="J103" s="8">
        <v>368858.30060000002</v>
      </c>
      <c r="K103" s="8" t="s">
        <v>125</v>
      </c>
      <c r="L103" s="8" t="s">
        <v>68</v>
      </c>
      <c r="M103">
        <v>6</v>
      </c>
      <c r="N103">
        <v>30</v>
      </c>
    </row>
    <row r="104" spans="1:14" ht="16" x14ac:dyDescent="0.2">
      <c r="A104" t="s">
        <v>138</v>
      </c>
      <c r="B104" s="2">
        <v>1.4354179540000001</v>
      </c>
      <c r="C104">
        <v>10</v>
      </c>
      <c r="D104" s="2">
        <v>4.4997167889999998</v>
      </c>
      <c r="E104" s="2">
        <v>1.3708282119999999</v>
      </c>
      <c r="F104" s="3">
        <v>0.35954003699999998</v>
      </c>
      <c r="G104">
        <v>-24.9</v>
      </c>
      <c r="H104">
        <v>0.09</v>
      </c>
      <c r="I104" s="8">
        <v>209275.03959999999</v>
      </c>
      <c r="J104" s="8">
        <v>368858.30060000002</v>
      </c>
      <c r="K104" s="8" t="s">
        <v>125</v>
      </c>
      <c r="L104" s="8" t="s">
        <v>68</v>
      </c>
      <c r="M104">
        <v>4.3</v>
      </c>
      <c r="N104">
        <v>40</v>
      </c>
    </row>
    <row r="105" spans="1:14" ht="16" x14ac:dyDescent="0.2">
      <c r="A105" t="s">
        <v>139</v>
      </c>
      <c r="B105" s="2">
        <v>1.497849234</v>
      </c>
      <c r="C105">
        <v>10</v>
      </c>
      <c r="D105" s="2">
        <v>2.8846631249999999</v>
      </c>
      <c r="E105" s="2">
        <v>1.454641329</v>
      </c>
      <c r="F105" s="3">
        <v>0.227459146</v>
      </c>
      <c r="G105">
        <v>-25.1</v>
      </c>
      <c r="H105">
        <v>7.8E-2</v>
      </c>
      <c r="I105" s="8">
        <v>209275.03959999999</v>
      </c>
      <c r="J105" s="8">
        <v>368858.30060000002</v>
      </c>
      <c r="K105" s="8" t="s">
        <v>125</v>
      </c>
      <c r="L105" s="8" t="s">
        <v>68</v>
      </c>
      <c r="M105">
        <v>3.6</v>
      </c>
      <c r="N105">
        <v>50</v>
      </c>
    </row>
    <row r="106" spans="1:14" ht="16" x14ac:dyDescent="0.2">
      <c r="A106" t="s">
        <v>140</v>
      </c>
      <c r="B106" s="2">
        <v>1.35566882</v>
      </c>
      <c r="C106">
        <v>10</v>
      </c>
      <c r="D106" s="2">
        <v>2.2415172320000001</v>
      </c>
      <c r="E106" s="2">
        <v>1.3252812700000001</v>
      </c>
      <c r="F106" s="3">
        <v>0.247598189</v>
      </c>
      <c r="G106">
        <v>-25.8</v>
      </c>
      <c r="H106">
        <v>7.4999999999999997E-2</v>
      </c>
      <c r="I106" s="8">
        <v>209275.03959999999</v>
      </c>
      <c r="J106" s="8">
        <v>368858.30060000002</v>
      </c>
      <c r="K106" s="8" t="s">
        <v>125</v>
      </c>
      <c r="L106" s="8" t="s">
        <v>68</v>
      </c>
      <c r="M106">
        <v>3.6</v>
      </c>
      <c r="N106">
        <v>60</v>
      </c>
    </row>
    <row r="107" spans="1:14" ht="16" x14ac:dyDescent="0.2">
      <c r="A107" t="s">
        <v>141</v>
      </c>
      <c r="B107" s="2">
        <v>1.27514291</v>
      </c>
      <c r="C107">
        <v>10</v>
      </c>
      <c r="D107" s="2">
        <v>4.8330825580000001</v>
      </c>
      <c r="E107" s="2">
        <v>1.2135142000000001</v>
      </c>
      <c r="F107" s="3">
        <v>0.20994849500000001</v>
      </c>
      <c r="G107">
        <v>-25.9</v>
      </c>
      <c r="H107">
        <v>7.0999999999999994E-2</v>
      </c>
      <c r="I107" s="8">
        <v>209275.03959999999</v>
      </c>
      <c r="J107" s="8">
        <v>368858.30060000002</v>
      </c>
      <c r="K107" s="8" t="s">
        <v>125</v>
      </c>
      <c r="L107" s="8" t="s">
        <v>68</v>
      </c>
      <c r="M107">
        <v>3.2</v>
      </c>
      <c r="N107">
        <v>70</v>
      </c>
    </row>
    <row r="108" spans="1:14" ht="16" x14ac:dyDescent="0.2">
      <c r="A108" t="s">
        <v>142</v>
      </c>
      <c r="B108" s="2">
        <v>1.4745335429999999</v>
      </c>
      <c r="C108">
        <v>10</v>
      </c>
      <c r="D108" s="2">
        <v>4.4307024320000004</v>
      </c>
      <c r="E108" s="2">
        <v>1.4092013489999999</v>
      </c>
      <c r="F108" s="3">
        <v>0.165223708</v>
      </c>
      <c r="G108">
        <v>-25.75</v>
      </c>
      <c r="H108">
        <v>6.7500000000000004E-2</v>
      </c>
      <c r="I108" s="8">
        <v>209275.03959999999</v>
      </c>
      <c r="J108" s="8">
        <v>368858.30060000002</v>
      </c>
      <c r="K108" s="8" t="s">
        <v>125</v>
      </c>
      <c r="L108" s="8" t="s">
        <v>68</v>
      </c>
      <c r="M108">
        <v>3</v>
      </c>
      <c r="N108">
        <v>80</v>
      </c>
    </row>
    <row r="109" spans="1:14" ht="16" x14ac:dyDescent="0.2">
      <c r="A109" t="s">
        <v>143</v>
      </c>
      <c r="B109" s="2">
        <v>1.2435647240000001</v>
      </c>
      <c r="C109">
        <v>10</v>
      </c>
      <c r="D109" s="2">
        <v>5.7881609579999997</v>
      </c>
      <c r="E109" s="2">
        <v>1.1715851960000001</v>
      </c>
      <c r="F109" s="3">
        <v>0.13243566000000001</v>
      </c>
      <c r="G109">
        <v>-25.7</v>
      </c>
      <c r="H109">
        <v>5.6000000000000001E-2</v>
      </c>
      <c r="I109" s="8">
        <v>209275.03959999999</v>
      </c>
      <c r="J109" s="8">
        <v>368858.30060000002</v>
      </c>
      <c r="K109" s="8" t="s">
        <v>125</v>
      </c>
      <c r="L109" s="8" t="s">
        <v>68</v>
      </c>
      <c r="M109">
        <v>2.9</v>
      </c>
      <c r="N109">
        <v>90</v>
      </c>
    </row>
    <row r="110" spans="1:14" ht="16" x14ac:dyDescent="0.2">
      <c r="A110" t="s">
        <v>147</v>
      </c>
      <c r="B110" s="2">
        <v>1.2998931410000001</v>
      </c>
      <c r="C110">
        <v>10</v>
      </c>
      <c r="D110" s="2">
        <v>4.289070701</v>
      </c>
      <c r="E110" s="2">
        <v>1.2441398050000001</v>
      </c>
      <c r="F110" s="3">
        <v>1.84168749</v>
      </c>
      <c r="G110">
        <v>-24.75</v>
      </c>
      <c r="H110">
        <v>0.20200000000000001</v>
      </c>
      <c r="I110" s="8">
        <v>209267.1158</v>
      </c>
      <c r="J110" s="8">
        <v>368846.10029999999</v>
      </c>
      <c r="K110" s="8" t="s">
        <v>125</v>
      </c>
      <c r="L110" s="8" t="s">
        <v>81</v>
      </c>
      <c r="M110">
        <v>5.2</v>
      </c>
      <c r="N110">
        <v>10</v>
      </c>
    </row>
    <row r="111" spans="1:14" ht="16" x14ac:dyDescent="0.2">
      <c r="A111" t="s">
        <v>156</v>
      </c>
      <c r="B111" s="2">
        <v>1.4241238599999999</v>
      </c>
      <c r="C111">
        <v>10</v>
      </c>
      <c r="D111" s="2">
        <v>6.6379880870000001</v>
      </c>
      <c r="E111" s="2">
        <v>1.3295906879999999</v>
      </c>
      <c r="F111" s="3">
        <v>0.11652963400000001</v>
      </c>
      <c r="G111">
        <v>-26.2</v>
      </c>
      <c r="H111">
        <v>5.1999999999999998E-2</v>
      </c>
      <c r="I111" s="8">
        <v>209267.1158</v>
      </c>
      <c r="J111" s="8">
        <v>368846.10029999999</v>
      </c>
      <c r="K111" s="8" t="s">
        <v>125</v>
      </c>
      <c r="L111" s="8" t="s">
        <v>81</v>
      </c>
      <c r="M111">
        <v>1.5</v>
      </c>
      <c r="N111">
        <v>100</v>
      </c>
    </row>
    <row r="112" spans="1:14" ht="16" x14ac:dyDescent="0.2">
      <c r="A112" t="s">
        <v>157</v>
      </c>
      <c r="B112" s="2">
        <v>1.1954625510000001</v>
      </c>
      <c r="C112">
        <v>10</v>
      </c>
      <c r="D112" s="2">
        <v>8.118988302</v>
      </c>
      <c r="E112" s="2">
        <v>1.098403086</v>
      </c>
      <c r="F112" s="3">
        <v>0.71508996499999999</v>
      </c>
      <c r="G112">
        <v>-13.2</v>
      </c>
      <c r="H112">
        <v>6.5000000000000002E-2</v>
      </c>
      <c r="I112" s="8">
        <v>209267.1158</v>
      </c>
      <c r="J112" s="8">
        <v>368846.10029999999</v>
      </c>
      <c r="K112" s="8" t="s">
        <v>125</v>
      </c>
      <c r="L112" s="8" t="s">
        <v>81</v>
      </c>
      <c r="M112">
        <v>1.1000000000000001</v>
      </c>
      <c r="N112">
        <v>110</v>
      </c>
    </row>
    <row r="113" spans="1:14" ht="16" x14ac:dyDescent="0.2">
      <c r="A113" t="s">
        <v>148</v>
      </c>
      <c r="B113" s="2">
        <v>1.4275760129999999</v>
      </c>
      <c r="C113">
        <v>10</v>
      </c>
      <c r="D113" s="2">
        <v>5.2538624059999997</v>
      </c>
      <c r="E113" s="2">
        <v>1.352573134</v>
      </c>
      <c r="F113" s="3">
        <v>1.3864833000000001</v>
      </c>
      <c r="G113">
        <v>-24.5</v>
      </c>
      <c r="H113">
        <v>0.15</v>
      </c>
      <c r="I113" s="8">
        <v>209267.1158</v>
      </c>
      <c r="J113" s="8">
        <v>368846.10029999999</v>
      </c>
      <c r="K113" s="8" t="s">
        <v>125</v>
      </c>
      <c r="L113" s="8" t="s">
        <v>81</v>
      </c>
      <c r="M113">
        <v>5.8</v>
      </c>
      <c r="N113">
        <v>20</v>
      </c>
    </row>
    <row r="114" spans="1:14" ht="16" x14ac:dyDescent="0.2">
      <c r="A114" t="s">
        <v>149</v>
      </c>
      <c r="B114" s="2">
        <v>1.4189887139999999</v>
      </c>
      <c r="C114">
        <v>10</v>
      </c>
      <c r="D114" s="2">
        <v>2.1116038920000002</v>
      </c>
      <c r="E114" s="2">
        <v>1.389025293</v>
      </c>
      <c r="F114" s="3">
        <v>0.68639476899999996</v>
      </c>
      <c r="G114">
        <v>-24.5</v>
      </c>
      <c r="H114">
        <v>8.8999999999999996E-2</v>
      </c>
      <c r="I114" s="8">
        <v>209267.1158</v>
      </c>
      <c r="J114" s="8">
        <v>368846.10029999999</v>
      </c>
      <c r="K114" s="8" t="s">
        <v>125</v>
      </c>
      <c r="L114" s="8" t="s">
        <v>81</v>
      </c>
      <c r="M114">
        <v>5.7</v>
      </c>
      <c r="N114">
        <v>30</v>
      </c>
    </row>
    <row r="115" spans="1:14" ht="16" x14ac:dyDescent="0.2">
      <c r="A115" t="s">
        <v>150</v>
      </c>
      <c r="B115" s="2">
        <v>1.5175406739999999</v>
      </c>
      <c r="C115">
        <v>10</v>
      </c>
      <c r="D115" s="2">
        <v>1.8656902719999999</v>
      </c>
      <c r="E115" s="2">
        <v>1.489228065</v>
      </c>
      <c r="F115" s="3">
        <v>0.41696592900000001</v>
      </c>
      <c r="G115">
        <v>-23.6</v>
      </c>
      <c r="H115">
        <v>8.1000000000000003E-2</v>
      </c>
      <c r="I115" s="8">
        <v>209267.1158</v>
      </c>
      <c r="J115" s="8">
        <v>368846.10029999999</v>
      </c>
      <c r="K115" s="8" t="s">
        <v>125</v>
      </c>
      <c r="L115" s="8" t="s">
        <v>81</v>
      </c>
      <c r="M115">
        <v>5.0999999999999996</v>
      </c>
      <c r="N115">
        <v>40</v>
      </c>
    </row>
    <row r="116" spans="1:14" ht="16" x14ac:dyDescent="0.2">
      <c r="A116" t="s">
        <v>151</v>
      </c>
      <c r="B116" s="2">
        <v>1.510219915</v>
      </c>
      <c r="C116">
        <v>10</v>
      </c>
      <c r="D116" s="2">
        <v>2.5164005039999999</v>
      </c>
      <c r="E116" s="2">
        <v>1.4722167340000001</v>
      </c>
      <c r="F116" s="3">
        <v>0.260914861</v>
      </c>
      <c r="G116">
        <v>-25</v>
      </c>
      <c r="H116">
        <v>7.2999999999999995E-2</v>
      </c>
      <c r="I116" s="8">
        <v>209267.1158</v>
      </c>
      <c r="J116" s="8">
        <v>368846.10029999999</v>
      </c>
      <c r="K116" s="8" t="s">
        <v>125</v>
      </c>
      <c r="L116" s="8" t="s">
        <v>81</v>
      </c>
      <c r="M116">
        <v>3.4</v>
      </c>
      <c r="N116">
        <v>50</v>
      </c>
    </row>
    <row r="117" spans="1:14" ht="16" x14ac:dyDescent="0.2">
      <c r="A117" t="s">
        <v>152</v>
      </c>
      <c r="B117" s="2">
        <v>1.5401164780000001</v>
      </c>
      <c r="C117">
        <v>10</v>
      </c>
      <c r="D117" s="2">
        <v>2.6504038240000001</v>
      </c>
      <c r="E117" s="2">
        <v>1.4992971719999999</v>
      </c>
      <c r="F117" s="3">
        <v>0.20330553200000001</v>
      </c>
      <c r="G117">
        <v>-25.5</v>
      </c>
      <c r="H117">
        <v>6.5000000000000002E-2</v>
      </c>
      <c r="I117" s="8">
        <v>209267.1158</v>
      </c>
      <c r="J117" s="8">
        <v>368846.10029999999</v>
      </c>
      <c r="K117" s="8" t="s">
        <v>125</v>
      </c>
      <c r="L117" s="8" t="s">
        <v>81</v>
      </c>
      <c r="M117">
        <v>2.8</v>
      </c>
      <c r="N117">
        <v>60</v>
      </c>
    </row>
    <row r="118" spans="1:14" ht="16" x14ac:dyDescent="0.2">
      <c r="A118" t="s">
        <v>153</v>
      </c>
      <c r="B118" s="2">
        <v>1.551525297</v>
      </c>
      <c r="C118">
        <v>10</v>
      </c>
      <c r="D118" s="2">
        <v>3.008794177</v>
      </c>
      <c r="E118" s="2">
        <v>1.5048430939999999</v>
      </c>
      <c r="F118" s="3">
        <v>0.16343307400000001</v>
      </c>
      <c r="G118">
        <v>-26.1</v>
      </c>
      <c r="H118">
        <v>5.8999999999999997E-2</v>
      </c>
      <c r="I118" s="8">
        <v>209267.1158</v>
      </c>
      <c r="J118" s="8">
        <v>368846.10029999999</v>
      </c>
      <c r="K118" s="8" t="s">
        <v>125</v>
      </c>
      <c r="L118" s="8" t="s">
        <v>81</v>
      </c>
      <c r="M118">
        <v>2.1</v>
      </c>
      <c r="N118">
        <v>70</v>
      </c>
    </row>
    <row r="119" spans="1:14" ht="16" x14ac:dyDescent="0.2">
      <c r="A119" t="s">
        <v>154</v>
      </c>
      <c r="B119" s="2">
        <v>1.229017681</v>
      </c>
      <c r="C119">
        <v>10</v>
      </c>
      <c r="D119" s="2">
        <v>6.9434978469999997</v>
      </c>
      <c r="E119" s="2">
        <v>1.1436808650000001</v>
      </c>
      <c r="F119" s="3">
        <v>0.169668398</v>
      </c>
      <c r="G119">
        <v>-25.9</v>
      </c>
      <c r="H119">
        <v>7.0000000000000007E-2</v>
      </c>
      <c r="I119" s="8">
        <v>209267.1158</v>
      </c>
      <c r="J119" s="8">
        <v>368846.10029999999</v>
      </c>
      <c r="K119" s="8" t="s">
        <v>125</v>
      </c>
      <c r="L119" s="8" t="s">
        <v>81</v>
      </c>
      <c r="M119">
        <v>1.8</v>
      </c>
      <c r="N119">
        <v>80</v>
      </c>
    </row>
    <row r="120" spans="1:14" ht="16" x14ac:dyDescent="0.2">
      <c r="A120" t="s">
        <v>155</v>
      </c>
      <c r="B120" s="2">
        <v>1.3360737439999999</v>
      </c>
      <c r="C120">
        <v>10</v>
      </c>
      <c r="D120" s="2">
        <v>3.9628204490000001</v>
      </c>
      <c r="E120" s="2">
        <v>1.283127541</v>
      </c>
      <c r="F120" s="3">
        <v>0.13452229800000001</v>
      </c>
      <c r="G120">
        <v>-25.8</v>
      </c>
      <c r="H120">
        <v>0.06</v>
      </c>
      <c r="I120" s="8">
        <v>209267.1158</v>
      </c>
      <c r="J120" s="8">
        <v>368846.10029999999</v>
      </c>
      <c r="K120" s="8" t="s">
        <v>125</v>
      </c>
      <c r="L120" s="8" t="s">
        <v>81</v>
      </c>
      <c r="M120">
        <v>1.45</v>
      </c>
      <c r="N120">
        <v>90</v>
      </c>
    </row>
    <row r="121" spans="1:14" ht="16" x14ac:dyDescent="0.2">
      <c r="A121" t="s">
        <v>158</v>
      </c>
      <c r="B121" s="2">
        <v>0.982248923</v>
      </c>
      <c r="C121">
        <v>10</v>
      </c>
      <c r="D121" s="2">
        <v>9.1255627490000002</v>
      </c>
      <c r="E121" s="2">
        <v>0.89261318099999998</v>
      </c>
      <c r="F121" s="3">
        <v>2.2007287</v>
      </c>
      <c r="G121">
        <v>-22.4</v>
      </c>
      <c r="H121">
        <v>0.22</v>
      </c>
      <c r="I121" s="8">
        <v>204917.10279999999</v>
      </c>
      <c r="J121" s="8">
        <v>366095.54619999998</v>
      </c>
      <c r="K121" s="8" t="s">
        <v>159</v>
      </c>
      <c r="L121" s="8" t="s">
        <v>43</v>
      </c>
      <c r="M121">
        <v>5.3</v>
      </c>
      <c r="N121">
        <v>10</v>
      </c>
    </row>
    <row r="122" spans="1:14" ht="16" x14ac:dyDescent="0.2">
      <c r="A122" t="s">
        <v>160</v>
      </c>
      <c r="B122" s="2">
        <v>1.07820034</v>
      </c>
      <c r="C122">
        <v>10</v>
      </c>
      <c r="D122" s="2">
        <v>9.6118115460000002</v>
      </c>
      <c r="E122" s="2">
        <v>0.97456575499999998</v>
      </c>
      <c r="F122" s="3">
        <v>1.997308498</v>
      </c>
      <c r="G122">
        <v>-21.2</v>
      </c>
      <c r="H122">
        <v>0.21</v>
      </c>
      <c r="I122" s="8">
        <v>204917.10279999999</v>
      </c>
      <c r="J122" s="8">
        <v>366095.54619999998</v>
      </c>
      <c r="K122" s="8" t="s">
        <v>159</v>
      </c>
      <c r="L122" s="8" t="s">
        <v>43</v>
      </c>
      <c r="M122">
        <v>6.2</v>
      </c>
      <c r="N122">
        <v>20</v>
      </c>
    </row>
    <row r="123" spans="1:14" ht="16" x14ac:dyDescent="0.2">
      <c r="A123" t="s">
        <v>161</v>
      </c>
      <c r="B123" s="2">
        <v>1.4745469369999999</v>
      </c>
      <c r="C123">
        <v>10</v>
      </c>
      <c r="D123" s="2">
        <v>25.353897809999999</v>
      </c>
      <c r="E123" s="2">
        <v>1.1006918139999999</v>
      </c>
      <c r="F123" s="3">
        <v>1.541874183</v>
      </c>
      <c r="G123">
        <v>-22.1</v>
      </c>
      <c r="H123">
        <v>0.16</v>
      </c>
      <c r="I123" s="8">
        <v>204917.10279999999</v>
      </c>
      <c r="J123" s="8">
        <v>366095.54619999998</v>
      </c>
      <c r="K123" s="8" t="s">
        <v>159</v>
      </c>
      <c r="L123" s="8" t="s">
        <v>43</v>
      </c>
      <c r="M123">
        <v>7.8</v>
      </c>
      <c r="N123">
        <v>30</v>
      </c>
    </row>
    <row r="124" spans="1:14" ht="16" x14ac:dyDescent="0.2">
      <c r="A124" t="s">
        <v>162</v>
      </c>
      <c r="B124" s="2">
        <v>1.649968916</v>
      </c>
      <c r="C124">
        <v>10</v>
      </c>
      <c r="D124" s="2">
        <v>27.261697000000002</v>
      </c>
      <c r="E124" s="2">
        <v>1.20015939</v>
      </c>
      <c r="F124" s="3">
        <v>1.2447648899999999</v>
      </c>
      <c r="G124">
        <v>-22.5</v>
      </c>
      <c r="H124">
        <v>0.14000000000000001</v>
      </c>
      <c r="I124" s="8">
        <v>204917.10279999999</v>
      </c>
      <c r="J124" s="8">
        <v>366095.54619999998</v>
      </c>
      <c r="K124" s="8" t="s">
        <v>159</v>
      </c>
      <c r="L124" s="8" t="s">
        <v>43</v>
      </c>
      <c r="M124">
        <v>7.7</v>
      </c>
      <c r="N124">
        <v>40</v>
      </c>
    </row>
    <row r="125" spans="1:14" ht="16" x14ac:dyDescent="0.2">
      <c r="A125" t="s">
        <v>163</v>
      </c>
      <c r="B125" s="2">
        <v>1.7278291160000001</v>
      </c>
      <c r="C125">
        <v>10</v>
      </c>
      <c r="D125" s="2">
        <v>40.700826560000003</v>
      </c>
      <c r="E125" s="2">
        <v>1.0245883849999999</v>
      </c>
      <c r="F125" s="3">
        <v>0.49855383599999997</v>
      </c>
      <c r="G125">
        <v>-23.4</v>
      </c>
      <c r="H125">
        <v>7.0999999999999994E-2</v>
      </c>
      <c r="I125" s="8">
        <v>204917.10279999999</v>
      </c>
      <c r="J125" s="8">
        <v>366095.54619999998</v>
      </c>
      <c r="K125" s="8" t="s">
        <v>159</v>
      </c>
      <c r="L125" s="8" t="s">
        <v>43</v>
      </c>
      <c r="M125">
        <v>5.8</v>
      </c>
      <c r="N125">
        <v>50</v>
      </c>
    </row>
    <row r="126" spans="1:14" ht="16" x14ac:dyDescent="0.2">
      <c r="A126" t="s">
        <v>164</v>
      </c>
      <c r="B126" s="2">
        <v>1.9301814749999999</v>
      </c>
      <c r="C126">
        <v>10</v>
      </c>
      <c r="D126" s="2">
        <v>48.015879550000001</v>
      </c>
      <c r="E126" s="2">
        <v>1.0033878629999999</v>
      </c>
      <c r="F126" s="3">
        <v>0.43354991700000001</v>
      </c>
      <c r="G126">
        <v>-24.6</v>
      </c>
      <c r="H126">
        <v>6.5500000000000003E-2</v>
      </c>
      <c r="I126" s="8">
        <v>204917.10279999999</v>
      </c>
      <c r="J126" s="8">
        <v>366095.54619999998</v>
      </c>
      <c r="K126" s="8" t="s">
        <v>159</v>
      </c>
      <c r="L126" s="8" t="s">
        <v>43</v>
      </c>
      <c r="M126">
        <v>5.3</v>
      </c>
      <c r="N126">
        <v>60</v>
      </c>
    </row>
    <row r="127" spans="1:14" ht="16" x14ac:dyDescent="0.2">
      <c r="A127" t="s">
        <v>165</v>
      </c>
      <c r="B127" s="2">
        <v>1.6299471240000001</v>
      </c>
      <c r="C127">
        <v>10</v>
      </c>
      <c r="D127" s="2">
        <v>39.587325710000002</v>
      </c>
      <c r="E127" s="2">
        <v>0.98469464699999998</v>
      </c>
      <c r="F127" s="3">
        <v>0.22146881600000001</v>
      </c>
      <c r="G127">
        <v>-24.7</v>
      </c>
      <c r="H127">
        <v>4.4999999999999998E-2</v>
      </c>
      <c r="I127" s="8">
        <v>204917.10279999999</v>
      </c>
      <c r="J127" s="8">
        <v>366095.54619999998</v>
      </c>
      <c r="K127" s="8" t="s">
        <v>159</v>
      </c>
      <c r="L127" s="8" t="s">
        <v>43</v>
      </c>
      <c r="M127">
        <v>4.3</v>
      </c>
      <c r="N127">
        <v>70</v>
      </c>
    </row>
    <row r="128" spans="1:14" ht="16" x14ac:dyDescent="0.2">
      <c r="A128" t="s">
        <v>166</v>
      </c>
      <c r="B128" s="2">
        <v>1.5836885359999999</v>
      </c>
      <c r="C128">
        <v>10</v>
      </c>
      <c r="D128" s="2">
        <v>35.298195800000002</v>
      </c>
      <c r="E128" s="2">
        <v>1.024675056</v>
      </c>
      <c r="F128" s="3">
        <v>0.14513134999999999</v>
      </c>
      <c r="G128">
        <v>-26.1</v>
      </c>
      <c r="H128">
        <v>3.5999999999999997E-2</v>
      </c>
      <c r="I128" s="8">
        <v>204917.10279999999</v>
      </c>
      <c r="J128" s="8">
        <v>366095.54619999998</v>
      </c>
      <c r="K128" s="8" t="s">
        <v>159</v>
      </c>
      <c r="L128" s="8" t="s">
        <v>43</v>
      </c>
      <c r="M128">
        <v>3</v>
      </c>
      <c r="N128">
        <v>80</v>
      </c>
    </row>
    <row r="129" spans="1:14" ht="16" x14ac:dyDescent="0.2">
      <c r="A129" t="s">
        <v>167</v>
      </c>
      <c r="B129" s="2">
        <v>0.86283926499999997</v>
      </c>
      <c r="C129">
        <v>10</v>
      </c>
      <c r="D129" s="2">
        <v>19.934278970000001</v>
      </c>
      <c r="E129" s="2">
        <v>0.69083847899999995</v>
      </c>
      <c r="F129" s="3">
        <v>2.3901634949999999</v>
      </c>
      <c r="G129">
        <v>-24.3</v>
      </c>
      <c r="H129">
        <v>0.25</v>
      </c>
      <c r="I129" s="8">
        <v>204909.3089</v>
      </c>
      <c r="J129" s="8">
        <v>366107.59</v>
      </c>
      <c r="K129" s="8" t="s">
        <v>159</v>
      </c>
      <c r="L129" s="8" t="s">
        <v>68</v>
      </c>
      <c r="M129">
        <v>6.2</v>
      </c>
      <c r="N129">
        <v>10</v>
      </c>
    </row>
    <row r="130" spans="1:14" ht="16" x14ac:dyDescent="0.2">
      <c r="A130" t="s">
        <v>168</v>
      </c>
      <c r="B130" s="2">
        <v>1.2793742960000001</v>
      </c>
      <c r="C130">
        <v>10</v>
      </c>
      <c r="D130" s="2">
        <v>12.238766330000001</v>
      </c>
      <c r="E130" s="2">
        <v>1.122794665</v>
      </c>
      <c r="F130" s="3">
        <v>2.272452559</v>
      </c>
      <c r="G130">
        <v>-22</v>
      </c>
      <c r="H130">
        <v>0.24</v>
      </c>
      <c r="I130" s="8">
        <v>204909.3089</v>
      </c>
      <c r="J130" s="8">
        <v>366107.59</v>
      </c>
      <c r="K130" s="8" t="s">
        <v>159</v>
      </c>
      <c r="L130" s="8" t="s">
        <v>68</v>
      </c>
      <c r="M130">
        <v>7.2</v>
      </c>
      <c r="N130">
        <v>20</v>
      </c>
    </row>
    <row r="131" spans="1:14" ht="16" x14ac:dyDescent="0.2">
      <c r="A131" t="s">
        <v>169</v>
      </c>
      <c r="B131" s="2">
        <v>1.3483020429999999</v>
      </c>
      <c r="C131">
        <v>10</v>
      </c>
      <c r="D131" s="2">
        <v>33.124084189999998</v>
      </c>
      <c r="E131" s="2">
        <v>0.90168933900000003</v>
      </c>
      <c r="F131" s="3">
        <v>1.4877358490000001</v>
      </c>
      <c r="G131">
        <v>-22.4</v>
      </c>
      <c r="H131">
        <v>0.16</v>
      </c>
      <c r="I131" s="8">
        <v>204909.3089</v>
      </c>
      <c r="J131" s="8">
        <v>366107.59</v>
      </c>
      <c r="K131" s="8" t="s">
        <v>159</v>
      </c>
      <c r="L131" s="8" t="s">
        <v>68</v>
      </c>
      <c r="M131">
        <v>8.3000000000000007</v>
      </c>
      <c r="N131">
        <v>30</v>
      </c>
    </row>
    <row r="132" spans="1:14" ht="16" x14ac:dyDescent="0.2">
      <c r="A132" t="s">
        <v>170</v>
      </c>
      <c r="B132" s="2">
        <v>1.5810477469999999</v>
      </c>
      <c r="C132">
        <v>10</v>
      </c>
      <c r="D132" s="2">
        <v>42.740289689999997</v>
      </c>
      <c r="E132" s="2">
        <v>0.90530336</v>
      </c>
      <c r="F132" s="3">
        <v>0.66747065999999999</v>
      </c>
      <c r="G132">
        <v>-23.5</v>
      </c>
      <c r="H132">
        <v>8.1000000000000003E-2</v>
      </c>
      <c r="I132" s="8">
        <v>204909.3089</v>
      </c>
      <c r="J132" s="8">
        <v>366107.59</v>
      </c>
      <c r="K132" s="8" t="s">
        <v>159</v>
      </c>
      <c r="L132" s="8" t="s">
        <v>68</v>
      </c>
      <c r="M132">
        <v>7.1</v>
      </c>
      <c r="N132">
        <v>40</v>
      </c>
    </row>
    <row r="133" spans="1:14" ht="16" x14ac:dyDescent="0.2">
      <c r="A133" t="s">
        <v>171</v>
      </c>
      <c r="B133" s="2">
        <v>1.741563161</v>
      </c>
      <c r="C133">
        <v>10</v>
      </c>
      <c r="D133" s="2">
        <v>28.741229879999999</v>
      </c>
      <c r="E133" s="2">
        <v>1.24101649</v>
      </c>
      <c r="F133" s="3">
        <v>0.39485541899999999</v>
      </c>
      <c r="G133">
        <v>-23.9</v>
      </c>
      <c r="H133">
        <v>0.06</v>
      </c>
      <c r="I133" s="8">
        <v>204909.3089</v>
      </c>
      <c r="J133" s="8">
        <v>366107.59</v>
      </c>
      <c r="K133" s="8" t="s">
        <v>159</v>
      </c>
      <c r="L133" s="8" t="s">
        <v>68</v>
      </c>
      <c r="M133">
        <v>5.3</v>
      </c>
      <c r="N133">
        <v>50</v>
      </c>
    </row>
    <row r="134" spans="1:14" ht="16" x14ac:dyDescent="0.2">
      <c r="A134" t="s">
        <v>172</v>
      </c>
      <c r="B134" s="2">
        <v>1.48453279</v>
      </c>
      <c r="C134">
        <v>10</v>
      </c>
      <c r="D134" s="2">
        <v>29.262259700000001</v>
      </c>
      <c r="E134" s="2">
        <v>1.0501249500000001</v>
      </c>
      <c r="F134" s="3">
        <v>0.31181874900000001</v>
      </c>
      <c r="G134">
        <v>-24.1</v>
      </c>
      <c r="H134">
        <v>5.1999999999999998E-2</v>
      </c>
      <c r="I134" s="8">
        <v>204909.3089</v>
      </c>
      <c r="J134" s="8">
        <v>366107.59</v>
      </c>
      <c r="K134" s="8" t="s">
        <v>159</v>
      </c>
      <c r="L134" s="8" t="s">
        <v>68</v>
      </c>
      <c r="M134">
        <v>4.9000000000000004</v>
      </c>
      <c r="N134">
        <v>60</v>
      </c>
    </row>
    <row r="135" spans="1:14" ht="16" x14ac:dyDescent="0.2">
      <c r="A135" t="s">
        <v>173</v>
      </c>
      <c r="B135" s="2">
        <v>1.7213103700000001</v>
      </c>
      <c r="C135">
        <v>10</v>
      </c>
      <c r="D135" s="2">
        <v>44.347276720000004</v>
      </c>
      <c r="E135" s="2">
        <v>0.95795609699999995</v>
      </c>
      <c r="F135" s="3">
        <v>0.21757132300000001</v>
      </c>
      <c r="G135">
        <v>-24.6</v>
      </c>
      <c r="H135">
        <v>4.2000000000000003E-2</v>
      </c>
      <c r="I135" s="8">
        <v>204909.3089</v>
      </c>
      <c r="J135" s="8">
        <v>366107.59</v>
      </c>
      <c r="K135" s="8" t="s">
        <v>159</v>
      </c>
      <c r="L135" s="8" t="s">
        <v>68</v>
      </c>
      <c r="M135">
        <v>4.0999999999999996</v>
      </c>
      <c r="N135">
        <v>70</v>
      </c>
    </row>
    <row r="136" spans="1:14" ht="16" x14ac:dyDescent="0.2">
      <c r="A136" t="s">
        <v>174</v>
      </c>
      <c r="B136" s="2">
        <v>1.9817187249999999</v>
      </c>
      <c r="C136">
        <v>10</v>
      </c>
      <c r="D136" s="2">
        <v>37.01537295</v>
      </c>
      <c r="E136" s="2">
        <v>1.248178148</v>
      </c>
      <c r="F136" s="3">
        <v>0.21824427499999999</v>
      </c>
      <c r="G136">
        <v>-23.95</v>
      </c>
      <c r="H136">
        <v>4.5999999999999999E-2</v>
      </c>
      <c r="I136" s="8">
        <v>204909.3089</v>
      </c>
      <c r="J136" s="8">
        <v>366107.59</v>
      </c>
      <c r="K136" s="8" t="s">
        <v>159</v>
      </c>
      <c r="L136" s="8" t="s">
        <v>68</v>
      </c>
      <c r="M136">
        <v>3.35</v>
      </c>
      <c r="N136">
        <v>80</v>
      </c>
    </row>
    <row r="137" spans="1:14" ht="16" x14ac:dyDescent="0.2">
      <c r="A137" t="s">
        <v>175</v>
      </c>
      <c r="B137" s="2">
        <v>1.5193917560000001</v>
      </c>
      <c r="C137">
        <v>10</v>
      </c>
      <c r="D137" s="2">
        <v>10.234290919999999</v>
      </c>
      <c r="E137" s="2">
        <v>1.3638927839999999</v>
      </c>
      <c r="F137" s="3">
        <v>0.176407592</v>
      </c>
      <c r="G137">
        <v>-25</v>
      </c>
      <c r="H137">
        <v>4.2999999999999997E-2</v>
      </c>
      <c r="I137" s="8">
        <v>204909.3089</v>
      </c>
      <c r="J137" s="8">
        <v>366107.59</v>
      </c>
      <c r="K137" s="8" t="s">
        <v>159</v>
      </c>
      <c r="L137" s="8" t="s">
        <v>68</v>
      </c>
      <c r="M137">
        <v>2.2999999999999998</v>
      </c>
      <c r="N137">
        <v>90</v>
      </c>
    </row>
    <row r="138" spans="1:14" ht="16" x14ac:dyDescent="0.2">
      <c r="A138" t="s">
        <v>176</v>
      </c>
      <c r="B138" s="2">
        <v>0.82474009999999998</v>
      </c>
      <c r="C138">
        <v>10</v>
      </c>
      <c r="D138" s="2">
        <v>13.85634817</v>
      </c>
      <c r="E138" s="2">
        <v>0.71046123999999999</v>
      </c>
      <c r="F138" s="3">
        <v>2.7890321720000002</v>
      </c>
      <c r="G138">
        <v>-22.6</v>
      </c>
      <c r="H138">
        <v>0.3</v>
      </c>
      <c r="I138" s="8">
        <v>204901.3792</v>
      </c>
      <c r="J138" s="8">
        <v>366095.45760000002</v>
      </c>
      <c r="K138" s="8" t="s">
        <v>159</v>
      </c>
      <c r="L138" s="8" t="s">
        <v>81</v>
      </c>
      <c r="M138">
        <v>6</v>
      </c>
      <c r="N138">
        <v>10</v>
      </c>
    </row>
    <row r="139" spans="1:14" ht="16" x14ac:dyDescent="0.2">
      <c r="A139" t="s">
        <v>177</v>
      </c>
      <c r="B139" s="2">
        <v>1.3724585279999999</v>
      </c>
      <c r="C139">
        <v>10</v>
      </c>
      <c r="D139" s="2">
        <v>14.62751856</v>
      </c>
      <c r="E139" s="2">
        <v>1.1717019019999999</v>
      </c>
      <c r="F139" s="3">
        <v>2.149261568</v>
      </c>
      <c r="G139">
        <v>-21.7</v>
      </c>
      <c r="H139">
        <v>0.23</v>
      </c>
      <c r="I139" s="8">
        <v>204901.3792</v>
      </c>
      <c r="J139" s="8">
        <v>366095.45760000002</v>
      </c>
      <c r="K139" s="8" t="s">
        <v>159</v>
      </c>
      <c r="L139" s="8" t="s">
        <v>81</v>
      </c>
      <c r="M139">
        <v>7.4</v>
      </c>
      <c r="N139">
        <v>20</v>
      </c>
    </row>
    <row r="140" spans="1:14" ht="16" x14ac:dyDescent="0.2">
      <c r="A140" t="s">
        <v>178</v>
      </c>
      <c r="B140" s="2">
        <v>1.403160701</v>
      </c>
      <c r="C140">
        <v>10</v>
      </c>
      <c r="D140" s="2">
        <v>17.996133059999998</v>
      </c>
      <c r="E140" s="2">
        <v>1.150646034</v>
      </c>
      <c r="F140" s="3">
        <v>1.504624126</v>
      </c>
      <c r="G140">
        <v>-22.8</v>
      </c>
      <c r="H140">
        <v>0.16</v>
      </c>
      <c r="I140" s="8">
        <v>204901.3792</v>
      </c>
      <c r="J140" s="8">
        <v>366095.45760000002</v>
      </c>
      <c r="K140" s="8" t="s">
        <v>159</v>
      </c>
      <c r="L140" s="8" t="s">
        <v>81</v>
      </c>
      <c r="M140">
        <v>7.8</v>
      </c>
      <c r="N140">
        <v>30</v>
      </c>
    </row>
    <row r="141" spans="1:14" ht="16" x14ac:dyDescent="0.2">
      <c r="A141" t="s">
        <v>179</v>
      </c>
      <c r="B141" s="2">
        <v>1.4349476409999999</v>
      </c>
      <c r="C141">
        <v>10</v>
      </c>
      <c r="D141" s="2">
        <v>28.019713849999999</v>
      </c>
      <c r="E141" s="2">
        <v>1.032879418</v>
      </c>
      <c r="F141" s="3">
        <v>1.158983691</v>
      </c>
      <c r="G141">
        <v>-23.2</v>
      </c>
      <c r="H141">
        <v>0.12</v>
      </c>
      <c r="I141" s="8">
        <v>204901.3792</v>
      </c>
      <c r="J141" s="8">
        <v>366095.45760000002</v>
      </c>
      <c r="K141" s="8" t="s">
        <v>159</v>
      </c>
      <c r="L141" s="8" t="s">
        <v>81</v>
      </c>
      <c r="M141">
        <v>6.8</v>
      </c>
      <c r="N141">
        <v>40</v>
      </c>
    </row>
    <row r="142" spans="1:14" ht="16" x14ac:dyDescent="0.2">
      <c r="A142" t="s">
        <v>180</v>
      </c>
      <c r="B142" s="2">
        <v>1.7714287129999999</v>
      </c>
      <c r="C142">
        <v>10</v>
      </c>
      <c r="D142" s="2">
        <v>25.13161586</v>
      </c>
      <c r="E142" s="2">
        <v>1.3262400539999999</v>
      </c>
      <c r="F142" s="3">
        <v>0.80949969799999999</v>
      </c>
      <c r="G142">
        <v>-22.8</v>
      </c>
      <c r="H142">
        <v>9.1999999999999998E-2</v>
      </c>
      <c r="I142" s="8">
        <v>204901.3792</v>
      </c>
      <c r="J142" s="8">
        <v>366095.45760000002</v>
      </c>
      <c r="K142" s="8" t="s">
        <v>159</v>
      </c>
      <c r="L142" s="8" t="s">
        <v>81</v>
      </c>
      <c r="M142">
        <v>6.2</v>
      </c>
      <c r="N142">
        <v>50</v>
      </c>
    </row>
    <row r="143" spans="1:14" ht="16" x14ac:dyDescent="0.2">
      <c r="A143" t="s">
        <v>181</v>
      </c>
      <c r="B143" s="2">
        <v>1.520529413</v>
      </c>
      <c r="C143">
        <v>10</v>
      </c>
      <c r="D143" s="2">
        <v>42.721002300000002</v>
      </c>
      <c r="E143" s="2">
        <v>0.87094400800000005</v>
      </c>
      <c r="F143" s="3">
        <v>0.64523256500000004</v>
      </c>
      <c r="G143">
        <v>-22.8</v>
      </c>
      <c r="H143">
        <v>8.1000000000000003E-2</v>
      </c>
      <c r="I143" s="8">
        <v>204901.3792</v>
      </c>
      <c r="J143" s="8">
        <v>366095.45760000002</v>
      </c>
      <c r="K143" s="8" t="s">
        <v>159</v>
      </c>
      <c r="L143" s="8" t="s">
        <v>81</v>
      </c>
      <c r="M143">
        <v>5.8</v>
      </c>
      <c r="N143">
        <v>60</v>
      </c>
    </row>
    <row r="144" spans="1:14" ht="16" x14ac:dyDescent="0.2">
      <c r="A144" t="s">
        <v>182</v>
      </c>
      <c r="B144" s="2">
        <v>1.8044786399999999</v>
      </c>
      <c r="C144">
        <v>10</v>
      </c>
      <c r="D144" s="2">
        <v>39.033998740000001</v>
      </c>
      <c r="E144" s="2">
        <v>1.10011847</v>
      </c>
      <c r="F144" s="3">
        <v>0.196960198</v>
      </c>
      <c r="G144">
        <v>-23.9</v>
      </c>
      <c r="H144">
        <v>3.5000000000000003E-2</v>
      </c>
      <c r="I144" s="8">
        <v>204901.3792</v>
      </c>
      <c r="J144" s="8">
        <v>366095.45760000002</v>
      </c>
      <c r="K144" s="8" t="s">
        <v>159</v>
      </c>
      <c r="L144" s="8" t="s">
        <v>81</v>
      </c>
      <c r="M144">
        <v>3.5</v>
      </c>
      <c r="N144">
        <v>70</v>
      </c>
    </row>
    <row r="145" spans="1:14" ht="16" x14ac:dyDescent="0.2">
      <c r="A145" t="s">
        <v>183</v>
      </c>
      <c r="B145" s="2">
        <v>1.9525309829999999</v>
      </c>
      <c r="C145">
        <v>10</v>
      </c>
      <c r="D145" s="2">
        <v>29.788400209999999</v>
      </c>
      <c r="E145" s="2">
        <v>1.370903239</v>
      </c>
      <c r="F145" s="3">
        <v>0.19720782000000001</v>
      </c>
      <c r="G145">
        <v>-25.7</v>
      </c>
      <c r="H145">
        <v>3.2000000000000001E-2</v>
      </c>
      <c r="I145" s="8">
        <v>204901.3792</v>
      </c>
      <c r="J145" s="8">
        <v>366095.45760000002</v>
      </c>
      <c r="K145" s="8" t="s">
        <v>159</v>
      </c>
      <c r="L145" s="8" t="s">
        <v>81</v>
      </c>
      <c r="M145">
        <v>3.4</v>
      </c>
      <c r="N145">
        <v>80</v>
      </c>
    </row>
    <row r="146" spans="1:14" ht="16" x14ac:dyDescent="0.2">
      <c r="A146" t="s">
        <v>184</v>
      </c>
      <c r="B146" s="2">
        <v>0.96174669700000004</v>
      </c>
      <c r="C146">
        <v>10</v>
      </c>
      <c r="D146" s="2">
        <v>4.9789225999999999E-2</v>
      </c>
      <c r="E146" s="2">
        <v>0.96126785100000001</v>
      </c>
      <c r="F146" s="3">
        <v>1.5320380579999999</v>
      </c>
      <c r="G146">
        <v>-23</v>
      </c>
      <c r="H146">
        <v>0.155</v>
      </c>
      <c r="I146" s="8">
        <v>206931.37650000001</v>
      </c>
      <c r="J146" s="8">
        <v>367492.66369999998</v>
      </c>
      <c r="K146" s="8" t="s">
        <v>21</v>
      </c>
      <c r="L146" s="8" t="s">
        <v>43</v>
      </c>
      <c r="M146">
        <v>6</v>
      </c>
      <c r="N146">
        <v>10</v>
      </c>
    </row>
    <row r="147" spans="1:14" ht="16" x14ac:dyDescent="0.2">
      <c r="A147" t="s">
        <v>193</v>
      </c>
      <c r="B147" s="2">
        <v>1.977074443</v>
      </c>
      <c r="C147">
        <v>3.5</v>
      </c>
      <c r="D147" s="2">
        <v>0</v>
      </c>
      <c r="E147" s="2">
        <v>1.977074443</v>
      </c>
      <c r="F147" s="3">
        <v>0.18720889800000001</v>
      </c>
      <c r="G147">
        <v>-26.2</v>
      </c>
      <c r="H147">
        <v>5.0999999999999997E-2</v>
      </c>
      <c r="I147" s="8">
        <v>206931.37650000001</v>
      </c>
      <c r="J147" s="8">
        <v>367492.66369999998</v>
      </c>
      <c r="K147" s="8" t="s">
        <v>21</v>
      </c>
      <c r="L147" s="8" t="s">
        <v>43</v>
      </c>
      <c r="M147">
        <v>2.8</v>
      </c>
      <c r="N147">
        <v>93.5</v>
      </c>
    </row>
    <row r="148" spans="1:14" ht="16" x14ac:dyDescent="0.2">
      <c r="A148" t="s">
        <v>185</v>
      </c>
      <c r="B148" s="2">
        <v>1.36274523</v>
      </c>
      <c r="C148">
        <v>10</v>
      </c>
      <c r="D148" s="2">
        <v>0.10420974299999999</v>
      </c>
      <c r="E148" s="2">
        <v>1.361325117</v>
      </c>
      <c r="F148" s="3">
        <v>1.2623174770000001</v>
      </c>
      <c r="G148">
        <v>-23.7</v>
      </c>
      <c r="H148">
        <v>0.14000000000000001</v>
      </c>
      <c r="I148" s="8">
        <v>206931.37650000001</v>
      </c>
      <c r="J148" s="8">
        <v>367492.66369999998</v>
      </c>
      <c r="K148" s="8" t="s">
        <v>21</v>
      </c>
      <c r="L148" s="8" t="s">
        <v>43</v>
      </c>
      <c r="M148">
        <v>6.5</v>
      </c>
      <c r="N148">
        <v>20</v>
      </c>
    </row>
    <row r="149" spans="1:14" ht="16" x14ac:dyDescent="0.2">
      <c r="A149" t="s">
        <v>186</v>
      </c>
      <c r="B149" s="2">
        <v>1.2046980439999999</v>
      </c>
      <c r="C149">
        <v>10</v>
      </c>
      <c r="D149" s="2">
        <v>3.6603829999999997E-2</v>
      </c>
      <c r="E149" s="2">
        <v>1.204257079</v>
      </c>
      <c r="F149" s="3">
        <v>1.6298863379999999</v>
      </c>
      <c r="G149">
        <v>-24.8</v>
      </c>
      <c r="H149">
        <v>0.16</v>
      </c>
      <c r="I149" s="8">
        <v>206931.37650000001</v>
      </c>
      <c r="J149" s="8">
        <v>367492.66369999998</v>
      </c>
      <c r="K149" s="8" t="s">
        <v>21</v>
      </c>
      <c r="L149" s="8" t="s">
        <v>43</v>
      </c>
      <c r="M149">
        <v>6.1</v>
      </c>
      <c r="N149">
        <v>30</v>
      </c>
    </row>
    <row r="150" spans="1:14" ht="16" x14ac:dyDescent="0.2">
      <c r="A150" t="s">
        <v>187</v>
      </c>
      <c r="B150" s="2">
        <v>1.6036968140000001</v>
      </c>
      <c r="C150">
        <v>10</v>
      </c>
      <c r="D150" s="2">
        <v>0</v>
      </c>
      <c r="E150" s="2">
        <v>1.6036968140000001</v>
      </c>
      <c r="F150" s="3">
        <v>0.48981384300000003</v>
      </c>
      <c r="G150">
        <v>-23.6</v>
      </c>
      <c r="H150">
        <v>6.7000000000000004E-2</v>
      </c>
      <c r="I150" s="8">
        <v>206931.37650000001</v>
      </c>
      <c r="J150" s="8">
        <v>367492.66369999998</v>
      </c>
      <c r="K150" s="8" t="s">
        <v>21</v>
      </c>
      <c r="L150" s="8" t="s">
        <v>43</v>
      </c>
      <c r="M150">
        <v>6.4</v>
      </c>
      <c r="N150">
        <v>40</v>
      </c>
    </row>
    <row r="151" spans="1:14" ht="16" x14ac:dyDescent="0.2">
      <c r="A151" t="s">
        <v>188</v>
      </c>
      <c r="B151" s="2">
        <v>1.488292186</v>
      </c>
      <c r="C151">
        <v>10</v>
      </c>
      <c r="D151" s="2">
        <v>0.86419352699999996</v>
      </c>
      <c r="E151" s="2">
        <v>1.4754304620000001</v>
      </c>
      <c r="F151" s="3">
        <v>0.311351663</v>
      </c>
      <c r="G151">
        <v>-23.2</v>
      </c>
      <c r="H151">
        <v>5.8999999999999997E-2</v>
      </c>
      <c r="I151" s="8">
        <v>206931.37650000001</v>
      </c>
      <c r="J151" s="8">
        <v>367492.66369999998</v>
      </c>
      <c r="K151" s="8" t="s">
        <v>21</v>
      </c>
      <c r="L151" s="8" t="s">
        <v>43</v>
      </c>
      <c r="M151">
        <v>5.4</v>
      </c>
      <c r="N151">
        <v>50</v>
      </c>
    </row>
    <row r="152" spans="1:14" ht="16" x14ac:dyDescent="0.2">
      <c r="A152" t="s">
        <v>189</v>
      </c>
      <c r="B152" s="2">
        <v>1.576278869</v>
      </c>
      <c r="C152">
        <v>10</v>
      </c>
      <c r="D152" s="2">
        <v>4.7597915950000003</v>
      </c>
      <c r="E152" s="2">
        <v>1.50125128</v>
      </c>
      <c r="F152" s="3">
        <v>0.19967794699999999</v>
      </c>
      <c r="G152">
        <v>-22.85</v>
      </c>
      <c r="H152">
        <v>4.9500000000000002E-2</v>
      </c>
      <c r="I152" s="8">
        <v>206931.37650000001</v>
      </c>
      <c r="J152" s="8">
        <v>367492.66369999998</v>
      </c>
      <c r="K152" s="8" t="s">
        <v>21</v>
      </c>
      <c r="L152" s="8" t="s">
        <v>43</v>
      </c>
      <c r="M152">
        <v>3.9</v>
      </c>
      <c r="N152">
        <v>60</v>
      </c>
    </row>
    <row r="153" spans="1:14" ht="16" x14ac:dyDescent="0.2">
      <c r="A153" t="s">
        <v>190</v>
      </c>
      <c r="B153" s="2">
        <v>1.660014004</v>
      </c>
      <c r="C153">
        <v>10</v>
      </c>
      <c r="D153" s="2">
        <v>0</v>
      </c>
      <c r="E153" s="2">
        <v>1.660014004</v>
      </c>
      <c r="F153" s="3">
        <v>0.15194749900000001</v>
      </c>
      <c r="G153">
        <v>-23.6</v>
      </c>
      <c r="H153">
        <v>4.5999999999999999E-2</v>
      </c>
      <c r="I153" s="8">
        <v>206931.37650000001</v>
      </c>
      <c r="J153" s="8">
        <v>367492.66369999998</v>
      </c>
      <c r="K153" s="8" t="s">
        <v>21</v>
      </c>
      <c r="L153" s="8" t="s">
        <v>43</v>
      </c>
      <c r="M153">
        <v>3.7</v>
      </c>
      <c r="N153">
        <v>70</v>
      </c>
    </row>
    <row r="154" spans="1:14" ht="16" x14ac:dyDescent="0.2">
      <c r="A154" t="s">
        <v>191</v>
      </c>
      <c r="B154" s="2">
        <v>1.6223391359999999</v>
      </c>
      <c r="C154">
        <v>10</v>
      </c>
      <c r="D154" s="2">
        <v>14.77178423</v>
      </c>
      <c r="E154" s="2">
        <v>1.3826906990000001</v>
      </c>
      <c r="F154" s="3">
        <v>0.152975849</v>
      </c>
      <c r="G154">
        <v>-24.5</v>
      </c>
      <c r="H154">
        <v>4.5999999999999999E-2</v>
      </c>
      <c r="I154" s="8">
        <v>206931.37650000001</v>
      </c>
      <c r="J154" s="8">
        <v>367492.66369999998</v>
      </c>
      <c r="K154" s="8" t="s">
        <v>21</v>
      </c>
      <c r="L154" s="8" t="s">
        <v>43</v>
      </c>
      <c r="M154">
        <v>3</v>
      </c>
      <c r="N154">
        <v>80</v>
      </c>
    </row>
    <row r="155" spans="1:14" ht="16" x14ac:dyDescent="0.2">
      <c r="A155" t="s">
        <v>192</v>
      </c>
      <c r="B155" s="2">
        <v>1.5311087640000001</v>
      </c>
      <c r="C155">
        <v>10</v>
      </c>
      <c r="D155" s="2">
        <v>0</v>
      </c>
      <c r="E155" s="2">
        <v>1.5311087640000001</v>
      </c>
      <c r="F155" s="3">
        <v>0.197067781</v>
      </c>
      <c r="G155">
        <v>-25.1</v>
      </c>
      <c r="H155">
        <v>5.1999999999999998E-2</v>
      </c>
      <c r="I155" s="8">
        <v>206931.37650000001</v>
      </c>
      <c r="J155" s="8">
        <v>367492.66369999998</v>
      </c>
      <c r="K155" s="8" t="s">
        <v>21</v>
      </c>
      <c r="L155" s="8" t="s">
        <v>43</v>
      </c>
      <c r="M155">
        <v>3.5</v>
      </c>
      <c r="N155">
        <v>90</v>
      </c>
    </row>
    <row r="156" spans="1:14" ht="16" x14ac:dyDescent="0.2">
      <c r="A156" t="s">
        <v>194</v>
      </c>
      <c r="B156" s="2">
        <v>1.0259503219999999</v>
      </c>
      <c r="C156">
        <v>10</v>
      </c>
      <c r="D156" s="2">
        <v>0.103113358</v>
      </c>
      <c r="E156" s="2">
        <v>1.02489243</v>
      </c>
      <c r="F156" s="3">
        <v>1.579307268</v>
      </c>
      <c r="G156">
        <v>-22.5</v>
      </c>
      <c r="H156">
        <v>0.15</v>
      </c>
      <c r="I156" s="8">
        <v>206923.56589999999</v>
      </c>
      <c r="J156" s="8">
        <v>367504.7965</v>
      </c>
      <c r="K156" s="8" t="s">
        <v>21</v>
      </c>
      <c r="L156" s="8" t="s">
        <v>68</v>
      </c>
      <c r="M156">
        <v>5</v>
      </c>
      <c r="N156">
        <v>10</v>
      </c>
    </row>
    <row r="157" spans="1:14" ht="16" x14ac:dyDescent="0.2">
      <c r="A157" t="s">
        <v>203</v>
      </c>
      <c r="B157" s="2">
        <v>1.34666197</v>
      </c>
      <c r="C157">
        <v>10</v>
      </c>
      <c r="D157" s="2">
        <v>0</v>
      </c>
      <c r="E157" s="2">
        <v>1.34666197</v>
      </c>
      <c r="F157" s="3">
        <v>0.15525071800000001</v>
      </c>
      <c r="G157">
        <v>-25.5</v>
      </c>
      <c r="H157">
        <v>5.3999999999999999E-2</v>
      </c>
      <c r="I157" s="8">
        <v>206923.56589999999</v>
      </c>
      <c r="J157" s="8">
        <v>367504.7965</v>
      </c>
      <c r="K157" s="8" t="s">
        <v>21</v>
      </c>
      <c r="L157" s="8" t="s">
        <v>68</v>
      </c>
      <c r="M157">
        <v>3.2</v>
      </c>
      <c r="N157">
        <v>100</v>
      </c>
    </row>
    <row r="158" spans="1:14" ht="16" x14ac:dyDescent="0.2">
      <c r="A158" t="s">
        <v>204</v>
      </c>
      <c r="B158" s="2">
        <v>1.1804865019999999</v>
      </c>
      <c r="C158">
        <v>10</v>
      </c>
      <c r="D158" s="2">
        <v>0</v>
      </c>
      <c r="E158" s="2">
        <v>1.1804865019999999</v>
      </c>
      <c r="F158" s="3">
        <v>0.114277873</v>
      </c>
      <c r="G158">
        <v>-27.1</v>
      </c>
      <c r="H158">
        <v>4.5999999999999999E-2</v>
      </c>
      <c r="I158" s="8">
        <v>206923.56589999999</v>
      </c>
      <c r="J158" s="8">
        <v>367504.7965</v>
      </c>
      <c r="K158" s="8" t="s">
        <v>21</v>
      </c>
      <c r="L158" s="8" t="s">
        <v>68</v>
      </c>
      <c r="M158">
        <v>1.8</v>
      </c>
      <c r="N158">
        <v>110</v>
      </c>
    </row>
    <row r="159" spans="1:14" ht="16" x14ac:dyDescent="0.2">
      <c r="A159" t="s">
        <v>205</v>
      </c>
      <c r="B159" s="2">
        <v>1.437645254</v>
      </c>
      <c r="C159">
        <v>10</v>
      </c>
      <c r="D159" s="2">
        <v>0</v>
      </c>
      <c r="E159" s="2">
        <v>1.437645254</v>
      </c>
      <c r="F159" s="3">
        <v>9.9863162000000005E-2</v>
      </c>
      <c r="G159">
        <v>-26.7</v>
      </c>
      <c r="H159">
        <v>5.3999999999999999E-2</v>
      </c>
      <c r="I159" s="8">
        <v>206923.56589999999</v>
      </c>
      <c r="J159" s="8">
        <v>367504.7965</v>
      </c>
      <c r="K159" s="8" t="s">
        <v>21</v>
      </c>
      <c r="L159" s="8" t="s">
        <v>68</v>
      </c>
      <c r="M159">
        <v>1.8</v>
      </c>
      <c r="N159">
        <v>120</v>
      </c>
    </row>
    <row r="160" spans="1:14" ht="16" x14ac:dyDescent="0.2">
      <c r="A160" t="s">
        <v>195</v>
      </c>
      <c r="B160" s="2">
        <v>1.381392969</v>
      </c>
      <c r="C160">
        <v>10</v>
      </c>
      <c r="D160" s="2">
        <v>1.6598610000000001E-3</v>
      </c>
      <c r="E160" s="2">
        <v>1.38137004</v>
      </c>
      <c r="F160" s="3">
        <v>0.88497864599999998</v>
      </c>
      <c r="G160">
        <v>-24.5</v>
      </c>
      <c r="H160">
        <v>0.11</v>
      </c>
      <c r="I160" s="8">
        <v>206923.56589999999</v>
      </c>
      <c r="J160" s="8">
        <v>367504.7965</v>
      </c>
      <c r="K160" s="8" t="s">
        <v>21</v>
      </c>
      <c r="L160" s="8" t="s">
        <v>68</v>
      </c>
      <c r="M160">
        <v>5.7</v>
      </c>
      <c r="N160">
        <v>20</v>
      </c>
    </row>
    <row r="161" spans="1:14" ht="16" x14ac:dyDescent="0.2">
      <c r="A161" t="s">
        <v>196</v>
      </c>
      <c r="B161" s="2">
        <v>1.3316104520000001</v>
      </c>
      <c r="C161">
        <v>10</v>
      </c>
      <c r="D161" s="2">
        <v>6.7676868000000001E-2</v>
      </c>
      <c r="E161" s="2">
        <v>1.3307092599999999</v>
      </c>
      <c r="F161" s="3">
        <v>0.72038069199999999</v>
      </c>
      <c r="G161">
        <v>-24.25</v>
      </c>
      <c r="H161">
        <v>9.1999999999999998E-2</v>
      </c>
      <c r="I161" s="8">
        <v>206923.56589999999</v>
      </c>
      <c r="J161" s="8">
        <v>367504.7965</v>
      </c>
      <c r="K161" s="8" t="s">
        <v>21</v>
      </c>
      <c r="L161" s="8" t="s">
        <v>68</v>
      </c>
      <c r="M161">
        <v>6.05</v>
      </c>
      <c r="N161">
        <v>30</v>
      </c>
    </row>
    <row r="162" spans="1:14" ht="16" x14ac:dyDescent="0.2">
      <c r="A162" t="s">
        <v>197</v>
      </c>
      <c r="B162" s="2">
        <v>1.5249433020000001</v>
      </c>
      <c r="C162">
        <v>10</v>
      </c>
      <c r="D162" s="2">
        <v>0.117239102</v>
      </c>
      <c r="E162" s="2">
        <v>1.523155472</v>
      </c>
      <c r="F162" s="3">
        <v>0.22573389599999999</v>
      </c>
      <c r="G162">
        <v>-23.7</v>
      </c>
      <c r="H162">
        <v>4.7E-2</v>
      </c>
      <c r="I162" s="8">
        <v>206923.56589999999</v>
      </c>
      <c r="J162" s="8">
        <v>367504.7965</v>
      </c>
      <c r="K162" s="8" t="s">
        <v>21</v>
      </c>
      <c r="L162" s="8" t="s">
        <v>68</v>
      </c>
      <c r="M162">
        <v>4.9000000000000004</v>
      </c>
      <c r="N162">
        <v>40</v>
      </c>
    </row>
    <row r="163" spans="1:14" ht="16" x14ac:dyDescent="0.2">
      <c r="A163" t="s">
        <v>198</v>
      </c>
      <c r="B163" s="2">
        <v>1.5465520589999999</v>
      </c>
      <c r="C163">
        <v>10</v>
      </c>
      <c r="D163" s="2">
        <v>6.2438302070000002</v>
      </c>
      <c r="E163" s="2">
        <v>1.4499879739999999</v>
      </c>
      <c r="F163" s="3">
        <v>0.14312725100000001</v>
      </c>
      <c r="G163">
        <v>-24.1</v>
      </c>
      <c r="H163">
        <v>4.2000000000000003E-2</v>
      </c>
      <c r="I163" s="8">
        <v>206923.56589999999</v>
      </c>
      <c r="J163" s="8">
        <v>367504.7965</v>
      </c>
      <c r="K163" s="8" t="s">
        <v>21</v>
      </c>
      <c r="L163" s="8" t="s">
        <v>68</v>
      </c>
      <c r="M163">
        <v>4</v>
      </c>
      <c r="N163">
        <v>50</v>
      </c>
    </row>
    <row r="164" spans="1:14" ht="16" x14ac:dyDescent="0.2">
      <c r="A164" t="s">
        <v>199</v>
      </c>
      <c r="B164" s="2">
        <v>1.4372318340000001</v>
      </c>
      <c r="C164">
        <v>10</v>
      </c>
      <c r="D164" s="2">
        <v>0.64319397499999997</v>
      </c>
      <c r="E164" s="2">
        <v>1.4279876460000001</v>
      </c>
      <c r="F164" s="3">
        <v>0.16635124500000001</v>
      </c>
      <c r="G164">
        <v>-24.9</v>
      </c>
      <c r="H164">
        <v>4.7E-2</v>
      </c>
      <c r="I164" s="8">
        <v>206923.56589999999</v>
      </c>
      <c r="J164" s="8">
        <v>367504.7965</v>
      </c>
      <c r="K164" s="8" t="s">
        <v>21</v>
      </c>
      <c r="L164" s="8" t="s">
        <v>68</v>
      </c>
      <c r="M164">
        <v>4</v>
      </c>
      <c r="N164">
        <v>60</v>
      </c>
    </row>
    <row r="165" spans="1:14" ht="16" x14ac:dyDescent="0.2">
      <c r="A165" t="s">
        <v>200</v>
      </c>
      <c r="B165" s="2">
        <v>1.4069018149999999</v>
      </c>
      <c r="C165">
        <v>10</v>
      </c>
      <c r="D165" s="2">
        <v>0.965074294</v>
      </c>
      <c r="E165" s="2">
        <v>1.3933241670000001</v>
      </c>
      <c r="F165" s="3">
        <v>0.14562130700000001</v>
      </c>
      <c r="G165">
        <v>-25.8</v>
      </c>
      <c r="H165">
        <v>4.9000000000000002E-2</v>
      </c>
      <c r="I165" s="8">
        <v>206923.56589999999</v>
      </c>
      <c r="J165" s="8">
        <v>367504.7965</v>
      </c>
      <c r="K165" s="8" t="s">
        <v>21</v>
      </c>
      <c r="L165" s="8" t="s">
        <v>68</v>
      </c>
      <c r="M165">
        <v>2.8</v>
      </c>
      <c r="N165">
        <v>70</v>
      </c>
    </row>
    <row r="166" spans="1:14" ht="16" x14ac:dyDescent="0.2">
      <c r="A166" t="s">
        <v>201</v>
      </c>
      <c r="B166" s="2">
        <v>1.6433914220000001</v>
      </c>
      <c r="C166">
        <v>10</v>
      </c>
      <c r="D166" s="2">
        <v>3.4695952139999999</v>
      </c>
      <c r="E166" s="2">
        <v>1.586372391</v>
      </c>
      <c r="F166" s="3">
        <v>0.19181061899999999</v>
      </c>
      <c r="G166">
        <v>-24.8</v>
      </c>
      <c r="H166">
        <v>5.7000000000000002E-2</v>
      </c>
      <c r="I166" s="8">
        <v>206923.56589999999</v>
      </c>
      <c r="J166" s="8">
        <v>367504.7965</v>
      </c>
      <c r="K166" s="8" t="s">
        <v>21</v>
      </c>
      <c r="L166" s="8" t="s">
        <v>68</v>
      </c>
      <c r="M166">
        <v>3.5</v>
      </c>
      <c r="N166">
        <v>80</v>
      </c>
    </row>
    <row r="167" spans="1:14" ht="16" x14ac:dyDescent="0.2">
      <c r="A167" t="s">
        <v>202</v>
      </c>
      <c r="B167" s="2">
        <v>1.4993501440000001</v>
      </c>
      <c r="C167">
        <v>10</v>
      </c>
      <c r="D167" s="2">
        <v>0</v>
      </c>
      <c r="E167" s="2">
        <v>1.4993501440000001</v>
      </c>
      <c r="F167" s="3">
        <v>0.14345925300000001</v>
      </c>
      <c r="G167">
        <v>-25.2</v>
      </c>
      <c r="H167">
        <v>4.7E-2</v>
      </c>
      <c r="I167" s="8">
        <v>206923.56589999999</v>
      </c>
      <c r="J167" s="8">
        <v>367504.7965</v>
      </c>
      <c r="K167" s="8" t="s">
        <v>21</v>
      </c>
      <c r="L167" s="8" t="s">
        <v>68</v>
      </c>
      <c r="M167">
        <v>3.2</v>
      </c>
      <c r="N167">
        <v>90</v>
      </c>
    </row>
    <row r="168" spans="1:14" ht="16" x14ac:dyDescent="0.2">
      <c r="A168" t="s">
        <v>206</v>
      </c>
      <c r="B168" s="2">
        <v>1.184002617</v>
      </c>
      <c r="C168">
        <v>10</v>
      </c>
      <c r="D168" s="2">
        <v>0.16949715800000001</v>
      </c>
      <c r="E168" s="2">
        <v>1.181995766</v>
      </c>
      <c r="F168" s="3">
        <v>1.540078498</v>
      </c>
      <c r="G168">
        <v>-23.8</v>
      </c>
      <c r="H168">
        <v>0.15</v>
      </c>
      <c r="I168" s="8">
        <v>206915.6103</v>
      </c>
      <c r="J168" s="8">
        <v>367492.70419999998</v>
      </c>
      <c r="K168" s="8" t="s">
        <v>21</v>
      </c>
      <c r="L168" s="8" t="s">
        <v>81</v>
      </c>
      <c r="M168">
        <v>6.6</v>
      </c>
      <c r="N168">
        <v>10</v>
      </c>
    </row>
    <row r="169" spans="1:14" ht="16" x14ac:dyDescent="0.2">
      <c r="A169" t="s">
        <v>215</v>
      </c>
      <c r="B169" s="2">
        <v>1.3622280309999999</v>
      </c>
      <c r="C169">
        <v>10</v>
      </c>
      <c r="D169" s="2">
        <v>0</v>
      </c>
      <c r="E169" s="2">
        <v>1.3622280309999999</v>
      </c>
      <c r="F169" s="3">
        <v>0.114705026</v>
      </c>
      <c r="G169">
        <v>-25.7</v>
      </c>
      <c r="H169">
        <v>4.7E-2</v>
      </c>
      <c r="I169" s="8">
        <v>206915.6103</v>
      </c>
      <c r="J169" s="8">
        <v>367492.70419999998</v>
      </c>
      <c r="K169" s="8" t="s">
        <v>21</v>
      </c>
      <c r="L169" s="8" t="s">
        <v>81</v>
      </c>
      <c r="M169">
        <v>2.1</v>
      </c>
      <c r="N169">
        <v>100</v>
      </c>
    </row>
    <row r="170" spans="1:14" ht="16" x14ac:dyDescent="0.2">
      <c r="A170" t="s">
        <v>216</v>
      </c>
      <c r="B170" s="2">
        <v>1.4293405960000001</v>
      </c>
      <c r="C170">
        <v>10</v>
      </c>
      <c r="D170" s="2">
        <v>0</v>
      </c>
      <c r="E170" s="2">
        <v>1.4293405960000001</v>
      </c>
      <c r="F170" s="3">
        <v>0.13117405400000001</v>
      </c>
      <c r="G170">
        <v>-25.2</v>
      </c>
      <c r="H170">
        <v>4.8000000000000001E-2</v>
      </c>
      <c r="I170" s="8">
        <v>206915.6103</v>
      </c>
      <c r="J170" s="8">
        <v>367492.70419999998</v>
      </c>
      <c r="K170" s="8" t="s">
        <v>21</v>
      </c>
      <c r="L170" s="8" t="s">
        <v>81</v>
      </c>
      <c r="M170">
        <v>1.6</v>
      </c>
      <c r="N170">
        <v>110</v>
      </c>
    </row>
    <row r="171" spans="1:14" ht="16" x14ac:dyDescent="0.2">
      <c r="A171" t="s">
        <v>217</v>
      </c>
      <c r="B171" s="2">
        <v>0.989365194</v>
      </c>
      <c r="C171">
        <v>5</v>
      </c>
      <c r="D171" s="2">
        <v>0</v>
      </c>
      <c r="E171" s="2">
        <v>0.989365194</v>
      </c>
      <c r="F171" s="3">
        <v>0.15579957899999999</v>
      </c>
      <c r="G171">
        <v>-25.1</v>
      </c>
      <c r="H171">
        <v>6.0999999999999999E-2</v>
      </c>
      <c r="I171" s="8">
        <v>206915.6103</v>
      </c>
      <c r="J171" s="8">
        <v>367492.70419999998</v>
      </c>
      <c r="K171" s="8" t="s">
        <v>21</v>
      </c>
      <c r="L171" s="8" t="s">
        <v>81</v>
      </c>
      <c r="M171">
        <v>1.8</v>
      </c>
      <c r="N171">
        <v>120</v>
      </c>
    </row>
    <row r="172" spans="1:14" ht="16" x14ac:dyDescent="0.2">
      <c r="A172" t="s">
        <v>207</v>
      </c>
      <c r="B172" s="2">
        <v>1.3794070620000001</v>
      </c>
      <c r="C172">
        <v>10</v>
      </c>
      <c r="D172" s="2">
        <v>1.4943216E-2</v>
      </c>
      <c r="E172" s="2">
        <v>1.379200934</v>
      </c>
      <c r="F172" s="3">
        <v>0.95437481800000001</v>
      </c>
      <c r="G172">
        <v>-23.45</v>
      </c>
      <c r="H172">
        <v>0.11</v>
      </c>
      <c r="I172" s="8">
        <v>206915.6103</v>
      </c>
      <c r="J172" s="8">
        <v>367492.70419999998</v>
      </c>
      <c r="K172" s="8" t="s">
        <v>21</v>
      </c>
      <c r="L172" s="8" t="s">
        <v>81</v>
      </c>
      <c r="M172">
        <v>6.6</v>
      </c>
      <c r="N172">
        <v>20</v>
      </c>
    </row>
    <row r="173" spans="1:14" ht="16" x14ac:dyDescent="0.2">
      <c r="A173" t="s">
        <v>208</v>
      </c>
      <c r="B173" s="2">
        <v>1.364757665</v>
      </c>
      <c r="C173">
        <v>10</v>
      </c>
      <c r="D173" s="2">
        <v>0.10103185000000001</v>
      </c>
      <c r="E173" s="2">
        <v>1.3633788250000001</v>
      </c>
      <c r="F173" s="3">
        <v>0.90053135600000001</v>
      </c>
      <c r="G173">
        <v>-23.7</v>
      </c>
      <c r="H173">
        <v>0.1</v>
      </c>
      <c r="I173" s="8">
        <v>206915.6103</v>
      </c>
      <c r="J173" s="8">
        <v>367492.70419999998</v>
      </c>
      <c r="K173" s="8" t="s">
        <v>21</v>
      </c>
      <c r="L173" s="8" t="s">
        <v>81</v>
      </c>
      <c r="M173">
        <v>6.6</v>
      </c>
      <c r="N173">
        <v>30</v>
      </c>
    </row>
    <row r="174" spans="1:14" ht="16" x14ac:dyDescent="0.2">
      <c r="A174" t="s">
        <v>209</v>
      </c>
      <c r="B174" s="2">
        <v>1.534629069</v>
      </c>
      <c r="C174">
        <v>10</v>
      </c>
      <c r="D174" s="2">
        <v>0</v>
      </c>
      <c r="E174" s="2">
        <v>1.534629069</v>
      </c>
      <c r="F174" s="3">
        <v>0.31464378500000001</v>
      </c>
      <c r="G174">
        <v>-22.5</v>
      </c>
      <c r="H174">
        <v>4.8000000000000001E-2</v>
      </c>
      <c r="I174" s="8">
        <v>206915.6103</v>
      </c>
      <c r="J174" s="8">
        <v>367492.70419999998</v>
      </c>
      <c r="K174" s="8" t="s">
        <v>21</v>
      </c>
      <c r="L174" s="8" t="s">
        <v>81</v>
      </c>
      <c r="M174">
        <v>7</v>
      </c>
      <c r="N174">
        <v>40</v>
      </c>
    </row>
    <row r="175" spans="1:14" ht="16" x14ac:dyDescent="0.2">
      <c r="A175" t="s">
        <v>210</v>
      </c>
      <c r="B175" s="2">
        <v>1.6534637590000001</v>
      </c>
      <c r="C175">
        <v>10</v>
      </c>
      <c r="D175" s="2">
        <v>6.115191598</v>
      </c>
      <c r="E175" s="2">
        <v>1.5523512820000001</v>
      </c>
      <c r="F175" s="3">
        <v>0.22903939800000001</v>
      </c>
      <c r="G175">
        <v>-22.8</v>
      </c>
      <c r="H175">
        <v>4.4999999999999998E-2</v>
      </c>
      <c r="I175" s="8">
        <v>206915.6103</v>
      </c>
      <c r="J175" s="8">
        <v>367492.70419999998</v>
      </c>
      <c r="K175" s="8" t="s">
        <v>21</v>
      </c>
      <c r="L175" s="8" t="s">
        <v>81</v>
      </c>
      <c r="M175">
        <v>5.7</v>
      </c>
      <c r="N175">
        <v>50</v>
      </c>
    </row>
    <row r="176" spans="1:14" ht="16" x14ac:dyDescent="0.2">
      <c r="A176" t="s">
        <v>211</v>
      </c>
      <c r="B176" s="2">
        <v>1.368838558</v>
      </c>
      <c r="C176">
        <v>10</v>
      </c>
      <c r="D176" s="2">
        <v>0</v>
      </c>
      <c r="E176" s="2">
        <v>1.368838558</v>
      </c>
      <c r="F176" s="3">
        <v>0.14717201099999999</v>
      </c>
      <c r="G176">
        <v>-23.2</v>
      </c>
      <c r="H176">
        <v>3.9E-2</v>
      </c>
      <c r="I176" s="8">
        <v>206915.6103</v>
      </c>
      <c r="J176" s="8">
        <v>367492.70419999998</v>
      </c>
      <c r="K176" s="8" t="s">
        <v>21</v>
      </c>
      <c r="L176" s="8" t="s">
        <v>81</v>
      </c>
      <c r="M176">
        <v>3.1</v>
      </c>
      <c r="N176">
        <v>60</v>
      </c>
    </row>
    <row r="177" spans="1:14" ht="16" x14ac:dyDescent="0.2">
      <c r="A177" t="s">
        <v>212</v>
      </c>
      <c r="B177" s="2">
        <v>1.641433463</v>
      </c>
      <c r="C177">
        <v>10</v>
      </c>
      <c r="D177" s="2">
        <v>1.262316292</v>
      </c>
      <c r="E177" s="2">
        <v>1.6207133810000001</v>
      </c>
      <c r="F177" s="3">
        <v>0.14321737300000001</v>
      </c>
      <c r="G177">
        <v>-24.1</v>
      </c>
      <c r="H177">
        <v>4.4999999999999998E-2</v>
      </c>
      <c r="I177" s="8">
        <v>206915.6103</v>
      </c>
      <c r="J177" s="8">
        <v>367492.70419999998</v>
      </c>
      <c r="K177" s="8" t="s">
        <v>21</v>
      </c>
      <c r="L177" s="8" t="s">
        <v>81</v>
      </c>
      <c r="M177">
        <v>2.6</v>
      </c>
      <c r="N177">
        <v>70</v>
      </c>
    </row>
    <row r="178" spans="1:14" ht="16" x14ac:dyDescent="0.2">
      <c r="A178" t="s">
        <v>213</v>
      </c>
      <c r="B178" s="2">
        <v>1.4860506389999999</v>
      </c>
      <c r="C178">
        <v>10</v>
      </c>
      <c r="D178" s="2">
        <v>0</v>
      </c>
      <c r="E178" s="2">
        <v>1.4860506389999999</v>
      </c>
      <c r="F178" s="3">
        <v>0.12670730499999999</v>
      </c>
      <c r="G178">
        <v>-24.4</v>
      </c>
      <c r="H178">
        <v>4.7E-2</v>
      </c>
      <c r="I178" s="8">
        <v>206915.6103</v>
      </c>
      <c r="J178" s="8">
        <v>367492.70419999998</v>
      </c>
      <c r="K178" s="8" t="s">
        <v>21</v>
      </c>
      <c r="L178" s="8" t="s">
        <v>81</v>
      </c>
      <c r="M178">
        <v>2.7</v>
      </c>
      <c r="N178">
        <v>80</v>
      </c>
    </row>
    <row r="179" spans="1:14" ht="16" x14ac:dyDescent="0.2">
      <c r="A179" t="s">
        <v>214</v>
      </c>
      <c r="B179" s="2">
        <v>1.510681478</v>
      </c>
      <c r="C179">
        <v>10</v>
      </c>
      <c r="D179" s="2">
        <v>0</v>
      </c>
      <c r="E179" s="2">
        <v>1.510681478</v>
      </c>
      <c r="F179" s="3">
        <v>0.11788053800000001</v>
      </c>
      <c r="G179">
        <v>-24.6</v>
      </c>
      <c r="H179">
        <v>4.7E-2</v>
      </c>
      <c r="I179" s="8">
        <v>206915.6103</v>
      </c>
      <c r="J179" s="8">
        <v>367492.70419999998</v>
      </c>
      <c r="K179" s="8" t="s">
        <v>21</v>
      </c>
      <c r="L179" s="8" t="s">
        <v>81</v>
      </c>
      <c r="M179">
        <v>2.2999999999999998</v>
      </c>
      <c r="N179">
        <v>90</v>
      </c>
    </row>
    <row r="180" spans="1:14" ht="16" x14ac:dyDescent="0.2">
      <c r="A180" t="s">
        <v>218</v>
      </c>
      <c r="B180" s="2">
        <v>1.071487096</v>
      </c>
      <c r="C180">
        <v>10</v>
      </c>
      <c r="D180" s="2">
        <v>1.214715985</v>
      </c>
      <c r="E180" s="2">
        <v>1.0584715710000001</v>
      </c>
      <c r="F180" s="3">
        <v>2.611895418</v>
      </c>
      <c r="G180">
        <v>-26.3</v>
      </c>
      <c r="H180">
        <v>0.26</v>
      </c>
      <c r="I180" s="8">
        <v>207137.93659999999</v>
      </c>
      <c r="J180" s="8">
        <v>366992.40720000002</v>
      </c>
      <c r="K180" s="8" t="s">
        <v>219</v>
      </c>
      <c r="L180" s="8" t="s">
        <v>43</v>
      </c>
      <c r="M180">
        <v>7</v>
      </c>
      <c r="N180">
        <v>10</v>
      </c>
    </row>
    <row r="181" spans="1:14" ht="16" x14ac:dyDescent="0.2">
      <c r="A181" t="s">
        <v>228</v>
      </c>
      <c r="B181" s="2">
        <v>1.3422317079999999</v>
      </c>
      <c r="C181">
        <v>10</v>
      </c>
      <c r="D181" s="2">
        <v>0</v>
      </c>
      <c r="E181" s="2">
        <v>1.3422317079999999</v>
      </c>
      <c r="F181" s="3">
        <v>0.30319834400000001</v>
      </c>
      <c r="G181">
        <v>-13.4</v>
      </c>
      <c r="H181">
        <v>7.6999999999999999E-2</v>
      </c>
      <c r="I181" s="8">
        <v>207137.93659999999</v>
      </c>
      <c r="J181" s="8">
        <v>366992.40720000002</v>
      </c>
      <c r="K181" s="8" t="s">
        <v>219</v>
      </c>
      <c r="L181" s="8" t="s">
        <v>43</v>
      </c>
      <c r="M181">
        <v>1.8</v>
      </c>
      <c r="N181">
        <v>100</v>
      </c>
    </row>
    <row r="182" spans="1:14" ht="16" x14ac:dyDescent="0.2">
      <c r="A182" t="s">
        <v>229</v>
      </c>
      <c r="B182" s="2">
        <v>1.270411838</v>
      </c>
      <c r="C182">
        <v>10</v>
      </c>
      <c r="D182" s="2">
        <v>0.119685866</v>
      </c>
      <c r="E182" s="2">
        <v>1.2688913340000001</v>
      </c>
      <c r="F182" s="3">
        <v>0.421148723</v>
      </c>
      <c r="G182">
        <v>-14.1</v>
      </c>
      <c r="H182">
        <v>7.0999999999999994E-2</v>
      </c>
      <c r="I182" s="8">
        <v>207137.93659999999</v>
      </c>
      <c r="J182" s="8">
        <v>366992.40720000002</v>
      </c>
      <c r="K182" s="8" t="s">
        <v>219</v>
      </c>
      <c r="L182" s="8" t="s">
        <v>43</v>
      </c>
      <c r="M182">
        <v>2</v>
      </c>
      <c r="N182">
        <v>110</v>
      </c>
    </row>
    <row r="183" spans="1:14" ht="16" x14ac:dyDescent="0.2">
      <c r="A183" t="s">
        <v>230</v>
      </c>
      <c r="B183" s="2">
        <v>1.2536318339999999</v>
      </c>
      <c r="C183">
        <v>9.5</v>
      </c>
      <c r="D183" s="2">
        <v>0.85537700900000002</v>
      </c>
      <c r="E183" s="2">
        <v>1.2429085550000001</v>
      </c>
      <c r="F183" s="3">
        <v>0.91145154900000003</v>
      </c>
      <c r="G183">
        <v>-11.2</v>
      </c>
      <c r="H183">
        <v>7.0999999999999994E-2</v>
      </c>
      <c r="I183" s="8">
        <v>207137.93659999999</v>
      </c>
      <c r="J183" s="8">
        <v>366992.40720000002</v>
      </c>
      <c r="K183" s="8" t="s">
        <v>219</v>
      </c>
      <c r="L183" s="8" t="s">
        <v>43</v>
      </c>
      <c r="M183">
        <v>1.3</v>
      </c>
      <c r="N183">
        <v>119.5</v>
      </c>
    </row>
    <row r="184" spans="1:14" ht="16" x14ac:dyDescent="0.2">
      <c r="A184" t="s">
        <v>220</v>
      </c>
      <c r="B184" s="2">
        <v>1.403857044</v>
      </c>
      <c r="C184">
        <v>10</v>
      </c>
      <c r="D184" s="2">
        <v>0.107061091</v>
      </c>
      <c r="E184" s="2">
        <v>1.40235406</v>
      </c>
      <c r="F184" s="3">
        <v>1.307325581</v>
      </c>
      <c r="G184">
        <v>-24.5</v>
      </c>
      <c r="H184">
        <v>0.15</v>
      </c>
      <c r="I184" s="8">
        <v>207137.93659999999</v>
      </c>
      <c r="J184" s="8">
        <v>366992.40720000002</v>
      </c>
      <c r="K184" s="8" t="s">
        <v>219</v>
      </c>
      <c r="L184" s="8" t="s">
        <v>43</v>
      </c>
      <c r="M184">
        <v>8</v>
      </c>
      <c r="N184">
        <v>20</v>
      </c>
    </row>
    <row r="185" spans="1:14" ht="16" x14ac:dyDescent="0.2">
      <c r="A185" t="s">
        <v>221</v>
      </c>
      <c r="B185" s="2">
        <v>1.324293854</v>
      </c>
      <c r="C185">
        <v>10</v>
      </c>
      <c r="D185" s="2">
        <v>0.32495917400000002</v>
      </c>
      <c r="E185" s="2">
        <v>1.31999044</v>
      </c>
      <c r="F185" s="3">
        <v>0.58483928100000004</v>
      </c>
      <c r="G185">
        <v>-24.6</v>
      </c>
      <c r="H185">
        <v>9.1999999999999998E-2</v>
      </c>
      <c r="I185" s="8">
        <v>207137.93659999999</v>
      </c>
      <c r="J185" s="8">
        <v>366992.40720000002</v>
      </c>
      <c r="K185" s="8" t="s">
        <v>219</v>
      </c>
      <c r="L185" s="8" t="s">
        <v>43</v>
      </c>
      <c r="M185">
        <v>6.9</v>
      </c>
      <c r="N185">
        <v>30</v>
      </c>
    </row>
    <row r="186" spans="1:14" ht="16" x14ac:dyDescent="0.2">
      <c r="A186" t="s">
        <v>222</v>
      </c>
      <c r="B186" s="2">
        <v>1.1224820950000001</v>
      </c>
      <c r="C186">
        <v>10</v>
      </c>
      <c r="D186" s="2">
        <v>0.14000527099999999</v>
      </c>
      <c r="E186" s="2">
        <v>1.1209105610000001</v>
      </c>
      <c r="F186" s="3">
        <v>0.26705919</v>
      </c>
      <c r="G186">
        <v>-25.1</v>
      </c>
      <c r="H186">
        <v>7.2999999999999995E-2</v>
      </c>
      <c r="I186" s="8">
        <v>207137.93659999999</v>
      </c>
      <c r="J186" s="8">
        <v>366992.40720000002</v>
      </c>
      <c r="K186" s="8" t="s">
        <v>219</v>
      </c>
      <c r="L186" s="8" t="s">
        <v>43</v>
      </c>
      <c r="M186">
        <v>4.9000000000000004</v>
      </c>
      <c r="N186">
        <v>40</v>
      </c>
    </row>
    <row r="187" spans="1:14" ht="16" x14ac:dyDescent="0.2">
      <c r="A187" t="s">
        <v>223</v>
      </c>
      <c r="B187" s="2">
        <v>1.555750446</v>
      </c>
      <c r="C187">
        <v>10</v>
      </c>
      <c r="D187" s="2">
        <v>3.9675323999999998E-2</v>
      </c>
      <c r="E187" s="2">
        <v>1.555133197</v>
      </c>
      <c r="F187" s="3">
        <v>0.23591329</v>
      </c>
      <c r="G187">
        <v>-26</v>
      </c>
      <c r="H187">
        <v>7.9000000000000001E-2</v>
      </c>
      <c r="I187" s="8">
        <v>207137.93659999999</v>
      </c>
      <c r="J187" s="8">
        <v>366992.40720000002</v>
      </c>
      <c r="K187" s="8" t="s">
        <v>219</v>
      </c>
      <c r="L187" s="8" t="s">
        <v>43</v>
      </c>
      <c r="M187">
        <v>4.4000000000000004</v>
      </c>
      <c r="N187">
        <v>50</v>
      </c>
    </row>
    <row r="188" spans="1:14" ht="16" x14ac:dyDescent="0.2">
      <c r="A188" t="s">
        <v>224</v>
      </c>
      <c r="B188" s="2">
        <v>1.401058219</v>
      </c>
      <c r="C188">
        <v>10</v>
      </c>
      <c r="D188" s="2">
        <v>0</v>
      </c>
      <c r="E188" s="2">
        <v>1.401058219</v>
      </c>
      <c r="F188" s="3">
        <v>0.21294057699999999</v>
      </c>
      <c r="G188">
        <v>-26.2</v>
      </c>
      <c r="H188">
        <v>8.6999999999999994E-2</v>
      </c>
      <c r="I188" s="8">
        <v>207137.93659999999</v>
      </c>
      <c r="J188" s="8">
        <v>366992.40720000002</v>
      </c>
      <c r="K188" s="8" t="s">
        <v>219</v>
      </c>
      <c r="L188" s="8" t="s">
        <v>43</v>
      </c>
      <c r="M188">
        <v>3.8</v>
      </c>
      <c r="N188">
        <v>60</v>
      </c>
    </row>
    <row r="189" spans="1:14" ht="16" x14ac:dyDescent="0.2">
      <c r="A189" t="s">
        <v>225</v>
      </c>
      <c r="B189" s="2">
        <v>1.5298801790000001</v>
      </c>
      <c r="C189">
        <v>10</v>
      </c>
      <c r="D189" s="2">
        <v>0</v>
      </c>
      <c r="E189" s="2">
        <v>1.5298801790000001</v>
      </c>
      <c r="F189" s="3">
        <v>0.149912666</v>
      </c>
      <c r="G189">
        <v>-25.25</v>
      </c>
      <c r="H189">
        <v>8.3500000000000005E-2</v>
      </c>
      <c r="I189" s="8">
        <v>207137.93659999999</v>
      </c>
      <c r="J189" s="8">
        <v>366992.40720000002</v>
      </c>
      <c r="K189" s="8" t="s">
        <v>219</v>
      </c>
      <c r="L189" s="8" t="s">
        <v>43</v>
      </c>
      <c r="M189">
        <v>2.25</v>
      </c>
      <c r="N189">
        <v>70</v>
      </c>
    </row>
    <row r="190" spans="1:14" ht="16" x14ac:dyDescent="0.2">
      <c r="A190" t="s">
        <v>226</v>
      </c>
      <c r="B190" s="2">
        <v>1.377531488</v>
      </c>
      <c r="C190">
        <v>10</v>
      </c>
      <c r="D190" s="2">
        <v>0</v>
      </c>
      <c r="E190" s="2">
        <v>1.377531488</v>
      </c>
      <c r="F190" s="3">
        <v>0.19501564499999999</v>
      </c>
      <c r="G190">
        <v>-26.3</v>
      </c>
      <c r="H190">
        <v>8.6999999999999994E-2</v>
      </c>
      <c r="I190" s="8">
        <v>207137.93659999999</v>
      </c>
      <c r="J190" s="8">
        <v>366992.40720000002</v>
      </c>
      <c r="K190" s="8" t="s">
        <v>219</v>
      </c>
      <c r="L190" s="8" t="s">
        <v>43</v>
      </c>
      <c r="M190">
        <v>2.6</v>
      </c>
      <c r="N190">
        <v>80</v>
      </c>
    </row>
    <row r="191" spans="1:14" ht="16" x14ac:dyDescent="0.2">
      <c r="A191" t="s">
        <v>227</v>
      </c>
      <c r="B191" s="2">
        <v>1.355668724</v>
      </c>
      <c r="C191">
        <v>10</v>
      </c>
      <c r="D191" s="2">
        <v>0</v>
      </c>
      <c r="E191" s="2">
        <v>1.355668724</v>
      </c>
      <c r="F191" s="3">
        <v>0.25502597999999999</v>
      </c>
      <c r="G191">
        <v>-15.6</v>
      </c>
      <c r="H191">
        <v>8.3000000000000004E-2</v>
      </c>
      <c r="I191" s="8">
        <v>207137.93659999999</v>
      </c>
      <c r="J191" s="8">
        <v>366992.40720000002</v>
      </c>
      <c r="K191" s="8" t="s">
        <v>219</v>
      </c>
      <c r="L191" s="8" t="s">
        <v>43</v>
      </c>
      <c r="M191">
        <v>2.2000000000000002</v>
      </c>
      <c r="N191">
        <v>90</v>
      </c>
    </row>
    <row r="192" spans="1:14" ht="16" x14ac:dyDescent="0.2">
      <c r="A192" t="s">
        <v>231</v>
      </c>
      <c r="B192" s="2">
        <v>0.97787524000000003</v>
      </c>
      <c r="C192">
        <v>10</v>
      </c>
      <c r="D192" s="2">
        <v>7.0776067999999998E-2</v>
      </c>
      <c r="E192" s="2">
        <v>0.97718313899999998</v>
      </c>
      <c r="F192" s="3">
        <v>2.4060760750000001</v>
      </c>
      <c r="G192">
        <v>-27.1</v>
      </c>
      <c r="H192">
        <v>0.25</v>
      </c>
      <c r="I192" s="8">
        <v>207130.14240000001</v>
      </c>
      <c r="J192" s="8">
        <v>367004.34450000001</v>
      </c>
      <c r="K192" s="8" t="s">
        <v>219</v>
      </c>
      <c r="L192" s="8" t="s">
        <v>68</v>
      </c>
      <c r="M192">
        <v>5.7</v>
      </c>
      <c r="N192">
        <v>10</v>
      </c>
    </row>
    <row r="193" spans="1:14" ht="16" x14ac:dyDescent="0.2">
      <c r="A193" t="s">
        <v>240</v>
      </c>
      <c r="B193" s="2">
        <v>1.3207640890000001</v>
      </c>
      <c r="C193">
        <v>10</v>
      </c>
      <c r="D193" s="2">
        <v>0</v>
      </c>
      <c r="E193" s="2">
        <v>1.3207640890000001</v>
      </c>
      <c r="F193" s="3">
        <v>9.6731842999999998E-2</v>
      </c>
      <c r="G193">
        <v>-25.4</v>
      </c>
      <c r="H193">
        <v>7.4999999999999997E-2</v>
      </c>
      <c r="I193" s="8">
        <v>207130.14240000001</v>
      </c>
      <c r="J193" s="8">
        <v>367004.34450000001</v>
      </c>
      <c r="K193" s="8" t="s">
        <v>219</v>
      </c>
      <c r="L193" s="8" t="s">
        <v>68</v>
      </c>
      <c r="M193">
        <v>1.3</v>
      </c>
      <c r="N193">
        <v>100</v>
      </c>
    </row>
    <row r="194" spans="1:14" ht="16" x14ac:dyDescent="0.2">
      <c r="A194" t="s">
        <v>241</v>
      </c>
      <c r="B194" s="2">
        <v>1.473879451</v>
      </c>
      <c r="C194">
        <v>10</v>
      </c>
      <c r="D194" s="2">
        <v>0</v>
      </c>
      <c r="E194" s="2">
        <v>1.473879451</v>
      </c>
      <c r="F194" s="3">
        <v>0.119686606</v>
      </c>
      <c r="G194">
        <v>-26.2</v>
      </c>
      <c r="H194">
        <v>5.0999999999999997E-2</v>
      </c>
      <c r="I194" s="8">
        <v>207130.14240000001</v>
      </c>
      <c r="J194" s="8">
        <v>367004.34450000001</v>
      </c>
      <c r="K194" s="8" t="s">
        <v>219</v>
      </c>
      <c r="L194" s="8" t="s">
        <v>68</v>
      </c>
      <c r="M194">
        <v>1.1000000000000001</v>
      </c>
      <c r="N194">
        <v>110</v>
      </c>
    </row>
    <row r="195" spans="1:14" ht="16" x14ac:dyDescent="0.2">
      <c r="A195" t="s">
        <v>232</v>
      </c>
      <c r="B195" s="2">
        <v>1.1149136230000001</v>
      </c>
      <c r="C195">
        <v>10</v>
      </c>
      <c r="D195" s="2">
        <v>8.7009341000000004E-2</v>
      </c>
      <c r="E195" s="2">
        <v>1.1139435440000001</v>
      </c>
      <c r="F195" s="3">
        <v>1.2689387990000001</v>
      </c>
      <c r="G195">
        <v>-24.9</v>
      </c>
      <c r="H195">
        <v>0.16</v>
      </c>
      <c r="I195" s="8">
        <v>207130.14240000001</v>
      </c>
      <c r="J195" s="8">
        <v>367004.34450000001</v>
      </c>
      <c r="K195" s="8" t="s">
        <v>219</v>
      </c>
      <c r="L195" s="8" t="s">
        <v>68</v>
      </c>
      <c r="M195">
        <v>7.7</v>
      </c>
      <c r="N195">
        <v>20</v>
      </c>
    </row>
    <row r="196" spans="1:14" ht="16" x14ac:dyDescent="0.2">
      <c r="A196" t="s">
        <v>233</v>
      </c>
      <c r="B196" s="2">
        <v>1.319328286</v>
      </c>
      <c r="C196">
        <v>10</v>
      </c>
      <c r="D196" s="2">
        <v>0.10572396100000001</v>
      </c>
      <c r="E196" s="2">
        <v>1.31793344</v>
      </c>
      <c r="F196" s="3">
        <v>0.76540328099999999</v>
      </c>
      <c r="G196">
        <v>-25.25</v>
      </c>
      <c r="H196">
        <v>0.11</v>
      </c>
      <c r="I196" s="8">
        <v>207130.14240000001</v>
      </c>
      <c r="J196" s="8">
        <v>367004.34450000001</v>
      </c>
      <c r="K196" s="8" t="s">
        <v>219</v>
      </c>
      <c r="L196" s="8" t="s">
        <v>68</v>
      </c>
      <c r="M196">
        <v>6.65</v>
      </c>
      <c r="N196">
        <v>30</v>
      </c>
    </row>
    <row r="197" spans="1:14" ht="16" x14ac:dyDescent="0.2">
      <c r="A197" t="s">
        <v>234</v>
      </c>
      <c r="B197" s="2">
        <v>1.43470798</v>
      </c>
      <c r="C197">
        <v>10</v>
      </c>
      <c r="D197" s="2">
        <v>5.9976010000000003E-2</v>
      </c>
      <c r="E197" s="2">
        <v>1.4338474990000001</v>
      </c>
      <c r="F197" s="3">
        <v>0.35150939199999998</v>
      </c>
      <c r="G197">
        <v>-25.5</v>
      </c>
      <c r="H197">
        <v>8.2000000000000003E-2</v>
      </c>
      <c r="I197" s="8">
        <v>207130.14240000001</v>
      </c>
      <c r="J197" s="8">
        <v>367004.34450000001</v>
      </c>
      <c r="K197" s="8" t="s">
        <v>219</v>
      </c>
      <c r="L197" s="8" t="s">
        <v>68</v>
      </c>
      <c r="M197">
        <v>4.2</v>
      </c>
      <c r="N197">
        <v>40</v>
      </c>
    </row>
    <row r="198" spans="1:14" ht="16" x14ac:dyDescent="0.2">
      <c r="A198" t="s">
        <v>235</v>
      </c>
      <c r="B198" s="2">
        <v>1.387204155</v>
      </c>
      <c r="C198">
        <v>10</v>
      </c>
      <c r="D198" s="2">
        <v>0</v>
      </c>
      <c r="E198" s="2">
        <v>1.387204155</v>
      </c>
      <c r="F198" s="3">
        <v>0.22110429100000001</v>
      </c>
      <c r="G198">
        <v>-25.4</v>
      </c>
      <c r="H198">
        <v>7.5999999999999998E-2</v>
      </c>
      <c r="I198" s="8">
        <v>207130.14240000001</v>
      </c>
      <c r="J198" s="8">
        <v>367004.34450000001</v>
      </c>
      <c r="K198" s="8" t="s">
        <v>219</v>
      </c>
      <c r="L198" s="8" t="s">
        <v>68</v>
      </c>
      <c r="M198">
        <v>3</v>
      </c>
      <c r="N198">
        <v>50</v>
      </c>
    </row>
    <row r="199" spans="1:14" ht="16" x14ac:dyDescent="0.2">
      <c r="A199" t="s">
        <v>236</v>
      </c>
      <c r="B199" s="2">
        <v>1.508459655</v>
      </c>
      <c r="C199">
        <v>10</v>
      </c>
      <c r="D199" s="2">
        <v>0</v>
      </c>
      <c r="E199" s="2">
        <v>1.508459655</v>
      </c>
      <c r="F199" s="3">
        <v>0.1780139</v>
      </c>
      <c r="G199">
        <v>-25.6</v>
      </c>
      <c r="H199">
        <v>6.9000000000000006E-2</v>
      </c>
      <c r="I199" s="8">
        <v>207130.14240000001</v>
      </c>
      <c r="J199" s="8">
        <v>367004.34450000001</v>
      </c>
      <c r="K199" s="8" t="s">
        <v>219</v>
      </c>
      <c r="L199" s="8" t="s">
        <v>68</v>
      </c>
      <c r="M199">
        <v>2.8</v>
      </c>
      <c r="N199">
        <v>60</v>
      </c>
    </row>
    <row r="200" spans="1:14" ht="16" x14ac:dyDescent="0.2">
      <c r="A200" t="s">
        <v>237</v>
      </c>
      <c r="B200" s="2">
        <v>1.6277448750000001</v>
      </c>
      <c r="C200">
        <v>10</v>
      </c>
      <c r="D200" s="2">
        <v>0</v>
      </c>
      <c r="E200" s="2">
        <v>1.6277448750000001</v>
      </c>
      <c r="F200" s="3">
        <v>0.160031175</v>
      </c>
      <c r="G200">
        <v>-25.9</v>
      </c>
      <c r="H200">
        <v>6.8000000000000005E-2</v>
      </c>
      <c r="I200" s="8">
        <v>207130.14240000001</v>
      </c>
      <c r="J200" s="8">
        <v>367004.34450000001</v>
      </c>
      <c r="K200" s="8" t="s">
        <v>219</v>
      </c>
      <c r="L200" s="8" t="s">
        <v>68</v>
      </c>
      <c r="M200">
        <v>2.2000000000000002</v>
      </c>
      <c r="N200">
        <v>70</v>
      </c>
    </row>
    <row r="201" spans="1:14" ht="16" x14ac:dyDescent="0.2">
      <c r="A201" t="s">
        <v>238</v>
      </c>
      <c r="B201" s="2">
        <v>1.3959401010000001</v>
      </c>
      <c r="C201">
        <v>10</v>
      </c>
      <c r="D201" s="2">
        <v>0</v>
      </c>
      <c r="E201" s="2">
        <v>1.3959401010000001</v>
      </c>
      <c r="F201" s="3">
        <v>0.116120184</v>
      </c>
      <c r="G201">
        <v>-25.8</v>
      </c>
      <c r="H201">
        <v>5.0999999999999997E-2</v>
      </c>
      <c r="I201" s="8">
        <v>207130.14240000001</v>
      </c>
      <c r="J201" s="8">
        <v>367004.34450000001</v>
      </c>
      <c r="K201" s="8" t="s">
        <v>219</v>
      </c>
      <c r="L201" s="8" t="s">
        <v>68</v>
      </c>
      <c r="M201">
        <v>1.2</v>
      </c>
      <c r="N201">
        <v>80</v>
      </c>
    </row>
    <row r="202" spans="1:14" ht="16" x14ac:dyDescent="0.2">
      <c r="A202" t="s">
        <v>239</v>
      </c>
      <c r="B202" s="2">
        <v>1.29141895</v>
      </c>
      <c r="C202">
        <v>10</v>
      </c>
      <c r="D202" s="2">
        <v>0</v>
      </c>
      <c r="E202" s="2">
        <v>1.29141895</v>
      </c>
      <c r="F202" s="3">
        <v>9.9422905000000006E-2</v>
      </c>
      <c r="G202">
        <v>-26.8</v>
      </c>
      <c r="H202">
        <v>5.2999999999999999E-2</v>
      </c>
      <c r="I202" s="8">
        <v>207130.14240000001</v>
      </c>
      <c r="J202" s="8">
        <v>367004.34450000001</v>
      </c>
      <c r="K202" s="8" t="s">
        <v>219</v>
      </c>
      <c r="L202" s="8" t="s">
        <v>68</v>
      </c>
      <c r="M202">
        <v>0.8</v>
      </c>
      <c r="N202">
        <v>90</v>
      </c>
    </row>
    <row r="203" spans="1:14" ht="16" x14ac:dyDescent="0.2">
      <c r="A203" t="s">
        <v>242</v>
      </c>
      <c r="B203" s="2">
        <v>1.061577786</v>
      </c>
      <c r="C203">
        <v>10</v>
      </c>
      <c r="D203" s="2">
        <v>5.5962471999999999E-2</v>
      </c>
      <c r="E203" s="2">
        <v>1.0609837</v>
      </c>
      <c r="F203" s="3">
        <v>2.0104447680000002</v>
      </c>
      <c r="G203">
        <v>-27.5</v>
      </c>
      <c r="H203">
        <v>0.21</v>
      </c>
      <c r="I203" s="8">
        <v>207122.19270000001</v>
      </c>
      <c r="J203" s="8">
        <v>366992.35019999999</v>
      </c>
      <c r="K203" s="8" t="s">
        <v>219</v>
      </c>
      <c r="L203" s="8" t="s">
        <v>81</v>
      </c>
      <c r="M203">
        <v>6.1</v>
      </c>
      <c r="N203">
        <v>10</v>
      </c>
    </row>
    <row r="204" spans="1:14" ht="16" x14ac:dyDescent="0.2">
      <c r="A204" t="s">
        <v>251</v>
      </c>
      <c r="B204" s="2">
        <v>1.303059682</v>
      </c>
      <c r="C204">
        <v>10</v>
      </c>
      <c r="D204" s="2">
        <v>0</v>
      </c>
      <c r="E204" s="2">
        <v>1.303059682</v>
      </c>
      <c r="F204" s="3">
        <v>0.100120812</v>
      </c>
      <c r="G204">
        <v>-19.600000000000001</v>
      </c>
      <c r="H204">
        <v>6.8000000000000005E-2</v>
      </c>
      <c r="I204" s="8">
        <v>207122.19270000001</v>
      </c>
      <c r="J204" s="8">
        <v>366992.35019999999</v>
      </c>
      <c r="K204" s="8" t="s">
        <v>219</v>
      </c>
      <c r="L204" s="8" t="s">
        <v>81</v>
      </c>
      <c r="M204">
        <v>1.1000000000000001</v>
      </c>
      <c r="N204">
        <v>100</v>
      </c>
    </row>
    <row r="205" spans="1:14" ht="16" x14ac:dyDescent="0.2">
      <c r="A205" t="s">
        <v>252</v>
      </c>
      <c r="B205" s="2">
        <v>1.1863932429999999</v>
      </c>
      <c r="C205">
        <v>10</v>
      </c>
      <c r="D205" s="2">
        <v>0</v>
      </c>
      <c r="E205" s="2">
        <v>1.1863932429999999</v>
      </c>
      <c r="F205" s="3">
        <v>0.21022726899999999</v>
      </c>
      <c r="G205">
        <v>-11.9</v>
      </c>
      <c r="H205">
        <v>7.4999999999999997E-2</v>
      </c>
      <c r="I205" s="8">
        <v>207122.19270000001</v>
      </c>
      <c r="J205" s="8">
        <v>366992.35019999999</v>
      </c>
      <c r="K205" s="8" t="s">
        <v>219</v>
      </c>
      <c r="L205" s="8" t="s">
        <v>81</v>
      </c>
      <c r="M205">
        <v>1.2</v>
      </c>
      <c r="N205">
        <v>110</v>
      </c>
    </row>
    <row r="206" spans="1:14" ht="16" x14ac:dyDescent="0.2">
      <c r="A206" t="s">
        <v>243</v>
      </c>
      <c r="B206" s="2">
        <v>1.3026374089999999</v>
      </c>
      <c r="C206">
        <v>10</v>
      </c>
      <c r="D206" s="2">
        <v>0.58880610499999997</v>
      </c>
      <c r="E206" s="2">
        <v>1.2949674</v>
      </c>
      <c r="F206" s="3">
        <v>1.065527074</v>
      </c>
      <c r="G206">
        <v>-24.15</v>
      </c>
      <c r="H206">
        <v>0.13500000000000001</v>
      </c>
      <c r="I206" s="8">
        <v>207122.19270000001</v>
      </c>
      <c r="J206" s="8">
        <v>366992.35019999999</v>
      </c>
      <c r="K206" s="8" t="s">
        <v>219</v>
      </c>
      <c r="L206" s="8" t="s">
        <v>81</v>
      </c>
      <c r="M206">
        <v>7.2</v>
      </c>
      <c r="N206">
        <v>20</v>
      </c>
    </row>
    <row r="207" spans="1:14" ht="16" x14ac:dyDescent="0.2">
      <c r="A207" t="s">
        <v>244</v>
      </c>
      <c r="B207" s="2">
        <v>1.3736032410000001</v>
      </c>
      <c r="C207">
        <v>10</v>
      </c>
      <c r="D207" s="2">
        <v>6.0685583000000001E-2</v>
      </c>
      <c r="E207" s="2">
        <v>1.372769661</v>
      </c>
      <c r="F207" s="3">
        <v>0.71890369499999995</v>
      </c>
      <c r="G207">
        <v>-24.4</v>
      </c>
      <c r="H207">
        <v>9.9000000000000005E-2</v>
      </c>
      <c r="I207" s="8">
        <v>207122.19270000001</v>
      </c>
      <c r="J207" s="8">
        <v>366992.35019999999</v>
      </c>
      <c r="K207" s="8" t="s">
        <v>219</v>
      </c>
      <c r="L207" s="8" t="s">
        <v>81</v>
      </c>
      <c r="M207">
        <v>6.1</v>
      </c>
      <c r="N207">
        <v>30</v>
      </c>
    </row>
    <row r="208" spans="1:14" ht="16" x14ac:dyDescent="0.2">
      <c r="A208" t="s">
        <v>245</v>
      </c>
      <c r="B208" s="2">
        <v>1.3444015819999999</v>
      </c>
      <c r="C208">
        <v>10</v>
      </c>
      <c r="D208" s="2">
        <v>0</v>
      </c>
      <c r="E208" s="2">
        <v>1.3444015819999999</v>
      </c>
      <c r="F208" s="3">
        <v>0.29701529199999999</v>
      </c>
      <c r="G208">
        <v>-24.5</v>
      </c>
      <c r="H208">
        <v>6.9000000000000006E-2</v>
      </c>
      <c r="I208" s="8">
        <v>207122.19270000001</v>
      </c>
      <c r="J208" s="8">
        <v>366992.35019999999</v>
      </c>
      <c r="K208" s="8" t="s">
        <v>219</v>
      </c>
      <c r="L208" s="8" t="s">
        <v>81</v>
      </c>
      <c r="M208">
        <v>3.3</v>
      </c>
      <c r="N208">
        <v>40</v>
      </c>
    </row>
    <row r="209" spans="1:15" ht="16" x14ac:dyDescent="0.2">
      <c r="A209" t="s">
        <v>246</v>
      </c>
      <c r="B209" s="2">
        <v>1.47224402</v>
      </c>
      <c r="C209">
        <v>10</v>
      </c>
      <c r="D209" s="2">
        <v>0</v>
      </c>
      <c r="E209" s="2">
        <v>1.47224402</v>
      </c>
      <c r="F209" s="3">
        <v>0.24937416800000001</v>
      </c>
      <c r="G209">
        <v>-25.4</v>
      </c>
      <c r="H209">
        <v>6.6000000000000003E-2</v>
      </c>
      <c r="I209" s="8">
        <v>207122.19270000001</v>
      </c>
      <c r="J209" s="8">
        <v>366992.35019999999</v>
      </c>
      <c r="K209" s="8" t="s">
        <v>219</v>
      </c>
      <c r="L209" s="8" t="s">
        <v>81</v>
      </c>
      <c r="M209">
        <v>3.1</v>
      </c>
      <c r="N209">
        <v>50</v>
      </c>
    </row>
    <row r="210" spans="1:15" ht="16" x14ac:dyDescent="0.2">
      <c r="A210" t="s">
        <v>247</v>
      </c>
      <c r="B210" s="2">
        <v>1.48252344</v>
      </c>
      <c r="C210">
        <v>10</v>
      </c>
      <c r="D210" s="2">
        <v>0</v>
      </c>
      <c r="E210" s="2">
        <v>1.48252344</v>
      </c>
      <c r="F210" s="3">
        <v>0.18305233600000001</v>
      </c>
      <c r="G210">
        <v>-25.1</v>
      </c>
      <c r="H210">
        <v>5.8999999999999997E-2</v>
      </c>
      <c r="I210" s="8">
        <v>207122.19270000001</v>
      </c>
      <c r="J210" s="8">
        <v>366992.35019999999</v>
      </c>
      <c r="K210" s="8" t="s">
        <v>219</v>
      </c>
      <c r="L210" s="8" t="s">
        <v>81</v>
      </c>
      <c r="M210">
        <v>2.9</v>
      </c>
      <c r="N210">
        <v>60</v>
      </c>
    </row>
    <row r="211" spans="1:15" ht="16" x14ac:dyDescent="0.2">
      <c r="A211" t="s">
        <v>248</v>
      </c>
      <c r="B211" s="2">
        <v>1.429997902</v>
      </c>
      <c r="C211">
        <v>10</v>
      </c>
      <c r="D211" s="2">
        <v>0</v>
      </c>
      <c r="E211" s="2">
        <v>1.429997902</v>
      </c>
      <c r="F211" s="3">
        <v>0.121623339</v>
      </c>
      <c r="G211">
        <v>-26.4</v>
      </c>
      <c r="H211">
        <v>5.3999999999999999E-2</v>
      </c>
      <c r="I211" s="8">
        <v>207122.19270000001</v>
      </c>
      <c r="J211" s="8">
        <v>366992.35019999999</v>
      </c>
      <c r="K211" s="8" t="s">
        <v>219</v>
      </c>
      <c r="L211" s="8" t="s">
        <v>81</v>
      </c>
      <c r="M211">
        <v>2</v>
      </c>
      <c r="N211">
        <v>70</v>
      </c>
    </row>
    <row r="212" spans="1:15" ht="16" x14ac:dyDescent="0.2">
      <c r="A212" t="s">
        <v>249</v>
      </c>
      <c r="B212" s="2">
        <v>1.4605851649999999</v>
      </c>
      <c r="C212">
        <v>10</v>
      </c>
      <c r="D212" s="2">
        <v>0</v>
      </c>
      <c r="E212" s="2">
        <v>1.4605851649999999</v>
      </c>
      <c r="F212" s="3">
        <v>8.8795077E-2</v>
      </c>
      <c r="G212">
        <v>-25.6</v>
      </c>
      <c r="H212">
        <v>5.7000000000000002E-2</v>
      </c>
      <c r="I212" s="8">
        <v>207122.19270000001</v>
      </c>
      <c r="J212" s="8">
        <v>366992.35019999999</v>
      </c>
      <c r="K212" s="8" t="s">
        <v>219</v>
      </c>
      <c r="L212" s="8" t="s">
        <v>81</v>
      </c>
      <c r="M212">
        <v>1</v>
      </c>
      <c r="N212">
        <v>80</v>
      </c>
    </row>
    <row r="213" spans="1:15" ht="16" x14ac:dyDescent="0.2">
      <c r="A213" t="s">
        <v>250</v>
      </c>
      <c r="B213" s="2">
        <v>1.5163301950000001</v>
      </c>
      <c r="C213">
        <v>10</v>
      </c>
      <c r="D213" s="2">
        <v>0</v>
      </c>
      <c r="E213" s="2">
        <v>1.5163301950000001</v>
      </c>
      <c r="F213" s="3">
        <v>7.6721606999999997E-2</v>
      </c>
      <c r="G213">
        <v>-25.7</v>
      </c>
      <c r="H213">
        <v>5.3999999999999999E-2</v>
      </c>
      <c r="I213" s="8">
        <v>207122.19270000001</v>
      </c>
      <c r="J213" s="8">
        <v>366992.35019999999</v>
      </c>
      <c r="K213" s="8" t="s">
        <v>219</v>
      </c>
      <c r="L213" s="8" t="s">
        <v>81</v>
      </c>
      <c r="M213">
        <v>1.5</v>
      </c>
      <c r="N213">
        <v>90</v>
      </c>
    </row>
    <row r="214" spans="1:15" ht="16" x14ac:dyDescent="0.2">
      <c r="A214" t="s">
        <v>253</v>
      </c>
      <c r="B214" s="2">
        <v>1.3475396559999999</v>
      </c>
      <c r="C214">
        <v>10</v>
      </c>
      <c r="D214" s="2">
        <v>2.1202236719999998</v>
      </c>
      <c r="E214" s="2">
        <v>1.3189688020000001</v>
      </c>
      <c r="F214" s="3">
        <v>1.6309930939999999</v>
      </c>
      <c r="G214">
        <v>-22.65</v>
      </c>
      <c r="H214">
        <v>0.17</v>
      </c>
      <c r="I214" s="8">
        <v>207430.31599999999</v>
      </c>
      <c r="J214" s="8">
        <v>366359.9498</v>
      </c>
      <c r="K214" s="8" t="s">
        <v>34</v>
      </c>
      <c r="L214" s="8" t="s">
        <v>43</v>
      </c>
      <c r="M214">
        <v>6.15</v>
      </c>
      <c r="N214">
        <v>10</v>
      </c>
      <c r="O214" s="7"/>
    </row>
    <row r="215" spans="1:15" ht="16" x14ac:dyDescent="0.2">
      <c r="A215" t="s">
        <v>262</v>
      </c>
      <c r="B215" s="2">
        <v>1.543271762</v>
      </c>
      <c r="C215">
        <v>10</v>
      </c>
      <c r="D215" s="2">
        <v>0</v>
      </c>
      <c r="E215" s="2">
        <v>1.543271762</v>
      </c>
      <c r="F215" s="3">
        <v>0.14513943400000001</v>
      </c>
      <c r="G215">
        <v>-20.5</v>
      </c>
      <c r="H215">
        <v>6.9000000000000006E-2</v>
      </c>
      <c r="I215" s="8">
        <v>207430.31599999999</v>
      </c>
      <c r="J215" s="8">
        <v>366359.9498</v>
      </c>
      <c r="K215" s="8" t="s">
        <v>34</v>
      </c>
      <c r="L215" s="8" t="s">
        <v>43</v>
      </c>
      <c r="M215">
        <v>2.2000000000000002</v>
      </c>
      <c r="N215">
        <v>100</v>
      </c>
      <c r="O215" s="7"/>
    </row>
    <row r="216" spans="1:15" ht="16" x14ac:dyDescent="0.2">
      <c r="A216" t="s">
        <v>263</v>
      </c>
      <c r="B216" s="2">
        <v>1.3273479210000001</v>
      </c>
      <c r="C216">
        <v>8</v>
      </c>
      <c r="D216" s="2">
        <v>0</v>
      </c>
      <c r="E216" s="2">
        <v>1.3273479210000001</v>
      </c>
      <c r="F216" s="3">
        <v>0.16570526699999999</v>
      </c>
      <c r="G216">
        <v>-21</v>
      </c>
      <c r="H216">
        <v>5.6000000000000001E-2</v>
      </c>
      <c r="I216" s="8">
        <v>207430.31599999999</v>
      </c>
      <c r="J216" s="8">
        <v>366359.9498</v>
      </c>
      <c r="K216" s="8" t="s">
        <v>34</v>
      </c>
      <c r="L216" s="8" t="s">
        <v>43</v>
      </c>
      <c r="M216">
        <v>1.6</v>
      </c>
      <c r="N216">
        <v>108</v>
      </c>
      <c r="O216" s="7"/>
    </row>
    <row r="217" spans="1:15" ht="16" x14ac:dyDescent="0.2">
      <c r="A217" t="s">
        <v>254</v>
      </c>
      <c r="B217" s="2">
        <v>1.3331829479999999</v>
      </c>
      <c r="C217">
        <v>10</v>
      </c>
      <c r="D217" s="2">
        <v>1.497234092</v>
      </c>
      <c r="E217" s="2">
        <v>1.313222079</v>
      </c>
      <c r="F217" s="3">
        <v>1.7265077010000001</v>
      </c>
      <c r="G217">
        <v>-23.9</v>
      </c>
      <c r="H217">
        <v>0.19</v>
      </c>
      <c r="I217" s="8">
        <v>207430.31599999999</v>
      </c>
      <c r="J217" s="8">
        <v>366359.9498</v>
      </c>
      <c r="K217" s="8" t="s">
        <v>34</v>
      </c>
      <c r="L217" s="8" t="s">
        <v>43</v>
      </c>
      <c r="M217">
        <v>6.4</v>
      </c>
      <c r="N217">
        <v>20</v>
      </c>
      <c r="O217" s="7"/>
    </row>
    <row r="218" spans="1:15" ht="16" x14ac:dyDescent="0.2">
      <c r="A218" t="s">
        <v>255</v>
      </c>
      <c r="B218" s="2">
        <v>1.293948442</v>
      </c>
      <c r="C218">
        <v>10</v>
      </c>
      <c r="D218" s="2">
        <v>3.6673604919999998</v>
      </c>
      <c r="E218" s="2">
        <v>1.2464946880000001</v>
      </c>
      <c r="F218" s="3">
        <v>1.361897116</v>
      </c>
      <c r="G218">
        <v>-22.7</v>
      </c>
      <c r="H218">
        <v>0.16</v>
      </c>
      <c r="I218" s="8">
        <v>207430.31599999999</v>
      </c>
      <c r="J218" s="8">
        <v>366359.9498</v>
      </c>
      <c r="K218" s="8" t="s">
        <v>34</v>
      </c>
      <c r="L218" s="8" t="s">
        <v>43</v>
      </c>
      <c r="M218">
        <v>6.4</v>
      </c>
      <c r="N218">
        <v>30</v>
      </c>
      <c r="O218" s="7"/>
    </row>
    <row r="219" spans="1:15" ht="16" x14ac:dyDescent="0.2">
      <c r="A219" t="s">
        <v>256</v>
      </c>
      <c r="B219" s="2">
        <v>1.177097938</v>
      </c>
      <c r="C219">
        <v>10</v>
      </c>
      <c r="D219" s="2">
        <v>0.56481172899999998</v>
      </c>
      <c r="E219" s="2">
        <v>1.1704495509999999</v>
      </c>
      <c r="F219" s="3">
        <v>0.407162368</v>
      </c>
      <c r="G219">
        <v>-24.6</v>
      </c>
      <c r="H219">
        <v>8.8999999999999996E-2</v>
      </c>
      <c r="I219" s="8">
        <v>207430.31599999999</v>
      </c>
      <c r="J219" s="8">
        <v>366359.9498</v>
      </c>
      <c r="K219" s="8" t="s">
        <v>34</v>
      </c>
      <c r="L219" s="8" t="s">
        <v>43</v>
      </c>
      <c r="M219">
        <v>4.8</v>
      </c>
      <c r="N219">
        <v>40</v>
      </c>
      <c r="O219" s="7"/>
    </row>
    <row r="220" spans="1:15" ht="16" x14ac:dyDescent="0.2">
      <c r="A220" t="s">
        <v>257</v>
      </c>
      <c r="B220" s="2">
        <v>1.5408827110000001</v>
      </c>
      <c r="C220">
        <v>10</v>
      </c>
      <c r="D220" s="2">
        <v>0.40597409000000001</v>
      </c>
      <c r="E220" s="2">
        <v>1.534627127</v>
      </c>
      <c r="F220" s="3">
        <v>0.191849251</v>
      </c>
      <c r="G220">
        <v>-24.3</v>
      </c>
      <c r="H220">
        <v>6.6000000000000003E-2</v>
      </c>
      <c r="I220" s="8">
        <v>207430.31599999999</v>
      </c>
      <c r="J220" s="8">
        <v>366359.9498</v>
      </c>
      <c r="K220" s="8" t="s">
        <v>34</v>
      </c>
      <c r="L220" s="8" t="s">
        <v>43</v>
      </c>
      <c r="M220">
        <v>3.4</v>
      </c>
      <c r="N220">
        <v>50</v>
      </c>
      <c r="O220" s="7"/>
    </row>
    <row r="221" spans="1:15" ht="16" x14ac:dyDescent="0.2">
      <c r="A221" t="s">
        <v>258</v>
      </c>
      <c r="B221" s="2">
        <v>1.6229121449999999</v>
      </c>
      <c r="C221">
        <v>10</v>
      </c>
      <c r="D221" s="2">
        <v>2.3161551999999998E-2</v>
      </c>
      <c r="E221" s="2">
        <v>1.6225362539999999</v>
      </c>
      <c r="F221" s="3">
        <v>0.122692026</v>
      </c>
      <c r="G221">
        <v>-25.7</v>
      </c>
      <c r="H221">
        <v>0.05</v>
      </c>
      <c r="I221" s="8">
        <v>207430.31599999999</v>
      </c>
      <c r="J221" s="8">
        <v>366359.9498</v>
      </c>
      <c r="K221" s="8" t="s">
        <v>34</v>
      </c>
      <c r="L221" s="8" t="s">
        <v>43</v>
      </c>
      <c r="M221">
        <v>2.7</v>
      </c>
      <c r="N221">
        <v>60</v>
      </c>
      <c r="O221" s="7"/>
    </row>
    <row r="222" spans="1:15" ht="16" x14ac:dyDescent="0.2">
      <c r="A222" t="s">
        <v>259</v>
      </c>
      <c r="B222" s="2">
        <v>1.3722821380000001</v>
      </c>
      <c r="C222">
        <v>10</v>
      </c>
      <c r="D222" s="2">
        <v>0</v>
      </c>
      <c r="E222" s="2">
        <v>1.3722821380000001</v>
      </c>
      <c r="F222" s="3">
        <v>0.111845561</v>
      </c>
      <c r="G222">
        <v>-24.4</v>
      </c>
      <c r="H222">
        <v>5.3999999999999999E-2</v>
      </c>
      <c r="I222" s="8">
        <v>207430.31599999999</v>
      </c>
      <c r="J222" s="8">
        <v>366359.9498</v>
      </c>
      <c r="K222" s="8" t="s">
        <v>34</v>
      </c>
      <c r="L222" s="8" t="s">
        <v>43</v>
      </c>
      <c r="M222">
        <v>2.35</v>
      </c>
      <c r="N222">
        <v>70</v>
      </c>
    </row>
    <row r="223" spans="1:15" ht="16" x14ac:dyDescent="0.2">
      <c r="A223" t="s">
        <v>260</v>
      </c>
      <c r="B223" s="2">
        <v>1.5745523880000001</v>
      </c>
      <c r="C223">
        <v>10</v>
      </c>
      <c r="D223" s="2">
        <v>0</v>
      </c>
      <c r="E223" s="2">
        <v>1.5745523880000001</v>
      </c>
      <c r="F223" s="3">
        <v>9.5671139000000002E-2</v>
      </c>
      <c r="G223">
        <v>-25.2</v>
      </c>
      <c r="H223">
        <v>6.2E-2</v>
      </c>
      <c r="I223" s="8">
        <v>207430.31599999999</v>
      </c>
      <c r="J223" s="8">
        <v>366359.9498</v>
      </c>
      <c r="K223" s="8" t="s">
        <v>34</v>
      </c>
      <c r="L223" s="8" t="s">
        <v>43</v>
      </c>
      <c r="M223">
        <v>1.8</v>
      </c>
      <c r="N223">
        <v>80</v>
      </c>
    </row>
    <row r="224" spans="1:15" ht="16" x14ac:dyDescent="0.2">
      <c r="A224" t="s">
        <v>261</v>
      </c>
      <c r="B224" s="2">
        <v>1.4917237590000001</v>
      </c>
      <c r="C224">
        <v>10</v>
      </c>
      <c r="D224" s="2">
        <v>0</v>
      </c>
      <c r="E224" s="2">
        <v>1.4917237590000001</v>
      </c>
      <c r="F224" s="3">
        <v>9.0646365000000007E-2</v>
      </c>
      <c r="G224">
        <v>-25.8</v>
      </c>
      <c r="H224">
        <v>5.8999999999999997E-2</v>
      </c>
      <c r="I224" s="8">
        <v>207430.31599999999</v>
      </c>
      <c r="J224" s="8">
        <v>366359.9498</v>
      </c>
      <c r="K224" s="8" t="s">
        <v>34</v>
      </c>
      <c r="L224" s="8" t="s">
        <v>43</v>
      </c>
      <c r="M224">
        <v>2</v>
      </c>
      <c r="N224">
        <v>90</v>
      </c>
    </row>
    <row r="225" spans="1:14" ht="16" x14ac:dyDescent="0.2">
      <c r="A225" t="s">
        <v>264</v>
      </c>
      <c r="B225" s="2">
        <v>1.1070597520000001</v>
      </c>
      <c r="C225">
        <v>10</v>
      </c>
      <c r="D225" s="2">
        <v>6.6531149510000001</v>
      </c>
      <c r="E225" s="2">
        <v>1.0334057940000001</v>
      </c>
      <c r="F225" s="3">
        <v>1.6623148210000001</v>
      </c>
      <c r="G225">
        <v>-25.3</v>
      </c>
      <c r="H225">
        <v>0.18</v>
      </c>
      <c r="I225" s="8">
        <v>207422.5411</v>
      </c>
      <c r="J225" s="8">
        <v>366372.06430000003</v>
      </c>
      <c r="K225" s="8" t="s">
        <v>34</v>
      </c>
      <c r="L225" s="8" t="s">
        <v>68</v>
      </c>
      <c r="M225">
        <v>6</v>
      </c>
      <c r="N225">
        <v>10</v>
      </c>
    </row>
    <row r="226" spans="1:14" ht="16" x14ac:dyDescent="0.2">
      <c r="A226" t="s">
        <v>273</v>
      </c>
      <c r="B226" s="2">
        <v>1.367192017</v>
      </c>
      <c r="C226">
        <v>10</v>
      </c>
      <c r="D226" s="2">
        <v>0</v>
      </c>
      <c r="E226" s="2">
        <v>1.367192017</v>
      </c>
      <c r="F226" s="3">
        <v>9.6139671999999995E-2</v>
      </c>
      <c r="G226">
        <v>-25.7</v>
      </c>
      <c r="H226">
        <v>6.3E-2</v>
      </c>
      <c r="I226" s="8">
        <v>207422.5411</v>
      </c>
      <c r="J226" s="8">
        <v>366372.06430000003</v>
      </c>
      <c r="K226" s="8" t="s">
        <v>34</v>
      </c>
      <c r="L226" s="8" t="s">
        <v>68</v>
      </c>
      <c r="M226">
        <v>2.2000000000000002</v>
      </c>
      <c r="N226">
        <v>100</v>
      </c>
    </row>
    <row r="227" spans="1:14" ht="16" x14ac:dyDescent="0.2">
      <c r="A227" t="s">
        <v>274</v>
      </c>
      <c r="B227" s="2">
        <v>1.676106895</v>
      </c>
      <c r="C227">
        <v>10</v>
      </c>
      <c r="D227" s="2">
        <v>0</v>
      </c>
      <c r="E227" s="2">
        <v>1.676106895</v>
      </c>
      <c r="F227" s="3">
        <v>0.11806966100000001</v>
      </c>
      <c r="G227">
        <v>-25.9</v>
      </c>
      <c r="H227">
        <v>6.0999999999999999E-2</v>
      </c>
      <c r="I227" s="8">
        <v>207422.5411</v>
      </c>
      <c r="J227" s="8">
        <v>366372.06430000003</v>
      </c>
      <c r="K227" s="8" t="s">
        <v>34</v>
      </c>
      <c r="L227" s="8" t="s">
        <v>68</v>
      </c>
      <c r="M227">
        <v>2.1</v>
      </c>
      <c r="N227">
        <v>110</v>
      </c>
    </row>
    <row r="228" spans="1:14" ht="16" x14ac:dyDescent="0.2">
      <c r="A228" t="s">
        <v>265</v>
      </c>
      <c r="B228" s="2">
        <v>1.4297655339999999</v>
      </c>
      <c r="C228">
        <v>10</v>
      </c>
      <c r="D228" s="2">
        <v>2.8236687950000001</v>
      </c>
      <c r="E228" s="2">
        <v>1.3893936899999999</v>
      </c>
      <c r="F228" s="3">
        <v>1.624664127</v>
      </c>
      <c r="G228">
        <v>-24.3</v>
      </c>
      <c r="H228">
        <v>0.17</v>
      </c>
      <c r="I228" s="8">
        <v>207422.5411</v>
      </c>
      <c r="J228" s="8">
        <v>366372.06430000003</v>
      </c>
      <c r="K228" s="8" t="s">
        <v>34</v>
      </c>
      <c r="L228" s="8" t="s">
        <v>68</v>
      </c>
      <c r="M228">
        <v>6.6</v>
      </c>
      <c r="N228">
        <v>20</v>
      </c>
    </row>
    <row r="229" spans="1:14" ht="16" x14ac:dyDescent="0.2">
      <c r="A229" t="s">
        <v>266</v>
      </c>
      <c r="B229" s="2">
        <v>1.1281583129999999</v>
      </c>
      <c r="C229">
        <v>10</v>
      </c>
      <c r="D229" s="2">
        <v>1.3669577319999999</v>
      </c>
      <c r="E229" s="2">
        <v>1.1127368660000001</v>
      </c>
      <c r="F229" s="3">
        <v>0.84765094200000002</v>
      </c>
      <c r="G229">
        <v>-24.7</v>
      </c>
      <c r="H229">
        <v>0.12</v>
      </c>
      <c r="I229" s="8">
        <v>207422.5411</v>
      </c>
      <c r="J229" s="8">
        <v>366372.06430000003</v>
      </c>
      <c r="K229" s="8" t="s">
        <v>34</v>
      </c>
      <c r="L229" s="8" t="s">
        <v>68</v>
      </c>
      <c r="M229">
        <v>5.7</v>
      </c>
      <c r="N229">
        <v>30</v>
      </c>
    </row>
    <row r="230" spans="1:14" ht="16" x14ac:dyDescent="0.2">
      <c r="A230" t="s">
        <v>267</v>
      </c>
      <c r="B230" s="2">
        <v>1.2504455459999999</v>
      </c>
      <c r="C230">
        <v>10</v>
      </c>
      <c r="D230" s="2">
        <v>1.5997214989999999</v>
      </c>
      <c r="E230" s="2">
        <v>1.2304419</v>
      </c>
      <c r="F230" s="3">
        <v>0.32964821900000002</v>
      </c>
      <c r="G230">
        <v>-25.3</v>
      </c>
      <c r="H230">
        <v>9.1999999999999998E-2</v>
      </c>
      <c r="I230" s="8">
        <v>207422.5411</v>
      </c>
      <c r="J230" s="8">
        <v>366372.06430000003</v>
      </c>
      <c r="K230" s="8" t="s">
        <v>34</v>
      </c>
      <c r="L230" s="8" t="s">
        <v>68</v>
      </c>
      <c r="M230">
        <v>3.75</v>
      </c>
      <c r="N230">
        <v>40</v>
      </c>
    </row>
    <row r="231" spans="1:14" ht="16" x14ac:dyDescent="0.2">
      <c r="A231" t="s">
        <v>268</v>
      </c>
      <c r="B231" s="2">
        <v>1.402192476</v>
      </c>
      <c r="C231">
        <v>10</v>
      </c>
      <c r="D231" s="2">
        <v>1.425288117</v>
      </c>
      <c r="E231" s="2">
        <v>1.3822071929999999</v>
      </c>
      <c r="F231" s="3">
        <v>0.19364622500000001</v>
      </c>
      <c r="G231">
        <v>-25.4</v>
      </c>
      <c r="H231">
        <v>7.5999999999999998E-2</v>
      </c>
      <c r="I231" s="8">
        <v>207422.5411</v>
      </c>
      <c r="J231" s="8">
        <v>366372.06430000003</v>
      </c>
      <c r="K231" s="8" t="s">
        <v>34</v>
      </c>
      <c r="L231" s="8" t="s">
        <v>68</v>
      </c>
      <c r="M231">
        <v>2.9</v>
      </c>
      <c r="N231">
        <v>50</v>
      </c>
    </row>
    <row r="232" spans="1:14" ht="16" x14ac:dyDescent="0.2">
      <c r="A232" t="s">
        <v>269</v>
      </c>
      <c r="B232" s="2">
        <v>1.5234981320000001</v>
      </c>
      <c r="C232">
        <v>10</v>
      </c>
      <c r="D232" s="2">
        <v>0.209678218</v>
      </c>
      <c r="E232" s="2">
        <v>1.520303688</v>
      </c>
      <c r="F232" s="3">
        <v>0.200929524</v>
      </c>
      <c r="G232">
        <v>-26.4</v>
      </c>
      <c r="H232">
        <v>5.8000000000000003E-2</v>
      </c>
      <c r="I232" s="8">
        <v>207422.5411</v>
      </c>
      <c r="J232" s="8">
        <v>366372.06430000003</v>
      </c>
      <c r="K232" s="8" t="s">
        <v>34</v>
      </c>
      <c r="L232" s="8" t="s">
        <v>68</v>
      </c>
      <c r="M232">
        <v>2.8</v>
      </c>
      <c r="N232">
        <v>60</v>
      </c>
    </row>
    <row r="233" spans="1:14" ht="16" x14ac:dyDescent="0.2">
      <c r="A233" t="s">
        <v>270</v>
      </c>
      <c r="B233" s="2">
        <v>1.7273197950000001</v>
      </c>
      <c r="C233">
        <v>10</v>
      </c>
      <c r="D233" s="2">
        <v>0</v>
      </c>
      <c r="E233" s="2">
        <v>1.7273197950000001</v>
      </c>
      <c r="F233" s="3">
        <v>0.118891577</v>
      </c>
      <c r="G233">
        <v>-25.8</v>
      </c>
      <c r="H233">
        <v>0.06</v>
      </c>
      <c r="I233" s="8">
        <v>207422.5411</v>
      </c>
      <c r="J233" s="8">
        <v>366372.06430000003</v>
      </c>
      <c r="K233" s="8" t="s">
        <v>34</v>
      </c>
      <c r="L233" s="8" t="s">
        <v>68</v>
      </c>
      <c r="M233">
        <v>2.2000000000000002</v>
      </c>
      <c r="N233">
        <v>70</v>
      </c>
    </row>
    <row r="234" spans="1:14" ht="16" x14ac:dyDescent="0.2">
      <c r="A234" t="s">
        <v>271</v>
      </c>
      <c r="B234" s="2">
        <v>1.5631685390000001</v>
      </c>
      <c r="C234">
        <v>10</v>
      </c>
      <c r="D234" s="2">
        <v>0</v>
      </c>
      <c r="E234" s="2">
        <v>1.5631685390000001</v>
      </c>
      <c r="F234" s="3">
        <v>0.131382368</v>
      </c>
      <c r="G234">
        <v>-26</v>
      </c>
      <c r="H234">
        <v>6.6000000000000003E-2</v>
      </c>
      <c r="I234" s="8">
        <v>207422.5411</v>
      </c>
      <c r="J234" s="8">
        <v>366372.06430000003</v>
      </c>
      <c r="K234" s="8" t="s">
        <v>34</v>
      </c>
      <c r="L234" s="8" t="s">
        <v>68</v>
      </c>
      <c r="M234">
        <v>2.6</v>
      </c>
      <c r="N234">
        <v>80</v>
      </c>
    </row>
    <row r="235" spans="1:14" ht="16" x14ac:dyDescent="0.2">
      <c r="A235" t="s">
        <v>272</v>
      </c>
      <c r="B235" s="2">
        <v>1.6270128530000001</v>
      </c>
      <c r="C235">
        <v>10</v>
      </c>
      <c r="D235" s="2">
        <v>0</v>
      </c>
      <c r="E235" s="2">
        <v>1.6270128530000001</v>
      </c>
      <c r="F235" s="3">
        <v>0.10375031</v>
      </c>
      <c r="G235">
        <v>-25.6</v>
      </c>
      <c r="H235">
        <v>0.06</v>
      </c>
      <c r="I235" s="8">
        <v>207422.5411</v>
      </c>
      <c r="J235" s="8">
        <v>366372.06430000003</v>
      </c>
      <c r="K235" s="8" t="s">
        <v>34</v>
      </c>
      <c r="L235" s="8" t="s">
        <v>68</v>
      </c>
      <c r="M235">
        <v>2.2999999999999998</v>
      </c>
      <c r="N235">
        <v>90</v>
      </c>
    </row>
    <row r="236" spans="1:14" ht="16" x14ac:dyDescent="0.2">
      <c r="A236" t="s">
        <v>275</v>
      </c>
      <c r="B236" s="2">
        <v>1.0720753780000001</v>
      </c>
      <c r="C236">
        <v>10</v>
      </c>
      <c r="D236" s="2">
        <v>1.034814962</v>
      </c>
      <c r="E236" s="2">
        <v>1.0609813809999999</v>
      </c>
      <c r="F236" s="3">
        <v>1.5315795699999999</v>
      </c>
      <c r="G236">
        <v>-25.1</v>
      </c>
      <c r="H236">
        <v>0.17</v>
      </c>
      <c r="I236" s="8">
        <v>207414.62849999999</v>
      </c>
      <c r="J236" s="8">
        <v>366360.11829999997</v>
      </c>
      <c r="K236" s="8" t="s">
        <v>34</v>
      </c>
      <c r="L236" s="8" t="s">
        <v>81</v>
      </c>
      <c r="M236">
        <v>6.5</v>
      </c>
      <c r="N236">
        <v>10</v>
      </c>
    </row>
    <row r="237" spans="1:14" ht="16" x14ac:dyDescent="0.2">
      <c r="A237" t="s">
        <v>276</v>
      </c>
      <c r="B237" s="2">
        <v>1.270038333</v>
      </c>
      <c r="C237">
        <v>10</v>
      </c>
      <c r="D237" s="2">
        <v>4.6779672200000002</v>
      </c>
      <c r="E237" s="2">
        <v>1.2106263559999999</v>
      </c>
      <c r="F237" s="3">
        <v>1.5299223399999999</v>
      </c>
      <c r="G237">
        <v>-23.9</v>
      </c>
      <c r="H237">
        <v>0.18</v>
      </c>
      <c r="I237" s="8">
        <v>207414.62849999999</v>
      </c>
      <c r="J237" s="8">
        <v>366360.11829999997</v>
      </c>
      <c r="K237" s="8" t="s">
        <v>34</v>
      </c>
      <c r="L237" s="8" t="s">
        <v>81</v>
      </c>
      <c r="M237">
        <v>6.6</v>
      </c>
      <c r="N237">
        <v>20</v>
      </c>
    </row>
    <row r="238" spans="1:14" ht="16" x14ac:dyDescent="0.2">
      <c r="A238" t="s">
        <v>277</v>
      </c>
      <c r="B238" s="2">
        <v>1.3680456400000001</v>
      </c>
      <c r="C238">
        <v>10</v>
      </c>
      <c r="D238" s="2">
        <v>4.1480791000000004</v>
      </c>
      <c r="E238" s="2">
        <v>1.3112980249999999</v>
      </c>
      <c r="F238" s="3">
        <v>1.4302082970000001</v>
      </c>
      <c r="G238">
        <v>-23.5</v>
      </c>
      <c r="H238">
        <v>0.16</v>
      </c>
      <c r="I238" s="8">
        <v>207414.62849999999</v>
      </c>
      <c r="J238" s="8">
        <v>366360.11829999997</v>
      </c>
      <c r="K238" s="8" t="s">
        <v>34</v>
      </c>
      <c r="L238" s="8" t="s">
        <v>81</v>
      </c>
      <c r="M238">
        <v>7</v>
      </c>
      <c r="N238">
        <v>30</v>
      </c>
    </row>
    <row r="239" spans="1:14" ht="16" x14ac:dyDescent="0.2">
      <c r="A239" t="s">
        <v>278</v>
      </c>
      <c r="B239" s="2">
        <v>1.3128753950000001</v>
      </c>
      <c r="C239">
        <v>10</v>
      </c>
      <c r="D239" s="2">
        <v>1.3917062950000001</v>
      </c>
      <c r="E239" s="2">
        <v>1.294604026</v>
      </c>
      <c r="F239" s="3">
        <v>0.42379736200000001</v>
      </c>
      <c r="G239">
        <v>-24.4</v>
      </c>
      <c r="H239">
        <v>0.1</v>
      </c>
      <c r="I239" s="8">
        <v>207414.62849999999</v>
      </c>
      <c r="J239" s="8">
        <v>366360.11829999997</v>
      </c>
      <c r="K239" s="8" t="s">
        <v>34</v>
      </c>
      <c r="L239" s="8" t="s">
        <v>81</v>
      </c>
      <c r="M239">
        <v>4.9000000000000004</v>
      </c>
      <c r="N239">
        <v>40</v>
      </c>
    </row>
    <row r="240" spans="1:14" ht="16" x14ac:dyDescent="0.2">
      <c r="A240" t="s">
        <v>279</v>
      </c>
      <c r="B240" s="2">
        <v>1.396488468</v>
      </c>
      <c r="C240">
        <v>10</v>
      </c>
      <c r="D240" s="2">
        <v>4.3990612670000004</v>
      </c>
      <c r="E240" s="2">
        <v>1.3350560840000001</v>
      </c>
      <c r="F240" s="3">
        <v>0.240997289</v>
      </c>
      <c r="G240">
        <v>-23.6</v>
      </c>
      <c r="H240">
        <v>8.1000000000000003E-2</v>
      </c>
      <c r="I240" s="8">
        <v>207414.62849999999</v>
      </c>
      <c r="J240" s="8">
        <v>366360.11829999997</v>
      </c>
      <c r="K240" s="8" t="s">
        <v>34</v>
      </c>
      <c r="L240" s="8" t="s">
        <v>81</v>
      </c>
      <c r="M240">
        <v>3.9</v>
      </c>
      <c r="N240">
        <v>50</v>
      </c>
    </row>
    <row r="241" spans="1:14" ht="16" x14ac:dyDescent="0.2">
      <c r="A241" t="s">
        <v>280</v>
      </c>
      <c r="B241" s="2">
        <v>1.457115956</v>
      </c>
      <c r="C241">
        <v>10</v>
      </c>
      <c r="D241" s="2">
        <v>1.153737612</v>
      </c>
      <c r="E241" s="2">
        <v>1.4403046610000001</v>
      </c>
      <c r="F241" s="3">
        <v>0.16380882799999999</v>
      </c>
      <c r="G241">
        <v>-24.1</v>
      </c>
      <c r="H241">
        <v>6.2E-2</v>
      </c>
      <c r="I241" s="8">
        <v>207414.62849999999</v>
      </c>
      <c r="J241" s="8">
        <v>366360.11829999997</v>
      </c>
      <c r="K241" s="8" t="s">
        <v>34</v>
      </c>
      <c r="L241" s="8" t="s">
        <v>81</v>
      </c>
      <c r="M241">
        <v>3</v>
      </c>
      <c r="N241">
        <v>60</v>
      </c>
    </row>
    <row r="242" spans="1:14" ht="16" x14ac:dyDescent="0.2">
      <c r="A242" t="s">
        <v>281</v>
      </c>
      <c r="B242" s="2">
        <v>1.3505671269999999</v>
      </c>
      <c r="C242">
        <v>10</v>
      </c>
      <c r="D242" s="2">
        <v>0</v>
      </c>
      <c r="E242" s="2">
        <v>1.3505671269999999</v>
      </c>
      <c r="F242" s="3">
        <v>0.211204643</v>
      </c>
      <c r="G242">
        <v>-11.4</v>
      </c>
      <c r="H242">
        <v>4.7E-2</v>
      </c>
      <c r="I242" s="8">
        <v>207414.62849999999</v>
      </c>
      <c r="J242" s="8">
        <v>366360.11829999997</v>
      </c>
      <c r="K242" s="8" t="s">
        <v>34</v>
      </c>
      <c r="L242" s="8" t="s">
        <v>81</v>
      </c>
      <c r="M242">
        <v>2.2999999999999998</v>
      </c>
      <c r="N242">
        <v>70</v>
      </c>
    </row>
    <row r="243" spans="1:14" ht="16" x14ac:dyDescent="0.2">
      <c r="A243" t="s">
        <v>282</v>
      </c>
      <c r="B243" s="2">
        <v>1.6250797269999999</v>
      </c>
      <c r="C243">
        <v>10</v>
      </c>
      <c r="D243" s="2">
        <v>0</v>
      </c>
      <c r="E243" s="2">
        <v>1.6250797269999999</v>
      </c>
      <c r="F243" s="3">
        <v>0.55270417100000002</v>
      </c>
      <c r="G243">
        <v>-7.8</v>
      </c>
      <c r="H243">
        <v>6.2E-2</v>
      </c>
      <c r="I243" s="8">
        <v>207414.62849999999</v>
      </c>
      <c r="J243" s="8">
        <v>366360.11829999997</v>
      </c>
      <c r="K243" s="8" t="s">
        <v>34</v>
      </c>
      <c r="L243" s="8" t="s">
        <v>81</v>
      </c>
      <c r="M243">
        <v>1.9</v>
      </c>
      <c r="N243">
        <v>80</v>
      </c>
    </row>
    <row r="244" spans="1:14" ht="16" x14ac:dyDescent="0.2">
      <c r="A244" t="s">
        <v>283</v>
      </c>
      <c r="B244" s="2">
        <v>1.48595433</v>
      </c>
      <c r="C244">
        <v>10</v>
      </c>
      <c r="D244" s="2">
        <v>0</v>
      </c>
      <c r="E244" s="2">
        <v>1.48595433</v>
      </c>
      <c r="F244" s="3">
        <v>1.050114454</v>
      </c>
      <c r="G244">
        <v>-8.5</v>
      </c>
      <c r="H244">
        <v>0.06</v>
      </c>
      <c r="I244" s="8">
        <v>207414.62849999999</v>
      </c>
      <c r="J244" s="8">
        <v>366360.11829999997</v>
      </c>
      <c r="K244" s="8" t="s">
        <v>34</v>
      </c>
      <c r="L244" s="8" t="s">
        <v>81</v>
      </c>
      <c r="M244">
        <v>1.3</v>
      </c>
      <c r="N244">
        <v>90</v>
      </c>
    </row>
    <row r="245" spans="1:14" ht="16" x14ac:dyDescent="0.2">
      <c r="A245" t="s">
        <v>313</v>
      </c>
      <c r="B245" s="2">
        <v>1.4643327820000001</v>
      </c>
      <c r="C245">
        <v>10</v>
      </c>
      <c r="D245" s="2">
        <v>9.1026446999999996E-2</v>
      </c>
      <c r="E245" s="2">
        <v>1.462999852</v>
      </c>
      <c r="F245" s="3">
        <v>0.80018222800000005</v>
      </c>
      <c r="G245">
        <v>-22.05</v>
      </c>
      <c r="H245">
        <v>9.6500000000000002E-2</v>
      </c>
      <c r="I245" s="8">
        <v>208120.5123</v>
      </c>
      <c r="J245" s="8">
        <v>365491.67170000001</v>
      </c>
      <c r="K245" s="8" t="s">
        <v>314</v>
      </c>
      <c r="L245" s="8" t="s">
        <v>43</v>
      </c>
      <c r="M245">
        <v>5.05</v>
      </c>
      <c r="N245">
        <v>10</v>
      </c>
    </row>
    <row r="246" spans="1:14" ht="16" x14ac:dyDescent="0.2">
      <c r="A246" t="s">
        <v>323</v>
      </c>
      <c r="B246" s="2">
        <v>1.5677667900000001</v>
      </c>
      <c r="C246">
        <v>10</v>
      </c>
      <c r="D246" s="2">
        <v>7.967863E-2</v>
      </c>
      <c r="E246" s="2">
        <v>1.566517615</v>
      </c>
      <c r="F246" s="3">
        <v>8.4805353E-2</v>
      </c>
      <c r="G246">
        <v>-27.5</v>
      </c>
      <c r="H246">
        <v>2.5999999999999999E-2</v>
      </c>
      <c r="I246" s="8">
        <v>208120.5123</v>
      </c>
      <c r="J246" s="8">
        <v>365491.67170000001</v>
      </c>
      <c r="K246" s="8" t="s">
        <v>314</v>
      </c>
      <c r="L246" s="8" t="s">
        <v>43</v>
      </c>
      <c r="M246">
        <v>2.9</v>
      </c>
      <c r="N246">
        <v>100</v>
      </c>
    </row>
    <row r="247" spans="1:14" ht="16" x14ac:dyDescent="0.2">
      <c r="A247" t="s">
        <v>324</v>
      </c>
      <c r="B247" s="2">
        <v>1.671664963</v>
      </c>
      <c r="C247">
        <v>10</v>
      </c>
      <c r="D247" s="2">
        <v>0.25717177400000002</v>
      </c>
      <c r="E247" s="2">
        <v>1.667365913</v>
      </c>
      <c r="F247" s="3">
        <v>7.6715329999999998E-2</v>
      </c>
      <c r="G247">
        <v>-26.9</v>
      </c>
      <c r="H247">
        <v>2.5000000000000001E-2</v>
      </c>
      <c r="I247" s="8">
        <v>208120.5123</v>
      </c>
      <c r="J247" s="8">
        <v>365491.67170000001</v>
      </c>
      <c r="K247" s="8" t="s">
        <v>314</v>
      </c>
      <c r="L247" s="8" t="s">
        <v>43</v>
      </c>
      <c r="M247">
        <v>3.1</v>
      </c>
      <c r="N247">
        <v>110</v>
      </c>
    </row>
    <row r="248" spans="1:14" ht="16" x14ac:dyDescent="0.2">
      <c r="A248" t="s">
        <v>315</v>
      </c>
      <c r="B248" s="2">
        <v>1.4799865999999999</v>
      </c>
      <c r="C248">
        <v>10</v>
      </c>
      <c r="D248" s="2">
        <v>0</v>
      </c>
      <c r="E248" s="2">
        <v>1.4799865999999999</v>
      </c>
      <c r="F248" s="3">
        <v>0.87509480399999995</v>
      </c>
      <c r="G248">
        <v>-22</v>
      </c>
      <c r="H248">
        <v>0.1</v>
      </c>
      <c r="I248" s="8">
        <v>208120.5123</v>
      </c>
      <c r="J248" s="8">
        <v>365491.67170000001</v>
      </c>
      <c r="K248" s="8" t="s">
        <v>314</v>
      </c>
      <c r="L248" s="8" t="s">
        <v>43</v>
      </c>
      <c r="M248">
        <v>4.9000000000000004</v>
      </c>
      <c r="N248">
        <v>20</v>
      </c>
    </row>
    <row r="249" spans="1:14" ht="16" x14ac:dyDescent="0.2">
      <c r="A249" t="s">
        <v>316</v>
      </c>
      <c r="B249" s="2">
        <v>1.430468289</v>
      </c>
      <c r="C249">
        <v>10</v>
      </c>
      <c r="D249" s="2">
        <v>9.3672965999999996E-2</v>
      </c>
      <c r="E249" s="2">
        <v>1.4291283260000001</v>
      </c>
      <c r="F249" s="3">
        <v>1.041618736</v>
      </c>
      <c r="G249">
        <v>-22.7</v>
      </c>
      <c r="H249">
        <v>0.12</v>
      </c>
      <c r="I249" s="8">
        <v>208120.5123</v>
      </c>
      <c r="J249" s="8">
        <v>365491.67170000001</v>
      </c>
      <c r="K249" s="8" t="s">
        <v>314</v>
      </c>
      <c r="L249" s="8" t="s">
        <v>43</v>
      </c>
      <c r="M249">
        <v>5.6</v>
      </c>
      <c r="N249">
        <v>30</v>
      </c>
    </row>
    <row r="250" spans="1:14" ht="16" x14ac:dyDescent="0.2">
      <c r="A250" t="s">
        <v>317</v>
      </c>
      <c r="B250" s="2">
        <v>1.5092803379999999</v>
      </c>
      <c r="C250">
        <v>10</v>
      </c>
      <c r="D250" s="2">
        <v>1.1578285749999999</v>
      </c>
      <c r="E250" s="2">
        <v>1.4918054590000001</v>
      </c>
      <c r="F250" s="3">
        <v>0.46914718999999999</v>
      </c>
      <c r="G250">
        <v>-22.8</v>
      </c>
      <c r="H250">
        <v>6.5000000000000002E-2</v>
      </c>
      <c r="I250" s="8">
        <v>208120.5123</v>
      </c>
      <c r="J250" s="8">
        <v>365491.67170000001</v>
      </c>
      <c r="K250" s="8" t="s">
        <v>314</v>
      </c>
      <c r="L250" s="8" t="s">
        <v>43</v>
      </c>
      <c r="M250">
        <v>5.9</v>
      </c>
      <c r="N250">
        <v>40</v>
      </c>
    </row>
    <row r="251" spans="1:14" ht="16" x14ac:dyDescent="0.2">
      <c r="A251" t="s">
        <v>318</v>
      </c>
      <c r="B251" s="2">
        <v>1.381877432</v>
      </c>
      <c r="C251">
        <v>10</v>
      </c>
      <c r="D251" s="2">
        <v>0.22588360399999999</v>
      </c>
      <c r="E251" s="2">
        <v>1.3787559970000001</v>
      </c>
      <c r="F251" s="3">
        <v>0.30191996900000001</v>
      </c>
      <c r="G251">
        <v>-22.2</v>
      </c>
      <c r="H251">
        <v>5.1999999999999998E-2</v>
      </c>
      <c r="I251" s="8">
        <v>208120.5123</v>
      </c>
      <c r="J251" s="8">
        <v>365491.67170000001</v>
      </c>
      <c r="K251" s="8" t="s">
        <v>314</v>
      </c>
      <c r="L251" s="8" t="s">
        <v>43</v>
      </c>
      <c r="M251">
        <v>5.8</v>
      </c>
      <c r="N251">
        <v>50</v>
      </c>
    </row>
    <row r="252" spans="1:14" ht="16" x14ac:dyDescent="0.2">
      <c r="A252" t="s">
        <v>319</v>
      </c>
      <c r="B252" s="2">
        <v>1.5014122400000001</v>
      </c>
      <c r="C252">
        <v>10</v>
      </c>
      <c r="D252" s="2">
        <v>0.38236170400000002</v>
      </c>
      <c r="E252" s="2">
        <v>1.495671414</v>
      </c>
      <c r="F252" s="3">
        <v>0.195571468</v>
      </c>
      <c r="G252">
        <v>-22.5</v>
      </c>
      <c r="H252">
        <v>4.2000000000000003E-2</v>
      </c>
      <c r="I252" s="8">
        <v>208120.5123</v>
      </c>
      <c r="J252" s="8">
        <v>365491.67170000001</v>
      </c>
      <c r="K252" s="8" t="s">
        <v>314</v>
      </c>
      <c r="L252" s="8" t="s">
        <v>43</v>
      </c>
      <c r="M252">
        <v>5.2</v>
      </c>
      <c r="N252">
        <v>60</v>
      </c>
    </row>
    <row r="253" spans="1:14" ht="16" x14ac:dyDescent="0.2">
      <c r="A253" t="s">
        <v>320</v>
      </c>
      <c r="B253" s="2">
        <v>1.652923522</v>
      </c>
      <c r="C253">
        <v>10</v>
      </c>
      <c r="D253" s="2">
        <v>0</v>
      </c>
      <c r="E253" s="2">
        <v>1.652923522</v>
      </c>
      <c r="F253" s="3">
        <v>0.163205086</v>
      </c>
      <c r="G253">
        <v>-24.1</v>
      </c>
      <c r="H253">
        <v>3.5000000000000003E-2</v>
      </c>
      <c r="I253" s="8">
        <v>208120.5123</v>
      </c>
      <c r="J253" s="8">
        <v>365491.67170000001</v>
      </c>
      <c r="K253" s="8" t="s">
        <v>314</v>
      </c>
      <c r="L253" s="8" t="s">
        <v>43</v>
      </c>
      <c r="M253">
        <v>4.5999999999999996</v>
      </c>
      <c r="N253">
        <v>70</v>
      </c>
    </row>
    <row r="254" spans="1:14" ht="16" x14ac:dyDescent="0.2">
      <c r="A254" t="s">
        <v>321</v>
      </c>
      <c r="B254" s="2">
        <v>1.3500027139999999</v>
      </c>
      <c r="C254">
        <v>10</v>
      </c>
      <c r="D254" s="2">
        <v>0.16820580500000001</v>
      </c>
      <c r="E254" s="2">
        <v>1.347731931</v>
      </c>
      <c r="F254" s="3">
        <v>0.123583344</v>
      </c>
      <c r="G254">
        <v>-25</v>
      </c>
      <c r="H254">
        <v>3.0499999999999999E-2</v>
      </c>
      <c r="I254" s="8">
        <v>208120.5123</v>
      </c>
      <c r="J254" s="8">
        <v>365491.67170000001</v>
      </c>
      <c r="K254" s="8" t="s">
        <v>314</v>
      </c>
      <c r="L254" s="8" t="s">
        <v>43</v>
      </c>
      <c r="M254">
        <v>4.0999999999999996</v>
      </c>
      <c r="N254">
        <v>80</v>
      </c>
    </row>
    <row r="255" spans="1:14" ht="16" x14ac:dyDescent="0.2">
      <c r="A255" t="s">
        <v>322</v>
      </c>
      <c r="B255" s="2">
        <v>1.5064232369999999</v>
      </c>
      <c r="C255">
        <v>10</v>
      </c>
      <c r="D255" s="2">
        <v>1.9809499000000001E-2</v>
      </c>
      <c r="E255" s="2">
        <v>1.5061248229999999</v>
      </c>
      <c r="F255" s="3">
        <v>0.10279571699999999</v>
      </c>
      <c r="G255">
        <v>-25</v>
      </c>
      <c r="H255">
        <v>2.5999999999999999E-2</v>
      </c>
      <c r="I255" s="8">
        <v>208120.5123</v>
      </c>
      <c r="J255" s="8">
        <v>365491.67170000001</v>
      </c>
      <c r="K255" s="8" t="s">
        <v>314</v>
      </c>
      <c r="L255" s="8" t="s">
        <v>43</v>
      </c>
      <c r="M255">
        <v>2.9</v>
      </c>
      <c r="N255">
        <v>90</v>
      </c>
    </row>
    <row r="256" spans="1:14" ht="16" x14ac:dyDescent="0.2">
      <c r="A256" t="s">
        <v>325</v>
      </c>
      <c r="B256" s="2">
        <v>1.3215758310000001</v>
      </c>
      <c r="C256">
        <v>10</v>
      </c>
      <c r="D256" s="2">
        <v>0.54469984100000002</v>
      </c>
      <c r="E256" s="2">
        <v>1.31437721</v>
      </c>
      <c r="F256" s="3">
        <v>0.85926555000000004</v>
      </c>
      <c r="G256">
        <v>-23.3</v>
      </c>
      <c r="H256">
        <v>0.1</v>
      </c>
      <c r="I256" s="8">
        <v>208112.7346</v>
      </c>
      <c r="J256" s="8">
        <v>365503.91110000003</v>
      </c>
      <c r="K256" s="8" t="s">
        <v>314</v>
      </c>
      <c r="L256" s="8" t="s">
        <v>68</v>
      </c>
      <c r="M256">
        <v>5</v>
      </c>
      <c r="N256">
        <v>10</v>
      </c>
    </row>
    <row r="257" spans="1:14" ht="16" x14ac:dyDescent="0.2">
      <c r="A257" t="s">
        <v>334</v>
      </c>
      <c r="B257" s="2">
        <v>1.855958521</v>
      </c>
      <c r="C257">
        <v>10</v>
      </c>
      <c r="D257" s="2">
        <v>0.38542047400000001</v>
      </c>
      <c r="E257" s="2">
        <v>1.8488052770000001</v>
      </c>
      <c r="F257" s="3">
        <v>9.1177605999999994E-2</v>
      </c>
      <c r="G257">
        <v>-27.1</v>
      </c>
      <c r="H257">
        <v>2.5999999999999999E-2</v>
      </c>
      <c r="I257" s="8">
        <v>208112.7346</v>
      </c>
      <c r="J257" s="8">
        <v>365503.91110000003</v>
      </c>
      <c r="K257" s="8" t="s">
        <v>314</v>
      </c>
      <c r="L257" s="8" t="s">
        <v>68</v>
      </c>
      <c r="M257">
        <v>2.2999999999999998</v>
      </c>
      <c r="N257">
        <v>100</v>
      </c>
    </row>
    <row r="258" spans="1:14" ht="16" x14ac:dyDescent="0.2">
      <c r="A258" t="s">
        <v>335</v>
      </c>
      <c r="B258" s="2">
        <v>2.100620063</v>
      </c>
      <c r="C258">
        <v>10</v>
      </c>
      <c r="D258" s="2">
        <v>8.9440746339999997</v>
      </c>
      <c r="E258" s="2">
        <v>1.9127390369999999</v>
      </c>
      <c r="F258" s="3">
        <v>9.4660544999999999E-2</v>
      </c>
      <c r="G258">
        <v>-26.5</v>
      </c>
      <c r="H258">
        <v>2.9000000000000001E-2</v>
      </c>
      <c r="I258" s="8">
        <v>208112.7346</v>
      </c>
      <c r="J258" s="8">
        <v>365503.91110000003</v>
      </c>
      <c r="K258" s="8" t="s">
        <v>314</v>
      </c>
      <c r="L258" s="8" t="s">
        <v>68</v>
      </c>
      <c r="M258">
        <v>2.2000000000000002</v>
      </c>
      <c r="N258">
        <v>110</v>
      </c>
    </row>
    <row r="259" spans="1:14" ht="16" x14ac:dyDescent="0.2">
      <c r="A259" t="s">
        <v>326</v>
      </c>
      <c r="B259" s="2">
        <v>1.330588232</v>
      </c>
      <c r="C259">
        <v>10</v>
      </c>
      <c r="D259" s="2">
        <v>0.21132922800000001</v>
      </c>
      <c r="E259" s="2">
        <v>1.327776311</v>
      </c>
      <c r="F259" s="3">
        <v>1.022570848</v>
      </c>
      <c r="G259">
        <v>-22.6</v>
      </c>
      <c r="H259">
        <v>0.11</v>
      </c>
      <c r="I259" s="8">
        <v>208112.7346</v>
      </c>
      <c r="J259" s="8">
        <v>365503.91110000003</v>
      </c>
      <c r="K259" s="8" t="s">
        <v>314</v>
      </c>
      <c r="L259" s="8" t="s">
        <v>68</v>
      </c>
      <c r="M259">
        <v>5.5</v>
      </c>
      <c r="N259">
        <v>20</v>
      </c>
    </row>
    <row r="260" spans="1:14" ht="16" x14ac:dyDescent="0.2">
      <c r="A260" t="s">
        <v>327</v>
      </c>
      <c r="B260" s="2">
        <v>1.3888730439999999</v>
      </c>
      <c r="C260">
        <v>10</v>
      </c>
      <c r="D260" s="2">
        <v>4.4936339999999998E-2</v>
      </c>
      <c r="E260" s="2">
        <v>1.3882489360000001</v>
      </c>
      <c r="F260" s="3">
        <v>0.78964542199999999</v>
      </c>
      <c r="G260">
        <v>-22.1</v>
      </c>
      <c r="H260">
        <v>0.09</v>
      </c>
      <c r="I260" s="8">
        <v>208112.7346</v>
      </c>
      <c r="J260" s="8">
        <v>365503.91110000003</v>
      </c>
      <c r="K260" s="8" t="s">
        <v>314</v>
      </c>
      <c r="L260" s="8" t="s">
        <v>68</v>
      </c>
      <c r="M260">
        <v>5.6</v>
      </c>
      <c r="N260">
        <v>30</v>
      </c>
    </row>
    <row r="261" spans="1:14" ht="16" x14ac:dyDescent="0.2">
      <c r="A261" t="s">
        <v>328</v>
      </c>
      <c r="B261" s="2">
        <v>1.489187249</v>
      </c>
      <c r="C261">
        <v>10</v>
      </c>
      <c r="D261" s="2">
        <v>0.115936268</v>
      </c>
      <c r="E261" s="2">
        <v>1.487460741</v>
      </c>
      <c r="F261" s="3">
        <v>0.26425019199999999</v>
      </c>
      <c r="G261">
        <v>-22.7</v>
      </c>
      <c r="H261">
        <v>4.2000000000000003E-2</v>
      </c>
      <c r="I261" s="8">
        <v>208112.7346</v>
      </c>
      <c r="J261" s="8">
        <v>365503.91110000003</v>
      </c>
      <c r="K261" s="8" t="s">
        <v>314</v>
      </c>
      <c r="L261" s="8" t="s">
        <v>68</v>
      </c>
      <c r="M261">
        <v>6.3</v>
      </c>
      <c r="N261">
        <v>40</v>
      </c>
    </row>
    <row r="262" spans="1:14" ht="16" x14ac:dyDescent="0.2">
      <c r="A262" t="s">
        <v>329</v>
      </c>
      <c r="B262" s="2">
        <v>1.4934893440000001</v>
      </c>
      <c r="C262">
        <v>10</v>
      </c>
      <c r="D262" s="2">
        <v>0.346015087</v>
      </c>
      <c r="E262" s="2">
        <v>1.4883216459999999</v>
      </c>
      <c r="F262" s="3">
        <v>0.206304819</v>
      </c>
      <c r="G262">
        <v>-22.7</v>
      </c>
      <c r="H262">
        <v>4.1000000000000002E-2</v>
      </c>
      <c r="I262" s="8">
        <v>208112.7346</v>
      </c>
      <c r="J262" s="8">
        <v>365503.91110000003</v>
      </c>
      <c r="K262" s="8" t="s">
        <v>314</v>
      </c>
      <c r="L262" s="8" t="s">
        <v>68</v>
      </c>
      <c r="M262">
        <v>5.0999999999999996</v>
      </c>
      <c r="N262">
        <v>50</v>
      </c>
    </row>
    <row r="263" spans="1:14" ht="16" x14ac:dyDescent="0.2">
      <c r="A263" t="s">
        <v>330</v>
      </c>
      <c r="B263" s="2">
        <v>1.600595322</v>
      </c>
      <c r="C263">
        <v>10</v>
      </c>
      <c r="D263" s="2">
        <v>0.37033961599999998</v>
      </c>
      <c r="E263" s="2">
        <v>1.594667684</v>
      </c>
      <c r="F263" s="3">
        <v>0.185863418</v>
      </c>
      <c r="G263">
        <v>-22.7</v>
      </c>
      <c r="H263">
        <v>0.04</v>
      </c>
      <c r="I263" s="8">
        <v>208112.7346</v>
      </c>
      <c r="J263" s="8">
        <v>365503.91110000003</v>
      </c>
      <c r="K263" s="8" t="s">
        <v>314</v>
      </c>
      <c r="L263" s="8" t="s">
        <v>68</v>
      </c>
      <c r="M263">
        <v>4.7</v>
      </c>
      <c r="N263">
        <v>60</v>
      </c>
    </row>
    <row r="264" spans="1:14" ht="16" x14ac:dyDescent="0.2">
      <c r="A264" t="s">
        <v>331</v>
      </c>
      <c r="B264" s="2">
        <v>1.518936793</v>
      </c>
      <c r="C264">
        <v>10</v>
      </c>
      <c r="D264" s="2">
        <v>0.132919805</v>
      </c>
      <c r="E264" s="2">
        <v>1.5169178249999999</v>
      </c>
      <c r="F264" s="3">
        <v>0.132830005</v>
      </c>
      <c r="G264">
        <v>-24</v>
      </c>
      <c r="H264">
        <v>3.4000000000000002E-2</v>
      </c>
      <c r="I264" s="8">
        <v>208112.7346</v>
      </c>
      <c r="J264" s="8">
        <v>365503.91110000003</v>
      </c>
      <c r="K264" s="8" t="s">
        <v>314</v>
      </c>
      <c r="L264" s="8" t="s">
        <v>68</v>
      </c>
      <c r="M264">
        <v>3.8</v>
      </c>
      <c r="N264">
        <v>70</v>
      </c>
    </row>
    <row r="265" spans="1:14" ht="16" x14ac:dyDescent="0.2">
      <c r="A265" t="s">
        <v>332</v>
      </c>
      <c r="B265" s="2">
        <v>1.8181044749999999</v>
      </c>
      <c r="C265">
        <v>10</v>
      </c>
      <c r="D265" s="2">
        <v>1.171215881</v>
      </c>
      <c r="E265" s="2">
        <v>1.796810547</v>
      </c>
      <c r="F265" s="3">
        <v>0.136022796</v>
      </c>
      <c r="G265">
        <v>-24.8</v>
      </c>
      <c r="H265">
        <v>3.3000000000000002E-2</v>
      </c>
      <c r="I265" s="8">
        <v>208112.7346</v>
      </c>
      <c r="J265" s="8">
        <v>365503.91110000003</v>
      </c>
      <c r="K265" s="8" t="s">
        <v>314</v>
      </c>
      <c r="L265" s="8" t="s">
        <v>68</v>
      </c>
      <c r="M265">
        <v>2.8</v>
      </c>
      <c r="N265">
        <v>80</v>
      </c>
    </row>
    <row r="266" spans="1:14" ht="16" x14ac:dyDescent="0.2">
      <c r="A266" t="s">
        <v>333</v>
      </c>
      <c r="B266" s="2">
        <v>2.1992246070000001</v>
      </c>
      <c r="C266">
        <v>10</v>
      </c>
      <c r="D266" s="2">
        <v>1.681033059</v>
      </c>
      <c r="E266" s="2">
        <v>2.162254914</v>
      </c>
      <c r="F266" s="3">
        <v>9.6789315000000001E-2</v>
      </c>
      <c r="G266">
        <v>-24.6</v>
      </c>
      <c r="H266">
        <v>2.5999999999999999E-2</v>
      </c>
      <c r="I266" s="8">
        <v>208112.7346</v>
      </c>
      <c r="J266" s="8">
        <v>365503.91110000003</v>
      </c>
      <c r="K266" s="8" t="s">
        <v>314</v>
      </c>
      <c r="L266" s="8" t="s">
        <v>68</v>
      </c>
      <c r="M266">
        <v>2</v>
      </c>
      <c r="N266">
        <v>90</v>
      </c>
    </row>
    <row r="267" spans="1:14" ht="16" x14ac:dyDescent="0.2">
      <c r="A267" t="s">
        <v>336</v>
      </c>
      <c r="B267" s="2">
        <v>1.441027675</v>
      </c>
      <c r="C267">
        <v>10</v>
      </c>
      <c r="D267" s="2">
        <v>0.49894263799999999</v>
      </c>
      <c r="E267" s="2">
        <v>1.4338377739999999</v>
      </c>
      <c r="F267" s="3">
        <v>0.898295442</v>
      </c>
      <c r="G267">
        <v>-23.4</v>
      </c>
      <c r="H267">
        <v>0.11</v>
      </c>
      <c r="I267" s="8">
        <v>208104.71950000001</v>
      </c>
      <c r="J267" s="8">
        <v>365491.68969999999</v>
      </c>
      <c r="K267" s="8" t="s">
        <v>314</v>
      </c>
      <c r="L267" s="8" t="s">
        <v>81</v>
      </c>
      <c r="M267">
        <v>4.5</v>
      </c>
      <c r="N267">
        <v>10</v>
      </c>
    </row>
    <row r="268" spans="1:14" ht="16" x14ac:dyDescent="0.2">
      <c r="A268" t="s">
        <v>345</v>
      </c>
      <c r="B268" s="2">
        <v>1.872682999</v>
      </c>
      <c r="C268">
        <v>10</v>
      </c>
      <c r="D268" s="2">
        <v>0.54079978799999995</v>
      </c>
      <c r="E268" s="2">
        <v>1.8625555330000001</v>
      </c>
      <c r="F268" s="3">
        <v>9.3451419999999993E-2</v>
      </c>
      <c r="G268">
        <v>-27.3</v>
      </c>
      <c r="H268">
        <v>2.7E-2</v>
      </c>
      <c r="I268" s="8">
        <v>208104.71950000001</v>
      </c>
      <c r="J268" s="8">
        <v>365491.68969999999</v>
      </c>
      <c r="K268" s="8" t="s">
        <v>314</v>
      </c>
      <c r="L268" s="8" t="s">
        <v>81</v>
      </c>
      <c r="M268">
        <v>1.6</v>
      </c>
      <c r="N268">
        <v>100</v>
      </c>
    </row>
    <row r="269" spans="1:14" ht="16" x14ac:dyDescent="0.2">
      <c r="A269" t="s">
        <v>337</v>
      </c>
      <c r="B269" s="2">
        <v>1.4782836690000001</v>
      </c>
      <c r="C269">
        <v>10</v>
      </c>
      <c r="D269" s="2">
        <v>0.98602986299999995</v>
      </c>
      <c r="E269" s="2">
        <v>1.463707351</v>
      </c>
      <c r="F269" s="3">
        <v>1.4035383889999999</v>
      </c>
      <c r="G269">
        <v>-22.4</v>
      </c>
      <c r="H269">
        <v>0.14499999999999999</v>
      </c>
      <c r="I269" s="8">
        <v>208104.71950000001</v>
      </c>
      <c r="J269" s="8">
        <v>365491.68969999999</v>
      </c>
      <c r="K269" s="8" t="s">
        <v>314</v>
      </c>
      <c r="L269" s="8" t="s">
        <v>81</v>
      </c>
      <c r="M269">
        <v>4.8499999999999996</v>
      </c>
      <c r="N269">
        <v>20</v>
      </c>
    </row>
    <row r="270" spans="1:14" ht="16" x14ac:dyDescent="0.2">
      <c r="A270" t="s">
        <v>338</v>
      </c>
      <c r="B270" s="2">
        <v>1.4785514989999999</v>
      </c>
      <c r="C270">
        <v>10</v>
      </c>
      <c r="D270" s="2">
        <v>0.124643291</v>
      </c>
      <c r="E270" s="2">
        <v>1.476708584</v>
      </c>
      <c r="F270" s="3">
        <v>0.57731869999999996</v>
      </c>
      <c r="G270">
        <v>-21.8</v>
      </c>
      <c r="H270">
        <v>7.5999999999999998E-2</v>
      </c>
      <c r="I270" s="8">
        <v>208104.71950000001</v>
      </c>
      <c r="J270" s="8">
        <v>365491.68969999999</v>
      </c>
      <c r="K270" s="8" t="s">
        <v>314</v>
      </c>
      <c r="L270" s="8" t="s">
        <v>81</v>
      </c>
      <c r="M270">
        <v>5.6</v>
      </c>
      <c r="N270">
        <v>30</v>
      </c>
    </row>
    <row r="271" spans="1:14" ht="16" x14ac:dyDescent="0.2">
      <c r="A271" t="s">
        <v>339</v>
      </c>
      <c r="B271" s="2">
        <v>1.5289521690000001</v>
      </c>
      <c r="C271">
        <v>10</v>
      </c>
      <c r="D271" s="2">
        <v>0.225477288</v>
      </c>
      <c r="E271" s="2">
        <v>1.5255047289999999</v>
      </c>
      <c r="F271" s="3">
        <v>0.24973289500000001</v>
      </c>
      <c r="G271">
        <v>-21.9</v>
      </c>
      <c r="H271">
        <v>4.7E-2</v>
      </c>
      <c r="I271" s="8">
        <v>208104.71950000001</v>
      </c>
      <c r="J271" s="8">
        <v>365491.68969999999</v>
      </c>
      <c r="K271" s="8" t="s">
        <v>314</v>
      </c>
      <c r="L271" s="8" t="s">
        <v>81</v>
      </c>
      <c r="M271">
        <v>4.9000000000000004</v>
      </c>
      <c r="N271">
        <v>40</v>
      </c>
    </row>
    <row r="272" spans="1:14" ht="16" x14ac:dyDescent="0.2">
      <c r="A272" t="s">
        <v>340</v>
      </c>
      <c r="B272" s="2">
        <v>1.5656543469999999</v>
      </c>
      <c r="C272">
        <v>10</v>
      </c>
      <c r="D272" s="2">
        <v>0.17910150699999999</v>
      </c>
      <c r="E272" s="2">
        <v>1.5628502369999999</v>
      </c>
      <c r="F272" s="3">
        <v>0.176888147</v>
      </c>
      <c r="G272">
        <v>-23.1</v>
      </c>
      <c r="H272">
        <v>4.2000000000000003E-2</v>
      </c>
      <c r="I272" s="8">
        <v>208104.71950000001</v>
      </c>
      <c r="J272" s="8">
        <v>365491.68969999999</v>
      </c>
      <c r="K272" s="8" t="s">
        <v>314</v>
      </c>
      <c r="L272" s="8" t="s">
        <v>81</v>
      </c>
      <c r="M272">
        <v>4.4000000000000004</v>
      </c>
      <c r="N272">
        <v>50</v>
      </c>
    </row>
    <row r="273" spans="1:14" ht="16" x14ac:dyDescent="0.2">
      <c r="A273" t="s">
        <v>341</v>
      </c>
      <c r="B273" s="2">
        <v>1.542509862</v>
      </c>
      <c r="C273">
        <v>10</v>
      </c>
      <c r="D273" s="2">
        <v>0.21720529199999999</v>
      </c>
      <c r="E273" s="2">
        <v>1.539159449</v>
      </c>
      <c r="F273" s="3">
        <v>0.10627062900000001</v>
      </c>
      <c r="G273">
        <v>-24.2</v>
      </c>
      <c r="H273">
        <v>3.2000000000000001E-2</v>
      </c>
      <c r="I273" s="8">
        <v>208104.71950000001</v>
      </c>
      <c r="J273" s="8">
        <v>365491.68969999999</v>
      </c>
      <c r="K273" s="8" t="s">
        <v>314</v>
      </c>
      <c r="L273" s="8" t="s">
        <v>81</v>
      </c>
      <c r="M273">
        <v>3.2</v>
      </c>
      <c r="N273">
        <v>60</v>
      </c>
    </row>
    <row r="274" spans="1:14" ht="16" x14ac:dyDescent="0.2">
      <c r="A274" t="s">
        <v>342</v>
      </c>
      <c r="B274" s="2">
        <v>1.431259944</v>
      </c>
      <c r="C274">
        <v>10</v>
      </c>
      <c r="D274" s="2">
        <v>1.1404631679999999</v>
      </c>
      <c r="E274" s="2">
        <v>1.4149369519999999</v>
      </c>
      <c r="F274" s="3">
        <v>8.4869954999999997E-2</v>
      </c>
      <c r="G274">
        <v>-25.6</v>
      </c>
      <c r="H274">
        <v>2.8000000000000001E-2</v>
      </c>
      <c r="I274" s="8">
        <v>208104.71950000001</v>
      </c>
      <c r="J274" s="8">
        <v>365491.68969999999</v>
      </c>
      <c r="K274" s="8" t="s">
        <v>314</v>
      </c>
      <c r="L274" s="8" t="s">
        <v>81</v>
      </c>
      <c r="M274">
        <v>2.8</v>
      </c>
      <c r="N274">
        <v>70</v>
      </c>
    </row>
    <row r="275" spans="1:14" ht="16" x14ac:dyDescent="0.2">
      <c r="A275" t="s">
        <v>343</v>
      </c>
      <c r="B275" s="2">
        <v>1.596088162</v>
      </c>
      <c r="C275">
        <v>10</v>
      </c>
      <c r="D275" s="2">
        <v>1.544395126</v>
      </c>
      <c r="E275" s="2">
        <v>1.5714382549999999</v>
      </c>
      <c r="F275" s="3">
        <v>7.5984042000000002E-2</v>
      </c>
      <c r="G275">
        <v>-27.2</v>
      </c>
      <c r="H275">
        <v>2.5999999999999999E-2</v>
      </c>
      <c r="I275" s="8">
        <v>208104.71950000001</v>
      </c>
      <c r="J275" s="8">
        <v>365491.68969999999</v>
      </c>
      <c r="K275" s="8" t="s">
        <v>314</v>
      </c>
      <c r="L275" s="8" t="s">
        <v>81</v>
      </c>
      <c r="M275">
        <v>2.9</v>
      </c>
      <c r="N275">
        <v>80</v>
      </c>
    </row>
    <row r="276" spans="1:14" ht="16" x14ac:dyDescent="0.2">
      <c r="A276" t="s">
        <v>344</v>
      </c>
      <c r="B276" s="2">
        <v>1.7001270939999999</v>
      </c>
      <c r="C276">
        <v>10</v>
      </c>
      <c r="D276" s="2">
        <v>0.100843115</v>
      </c>
      <c r="E276" s="2">
        <v>1.6984126319999999</v>
      </c>
      <c r="F276" s="3">
        <v>7.7378423000000002E-2</v>
      </c>
      <c r="G276">
        <v>-27.8</v>
      </c>
      <c r="H276">
        <v>2.5000000000000001E-2</v>
      </c>
      <c r="I276" s="8">
        <v>208104.71950000001</v>
      </c>
      <c r="J276" s="8">
        <v>365491.68969999999</v>
      </c>
      <c r="K276" s="8" t="s">
        <v>314</v>
      </c>
      <c r="L276" s="8" t="s">
        <v>81</v>
      </c>
      <c r="M276">
        <v>1.7</v>
      </c>
      <c r="N276">
        <v>90</v>
      </c>
    </row>
    <row r="277" spans="1:14" ht="16" x14ac:dyDescent="0.2">
      <c r="A277" t="s">
        <v>422</v>
      </c>
      <c r="B277" s="2">
        <v>1.350992628</v>
      </c>
      <c r="C277">
        <v>10</v>
      </c>
      <c r="D277" s="2">
        <v>5.0892650130000003</v>
      </c>
      <c r="E277" s="2">
        <v>1.2822370329999999</v>
      </c>
      <c r="F277" s="3">
        <v>1.1494810630000001</v>
      </c>
      <c r="G277">
        <v>-22.9</v>
      </c>
      <c r="H277">
        <v>0.13</v>
      </c>
      <c r="I277" s="8">
        <v>210265.02439999999</v>
      </c>
      <c r="J277" s="8">
        <v>370347.01779999997</v>
      </c>
      <c r="K277" s="8" t="s">
        <v>49</v>
      </c>
      <c r="L277" s="8" t="s">
        <v>68</v>
      </c>
      <c r="M277">
        <v>4.5</v>
      </c>
      <c r="N277">
        <v>10</v>
      </c>
    </row>
    <row r="278" spans="1:14" ht="16" x14ac:dyDescent="0.2">
      <c r="A278" t="s">
        <v>431</v>
      </c>
      <c r="B278" s="2">
        <v>1.56702344</v>
      </c>
      <c r="C278">
        <v>10</v>
      </c>
      <c r="D278" s="2">
        <v>0</v>
      </c>
      <c r="E278" s="2">
        <v>1.56702344</v>
      </c>
      <c r="F278" s="3">
        <v>6.6884665999999995E-2</v>
      </c>
      <c r="G278">
        <v>-25.6</v>
      </c>
      <c r="H278">
        <v>2.7E-2</v>
      </c>
      <c r="I278" s="8">
        <v>210265.02439999999</v>
      </c>
      <c r="J278" s="8">
        <v>370347.01779999997</v>
      </c>
      <c r="K278" s="8" t="s">
        <v>49</v>
      </c>
      <c r="L278" s="8" t="s">
        <v>68</v>
      </c>
      <c r="M278">
        <v>3.3</v>
      </c>
      <c r="N278">
        <v>100</v>
      </c>
    </row>
    <row r="279" spans="1:14" ht="16" x14ac:dyDescent="0.2">
      <c r="A279" t="s">
        <v>423</v>
      </c>
      <c r="B279" s="2">
        <v>1.443952667</v>
      </c>
      <c r="C279">
        <v>10</v>
      </c>
      <c r="D279" s="2">
        <v>5.5821003720000002</v>
      </c>
      <c r="E279" s="2">
        <v>1.3633497800000001</v>
      </c>
      <c r="F279" s="3">
        <v>0.72351012100000001</v>
      </c>
      <c r="G279">
        <v>-22.3</v>
      </c>
      <c r="H279">
        <v>8.5999999999999993E-2</v>
      </c>
      <c r="I279" s="8">
        <v>210265.02439999999</v>
      </c>
      <c r="J279" s="8">
        <v>370347.01779999997</v>
      </c>
      <c r="K279" s="8" t="s">
        <v>49</v>
      </c>
      <c r="L279" s="8" t="s">
        <v>68</v>
      </c>
      <c r="M279">
        <v>5</v>
      </c>
      <c r="N279">
        <v>20</v>
      </c>
    </row>
    <row r="280" spans="1:14" ht="16" x14ac:dyDescent="0.2">
      <c r="A280" t="s">
        <v>424</v>
      </c>
      <c r="B280" s="2">
        <v>1.5872981209999999</v>
      </c>
      <c r="C280">
        <v>10</v>
      </c>
      <c r="D280" s="2">
        <v>6.2575409479999999</v>
      </c>
      <c r="E280" s="2">
        <v>1.4879722909999999</v>
      </c>
      <c r="F280" s="3">
        <v>0.57373394099999997</v>
      </c>
      <c r="G280">
        <v>-23</v>
      </c>
      <c r="H280">
        <v>7.0999999999999994E-2</v>
      </c>
      <c r="I280" s="8">
        <v>210265.02439999999</v>
      </c>
      <c r="J280" s="8">
        <v>370347.01779999997</v>
      </c>
      <c r="K280" s="8" t="s">
        <v>49</v>
      </c>
      <c r="L280" s="8" t="s">
        <v>68</v>
      </c>
      <c r="M280">
        <v>5.4</v>
      </c>
      <c r="N280">
        <v>30</v>
      </c>
    </row>
    <row r="281" spans="1:14" ht="16" x14ac:dyDescent="0.2">
      <c r="A281" t="s">
        <v>425</v>
      </c>
      <c r="B281" s="2">
        <v>1.71670776</v>
      </c>
      <c r="C281">
        <v>10</v>
      </c>
      <c r="D281" s="2">
        <v>10.199156090000001</v>
      </c>
      <c r="E281" s="2">
        <v>1.5416180559999999</v>
      </c>
      <c r="F281" s="3">
        <v>0.33652958199999999</v>
      </c>
      <c r="G281">
        <v>-22.6</v>
      </c>
      <c r="H281">
        <v>5.8000000000000003E-2</v>
      </c>
      <c r="I281" s="8">
        <v>210265.02439999999</v>
      </c>
      <c r="J281" s="8">
        <v>370347.01779999997</v>
      </c>
      <c r="K281" s="8" t="s">
        <v>49</v>
      </c>
      <c r="L281" s="8" t="s">
        <v>68</v>
      </c>
      <c r="M281">
        <v>4.8</v>
      </c>
      <c r="N281">
        <v>40</v>
      </c>
    </row>
    <row r="282" spans="1:14" ht="16" x14ac:dyDescent="0.2">
      <c r="A282" t="s">
        <v>426</v>
      </c>
      <c r="B282" s="2">
        <v>1.6029812299999999</v>
      </c>
      <c r="C282">
        <v>10</v>
      </c>
      <c r="D282" s="2">
        <v>7.015244762</v>
      </c>
      <c r="E282" s="2">
        <v>1.490528173</v>
      </c>
      <c r="F282" s="3">
        <v>0.18232832099999999</v>
      </c>
      <c r="G282">
        <v>-23.2</v>
      </c>
      <c r="H282">
        <v>4.7E-2</v>
      </c>
      <c r="I282" s="8">
        <v>210265.02439999999</v>
      </c>
      <c r="J282" s="8">
        <v>370347.01779999997</v>
      </c>
      <c r="K282" s="8" t="s">
        <v>49</v>
      </c>
      <c r="L282" s="8" t="s">
        <v>68</v>
      </c>
      <c r="M282">
        <v>4.3</v>
      </c>
      <c r="N282">
        <v>50</v>
      </c>
    </row>
    <row r="283" spans="1:14" ht="16" x14ac:dyDescent="0.2">
      <c r="A283" t="s">
        <v>427</v>
      </c>
      <c r="B283" s="2">
        <v>1.490366689</v>
      </c>
      <c r="C283">
        <v>10</v>
      </c>
      <c r="D283" s="2">
        <v>12.02497151</v>
      </c>
      <c r="E283" s="2">
        <v>1.3111505189999999</v>
      </c>
      <c r="F283" s="3">
        <v>0.11153381499999999</v>
      </c>
      <c r="G283">
        <v>-24</v>
      </c>
      <c r="H283">
        <v>3.7499999999999999E-2</v>
      </c>
      <c r="I283" s="8">
        <v>210265.02439999999</v>
      </c>
      <c r="J283" s="8">
        <v>370347.01779999997</v>
      </c>
      <c r="K283" s="8" t="s">
        <v>49</v>
      </c>
      <c r="L283" s="8" t="s">
        <v>68</v>
      </c>
      <c r="M283">
        <v>3.25</v>
      </c>
      <c r="N283">
        <v>60</v>
      </c>
    </row>
    <row r="284" spans="1:14" ht="16" x14ac:dyDescent="0.2">
      <c r="A284" t="s">
        <v>428</v>
      </c>
      <c r="B284" s="2">
        <v>1.627267595</v>
      </c>
      <c r="C284">
        <v>10</v>
      </c>
      <c r="D284" s="2">
        <v>1.1890469530000001</v>
      </c>
      <c r="E284" s="2">
        <v>1.6079186190000001</v>
      </c>
      <c r="F284" s="3">
        <v>0.10966242</v>
      </c>
      <c r="G284">
        <v>-25.4</v>
      </c>
      <c r="H284">
        <v>3.5999999999999997E-2</v>
      </c>
      <c r="I284" s="8">
        <v>210265.02439999999</v>
      </c>
      <c r="J284" s="8">
        <v>370347.01779999997</v>
      </c>
      <c r="K284" s="8" t="s">
        <v>49</v>
      </c>
      <c r="L284" s="8" t="s">
        <v>68</v>
      </c>
      <c r="M284">
        <v>2.9</v>
      </c>
      <c r="N284">
        <v>70</v>
      </c>
    </row>
    <row r="285" spans="1:14" ht="16" x14ac:dyDescent="0.2">
      <c r="A285" t="s">
        <v>429</v>
      </c>
      <c r="B285" s="2">
        <v>1.730541192</v>
      </c>
      <c r="C285">
        <v>10</v>
      </c>
      <c r="D285" s="2">
        <v>3.906649722</v>
      </c>
      <c r="E285" s="2">
        <v>1.6629350089999999</v>
      </c>
      <c r="F285" s="3">
        <v>9.0742674999999995E-2</v>
      </c>
      <c r="G285">
        <v>-25.6</v>
      </c>
      <c r="H285">
        <v>3.4000000000000002E-2</v>
      </c>
      <c r="I285" s="8">
        <v>210265.02439999999</v>
      </c>
      <c r="J285" s="8">
        <v>370347.01779999997</v>
      </c>
      <c r="K285" s="8" t="s">
        <v>49</v>
      </c>
      <c r="L285" s="8" t="s">
        <v>68</v>
      </c>
      <c r="M285">
        <v>2.6</v>
      </c>
      <c r="N285">
        <v>80</v>
      </c>
    </row>
    <row r="286" spans="1:14" ht="16" x14ac:dyDescent="0.2">
      <c r="A286" t="s">
        <v>430</v>
      </c>
      <c r="B286" s="2">
        <v>1.9814850239999999</v>
      </c>
      <c r="C286">
        <v>10</v>
      </c>
      <c r="D286" s="2">
        <v>2.8154935440000002</v>
      </c>
      <c r="E286" s="2">
        <v>1.9256964409999999</v>
      </c>
      <c r="F286" s="3">
        <v>8.4292562000000001E-2</v>
      </c>
      <c r="G286">
        <v>-26.8</v>
      </c>
      <c r="H286">
        <v>3.1E-2</v>
      </c>
      <c r="I286" s="8">
        <v>210265.02439999999</v>
      </c>
      <c r="J286" s="8">
        <v>370347.01779999997</v>
      </c>
      <c r="K286" s="8" t="s">
        <v>49</v>
      </c>
      <c r="L286" s="8" t="s">
        <v>68</v>
      </c>
      <c r="M286">
        <v>3.2</v>
      </c>
      <c r="N286">
        <v>90</v>
      </c>
    </row>
    <row r="287" spans="1:14" ht="16" x14ac:dyDescent="0.2">
      <c r="A287" t="s">
        <v>432</v>
      </c>
      <c r="B287" s="2">
        <v>0.66759236300000002</v>
      </c>
      <c r="C287">
        <v>10</v>
      </c>
      <c r="D287" s="2">
        <v>4.9113595959999996</v>
      </c>
      <c r="E287" s="2">
        <v>0.63480450099999997</v>
      </c>
      <c r="F287" s="3">
        <v>1.7435477290000001</v>
      </c>
      <c r="G287">
        <v>-22</v>
      </c>
      <c r="H287">
        <v>0.17</v>
      </c>
      <c r="I287" s="8">
        <v>210265.02439999999</v>
      </c>
      <c r="J287" s="8">
        <v>370347.01779999997</v>
      </c>
      <c r="K287" s="8" t="s">
        <v>49</v>
      </c>
      <c r="L287" s="8" t="s">
        <v>68</v>
      </c>
      <c r="M287">
        <v>3.1</v>
      </c>
      <c r="N287">
        <v>10</v>
      </c>
    </row>
    <row r="288" spans="1:14" ht="16" x14ac:dyDescent="0.2">
      <c r="A288" t="s">
        <v>433</v>
      </c>
      <c r="B288" s="2">
        <v>1.340949419</v>
      </c>
      <c r="C288">
        <v>10</v>
      </c>
      <c r="D288" s="2">
        <v>8.4587873239999993</v>
      </c>
      <c r="E288" s="2">
        <v>1.2275213599999999</v>
      </c>
      <c r="F288" s="3">
        <v>0.98151355299999998</v>
      </c>
      <c r="G288">
        <v>-23</v>
      </c>
      <c r="H288">
        <v>0.11</v>
      </c>
      <c r="I288" s="8">
        <v>210265.02439999999</v>
      </c>
      <c r="J288" s="8">
        <v>370347.01779999997</v>
      </c>
      <c r="K288" s="8" t="s">
        <v>49</v>
      </c>
      <c r="L288" s="8" t="s">
        <v>68</v>
      </c>
      <c r="M288">
        <v>3.7</v>
      </c>
      <c r="N288">
        <v>20</v>
      </c>
    </row>
    <row r="289" spans="1:14" ht="16" x14ac:dyDescent="0.2">
      <c r="A289" t="s">
        <v>434</v>
      </c>
      <c r="B289" s="2">
        <v>1.7278960670000001</v>
      </c>
      <c r="C289">
        <v>10</v>
      </c>
      <c r="D289" s="2">
        <v>11.23916453</v>
      </c>
      <c r="E289" s="2">
        <v>1.5336949849999999</v>
      </c>
      <c r="F289" s="3">
        <v>0.57507567999999998</v>
      </c>
      <c r="G289">
        <v>-23.5</v>
      </c>
      <c r="H289">
        <v>7.1999999999999995E-2</v>
      </c>
      <c r="I289" s="8">
        <v>210265.02439999999</v>
      </c>
      <c r="J289" s="8">
        <v>370347.01779999997</v>
      </c>
      <c r="K289" s="8" t="s">
        <v>49</v>
      </c>
      <c r="L289" s="8" t="s">
        <v>68</v>
      </c>
      <c r="M289">
        <v>4.5</v>
      </c>
      <c r="N289">
        <v>30</v>
      </c>
    </row>
    <row r="290" spans="1:14" ht="16" x14ac:dyDescent="0.2">
      <c r="A290" t="s">
        <v>435</v>
      </c>
      <c r="B290" s="2">
        <v>1.6855427270000001</v>
      </c>
      <c r="C290">
        <v>10</v>
      </c>
      <c r="D290" s="2">
        <v>23.978373359999999</v>
      </c>
      <c r="E290" s="2">
        <v>1.281376998</v>
      </c>
      <c r="F290" s="3">
        <v>0.59705180000000002</v>
      </c>
      <c r="G290">
        <v>-24.75</v>
      </c>
      <c r="H290">
        <v>7.5499999999999998E-2</v>
      </c>
      <c r="I290" s="8">
        <v>210265.02439999999</v>
      </c>
      <c r="J290" s="8">
        <v>370347.01779999997</v>
      </c>
      <c r="K290" s="8" t="s">
        <v>49</v>
      </c>
      <c r="L290" s="8" t="s">
        <v>68</v>
      </c>
      <c r="M290">
        <v>4.6500000000000004</v>
      </c>
      <c r="N290">
        <v>40</v>
      </c>
    </row>
    <row r="291" spans="1:14" ht="16" x14ac:dyDescent="0.2">
      <c r="A291" t="s">
        <v>436</v>
      </c>
      <c r="B291" s="2">
        <v>1.7325679970000001</v>
      </c>
      <c r="C291">
        <v>10</v>
      </c>
      <c r="D291" s="2">
        <v>33.763035680000002</v>
      </c>
      <c r="E291" s="2">
        <v>1.147600446</v>
      </c>
      <c r="F291" s="3">
        <v>0.25977882299999999</v>
      </c>
      <c r="G291">
        <v>-25.3</v>
      </c>
      <c r="H291">
        <v>4.8000000000000001E-2</v>
      </c>
      <c r="I291" s="8">
        <v>210265.02439999999</v>
      </c>
      <c r="J291" s="8">
        <v>370347.01779999997</v>
      </c>
      <c r="K291" s="8" t="s">
        <v>49</v>
      </c>
      <c r="L291" s="8" t="s">
        <v>68</v>
      </c>
      <c r="M291">
        <v>3.9</v>
      </c>
      <c r="N291">
        <v>50</v>
      </c>
    </row>
    <row r="292" spans="1:14" ht="16" x14ac:dyDescent="0.2">
      <c r="A292" t="s">
        <v>437</v>
      </c>
      <c r="B292" s="2">
        <v>1.90925795</v>
      </c>
      <c r="C292">
        <v>10</v>
      </c>
      <c r="D292" s="2">
        <v>29.74618787</v>
      </c>
      <c r="E292" s="2">
        <v>1.341326494</v>
      </c>
      <c r="F292" s="3">
        <v>0.15987209399999999</v>
      </c>
      <c r="G292">
        <v>-25.6</v>
      </c>
      <c r="H292">
        <v>4.1000000000000002E-2</v>
      </c>
      <c r="I292" s="8">
        <v>210265.02439999999</v>
      </c>
      <c r="J292" s="8">
        <v>370347.01779999997</v>
      </c>
      <c r="K292" s="8" t="s">
        <v>49</v>
      </c>
      <c r="L292" s="8" t="s">
        <v>68</v>
      </c>
      <c r="M292">
        <v>3.2</v>
      </c>
      <c r="N292">
        <v>60</v>
      </c>
    </row>
    <row r="293" spans="1:14" ht="16" x14ac:dyDescent="0.2">
      <c r="A293" t="s">
        <v>438</v>
      </c>
      <c r="B293" s="2">
        <v>2.1304394640000002</v>
      </c>
      <c r="C293">
        <v>10</v>
      </c>
      <c r="D293" s="2">
        <v>8.5334662019999996</v>
      </c>
      <c r="E293" s="2">
        <v>1.9486391320000001</v>
      </c>
      <c r="F293" s="3">
        <v>0.118759219</v>
      </c>
      <c r="G293">
        <v>-25.6</v>
      </c>
      <c r="H293">
        <v>3.4000000000000002E-2</v>
      </c>
      <c r="I293" s="8">
        <v>210265.02439999999</v>
      </c>
      <c r="J293" s="8">
        <v>370347.01779999997</v>
      </c>
      <c r="K293" s="8" t="s">
        <v>49</v>
      </c>
      <c r="L293" s="8" t="s">
        <v>68</v>
      </c>
      <c r="M293">
        <v>3.8</v>
      </c>
      <c r="N293">
        <v>70</v>
      </c>
    </row>
    <row r="294" spans="1:14" ht="16" x14ac:dyDescent="0.2">
      <c r="A294" t="s">
        <v>439</v>
      </c>
      <c r="B294" s="2">
        <v>1.812583737</v>
      </c>
      <c r="C294">
        <v>10</v>
      </c>
      <c r="D294" s="2">
        <v>2.7259826409999999</v>
      </c>
      <c r="E294" s="2">
        <v>1.7631730189999999</v>
      </c>
      <c r="F294" s="3">
        <v>7.3958246000000005E-2</v>
      </c>
      <c r="G294">
        <v>-25.3</v>
      </c>
      <c r="H294">
        <v>3.1E-2</v>
      </c>
      <c r="I294" s="8">
        <v>210265.02439999999</v>
      </c>
      <c r="J294" s="8">
        <v>370347.01779999997</v>
      </c>
      <c r="K294" s="8" t="s">
        <v>49</v>
      </c>
      <c r="L294" s="8" t="s">
        <v>68</v>
      </c>
      <c r="M294">
        <v>2.1</v>
      </c>
      <c r="N294">
        <v>80</v>
      </c>
    </row>
    <row r="295" spans="1:14" ht="16" x14ac:dyDescent="0.2">
      <c r="A295" t="s">
        <v>284</v>
      </c>
      <c r="B295" s="2">
        <v>1.4660353880000001</v>
      </c>
      <c r="C295">
        <v>10</v>
      </c>
      <c r="D295" s="2">
        <v>0.87911358799999995</v>
      </c>
      <c r="E295" s="2">
        <v>1.453147271</v>
      </c>
      <c r="F295" s="3">
        <v>1.3208255040000001</v>
      </c>
      <c r="G295">
        <v>-22.85</v>
      </c>
      <c r="H295">
        <v>0.14499999999999999</v>
      </c>
      <c r="I295" s="8">
        <v>209875.99900000001</v>
      </c>
      <c r="J295" s="8">
        <v>370193.17210000003</v>
      </c>
      <c r="K295" s="8" t="s">
        <v>285</v>
      </c>
      <c r="L295" s="8" t="s">
        <v>43</v>
      </c>
      <c r="M295">
        <v>6.25</v>
      </c>
      <c r="N295">
        <v>10</v>
      </c>
    </row>
    <row r="296" spans="1:14" ht="16" x14ac:dyDescent="0.2">
      <c r="A296" t="s">
        <v>294</v>
      </c>
      <c r="B296" s="2">
        <v>1.249627094</v>
      </c>
      <c r="C296">
        <v>10</v>
      </c>
      <c r="D296" s="2">
        <v>0</v>
      </c>
      <c r="E296" s="2">
        <v>1.249627094</v>
      </c>
      <c r="F296" s="3">
        <v>9.8766719000000003E-2</v>
      </c>
      <c r="G296">
        <v>-25</v>
      </c>
      <c r="H296">
        <v>2.9000000000000001E-2</v>
      </c>
      <c r="I296" s="8">
        <v>209875.99900000001</v>
      </c>
      <c r="J296" s="8">
        <v>370193.17210000003</v>
      </c>
      <c r="K296" s="8" t="s">
        <v>285</v>
      </c>
      <c r="L296" s="8" t="s">
        <v>43</v>
      </c>
      <c r="M296">
        <v>4.0999999999999996</v>
      </c>
      <c r="N296">
        <v>100</v>
      </c>
    </row>
    <row r="297" spans="1:14" ht="16" x14ac:dyDescent="0.2">
      <c r="A297" t="s">
        <v>286</v>
      </c>
      <c r="B297" s="2">
        <v>1.438731523</v>
      </c>
      <c r="C297">
        <v>10</v>
      </c>
      <c r="D297" s="2">
        <v>1.0343523379999999</v>
      </c>
      <c r="E297" s="2">
        <v>1.42384997</v>
      </c>
      <c r="F297" s="3">
        <v>1.2222643289999999</v>
      </c>
      <c r="G297">
        <v>-22.8</v>
      </c>
      <c r="H297">
        <v>0.13</v>
      </c>
      <c r="I297" s="8">
        <v>209875.99900000001</v>
      </c>
      <c r="J297" s="8">
        <v>370193.17210000003</v>
      </c>
      <c r="K297" s="8" t="s">
        <v>285</v>
      </c>
      <c r="L297" s="8" t="s">
        <v>43</v>
      </c>
      <c r="M297">
        <v>6.5</v>
      </c>
      <c r="N297">
        <v>20</v>
      </c>
    </row>
    <row r="298" spans="1:14" ht="16" x14ac:dyDescent="0.2">
      <c r="A298" t="s">
        <v>287</v>
      </c>
      <c r="B298" s="2">
        <v>1.5121477290000001</v>
      </c>
      <c r="C298">
        <v>10</v>
      </c>
      <c r="D298" s="2">
        <v>2.4505214749999999</v>
      </c>
      <c r="E298" s="2">
        <v>1.475092224</v>
      </c>
      <c r="F298" s="3">
        <v>0.48646445799999999</v>
      </c>
      <c r="G298">
        <v>-23.2</v>
      </c>
      <c r="H298">
        <v>6.7000000000000004E-2</v>
      </c>
      <c r="I298" s="8">
        <v>209875.99900000001</v>
      </c>
      <c r="J298" s="8">
        <v>370193.17210000003</v>
      </c>
      <c r="K298" s="8" t="s">
        <v>285</v>
      </c>
      <c r="L298" s="8" t="s">
        <v>43</v>
      </c>
      <c r="M298">
        <v>7.1</v>
      </c>
      <c r="N298">
        <v>30</v>
      </c>
    </row>
    <row r="299" spans="1:14" ht="16" x14ac:dyDescent="0.2">
      <c r="A299" t="s">
        <v>288</v>
      </c>
      <c r="B299" s="2">
        <v>1.6772422220000001</v>
      </c>
      <c r="C299">
        <v>10</v>
      </c>
      <c r="D299" s="2">
        <v>1.9923724359999999</v>
      </c>
      <c r="E299" s="2">
        <v>1.6438253110000001</v>
      </c>
      <c r="F299" s="3">
        <v>0.22215580700000001</v>
      </c>
      <c r="G299">
        <v>-23.3</v>
      </c>
      <c r="H299">
        <v>4.3999999999999997E-2</v>
      </c>
      <c r="I299" s="8">
        <v>209875.99900000001</v>
      </c>
      <c r="J299" s="8">
        <v>370193.17210000003</v>
      </c>
      <c r="K299" s="8" t="s">
        <v>285</v>
      </c>
      <c r="L299" s="8" t="s">
        <v>43</v>
      </c>
      <c r="M299">
        <v>6.2</v>
      </c>
      <c r="N299">
        <v>40</v>
      </c>
    </row>
    <row r="300" spans="1:14" ht="16" x14ac:dyDescent="0.2">
      <c r="A300" t="s">
        <v>289</v>
      </c>
      <c r="B300" s="2">
        <v>1.810028427</v>
      </c>
      <c r="C300">
        <v>10</v>
      </c>
      <c r="D300" s="2">
        <v>2.193826751</v>
      </c>
      <c r="E300" s="2">
        <v>1.7703195389999999</v>
      </c>
      <c r="F300" s="3">
        <v>0.20591287599999999</v>
      </c>
      <c r="G300">
        <v>-23.9</v>
      </c>
      <c r="H300">
        <v>4.5999999999999999E-2</v>
      </c>
      <c r="I300" s="8">
        <v>209875.99900000001</v>
      </c>
      <c r="J300" s="8">
        <v>370193.17210000003</v>
      </c>
      <c r="K300" s="8" t="s">
        <v>285</v>
      </c>
      <c r="L300" s="8" t="s">
        <v>43</v>
      </c>
      <c r="M300">
        <v>5.6</v>
      </c>
      <c r="N300">
        <v>50</v>
      </c>
    </row>
    <row r="301" spans="1:14" ht="16" x14ac:dyDescent="0.2">
      <c r="A301" t="s">
        <v>290</v>
      </c>
      <c r="B301" s="2">
        <v>1.7847044460000001</v>
      </c>
      <c r="C301">
        <v>10</v>
      </c>
      <c r="D301" s="2">
        <v>1.221328567</v>
      </c>
      <c r="E301" s="2">
        <v>1.7629073399999999</v>
      </c>
      <c r="F301" s="3">
        <v>0.18215846299999999</v>
      </c>
      <c r="G301">
        <v>-24.4</v>
      </c>
      <c r="H301">
        <v>4.5999999999999999E-2</v>
      </c>
      <c r="I301" s="8">
        <v>209875.99900000001</v>
      </c>
      <c r="J301" s="8">
        <v>370193.17210000003</v>
      </c>
      <c r="K301" s="8" t="s">
        <v>285</v>
      </c>
      <c r="L301" s="8" t="s">
        <v>43</v>
      </c>
      <c r="M301">
        <v>5.2</v>
      </c>
      <c r="N301">
        <v>60</v>
      </c>
    </row>
    <row r="302" spans="1:14" ht="16" x14ac:dyDescent="0.2">
      <c r="A302" t="s">
        <v>291</v>
      </c>
      <c r="B302" s="2">
        <v>1.7661435649999999</v>
      </c>
      <c r="C302">
        <v>10</v>
      </c>
      <c r="D302" s="2">
        <v>0.54730645899999997</v>
      </c>
      <c r="E302" s="2">
        <v>1.7564773469999999</v>
      </c>
      <c r="F302" s="3">
        <v>0.13336909499999999</v>
      </c>
      <c r="G302">
        <v>-23.25</v>
      </c>
      <c r="H302">
        <v>4.3499999999999997E-2</v>
      </c>
      <c r="I302" s="8">
        <v>209875.99900000001</v>
      </c>
      <c r="J302" s="8">
        <v>370193.17210000003</v>
      </c>
      <c r="K302" s="8" t="s">
        <v>285</v>
      </c>
      <c r="L302" s="8" t="s">
        <v>43</v>
      </c>
      <c r="M302">
        <v>4.3499999999999996</v>
      </c>
      <c r="N302">
        <v>70</v>
      </c>
    </row>
    <row r="303" spans="1:14" ht="16" x14ac:dyDescent="0.2">
      <c r="A303" t="s">
        <v>292</v>
      </c>
      <c r="B303" s="2">
        <v>1.586354942</v>
      </c>
      <c r="C303">
        <v>10</v>
      </c>
      <c r="D303" s="2">
        <v>0.29650488699999999</v>
      </c>
      <c r="E303" s="2">
        <v>1.5816513219999999</v>
      </c>
      <c r="F303" s="3">
        <v>0.13185395</v>
      </c>
      <c r="G303">
        <v>-23.5</v>
      </c>
      <c r="H303">
        <v>0.04</v>
      </c>
      <c r="I303" s="8">
        <v>209875.99900000001</v>
      </c>
      <c r="J303" s="8">
        <v>370193.17210000003</v>
      </c>
      <c r="K303" s="8" t="s">
        <v>285</v>
      </c>
      <c r="L303" s="8" t="s">
        <v>43</v>
      </c>
      <c r="M303">
        <v>4.4000000000000004</v>
      </c>
      <c r="N303">
        <v>80</v>
      </c>
    </row>
    <row r="304" spans="1:14" ht="16" x14ac:dyDescent="0.2">
      <c r="A304" t="s">
        <v>293</v>
      </c>
      <c r="B304" s="2">
        <v>1.394464489</v>
      </c>
      <c r="C304">
        <v>10</v>
      </c>
      <c r="D304" s="2">
        <v>0.199936687</v>
      </c>
      <c r="E304" s="2">
        <v>1.3916764429999999</v>
      </c>
      <c r="F304" s="3">
        <v>0.13826179999999999</v>
      </c>
      <c r="G304">
        <v>-24.9</v>
      </c>
      <c r="H304">
        <v>3.5000000000000003E-2</v>
      </c>
      <c r="I304" s="8">
        <v>209875.99900000001</v>
      </c>
      <c r="J304" s="8">
        <v>370193.17210000003</v>
      </c>
      <c r="K304" s="8" t="s">
        <v>285</v>
      </c>
      <c r="L304" s="8" t="s">
        <v>43</v>
      </c>
      <c r="M304">
        <v>4.4000000000000004</v>
      </c>
      <c r="N304">
        <v>90</v>
      </c>
    </row>
    <row r="305" spans="1:14" ht="16" x14ac:dyDescent="0.2">
      <c r="A305" t="s">
        <v>295</v>
      </c>
      <c r="B305" s="2">
        <v>1.5261082130000001</v>
      </c>
      <c r="C305">
        <v>10</v>
      </c>
      <c r="D305" s="2">
        <v>10.35583638</v>
      </c>
      <c r="E305" s="2">
        <v>1.368066944</v>
      </c>
      <c r="F305" s="3">
        <v>1.3354407660000001</v>
      </c>
      <c r="G305">
        <v>-23.5</v>
      </c>
      <c r="H305">
        <v>0.15</v>
      </c>
      <c r="I305" s="8">
        <v>209868.28450000001</v>
      </c>
      <c r="J305" s="8">
        <v>370205.22879999998</v>
      </c>
      <c r="K305" s="8" t="s">
        <v>285</v>
      </c>
      <c r="L305" s="8" t="s">
        <v>68</v>
      </c>
      <c r="M305">
        <v>5.7</v>
      </c>
      <c r="N305">
        <v>10</v>
      </c>
    </row>
    <row r="306" spans="1:14" ht="16" x14ac:dyDescent="0.2">
      <c r="A306" t="s">
        <v>296</v>
      </c>
      <c r="B306" s="2">
        <v>1.5363479799999999</v>
      </c>
      <c r="C306">
        <v>10</v>
      </c>
      <c r="D306" s="2">
        <v>6.070425578</v>
      </c>
      <c r="E306" s="2">
        <v>1.443085119</v>
      </c>
      <c r="F306" s="3">
        <v>1.2360586600000001</v>
      </c>
      <c r="G306">
        <v>-23.3</v>
      </c>
      <c r="H306">
        <v>0.14000000000000001</v>
      </c>
      <c r="I306" s="8">
        <v>209868.28450000001</v>
      </c>
      <c r="J306" s="8">
        <v>370205.22879999998</v>
      </c>
      <c r="K306" s="8" t="s">
        <v>285</v>
      </c>
      <c r="L306" s="8" t="s">
        <v>68</v>
      </c>
      <c r="M306">
        <v>5.9</v>
      </c>
      <c r="N306">
        <v>20</v>
      </c>
    </row>
    <row r="307" spans="1:14" ht="16" x14ac:dyDescent="0.2">
      <c r="A307" t="s">
        <v>297</v>
      </c>
      <c r="B307" s="2">
        <v>1.4971269439999999</v>
      </c>
      <c r="C307">
        <v>10</v>
      </c>
      <c r="D307" s="2">
        <v>7.0252396859999999</v>
      </c>
      <c r="E307" s="2">
        <v>1.3919501869999999</v>
      </c>
      <c r="F307" s="3">
        <v>0.56535526300000005</v>
      </c>
      <c r="G307">
        <v>-23.8</v>
      </c>
      <c r="H307">
        <v>7.3999999999999996E-2</v>
      </c>
      <c r="I307" s="8">
        <v>209868.28450000001</v>
      </c>
      <c r="J307" s="8">
        <v>370205.22879999998</v>
      </c>
      <c r="K307" s="8" t="s">
        <v>285</v>
      </c>
      <c r="L307" s="8" t="s">
        <v>68</v>
      </c>
      <c r="M307">
        <v>6.3</v>
      </c>
      <c r="N307">
        <v>30</v>
      </c>
    </row>
    <row r="308" spans="1:14" ht="16" x14ac:dyDescent="0.2">
      <c r="A308" t="s">
        <v>298</v>
      </c>
      <c r="B308" s="2">
        <v>1.5278487409999999</v>
      </c>
      <c r="C308">
        <v>10</v>
      </c>
      <c r="D308" s="2">
        <v>3.0465444289999999</v>
      </c>
      <c r="E308" s="2">
        <v>1.481302151</v>
      </c>
      <c r="F308" s="3">
        <v>0.38715060200000001</v>
      </c>
      <c r="G308">
        <v>-23.8</v>
      </c>
      <c r="H308">
        <v>5.5E-2</v>
      </c>
      <c r="I308" s="8">
        <v>209868.28450000001</v>
      </c>
      <c r="J308" s="8">
        <v>370205.22879999998</v>
      </c>
      <c r="K308" s="8" t="s">
        <v>285</v>
      </c>
      <c r="L308" s="8" t="s">
        <v>68</v>
      </c>
      <c r="M308">
        <v>6.2</v>
      </c>
      <c r="N308">
        <v>40</v>
      </c>
    </row>
    <row r="309" spans="1:14" ht="16" x14ac:dyDescent="0.2">
      <c r="A309" t="s">
        <v>299</v>
      </c>
      <c r="B309" s="2">
        <v>1.7168754100000001</v>
      </c>
      <c r="C309">
        <v>10</v>
      </c>
      <c r="D309" s="2">
        <v>1.1707430160000001</v>
      </c>
      <c r="E309" s="2">
        <v>1.6967752110000001</v>
      </c>
      <c r="F309" s="3">
        <v>0.207284627</v>
      </c>
      <c r="G309">
        <v>-23.35</v>
      </c>
      <c r="H309">
        <v>0.04</v>
      </c>
      <c r="I309" s="8">
        <v>209868.28450000001</v>
      </c>
      <c r="J309" s="8">
        <v>370205.22879999998</v>
      </c>
      <c r="K309" s="8" t="s">
        <v>285</v>
      </c>
      <c r="L309" s="8" t="s">
        <v>68</v>
      </c>
      <c r="M309">
        <v>5</v>
      </c>
      <c r="N309">
        <v>50</v>
      </c>
    </row>
    <row r="310" spans="1:14" ht="16" x14ac:dyDescent="0.2">
      <c r="A310" t="s">
        <v>300</v>
      </c>
      <c r="B310" s="2">
        <v>1.695540453</v>
      </c>
      <c r="C310">
        <v>10</v>
      </c>
      <c r="D310" s="2">
        <v>0.231100471</v>
      </c>
      <c r="E310" s="2">
        <v>1.691622051</v>
      </c>
      <c r="F310" s="3">
        <v>0.10908997099999999</v>
      </c>
      <c r="G310">
        <v>-24.7</v>
      </c>
      <c r="H310">
        <v>2.9000000000000001E-2</v>
      </c>
      <c r="I310" s="8">
        <v>209868.28450000001</v>
      </c>
      <c r="J310" s="8">
        <v>370205.22879999998</v>
      </c>
      <c r="K310" s="8" t="s">
        <v>285</v>
      </c>
      <c r="L310" s="8" t="s">
        <v>68</v>
      </c>
      <c r="M310">
        <v>3.7</v>
      </c>
      <c r="N310">
        <v>60</v>
      </c>
    </row>
    <row r="311" spans="1:14" ht="16" x14ac:dyDescent="0.2">
      <c r="A311" t="s">
        <v>301</v>
      </c>
      <c r="B311" s="2">
        <v>1.477680487</v>
      </c>
      <c r="C311">
        <v>10</v>
      </c>
      <c r="D311" s="2">
        <v>4.1180056E-2</v>
      </c>
      <c r="E311" s="2">
        <v>1.4770719779999999</v>
      </c>
      <c r="F311" s="3">
        <v>9.0581757999999998E-2</v>
      </c>
      <c r="G311">
        <v>-26.4</v>
      </c>
      <c r="H311">
        <v>2.9000000000000001E-2</v>
      </c>
      <c r="I311" s="8">
        <v>209868.28450000001</v>
      </c>
      <c r="J311" s="8">
        <v>370205.22879999998</v>
      </c>
      <c r="K311" s="8" t="s">
        <v>285</v>
      </c>
      <c r="L311" s="8" t="s">
        <v>68</v>
      </c>
      <c r="M311">
        <v>3.3</v>
      </c>
      <c r="N311">
        <v>70</v>
      </c>
    </row>
    <row r="312" spans="1:14" ht="16" x14ac:dyDescent="0.2">
      <c r="A312" t="s">
        <v>302</v>
      </c>
      <c r="B312" s="2">
        <v>1.5238311550000001</v>
      </c>
      <c r="C312">
        <v>7</v>
      </c>
      <c r="D312" s="2">
        <v>0</v>
      </c>
      <c r="E312" s="2">
        <v>1.5238311550000001</v>
      </c>
      <c r="F312" s="3">
        <v>9.0612917000000001E-2</v>
      </c>
      <c r="G312">
        <v>-25.8</v>
      </c>
      <c r="H312">
        <v>2.9000000000000001E-2</v>
      </c>
      <c r="I312" s="8">
        <v>209868.28450000001</v>
      </c>
      <c r="J312" s="8">
        <v>370205.22879999998</v>
      </c>
      <c r="K312" s="8" t="s">
        <v>285</v>
      </c>
      <c r="L312" s="8" t="s">
        <v>68</v>
      </c>
      <c r="M312">
        <v>3.5</v>
      </c>
      <c r="N312">
        <v>80</v>
      </c>
    </row>
    <row r="313" spans="1:14" ht="16" x14ac:dyDescent="0.2">
      <c r="A313" t="s">
        <v>303</v>
      </c>
      <c r="B313" s="2">
        <v>1.382451428</v>
      </c>
      <c r="C313">
        <v>10</v>
      </c>
      <c r="D313" s="2">
        <v>1.85236975</v>
      </c>
      <c r="E313" s="2">
        <v>1.356843316</v>
      </c>
      <c r="F313" s="3">
        <v>1.156079458</v>
      </c>
      <c r="G313">
        <v>-22.7</v>
      </c>
      <c r="H313">
        <v>0.13</v>
      </c>
      <c r="I313" s="8">
        <v>209860.30239999999</v>
      </c>
      <c r="J313" s="8">
        <v>370193.5062</v>
      </c>
      <c r="K313" s="8" t="s">
        <v>285</v>
      </c>
      <c r="L313" s="8" t="s">
        <v>81</v>
      </c>
      <c r="M313">
        <v>5.4</v>
      </c>
      <c r="N313">
        <v>10</v>
      </c>
    </row>
    <row r="314" spans="1:14" ht="16" x14ac:dyDescent="0.2">
      <c r="A314" t="s">
        <v>312</v>
      </c>
      <c r="B314" s="2">
        <v>1.3098859030000001</v>
      </c>
      <c r="C314">
        <v>10</v>
      </c>
      <c r="D314" s="2">
        <v>0</v>
      </c>
      <c r="E314" s="2">
        <v>1.3098859030000001</v>
      </c>
      <c r="F314" s="3">
        <v>0.12000242</v>
      </c>
      <c r="G314">
        <v>-25.9</v>
      </c>
      <c r="H314">
        <v>2.7E-2</v>
      </c>
      <c r="I314" s="8">
        <v>209860.30239999999</v>
      </c>
      <c r="J314" s="8">
        <v>370193.5062</v>
      </c>
      <c r="K314" s="8" t="s">
        <v>285</v>
      </c>
      <c r="L314" s="8" t="s">
        <v>81</v>
      </c>
      <c r="M314">
        <v>3.7</v>
      </c>
      <c r="N314">
        <v>100</v>
      </c>
    </row>
    <row r="315" spans="1:14" ht="16" x14ac:dyDescent="0.2">
      <c r="A315" t="s">
        <v>304</v>
      </c>
      <c r="B315" s="2">
        <v>1.4043134020000001</v>
      </c>
      <c r="C315">
        <v>10</v>
      </c>
      <c r="D315" s="2">
        <v>1.3814984960000001</v>
      </c>
      <c r="E315" s="2">
        <v>1.384912833</v>
      </c>
      <c r="F315" s="3">
        <v>1.178208312</v>
      </c>
      <c r="G315">
        <v>-22.7</v>
      </c>
      <c r="H315">
        <v>0.13</v>
      </c>
      <c r="I315" s="8">
        <v>209860.30239999999</v>
      </c>
      <c r="J315" s="8">
        <v>370193.5062</v>
      </c>
      <c r="K315" s="8" t="s">
        <v>285</v>
      </c>
      <c r="L315" s="8" t="s">
        <v>81</v>
      </c>
      <c r="M315">
        <v>5.5</v>
      </c>
      <c r="N315">
        <v>20</v>
      </c>
    </row>
    <row r="316" spans="1:14" ht="16" x14ac:dyDescent="0.2">
      <c r="A316" t="s">
        <v>305</v>
      </c>
      <c r="B316" s="2">
        <v>1.4514748079999999</v>
      </c>
      <c r="C316">
        <v>10</v>
      </c>
      <c r="D316" s="2">
        <v>0.163129422</v>
      </c>
      <c r="E316" s="2">
        <v>1.449107025</v>
      </c>
      <c r="F316" s="3">
        <v>0.41824967699999999</v>
      </c>
      <c r="G316">
        <v>-23.1</v>
      </c>
      <c r="H316">
        <v>6.5000000000000002E-2</v>
      </c>
      <c r="I316" s="8">
        <v>209860.30239999999</v>
      </c>
      <c r="J316" s="8">
        <v>370193.5062</v>
      </c>
      <c r="K316" s="8" t="s">
        <v>285</v>
      </c>
      <c r="L316" s="8" t="s">
        <v>81</v>
      </c>
      <c r="M316">
        <v>5.25</v>
      </c>
      <c r="N316">
        <v>30</v>
      </c>
    </row>
    <row r="317" spans="1:14" ht="16" x14ac:dyDescent="0.2">
      <c r="A317" t="s">
        <v>306</v>
      </c>
      <c r="B317" s="2">
        <v>1.354978365</v>
      </c>
      <c r="C317">
        <v>10</v>
      </c>
      <c r="D317" s="2">
        <v>0.45571725600000001</v>
      </c>
      <c r="E317" s="2">
        <v>1.3488034950000001</v>
      </c>
      <c r="F317" s="3">
        <v>0.54988539800000003</v>
      </c>
      <c r="G317">
        <v>-24.2</v>
      </c>
      <c r="H317">
        <v>6.5000000000000002E-2</v>
      </c>
      <c r="I317" s="8">
        <v>209860.30239999999</v>
      </c>
      <c r="J317" s="8">
        <v>370193.5062</v>
      </c>
      <c r="K317" s="8" t="s">
        <v>285</v>
      </c>
      <c r="L317" s="8" t="s">
        <v>81</v>
      </c>
      <c r="M317">
        <v>5.2</v>
      </c>
      <c r="N317">
        <v>40</v>
      </c>
    </row>
    <row r="318" spans="1:14" ht="16" x14ac:dyDescent="0.2">
      <c r="A318" t="s">
        <v>307</v>
      </c>
      <c r="B318" s="2">
        <v>1.5281875840000001</v>
      </c>
      <c r="C318">
        <v>10</v>
      </c>
      <c r="D318" s="2">
        <v>0.67424168200000001</v>
      </c>
      <c r="E318" s="2">
        <v>1.517883906</v>
      </c>
      <c r="F318" s="3">
        <v>0.59994467200000001</v>
      </c>
      <c r="G318">
        <v>-23.8</v>
      </c>
      <c r="H318">
        <v>8.1000000000000003E-2</v>
      </c>
      <c r="I318" s="8">
        <v>209860.30239999999</v>
      </c>
      <c r="J318" s="8">
        <v>370193.5062</v>
      </c>
      <c r="K318" s="8" t="s">
        <v>285</v>
      </c>
      <c r="L318" s="8" t="s">
        <v>81</v>
      </c>
      <c r="M318">
        <v>5.5</v>
      </c>
      <c r="N318">
        <v>50</v>
      </c>
    </row>
    <row r="319" spans="1:14" ht="16" x14ac:dyDescent="0.2">
      <c r="A319" t="s">
        <v>308</v>
      </c>
      <c r="B319" s="2">
        <v>1.37843581</v>
      </c>
      <c r="C319">
        <v>10</v>
      </c>
      <c r="D319" s="2">
        <v>2.1902647540000002</v>
      </c>
      <c r="E319" s="2">
        <v>1.348244416</v>
      </c>
      <c r="F319" s="3">
        <v>0.83873893200000005</v>
      </c>
      <c r="G319">
        <v>-24.2</v>
      </c>
      <c r="H319">
        <v>0.1</v>
      </c>
      <c r="I319" s="8">
        <v>209860.30239999999</v>
      </c>
      <c r="J319" s="8">
        <v>370193.5062</v>
      </c>
      <c r="K319" s="8" t="s">
        <v>285</v>
      </c>
      <c r="L319" s="8" t="s">
        <v>81</v>
      </c>
      <c r="M319">
        <v>5.9</v>
      </c>
      <c r="N319">
        <v>60</v>
      </c>
    </row>
    <row r="320" spans="1:14" ht="16" x14ac:dyDescent="0.2">
      <c r="A320" t="s">
        <v>309</v>
      </c>
      <c r="B320" s="2">
        <v>1.580730145</v>
      </c>
      <c r="C320">
        <v>10</v>
      </c>
      <c r="D320" s="2">
        <v>0.610283358</v>
      </c>
      <c r="E320" s="2">
        <v>1.571083212</v>
      </c>
      <c r="F320" s="3">
        <v>0.47018892600000001</v>
      </c>
      <c r="G320">
        <v>-23.9</v>
      </c>
      <c r="H320">
        <v>6.5000000000000002E-2</v>
      </c>
      <c r="I320" s="8">
        <v>209860.30239999999</v>
      </c>
      <c r="J320" s="8">
        <v>370193.5062</v>
      </c>
      <c r="K320" s="8" t="s">
        <v>285</v>
      </c>
      <c r="L320" s="8" t="s">
        <v>81</v>
      </c>
      <c r="M320">
        <v>5.5</v>
      </c>
      <c r="N320">
        <v>70</v>
      </c>
    </row>
    <row r="321" spans="1:14" ht="16" x14ac:dyDescent="0.2">
      <c r="A321" t="s">
        <v>310</v>
      </c>
      <c r="B321" s="2">
        <v>1.5919581249999999</v>
      </c>
      <c r="C321">
        <v>10</v>
      </c>
      <c r="D321" s="2">
        <v>1.639452634</v>
      </c>
      <c r="E321" s="2">
        <v>1.5658587260000001</v>
      </c>
      <c r="F321" s="3">
        <v>0.44918388100000001</v>
      </c>
      <c r="G321">
        <v>-23.9</v>
      </c>
      <c r="H321">
        <v>6.6000000000000003E-2</v>
      </c>
      <c r="I321" s="8">
        <v>209860.30239999999</v>
      </c>
      <c r="J321" s="8">
        <v>370193.5062</v>
      </c>
      <c r="K321" s="8" t="s">
        <v>285</v>
      </c>
      <c r="L321" s="8" t="s">
        <v>81</v>
      </c>
      <c r="M321">
        <v>5.2</v>
      </c>
      <c r="N321">
        <v>80</v>
      </c>
    </row>
    <row r="322" spans="1:14" ht="16" x14ac:dyDescent="0.2">
      <c r="A322" t="s">
        <v>311</v>
      </c>
      <c r="B322" s="2">
        <v>1.6664868500000001</v>
      </c>
      <c r="C322">
        <v>10</v>
      </c>
      <c r="D322" s="2">
        <v>0.29607820400000001</v>
      </c>
      <c r="E322" s="2">
        <v>1.6615527459999999</v>
      </c>
      <c r="F322" s="3">
        <v>0.37168725600000002</v>
      </c>
      <c r="G322">
        <v>-24.1</v>
      </c>
      <c r="H322">
        <v>5.7000000000000002E-2</v>
      </c>
      <c r="I322" s="8">
        <v>209860.30239999999</v>
      </c>
      <c r="J322" s="8">
        <v>370193.5062</v>
      </c>
      <c r="K322" s="8" t="s">
        <v>285</v>
      </c>
      <c r="L322" s="8" t="s">
        <v>81</v>
      </c>
      <c r="M322">
        <v>4.5999999999999996</v>
      </c>
      <c r="N322">
        <v>90</v>
      </c>
    </row>
    <row r="323" spans="1:14" ht="16" x14ac:dyDescent="0.2">
      <c r="A323" t="s">
        <v>41</v>
      </c>
      <c r="B323" s="2">
        <v>0.93094835600000003</v>
      </c>
      <c r="C323">
        <v>10</v>
      </c>
      <c r="D323" s="2">
        <v>0.22408963600000001</v>
      </c>
      <c r="E323" s="2">
        <v>0.92886219699999995</v>
      </c>
      <c r="F323" s="3">
        <v>1.6867043479999999</v>
      </c>
      <c r="G323">
        <v>-21.55</v>
      </c>
      <c r="H323">
        <v>0.16</v>
      </c>
      <c r="I323" s="8">
        <v>207224.80119999999</v>
      </c>
      <c r="J323" s="8">
        <v>364768.04080000002</v>
      </c>
      <c r="K323" s="8" t="s">
        <v>42</v>
      </c>
      <c r="L323" s="8" t="s">
        <v>43</v>
      </c>
      <c r="M323">
        <v>4.3</v>
      </c>
      <c r="N323">
        <v>10</v>
      </c>
    </row>
    <row r="324" spans="1:14" ht="16" x14ac:dyDescent="0.2">
      <c r="A324" t="s">
        <v>350</v>
      </c>
      <c r="B324" s="2">
        <v>1.2945954749999999</v>
      </c>
      <c r="C324">
        <v>10</v>
      </c>
      <c r="D324" s="2">
        <v>2.1607965E-2</v>
      </c>
      <c r="E324" s="2">
        <v>1.294315739</v>
      </c>
      <c r="F324" s="3">
        <v>0.12226912099999999</v>
      </c>
      <c r="G324">
        <v>-26.1</v>
      </c>
      <c r="H324">
        <v>2.8000000000000001E-2</v>
      </c>
      <c r="I324" s="8">
        <v>207224.80119999999</v>
      </c>
      <c r="J324" s="8">
        <v>364768.04080000002</v>
      </c>
      <c r="K324" s="8" t="s">
        <v>42</v>
      </c>
      <c r="L324" s="8" t="s">
        <v>43</v>
      </c>
      <c r="M324">
        <v>2.9</v>
      </c>
      <c r="N324">
        <v>100</v>
      </c>
    </row>
    <row r="325" spans="1:14" ht="16" x14ac:dyDescent="0.2">
      <c r="A325" t="s">
        <v>351</v>
      </c>
      <c r="B325" s="2">
        <v>1.4918772010000001</v>
      </c>
      <c r="C325">
        <v>10</v>
      </c>
      <c r="D325" s="2">
        <v>0.140649303</v>
      </c>
      <c r="E325" s="2">
        <v>1.4897788860000001</v>
      </c>
      <c r="F325" s="3">
        <v>8.8233267000000004E-2</v>
      </c>
      <c r="G325">
        <v>-27.9</v>
      </c>
      <c r="H325">
        <v>2.4E-2</v>
      </c>
      <c r="I325" s="8">
        <v>207224.80119999999</v>
      </c>
      <c r="J325" s="8">
        <v>364768.04080000002</v>
      </c>
      <c r="K325" s="8" t="s">
        <v>42</v>
      </c>
      <c r="L325" s="8" t="s">
        <v>43</v>
      </c>
      <c r="M325">
        <v>3.6</v>
      </c>
      <c r="N325">
        <v>110</v>
      </c>
    </row>
    <row r="326" spans="1:14" ht="16" x14ac:dyDescent="0.2">
      <c r="A326" t="s">
        <v>44</v>
      </c>
      <c r="B326" s="2">
        <v>1.374130898</v>
      </c>
      <c r="C326">
        <v>10</v>
      </c>
      <c r="D326" s="2">
        <v>0.50767278199999999</v>
      </c>
      <c r="E326" s="2">
        <v>1.3671548099999999</v>
      </c>
      <c r="F326" s="3">
        <v>1.4858071980000001</v>
      </c>
      <c r="G326">
        <v>-21.2</v>
      </c>
      <c r="H326">
        <v>0.16</v>
      </c>
      <c r="I326" s="8">
        <v>207224.80119999999</v>
      </c>
      <c r="J326" s="8">
        <v>364768.04080000002</v>
      </c>
      <c r="K326" s="8" t="s">
        <v>42</v>
      </c>
      <c r="L326" s="8" t="s">
        <v>43</v>
      </c>
      <c r="M326">
        <v>4.7</v>
      </c>
      <c r="N326">
        <v>20</v>
      </c>
    </row>
    <row r="327" spans="1:14" ht="16" x14ac:dyDescent="0.2">
      <c r="A327" t="s">
        <v>45</v>
      </c>
      <c r="B327" s="2">
        <v>1.421491104</v>
      </c>
      <c r="C327">
        <v>10</v>
      </c>
      <c r="D327" s="2">
        <v>0.32316803100000002</v>
      </c>
      <c r="E327" s="2">
        <v>1.4168973</v>
      </c>
      <c r="F327" s="3">
        <v>1.0520801820000001</v>
      </c>
      <c r="G327">
        <v>-21.9</v>
      </c>
      <c r="H327">
        <v>0.11</v>
      </c>
      <c r="I327" s="8">
        <v>207224.80119999999</v>
      </c>
      <c r="J327" s="8">
        <v>364768.04080000002</v>
      </c>
      <c r="K327" s="8" t="s">
        <v>42</v>
      </c>
      <c r="L327" s="8" t="s">
        <v>43</v>
      </c>
      <c r="M327">
        <v>5</v>
      </c>
      <c r="N327">
        <v>30</v>
      </c>
    </row>
    <row r="328" spans="1:14" ht="16" x14ac:dyDescent="0.2">
      <c r="A328" t="s">
        <v>46</v>
      </c>
      <c r="B328" s="2">
        <v>1.5503735359999999</v>
      </c>
      <c r="C328">
        <v>10</v>
      </c>
      <c r="D328" s="2">
        <v>0.27986303200000001</v>
      </c>
      <c r="E328" s="2">
        <v>1.5460346140000001</v>
      </c>
      <c r="F328" s="3">
        <v>0.49196556800000002</v>
      </c>
      <c r="G328">
        <v>-22.5</v>
      </c>
      <c r="H328">
        <v>5.7000000000000002E-2</v>
      </c>
      <c r="I328" s="8">
        <v>207224.80119999999</v>
      </c>
      <c r="J328" s="8">
        <v>364768.04080000002</v>
      </c>
      <c r="K328" s="8" t="s">
        <v>42</v>
      </c>
      <c r="L328" s="8" t="s">
        <v>43</v>
      </c>
      <c r="M328">
        <v>6.3</v>
      </c>
      <c r="N328">
        <v>40</v>
      </c>
    </row>
    <row r="329" spans="1:14" ht="16" x14ac:dyDescent="0.2">
      <c r="A329" t="s">
        <v>47</v>
      </c>
      <c r="B329" s="2">
        <v>1.7626099690000001</v>
      </c>
      <c r="C329">
        <v>10</v>
      </c>
      <c r="D329" s="2">
        <v>0.56690273899999999</v>
      </c>
      <c r="E329" s="2">
        <v>1.7526176849999999</v>
      </c>
      <c r="F329" s="3">
        <v>0.232570529</v>
      </c>
      <c r="G329">
        <v>-20.9</v>
      </c>
      <c r="H329">
        <v>4.3999999999999997E-2</v>
      </c>
      <c r="I329" s="8">
        <v>207224.80119999999</v>
      </c>
      <c r="J329" s="8">
        <v>364768.04080000002</v>
      </c>
      <c r="K329" s="8" t="s">
        <v>42</v>
      </c>
      <c r="L329" s="8" t="s">
        <v>43</v>
      </c>
      <c r="M329">
        <v>6.4</v>
      </c>
      <c r="N329">
        <v>50</v>
      </c>
    </row>
    <row r="330" spans="1:14" ht="16" x14ac:dyDescent="0.2">
      <c r="A330" t="s">
        <v>346</v>
      </c>
      <c r="B330" s="2">
        <v>1.530168435</v>
      </c>
      <c r="C330">
        <v>10</v>
      </c>
      <c r="D330" s="2">
        <v>0.87501871499999995</v>
      </c>
      <c r="E330" s="2">
        <v>1.5167791740000001</v>
      </c>
      <c r="F330" s="3">
        <v>0.18517167400000001</v>
      </c>
      <c r="G330">
        <v>-21.2</v>
      </c>
      <c r="H330">
        <v>4.1000000000000002E-2</v>
      </c>
      <c r="I330" s="8">
        <v>207224.80119999999</v>
      </c>
      <c r="J330" s="8">
        <v>364768.04080000002</v>
      </c>
      <c r="K330" s="8" t="s">
        <v>42</v>
      </c>
      <c r="L330" s="8" t="s">
        <v>43</v>
      </c>
      <c r="M330">
        <v>5.5</v>
      </c>
      <c r="N330">
        <v>60</v>
      </c>
    </row>
    <row r="331" spans="1:14" ht="16" x14ac:dyDescent="0.2">
      <c r="A331" t="s">
        <v>347</v>
      </c>
      <c r="B331" s="2">
        <v>1.5898376030000001</v>
      </c>
      <c r="C331">
        <v>10</v>
      </c>
      <c r="D331" s="2">
        <v>0.114297073</v>
      </c>
      <c r="E331" s="2">
        <v>1.588020465</v>
      </c>
      <c r="F331" s="3">
        <v>0.16576269900000001</v>
      </c>
      <c r="G331">
        <v>-21.9</v>
      </c>
      <c r="H331">
        <v>3.9E-2</v>
      </c>
      <c r="I331" s="8">
        <v>207224.80119999999</v>
      </c>
      <c r="J331" s="8">
        <v>364768.04080000002</v>
      </c>
      <c r="K331" s="8" t="s">
        <v>42</v>
      </c>
      <c r="L331" s="8" t="s">
        <v>43</v>
      </c>
      <c r="M331">
        <v>5.2</v>
      </c>
      <c r="N331">
        <v>70</v>
      </c>
    </row>
    <row r="332" spans="1:14" ht="16" x14ac:dyDescent="0.2">
      <c r="A332" t="s">
        <v>348</v>
      </c>
      <c r="B332" s="2">
        <v>1.495895499</v>
      </c>
      <c r="C332">
        <v>10</v>
      </c>
      <c r="D332" s="2">
        <v>0</v>
      </c>
      <c r="E332" s="2">
        <v>1.495895499</v>
      </c>
      <c r="F332" s="3">
        <v>0.13610828599999999</v>
      </c>
      <c r="G332">
        <v>-23.15</v>
      </c>
      <c r="H332">
        <v>3.3500000000000002E-2</v>
      </c>
      <c r="I332" s="8">
        <v>207224.80119999999</v>
      </c>
      <c r="J332" s="8">
        <v>364768.04080000002</v>
      </c>
      <c r="K332" s="8" t="s">
        <v>42</v>
      </c>
      <c r="L332" s="8" t="s">
        <v>43</v>
      </c>
      <c r="M332">
        <v>3.8</v>
      </c>
      <c r="N332">
        <v>80</v>
      </c>
    </row>
    <row r="333" spans="1:14" ht="16" x14ac:dyDescent="0.2">
      <c r="A333" t="s">
        <v>349</v>
      </c>
      <c r="B333" s="2">
        <v>1.484127151</v>
      </c>
      <c r="C333">
        <v>10</v>
      </c>
      <c r="D333" s="2">
        <v>0</v>
      </c>
      <c r="E333" s="2">
        <v>1.484127151</v>
      </c>
      <c r="F333" s="3">
        <v>0.12537274100000001</v>
      </c>
      <c r="G333">
        <v>-25.2</v>
      </c>
      <c r="H333">
        <v>0.03</v>
      </c>
      <c r="I333" s="8">
        <v>207224.80119999999</v>
      </c>
      <c r="J333" s="8">
        <v>364768.04080000002</v>
      </c>
      <c r="K333" s="8" t="s">
        <v>42</v>
      </c>
      <c r="L333" s="8" t="s">
        <v>43</v>
      </c>
      <c r="M333">
        <v>2.9</v>
      </c>
      <c r="N333">
        <v>90</v>
      </c>
    </row>
    <row r="334" spans="1:14" ht="16" x14ac:dyDescent="0.2">
      <c r="A334" t="s">
        <v>379</v>
      </c>
      <c r="B334" s="2">
        <v>1.3897952579999999</v>
      </c>
      <c r="C334">
        <v>10</v>
      </c>
      <c r="D334" s="2">
        <v>1.8656347769999999</v>
      </c>
      <c r="E334" s="2">
        <v>1.3638667550000001</v>
      </c>
      <c r="F334" s="3">
        <v>0.97646517300000002</v>
      </c>
      <c r="G334">
        <v>-22.4</v>
      </c>
      <c r="H334">
        <v>0.11</v>
      </c>
      <c r="I334" s="8">
        <v>207153.81330000001</v>
      </c>
      <c r="J334" s="8">
        <v>364647.0932</v>
      </c>
      <c r="K334" s="8" t="s">
        <v>42</v>
      </c>
      <c r="L334" s="8" t="s">
        <v>81</v>
      </c>
      <c r="M334">
        <v>4.3</v>
      </c>
      <c r="N334">
        <v>10</v>
      </c>
    </row>
    <row r="335" spans="1:14" ht="16" x14ac:dyDescent="0.2">
      <c r="A335" t="s">
        <v>368</v>
      </c>
      <c r="B335" s="2">
        <v>1.641523431</v>
      </c>
      <c r="C335">
        <v>10</v>
      </c>
      <c r="D335" s="2">
        <v>5.5877867659999998</v>
      </c>
      <c r="E335" s="2">
        <v>1.5497986020000001</v>
      </c>
      <c r="F335" s="3">
        <v>0.159010551</v>
      </c>
      <c r="G335">
        <v>-26.4</v>
      </c>
      <c r="H335">
        <v>4.7E-2</v>
      </c>
      <c r="I335" s="8">
        <v>207084.47579999999</v>
      </c>
      <c r="J335" s="8">
        <v>364768.71610000002</v>
      </c>
      <c r="K335" s="8" t="s">
        <v>42</v>
      </c>
      <c r="L335" s="8" t="s">
        <v>68</v>
      </c>
      <c r="M335">
        <v>2.7</v>
      </c>
      <c r="N335">
        <v>100</v>
      </c>
    </row>
    <row r="336" spans="1:14" ht="16" x14ac:dyDescent="0.2">
      <c r="A336" t="s">
        <v>360</v>
      </c>
      <c r="B336" s="2">
        <v>1.4800589740000001</v>
      </c>
      <c r="C336">
        <v>10</v>
      </c>
      <c r="D336" s="2">
        <v>2.415363294</v>
      </c>
      <c r="E336" s="2">
        <v>1.4443101730000001</v>
      </c>
      <c r="F336" s="3">
        <v>0.807919108</v>
      </c>
      <c r="G336">
        <v>-22.1</v>
      </c>
      <c r="H336">
        <v>0.1</v>
      </c>
      <c r="I336" s="8">
        <v>207084.47579999999</v>
      </c>
      <c r="J336" s="8">
        <v>364768.71610000002</v>
      </c>
      <c r="K336" s="8" t="s">
        <v>42</v>
      </c>
      <c r="L336" s="8" t="s">
        <v>68</v>
      </c>
      <c r="M336">
        <v>4.8</v>
      </c>
      <c r="N336">
        <v>20</v>
      </c>
    </row>
    <row r="337" spans="1:14" ht="16" x14ac:dyDescent="0.2">
      <c r="A337" t="s">
        <v>361</v>
      </c>
      <c r="B337" s="2">
        <v>1.4904553169999999</v>
      </c>
      <c r="C337">
        <v>10</v>
      </c>
      <c r="D337" s="2">
        <v>1.5038217300000001</v>
      </c>
      <c r="E337" s="2">
        <v>1.4680415259999999</v>
      </c>
      <c r="F337" s="3">
        <v>0.83577960500000004</v>
      </c>
      <c r="G337">
        <v>-21.7</v>
      </c>
      <c r="H337">
        <v>9.4E-2</v>
      </c>
      <c r="I337" s="8">
        <v>207084.47579999999</v>
      </c>
      <c r="J337" s="8">
        <v>364768.71610000002</v>
      </c>
      <c r="K337" s="8" t="s">
        <v>42</v>
      </c>
      <c r="L337" s="8" t="s">
        <v>68</v>
      </c>
      <c r="M337">
        <v>4.8</v>
      </c>
      <c r="N337">
        <v>30</v>
      </c>
    </row>
    <row r="338" spans="1:14" ht="16" x14ac:dyDescent="0.2">
      <c r="A338" t="s">
        <v>362</v>
      </c>
      <c r="B338" s="2">
        <v>1.552428039</v>
      </c>
      <c r="C338">
        <v>10</v>
      </c>
      <c r="D338" s="2">
        <v>1.4358821479999999</v>
      </c>
      <c r="E338" s="2">
        <v>1.5301370009999999</v>
      </c>
      <c r="F338" s="3">
        <v>0.39106192699999998</v>
      </c>
      <c r="G338">
        <v>-23.65</v>
      </c>
      <c r="H338">
        <v>5.2499999999999998E-2</v>
      </c>
      <c r="I338" s="8">
        <v>207084.47579999999</v>
      </c>
      <c r="J338" s="8">
        <v>364768.71610000002</v>
      </c>
      <c r="K338" s="8" t="s">
        <v>42</v>
      </c>
      <c r="L338" s="8" t="s">
        <v>68</v>
      </c>
      <c r="M338">
        <v>5.9</v>
      </c>
      <c r="N338">
        <v>40</v>
      </c>
    </row>
    <row r="339" spans="1:14" ht="16" x14ac:dyDescent="0.2">
      <c r="A339" t="s">
        <v>363</v>
      </c>
      <c r="B339" s="2">
        <v>1.450412751</v>
      </c>
      <c r="C339">
        <v>10</v>
      </c>
      <c r="D339" s="2">
        <v>3.0564004229999999</v>
      </c>
      <c r="E339" s="2">
        <v>1.40608233</v>
      </c>
      <c r="F339" s="3">
        <v>0.21817730099999999</v>
      </c>
      <c r="G339">
        <v>-22.9</v>
      </c>
      <c r="H339">
        <v>4.4999999999999998E-2</v>
      </c>
      <c r="I339" s="8">
        <v>207084.47579999999</v>
      </c>
      <c r="J339" s="8">
        <v>364768.71610000002</v>
      </c>
      <c r="K339" s="8" t="s">
        <v>42</v>
      </c>
      <c r="L339" s="8" t="s">
        <v>68</v>
      </c>
      <c r="M339">
        <v>5.3</v>
      </c>
      <c r="N339">
        <v>50</v>
      </c>
    </row>
    <row r="340" spans="1:14" ht="16" x14ac:dyDescent="0.2">
      <c r="A340" t="s">
        <v>364</v>
      </c>
      <c r="B340" s="2">
        <v>1.5728871170000001</v>
      </c>
      <c r="C340">
        <v>10</v>
      </c>
      <c r="D340" s="2">
        <v>1.5771242050000001</v>
      </c>
      <c r="E340" s="2">
        <v>1.5480807329999999</v>
      </c>
      <c r="F340" s="3">
        <v>0.17938326399999999</v>
      </c>
      <c r="G340">
        <v>-23.1</v>
      </c>
      <c r="H340">
        <v>4.2999999999999997E-2</v>
      </c>
      <c r="I340" s="8">
        <v>207084.47579999999</v>
      </c>
      <c r="J340" s="8">
        <v>364768.71610000002</v>
      </c>
      <c r="K340" s="8" t="s">
        <v>42</v>
      </c>
      <c r="L340" s="8" t="s">
        <v>68</v>
      </c>
      <c r="M340">
        <v>4.5</v>
      </c>
      <c r="N340">
        <v>60</v>
      </c>
    </row>
    <row r="341" spans="1:14" ht="16" x14ac:dyDescent="0.2">
      <c r="A341" t="s">
        <v>365</v>
      </c>
      <c r="B341" s="2">
        <v>1.294617192</v>
      </c>
      <c r="C341">
        <v>10</v>
      </c>
      <c r="D341" s="2">
        <v>2.63062767</v>
      </c>
      <c r="E341" s="2">
        <v>1.260560634</v>
      </c>
      <c r="F341" s="3">
        <v>0.15708585999999999</v>
      </c>
      <c r="G341">
        <v>-24.5</v>
      </c>
      <c r="H341">
        <v>4.2000000000000003E-2</v>
      </c>
      <c r="I341" s="8">
        <v>207084.47579999999</v>
      </c>
      <c r="J341" s="8">
        <v>364768.71610000002</v>
      </c>
      <c r="K341" s="8" t="s">
        <v>42</v>
      </c>
      <c r="L341" s="8" t="s">
        <v>68</v>
      </c>
      <c r="M341">
        <v>3.8</v>
      </c>
      <c r="N341">
        <v>70</v>
      </c>
    </row>
    <row r="342" spans="1:14" ht="16" x14ac:dyDescent="0.2">
      <c r="A342" t="s">
        <v>366</v>
      </c>
      <c r="B342" s="2">
        <v>1.8100572450000001</v>
      </c>
      <c r="C342">
        <v>10</v>
      </c>
      <c r="D342" s="2">
        <v>2.8731639539999998</v>
      </c>
      <c r="E342" s="2">
        <v>1.758051333</v>
      </c>
      <c r="F342" s="3">
        <v>0.174582243</v>
      </c>
      <c r="G342">
        <v>-25</v>
      </c>
      <c r="H342">
        <v>4.8000000000000001E-2</v>
      </c>
      <c r="I342" s="8">
        <v>207084.47579999999</v>
      </c>
      <c r="J342" s="8">
        <v>364768.71610000002</v>
      </c>
      <c r="K342" s="8" t="s">
        <v>42</v>
      </c>
      <c r="L342" s="8" t="s">
        <v>68</v>
      </c>
      <c r="M342">
        <v>3.4</v>
      </c>
      <c r="N342">
        <v>80</v>
      </c>
    </row>
    <row r="343" spans="1:14" ht="16" x14ac:dyDescent="0.2">
      <c r="A343" t="s">
        <v>367</v>
      </c>
      <c r="B343" s="2">
        <v>1.4618016739999999</v>
      </c>
      <c r="C343">
        <v>10</v>
      </c>
      <c r="D343" s="2">
        <v>2.4649757650000002</v>
      </c>
      <c r="E343" s="2">
        <v>1.4257686169999999</v>
      </c>
      <c r="F343" s="3">
        <v>0.180125905</v>
      </c>
      <c r="G343">
        <v>-25.6</v>
      </c>
      <c r="H343">
        <v>4.7E-2</v>
      </c>
      <c r="I343" s="8">
        <v>207084.47579999999</v>
      </c>
      <c r="J343" s="8">
        <v>364768.71610000002</v>
      </c>
      <c r="K343" s="8" t="s">
        <v>42</v>
      </c>
      <c r="L343" s="8" t="s">
        <v>68</v>
      </c>
      <c r="M343">
        <v>3.3</v>
      </c>
      <c r="N343">
        <v>90</v>
      </c>
    </row>
    <row r="344" spans="1:14" ht="16" x14ac:dyDescent="0.2">
      <c r="A344" t="s">
        <v>380</v>
      </c>
      <c r="B344" s="2">
        <v>1.5649328739999999</v>
      </c>
      <c r="C344">
        <v>10</v>
      </c>
      <c r="D344" s="2">
        <v>1.942131077</v>
      </c>
      <c r="E344" s="2">
        <v>1.5345398260000001</v>
      </c>
      <c r="F344" s="3">
        <v>0.95104343499999999</v>
      </c>
      <c r="G344">
        <v>-22.2</v>
      </c>
      <c r="H344">
        <v>0.11</v>
      </c>
      <c r="I344" s="8">
        <v>207153.81330000001</v>
      </c>
      <c r="J344" s="8">
        <v>364647.0932</v>
      </c>
      <c r="K344" s="8" t="s">
        <v>42</v>
      </c>
      <c r="L344" s="8" t="s">
        <v>81</v>
      </c>
      <c r="M344">
        <v>4.5</v>
      </c>
      <c r="N344">
        <v>10</v>
      </c>
    </row>
    <row r="345" spans="1:14" ht="16" x14ac:dyDescent="0.2">
      <c r="A345" t="s">
        <v>389</v>
      </c>
      <c r="B345" s="2">
        <v>1.620224627</v>
      </c>
      <c r="C345">
        <v>10</v>
      </c>
      <c r="D345" s="2">
        <v>6.5759338290000002</v>
      </c>
      <c r="E345" s="2">
        <v>1.513679727</v>
      </c>
      <c r="F345" s="3">
        <v>0.12967246199999999</v>
      </c>
      <c r="G345">
        <v>-25.5</v>
      </c>
      <c r="H345">
        <v>3.4000000000000002E-2</v>
      </c>
      <c r="I345" s="8">
        <v>207153.81330000001</v>
      </c>
      <c r="J345" s="8">
        <v>364647.0932</v>
      </c>
      <c r="K345" s="8" t="s">
        <v>42</v>
      </c>
      <c r="L345" s="8" t="s">
        <v>81</v>
      </c>
      <c r="M345">
        <v>4.4000000000000004</v>
      </c>
      <c r="N345">
        <v>100</v>
      </c>
    </row>
    <row r="346" spans="1:14" ht="16" x14ac:dyDescent="0.2">
      <c r="A346" t="s">
        <v>390</v>
      </c>
      <c r="B346" s="2">
        <v>1.0914423099999999</v>
      </c>
      <c r="C346">
        <v>10</v>
      </c>
      <c r="D346" s="2">
        <v>8.0537806179999993</v>
      </c>
      <c r="E346" s="2">
        <v>1.0035399410000001</v>
      </c>
      <c r="F346" s="3">
        <v>0.122579076</v>
      </c>
      <c r="G346">
        <v>-27.3</v>
      </c>
      <c r="H346">
        <v>2.9000000000000001E-2</v>
      </c>
      <c r="I346" s="8">
        <v>207153.81330000001</v>
      </c>
      <c r="J346" s="8">
        <v>364647.0932</v>
      </c>
      <c r="K346" s="8" t="s">
        <v>42</v>
      </c>
      <c r="L346" s="8" t="s">
        <v>81</v>
      </c>
      <c r="M346">
        <v>2.1</v>
      </c>
      <c r="N346">
        <v>110</v>
      </c>
    </row>
    <row r="347" spans="1:14" ht="16" x14ac:dyDescent="0.2">
      <c r="A347" t="s">
        <v>381</v>
      </c>
      <c r="B347" s="2">
        <v>1.503467876</v>
      </c>
      <c r="C347">
        <v>10</v>
      </c>
      <c r="D347" s="2">
        <v>0.72104176399999997</v>
      </c>
      <c r="E347" s="2">
        <v>1.492627245</v>
      </c>
      <c r="F347" s="3">
        <v>1.04766011</v>
      </c>
      <c r="G347">
        <v>-22.4</v>
      </c>
      <c r="H347">
        <v>0.12</v>
      </c>
      <c r="I347" s="8">
        <v>207153.81330000001</v>
      </c>
      <c r="J347" s="8">
        <v>364647.0932</v>
      </c>
      <c r="K347" s="8" t="s">
        <v>42</v>
      </c>
      <c r="L347" s="8" t="s">
        <v>81</v>
      </c>
      <c r="M347">
        <v>4.8</v>
      </c>
      <c r="N347">
        <v>20</v>
      </c>
    </row>
    <row r="348" spans="1:14" ht="16" x14ac:dyDescent="0.2">
      <c r="A348" t="s">
        <v>382</v>
      </c>
      <c r="B348" s="2">
        <v>1.5069700399999999</v>
      </c>
      <c r="C348">
        <v>10</v>
      </c>
      <c r="D348" s="2">
        <v>0.433868217</v>
      </c>
      <c r="E348" s="2">
        <v>1.5004317760000001</v>
      </c>
      <c r="F348" s="3">
        <v>0.68868873100000005</v>
      </c>
      <c r="G348">
        <v>-22.7</v>
      </c>
      <c r="H348">
        <v>0.08</v>
      </c>
      <c r="I348" s="8">
        <v>207153.81330000001</v>
      </c>
      <c r="J348" s="8">
        <v>364647.0932</v>
      </c>
      <c r="K348" s="8" t="s">
        <v>42</v>
      </c>
      <c r="L348" s="8" t="s">
        <v>81</v>
      </c>
      <c r="M348">
        <v>4.95</v>
      </c>
      <c r="N348">
        <v>30</v>
      </c>
    </row>
    <row r="349" spans="1:14" ht="16" x14ac:dyDescent="0.2">
      <c r="A349" t="s">
        <v>383</v>
      </c>
      <c r="B349" s="2">
        <v>1.4735695150000001</v>
      </c>
      <c r="C349">
        <v>10</v>
      </c>
      <c r="D349" s="2">
        <v>0.28113578900000002</v>
      </c>
      <c r="E349" s="2">
        <v>1.4694267839999999</v>
      </c>
      <c r="F349" s="3">
        <v>0.64900472200000003</v>
      </c>
      <c r="G349">
        <v>-23.6</v>
      </c>
      <c r="H349">
        <v>7.2999999999999995E-2</v>
      </c>
      <c r="I349" s="8">
        <v>207153.81330000001</v>
      </c>
      <c r="J349" s="8">
        <v>364647.0932</v>
      </c>
      <c r="K349" s="8" t="s">
        <v>42</v>
      </c>
      <c r="L349" s="8" t="s">
        <v>81</v>
      </c>
      <c r="M349">
        <v>4.7</v>
      </c>
      <c r="N349">
        <v>40</v>
      </c>
    </row>
    <row r="350" spans="1:14" ht="16" x14ac:dyDescent="0.2">
      <c r="A350" t="s">
        <v>384</v>
      </c>
      <c r="B350" s="2">
        <v>1.4240283389999999</v>
      </c>
      <c r="C350">
        <v>10</v>
      </c>
      <c r="D350" s="2">
        <v>0.87482503499999997</v>
      </c>
      <c r="E350" s="2">
        <v>1.411570583</v>
      </c>
      <c r="F350" s="3">
        <v>0.51108373600000001</v>
      </c>
      <c r="G350">
        <v>-23.2</v>
      </c>
      <c r="H350">
        <v>5.8999999999999997E-2</v>
      </c>
      <c r="I350" s="8">
        <v>207153.81330000001</v>
      </c>
      <c r="J350" s="8">
        <v>364647.0932</v>
      </c>
      <c r="K350" s="8" t="s">
        <v>42</v>
      </c>
      <c r="L350" s="8" t="s">
        <v>81</v>
      </c>
      <c r="M350">
        <v>5.2</v>
      </c>
      <c r="N350">
        <v>50</v>
      </c>
    </row>
    <row r="351" spans="1:14" ht="16" x14ac:dyDescent="0.2">
      <c r="A351" t="s">
        <v>385</v>
      </c>
      <c r="B351" s="2">
        <v>1.4164755710000001</v>
      </c>
      <c r="C351">
        <v>10</v>
      </c>
      <c r="D351" s="2">
        <v>4.5623324509999996</v>
      </c>
      <c r="E351" s="2">
        <v>1.3518512460000001</v>
      </c>
      <c r="F351" s="3">
        <v>0.36039121699999999</v>
      </c>
      <c r="G351">
        <v>-23</v>
      </c>
      <c r="H351">
        <v>4.9000000000000002E-2</v>
      </c>
      <c r="I351" s="8">
        <v>207153.81330000001</v>
      </c>
      <c r="J351" s="8">
        <v>364647.0932</v>
      </c>
      <c r="K351" s="8" t="s">
        <v>42</v>
      </c>
      <c r="L351" s="8" t="s">
        <v>81</v>
      </c>
      <c r="M351">
        <v>6.1</v>
      </c>
      <c r="N351">
        <v>60</v>
      </c>
    </row>
    <row r="352" spans="1:14" ht="16" x14ac:dyDescent="0.2">
      <c r="A352" t="s">
        <v>386</v>
      </c>
      <c r="B352" s="2">
        <v>1.614320805</v>
      </c>
      <c r="C352">
        <v>10</v>
      </c>
      <c r="D352" s="2">
        <v>8.6254084629999994</v>
      </c>
      <c r="E352" s="2">
        <v>1.4750790410000001</v>
      </c>
      <c r="F352" s="3">
        <v>0.19814654900000001</v>
      </c>
      <c r="G352">
        <v>-23</v>
      </c>
      <c r="H352">
        <v>4.2000000000000003E-2</v>
      </c>
      <c r="I352" s="8">
        <v>207153.81330000001</v>
      </c>
      <c r="J352" s="8">
        <v>364647.0932</v>
      </c>
      <c r="K352" s="8" t="s">
        <v>42</v>
      </c>
      <c r="L352" s="8" t="s">
        <v>81</v>
      </c>
      <c r="M352">
        <v>4.7</v>
      </c>
      <c r="N352">
        <v>70</v>
      </c>
    </row>
    <row r="353" spans="1:14" ht="16" x14ac:dyDescent="0.2">
      <c r="A353" t="s">
        <v>387</v>
      </c>
      <c r="B353" s="2">
        <v>1.5723599539999999</v>
      </c>
      <c r="C353">
        <v>10</v>
      </c>
      <c r="D353" s="2">
        <v>5.3776385219999998</v>
      </c>
      <c r="E353" s="2">
        <v>1.4878041200000001</v>
      </c>
      <c r="F353" s="3">
        <v>0.19459528300000001</v>
      </c>
      <c r="G353">
        <v>-23.8</v>
      </c>
      <c r="H353">
        <v>4.2999999999999997E-2</v>
      </c>
      <c r="I353" s="8">
        <v>207153.81330000001</v>
      </c>
      <c r="J353" s="8">
        <v>364647.0932</v>
      </c>
      <c r="K353" s="8" t="s">
        <v>42</v>
      </c>
      <c r="L353" s="8" t="s">
        <v>81</v>
      </c>
      <c r="M353">
        <v>4.0999999999999996</v>
      </c>
      <c r="N353">
        <v>80</v>
      </c>
    </row>
    <row r="354" spans="1:14" ht="16" x14ac:dyDescent="0.2">
      <c r="A354" t="s">
        <v>388</v>
      </c>
      <c r="B354" s="2">
        <v>1.6875744619999999</v>
      </c>
      <c r="C354">
        <v>10</v>
      </c>
      <c r="D354" s="2">
        <v>5.4560827610000002</v>
      </c>
      <c r="E354" s="2">
        <v>1.595499003</v>
      </c>
      <c r="F354" s="3">
        <v>0.16815012600000001</v>
      </c>
      <c r="G354">
        <v>-24.7</v>
      </c>
      <c r="H354">
        <v>3.9E-2</v>
      </c>
      <c r="I354" s="8">
        <v>207153.81330000001</v>
      </c>
      <c r="J354" s="8">
        <v>364647.0932</v>
      </c>
      <c r="K354" s="8" t="s">
        <v>42</v>
      </c>
      <c r="L354" s="8" t="s">
        <v>81</v>
      </c>
      <c r="M354">
        <v>3.8</v>
      </c>
      <c r="N354">
        <v>90</v>
      </c>
    </row>
    <row r="355" spans="1:14" ht="16" x14ac:dyDescent="0.2">
      <c r="A355" t="s">
        <v>352</v>
      </c>
      <c r="B355" s="2">
        <v>1.269079292</v>
      </c>
      <c r="C355">
        <v>10</v>
      </c>
      <c r="D355" s="2">
        <v>2.3711712899999999</v>
      </c>
      <c r="E355" s="2">
        <v>1.238987249</v>
      </c>
      <c r="F355" s="3">
        <v>1.5090176390000001</v>
      </c>
      <c r="G355">
        <v>-21.25</v>
      </c>
      <c r="H355">
        <v>0.155</v>
      </c>
      <c r="I355" s="8">
        <v>207224.80119999999</v>
      </c>
      <c r="J355" s="8">
        <v>364768.04080000002</v>
      </c>
      <c r="K355" s="8" t="s">
        <v>42</v>
      </c>
      <c r="L355" s="8" t="s">
        <v>43</v>
      </c>
      <c r="M355">
        <v>5</v>
      </c>
      <c r="N355">
        <v>10</v>
      </c>
    </row>
    <row r="356" spans="1:14" ht="16" x14ac:dyDescent="0.2">
      <c r="A356" t="s">
        <v>353</v>
      </c>
      <c r="B356" s="2">
        <v>1.393059542</v>
      </c>
      <c r="C356">
        <v>10</v>
      </c>
      <c r="D356" s="2">
        <v>3.5345386799999998</v>
      </c>
      <c r="E356" s="2">
        <v>1.3438213139999999</v>
      </c>
      <c r="F356" s="3">
        <v>1.169151936</v>
      </c>
      <c r="G356">
        <v>-21.5</v>
      </c>
      <c r="H356">
        <v>0.13</v>
      </c>
      <c r="I356" s="8">
        <v>207224.80119999999</v>
      </c>
      <c r="J356" s="8">
        <v>364768.04080000002</v>
      </c>
      <c r="K356" s="8" t="s">
        <v>42</v>
      </c>
      <c r="L356" s="8" t="s">
        <v>43</v>
      </c>
      <c r="M356">
        <v>5.2</v>
      </c>
      <c r="N356">
        <v>20</v>
      </c>
    </row>
    <row r="357" spans="1:14" ht="16" x14ac:dyDescent="0.2">
      <c r="A357" t="s">
        <v>354</v>
      </c>
      <c r="B357" s="2">
        <v>1.3473057450000001</v>
      </c>
      <c r="C357">
        <v>10</v>
      </c>
      <c r="D357" s="2">
        <v>4.2024438569999996</v>
      </c>
      <c r="E357" s="2">
        <v>1.2906859770000001</v>
      </c>
      <c r="F357" s="3">
        <v>0.85866207100000003</v>
      </c>
      <c r="G357">
        <v>-22.6</v>
      </c>
      <c r="H357">
        <v>0.1</v>
      </c>
      <c r="I357" s="8">
        <v>207224.80119999999</v>
      </c>
      <c r="J357" s="8">
        <v>364768.04080000002</v>
      </c>
      <c r="K357" s="8" t="s">
        <v>42</v>
      </c>
      <c r="L357" s="8" t="s">
        <v>43</v>
      </c>
      <c r="M357">
        <v>5.4</v>
      </c>
      <c r="N357">
        <v>30</v>
      </c>
    </row>
    <row r="358" spans="1:14" ht="16" x14ac:dyDescent="0.2">
      <c r="A358" t="s">
        <v>355</v>
      </c>
      <c r="B358" s="2">
        <v>1.447878657</v>
      </c>
      <c r="C358">
        <v>10</v>
      </c>
      <c r="D358" s="2">
        <v>2.0096688500000002</v>
      </c>
      <c r="E358" s="2">
        <v>1.418781091</v>
      </c>
      <c r="F358" s="3">
        <v>0.70762232700000005</v>
      </c>
      <c r="G358">
        <v>-23.5</v>
      </c>
      <c r="H358">
        <v>8.3000000000000004E-2</v>
      </c>
      <c r="I358" s="8">
        <v>207224.80119999999</v>
      </c>
      <c r="J358" s="8">
        <v>364768.04080000002</v>
      </c>
      <c r="K358" s="8" t="s">
        <v>42</v>
      </c>
      <c r="L358" s="8" t="s">
        <v>43</v>
      </c>
      <c r="M358">
        <v>5.5</v>
      </c>
      <c r="N358">
        <v>40</v>
      </c>
    </row>
    <row r="359" spans="1:14" ht="16" x14ac:dyDescent="0.2">
      <c r="A359" t="s">
        <v>356</v>
      </c>
      <c r="B359" s="2">
        <v>1.7974030839999999</v>
      </c>
      <c r="C359">
        <v>10</v>
      </c>
      <c r="D359" s="2">
        <v>5.1331175269999996</v>
      </c>
      <c r="E359" s="2">
        <v>1.705140272</v>
      </c>
      <c r="F359" s="3">
        <v>0.29465600600000003</v>
      </c>
      <c r="G359">
        <v>-22.5</v>
      </c>
      <c r="H359">
        <v>0.05</v>
      </c>
      <c r="I359" s="8">
        <v>207224.80119999999</v>
      </c>
      <c r="J359" s="8">
        <v>364768.04080000002</v>
      </c>
      <c r="K359" s="8" t="s">
        <v>42</v>
      </c>
      <c r="L359" s="8" t="s">
        <v>43</v>
      </c>
      <c r="M359">
        <v>5.7</v>
      </c>
      <c r="N359">
        <v>50</v>
      </c>
    </row>
    <row r="360" spans="1:14" ht="16" x14ac:dyDescent="0.2">
      <c r="A360" t="s">
        <v>357</v>
      </c>
      <c r="B360" s="2">
        <v>1.8168607059999999</v>
      </c>
      <c r="C360">
        <v>10</v>
      </c>
      <c r="D360" s="2">
        <v>10.46359805</v>
      </c>
      <c r="E360" s="2">
        <v>1.6267517039999999</v>
      </c>
      <c r="F360" s="3">
        <v>0.22773095400000001</v>
      </c>
      <c r="G360">
        <v>-22.9</v>
      </c>
      <c r="H360">
        <v>4.7E-2</v>
      </c>
      <c r="I360" s="8">
        <v>207224.80119999999</v>
      </c>
      <c r="J360" s="8">
        <v>364768.04080000002</v>
      </c>
      <c r="K360" s="8" t="s">
        <v>42</v>
      </c>
      <c r="L360" s="8" t="s">
        <v>43</v>
      </c>
      <c r="M360">
        <v>4.7</v>
      </c>
      <c r="N360">
        <v>60</v>
      </c>
    </row>
    <row r="361" spans="1:14" ht="16" x14ac:dyDescent="0.2">
      <c r="A361" t="s">
        <v>358</v>
      </c>
      <c r="B361" s="2">
        <v>1.7487105199999999</v>
      </c>
      <c r="C361">
        <v>10</v>
      </c>
      <c r="D361" s="2">
        <v>1.308221683</v>
      </c>
      <c r="E361" s="2">
        <v>1.72583351</v>
      </c>
      <c r="F361" s="3">
        <v>0.15850551199999999</v>
      </c>
      <c r="G361">
        <v>-23.1</v>
      </c>
      <c r="H361">
        <v>4.2999999999999997E-2</v>
      </c>
      <c r="I361" s="8">
        <v>207224.80119999999</v>
      </c>
      <c r="J361" s="8">
        <v>364768.04080000002</v>
      </c>
      <c r="K361" s="8" t="s">
        <v>42</v>
      </c>
      <c r="L361" s="8" t="s">
        <v>43</v>
      </c>
      <c r="M361">
        <v>3.9</v>
      </c>
      <c r="N361">
        <v>70</v>
      </c>
    </row>
    <row r="362" spans="1:14" ht="16" x14ac:dyDescent="0.2">
      <c r="A362" t="s">
        <v>359</v>
      </c>
      <c r="B362" s="2">
        <v>2.0225676039999998</v>
      </c>
      <c r="C362">
        <v>5</v>
      </c>
      <c r="D362" s="2">
        <v>8.4410532999999996E-2</v>
      </c>
      <c r="E362" s="2">
        <v>2.0208603429999998</v>
      </c>
      <c r="F362" s="3">
        <v>0.158123289</v>
      </c>
      <c r="G362">
        <v>-24</v>
      </c>
      <c r="H362">
        <v>4.1000000000000002E-2</v>
      </c>
      <c r="I362" s="8">
        <v>207224.80119999999</v>
      </c>
      <c r="J362" s="8">
        <v>364768.04080000002</v>
      </c>
      <c r="K362" s="8" t="s">
        <v>42</v>
      </c>
      <c r="L362" s="8" t="s">
        <v>43</v>
      </c>
      <c r="M362">
        <v>3.35</v>
      </c>
      <c r="N362">
        <v>75</v>
      </c>
    </row>
    <row r="363" spans="1:14" ht="16" x14ac:dyDescent="0.2">
      <c r="A363" t="s">
        <v>369</v>
      </c>
      <c r="B363" s="2">
        <v>1.687126304</v>
      </c>
      <c r="C363">
        <v>10</v>
      </c>
      <c r="D363" s="2">
        <v>0.30085435999999999</v>
      </c>
      <c r="E363" s="2">
        <v>1.6820505109999999</v>
      </c>
      <c r="F363" s="3">
        <v>0.771976938</v>
      </c>
      <c r="G363">
        <v>-22.2</v>
      </c>
      <c r="H363">
        <v>9.1999999999999998E-2</v>
      </c>
      <c r="I363" s="8">
        <v>207084.47579999999</v>
      </c>
      <c r="J363" s="8">
        <v>364768.71610000002</v>
      </c>
      <c r="K363" s="8" t="s">
        <v>42</v>
      </c>
      <c r="L363" s="8" t="s">
        <v>68</v>
      </c>
      <c r="M363">
        <v>4.7</v>
      </c>
      <c r="N363">
        <v>10</v>
      </c>
    </row>
    <row r="364" spans="1:14" ht="16" x14ac:dyDescent="0.2">
      <c r="A364" t="s">
        <v>378</v>
      </c>
      <c r="B364" s="2">
        <v>1.686800332</v>
      </c>
      <c r="C364">
        <v>10</v>
      </c>
      <c r="D364" s="2">
        <v>0.13075789900000001</v>
      </c>
      <c r="E364" s="2">
        <v>1.684594707</v>
      </c>
      <c r="F364" s="3">
        <v>0.138689064</v>
      </c>
      <c r="G364">
        <v>-26.2</v>
      </c>
      <c r="H364">
        <v>3.5999999999999997E-2</v>
      </c>
      <c r="I364" s="8">
        <v>207084.47579999999</v>
      </c>
      <c r="J364" s="8">
        <v>364768.71610000002</v>
      </c>
      <c r="K364" s="8" t="s">
        <v>42</v>
      </c>
      <c r="L364" s="8" t="s">
        <v>68</v>
      </c>
      <c r="M364">
        <v>2.8</v>
      </c>
      <c r="N364">
        <v>100</v>
      </c>
    </row>
    <row r="365" spans="1:14" ht="16" x14ac:dyDescent="0.2">
      <c r="A365" t="s">
        <v>370</v>
      </c>
      <c r="B365" s="2">
        <v>1.6624450770000001</v>
      </c>
      <c r="C365">
        <v>10</v>
      </c>
      <c r="D365" s="2">
        <v>0.207544062</v>
      </c>
      <c r="E365" s="2">
        <v>1.6589947709999999</v>
      </c>
      <c r="F365" s="3">
        <v>0.69684916299999999</v>
      </c>
      <c r="G365">
        <v>-22.1</v>
      </c>
      <c r="H365">
        <v>8.7999999999999995E-2</v>
      </c>
      <c r="I365" s="8">
        <v>207084.47579999999</v>
      </c>
      <c r="J365" s="8">
        <v>364768.71610000002</v>
      </c>
      <c r="K365" s="8" t="s">
        <v>42</v>
      </c>
      <c r="L365" s="8" t="s">
        <v>68</v>
      </c>
      <c r="M365">
        <v>4.9000000000000004</v>
      </c>
      <c r="N365">
        <v>20</v>
      </c>
    </row>
    <row r="366" spans="1:14" ht="16" x14ac:dyDescent="0.2">
      <c r="A366" t="s">
        <v>371</v>
      </c>
      <c r="B366" s="2">
        <v>1.6264625539999999</v>
      </c>
      <c r="C366">
        <v>10</v>
      </c>
      <c r="D366" s="2">
        <v>0.142771764</v>
      </c>
      <c r="E366" s="2">
        <v>1.624140425</v>
      </c>
      <c r="F366" s="3">
        <v>0.55563233000000001</v>
      </c>
      <c r="G366">
        <v>-22.4</v>
      </c>
      <c r="H366">
        <v>7.0999999999999994E-2</v>
      </c>
      <c r="I366" s="8">
        <v>207084.47579999999</v>
      </c>
      <c r="J366" s="8">
        <v>364768.71610000002</v>
      </c>
      <c r="K366" s="8" t="s">
        <v>42</v>
      </c>
      <c r="L366" s="8" t="s">
        <v>68</v>
      </c>
      <c r="M366">
        <v>4.9000000000000004</v>
      </c>
      <c r="N366">
        <v>30</v>
      </c>
    </row>
    <row r="367" spans="1:14" ht="16" x14ac:dyDescent="0.2">
      <c r="A367" t="s">
        <v>372</v>
      </c>
      <c r="B367" s="2">
        <v>1.5247797400000001</v>
      </c>
      <c r="C367">
        <v>10</v>
      </c>
      <c r="D367" s="2">
        <v>5.6577085999999999E-2</v>
      </c>
      <c r="E367" s="2">
        <v>1.5239170639999999</v>
      </c>
      <c r="F367" s="3">
        <v>0.29256759700000001</v>
      </c>
      <c r="G367">
        <v>-23.1</v>
      </c>
      <c r="H367">
        <v>4.9000000000000002E-2</v>
      </c>
      <c r="I367" s="8">
        <v>207084.47579999999</v>
      </c>
      <c r="J367" s="8">
        <v>364768.71610000002</v>
      </c>
      <c r="K367" s="8" t="s">
        <v>42</v>
      </c>
      <c r="L367" s="8" t="s">
        <v>68</v>
      </c>
      <c r="M367">
        <v>5.3</v>
      </c>
      <c r="N367">
        <v>40</v>
      </c>
    </row>
    <row r="368" spans="1:14" ht="16" x14ac:dyDescent="0.2">
      <c r="A368" t="s">
        <v>373</v>
      </c>
      <c r="B368" s="2">
        <v>1.5886400890000001</v>
      </c>
      <c r="C368">
        <v>10</v>
      </c>
      <c r="D368" s="2">
        <v>6.9406573999999999E-2</v>
      </c>
      <c r="E368" s="2">
        <v>1.5875374689999999</v>
      </c>
      <c r="F368" s="3">
        <v>0.215122698</v>
      </c>
      <c r="G368">
        <v>-23</v>
      </c>
      <c r="H368">
        <v>4.7E-2</v>
      </c>
      <c r="I368" s="8">
        <v>207084.47579999999</v>
      </c>
      <c r="J368" s="8">
        <v>364768.71610000002</v>
      </c>
      <c r="K368" s="8" t="s">
        <v>42</v>
      </c>
      <c r="L368" s="8" t="s">
        <v>68</v>
      </c>
      <c r="M368">
        <v>4.5</v>
      </c>
      <c r="N368">
        <v>50</v>
      </c>
    </row>
    <row r="369" spans="1:14" ht="16" x14ac:dyDescent="0.2">
      <c r="A369" t="s">
        <v>374</v>
      </c>
      <c r="B369" s="2">
        <v>1.506529223</v>
      </c>
      <c r="C369">
        <v>10</v>
      </c>
      <c r="D369" s="2">
        <v>5.8259538E-2</v>
      </c>
      <c r="E369" s="2">
        <v>1.5056515260000001</v>
      </c>
      <c r="F369" s="3">
        <v>0.15787831699999999</v>
      </c>
      <c r="G369">
        <v>-24.7</v>
      </c>
      <c r="H369">
        <v>4.2000000000000003E-2</v>
      </c>
      <c r="I369" s="8">
        <v>207084.47579999999</v>
      </c>
      <c r="J369" s="8">
        <v>364768.71610000002</v>
      </c>
      <c r="K369" s="8" t="s">
        <v>42</v>
      </c>
      <c r="L369" s="8" t="s">
        <v>68</v>
      </c>
      <c r="M369">
        <v>4.2</v>
      </c>
      <c r="N369">
        <v>60</v>
      </c>
    </row>
    <row r="370" spans="1:14" ht="16" x14ac:dyDescent="0.2">
      <c r="A370" t="s">
        <v>375</v>
      </c>
      <c r="B370" s="2">
        <v>1.561158217</v>
      </c>
      <c r="C370">
        <v>10</v>
      </c>
      <c r="D370" s="2">
        <v>8.5768951999999996E-2</v>
      </c>
      <c r="E370" s="2">
        <v>1.5598192280000001</v>
      </c>
      <c r="F370" s="3">
        <v>0.16527900500000001</v>
      </c>
      <c r="G370">
        <v>-24.2</v>
      </c>
      <c r="H370">
        <v>4.3499999999999997E-2</v>
      </c>
      <c r="I370" s="8">
        <v>207084.47579999999</v>
      </c>
      <c r="J370" s="8">
        <v>364768.71610000002</v>
      </c>
      <c r="K370" s="8" t="s">
        <v>42</v>
      </c>
      <c r="L370" s="8" t="s">
        <v>68</v>
      </c>
      <c r="M370">
        <v>3.4</v>
      </c>
      <c r="N370">
        <v>70</v>
      </c>
    </row>
    <row r="371" spans="1:14" ht="16" x14ac:dyDescent="0.2">
      <c r="A371" t="s">
        <v>376</v>
      </c>
      <c r="B371" s="2">
        <v>1.4845566290000001</v>
      </c>
      <c r="C371">
        <v>10</v>
      </c>
      <c r="D371" s="2">
        <v>0.117374773</v>
      </c>
      <c r="E371" s="2">
        <v>1.4828141340000001</v>
      </c>
      <c r="F371" s="3">
        <v>0.13959053499999999</v>
      </c>
      <c r="G371">
        <v>-24.9</v>
      </c>
      <c r="H371">
        <v>0.04</v>
      </c>
      <c r="I371" s="8">
        <v>207084.47579999999</v>
      </c>
      <c r="J371" s="8">
        <v>364768.71610000002</v>
      </c>
      <c r="K371" s="8" t="s">
        <v>42</v>
      </c>
      <c r="L371" s="8" t="s">
        <v>68</v>
      </c>
      <c r="M371">
        <v>3.3</v>
      </c>
      <c r="N371">
        <v>80</v>
      </c>
    </row>
    <row r="372" spans="1:14" ht="16" x14ac:dyDescent="0.2">
      <c r="A372" t="s">
        <v>377</v>
      </c>
      <c r="B372" s="2">
        <v>1.7731234469999999</v>
      </c>
      <c r="C372">
        <v>10</v>
      </c>
      <c r="D372" s="2">
        <v>5.3330666999999998E-2</v>
      </c>
      <c r="E372" s="2">
        <v>1.7721778290000001</v>
      </c>
      <c r="F372" s="3">
        <v>0.14664660099999999</v>
      </c>
      <c r="G372">
        <v>-26.5</v>
      </c>
      <c r="H372">
        <v>0.04</v>
      </c>
      <c r="I372" s="8">
        <v>207084.47579999999</v>
      </c>
      <c r="J372" s="8">
        <v>364768.71610000002</v>
      </c>
      <c r="K372" s="8" t="s">
        <v>42</v>
      </c>
      <c r="L372" s="8" t="s">
        <v>68</v>
      </c>
      <c r="M372">
        <v>2.8</v>
      </c>
      <c r="N372">
        <v>90</v>
      </c>
    </row>
    <row r="373" spans="1:14" ht="16" x14ac:dyDescent="0.2">
      <c r="A373" t="s">
        <v>391</v>
      </c>
      <c r="B373" s="2">
        <v>1.4598271</v>
      </c>
      <c r="C373">
        <v>10</v>
      </c>
      <c r="D373" s="2">
        <v>4.0547735520000003</v>
      </c>
      <c r="E373" s="2">
        <v>1.400634417</v>
      </c>
      <c r="F373" s="3">
        <v>1.412246573</v>
      </c>
      <c r="G373">
        <v>-22.8</v>
      </c>
      <c r="H373">
        <v>0.14000000000000001</v>
      </c>
      <c r="I373" s="8">
        <v>207153.81330000001</v>
      </c>
      <c r="J373" s="8">
        <v>364647.0932</v>
      </c>
      <c r="K373" s="8" t="s">
        <v>42</v>
      </c>
      <c r="L373" s="8" t="s">
        <v>81</v>
      </c>
      <c r="M373">
        <v>5.4</v>
      </c>
      <c r="N373">
        <v>10</v>
      </c>
    </row>
    <row r="374" spans="1:14" ht="16" x14ac:dyDescent="0.2">
      <c r="A374" t="s">
        <v>400</v>
      </c>
      <c r="B374" s="2">
        <v>1.4816868830000001</v>
      </c>
      <c r="C374">
        <v>10</v>
      </c>
      <c r="D374" s="2">
        <v>16.641993379999999</v>
      </c>
      <c r="E374" s="2">
        <v>1.23510465</v>
      </c>
      <c r="F374" s="3">
        <v>0.111338242</v>
      </c>
      <c r="G374">
        <v>-26.1</v>
      </c>
      <c r="H374">
        <v>3.1E-2</v>
      </c>
      <c r="I374" s="8">
        <v>207153.81330000001</v>
      </c>
      <c r="J374" s="8">
        <v>364647.0932</v>
      </c>
      <c r="K374" s="8" t="s">
        <v>42</v>
      </c>
      <c r="L374" s="8" t="s">
        <v>81</v>
      </c>
      <c r="M374">
        <v>2.2999999999999998</v>
      </c>
      <c r="N374">
        <v>100</v>
      </c>
    </row>
    <row r="375" spans="1:14" ht="16" x14ac:dyDescent="0.2">
      <c r="A375" t="s">
        <v>401</v>
      </c>
      <c r="B375" s="2">
        <v>1.2057807570000001</v>
      </c>
      <c r="C375">
        <v>10</v>
      </c>
      <c r="D375" s="2">
        <v>10.75147389</v>
      </c>
      <c r="E375" s="2">
        <v>1.0761415539999999</v>
      </c>
      <c r="F375" s="3">
        <v>0.116790042</v>
      </c>
      <c r="G375">
        <v>-26.6</v>
      </c>
      <c r="H375">
        <v>2.8000000000000001E-2</v>
      </c>
      <c r="I375" s="8">
        <v>207153.81330000001</v>
      </c>
      <c r="J375" s="8">
        <v>364647.0932</v>
      </c>
      <c r="K375" s="8" t="s">
        <v>42</v>
      </c>
      <c r="L375" s="8" t="s">
        <v>81</v>
      </c>
      <c r="M375">
        <v>2.7</v>
      </c>
      <c r="N375">
        <v>110</v>
      </c>
    </row>
    <row r="376" spans="1:14" ht="16" x14ac:dyDescent="0.2">
      <c r="A376" t="s">
        <v>392</v>
      </c>
      <c r="B376" s="2">
        <v>1.4008197010000001</v>
      </c>
      <c r="C376">
        <v>10</v>
      </c>
      <c r="D376" s="2">
        <v>3.2141849150000001</v>
      </c>
      <c r="E376" s="2">
        <v>1.355794766</v>
      </c>
      <c r="F376" s="3">
        <v>1.3092866249999999</v>
      </c>
      <c r="G376">
        <v>-22.6</v>
      </c>
      <c r="H376">
        <v>0.14000000000000001</v>
      </c>
      <c r="I376" s="8">
        <v>207153.81330000001</v>
      </c>
      <c r="J376" s="8">
        <v>364647.0932</v>
      </c>
      <c r="K376" s="8" t="s">
        <v>42</v>
      </c>
      <c r="L376" s="8" t="s">
        <v>81</v>
      </c>
      <c r="M376">
        <v>5.6</v>
      </c>
      <c r="N376">
        <v>20</v>
      </c>
    </row>
    <row r="377" spans="1:14" ht="16" x14ac:dyDescent="0.2">
      <c r="A377" t="s">
        <v>393</v>
      </c>
      <c r="B377" s="2">
        <v>1.4802509669999999</v>
      </c>
      <c r="C377">
        <v>10</v>
      </c>
      <c r="D377" s="2">
        <v>2.0476507829999999</v>
      </c>
      <c r="E377" s="2">
        <v>1.449940596</v>
      </c>
      <c r="F377" s="3">
        <v>1.0581228439999999</v>
      </c>
      <c r="G377">
        <v>-23.1</v>
      </c>
      <c r="H377">
        <v>0.11</v>
      </c>
      <c r="I377" s="8">
        <v>207153.81330000001</v>
      </c>
      <c r="J377" s="8">
        <v>364647.0932</v>
      </c>
      <c r="K377" s="8" t="s">
        <v>42</v>
      </c>
      <c r="L377" s="8" t="s">
        <v>81</v>
      </c>
      <c r="M377">
        <v>5.7</v>
      </c>
      <c r="N377">
        <v>30</v>
      </c>
    </row>
    <row r="378" spans="1:14" ht="16" x14ac:dyDescent="0.2">
      <c r="A378" t="s">
        <v>394</v>
      </c>
      <c r="B378" s="2">
        <v>1.539637497</v>
      </c>
      <c r="C378">
        <v>10</v>
      </c>
      <c r="D378" s="2">
        <v>4.2245071410000001</v>
      </c>
      <c r="E378" s="2">
        <v>1.474595401</v>
      </c>
      <c r="F378" s="3">
        <v>0.84146701800000001</v>
      </c>
      <c r="G378">
        <v>-24</v>
      </c>
      <c r="H378">
        <v>7.6999999999999999E-2</v>
      </c>
      <c r="I378" s="8">
        <v>207153.81330000001</v>
      </c>
      <c r="J378" s="8">
        <v>364647.0932</v>
      </c>
      <c r="K378" s="8" t="s">
        <v>42</v>
      </c>
      <c r="L378" s="8" t="s">
        <v>81</v>
      </c>
      <c r="M378">
        <v>6</v>
      </c>
      <c r="N378">
        <v>40</v>
      </c>
    </row>
    <row r="379" spans="1:14" ht="16" x14ac:dyDescent="0.2">
      <c r="A379" t="s">
        <v>395</v>
      </c>
      <c r="B379" s="2">
        <v>1.6392908530000001</v>
      </c>
      <c r="C379">
        <v>10</v>
      </c>
      <c r="D379" s="2">
        <v>11.08711066</v>
      </c>
      <c r="E379" s="2">
        <v>1.4575408620000001</v>
      </c>
      <c r="F379" s="3">
        <v>0.46614461699999998</v>
      </c>
      <c r="G379">
        <v>-23.1</v>
      </c>
      <c r="H379">
        <v>5.3999999999999999E-2</v>
      </c>
      <c r="I379" s="8">
        <v>207153.81330000001</v>
      </c>
      <c r="J379" s="8">
        <v>364647.0932</v>
      </c>
      <c r="K379" s="8" t="s">
        <v>42</v>
      </c>
      <c r="L379" s="8" t="s">
        <v>81</v>
      </c>
      <c r="M379">
        <v>6.3</v>
      </c>
      <c r="N379">
        <v>50</v>
      </c>
    </row>
    <row r="380" spans="1:14" ht="16" x14ac:dyDescent="0.2">
      <c r="A380" t="s">
        <v>396</v>
      </c>
      <c r="B380" s="2">
        <v>1.520347417</v>
      </c>
      <c r="C380">
        <v>10</v>
      </c>
      <c r="D380" s="2">
        <v>25.204867549999999</v>
      </c>
      <c r="E380" s="2">
        <v>1.1371458640000001</v>
      </c>
      <c r="F380" s="3">
        <v>0.26676410499999997</v>
      </c>
      <c r="G380">
        <v>-22.6</v>
      </c>
      <c r="H380">
        <v>4.9000000000000002E-2</v>
      </c>
      <c r="I380" s="8">
        <v>207153.81330000001</v>
      </c>
      <c r="J380" s="8">
        <v>364647.0932</v>
      </c>
      <c r="K380" s="8" t="s">
        <v>42</v>
      </c>
      <c r="L380" s="8" t="s">
        <v>81</v>
      </c>
      <c r="M380">
        <v>5.6</v>
      </c>
      <c r="N380">
        <v>60</v>
      </c>
    </row>
    <row r="381" spans="1:14" ht="16" x14ac:dyDescent="0.2">
      <c r="A381" t="s">
        <v>397</v>
      </c>
      <c r="B381" s="2">
        <v>1.7899866010000001</v>
      </c>
      <c r="C381">
        <v>10</v>
      </c>
      <c r="D381" s="2">
        <v>10.20835394</v>
      </c>
      <c r="E381" s="2">
        <v>1.6072584329999999</v>
      </c>
      <c r="F381" s="3">
        <v>0.21146679099999999</v>
      </c>
      <c r="G381">
        <v>-23.2</v>
      </c>
      <c r="H381">
        <v>4.5999999999999999E-2</v>
      </c>
      <c r="I381" s="8">
        <v>207153.81330000001</v>
      </c>
      <c r="J381" s="8">
        <v>364647.0932</v>
      </c>
      <c r="K381" s="8" t="s">
        <v>42</v>
      </c>
      <c r="L381" s="8" t="s">
        <v>81</v>
      </c>
      <c r="M381">
        <v>4.3</v>
      </c>
      <c r="N381">
        <v>70</v>
      </c>
    </row>
    <row r="382" spans="1:14" ht="16" x14ac:dyDescent="0.2">
      <c r="A382" t="s">
        <v>398</v>
      </c>
      <c r="B382" s="2">
        <v>1.5049840569999999</v>
      </c>
      <c r="C382">
        <v>10</v>
      </c>
      <c r="D382" s="2">
        <v>10.412570430000001</v>
      </c>
      <c r="E382" s="2">
        <v>1.3482765320000001</v>
      </c>
      <c r="F382" s="3">
        <v>0.24375739599999999</v>
      </c>
      <c r="G382">
        <v>-23.9</v>
      </c>
      <c r="H382">
        <v>4.8000000000000001E-2</v>
      </c>
      <c r="I382" s="8">
        <v>207153.81330000001</v>
      </c>
      <c r="J382" s="8">
        <v>364647.0932</v>
      </c>
      <c r="K382" s="8" t="s">
        <v>42</v>
      </c>
      <c r="L382" s="8" t="s">
        <v>81</v>
      </c>
      <c r="M382">
        <v>4.5999999999999996</v>
      </c>
      <c r="N382">
        <v>80</v>
      </c>
    </row>
    <row r="383" spans="1:14" ht="16" x14ac:dyDescent="0.2">
      <c r="A383" t="s">
        <v>399</v>
      </c>
      <c r="B383" s="2">
        <v>1.697616909</v>
      </c>
      <c r="C383">
        <v>10</v>
      </c>
      <c r="D383" s="2">
        <v>12.73057202</v>
      </c>
      <c r="E383" s="2">
        <v>1.481500566</v>
      </c>
      <c r="F383" s="3">
        <v>0.16075357700000001</v>
      </c>
      <c r="G383">
        <v>-24.3</v>
      </c>
      <c r="H383">
        <v>3.9E-2</v>
      </c>
      <c r="I383" s="8">
        <v>207153.81330000001</v>
      </c>
      <c r="J383" s="8">
        <v>364647.0932</v>
      </c>
      <c r="K383" s="8" t="s">
        <v>42</v>
      </c>
      <c r="L383" s="8" t="s">
        <v>81</v>
      </c>
      <c r="M383">
        <v>3.9</v>
      </c>
      <c r="N383">
        <v>90</v>
      </c>
    </row>
    <row r="384" spans="1:14" ht="16" x14ac:dyDescent="0.2">
      <c r="A384" t="s">
        <v>48</v>
      </c>
      <c r="B384" s="2">
        <v>1.049476276</v>
      </c>
      <c r="C384">
        <v>10</v>
      </c>
      <c r="D384" s="2">
        <v>20.333422160000001</v>
      </c>
      <c r="E384" s="2">
        <v>0.836081835</v>
      </c>
      <c r="F384" s="3">
        <v>1.4153126599999999</v>
      </c>
      <c r="G384">
        <v>-23.5</v>
      </c>
      <c r="H384">
        <v>0.14000000000000001</v>
      </c>
      <c r="I384" s="8">
        <v>210334.73490000001</v>
      </c>
      <c r="J384" s="8">
        <v>370225.49969999999</v>
      </c>
      <c r="K384" s="8" t="s">
        <v>49</v>
      </c>
      <c r="L384" s="8" t="s">
        <v>43</v>
      </c>
      <c r="M384">
        <v>4.0999999999999996</v>
      </c>
      <c r="N384">
        <v>10</v>
      </c>
    </row>
    <row r="385" spans="1:14" ht="16" x14ac:dyDescent="0.2">
      <c r="A385" t="s">
        <v>50</v>
      </c>
      <c r="B385" s="2">
        <v>1.307897716</v>
      </c>
      <c r="C385">
        <v>10</v>
      </c>
      <c r="D385" s="2">
        <v>22.735662380000001</v>
      </c>
      <c r="E385" s="2">
        <v>1.0105385069999999</v>
      </c>
      <c r="F385" s="3">
        <v>0.69326623899999995</v>
      </c>
      <c r="G385">
        <v>-22.9</v>
      </c>
      <c r="H385">
        <v>8.6999999999999994E-2</v>
      </c>
      <c r="I385" s="8">
        <v>210334.73490000001</v>
      </c>
      <c r="J385" s="8">
        <v>370225.49969999999</v>
      </c>
      <c r="K385" s="8" t="s">
        <v>49</v>
      </c>
      <c r="L385" s="8" t="s">
        <v>43</v>
      </c>
      <c r="M385">
        <v>4.9000000000000004</v>
      </c>
      <c r="N385">
        <v>20</v>
      </c>
    </row>
    <row r="386" spans="1:14" ht="16" x14ac:dyDescent="0.2">
      <c r="A386" t="s">
        <v>51</v>
      </c>
      <c r="B386" s="2">
        <v>1.583434767</v>
      </c>
      <c r="C386">
        <v>10</v>
      </c>
      <c r="D386" s="2">
        <v>19.16027991</v>
      </c>
      <c r="E386" s="2">
        <v>1.280044234</v>
      </c>
      <c r="F386" s="3">
        <v>0.64457492000000005</v>
      </c>
      <c r="G386">
        <v>-23.8</v>
      </c>
      <c r="H386">
        <v>8.3000000000000004E-2</v>
      </c>
      <c r="I386" s="8">
        <v>210334.73490000001</v>
      </c>
      <c r="J386" s="8">
        <v>370225.49969999999</v>
      </c>
      <c r="K386" s="8" t="s">
        <v>49</v>
      </c>
      <c r="L386" s="8" t="s">
        <v>43</v>
      </c>
      <c r="M386">
        <v>5.5</v>
      </c>
      <c r="N386">
        <v>30</v>
      </c>
    </row>
    <row r="387" spans="1:14" ht="16" x14ac:dyDescent="0.2">
      <c r="A387" t="s">
        <v>52</v>
      </c>
      <c r="B387" s="2">
        <v>1.58564952</v>
      </c>
      <c r="C387">
        <v>10</v>
      </c>
      <c r="D387" s="2">
        <v>25.744119260000002</v>
      </c>
      <c r="E387" s="2">
        <v>1.177438016</v>
      </c>
      <c r="F387" s="3">
        <v>0.57995209800000003</v>
      </c>
      <c r="G387">
        <v>-24.1</v>
      </c>
      <c r="H387">
        <v>7.5999999999999998E-2</v>
      </c>
      <c r="I387" s="8">
        <v>210334.73490000001</v>
      </c>
      <c r="J387" s="8">
        <v>370225.49969999999</v>
      </c>
      <c r="K387" s="8" t="s">
        <v>49</v>
      </c>
      <c r="L387" s="8" t="s">
        <v>43</v>
      </c>
      <c r="M387">
        <v>5.2</v>
      </c>
      <c r="N387">
        <v>40</v>
      </c>
    </row>
    <row r="388" spans="1:14" ht="16" x14ac:dyDescent="0.2">
      <c r="A388" t="s">
        <v>53</v>
      </c>
      <c r="B388" s="2">
        <v>2.0728127949999999</v>
      </c>
      <c r="C388">
        <v>10</v>
      </c>
      <c r="D388" s="2">
        <v>22.542137159999999</v>
      </c>
      <c r="E388" s="2">
        <v>1.605556491</v>
      </c>
      <c r="F388" s="3">
        <v>0.22671672300000001</v>
      </c>
      <c r="G388">
        <v>-24.3</v>
      </c>
      <c r="H388">
        <v>4.9000000000000002E-2</v>
      </c>
      <c r="I388" s="8">
        <v>210334.73490000001</v>
      </c>
      <c r="J388" s="8">
        <v>370225.49969999999</v>
      </c>
      <c r="K388" s="8" t="s">
        <v>49</v>
      </c>
      <c r="L388" s="8" t="s">
        <v>43</v>
      </c>
      <c r="M388">
        <v>4.8</v>
      </c>
      <c r="N388">
        <v>50</v>
      </c>
    </row>
    <row r="389" spans="1:14" ht="16" x14ac:dyDescent="0.2">
      <c r="A389" t="s">
        <v>407</v>
      </c>
      <c r="B389" s="2">
        <v>1.654313782</v>
      </c>
      <c r="C389">
        <v>10</v>
      </c>
      <c r="D389" s="2">
        <v>2.2004608289999998</v>
      </c>
      <c r="E389" s="2">
        <v>1.6179112550000001</v>
      </c>
      <c r="F389" s="3">
        <v>0.112320594</v>
      </c>
      <c r="G389">
        <v>-26.3</v>
      </c>
      <c r="H389">
        <v>3.6999999999999998E-2</v>
      </c>
      <c r="I389" s="8">
        <v>210334.73490000001</v>
      </c>
      <c r="J389" s="8">
        <v>370225.49969999999</v>
      </c>
      <c r="K389" s="8" t="s">
        <v>49</v>
      </c>
      <c r="L389" s="8" t="s">
        <v>43</v>
      </c>
      <c r="M389">
        <v>3.7</v>
      </c>
      <c r="N389">
        <v>60</v>
      </c>
    </row>
    <row r="390" spans="1:14" ht="16" x14ac:dyDescent="0.2">
      <c r="A390" t="s">
        <v>408</v>
      </c>
      <c r="B390" s="2">
        <v>2.132857622</v>
      </c>
      <c r="C390">
        <v>10</v>
      </c>
      <c r="D390" s="2">
        <v>2.3820224720000001</v>
      </c>
      <c r="E390" s="2">
        <v>2.0820524740000002</v>
      </c>
      <c r="F390" s="3">
        <v>0.10757443</v>
      </c>
      <c r="G390">
        <v>-26.5</v>
      </c>
      <c r="H390">
        <v>3.7999999999999999E-2</v>
      </c>
      <c r="I390" s="8">
        <v>210334.73490000001</v>
      </c>
      <c r="J390" s="8">
        <v>370225.49969999999</v>
      </c>
      <c r="K390" s="8" t="s">
        <v>49</v>
      </c>
      <c r="L390" s="8" t="s">
        <v>43</v>
      </c>
      <c r="M390">
        <v>3.5</v>
      </c>
      <c r="N390">
        <v>70</v>
      </c>
    </row>
    <row r="391" spans="1:14" ht="16" x14ac:dyDescent="0.2">
      <c r="A391" t="s">
        <v>409</v>
      </c>
      <c r="B391" s="2">
        <v>1.9482885729999999</v>
      </c>
      <c r="C391">
        <v>10</v>
      </c>
      <c r="D391" s="2">
        <v>21.78898319</v>
      </c>
      <c r="E391" s="2">
        <v>1.523776303</v>
      </c>
      <c r="F391" s="3">
        <v>8.6143010000000006E-2</v>
      </c>
      <c r="G391">
        <v>-26.1</v>
      </c>
      <c r="H391">
        <v>3.5999999999999997E-2</v>
      </c>
      <c r="I391" s="8">
        <v>210334.73490000001</v>
      </c>
      <c r="J391" s="8">
        <v>370225.49969999999</v>
      </c>
      <c r="K391" s="8" t="s">
        <v>49</v>
      </c>
      <c r="L391" s="8" t="s">
        <v>43</v>
      </c>
      <c r="M391">
        <v>3.35</v>
      </c>
      <c r="N391">
        <v>80</v>
      </c>
    </row>
    <row r="392" spans="1:14" ht="16" x14ac:dyDescent="0.2">
      <c r="A392" t="s">
        <v>410</v>
      </c>
      <c r="B392" s="2">
        <v>1.4741552149999999</v>
      </c>
      <c r="C392">
        <v>10</v>
      </c>
      <c r="D392" s="2">
        <v>24.181062109999999</v>
      </c>
      <c r="E392" s="2">
        <v>1.1176888270000001</v>
      </c>
      <c r="F392" s="3">
        <v>0.104151961</v>
      </c>
      <c r="G392">
        <v>-27.6</v>
      </c>
      <c r="H392">
        <v>3.5999999999999997E-2</v>
      </c>
      <c r="I392" s="8">
        <v>210334.73490000001</v>
      </c>
      <c r="J392" s="8">
        <v>370225.49969999999</v>
      </c>
      <c r="K392" s="8" t="s">
        <v>49</v>
      </c>
      <c r="L392" s="8" t="s">
        <v>43</v>
      </c>
      <c r="M392">
        <v>2.8</v>
      </c>
      <c r="N392">
        <v>90</v>
      </c>
    </row>
    <row r="393" spans="1:14" ht="16" x14ac:dyDescent="0.2">
      <c r="A393" t="s">
        <v>440</v>
      </c>
      <c r="B393" s="2">
        <v>1.3635786990000001</v>
      </c>
      <c r="C393">
        <v>10</v>
      </c>
      <c r="D393" s="2">
        <v>3.4639004149999999</v>
      </c>
      <c r="E393" s="2">
        <v>1.316345691</v>
      </c>
      <c r="F393" s="3">
        <v>1.0673044890000001</v>
      </c>
      <c r="G393">
        <v>-22.7</v>
      </c>
      <c r="H393">
        <v>0.11</v>
      </c>
      <c r="I393" s="8">
        <v>210194.4284</v>
      </c>
      <c r="J393" s="8">
        <v>370226.23100000003</v>
      </c>
      <c r="K393" s="8" t="s">
        <v>49</v>
      </c>
      <c r="L393" s="8" t="s">
        <v>81</v>
      </c>
      <c r="M393">
        <v>4.2</v>
      </c>
      <c r="N393">
        <v>10</v>
      </c>
    </row>
    <row r="394" spans="1:14" ht="16" x14ac:dyDescent="0.2">
      <c r="A394" t="s">
        <v>449</v>
      </c>
      <c r="B394" s="2">
        <v>1.223927996</v>
      </c>
      <c r="C394">
        <v>10</v>
      </c>
      <c r="D394" s="2">
        <v>0.64204928999999999</v>
      </c>
      <c r="E394" s="2">
        <v>1.216069775</v>
      </c>
      <c r="F394" s="3">
        <v>9.7473532000000002E-2</v>
      </c>
      <c r="G394">
        <v>-26.5</v>
      </c>
      <c r="H394">
        <v>3.2000000000000001E-2</v>
      </c>
      <c r="I394" s="8">
        <v>210194.4284</v>
      </c>
      <c r="J394" s="8">
        <v>370226.23100000003</v>
      </c>
      <c r="K394" s="8" t="s">
        <v>49</v>
      </c>
      <c r="L394" s="8" t="s">
        <v>81</v>
      </c>
      <c r="M394">
        <v>1.6</v>
      </c>
      <c r="N394">
        <v>100</v>
      </c>
    </row>
    <row r="395" spans="1:14" ht="16" x14ac:dyDescent="0.2">
      <c r="A395" t="s">
        <v>450</v>
      </c>
      <c r="B395" s="2">
        <v>1.0097824909999999</v>
      </c>
      <c r="C395">
        <v>10</v>
      </c>
      <c r="D395" s="2">
        <v>2.2755927659999999</v>
      </c>
      <c r="E395" s="2">
        <v>0.98680395399999998</v>
      </c>
      <c r="F395" s="3">
        <v>9.8332355999999996E-2</v>
      </c>
      <c r="G395">
        <v>-26.5</v>
      </c>
      <c r="H395">
        <v>2.9000000000000001E-2</v>
      </c>
      <c r="I395" s="8">
        <v>210194.4284</v>
      </c>
      <c r="J395" s="8">
        <v>370226.23100000003</v>
      </c>
      <c r="K395" s="8" t="s">
        <v>49</v>
      </c>
      <c r="L395" s="8" t="s">
        <v>81</v>
      </c>
      <c r="M395">
        <v>1.4</v>
      </c>
      <c r="N395">
        <v>110</v>
      </c>
    </row>
    <row r="396" spans="1:14" ht="16" x14ac:dyDescent="0.2">
      <c r="A396" t="s">
        <v>441</v>
      </c>
      <c r="B396" s="2">
        <v>1.574330805</v>
      </c>
      <c r="C396">
        <v>10</v>
      </c>
      <c r="D396" s="2">
        <v>5.8186514770000004</v>
      </c>
      <c r="E396" s="2">
        <v>1.4827259820000001</v>
      </c>
      <c r="F396" s="3">
        <v>0.733114037</v>
      </c>
      <c r="G396">
        <v>-22.3</v>
      </c>
      <c r="H396">
        <v>8.4000000000000005E-2</v>
      </c>
      <c r="I396" s="8">
        <v>210194.4284</v>
      </c>
      <c r="J396" s="8">
        <v>370226.23100000003</v>
      </c>
      <c r="K396" s="8" t="s">
        <v>49</v>
      </c>
      <c r="L396" s="8" t="s">
        <v>81</v>
      </c>
      <c r="M396">
        <v>4.8</v>
      </c>
      <c r="N396">
        <v>20</v>
      </c>
    </row>
    <row r="397" spans="1:14" ht="16" x14ac:dyDescent="0.2">
      <c r="A397" t="s">
        <v>442</v>
      </c>
      <c r="B397" s="2">
        <v>1.5016770159999999</v>
      </c>
      <c r="C397">
        <v>10</v>
      </c>
      <c r="D397" s="2">
        <v>3.3775553870000001</v>
      </c>
      <c r="E397" s="2">
        <v>1.4509570430000001</v>
      </c>
      <c r="F397" s="3">
        <v>0.59295886099999995</v>
      </c>
      <c r="G397">
        <v>-23.2</v>
      </c>
      <c r="H397">
        <v>7.1999999999999995E-2</v>
      </c>
      <c r="I397" s="8">
        <v>210194.4284</v>
      </c>
      <c r="J397" s="8">
        <v>370226.23100000003</v>
      </c>
      <c r="K397" s="8" t="s">
        <v>49</v>
      </c>
      <c r="L397" s="8" t="s">
        <v>81</v>
      </c>
      <c r="M397">
        <v>5.0999999999999996</v>
      </c>
      <c r="N397">
        <v>30</v>
      </c>
    </row>
    <row r="398" spans="1:14" ht="16" x14ac:dyDescent="0.2">
      <c r="A398" t="s">
        <v>443</v>
      </c>
      <c r="B398" s="2">
        <v>1.508886701</v>
      </c>
      <c r="C398">
        <v>10</v>
      </c>
      <c r="D398" s="2">
        <v>4.5078166399999997</v>
      </c>
      <c r="E398" s="2">
        <v>1.4408688549999999</v>
      </c>
      <c r="F398" s="3">
        <v>0.39901783600000001</v>
      </c>
      <c r="G398">
        <v>-22.35</v>
      </c>
      <c r="H398">
        <v>5.9499999999999997E-2</v>
      </c>
      <c r="I398" s="8">
        <v>210194.4284</v>
      </c>
      <c r="J398" s="8">
        <v>370226.23100000003</v>
      </c>
      <c r="K398" s="8" t="s">
        <v>49</v>
      </c>
      <c r="L398" s="8" t="s">
        <v>81</v>
      </c>
      <c r="M398">
        <v>5.05</v>
      </c>
      <c r="N398">
        <v>40</v>
      </c>
    </row>
    <row r="399" spans="1:14" ht="16" x14ac:dyDescent="0.2">
      <c r="A399" t="s">
        <v>444</v>
      </c>
      <c r="B399" s="2">
        <v>1.6079948049999999</v>
      </c>
      <c r="C399">
        <v>10</v>
      </c>
      <c r="D399" s="2">
        <v>0.351884741</v>
      </c>
      <c r="E399" s="2">
        <v>1.6023365169999999</v>
      </c>
      <c r="F399" s="3">
        <v>0.193095775</v>
      </c>
      <c r="G399">
        <v>-23.5</v>
      </c>
      <c r="H399">
        <v>4.2999999999999997E-2</v>
      </c>
      <c r="I399" s="8">
        <v>210194.4284</v>
      </c>
      <c r="J399" s="8">
        <v>370226.23100000003</v>
      </c>
      <c r="K399" s="8" t="s">
        <v>49</v>
      </c>
      <c r="L399" s="8" t="s">
        <v>81</v>
      </c>
      <c r="M399">
        <v>3.9</v>
      </c>
      <c r="N399">
        <v>50</v>
      </c>
    </row>
    <row r="400" spans="1:14" ht="16" x14ac:dyDescent="0.2">
      <c r="A400" t="s">
        <v>445</v>
      </c>
      <c r="B400" s="2">
        <v>1.3341204369999999</v>
      </c>
      <c r="C400">
        <v>10</v>
      </c>
      <c r="D400" s="2">
        <v>3.1871980880000002</v>
      </c>
      <c r="E400" s="2">
        <v>1.291599376</v>
      </c>
      <c r="F400" s="3">
        <v>0.16188870999999999</v>
      </c>
      <c r="G400">
        <v>-24.7</v>
      </c>
      <c r="H400">
        <v>0.04</v>
      </c>
      <c r="I400" s="8">
        <v>210194.4284</v>
      </c>
      <c r="J400" s="8">
        <v>370226.23100000003</v>
      </c>
      <c r="K400" s="8" t="s">
        <v>49</v>
      </c>
      <c r="L400" s="8" t="s">
        <v>81</v>
      </c>
      <c r="M400">
        <v>3.1</v>
      </c>
      <c r="N400">
        <v>60</v>
      </c>
    </row>
    <row r="401" spans="1:14" ht="16" x14ac:dyDescent="0.2">
      <c r="A401" t="s">
        <v>446</v>
      </c>
      <c r="B401" s="2">
        <v>1.4304485870000001</v>
      </c>
      <c r="C401">
        <v>10</v>
      </c>
      <c r="D401" s="2">
        <v>0</v>
      </c>
      <c r="E401" s="2">
        <v>1.4304485870000001</v>
      </c>
      <c r="F401" s="3">
        <v>0.119100649</v>
      </c>
      <c r="G401">
        <v>-25.7</v>
      </c>
      <c r="H401">
        <v>3.5999999999999997E-2</v>
      </c>
      <c r="I401" s="8">
        <v>210194.4284</v>
      </c>
      <c r="J401" s="8">
        <v>370226.23100000003</v>
      </c>
      <c r="K401" s="8" t="s">
        <v>49</v>
      </c>
      <c r="L401" s="8" t="s">
        <v>81</v>
      </c>
      <c r="M401">
        <v>2.5</v>
      </c>
      <c r="N401">
        <v>70</v>
      </c>
    </row>
    <row r="402" spans="1:14" ht="16" x14ac:dyDescent="0.2">
      <c r="A402" t="s">
        <v>447</v>
      </c>
      <c r="B402" s="2">
        <v>1.283253258</v>
      </c>
      <c r="C402">
        <v>10</v>
      </c>
      <c r="D402" s="2">
        <v>8.3954763000000002E-2</v>
      </c>
      <c r="E402" s="2">
        <v>1.282175906</v>
      </c>
      <c r="F402" s="3">
        <v>0.117608227</v>
      </c>
      <c r="G402">
        <v>-26.2</v>
      </c>
      <c r="H402">
        <v>3.5000000000000003E-2</v>
      </c>
      <c r="I402" s="8">
        <v>210194.4284</v>
      </c>
      <c r="J402" s="8">
        <v>370226.23100000003</v>
      </c>
      <c r="K402" s="8" t="s">
        <v>49</v>
      </c>
      <c r="L402" s="8" t="s">
        <v>81</v>
      </c>
      <c r="M402">
        <v>2.6</v>
      </c>
      <c r="N402">
        <v>80</v>
      </c>
    </row>
    <row r="403" spans="1:14" ht="16" x14ac:dyDescent="0.2">
      <c r="A403" t="s">
        <v>448</v>
      </c>
      <c r="B403" s="2">
        <v>1.3469973850000001</v>
      </c>
      <c r="C403">
        <v>10</v>
      </c>
      <c r="D403" s="2">
        <v>1.3343499809999999</v>
      </c>
      <c r="E403" s="2">
        <v>1.329023726</v>
      </c>
      <c r="F403" s="3">
        <v>9.7567776999999994E-2</v>
      </c>
      <c r="G403">
        <v>-25.9</v>
      </c>
      <c r="H403">
        <v>3.4000000000000002E-2</v>
      </c>
      <c r="I403" s="8">
        <v>210194.4284</v>
      </c>
      <c r="J403" s="8">
        <v>370226.23100000003</v>
      </c>
      <c r="K403" s="8" t="s">
        <v>49</v>
      </c>
      <c r="L403" s="8" t="s">
        <v>81</v>
      </c>
      <c r="M403">
        <v>1.9</v>
      </c>
      <c r="N403">
        <v>90</v>
      </c>
    </row>
    <row r="404" spans="1:14" ht="16" x14ac:dyDescent="0.2">
      <c r="A404" t="s">
        <v>411</v>
      </c>
      <c r="B404" s="2">
        <v>1.3912187389999999</v>
      </c>
      <c r="C404">
        <v>10</v>
      </c>
      <c r="D404" s="2">
        <v>6.1497768229999998</v>
      </c>
      <c r="E404" s="2">
        <v>1.305661892</v>
      </c>
      <c r="F404" s="3">
        <v>1.403197609</v>
      </c>
      <c r="G404">
        <v>-23</v>
      </c>
      <c r="H404">
        <v>0.13500000000000001</v>
      </c>
      <c r="I404" s="8">
        <v>210334.73490000001</v>
      </c>
      <c r="J404" s="8">
        <v>370225.49969999999</v>
      </c>
      <c r="K404" s="8" t="s">
        <v>49</v>
      </c>
      <c r="L404" s="8" t="s">
        <v>43</v>
      </c>
      <c r="M404">
        <v>4</v>
      </c>
      <c r="N404">
        <v>10</v>
      </c>
    </row>
    <row r="405" spans="1:14" ht="16" x14ac:dyDescent="0.2">
      <c r="A405" t="s">
        <v>420</v>
      </c>
      <c r="B405" s="2">
        <v>1.742089271</v>
      </c>
      <c r="C405">
        <v>10</v>
      </c>
      <c r="D405" s="2">
        <v>30.000164380000001</v>
      </c>
      <c r="E405" s="2">
        <v>1.2194596259999999</v>
      </c>
      <c r="F405" s="3">
        <v>0.124535572</v>
      </c>
      <c r="G405">
        <v>-26.2</v>
      </c>
      <c r="H405">
        <v>3.6999999999999998E-2</v>
      </c>
      <c r="I405" s="8">
        <v>210334.73490000001</v>
      </c>
      <c r="J405" s="8">
        <v>370225.49969999999</v>
      </c>
      <c r="K405" s="8" t="s">
        <v>49</v>
      </c>
      <c r="L405" s="8" t="s">
        <v>43</v>
      </c>
      <c r="M405">
        <v>2.5</v>
      </c>
      <c r="N405">
        <v>100</v>
      </c>
    </row>
    <row r="406" spans="1:14" ht="16" x14ac:dyDescent="0.2">
      <c r="A406" t="s">
        <v>421</v>
      </c>
      <c r="B406" s="2">
        <v>1.7593169790000001</v>
      </c>
      <c r="C406">
        <v>10</v>
      </c>
      <c r="D406" s="2">
        <v>12.07148847</v>
      </c>
      <c r="E406" s="2">
        <v>1.5469412330000001</v>
      </c>
      <c r="F406" s="3">
        <v>0.110716259</v>
      </c>
      <c r="G406">
        <v>-26.5</v>
      </c>
      <c r="H406">
        <v>3.6999999999999998E-2</v>
      </c>
      <c r="I406" s="8">
        <v>210334.73490000001</v>
      </c>
      <c r="J406" s="8">
        <v>370225.49969999999</v>
      </c>
      <c r="K406" s="8" t="s">
        <v>49</v>
      </c>
      <c r="L406" s="8" t="s">
        <v>43</v>
      </c>
      <c r="M406">
        <v>2.5</v>
      </c>
      <c r="N406">
        <v>110</v>
      </c>
    </row>
    <row r="407" spans="1:14" ht="16" x14ac:dyDescent="0.2">
      <c r="A407" t="s">
        <v>412</v>
      </c>
      <c r="B407" s="2">
        <v>1.588518415</v>
      </c>
      <c r="C407">
        <v>10</v>
      </c>
      <c r="D407" s="2">
        <v>8.0139140859999998</v>
      </c>
      <c r="E407" s="2">
        <v>1.4612159140000001</v>
      </c>
      <c r="F407" s="3">
        <v>0.97551836199999997</v>
      </c>
      <c r="G407">
        <v>-23.6</v>
      </c>
      <c r="H407">
        <v>0.1</v>
      </c>
      <c r="I407" s="8">
        <v>210334.73490000001</v>
      </c>
      <c r="J407" s="8">
        <v>370225.49969999999</v>
      </c>
      <c r="K407" s="8" t="s">
        <v>49</v>
      </c>
      <c r="L407" s="8" t="s">
        <v>43</v>
      </c>
      <c r="M407">
        <v>5.0999999999999996</v>
      </c>
      <c r="N407">
        <v>20</v>
      </c>
    </row>
    <row r="408" spans="1:14" ht="16" x14ac:dyDescent="0.2">
      <c r="A408" t="s">
        <v>413</v>
      </c>
      <c r="B408" s="2">
        <v>1.630811926</v>
      </c>
      <c r="C408">
        <v>10</v>
      </c>
      <c r="D408" s="2">
        <v>7.3965616519999999</v>
      </c>
      <c r="E408" s="2">
        <v>1.5101879170000001</v>
      </c>
      <c r="F408" s="3">
        <v>1.1783608240000001</v>
      </c>
      <c r="G408">
        <v>-24.8</v>
      </c>
      <c r="H408">
        <v>0.1</v>
      </c>
      <c r="I408" s="8">
        <v>210334.73490000001</v>
      </c>
      <c r="J408" s="8">
        <v>370225.49969999999</v>
      </c>
      <c r="K408" s="8" t="s">
        <v>49</v>
      </c>
      <c r="L408" s="8" t="s">
        <v>43</v>
      </c>
      <c r="M408">
        <v>5.6</v>
      </c>
      <c r="N408">
        <v>30</v>
      </c>
    </row>
    <row r="409" spans="1:14" ht="16" x14ac:dyDescent="0.2">
      <c r="A409" t="s">
        <v>414</v>
      </c>
      <c r="B409" s="2">
        <v>1.5999294289999999</v>
      </c>
      <c r="C409">
        <v>10</v>
      </c>
      <c r="D409" s="2">
        <v>8.9390489169999992</v>
      </c>
      <c r="E409" s="2">
        <v>1.4569109549999999</v>
      </c>
      <c r="F409" s="3">
        <v>0.80910551600000002</v>
      </c>
      <c r="G409">
        <v>-23.8</v>
      </c>
      <c r="H409">
        <v>8.7999999999999995E-2</v>
      </c>
      <c r="I409" s="8">
        <v>210334.73490000001</v>
      </c>
      <c r="J409" s="8">
        <v>370225.49969999999</v>
      </c>
      <c r="K409" s="8" t="s">
        <v>49</v>
      </c>
      <c r="L409" s="8" t="s">
        <v>43</v>
      </c>
      <c r="M409">
        <v>5.8</v>
      </c>
      <c r="N409">
        <v>40</v>
      </c>
    </row>
    <row r="410" spans="1:14" ht="16" x14ac:dyDescent="0.2">
      <c r="A410" t="s">
        <v>415</v>
      </c>
      <c r="B410" s="2">
        <v>1.5809599089999999</v>
      </c>
      <c r="C410">
        <v>10</v>
      </c>
      <c r="D410" s="2">
        <v>10.463854830000001</v>
      </c>
      <c r="E410" s="2">
        <v>1.415530559</v>
      </c>
      <c r="F410" s="3">
        <v>0.34407901400000002</v>
      </c>
      <c r="G410">
        <v>-23.7</v>
      </c>
      <c r="H410">
        <v>5.8000000000000003E-2</v>
      </c>
      <c r="I410" s="8">
        <v>210334.73490000001</v>
      </c>
      <c r="J410" s="8">
        <v>370225.49969999999</v>
      </c>
      <c r="K410" s="8" t="s">
        <v>49</v>
      </c>
      <c r="L410" s="8" t="s">
        <v>43</v>
      </c>
      <c r="M410">
        <v>5.5</v>
      </c>
      <c r="N410">
        <v>50</v>
      </c>
    </row>
    <row r="411" spans="1:14" ht="16" x14ac:dyDescent="0.2">
      <c r="A411" t="s">
        <v>416</v>
      </c>
      <c r="B411" s="2">
        <v>1.7792175219999999</v>
      </c>
      <c r="C411">
        <v>10</v>
      </c>
      <c r="D411" s="2">
        <v>12.01339956</v>
      </c>
      <c r="E411" s="2">
        <v>1.565473012</v>
      </c>
      <c r="F411" s="3">
        <v>0.20931560699999999</v>
      </c>
      <c r="G411">
        <v>-24.3</v>
      </c>
      <c r="H411">
        <v>4.7E-2</v>
      </c>
      <c r="I411" s="8">
        <v>210334.73490000001</v>
      </c>
      <c r="J411" s="8">
        <v>370225.49969999999</v>
      </c>
      <c r="K411" s="8" t="s">
        <v>49</v>
      </c>
      <c r="L411" s="8" t="s">
        <v>43</v>
      </c>
      <c r="M411">
        <v>4.3</v>
      </c>
      <c r="N411">
        <v>60</v>
      </c>
    </row>
    <row r="412" spans="1:14" ht="16" x14ac:dyDescent="0.2">
      <c r="A412" t="s">
        <v>417</v>
      </c>
      <c r="B412" s="2">
        <v>1.8928851799999999</v>
      </c>
      <c r="C412">
        <v>10</v>
      </c>
      <c r="D412" s="2">
        <v>9.6022538950000005</v>
      </c>
      <c r="E412" s="2">
        <v>1.711125539</v>
      </c>
      <c r="F412" s="3">
        <v>0.14806259899999999</v>
      </c>
      <c r="G412">
        <v>-24.3</v>
      </c>
      <c r="H412">
        <v>4.2999999999999997E-2</v>
      </c>
      <c r="I412" s="8">
        <v>210334.73490000001</v>
      </c>
      <c r="J412" s="8">
        <v>370225.49969999999</v>
      </c>
      <c r="K412" s="8" t="s">
        <v>49</v>
      </c>
      <c r="L412" s="8" t="s">
        <v>43</v>
      </c>
      <c r="M412">
        <v>3.9</v>
      </c>
      <c r="N412">
        <v>70</v>
      </c>
    </row>
    <row r="413" spans="1:14" ht="16" x14ac:dyDescent="0.2">
      <c r="A413" t="s">
        <v>418</v>
      </c>
      <c r="B413" s="2">
        <v>1.138091889</v>
      </c>
      <c r="C413">
        <v>10</v>
      </c>
      <c r="D413" s="2">
        <v>16.954089960000001</v>
      </c>
      <c r="E413" s="2">
        <v>0.94513876600000002</v>
      </c>
      <c r="F413" s="3">
        <v>0.143277139</v>
      </c>
      <c r="G413">
        <v>-25.1</v>
      </c>
      <c r="H413">
        <v>4.0500000000000001E-2</v>
      </c>
      <c r="I413" s="8">
        <v>210334.73490000001</v>
      </c>
      <c r="J413" s="8">
        <v>370225.49969999999</v>
      </c>
      <c r="K413" s="8" t="s">
        <v>49</v>
      </c>
      <c r="L413" s="8" t="s">
        <v>43</v>
      </c>
      <c r="M413">
        <v>2.6</v>
      </c>
      <c r="N413">
        <v>80</v>
      </c>
    </row>
    <row r="414" spans="1:14" ht="16" x14ac:dyDescent="0.2">
      <c r="A414" t="s">
        <v>419</v>
      </c>
      <c r="B414" s="2">
        <v>1.544540816</v>
      </c>
      <c r="C414">
        <v>10</v>
      </c>
      <c r="D414" s="2">
        <v>45.161397170000001</v>
      </c>
      <c r="E414" s="2">
        <v>0.84700460300000002</v>
      </c>
      <c r="F414" s="3">
        <v>0.16293413500000001</v>
      </c>
      <c r="G414">
        <v>-26</v>
      </c>
      <c r="H414">
        <v>4.3999999999999997E-2</v>
      </c>
      <c r="I414" s="8">
        <v>210334.73490000001</v>
      </c>
      <c r="J414" s="8">
        <v>370225.49969999999</v>
      </c>
      <c r="K414" s="8" t="s">
        <v>49</v>
      </c>
      <c r="L414" s="8" t="s">
        <v>43</v>
      </c>
      <c r="M414">
        <v>3.3</v>
      </c>
      <c r="N414">
        <v>90</v>
      </c>
    </row>
    <row r="415" spans="1:14" ht="16" x14ac:dyDescent="0.2">
      <c r="A415" t="s">
        <v>451</v>
      </c>
      <c r="B415" s="2">
        <v>1.688038312</v>
      </c>
      <c r="C415">
        <v>10</v>
      </c>
      <c r="D415" s="2">
        <v>3.7197778440000002</v>
      </c>
      <c r="E415" s="2">
        <v>1.6252470370000001</v>
      </c>
      <c r="F415" s="3">
        <v>1.1256518520000001</v>
      </c>
      <c r="G415">
        <v>-22.2</v>
      </c>
      <c r="H415">
        <v>0.11</v>
      </c>
      <c r="I415" s="8">
        <v>210194.4284</v>
      </c>
      <c r="J415" s="8">
        <v>370226.23100000003</v>
      </c>
      <c r="K415" s="8" t="s">
        <v>49</v>
      </c>
      <c r="L415" s="8" t="s">
        <v>81</v>
      </c>
      <c r="M415">
        <v>4.0999999999999996</v>
      </c>
      <c r="N415">
        <v>10</v>
      </c>
    </row>
    <row r="416" spans="1:14" ht="16" x14ac:dyDescent="0.2">
      <c r="A416" t="s">
        <v>460</v>
      </c>
      <c r="B416" s="2">
        <v>1.512138416</v>
      </c>
      <c r="C416">
        <v>10</v>
      </c>
      <c r="D416" s="2">
        <v>0.95359291300000004</v>
      </c>
      <c r="E416" s="2">
        <v>1.4977187709999999</v>
      </c>
      <c r="F416" s="3">
        <v>0.109032911</v>
      </c>
      <c r="G416">
        <v>-26.1</v>
      </c>
      <c r="H416">
        <v>2.9000000000000001E-2</v>
      </c>
      <c r="I416" s="8">
        <v>210194.4284</v>
      </c>
      <c r="J416" s="8">
        <v>370226.23100000003</v>
      </c>
      <c r="K416" s="8" t="s">
        <v>49</v>
      </c>
      <c r="L416" s="8" t="s">
        <v>81</v>
      </c>
      <c r="M416">
        <v>2</v>
      </c>
      <c r="N416">
        <v>100</v>
      </c>
    </row>
    <row r="417" spans="1:14" ht="16" x14ac:dyDescent="0.2">
      <c r="A417" t="s">
        <v>461</v>
      </c>
      <c r="B417" s="2">
        <v>1.1316527249999999</v>
      </c>
      <c r="C417">
        <v>10</v>
      </c>
      <c r="D417" s="2">
        <v>0.97725219699999999</v>
      </c>
      <c r="E417" s="2">
        <v>1.1205936240000001</v>
      </c>
      <c r="F417" s="3">
        <v>8.8456567E-2</v>
      </c>
      <c r="G417">
        <v>-26</v>
      </c>
      <c r="H417">
        <v>2.9000000000000001E-2</v>
      </c>
      <c r="I417" s="8">
        <v>210194.4284</v>
      </c>
      <c r="J417" s="8">
        <v>370226.23100000003</v>
      </c>
      <c r="K417" s="8" t="s">
        <v>49</v>
      </c>
      <c r="L417" s="8" t="s">
        <v>81</v>
      </c>
      <c r="M417">
        <v>2.2000000000000002</v>
      </c>
      <c r="N417">
        <v>110</v>
      </c>
    </row>
    <row r="418" spans="1:14" ht="16" x14ac:dyDescent="0.2">
      <c r="A418" t="s">
        <v>452</v>
      </c>
      <c r="B418" s="2">
        <v>1.5673582690000001</v>
      </c>
      <c r="C418">
        <v>10</v>
      </c>
      <c r="D418" s="2">
        <v>2.8965221969999999</v>
      </c>
      <c r="E418" s="2">
        <v>1.5219593890000001</v>
      </c>
      <c r="F418" s="3">
        <v>0.73177529699999999</v>
      </c>
      <c r="G418">
        <v>-23</v>
      </c>
      <c r="H418">
        <v>8.1000000000000003E-2</v>
      </c>
      <c r="I418" s="8">
        <v>210194.4284</v>
      </c>
      <c r="J418" s="8">
        <v>370226.23100000003</v>
      </c>
      <c r="K418" s="8" t="s">
        <v>49</v>
      </c>
      <c r="L418" s="8" t="s">
        <v>81</v>
      </c>
      <c r="M418">
        <v>5.0999999999999996</v>
      </c>
      <c r="N418">
        <v>20</v>
      </c>
    </row>
    <row r="419" spans="1:14" ht="16" x14ac:dyDescent="0.2">
      <c r="A419" t="s">
        <v>453</v>
      </c>
      <c r="B419" s="2">
        <v>1.643739922</v>
      </c>
      <c r="C419">
        <v>10</v>
      </c>
      <c r="D419" s="2">
        <v>3.5097889819999999</v>
      </c>
      <c r="E419" s="2">
        <v>1.5860481200000001</v>
      </c>
      <c r="F419" s="3">
        <v>0.79581620200000003</v>
      </c>
      <c r="G419">
        <v>-23.1</v>
      </c>
      <c r="H419">
        <v>8.4000000000000005E-2</v>
      </c>
      <c r="I419" s="8">
        <v>210194.4284</v>
      </c>
      <c r="J419" s="8">
        <v>370226.23100000003</v>
      </c>
      <c r="K419" s="8" t="s">
        <v>49</v>
      </c>
      <c r="L419" s="8" t="s">
        <v>81</v>
      </c>
      <c r="M419">
        <v>5.3</v>
      </c>
      <c r="N419">
        <v>30</v>
      </c>
    </row>
    <row r="420" spans="1:14" ht="16" x14ac:dyDescent="0.2">
      <c r="A420" t="s">
        <v>454</v>
      </c>
      <c r="B420" s="2">
        <v>1.6829072009999999</v>
      </c>
      <c r="C420">
        <v>10</v>
      </c>
      <c r="D420" s="2">
        <v>3.5758506269999999</v>
      </c>
      <c r="E420" s="2">
        <v>1.622728953</v>
      </c>
      <c r="F420" s="3">
        <v>0.24406156600000001</v>
      </c>
      <c r="G420">
        <v>-22.25</v>
      </c>
      <c r="H420">
        <v>4.65E-2</v>
      </c>
      <c r="I420" s="8">
        <v>210194.4284</v>
      </c>
      <c r="J420" s="8">
        <v>370226.23100000003</v>
      </c>
      <c r="K420" s="8" t="s">
        <v>49</v>
      </c>
      <c r="L420" s="8" t="s">
        <v>81</v>
      </c>
      <c r="M420">
        <v>4.1500000000000004</v>
      </c>
      <c r="N420">
        <v>40</v>
      </c>
    </row>
    <row r="421" spans="1:14" ht="16" x14ac:dyDescent="0.2">
      <c r="A421" t="s">
        <v>455</v>
      </c>
      <c r="B421" s="2">
        <v>1.678199899</v>
      </c>
      <c r="C421">
        <v>10</v>
      </c>
      <c r="D421" s="2">
        <v>3.929993885</v>
      </c>
      <c r="E421" s="2">
        <v>1.6122467460000001</v>
      </c>
      <c r="F421" s="3">
        <v>0.16381469700000001</v>
      </c>
      <c r="G421">
        <v>-23.3</v>
      </c>
      <c r="H421">
        <v>4.1000000000000002E-2</v>
      </c>
      <c r="I421" s="8">
        <v>210194.4284</v>
      </c>
      <c r="J421" s="8">
        <v>370226.23100000003</v>
      </c>
      <c r="K421" s="8" t="s">
        <v>49</v>
      </c>
      <c r="L421" s="8" t="s">
        <v>81</v>
      </c>
      <c r="M421">
        <v>3.6</v>
      </c>
      <c r="N421">
        <v>50</v>
      </c>
    </row>
    <row r="422" spans="1:14" ht="16" x14ac:dyDescent="0.2">
      <c r="A422" t="s">
        <v>456</v>
      </c>
      <c r="B422" s="2">
        <v>1.7051100690000001</v>
      </c>
      <c r="C422">
        <v>10</v>
      </c>
      <c r="D422" s="2">
        <v>1.6677631580000001</v>
      </c>
      <c r="E422" s="2">
        <v>1.6766728719999999</v>
      </c>
      <c r="F422" s="3">
        <v>0.11187773600000001</v>
      </c>
      <c r="G422">
        <v>-23.9</v>
      </c>
      <c r="H422">
        <v>3.7999999999999999E-2</v>
      </c>
      <c r="I422" s="8">
        <v>210194.4284</v>
      </c>
      <c r="J422" s="8">
        <v>370226.23100000003</v>
      </c>
      <c r="K422" s="8" t="s">
        <v>49</v>
      </c>
      <c r="L422" s="8" t="s">
        <v>81</v>
      </c>
      <c r="M422">
        <v>3.5</v>
      </c>
      <c r="N422">
        <v>60</v>
      </c>
    </row>
    <row r="423" spans="1:14" ht="16" x14ac:dyDescent="0.2">
      <c r="A423" t="s">
        <v>457</v>
      </c>
      <c r="B423" s="2">
        <v>1.5317316889999999</v>
      </c>
      <c r="C423">
        <v>10</v>
      </c>
      <c r="D423" s="2">
        <v>0.67117422400000004</v>
      </c>
      <c r="E423" s="2">
        <v>1.521451101</v>
      </c>
      <c r="F423" s="3">
        <v>0.10510826099999999</v>
      </c>
      <c r="G423">
        <v>-25.2</v>
      </c>
      <c r="H423">
        <v>3.1E-2</v>
      </c>
      <c r="I423" s="8">
        <v>210194.4284</v>
      </c>
      <c r="J423" s="8">
        <v>370226.23100000003</v>
      </c>
      <c r="K423" s="8" t="s">
        <v>49</v>
      </c>
      <c r="L423" s="8" t="s">
        <v>81</v>
      </c>
      <c r="M423">
        <v>2.8</v>
      </c>
      <c r="N423">
        <v>70</v>
      </c>
    </row>
    <row r="424" spans="1:14" ht="16" x14ac:dyDescent="0.2">
      <c r="A424" t="s">
        <v>458</v>
      </c>
      <c r="B424" s="2">
        <v>1.4724273489999999</v>
      </c>
      <c r="C424">
        <v>10</v>
      </c>
      <c r="D424" s="2">
        <v>0.28138528099999999</v>
      </c>
      <c r="E424" s="2">
        <v>1.4682841550000001</v>
      </c>
      <c r="F424" s="3">
        <v>0.108849248</v>
      </c>
      <c r="G424">
        <v>-26</v>
      </c>
      <c r="H424">
        <v>0.03</v>
      </c>
      <c r="I424" s="8">
        <v>210194.4284</v>
      </c>
      <c r="J424" s="8">
        <v>370226.23100000003</v>
      </c>
      <c r="K424" s="8" t="s">
        <v>49</v>
      </c>
      <c r="L424" s="8" t="s">
        <v>81</v>
      </c>
      <c r="M424">
        <v>2.1</v>
      </c>
      <c r="N424">
        <v>80</v>
      </c>
    </row>
    <row r="425" spans="1:14" ht="16" x14ac:dyDescent="0.2">
      <c r="A425" t="s">
        <v>459</v>
      </c>
      <c r="B425" s="2">
        <v>1.6320369450000001</v>
      </c>
      <c r="C425">
        <v>10</v>
      </c>
      <c r="D425" s="2">
        <v>0.30610229700000002</v>
      </c>
      <c r="E425" s="2">
        <v>1.627041242</v>
      </c>
      <c r="F425" s="3">
        <v>0.108408975</v>
      </c>
      <c r="G425">
        <v>-25.7</v>
      </c>
      <c r="H425">
        <v>2.9000000000000001E-2</v>
      </c>
      <c r="I425" s="8">
        <v>210194.4284</v>
      </c>
      <c r="J425" s="8">
        <v>370226.23100000003</v>
      </c>
      <c r="K425" s="8" t="s">
        <v>49</v>
      </c>
      <c r="L425" s="8" t="s">
        <v>81</v>
      </c>
      <c r="M425">
        <v>2</v>
      </c>
      <c r="N425">
        <v>90</v>
      </c>
    </row>
    <row r="426" spans="1:14" x14ac:dyDescent="0.2">
      <c r="A426" t="s">
        <v>467</v>
      </c>
      <c r="B426" s="2">
        <v>1.034316013</v>
      </c>
      <c r="C426">
        <v>10</v>
      </c>
      <c r="D426" s="2">
        <v>2.5990449089999998</v>
      </c>
      <c r="E426" s="2">
        <v>1.007433676</v>
      </c>
      <c r="F426" s="3">
        <v>1.9047126560000001</v>
      </c>
      <c r="G426">
        <v>-21.85</v>
      </c>
      <c r="H426">
        <v>0.215</v>
      </c>
      <c r="I426" t="e">
        <f>NA()</f>
        <v>#N/A</v>
      </c>
      <c r="J426" t="e">
        <f>NA()</f>
        <v>#N/A</v>
      </c>
      <c r="K426" t="e">
        <f>NA()</f>
        <v>#N/A</v>
      </c>
      <c r="L426" t="e">
        <f>NA()</f>
        <v>#N/A</v>
      </c>
      <c r="M426">
        <v>5.3</v>
      </c>
      <c r="N426">
        <v>10</v>
      </c>
    </row>
    <row r="427" spans="1:14" x14ac:dyDescent="0.2">
      <c r="A427" t="s">
        <v>468</v>
      </c>
      <c r="B427" s="2">
        <v>1.2494293809999999</v>
      </c>
      <c r="C427">
        <v>10</v>
      </c>
      <c r="D427" s="2">
        <v>9.5387631679999991</v>
      </c>
      <c r="E427" s="2">
        <v>1.1302492710000001</v>
      </c>
      <c r="F427" s="3">
        <v>1.5368469039999999</v>
      </c>
      <c r="G427">
        <v>-22.4</v>
      </c>
      <c r="H427">
        <v>0.18</v>
      </c>
      <c r="I427" t="e">
        <f>NA()</f>
        <v>#N/A</v>
      </c>
      <c r="J427" t="e">
        <f>NA()</f>
        <v>#N/A</v>
      </c>
      <c r="K427" t="e">
        <f>NA()</f>
        <v>#N/A</v>
      </c>
      <c r="L427" t="e">
        <f>NA()</f>
        <v>#N/A</v>
      </c>
      <c r="M427">
        <v>6.1</v>
      </c>
      <c r="N427">
        <v>20</v>
      </c>
    </row>
    <row r="428" spans="1:14" x14ac:dyDescent="0.2">
      <c r="A428" t="s">
        <v>469</v>
      </c>
      <c r="B428" s="2">
        <v>1.1478968890000001</v>
      </c>
      <c r="C428">
        <v>10</v>
      </c>
      <c r="D428" s="2">
        <v>21.416034710000002</v>
      </c>
      <c r="E428" s="2">
        <v>0.90206289299999998</v>
      </c>
      <c r="F428" s="3">
        <v>1.2183193539999999</v>
      </c>
      <c r="G428">
        <v>-22.9</v>
      </c>
      <c r="H428">
        <v>0.15</v>
      </c>
      <c r="I428" t="e">
        <f>NA()</f>
        <v>#N/A</v>
      </c>
      <c r="J428" t="e">
        <f>NA()</f>
        <v>#N/A</v>
      </c>
      <c r="K428" t="e">
        <f>NA()</f>
        <v>#N/A</v>
      </c>
      <c r="L428" t="e">
        <f>NA()</f>
        <v>#N/A</v>
      </c>
      <c r="M428">
        <v>6.5</v>
      </c>
      <c r="N428">
        <v>30</v>
      </c>
    </row>
    <row r="429" spans="1:14" x14ac:dyDescent="0.2">
      <c r="A429" t="s">
        <v>470</v>
      </c>
      <c r="B429" s="2">
        <v>1.515910606</v>
      </c>
      <c r="C429">
        <v>10</v>
      </c>
      <c r="D429" s="2">
        <v>16.757141440000002</v>
      </c>
      <c r="E429" s="2">
        <v>1.2618873209999999</v>
      </c>
      <c r="F429" s="3">
        <v>0.618689567</v>
      </c>
      <c r="G429">
        <v>-22.9</v>
      </c>
      <c r="H429">
        <v>9.0999999999999998E-2</v>
      </c>
      <c r="I429" t="e">
        <f>NA()</f>
        <v>#N/A</v>
      </c>
      <c r="J429" t="e">
        <f>NA()</f>
        <v>#N/A</v>
      </c>
      <c r="K429" t="e">
        <f>NA()</f>
        <v>#N/A</v>
      </c>
      <c r="L429" t="e">
        <f>NA()</f>
        <v>#N/A</v>
      </c>
      <c r="M429">
        <v>6.4</v>
      </c>
      <c r="N429">
        <v>40</v>
      </c>
    </row>
    <row r="430" spans="1:14" x14ac:dyDescent="0.2">
      <c r="A430" t="s">
        <v>471</v>
      </c>
      <c r="B430" s="2">
        <v>1.2340752829999999</v>
      </c>
      <c r="C430">
        <v>10</v>
      </c>
      <c r="D430" s="2">
        <v>11.79938072</v>
      </c>
      <c r="E430" s="2">
        <v>1.088462042</v>
      </c>
      <c r="F430" s="3">
        <v>0.380084802</v>
      </c>
      <c r="G430">
        <v>-22.2</v>
      </c>
      <c r="H430">
        <v>7.1999999999999995E-2</v>
      </c>
      <c r="I430" t="e">
        <f>NA()</f>
        <v>#N/A</v>
      </c>
      <c r="J430" t="e">
        <f>NA()</f>
        <v>#N/A</v>
      </c>
      <c r="K430" t="e">
        <f>NA()</f>
        <v>#N/A</v>
      </c>
      <c r="L430" t="e">
        <f>NA()</f>
        <v>#N/A</v>
      </c>
      <c r="M430">
        <v>5.6</v>
      </c>
      <c r="N430">
        <v>50</v>
      </c>
    </row>
    <row r="431" spans="1:14" x14ac:dyDescent="0.2">
      <c r="A431" t="s">
        <v>472</v>
      </c>
      <c r="B431" s="2">
        <v>1.7703227669999999</v>
      </c>
      <c r="C431">
        <v>10</v>
      </c>
      <c r="D431" s="2">
        <v>37.351237410000003</v>
      </c>
      <c r="E431" s="2">
        <v>1.109085307</v>
      </c>
      <c r="F431" s="3">
        <v>0.33824516999999998</v>
      </c>
      <c r="G431">
        <v>-16.8</v>
      </c>
      <c r="H431">
        <v>5.1999999999999998E-2</v>
      </c>
      <c r="I431" t="e">
        <f>NA()</f>
        <v>#N/A</v>
      </c>
      <c r="J431" t="e">
        <f>NA()</f>
        <v>#N/A</v>
      </c>
      <c r="K431" t="e">
        <f>NA()</f>
        <v>#N/A</v>
      </c>
      <c r="L431" t="e">
        <f>NA()</f>
        <v>#N/A</v>
      </c>
      <c r="M431">
        <v>5.3</v>
      </c>
      <c r="N431">
        <v>60</v>
      </c>
    </row>
    <row r="432" spans="1:14" x14ac:dyDescent="0.2">
      <c r="A432" t="s">
        <v>473</v>
      </c>
      <c r="B432" s="2">
        <v>1.7091861269999999</v>
      </c>
      <c r="C432">
        <v>10</v>
      </c>
      <c r="D432" s="2">
        <v>17.281132670000002</v>
      </c>
      <c r="E432" s="2">
        <v>1.4138194049999999</v>
      </c>
      <c r="F432" s="3">
        <v>2.0438833860000001</v>
      </c>
      <c r="G432">
        <v>-2.8</v>
      </c>
      <c r="H432">
        <v>4.2000000000000003E-2</v>
      </c>
      <c r="I432" t="e">
        <f>NA()</f>
        <v>#N/A</v>
      </c>
      <c r="J432" t="e">
        <f>NA()</f>
        <v>#N/A</v>
      </c>
      <c r="K432" t="e">
        <f>NA()</f>
        <v>#N/A</v>
      </c>
      <c r="L432" t="e">
        <f>NA()</f>
        <v>#N/A</v>
      </c>
      <c r="M432">
        <v>4.0999999999999996</v>
      </c>
      <c r="N432">
        <v>70</v>
      </c>
    </row>
    <row r="433" spans="1:14" x14ac:dyDescent="0.2">
      <c r="A433" t="s">
        <v>474</v>
      </c>
      <c r="B433" s="2">
        <v>1.9452130750000001</v>
      </c>
      <c r="C433">
        <v>5</v>
      </c>
      <c r="D433" s="2">
        <v>21.25440682</v>
      </c>
      <c r="E433" s="2">
        <v>1.5317695739999999</v>
      </c>
      <c r="F433" s="3">
        <v>1.9203693019999999</v>
      </c>
      <c r="G433">
        <v>-2.25</v>
      </c>
      <c r="H433">
        <v>3.6499999999999998E-2</v>
      </c>
      <c r="I433" t="e">
        <f>NA()</f>
        <v>#N/A</v>
      </c>
      <c r="J433" t="e">
        <f>NA()</f>
        <v>#N/A</v>
      </c>
      <c r="K433" t="e">
        <f>NA()</f>
        <v>#N/A</v>
      </c>
      <c r="L433" t="e">
        <f>NA()</f>
        <v>#N/A</v>
      </c>
      <c r="M433">
        <v>2.8</v>
      </c>
      <c r="N433">
        <v>75</v>
      </c>
    </row>
    <row r="434" spans="1:14" x14ac:dyDescent="0.2">
      <c r="A434" t="s">
        <v>475</v>
      </c>
      <c r="B434" s="2">
        <v>1.352033407</v>
      </c>
      <c r="C434">
        <v>10</v>
      </c>
      <c r="D434" s="2">
        <v>7.2110303829999998</v>
      </c>
      <c r="E434" s="2">
        <v>1.254537867</v>
      </c>
      <c r="F434" s="3">
        <v>1.696295128</v>
      </c>
      <c r="G434">
        <v>-21.9</v>
      </c>
      <c r="H434">
        <v>0.21</v>
      </c>
      <c r="I434" t="e">
        <f>NA()</f>
        <v>#N/A</v>
      </c>
      <c r="J434" t="e">
        <f>NA()</f>
        <v>#N/A</v>
      </c>
      <c r="K434" t="e">
        <f>NA()</f>
        <v>#N/A</v>
      </c>
      <c r="L434" t="e">
        <f>NA()</f>
        <v>#N/A</v>
      </c>
      <c r="M434">
        <v>5.9</v>
      </c>
      <c r="N434">
        <v>10</v>
      </c>
    </row>
    <row r="435" spans="1:14" x14ac:dyDescent="0.2">
      <c r="A435" t="s">
        <v>484</v>
      </c>
      <c r="B435" s="2">
        <v>1.0374711809999999</v>
      </c>
      <c r="C435">
        <v>10</v>
      </c>
      <c r="D435" s="2">
        <v>21.07303714</v>
      </c>
      <c r="E435" s="2">
        <v>0.81884449400000003</v>
      </c>
      <c r="F435" s="3">
        <v>2.253456329</v>
      </c>
      <c r="G435">
        <v>-1.3</v>
      </c>
      <c r="H435">
        <v>3.5999999999999997E-2</v>
      </c>
      <c r="I435" t="e">
        <f>NA()</f>
        <v>#N/A</v>
      </c>
      <c r="J435" t="e">
        <f>NA()</f>
        <v>#N/A</v>
      </c>
      <c r="K435" t="e">
        <f>NA()</f>
        <v>#N/A</v>
      </c>
      <c r="L435" t="e">
        <f>NA()</f>
        <v>#N/A</v>
      </c>
      <c r="M435">
        <v>1.2</v>
      </c>
      <c r="N435">
        <v>100</v>
      </c>
    </row>
    <row r="436" spans="1:14" x14ac:dyDescent="0.2">
      <c r="A436" t="s">
        <v>476</v>
      </c>
      <c r="B436" s="2">
        <v>1.3331242999999999</v>
      </c>
      <c r="C436">
        <v>10</v>
      </c>
      <c r="D436" s="2">
        <v>7.6341974769999998</v>
      </c>
      <c r="E436" s="2">
        <v>1.2313509579999999</v>
      </c>
      <c r="F436" s="3">
        <v>1.2000838330000001</v>
      </c>
      <c r="G436">
        <v>-22.1</v>
      </c>
      <c r="H436">
        <v>0.15</v>
      </c>
      <c r="I436" t="e">
        <f>NA()</f>
        <v>#N/A</v>
      </c>
      <c r="J436" t="e">
        <f>NA()</f>
        <v>#N/A</v>
      </c>
      <c r="K436" t="e">
        <f>NA()</f>
        <v>#N/A</v>
      </c>
      <c r="L436" t="e">
        <f>NA()</f>
        <v>#N/A</v>
      </c>
      <c r="M436">
        <v>6.2</v>
      </c>
      <c r="N436">
        <v>20</v>
      </c>
    </row>
    <row r="437" spans="1:14" x14ac:dyDescent="0.2">
      <c r="A437" t="s">
        <v>477</v>
      </c>
      <c r="B437" s="2">
        <v>1.2294532579999999</v>
      </c>
      <c r="C437">
        <v>10</v>
      </c>
      <c r="D437" s="2">
        <v>8.591731266</v>
      </c>
      <c r="E437" s="2">
        <v>1.1238219380000001</v>
      </c>
      <c r="F437" s="3">
        <v>0.71414655900000001</v>
      </c>
      <c r="G437">
        <v>-22.5</v>
      </c>
      <c r="H437">
        <v>0.09</v>
      </c>
      <c r="I437" t="e">
        <f>NA()</f>
        <v>#N/A</v>
      </c>
      <c r="J437" t="e">
        <f>NA()</f>
        <v>#N/A</v>
      </c>
      <c r="K437" t="e">
        <f>NA()</f>
        <v>#N/A</v>
      </c>
      <c r="L437" t="e">
        <f>NA()</f>
        <v>#N/A</v>
      </c>
      <c r="M437">
        <v>6.2</v>
      </c>
      <c r="N437">
        <v>30</v>
      </c>
    </row>
    <row r="438" spans="1:14" x14ac:dyDescent="0.2">
      <c r="A438" t="s">
        <v>478</v>
      </c>
      <c r="B438" s="2">
        <v>0.833622101</v>
      </c>
      <c r="C438">
        <v>10</v>
      </c>
      <c r="D438" s="2">
        <v>7.5057395869999999</v>
      </c>
      <c r="E438" s="2">
        <v>0.77105259699999995</v>
      </c>
      <c r="F438" s="3">
        <v>0.40719454399999999</v>
      </c>
      <c r="G438">
        <v>-20.7</v>
      </c>
      <c r="H438">
        <v>4.1000000000000002E-2</v>
      </c>
      <c r="I438" t="e">
        <f>NA()</f>
        <v>#N/A</v>
      </c>
      <c r="J438" t="e">
        <f>NA()</f>
        <v>#N/A</v>
      </c>
      <c r="K438" t="e">
        <f>NA()</f>
        <v>#N/A</v>
      </c>
      <c r="L438" t="e">
        <f>NA()</f>
        <v>#N/A</v>
      </c>
      <c r="M438">
        <v>6.6</v>
      </c>
      <c r="N438">
        <v>40</v>
      </c>
    </row>
    <row r="439" spans="1:14" x14ac:dyDescent="0.2">
      <c r="A439" t="s">
        <v>479</v>
      </c>
      <c r="B439" s="2">
        <v>1.1681060700000001</v>
      </c>
      <c r="C439">
        <v>10</v>
      </c>
      <c r="D439" s="2">
        <v>6.3227679009999997</v>
      </c>
      <c r="E439" s="2">
        <v>1.094249435</v>
      </c>
      <c r="F439" s="3">
        <v>0.74060756599999999</v>
      </c>
      <c r="G439">
        <v>-7.5</v>
      </c>
      <c r="H439">
        <v>4.3999999999999997E-2</v>
      </c>
      <c r="I439" t="e">
        <f>NA()</f>
        <v>#N/A</v>
      </c>
      <c r="J439" t="e">
        <f>NA()</f>
        <v>#N/A</v>
      </c>
      <c r="K439" t="e">
        <f>NA()</f>
        <v>#N/A</v>
      </c>
      <c r="L439" t="e">
        <f>NA()</f>
        <v>#N/A</v>
      </c>
      <c r="M439">
        <v>4.9000000000000004</v>
      </c>
      <c r="N439">
        <v>50</v>
      </c>
    </row>
    <row r="440" spans="1:14" x14ac:dyDescent="0.2">
      <c r="A440" t="s">
        <v>480</v>
      </c>
      <c r="B440" s="2">
        <v>1.5987646470000001</v>
      </c>
      <c r="C440">
        <v>10</v>
      </c>
      <c r="D440" s="2">
        <v>32.738586470000001</v>
      </c>
      <c r="E440" s="2">
        <v>1.0753516999999999</v>
      </c>
      <c r="F440" s="3">
        <v>2.5451996480000001</v>
      </c>
      <c r="G440">
        <v>-3</v>
      </c>
      <c r="H440">
        <v>5.0999999999999997E-2</v>
      </c>
      <c r="I440" t="e">
        <f>NA()</f>
        <v>#N/A</v>
      </c>
      <c r="J440" t="e">
        <f>NA()</f>
        <v>#N/A</v>
      </c>
      <c r="K440" t="e">
        <f>NA()</f>
        <v>#N/A</v>
      </c>
      <c r="L440" t="e">
        <f>NA()</f>
        <v>#N/A</v>
      </c>
      <c r="M440">
        <v>4.3</v>
      </c>
      <c r="N440">
        <v>60</v>
      </c>
    </row>
    <row r="441" spans="1:14" x14ac:dyDescent="0.2">
      <c r="A441" t="s">
        <v>481</v>
      </c>
      <c r="B441" s="2">
        <v>1.8330658879999999</v>
      </c>
      <c r="C441">
        <v>10</v>
      </c>
      <c r="D441" s="2">
        <v>28.802050390000002</v>
      </c>
      <c r="E441" s="2">
        <v>1.305105328</v>
      </c>
      <c r="F441" s="3">
        <v>3.0586329280000002</v>
      </c>
      <c r="G441">
        <v>-1.35</v>
      </c>
      <c r="H441">
        <v>3.4500000000000003E-2</v>
      </c>
      <c r="I441" t="e">
        <f>NA()</f>
        <v>#N/A</v>
      </c>
      <c r="J441" t="e">
        <f>NA()</f>
        <v>#N/A</v>
      </c>
      <c r="K441" t="e">
        <f>NA()</f>
        <v>#N/A</v>
      </c>
      <c r="L441" t="e">
        <f>NA()</f>
        <v>#N/A</v>
      </c>
      <c r="M441">
        <v>2.95</v>
      </c>
      <c r="N441">
        <v>70</v>
      </c>
    </row>
    <row r="442" spans="1:14" x14ac:dyDescent="0.2">
      <c r="A442" t="s">
        <v>482</v>
      </c>
      <c r="B442" s="2">
        <v>1.8307314990000001</v>
      </c>
      <c r="C442">
        <v>10</v>
      </c>
      <c r="D442" s="2">
        <v>38.330287419999998</v>
      </c>
      <c r="E442" s="2">
        <v>1.1290068529999999</v>
      </c>
      <c r="F442" s="3">
        <v>2.1386378979999998</v>
      </c>
      <c r="G442">
        <v>-1.2</v>
      </c>
      <c r="H442">
        <v>3.2000000000000001E-2</v>
      </c>
      <c r="I442" t="e">
        <f>NA()</f>
        <v>#N/A</v>
      </c>
      <c r="J442" t="e">
        <f>NA()</f>
        <v>#N/A</v>
      </c>
      <c r="K442" t="e">
        <f>NA()</f>
        <v>#N/A</v>
      </c>
      <c r="L442" t="e">
        <f>NA()</f>
        <v>#N/A</v>
      </c>
      <c r="M442">
        <v>1.4</v>
      </c>
      <c r="N442">
        <v>80</v>
      </c>
    </row>
    <row r="443" spans="1:14" x14ac:dyDescent="0.2">
      <c r="A443" t="s">
        <v>483</v>
      </c>
      <c r="B443" s="2">
        <v>1.8923710439999999</v>
      </c>
      <c r="C443">
        <v>10</v>
      </c>
      <c r="D443" s="2">
        <v>16.081804160000001</v>
      </c>
      <c r="E443" s="2">
        <v>1.5880436389999999</v>
      </c>
      <c r="F443" s="3">
        <v>2.0857896330000001</v>
      </c>
      <c r="G443">
        <v>-1</v>
      </c>
      <c r="H443">
        <v>3.3000000000000002E-2</v>
      </c>
      <c r="I443" t="e">
        <f>NA()</f>
        <v>#N/A</v>
      </c>
      <c r="J443" t="e">
        <f>NA()</f>
        <v>#N/A</v>
      </c>
      <c r="K443" t="e">
        <f>NA()</f>
        <v>#N/A</v>
      </c>
      <c r="L443" t="e">
        <f>NA()</f>
        <v>#N/A</v>
      </c>
      <c r="M443">
        <v>1.5</v>
      </c>
      <c r="N443">
        <v>90</v>
      </c>
    </row>
    <row r="444" spans="1:14" x14ac:dyDescent="0.2">
      <c r="A444" t="s">
        <v>485</v>
      </c>
      <c r="B444" s="2">
        <v>1.2427617200000001</v>
      </c>
      <c r="C444">
        <v>10</v>
      </c>
      <c r="D444" s="2">
        <v>10.86233835</v>
      </c>
      <c r="E444" s="2">
        <v>1.107768737</v>
      </c>
      <c r="F444" s="3">
        <v>1.6166150429999999</v>
      </c>
      <c r="G444">
        <v>-21</v>
      </c>
      <c r="H444">
        <v>0.19</v>
      </c>
      <c r="I444" t="e">
        <f>NA()</f>
        <v>#N/A</v>
      </c>
      <c r="J444" t="e">
        <f>NA()</f>
        <v>#N/A</v>
      </c>
      <c r="K444" t="e">
        <f>NA()</f>
        <v>#N/A</v>
      </c>
      <c r="L444" t="e">
        <f>NA()</f>
        <v>#N/A</v>
      </c>
      <c r="M444">
        <v>5.2</v>
      </c>
      <c r="N444">
        <v>10</v>
      </c>
    </row>
    <row r="445" spans="1:14" x14ac:dyDescent="0.2">
      <c r="A445" t="s">
        <v>486</v>
      </c>
      <c r="B445" s="2">
        <v>1.4630633420000001</v>
      </c>
      <c r="C445">
        <v>10</v>
      </c>
      <c r="D445" s="2">
        <v>15.804792539999999</v>
      </c>
      <c r="E445" s="2">
        <v>1.2318292159999999</v>
      </c>
      <c r="F445" s="3">
        <v>0.91718813799999999</v>
      </c>
      <c r="G445">
        <v>-22.2</v>
      </c>
      <c r="H445">
        <v>0.12</v>
      </c>
      <c r="I445" t="e">
        <f>NA()</f>
        <v>#N/A</v>
      </c>
      <c r="J445" t="e">
        <f>NA()</f>
        <v>#N/A</v>
      </c>
      <c r="K445" t="e">
        <f>NA()</f>
        <v>#N/A</v>
      </c>
      <c r="L445" t="e">
        <f>NA()</f>
        <v>#N/A</v>
      </c>
      <c r="M445">
        <v>6</v>
      </c>
      <c r="N445">
        <v>20</v>
      </c>
    </row>
    <row r="446" spans="1:14" x14ac:dyDescent="0.2">
      <c r="A446" t="s">
        <v>487</v>
      </c>
      <c r="B446" s="2">
        <v>1.6023156540000001</v>
      </c>
      <c r="C446">
        <v>10</v>
      </c>
      <c r="D446" s="2">
        <v>15.438330669999999</v>
      </c>
      <c r="E446" s="2">
        <v>1.354944865</v>
      </c>
      <c r="F446" s="3">
        <v>0.48637765500000002</v>
      </c>
      <c r="G446">
        <v>-22.1</v>
      </c>
      <c r="H446">
        <v>6.9000000000000006E-2</v>
      </c>
      <c r="I446" t="e">
        <f>NA()</f>
        <v>#N/A</v>
      </c>
      <c r="J446" t="e">
        <f>NA()</f>
        <v>#N/A</v>
      </c>
      <c r="K446" t="e">
        <f>NA()</f>
        <v>#N/A</v>
      </c>
      <c r="L446" t="e">
        <f>NA()</f>
        <v>#N/A</v>
      </c>
      <c r="M446">
        <v>6</v>
      </c>
      <c r="N446">
        <v>30</v>
      </c>
    </row>
    <row r="447" spans="1:14" x14ac:dyDescent="0.2">
      <c r="A447" t="s">
        <v>488</v>
      </c>
      <c r="B447" s="2">
        <v>1.485625594</v>
      </c>
      <c r="C447">
        <v>10</v>
      </c>
      <c r="D447" s="2">
        <v>6.2906760249999998</v>
      </c>
      <c r="E447" s="2">
        <v>1.392169701</v>
      </c>
      <c r="F447" s="3">
        <v>0.35819452899999998</v>
      </c>
      <c r="G447">
        <v>-20.5</v>
      </c>
      <c r="H447">
        <v>5.3999999999999999E-2</v>
      </c>
      <c r="I447" t="e">
        <f>NA()</f>
        <v>#N/A</v>
      </c>
      <c r="J447" t="e">
        <f>NA()</f>
        <v>#N/A</v>
      </c>
      <c r="K447" t="e">
        <f>NA()</f>
        <v>#N/A</v>
      </c>
      <c r="L447" t="e">
        <f>NA()</f>
        <v>#N/A</v>
      </c>
      <c r="M447">
        <v>5.6</v>
      </c>
      <c r="N447">
        <v>40</v>
      </c>
    </row>
    <row r="448" spans="1:14" x14ac:dyDescent="0.2">
      <c r="A448" t="s">
        <v>489</v>
      </c>
      <c r="B448" s="2">
        <v>1.436687657</v>
      </c>
      <c r="C448">
        <v>10</v>
      </c>
      <c r="D448" s="2">
        <v>4.6754269400000004</v>
      </c>
      <c r="E448" s="2">
        <v>1.3695163749999999</v>
      </c>
      <c r="F448" s="3">
        <v>0.36266826499999999</v>
      </c>
      <c r="G448">
        <v>-15</v>
      </c>
      <c r="H448">
        <v>5.0999999999999997E-2</v>
      </c>
      <c r="I448" t="e">
        <f>NA()</f>
        <v>#N/A</v>
      </c>
      <c r="J448" t="e">
        <f>NA()</f>
        <v>#N/A</v>
      </c>
      <c r="K448" t="e">
        <f>NA()</f>
        <v>#N/A</v>
      </c>
      <c r="L448" t="e">
        <f>NA()</f>
        <v>#N/A</v>
      </c>
      <c r="M448">
        <v>4.5</v>
      </c>
      <c r="N448">
        <v>50</v>
      </c>
    </row>
    <row r="449" spans="1:14" x14ac:dyDescent="0.2">
      <c r="A449" t="s">
        <v>490</v>
      </c>
      <c r="B449" s="2">
        <v>1.342364382</v>
      </c>
      <c r="C449">
        <v>10</v>
      </c>
      <c r="D449" s="2">
        <v>4.4730493410000003</v>
      </c>
      <c r="E449" s="2">
        <v>1.2823197609999999</v>
      </c>
      <c r="F449" s="3">
        <v>0.92956639600000002</v>
      </c>
      <c r="G449">
        <v>-7.6</v>
      </c>
      <c r="H449">
        <v>5.1999999999999998E-2</v>
      </c>
      <c r="I449" t="e">
        <f>NA()</f>
        <v>#N/A</v>
      </c>
      <c r="J449" t="e">
        <f>NA()</f>
        <v>#N/A</v>
      </c>
      <c r="K449" t="e">
        <f>NA()</f>
        <v>#N/A</v>
      </c>
      <c r="L449" t="e">
        <f>NA()</f>
        <v>#N/A</v>
      </c>
      <c r="M449">
        <v>4.8</v>
      </c>
      <c r="N449">
        <v>60</v>
      </c>
    </row>
    <row r="450" spans="1:14" x14ac:dyDescent="0.2">
      <c r="A450" t="s">
        <v>491</v>
      </c>
      <c r="B450" s="2">
        <v>0.981136656</v>
      </c>
      <c r="C450">
        <v>10</v>
      </c>
      <c r="D450" s="2">
        <v>8.0760644890000002</v>
      </c>
      <c r="E450" s="2">
        <v>0.90189942700000003</v>
      </c>
      <c r="F450" s="3">
        <v>5.1404327859999999</v>
      </c>
      <c r="G450">
        <v>-0.2</v>
      </c>
      <c r="H450">
        <v>4.2000000000000003E-2</v>
      </c>
      <c r="I450" t="e">
        <f>NA()</f>
        <v>#N/A</v>
      </c>
      <c r="J450" t="e">
        <f>NA()</f>
        <v>#N/A</v>
      </c>
      <c r="K450" t="e">
        <f>NA()</f>
        <v>#N/A</v>
      </c>
      <c r="L450" t="e">
        <f>NA()</f>
        <v>#N/A</v>
      </c>
      <c r="M450">
        <v>4.2</v>
      </c>
      <c r="N450">
        <v>70</v>
      </c>
    </row>
    <row r="451" spans="1:14" x14ac:dyDescent="0.2">
      <c r="A451" t="s">
        <v>492</v>
      </c>
      <c r="B451" s="2">
        <v>1.583011999</v>
      </c>
      <c r="C451">
        <v>10</v>
      </c>
      <c r="D451" s="2">
        <v>15.99514205</v>
      </c>
      <c r="E451" s="2">
        <v>1.3298069809999999</v>
      </c>
      <c r="F451" s="3">
        <v>1.9465474030000001</v>
      </c>
      <c r="G451">
        <v>-2.1</v>
      </c>
      <c r="H451">
        <v>4.2000000000000003E-2</v>
      </c>
      <c r="I451" t="e">
        <f>NA()</f>
        <v>#N/A</v>
      </c>
      <c r="J451" t="e">
        <f>NA()</f>
        <v>#N/A</v>
      </c>
      <c r="K451" t="e">
        <f>NA()</f>
        <v>#N/A</v>
      </c>
      <c r="L451" t="e">
        <f>NA()</f>
        <v>#N/A</v>
      </c>
      <c r="M451">
        <v>2.6</v>
      </c>
      <c r="N451">
        <v>80</v>
      </c>
    </row>
    <row r="452" spans="1:14" x14ac:dyDescent="0.2">
      <c r="A452" t="s">
        <v>493</v>
      </c>
      <c r="B452" s="2">
        <v>1.5076813609999999</v>
      </c>
      <c r="C452">
        <v>10</v>
      </c>
      <c r="D452" s="2">
        <v>21.627810499999999</v>
      </c>
      <c r="E452" s="2">
        <v>1.181602893</v>
      </c>
      <c r="F452" s="3">
        <v>2.0734761690000001</v>
      </c>
      <c r="G452">
        <v>-1.3</v>
      </c>
      <c r="H452">
        <v>3.5999999999999997E-2</v>
      </c>
      <c r="I452" t="e">
        <f>NA()</f>
        <v>#N/A</v>
      </c>
      <c r="J452" t="e">
        <f>NA()</f>
        <v>#N/A</v>
      </c>
      <c r="K452" t="e">
        <f>NA()</f>
        <v>#N/A</v>
      </c>
      <c r="L452" t="e">
        <f>NA()</f>
        <v>#N/A</v>
      </c>
      <c r="M452">
        <v>1.5</v>
      </c>
      <c r="N452">
        <v>90</v>
      </c>
    </row>
    <row r="453" spans="1:14" x14ac:dyDescent="0.2">
      <c r="A453" t="s">
        <v>494</v>
      </c>
      <c r="B453" s="2">
        <v>1.3175183779999999</v>
      </c>
      <c r="C453">
        <v>10</v>
      </c>
      <c r="D453" s="2">
        <v>16.86764827</v>
      </c>
      <c r="E453" s="2">
        <v>1.095284012</v>
      </c>
      <c r="F453" s="3">
        <v>1.388890771</v>
      </c>
      <c r="G453">
        <v>-22.7</v>
      </c>
      <c r="H453">
        <v>0.17</v>
      </c>
      <c r="I453" t="e">
        <f>NA()</f>
        <v>#N/A</v>
      </c>
      <c r="J453" t="e">
        <f>NA()</f>
        <v>#N/A</v>
      </c>
      <c r="K453" t="e">
        <f>NA()</f>
        <v>#N/A</v>
      </c>
      <c r="L453" t="e">
        <f>NA()</f>
        <v>#N/A</v>
      </c>
      <c r="M453">
        <v>6</v>
      </c>
      <c r="N453">
        <v>10</v>
      </c>
    </row>
    <row r="454" spans="1:14" x14ac:dyDescent="0.2">
      <c r="A454" t="s">
        <v>503</v>
      </c>
      <c r="B454" s="2">
        <v>1.7683465089999999</v>
      </c>
      <c r="C454">
        <v>10</v>
      </c>
      <c r="D454" s="2">
        <v>20.328866229999999</v>
      </c>
      <c r="E454" s="2">
        <v>1.4088617130000001</v>
      </c>
      <c r="F454" s="3">
        <v>0.14706570199999999</v>
      </c>
      <c r="G454">
        <v>-23.4</v>
      </c>
      <c r="H454">
        <v>4.2999999999999997E-2</v>
      </c>
      <c r="I454" t="e">
        <f>NA()</f>
        <v>#N/A</v>
      </c>
      <c r="J454" t="e">
        <f>NA()</f>
        <v>#N/A</v>
      </c>
      <c r="K454" t="e">
        <f>NA()</f>
        <v>#N/A</v>
      </c>
      <c r="L454" t="e">
        <f>NA()</f>
        <v>#N/A</v>
      </c>
      <c r="M454">
        <v>4.4000000000000004</v>
      </c>
      <c r="N454">
        <v>100</v>
      </c>
    </row>
    <row r="455" spans="1:14" x14ac:dyDescent="0.2">
      <c r="A455" t="s">
        <v>504</v>
      </c>
      <c r="B455" s="2">
        <v>1.692291054</v>
      </c>
      <c r="C455">
        <v>10</v>
      </c>
      <c r="D455" s="2">
        <v>10.57539156</v>
      </c>
      <c r="E455" s="2">
        <v>1.5133246490000001</v>
      </c>
      <c r="F455" s="3">
        <v>0.13178067399999999</v>
      </c>
      <c r="G455">
        <v>-23.7</v>
      </c>
      <c r="H455">
        <v>4.4999999999999998E-2</v>
      </c>
      <c r="I455" t="e">
        <f>NA()</f>
        <v>#N/A</v>
      </c>
      <c r="J455" t="e">
        <f>NA()</f>
        <v>#N/A</v>
      </c>
      <c r="K455" t="e">
        <f>NA()</f>
        <v>#N/A</v>
      </c>
      <c r="L455" t="e">
        <f>NA()</f>
        <v>#N/A</v>
      </c>
      <c r="M455">
        <v>3.4</v>
      </c>
      <c r="N455">
        <v>110</v>
      </c>
    </row>
    <row r="456" spans="1:14" x14ac:dyDescent="0.2">
      <c r="A456" t="s">
        <v>505</v>
      </c>
      <c r="B456" s="2">
        <v>1.6767343290000001</v>
      </c>
      <c r="C456">
        <v>9</v>
      </c>
      <c r="D456" s="2">
        <v>24.720536039999999</v>
      </c>
      <c r="E456" s="2">
        <v>1.262236615</v>
      </c>
      <c r="F456" s="3">
        <v>0.122543412</v>
      </c>
      <c r="G456">
        <v>-22.9</v>
      </c>
      <c r="H456">
        <v>4.2999999999999997E-2</v>
      </c>
      <c r="I456" t="e">
        <f>NA()</f>
        <v>#N/A</v>
      </c>
      <c r="J456" t="e">
        <f>NA()</f>
        <v>#N/A</v>
      </c>
      <c r="K456" t="e">
        <f>NA()</f>
        <v>#N/A</v>
      </c>
      <c r="L456" t="e">
        <f>NA()</f>
        <v>#N/A</v>
      </c>
      <c r="M456">
        <v>3.3</v>
      </c>
      <c r="N456">
        <v>119</v>
      </c>
    </row>
    <row r="457" spans="1:14" x14ac:dyDescent="0.2">
      <c r="A457" t="s">
        <v>495</v>
      </c>
      <c r="B457" s="2">
        <v>1.6574815570000001</v>
      </c>
      <c r="C457">
        <v>10</v>
      </c>
      <c r="D457" s="2">
        <v>13.52683371</v>
      </c>
      <c r="E457" s="2">
        <v>1.4332767829999999</v>
      </c>
      <c r="F457" s="3">
        <v>1.280151721</v>
      </c>
      <c r="G457">
        <v>-23</v>
      </c>
      <c r="H457">
        <v>0.16</v>
      </c>
      <c r="I457" t="e">
        <f>NA()</f>
        <v>#N/A</v>
      </c>
      <c r="J457" t="e">
        <f>NA()</f>
        <v>#N/A</v>
      </c>
      <c r="K457" t="e">
        <f>NA()</f>
        <v>#N/A</v>
      </c>
      <c r="L457" t="e">
        <f>NA()</f>
        <v>#N/A</v>
      </c>
      <c r="M457">
        <v>6.3</v>
      </c>
      <c r="N457">
        <v>20</v>
      </c>
    </row>
    <row r="458" spans="1:14" x14ac:dyDescent="0.2">
      <c r="A458" t="s">
        <v>496</v>
      </c>
      <c r="B458" s="2">
        <v>1.5479226509999999</v>
      </c>
      <c r="C458">
        <v>10</v>
      </c>
      <c r="D458" s="2">
        <v>11.313592740000001</v>
      </c>
      <c r="E458" s="2">
        <v>1.372796986</v>
      </c>
      <c r="F458" s="3">
        <v>0.41866474100000001</v>
      </c>
      <c r="G458">
        <v>-22.2</v>
      </c>
      <c r="H458">
        <v>7.3999999999999996E-2</v>
      </c>
      <c r="I458" t="e">
        <f>NA()</f>
        <v>#N/A</v>
      </c>
      <c r="J458" t="e">
        <f>NA()</f>
        <v>#N/A</v>
      </c>
      <c r="K458" t="e">
        <f>NA()</f>
        <v>#N/A</v>
      </c>
      <c r="L458" t="e">
        <f>NA()</f>
        <v>#N/A</v>
      </c>
      <c r="M458">
        <v>6.4</v>
      </c>
      <c r="N458">
        <v>30</v>
      </c>
    </row>
    <row r="459" spans="1:14" x14ac:dyDescent="0.2">
      <c r="A459" t="s">
        <v>497</v>
      </c>
      <c r="B459" s="2">
        <v>1.566337095</v>
      </c>
      <c r="C459">
        <v>10</v>
      </c>
      <c r="D459" s="2">
        <v>13.32146859</v>
      </c>
      <c r="E459" s="2">
        <v>1.3576779910000001</v>
      </c>
      <c r="F459" s="3">
        <v>0.238874114</v>
      </c>
      <c r="G459">
        <v>-23</v>
      </c>
      <c r="H459">
        <v>5.5E-2</v>
      </c>
      <c r="I459" t="e">
        <f>NA()</f>
        <v>#N/A</v>
      </c>
      <c r="J459" t="e">
        <f>NA()</f>
        <v>#N/A</v>
      </c>
      <c r="K459" t="e">
        <f>NA()</f>
        <v>#N/A</v>
      </c>
      <c r="L459" t="e">
        <f>NA()</f>
        <v>#N/A</v>
      </c>
      <c r="M459">
        <v>5.8</v>
      </c>
      <c r="N459">
        <v>40</v>
      </c>
    </row>
    <row r="460" spans="1:14" x14ac:dyDescent="0.2">
      <c r="A460" t="s">
        <v>498</v>
      </c>
      <c r="B460" s="2">
        <v>1.9306238389999999</v>
      </c>
      <c r="C460">
        <v>10</v>
      </c>
      <c r="D460" s="2">
        <v>9.8523875570000001</v>
      </c>
      <c r="E460" s="2">
        <v>1.740411296</v>
      </c>
      <c r="F460" s="3">
        <v>0.13016793900000001</v>
      </c>
      <c r="G460">
        <v>-22.5</v>
      </c>
      <c r="H460">
        <v>4.3999999999999997E-2</v>
      </c>
      <c r="I460" t="e">
        <f>NA()</f>
        <v>#N/A</v>
      </c>
      <c r="J460" t="e">
        <f>NA()</f>
        <v>#N/A</v>
      </c>
      <c r="K460" t="e">
        <f>NA()</f>
        <v>#N/A</v>
      </c>
      <c r="L460" t="e">
        <f>NA()</f>
        <v>#N/A</v>
      </c>
      <c r="M460">
        <v>4.4000000000000004</v>
      </c>
      <c r="N460">
        <v>50</v>
      </c>
    </row>
    <row r="461" spans="1:14" x14ac:dyDescent="0.2">
      <c r="A461" t="s">
        <v>499</v>
      </c>
      <c r="B461" s="2">
        <v>1.7556310580000001</v>
      </c>
      <c r="C461">
        <v>10</v>
      </c>
      <c r="D461" s="2">
        <v>12.329421849999999</v>
      </c>
      <c r="E461" s="2">
        <v>1.5391718990000001</v>
      </c>
      <c r="F461" s="3">
        <v>0.13622487799999999</v>
      </c>
      <c r="G461">
        <v>-23.8</v>
      </c>
      <c r="H461">
        <v>4.3999999999999997E-2</v>
      </c>
      <c r="I461" t="e">
        <f>NA()</f>
        <v>#N/A</v>
      </c>
      <c r="J461" t="e">
        <f>NA()</f>
        <v>#N/A</v>
      </c>
      <c r="K461" t="e">
        <f>NA()</f>
        <v>#N/A</v>
      </c>
      <c r="L461" t="e">
        <f>NA()</f>
        <v>#N/A</v>
      </c>
      <c r="M461">
        <v>4.5999999999999996</v>
      </c>
      <c r="N461">
        <v>60</v>
      </c>
    </row>
    <row r="462" spans="1:14" x14ac:dyDescent="0.2">
      <c r="A462" t="s">
        <v>500</v>
      </c>
      <c r="B462" s="2">
        <v>1.8302268820000001</v>
      </c>
      <c r="C462">
        <v>10</v>
      </c>
      <c r="D462" s="2">
        <v>17.762830919999999</v>
      </c>
      <c r="E462" s="2">
        <v>1.505126776</v>
      </c>
      <c r="F462" s="3">
        <v>0.143663915</v>
      </c>
      <c r="G462">
        <v>-23.7</v>
      </c>
      <c r="H462">
        <v>4.4999999999999998E-2</v>
      </c>
      <c r="I462" t="e">
        <f>NA()</f>
        <v>#N/A</v>
      </c>
      <c r="J462" t="e">
        <f>NA()</f>
        <v>#N/A</v>
      </c>
      <c r="K462" t="e">
        <f>NA()</f>
        <v>#N/A</v>
      </c>
      <c r="L462" t="e">
        <f>NA()</f>
        <v>#N/A</v>
      </c>
      <c r="M462">
        <v>4.3</v>
      </c>
      <c r="N462">
        <v>70</v>
      </c>
    </row>
    <row r="463" spans="1:14" x14ac:dyDescent="0.2">
      <c r="A463" t="s">
        <v>501</v>
      </c>
      <c r="B463" s="2">
        <v>1.5674401069999999</v>
      </c>
      <c r="C463">
        <v>10</v>
      </c>
      <c r="D463" s="2">
        <v>10.383221989999999</v>
      </c>
      <c r="E463" s="2">
        <v>1.404689321</v>
      </c>
      <c r="F463" s="3">
        <v>0.14393250099999999</v>
      </c>
      <c r="G463">
        <v>-23.7</v>
      </c>
      <c r="H463">
        <v>4.4499999999999998E-2</v>
      </c>
      <c r="I463" t="e">
        <f>NA()</f>
        <v>#N/A</v>
      </c>
      <c r="J463" t="e">
        <f>NA()</f>
        <v>#N/A</v>
      </c>
      <c r="K463" t="e">
        <f>NA()</f>
        <v>#N/A</v>
      </c>
      <c r="L463" t="e">
        <f>NA()</f>
        <v>#N/A</v>
      </c>
      <c r="M463">
        <v>4.3499999999999996</v>
      </c>
      <c r="N463">
        <v>80</v>
      </c>
    </row>
    <row r="464" spans="1:14" x14ac:dyDescent="0.2">
      <c r="A464" t="s">
        <v>502</v>
      </c>
      <c r="B464" s="2">
        <v>1.68610488</v>
      </c>
      <c r="C464">
        <v>10</v>
      </c>
      <c r="D464" s="2">
        <v>30.385438969999999</v>
      </c>
      <c r="E464" s="2">
        <v>1.173774511</v>
      </c>
      <c r="F464" s="3">
        <v>0.19695116900000001</v>
      </c>
      <c r="G464">
        <v>-23.2</v>
      </c>
      <c r="H464">
        <v>4.9000000000000002E-2</v>
      </c>
      <c r="I464" t="e">
        <f>NA()</f>
        <v>#N/A</v>
      </c>
      <c r="J464" t="e">
        <f>NA()</f>
        <v>#N/A</v>
      </c>
      <c r="K464" t="e">
        <f>NA()</f>
        <v>#N/A</v>
      </c>
      <c r="L464" t="e">
        <f>NA()</f>
        <v>#N/A</v>
      </c>
      <c r="M464">
        <v>5.4</v>
      </c>
      <c r="N464">
        <v>90</v>
      </c>
    </row>
    <row r="465" spans="1:14" x14ac:dyDescent="0.2">
      <c r="A465" t="s">
        <v>506</v>
      </c>
      <c r="B465" s="2">
        <v>1.4366559169999999</v>
      </c>
      <c r="C465">
        <v>10</v>
      </c>
      <c r="D465" s="2">
        <v>10.76486785</v>
      </c>
      <c r="E465" s="2">
        <v>1.282001806</v>
      </c>
      <c r="F465" s="3">
        <v>1.257469138</v>
      </c>
      <c r="G465">
        <v>-23.8</v>
      </c>
      <c r="H465">
        <v>0.15</v>
      </c>
      <c r="I465" t="e">
        <f>NA()</f>
        <v>#N/A</v>
      </c>
      <c r="J465" t="e">
        <f>NA()</f>
        <v>#N/A</v>
      </c>
      <c r="K465" t="e">
        <f>NA()</f>
        <v>#N/A</v>
      </c>
      <c r="L465" t="e">
        <f>NA()</f>
        <v>#N/A</v>
      </c>
      <c r="M465">
        <v>5.6</v>
      </c>
      <c r="N465">
        <v>10</v>
      </c>
    </row>
    <row r="466" spans="1:14" x14ac:dyDescent="0.2">
      <c r="A466" t="s">
        <v>515</v>
      </c>
      <c r="B466" s="2">
        <v>1.534625957</v>
      </c>
      <c r="C466">
        <v>10</v>
      </c>
      <c r="D466" s="2">
        <v>10.10030557</v>
      </c>
      <c r="E466" s="2">
        <v>1.379624046</v>
      </c>
      <c r="F466" s="3">
        <v>0.14475585599999999</v>
      </c>
      <c r="G466">
        <v>-21.2</v>
      </c>
      <c r="H466">
        <v>3.7999999999999999E-2</v>
      </c>
      <c r="I466" t="e">
        <f>NA()</f>
        <v>#N/A</v>
      </c>
      <c r="J466" t="e">
        <f>NA()</f>
        <v>#N/A</v>
      </c>
      <c r="K466" t="e">
        <f>NA()</f>
        <v>#N/A</v>
      </c>
      <c r="L466" t="e">
        <f>NA()</f>
        <v>#N/A</v>
      </c>
      <c r="M466">
        <v>3.2</v>
      </c>
      <c r="N466">
        <v>100</v>
      </c>
    </row>
    <row r="467" spans="1:14" x14ac:dyDescent="0.2">
      <c r="A467" t="s">
        <v>516</v>
      </c>
      <c r="B467" s="2">
        <v>1.697359206</v>
      </c>
      <c r="C467">
        <v>10</v>
      </c>
      <c r="D467" s="2">
        <v>17.848928900000001</v>
      </c>
      <c r="E467" s="2">
        <v>1.3943987680000001</v>
      </c>
      <c r="F467" s="3">
        <v>0.10980148000000001</v>
      </c>
      <c r="G467">
        <v>-23.6</v>
      </c>
      <c r="H467">
        <v>4.1000000000000002E-2</v>
      </c>
      <c r="I467" t="e">
        <f>NA()</f>
        <v>#N/A</v>
      </c>
      <c r="J467" t="e">
        <f>NA()</f>
        <v>#N/A</v>
      </c>
      <c r="K467" t="e">
        <f>NA()</f>
        <v>#N/A</v>
      </c>
      <c r="L467" t="e">
        <f>NA()</f>
        <v>#N/A</v>
      </c>
      <c r="M467">
        <v>2.2000000000000002</v>
      </c>
      <c r="N467">
        <v>110</v>
      </c>
    </row>
    <row r="468" spans="1:14" x14ac:dyDescent="0.2">
      <c r="A468" t="s">
        <v>517</v>
      </c>
      <c r="B468" s="2">
        <v>0.92460525699999996</v>
      </c>
      <c r="C468">
        <v>6</v>
      </c>
      <c r="D468" s="2">
        <v>15.9877056</v>
      </c>
      <c r="E468" s="2">
        <v>0.77678209099999995</v>
      </c>
      <c r="F468" s="3">
        <v>8.777074E-2</v>
      </c>
      <c r="G468">
        <v>-24.1</v>
      </c>
      <c r="H468">
        <v>3.9E-2</v>
      </c>
      <c r="I468" t="e">
        <f>NA()</f>
        <v>#N/A</v>
      </c>
      <c r="J468" t="e">
        <f>NA()</f>
        <v>#N/A</v>
      </c>
      <c r="K468" t="e">
        <f>NA()</f>
        <v>#N/A</v>
      </c>
      <c r="L468" t="e">
        <f>NA()</f>
        <v>#N/A</v>
      </c>
      <c r="M468">
        <v>2.2999999999999998</v>
      </c>
      <c r="N468">
        <v>116</v>
      </c>
    </row>
    <row r="469" spans="1:14" x14ac:dyDescent="0.2">
      <c r="A469" t="s">
        <v>507</v>
      </c>
      <c r="B469" s="2">
        <v>1.3638714750000001</v>
      </c>
      <c r="C469">
        <v>10</v>
      </c>
      <c r="D469" s="2">
        <v>7.5784507530000003</v>
      </c>
      <c r="E469" s="2">
        <v>1.2605111470000001</v>
      </c>
      <c r="F469" s="3">
        <v>1.542725949</v>
      </c>
      <c r="G469">
        <v>-24.4</v>
      </c>
      <c r="H469">
        <v>0.17</v>
      </c>
      <c r="I469" t="e">
        <f>NA()</f>
        <v>#N/A</v>
      </c>
      <c r="J469" t="e">
        <f>NA()</f>
        <v>#N/A</v>
      </c>
      <c r="K469" t="e">
        <f>NA()</f>
        <v>#N/A</v>
      </c>
      <c r="L469" t="e">
        <f>NA()</f>
        <v>#N/A</v>
      </c>
      <c r="M469">
        <v>6.1</v>
      </c>
      <c r="N469">
        <v>20</v>
      </c>
    </row>
    <row r="470" spans="1:14" x14ac:dyDescent="0.2">
      <c r="A470" t="s">
        <v>508</v>
      </c>
      <c r="B470" s="2">
        <v>1.8011993989999999</v>
      </c>
      <c r="C470">
        <v>10</v>
      </c>
      <c r="D470" s="2">
        <v>9.6936835670000008</v>
      </c>
      <c r="E470" s="2">
        <v>1.6265968289999999</v>
      </c>
      <c r="F470" s="3">
        <v>0.33416682399999997</v>
      </c>
      <c r="G470">
        <v>-22.35</v>
      </c>
      <c r="H470">
        <v>6.3E-2</v>
      </c>
      <c r="I470" t="e">
        <f>NA()</f>
        <v>#N/A</v>
      </c>
      <c r="J470" t="e">
        <f>NA()</f>
        <v>#N/A</v>
      </c>
      <c r="K470" t="e">
        <f>NA()</f>
        <v>#N/A</v>
      </c>
      <c r="L470" t="e">
        <f>NA()</f>
        <v>#N/A</v>
      </c>
      <c r="M470">
        <v>5.35</v>
      </c>
      <c r="N470">
        <v>30</v>
      </c>
    </row>
    <row r="471" spans="1:14" x14ac:dyDescent="0.2">
      <c r="A471" t="s">
        <v>509</v>
      </c>
      <c r="B471" s="2">
        <v>1.6569706230000001</v>
      </c>
      <c r="C471">
        <v>10</v>
      </c>
      <c r="D471" s="2">
        <v>19.795160119999998</v>
      </c>
      <c r="E471" s="2">
        <v>1.3289706349999999</v>
      </c>
      <c r="F471" s="3">
        <v>0.16068814300000001</v>
      </c>
      <c r="G471">
        <v>-22.6</v>
      </c>
      <c r="H471">
        <v>4.7E-2</v>
      </c>
      <c r="I471" t="e">
        <f>NA()</f>
        <v>#N/A</v>
      </c>
      <c r="J471" t="e">
        <f>NA()</f>
        <v>#N/A</v>
      </c>
      <c r="K471" t="e">
        <f>NA()</f>
        <v>#N/A</v>
      </c>
      <c r="L471" t="e">
        <f>NA()</f>
        <v>#N/A</v>
      </c>
      <c r="M471">
        <v>3.9</v>
      </c>
      <c r="N471">
        <v>40</v>
      </c>
    </row>
    <row r="472" spans="1:14" x14ac:dyDescent="0.2">
      <c r="A472" t="s">
        <v>510</v>
      </c>
      <c r="B472" s="2">
        <v>1.690646629</v>
      </c>
      <c r="C472">
        <v>10</v>
      </c>
      <c r="D472" s="2">
        <v>11.665064470000001</v>
      </c>
      <c r="E472" s="2">
        <v>1.49343161</v>
      </c>
      <c r="F472" s="3">
        <v>0.162988037</v>
      </c>
      <c r="G472">
        <v>-23.2</v>
      </c>
      <c r="H472">
        <v>4.5999999999999999E-2</v>
      </c>
      <c r="I472" t="e">
        <f>NA()</f>
        <v>#N/A</v>
      </c>
      <c r="J472" t="e">
        <f>NA()</f>
        <v>#N/A</v>
      </c>
      <c r="K472" t="e">
        <f>NA()</f>
        <v>#N/A</v>
      </c>
      <c r="L472" t="e">
        <f>NA()</f>
        <v>#N/A</v>
      </c>
      <c r="M472">
        <v>4.3</v>
      </c>
      <c r="N472">
        <v>50</v>
      </c>
    </row>
    <row r="473" spans="1:14" x14ac:dyDescent="0.2">
      <c r="A473" t="s">
        <v>511</v>
      </c>
      <c r="B473" s="2">
        <v>1.81361102</v>
      </c>
      <c r="C473">
        <v>10</v>
      </c>
      <c r="D473" s="2">
        <v>16.552188770000001</v>
      </c>
      <c r="E473" s="2">
        <v>1.5134186999999999</v>
      </c>
      <c r="F473" s="3">
        <v>0.155027835</v>
      </c>
      <c r="G473">
        <v>-23.5</v>
      </c>
      <c r="H473">
        <v>4.4999999999999998E-2</v>
      </c>
      <c r="I473" t="e">
        <f>NA()</f>
        <v>#N/A</v>
      </c>
      <c r="J473" t="e">
        <f>NA()</f>
        <v>#N/A</v>
      </c>
      <c r="K473" t="e">
        <f>NA()</f>
        <v>#N/A</v>
      </c>
      <c r="L473" t="e">
        <f>NA()</f>
        <v>#N/A</v>
      </c>
      <c r="M473">
        <v>3.9</v>
      </c>
      <c r="N473">
        <v>60</v>
      </c>
    </row>
    <row r="474" spans="1:14" x14ac:dyDescent="0.2">
      <c r="A474" t="s">
        <v>512</v>
      </c>
      <c r="B474" s="2">
        <v>1.5530289269999999</v>
      </c>
      <c r="C474">
        <v>10</v>
      </c>
      <c r="D474" s="2">
        <v>13.304507729999999</v>
      </c>
      <c r="E474" s="2">
        <v>1.346406073</v>
      </c>
      <c r="F474" s="3">
        <v>0.14374447400000001</v>
      </c>
      <c r="G474">
        <v>-24.5</v>
      </c>
      <c r="H474">
        <v>4.2999999999999997E-2</v>
      </c>
      <c r="I474" t="e">
        <f>NA()</f>
        <v>#N/A</v>
      </c>
      <c r="J474" t="e">
        <f>NA()</f>
        <v>#N/A</v>
      </c>
      <c r="K474" t="e">
        <f>NA()</f>
        <v>#N/A</v>
      </c>
      <c r="L474" t="e">
        <f>NA()</f>
        <v>#N/A</v>
      </c>
      <c r="M474">
        <v>3.5</v>
      </c>
      <c r="N474">
        <v>70</v>
      </c>
    </row>
    <row r="475" spans="1:14" x14ac:dyDescent="0.2">
      <c r="A475" t="s">
        <v>513</v>
      </c>
      <c r="B475" s="2">
        <v>1.6866676279999999</v>
      </c>
      <c r="C475">
        <v>10</v>
      </c>
      <c r="D475" s="2">
        <v>14.051545369999999</v>
      </c>
      <c r="E475" s="2">
        <v>1.449664761</v>
      </c>
      <c r="F475" s="3">
        <v>0.13750035799999999</v>
      </c>
      <c r="G475">
        <v>-24</v>
      </c>
      <c r="H475">
        <v>4.2000000000000003E-2</v>
      </c>
      <c r="I475" t="e">
        <f>NA()</f>
        <v>#N/A</v>
      </c>
      <c r="J475" t="e">
        <f>NA()</f>
        <v>#N/A</v>
      </c>
      <c r="K475" t="e">
        <f>NA()</f>
        <v>#N/A</v>
      </c>
      <c r="L475" t="e">
        <f>NA()</f>
        <v>#N/A</v>
      </c>
      <c r="M475">
        <v>3.9</v>
      </c>
      <c r="N475">
        <v>80</v>
      </c>
    </row>
    <row r="476" spans="1:14" x14ac:dyDescent="0.2">
      <c r="A476" t="s">
        <v>514</v>
      </c>
      <c r="B476" s="2">
        <v>1.857237327</v>
      </c>
      <c r="C476">
        <v>10</v>
      </c>
      <c r="D476" s="2">
        <v>10.45868226</v>
      </c>
      <c r="E476" s="2">
        <v>1.6629947759999999</v>
      </c>
      <c r="F476" s="3">
        <v>0.13069948100000001</v>
      </c>
      <c r="G476">
        <v>-24.3</v>
      </c>
      <c r="H476">
        <v>4.1000000000000002E-2</v>
      </c>
      <c r="I476" t="e">
        <f>NA()</f>
        <v>#N/A</v>
      </c>
      <c r="J476" t="e">
        <f>NA()</f>
        <v>#N/A</v>
      </c>
      <c r="K476" t="e">
        <f>NA()</f>
        <v>#N/A</v>
      </c>
      <c r="L476" t="e">
        <f>NA()</f>
        <v>#N/A</v>
      </c>
      <c r="M476">
        <v>3.6</v>
      </c>
      <c r="N476">
        <v>90</v>
      </c>
    </row>
    <row r="477" spans="1:14" x14ac:dyDescent="0.2">
      <c r="A477" t="s">
        <v>518</v>
      </c>
      <c r="B477" s="2">
        <v>1.4229942010000001</v>
      </c>
      <c r="C477">
        <v>10</v>
      </c>
      <c r="D477" s="2">
        <v>8.6049565349999995</v>
      </c>
      <c r="E477" s="2">
        <v>1.300546169</v>
      </c>
      <c r="F477" s="3">
        <v>1.6526448069999999</v>
      </c>
      <c r="G477">
        <v>-23.3</v>
      </c>
      <c r="H477">
        <v>0.19</v>
      </c>
      <c r="I477" t="e">
        <f>NA()</f>
        <v>#N/A</v>
      </c>
      <c r="J477" t="e">
        <f>NA()</f>
        <v>#N/A</v>
      </c>
      <c r="K477" t="e">
        <f>NA()</f>
        <v>#N/A</v>
      </c>
      <c r="L477" t="e">
        <f>NA()</f>
        <v>#N/A</v>
      </c>
      <c r="M477">
        <v>6.2</v>
      </c>
      <c r="N477">
        <v>10</v>
      </c>
    </row>
    <row r="478" spans="1:14" x14ac:dyDescent="0.2">
      <c r="A478" t="s">
        <v>527</v>
      </c>
      <c r="B478" s="2">
        <v>1.643000182</v>
      </c>
      <c r="C478">
        <v>10</v>
      </c>
      <c r="D478" s="2">
        <v>13.7801688</v>
      </c>
      <c r="E478" s="2">
        <v>1.4165919840000001</v>
      </c>
      <c r="F478" s="3">
        <v>0.121362469</v>
      </c>
      <c r="G478">
        <v>-22.3</v>
      </c>
      <c r="H478">
        <v>2.5000000000000001E-2</v>
      </c>
      <c r="I478" t="e">
        <f>NA()</f>
        <v>#N/A</v>
      </c>
      <c r="J478" t="e">
        <f>NA()</f>
        <v>#N/A</v>
      </c>
      <c r="K478" t="e">
        <f>NA()</f>
        <v>#N/A</v>
      </c>
      <c r="L478" t="e">
        <f>NA()</f>
        <v>#N/A</v>
      </c>
      <c r="M478">
        <v>2.2000000000000002</v>
      </c>
      <c r="N478">
        <v>100</v>
      </c>
    </row>
    <row r="479" spans="1:14" x14ac:dyDescent="0.2">
      <c r="A479" t="s">
        <v>528</v>
      </c>
      <c r="B479" s="2">
        <v>1.2844198339999999</v>
      </c>
      <c r="C479">
        <v>10</v>
      </c>
      <c r="D479" s="2">
        <v>24.423355740000002</v>
      </c>
      <c r="E479" s="2">
        <v>0.97072140799999995</v>
      </c>
      <c r="F479" s="3">
        <v>0.82691629499999997</v>
      </c>
      <c r="G479">
        <v>-4</v>
      </c>
      <c r="H479">
        <v>2.1000000000000001E-2</v>
      </c>
      <c r="I479" t="e">
        <f>NA()</f>
        <v>#N/A</v>
      </c>
      <c r="J479" t="e">
        <f>NA()</f>
        <v>#N/A</v>
      </c>
      <c r="K479" t="e">
        <f>NA()</f>
        <v>#N/A</v>
      </c>
      <c r="L479" t="e">
        <f>NA()</f>
        <v>#N/A</v>
      </c>
      <c r="M479">
        <v>2.1</v>
      </c>
      <c r="N479">
        <v>110</v>
      </c>
    </row>
    <row r="480" spans="1:14" x14ac:dyDescent="0.2">
      <c r="A480" t="s">
        <v>519</v>
      </c>
      <c r="B480" s="2">
        <v>1.4186244210000001</v>
      </c>
      <c r="C480">
        <v>10</v>
      </c>
      <c r="D480" s="2">
        <v>7.7965374399999998</v>
      </c>
      <c r="E480" s="2">
        <v>1.3080208369999999</v>
      </c>
      <c r="F480" s="3">
        <v>1.6464944880000001</v>
      </c>
      <c r="G480">
        <v>-22.9</v>
      </c>
      <c r="H480">
        <v>0.19</v>
      </c>
      <c r="I480" t="e">
        <f>NA()</f>
        <v>#N/A</v>
      </c>
      <c r="J480" t="e">
        <f>NA()</f>
        <v>#N/A</v>
      </c>
      <c r="K480" t="e">
        <f>NA()</f>
        <v>#N/A</v>
      </c>
      <c r="L480" t="e">
        <f>NA()</f>
        <v>#N/A</v>
      </c>
      <c r="M480">
        <v>6.5</v>
      </c>
      <c r="N480">
        <v>20</v>
      </c>
    </row>
    <row r="481" spans="1:14" x14ac:dyDescent="0.2">
      <c r="A481" t="s">
        <v>520</v>
      </c>
      <c r="B481" s="2">
        <v>1.4226487830000001</v>
      </c>
      <c r="C481">
        <v>10</v>
      </c>
      <c r="D481" s="2">
        <v>13.68551587</v>
      </c>
      <c r="E481" s="2">
        <v>1.227951958</v>
      </c>
      <c r="F481" s="3">
        <v>1.2504728409999999</v>
      </c>
      <c r="G481">
        <v>-22.8</v>
      </c>
      <c r="H481">
        <v>0.14000000000000001</v>
      </c>
      <c r="I481" t="e">
        <f>NA()</f>
        <v>#N/A</v>
      </c>
      <c r="J481" t="e">
        <f>NA()</f>
        <v>#N/A</v>
      </c>
      <c r="K481" t="e">
        <f>NA()</f>
        <v>#N/A</v>
      </c>
      <c r="L481" t="e">
        <f>NA()</f>
        <v>#N/A</v>
      </c>
      <c r="M481">
        <v>6.4</v>
      </c>
      <c r="N481">
        <v>30</v>
      </c>
    </row>
    <row r="482" spans="1:14" x14ac:dyDescent="0.2">
      <c r="A482" t="s">
        <v>521</v>
      </c>
      <c r="B482" s="2">
        <v>1.6891040859999999</v>
      </c>
      <c r="C482">
        <v>10</v>
      </c>
      <c r="D482" s="2">
        <v>12.015286789999999</v>
      </c>
      <c r="E482" s="2">
        <v>1.486153386</v>
      </c>
      <c r="F482" s="3">
        <v>0.37946281500000001</v>
      </c>
      <c r="G482">
        <v>-22.1</v>
      </c>
      <c r="H482">
        <v>0.05</v>
      </c>
      <c r="I482" t="e">
        <f>NA()</f>
        <v>#N/A</v>
      </c>
      <c r="J482" t="e">
        <f>NA()</f>
        <v>#N/A</v>
      </c>
      <c r="K482" t="e">
        <f>NA()</f>
        <v>#N/A</v>
      </c>
      <c r="L482" t="e">
        <f>NA()</f>
        <v>#N/A</v>
      </c>
      <c r="M482">
        <v>6.8</v>
      </c>
      <c r="N482">
        <v>40</v>
      </c>
    </row>
    <row r="483" spans="1:14" x14ac:dyDescent="0.2">
      <c r="A483" t="s">
        <v>522</v>
      </c>
      <c r="B483" s="2">
        <v>1.6348487860000001</v>
      </c>
      <c r="C483">
        <v>10</v>
      </c>
      <c r="D483" s="2">
        <v>7.8710398320000001</v>
      </c>
      <c r="E483" s="2">
        <v>1.506169187</v>
      </c>
      <c r="F483" s="3">
        <v>0.27732513399999997</v>
      </c>
      <c r="G483">
        <v>-22.1</v>
      </c>
      <c r="H483">
        <v>4.3999999999999997E-2</v>
      </c>
      <c r="I483" t="e">
        <f>NA()</f>
        <v>#N/A</v>
      </c>
      <c r="J483" t="e">
        <f>NA()</f>
        <v>#N/A</v>
      </c>
      <c r="K483" t="e">
        <f>NA()</f>
        <v>#N/A</v>
      </c>
      <c r="L483" t="e">
        <f>NA()</f>
        <v>#N/A</v>
      </c>
      <c r="M483">
        <v>6</v>
      </c>
      <c r="N483">
        <v>50</v>
      </c>
    </row>
    <row r="484" spans="1:14" x14ac:dyDescent="0.2">
      <c r="A484" t="s">
        <v>523</v>
      </c>
      <c r="B484" s="2">
        <v>1.8025956460000001</v>
      </c>
      <c r="C484">
        <v>10</v>
      </c>
      <c r="D484" s="2">
        <v>9.1163633369999992</v>
      </c>
      <c r="E484" s="2">
        <v>1.6382644770000001</v>
      </c>
      <c r="F484" s="3">
        <v>0.18444204</v>
      </c>
      <c r="G484">
        <v>-21.4</v>
      </c>
      <c r="H484">
        <v>3.1E-2</v>
      </c>
      <c r="I484" t="e">
        <f>NA()</f>
        <v>#N/A</v>
      </c>
      <c r="J484" t="e">
        <f>NA()</f>
        <v>#N/A</v>
      </c>
      <c r="K484" t="e">
        <f>NA()</f>
        <v>#N/A</v>
      </c>
      <c r="L484" t="e">
        <f>NA()</f>
        <v>#N/A</v>
      </c>
      <c r="M484">
        <v>5.3</v>
      </c>
      <c r="N484">
        <v>60</v>
      </c>
    </row>
    <row r="485" spans="1:14" x14ac:dyDescent="0.2">
      <c r="A485" t="s">
        <v>524</v>
      </c>
      <c r="B485" s="2">
        <v>1.6942976869999999</v>
      </c>
      <c r="C485">
        <v>10</v>
      </c>
      <c r="D485" s="2">
        <v>7.5335584290000002</v>
      </c>
      <c r="E485" s="2">
        <v>1.5666567810000001</v>
      </c>
      <c r="F485" s="3">
        <v>0.16739897300000001</v>
      </c>
      <c r="G485">
        <v>-22.2</v>
      </c>
      <c r="H485">
        <v>2.7E-2</v>
      </c>
      <c r="I485" t="e">
        <f>NA()</f>
        <v>#N/A</v>
      </c>
      <c r="J485" t="e">
        <f>NA()</f>
        <v>#N/A</v>
      </c>
      <c r="K485" t="e">
        <f>NA()</f>
        <v>#N/A</v>
      </c>
      <c r="L485" t="e">
        <f>NA()</f>
        <v>#N/A</v>
      </c>
      <c r="M485">
        <v>4.7</v>
      </c>
      <c r="N485">
        <v>70</v>
      </c>
    </row>
    <row r="486" spans="1:14" x14ac:dyDescent="0.2">
      <c r="A486" t="s">
        <v>525</v>
      </c>
      <c r="B486" s="2">
        <v>1.5205400680000001</v>
      </c>
      <c r="C486">
        <v>10</v>
      </c>
      <c r="D486" s="2">
        <v>4.0576262229999998</v>
      </c>
      <c r="E486" s="2">
        <v>1.458842236</v>
      </c>
      <c r="F486" s="3">
        <v>0.43738332899999999</v>
      </c>
      <c r="G486">
        <v>-16</v>
      </c>
      <c r="H486">
        <v>0.04</v>
      </c>
      <c r="I486" t="e">
        <f>NA()</f>
        <v>#N/A</v>
      </c>
      <c r="J486" t="e">
        <f>NA()</f>
        <v>#N/A</v>
      </c>
      <c r="K486" t="e">
        <f>NA()</f>
        <v>#N/A</v>
      </c>
      <c r="L486" t="e">
        <f>NA()</f>
        <v>#N/A</v>
      </c>
      <c r="M486">
        <v>5.9</v>
      </c>
      <c r="N486">
        <v>80</v>
      </c>
    </row>
    <row r="487" spans="1:14" x14ac:dyDescent="0.2">
      <c r="A487" t="s">
        <v>526</v>
      </c>
      <c r="B487" s="2">
        <v>1.6353472280000001</v>
      </c>
      <c r="C487">
        <v>10</v>
      </c>
      <c r="D487" s="2">
        <v>13.398866160000001</v>
      </c>
      <c r="E487" s="2">
        <v>1.416229242</v>
      </c>
      <c r="F487" s="3">
        <v>0.18107188399999999</v>
      </c>
      <c r="G487">
        <v>-19.8</v>
      </c>
      <c r="H487">
        <v>2.9000000000000001E-2</v>
      </c>
      <c r="I487" t="e">
        <f>NA()</f>
        <v>#N/A</v>
      </c>
      <c r="J487" t="e">
        <f>NA()</f>
        <v>#N/A</v>
      </c>
      <c r="K487" t="e">
        <f>NA()</f>
        <v>#N/A</v>
      </c>
      <c r="L487" t="e">
        <f>NA()</f>
        <v>#N/A</v>
      </c>
      <c r="M487">
        <v>2.9</v>
      </c>
      <c r="N487">
        <v>90</v>
      </c>
    </row>
    <row r="488" spans="1:14" x14ac:dyDescent="0.2">
      <c r="A488" t="s">
        <v>529</v>
      </c>
      <c r="B488" s="2">
        <v>1.3289242240000001</v>
      </c>
      <c r="C488">
        <v>10</v>
      </c>
      <c r="D488" s="2">
        <v>12.073835320000001</v>
      </c>
      <c r="E488" s="2">
        <v>1.168472102</v>
      </c>
      <c r="F488" s="3">
        <v>2.0074995360000001</v>
      </c>
      <c r="G488">
        <v>-24.05</v>
      </c>
      <c r="H488">
        <v>0.23</v>
      </c>
      <c r="I488" t="e">
        <f>NA()</f>
        <v>#N/A</v>
      </c>
      <c r="J488" t="e">
        <f>NA()</f>
        <v>#N/A</v>
      </c>
      <c r="K488" t="e">
        <f>NA()</f>
        <v>#N/A</v>
      </c>
      <c r="L488" t="e">
        <f>NA()</f>
        <v>#N/A</v>
      </c>
      <c r="M488">
        <v>7.35</v>
      </c>
      <c r="N488">
        <v>10</v>
      </c>
    </row>
    <row r="489" spans="1:14" x14ac:dyDescent="0.2">
      <c r="A489" t="s">
        <v>538</v>
      </c>
      <c r="B489" s="2">
        <v>1.6940561730000001</v>
      </c>
      <c r="C489">
        <v>10</v>
      </c>
      <c r="D489" s="2">
        <v>9.8681695010000006</v>
      </c>
      <c r="E489" s="2">
        <v>1.526883838</v>
      </c>
      <c r="F489" s="3">
        <v>0.34874913299999999</v>
      </c>
      <c r="G489">
        <v>-24.7</v>
      </c>
      <c r="H489">
        <v>4.8000000000000001E-2</v>
      </c>
      <c r="I489" t="e">
        <f>NA()</f>
        <v>#N/A</v>
      </c>
      <c r="J489" t="e">
        <f>NA()</f>
        <v>#N/A</v>
      </c>
      <c r="K489" t="e">
        <f>NA()</f>
        <v>#N/A</v>
      </c>
      <c r="L489" t="e">
        <f>NA()</f>
        <v>#N/A</v>
      </c>
      <c r="M489">
        <v>7.1</v>
      </c>
      <c r="N489">
        <v>100</v>
      </c>
    </row>
    <row r="490" spans="1:14" x14ac:dyDescent="0.2">
      <c r="A490" t="s">
        <v>539</v>
      </c>
      <c r="B490" s="2">
        <v>1.576514051</v>
      </c>
      <c r="C490">
        <v>10</v>
      </c>
      <c r="D490" s="2">
        <v>12.722437449999999</v>
      </c>
      <c r="E490" s="2">
        <v>1.3759430370000001</v>
      </c>
      <c r="F490" s="3">
        <v>0.43481730800000001</v>
      </c>
      <c r="G490">
        <v>-25.2</v>
      </c>
      <c r="H490">
        <v>4.7E-2</v>
      </c>
      <c r="I490" t="e">
        <f>NA()</f>
        <v>#N/A</v>
      </c>
      <c r="J490" t="e">
        <f>NA()</f>
        <v>#N/A</v>
      </c>
      <c r="K490" t="e">
        <f>NA()</f>
        <v>#N/A</v>
      </c>
      <c r="L490" t="e">
        <f>NA()</f>
        <v>#N/A</v>
      </c>
      <c r="M490">
        <v>7.1</v>
      </c>
      <c r="N490">
        <v>110</v>
      </c>
    </row>
    <row r="491" spans="1:14" x14ac:dyDescent="0.2">
      <c r="A491" t="s">
        <v>530</v>
      </c>
      <c r="B491" s="2">
        <v>1.3342270839999999</v>
      </c>
      <c r="C491">
        <v>10</v>
      </c>
      <c r="D491" s="2">
        <v>6.2455276160000004</v>
      </c>
      <c r="E491" s="2">
        <v>1.2508975630000001</v>
      </c>
      <c r="F491" s="3">
        <v>1.496823749</v>
      </c>
      <c r="G491">
        <v>-23.7</v>
      </c>
      <c r="H491">
        <v>0.18</v>
      </c>
      <c r="I491" t="e">
        <f>NA()</f>
        <v>#N/A</v>
      </c>
      <c r="J491" t="e">
        <f>NA()</f>
        <v>#N/A</v>
      </c>
      <c r="K491" t="e">
        <f>NA()</f>
        <v>#N/A</v>
      </c>
      <c r="L491" t="e">
        <f>NA()</f>
        <v>#N/A</v>
      </c>
      <c r="M491">
        <v>8</v>
      </c>
      <c r="N491">
        <v>20</v>
      </c>
    </row>
    <row r="492" spans="1:14" x14ac:dyDescent="0.2">
      <c r="A492" t="s">
        <v>531</v>
      </c>
      <c r="B492" s="2">
        <v>1.3770089480000001</v>
      </c>
      <c r="C492">
        <v>10</v>
      </c>
      <c r="D492" s="2">
        <v>5.2166813840000001</v>
      </c>
      <c r="E492" s="2">
        <v>1.3051747789999999</v>
      </c>
      <c r="F492" s="3">
        <v>0.84489730200000002</v>
      </c>
      <c r="G492">
        <v>-24</v>
      </c>
      <c r="H492">
        <v>0.11</v>
      </c>
      <c r="I492" t="e">
        <f>NA()</f>
        <v>#N/A</v>
      </c>
      <c r="J492" t="e">
        <f>NA()</f>
        <v>#N/A</v>
      </c>
      <c r="K492" t="e">
        <f>NA()</f>
        <v>#N/A</v>
      </c>
      <c r="L492" t="e">
        <f>NA()</f>
        <v>#N/A</v>
      </c>
      <c r="M492">
        <v>7.5</v>
      </c>
      <c r="N492">
        <v>30</v>
      </c>
    </row>
    <row r="493" spans="1:14" x14ac:dyDescent="0.2">
      <c r="A493" t="s">
        <v>532</v>
      </c>
      <c r="B493" s="2">
        <v>1.5666275160000001</v>
      </c>
      <c r="C493">
        <v>10</v>
      </c>
      <c r="D493" s="2">
        <v>4.8284058830000003</v>
      </c>
      <c r="E493" s="2">
        <v>1.4909843810000001</v>
      </c>
      <c r="F493" s="3">
        <v>0.61899722800000001</v>
      </c>
      <c r="G493">
        <v>-24.4</v>
      </c>
      <c r="H493">
        <v>0.08</v>
      </c>
      <c r="I493" t="e">
        <f>NA()</f>
        <v>#N/A</v>
      </c>
      <c r="J493" t="e">
        <f>NA()</f>
        <v>#N/A</v>
      </c>
      <c r="K493" t="e">
        <f>NA()</f>
        <v>#N/A</v>
      </c>
      <c r="L493" t="e">
        <f>NA()</f>
        <v>#N/A</v>
      </c>
      <c r="M493">
        <v>6.9</v>
      </c>
      <c r="N493">
        <v>40</v>
      </c>
    </row>
    <row r="494" spans="1:14" x14ac:dyDescent="0.2">
      <c r="A494" t="s">
        <v>533</v>
      </c>
      <c r="B494" s="2">
        <v>1.3113772269999999</v>
      </c>
      <c r="C494">
        <v>10</v>
      </c>
      <c r="D494" s="2">
        <v>10.817243680000001</v>
      </c>
      <c r="E494" s="2">
        <v>1.169522357</v>
      </c>
      <c r="F494" s="3">
        <v>0.66983725100000002</v>
      </c>
      <c r="G494">
        <v>-24.5</v>
      </c>
      <c r="H494">
        <v>8.2000000000000003E-2</v>
      </c>
      <c r="I494" t="e">
        <f>NA()</f>
        <v>#N/A</v>
      </c>
      <c r="J494" t="e">
        <f>NA()</f>
        <v>#N/A</v>
      </c>
      <c r="K494" t="e">
        <f>NA()</f>
        <v>#N/A</v>
      </c>
      <c r="L494" t="e">
        <f>NA()</f>
        <v>#N/A</v>
      </c>
      <c r="M494">
        <v>6.8</v>
      </c>
      <c r="N494">
        <v>50</v>
      </c>
    </row>
    <row r="495" spans="1:14" x14ac:dyDescent="0.2">
      <c r="A495" t="s">
        <v>534</v>
      </c>
      <c r="B495" s="2">
        <v>1.2683955</v>
      </c>
      <c r="C495">
        <v>10</v>
      </c>
      <c r="D495" s="2">
        <v>7.0860174310000001</v>
      </c>
      <c r="E495" s="2">
        <v>1.178516774</v>
      </c>
      <c r="F495" s="3">
        <v>0.65831936199999996</v>
      </c>
      <c r="G495">
        <v>-24.6</v>
      </c>
      <c r="H495">
        <v>7.9000000000000001E-2</v>
      </c>
      <c r="I495" t="e">
        <f>NA()</f>
        <v>#N/A</v>
      </c>
      <c r="J495" t="e">
        <f>NA()</f>
        <v>#N/A</v>
      </c>
      <c r="K495" t="e">
        <f>NA()</f>
        <v>#N/A</v>
      </c>
      <c r="L495" t="e">
        <f>NA()</f>
        <v>#N/A</v>
      </c>
      <c r="M495">
        <v>6.5</v>
      </c>
      <c r="N495">
        <v>60</v>
      </c>
    </row>
    <row r="496" spans="1:14" x14ac:dyDescent="0.2">
      <c r="A496" t="s">
        <v>535</v>
      </c>
      <c r="B496" s="2">
        <v>1.354047819</v>
      </c>
      <c r="C496">
        <v>10</v>
      </c>
      <c r="D496" s="2">
        <v>10.10268627</v>
      </c>
      <c r="E496" s="2">
        <v>1.2172526159999999</v>
      </c>
      <c r="F496" s="3">
        <v>0.81829452999999996</v>
      </c>
      <c r="G496">
        <v>-25</v>
      </c>
      <c r="H496">
        <v>9.0999999999999998E-2</v>
      </c>
      <c r="I496" t="e">
        <f>NA()</f>
        <v>#N/A</v>
      </c>
      <c r="J496" t="e">
        <f>NA()</f>
        <v>#N/A</v>
      </c>
      <c r="K496" t="e">
        <f>NA()</f>
        <v>#N/A</v>
      </c>
      <c r="L496" t="e">
        <f>NA()</f>
        <v>#N/A</v>
      </c>
      <c r="M496">
        <v>6.3</v>
      </c>
      <c r="N496">
        <v>70</v>
      </c>
    </row>
    <row r="497" spans="1:14" x14ac:dyDescent="0.2">
      <c r="A497" t="s">
        <v>536</v>
      </c>
      <c r="B497" s="2">
        <v>1.6706673030000001</v>
      </c>
      <c r="C497">
        <v>10</v>
      </c>
      <c r="D497" s="2">
        <v>11.05924954</v>
      </c>
      <c r="E497" s="2">
        <v>1.4859040370000001</v>
      </c>
      <c r="F497" s="3">
        <v>0.28186402700000002</v>
      </c>
      <c r="G497">
        <v>-23.65</v>
      </c>
      <c r="H497">
        <v>4.4499999999999998E-2</v>
      </c>
      <c r="I497" t="e">
        <f>NA()</f>
        <v>#N/A</v>
      </c>
      <c r="J497" t="e">
        <f>NA()</f>
        <v>#N/A</v>
      </c>
      <c r="K497" t="e">
        <f>NA()</f>
        <v>#N/A</v>
      </c>
      <c r="L497" t="e">
        <f>NA()</f>
        <v>#N/A</v>
      </c>
      <c r="M497">
        <v>7.4</v>
      </c>
      <c r="N497">
        <v>80</v>
      </c>
    </row>
    <row r="498" spans="1:14" x14ac:dyDescent="0.2">
      <c r="A498" t="s">
        <v>537</v>
      </c>
      <c r="B498" s="2">
        <v>1.6711164350000001</v>
      </c>
      <c r="C498">
        <v>10</v>
      </c>
      <c r="D498" s="2">
        <v>11.5011425</v>
      </c>
      <c r="E498" s="2">
        <v>1.4789189519999999</v>
      </c>
      <c r="F498" s="3">
        <v>0.29262978000000001</v>
      </c>
      <c r="G498">
        <v>-24.2</v>
      </c>
      <c r="H498">
        <v>4.2999999999999997E-2</v>
      </c>
      <c r="I498" t="e">
        <f>NA()</f>
        <v>#N/A</v>
      </c>
      <c r="J498" t="e">
        <f>NA()</f>
        <v>#N/A</v>
      </c>
      <c r="K498" t="e">
        <f>NA()</f>
        <v>#N/A</v>
      </c>
      <c r="L498" t="e">
        <f>NA()</f>
        <v>#N/A</v>
      </c>
      <c r="M498">
        <v>7.6</v>
      </c>
      <c r="N498">
        <v>90</v>
      </c>
    </row>
    <row r="499" spans="1:14" x14ac:dyDescent="0.2">
      <c r="A499" t="s">
        <v>540</v>
      </c>
      <c r="B499" s="2">
        <v>1.1012121130000001</v>
      </c>
      <c r="C499">
        <v>10</v>
      </c>
      <c r="D499" s="2">
        <v>3.730331879</v>
      </c>
      <c r="E499" s="2">
        <v>1.060133247</v>
      </c>
      <c r="F499" s="3">
        <v>2.777885392</v>
      </c>
      <c r="G499">
        <v>-24.4</v>
      </c>
      <c r="H499">
        <v>0.3</v>
      </c>
      <c r="I499" t="e">
        <f>NA()</f>
        <v>#N/A</v>
      </c>
      <c r="J499" t="e">
        <f>NA()</f>
        <v>#N/A</v>
      </c>
      <c r="K499" t="e">
        <f>NA()</f>
        <v>#N/A</v>
      </c>
      <c r="L499" t="e">
        <f>NA()</f>
        <v>#N/A</v>
      </c>
      <c r="M499">
        <v>8.3000000000000007</v>
      </c>
      <c r="N499">
        <v>10</v>
      </c>
    </row>
    <row r="500" spans="1:14" x14ac:dyDescent="0.2">
      <c r="A500" t="s">
        <v>549</v>
      </c>
      <c r="B500" s="2">
        <v>1.433757647</v>
      </c>
      <c r="C500">
        <v>10</v>
      </c>
      <c r="D500" s="2">
        <v>9.6450045299999996</v>
      </c>
      <c r="E500" s="2">
        <v>1.295471657</v>
      </c>
      <c r="F500" s="3">
        <v>0.206554564</v>
      </c>
      <c r="G500">
        <v>-25.6</v>
      </c>
      <c r="H500">
        <v>3.4000000000000002E-2</v>
      </c>
      <c r="I500" t="e">
        <f>NA()</f>
        <v>#N/A</v>
      </c>
      <c r="J500" t="e">
        <f>NA()</f>
        <v>#N/A</v>
      </c>
      <c r="K500" t="e">
        <f>NA()</f>
        <v>#N/A</v>
      </c>
      <c r="L500" t="e">
        <f>NA()</f>
        <v>#N/A</v>
      </c>
      <c r="M500">
        <v>5.6</v>
      </c>
      <c r="N500">
        <v>100</v>
      </c>
    </row>
    <row r="501" spans="1:14" x14ac:dyDescent="0.2">
      <c r="A501" t="s">
        <v>550</v>
      </c>
      <c r="B501" s="2">
        <v>1.1929413179999999</v>
      </c>
      <c r="C501">
        <v>10</v>
      </c>
      <c r="D501" s="2">
        <v>10.283459629999999</v>
      </c>
      <c r="E501" s="2">
        <v>1.070265679</v>
      </c>
      <c r="F501" s="3">
        <v>0.115193501</v>
      </c>
      <c r="G501">
        <v>-23.8</v>
      </c>
      <c r="H501">
        <v>2.5999999999999999E-2</v>
      </c>
      <c r="I501" t="e">
        <f>NA()</f>
        <v>#N/A</v>
      </c>
      <c r="J501" t="e">
        <f>NA()</f>
        <v>#N/A</v>
      </c>
      <c r="K501" t="e">
        <f>NA()</f>
        <v>#N/A</v>
      </c>
      <c r="L501" t="e">
        <f>NA()</f>
        <v>#N/A</v>
      </c>
      <c r="M501">
        <v>5.0999999999999996</v>
      </c>
      <c r="N501">
        <v>110</v>
      </c>
    </row>
    <row r="502" spans="1:14" x14ac:dyDescent="0.2">
      <c r="A502" t="s">
        <v>541</v>
      </c>
      <c r="B502" s="2">
        <v>1.1999920559999999</v>
      </c>
      <c r="C502">
        <v>10</v>
      </c>
      <c r="D502" s="2">
        <v>1.3388719710000001</v>
      </c>
      <c r="E502" s="2">
        <v>1.183925699</v>
      </c>
      <c r="F502" s="3">
        <v>1.914654691</v>
      </c>
      <c r="G502">
        <v>-23.2</v>
      </c>
      <c r="H502">
        <v>0.23</v>
      </c>
      <c r="I502" t="e">
        <f>NA()</f>
        <v>#N/A</v>
      </c>
      <c r="J502" t="e">
        <f>NA()</f>
        <v>#N/A</v>
      </c>
      <c r="K502" t="e">
        <f>NA()</f>
        <v>#N/A</v>
      </c>
      <c r="L502" t="e">
        <f>NA()</f>
        <v>#N/A</v>
      </c>
      <c r="M502">
        <v>8.8000000000000007</v>
      </c>
      <c r="N502">
        <v>20</v>
      </c>
    </row>
    <row r="503" spans="1:14" x14ac:dyDescent="0.2">
      <c r="A503" t="s">
        <v>542</v>
      </c>
      <c r="B503" s="2">
        <v>1.2260336780000001</v>
      </c>
      <c r="C503">
        <v>10</v>
      </c>
      <c r="D503" s="2">
        <v>3.1526329679999998</v>
      </c>
      <c r="E503" s="2">
        <v>1.1873813360000001</v>
      </c>
      <c r="F503" s="3">
        <v>1.0246613120000001</v>
      </c>
      <c r="G503">
        <v>-24</v>
      </c>
      <c r="H503">
        <v>0.13</v>
      </c>
      <c r="I503" t="e">
        <f>NA()</f>
        <v>#N/A</v>
      </c>
      <c r="J503" t="e">
        <f>NA()</f>
        <v>#N/A</v>
      </c>
      <c r="K503" t="e">
        <f>NA()</f>
        <v>#N/A</v>
      </c>
      <c r="L503" t="e">
        <f>NA()</f>
        <v>#N/A</v>
      </c>
      <c r="M503">
        <v>8</v>
      </c>
      <c r="N503">
        <v>30</v>
      </c>
    </row>
    <row r="504" spans="1:14" x14ac:dyDescent="0.2">
      <c r="A504" t="s">
        <v>543</v>
      </c>
      <c r="B504" s="2">
        <v>1.3264368660000001</v>
      </c>
      <c r="C504">
        <v>10</v>
      </c>
      <c r="D504" s="2">
        <v>4.7940558339999999</v>
      </c>
      <c r="E504" s="2">
        <v>1.262846742</v>
      </c>
      <c r="F504" s="3">
        <v>0.97244483500000001</v>
      </c>
      <c r="G504">
        <v>-24.75</v>
      </c>
      <c r="H504">
        <v>0.12</v>
      </c>
      <c r="I504" t="e">
        <f>NA()</f>
        <v>#N/A</v>
      </c>
      <c r="J504" t="e">
        <f>NA()</f>
        <v>#N/A</v>
      </c>
      <c r="K504" t="e">
        <f>NA()</f>
        <v>#N/A</v>
      </c>
      <c r="L504" t="e">
        <f>NA()</f>
        <v>#N/A</v>
      </c>
      <c r="M504">
        <v>7.1</v>
      </c>
      <c r="N504">
        <v>40</v>
      </c>
    </row>
    <row r="505" spans="1:14" x14ac:dyDescent="0.2">
      <c r="A505" t="s">
        <v>544</v>
      </c>
      <c r="B505" s="2">
        <v>1.303606576</v>
      </c>
      <c r="C505">
        <v>10</v>
      </c>
      <c r="D505" s="2">
        <v>0.61058569799999995</v>
      </c>
      <c r="E505" s="2">
        <v>1.2956469399999999</v>
      </c>
      <c r="F505" s="3">
        <v>0.87424045699999997</v>
      </c>
      <c r="G505">
        <v>-24.8</v>
      </c>
      <c r="H505">
        <v>0.11</v>
      </c>
      <c r="I505" t="e">
        <f>NA()</f>
        <v>#N/A</v>
      </c>
      <c r="J505" t="e">
        <f>NA()</f>
        <v>#N/A</v>
      </c>
      <c r="K505" t="e">
        <f>NA()</f>
        <v>#N/A</v>
      </c>
      <c r="L505" t="e">
        <f>NA()</f>
        <v>#N/A</v>
      </c>
      <c r="M505">
        <v>6.8</v>
      </c>
      <c r="N505">
        <v>50</v>
      </c>
    </row>
    <row r="506" spans="1:14" x14ac:dyDescent="0.2">
      <c r="A506" t="s">
        <v>545</v>
      </c>
      <c r="B506" s="2">
        <v>1.0028326970000001</v>
      </c>
      <c r="C506">
        <v>10</v>
      </c>
      <c r="D506" s="2">
        <v>0</v>
      </c>
      <c r="E506" s="2">
        <v>1.0028326970000001</v>
      </c>
      <c r="F506" s="3">
        <v>0.98992577599999998</v>
      </c>
      <c r="G506">
        <v>-25.2</v>
      </c>
      <c r="H506">
        <v>0.12</v>
      </c>
      <c r="I506" t="e">
        <f>NA()</f>
        <v>#N/A</v>
      </c>
      <c r="J506" t="e">
        <f>NA()</f>
        <v>#N/A</v>
      </c>
      <c r="K506" t="e">
        <f>NA()</f>
        <v>#N/A</v>
      </c>
      <c r="L506" t="e">
        <f>NA()</f>
        <v>#N/A</v>
      </c>
      <c r="M506">
        <v>6.6</v>
      </c>
      <c r="N506">
        <v>60</v>
      </c>
    </row>
    <row r="507" spans="1:14" x14ac:dyDescent="0.2">
      <c r="A507" t="s">
        <v>546</v>
      </c>
      <c r="B507" s="2">
        <v>1.3235437729999999</v>
      </c>
      <c r="C507">
        <v>10</v>
      </c>
      <c r="D507" s="2">
        <v>0.18889308699999999</v>
      </c>
      <c r="E507" s="2">
        <v>1.32104369</v>
      </c>
      <c r="F507" s="3">
        <v>0.88172180600000005</v>
      </c>
      <c r="G507">
        <v>-25.7</v>
      </c>
      <c r="H507">
        <v>0.1</v>
      </c>
      <c r="I507" t="e">
        <f>NA()</f>
        <v>#N/A</v>
      </c>
      <c r="J507" t="e">
        <f>NA()</f>
        <v>#N/A</v>
      </c>
      <c r="K507" t="e">
        <f>NA()</f>
        <v>#N/A</v>
      </c>
      <c r="L507" t="e">
        <f>NA()</f>
        <v>#N/A</v>
      </c>
      <c r="M507">
        <v>6.7</v>
      </c>
      <c r="N507">
        <v>70</v>
      </c>
    </row>
    <row r="508" spans="1:14" x14ac:dyDescent="0.2">
      <c r="A508" t="s">
        <v>547</v>
      </c>
      <c r="B508" s="2">
        <v>1.4069869399999999</v>
      </c>
      <c r="C508">
        <v>10</v>
      </c>
      <c r="D508" s="2">
        <v>0.75919926900000001</v>
      </c>
      <c r="E508" s="2">
        <v>1.3963051049999999</v>
      </c>
      <c r="F508" s="3">
        <v>0.48597647700000002</v>
      </c>
      <c r="G508">
        <v>-25.8</v>
      </c>
      <c r="H508">
        <v>6.2E-2</v>
      </c>
      <c r="I508" t="e">
        <f>NA()</f>
        <v>#N/A</v>
      </c>
      <c r="J508" t="e">
        <f>NA()</f>
        <v>#N/A</v>
      </c>
      <c r="K508" t="e">
        <f>NA()</f>
        <v>#N/A</v>
      </c>
      <c r="L508" t="e">
        <f>NA()</f>
        <v>#N/A</v>
      </c>
      <c r="M508">
        <v>7</v>
      </c>
      <c r="N508">
        <v>80</v>
      </c>
    </row>
    <row r="509" spans="1:14" x14ac:dyDescent="0.2">
      <c r="A509" t="s">
        <v>548</v>
      </c>
      <c r="B509" s="2">
        <v>1.6322646279999999</v>
      </c>
      <c r="C509">
        <v>10</v>
      </c>
      <c r="D509" s="2">
        <v>8.0699904440000001</v>
      </c>
      <c r="E509" s="2">
        <v>1.500541028</v>
      </c>
      <c r="F509" s="3">
        <v>0.39943525099999999</v>
      </c>
      <c r="G509">
        <v>-25.8</v>
      </c>
      <c r="H509">
        <v>4.7E-2</v>
      </c>
      <c r="I509" t="e">
        <f>NA()</f>
        <v>#N/A</v>
      </c>
      <c r="J509" t="e">
        <f>NA()</f>
        <v>#N/A</v>
      </c>
      <c r="K509" t="e">
        <f>NA()</f>
        <v>#N/A</v>
      </c>
      <c r="L509" t="e">
        <f>NA()</f>
        <v>#N/A</v>
      </c>
      <c r="M509">
        <v>6.4</v>
      </c>
      <c r="N509">
        <v>90</v>
      </c>
    </row>
    <row r="510" spans="1:14" x14ac:dyDescent="0.2">
      <c r="A510" t="s">
        <v>551</v>
      </c>
      <c r="B510" s="2">
        <v>0.85779165599999996</v>
      </c>
      <c r="C510">
        <v>10</v>
      </c>
      <c r="D510" s="2">
        <v>2.79551653</v>
      </c>
      <c r="E510" s="2">
        <v>0.833811949</v>
      </c>
      <c r="F510" s="3">
        <v>3.555186285</v>
      </c>
      <c r="G510">
        <v>-23.9</v>
      </c>
      <c r="H510">
        <v>0.36</v>
      </c>
      <c r="I510" t="e">
        <f>NA()</f>
        <v>#N/A</v>
      </c>
      <c r="J510" t="e">
        <f>NA()</f>
        <v>#N/A</v>
      </c>
      <c r="K510" t="e">
        <f>NA()</f>
        <v>#N/A</v>
      </c>
      <c r="L510" t="e">
        <f>NA()</f>
        <v>#N/A</v>
      </c>
      <c r="M510">
        <v>8.4</v>
      </c>
      <c r="N510">
        <v>10</v>
      </c>
    </row>
    <row r="511" spans="1:14" x14ac:dyDescent="0.2">
      <c r="A511" t="s">
        <v>560</v>
      </c>
      <c r="B511" s="2">
        <v>1.119098299</v>
      </c>
      <c r="C511">
        <v>10</v>
      </c>
      <c r="D511" s="2">
        <v>0</v>
      </c>
      <c r="E511" s="2">
        <v>1.119098299</v>
      </c>
      <c r="F511" s="3">
        <v>0.864840316</v>
      </c>
      <c r="G511">
        <v>-26.2</v>
      </c>
      <c r="H511">
        <v>8.7999999999999995E-2</v>
      </c>
      <c r="I511" t="e">
        <f>NA()</f>
        <v>#N/A</v>
      </c>
      <c r="J511" t="e">
        <f>NA()</f>
        <v>#N/A</v>
      </c>
      <c r="K511" t="e">
        <f>NA()</f>
        <v>#N/A</v>
      </c>
      <c r="L511" t="e">
        <f>NA()</f>
        <v>#N/A</v>
      </c>
      <c r="M511">
        <v>5.3</v>
      </c>
      <c r="N511">
        <v>100</v>
      </c>
    </row>
    <row r="512" spans="1:14" x14ac:dyDescent="0.2">
      <c r="A512" t="s">
        <v>561</v>
      </c>
      <c r="B512" s="2">
        <v>0.96159881999999997</v>
      </c>
      <c r="C512">
        <v>10</v>
      </c>
      <c r="D512" s="2">
        <v>7.8926598000000001E-2</v>
      </c>
      <c r="E512" s="2">
        <v>0.96083986300000002</v>
      </c>
      <c r="F512" s="3">
        <v>1.8588428180000001</v>
      </c>
      <c r="G512">
        <v>-27.3</v>
      </c>
      <c r="H512">
        <v>0.15</v>
      </c>
      <c r="I512" t="e">
        <f>NA()</f>
        <v>#N/A</v>
      </c>
      <c r="J512" t="e">
        <f>NA()</f>
        <v>#N/A</v>
      </c>
      <c r="K512" t="e">
        <f>NA()</f>
        <v>#N/A</v>
      </c>
      <c r="L512" t="e">
        <f>NA()</f>
        <v>#N/A</v>
      </c>
      <c r="M512">
        <v>4.8</v>
      </c>
      <c r="N512">
        <v>110</v>
      </c>
    </row>
    <row r="513" spans="1:14" x14ac:dyDescent="0.2">
      <c r="A513" t="s">
        <v>562</v>
      </c>
      <c r="B513" s="2">
        <v>0.93659205099999998</v>
      </c>
      <c r="C513">
        <v>10</v>
      </c>
      <c r="D513" s="2">
        <v>0</v>
      </c>
      <c r="E513" s="2">
        <v>0.93659205099999998</v>
      </c>
      <c r="F513" s="3">
        <v>1.561296008</v>
      </c>
      <c r="G513">
        <v>-27.4</v>
      </c>
      <c r="H513">
        <v>0.13</v>
      </c>
      <c r="I513" t="e">
        <f>NA()</f>
        <v>#N/A</v>
      </c>
      <c r="J513" t="e">
        <f>NA()</f>
        <v>#N/A</v>
      </c>
      <c r="K513" t="e">
        <f>NA()</f>
        <v>#N/A</v>
      </c>
      <c r="L513" t="e">
        <f>NA()</f>
        <v>#N/A</v>
      </c>
      <c r="M513">
        <v>4</v>
      </c>
      <c r="N513">
        <v>120</v>
      </c>
    </row>
    <row r="514" spans="1:14" x14ac:dyDescent="0.2">
      <c r="A514" t="s">
        <v>552</v>
      </c>
      <c r="B514" s="2">
        <v>1.128758814</v>
      </c>
      <c r="C514">
        <v>10</v>
      </c>
      <c r="D514" s="2">
        <v>1.7217710589999999</v>
      </c>
      <c r="E514" s="2">
        <v>1.109324172</v>
      </c>
      <c r="F514" s="3">
        <v>1.8202347290000001</v>
      </c>
      <c r="G514">
        <v>-23.3</v>
      </c>
      <c r="H514">
        <v>0.22</v>
      </c>
      <c r="I514" t="e">
        <f>NA()</f>
        <v>#N/A</v>
      </c>
      <c r="J514" t="e">
        <f>NA()</f>
        <v>#N/A</v>
      </c>
      <c r="K514" t="e">
        <f>NA()</f>
        <v>#N/A</v>
      </c>
      <c r="L514" t="e">
        <f>NA()</f>
        <v>#N/A</v>
      </c>
      <c r="M514">
        <v>8.8000000000000007</v>
      </c>
      <c r="N514">
        <v>20</v>
      </c>
    </row>
    <row r="515" spans="1:14" x14ac:dyDescent="0.2">
      <c r="A515" t="s">
        <v>553</v>
      </c>
      <c r="B515" s="2">
        <v>1.079960453</v>
      </c>
      <c r="C515">
        <v>10</v>
      </c>
      <c r="D515" s="2">
        <v>3.0163912690000001</v>
      </c>
      <c r="E515" s="2">
        <v>1.0473846200000001</v>
      </c>
      <c r="F515" s="3">
        <v>1.57509773</v>
      </c>
      <c r="G515">
        <v>-23.35</v>
      </c>
      <c r="H515">
        <v>0.19500000000000001</v>
      </c>
      <c r="I515" t="e">
        <f>NA()</f>
        <v>#N/A</v>
      </c>
      <c r="J515" t="e">
        <f>NA()</f>
        <v>#N/A</v>
      </c>
      <c r="K515" t="e">
        <f>NA()</f>
        <v>#N/A</v>
      </c>
      <c r="L515" t="e">
        <f>NA()</f>
        <v>#N/A</v>
      </c>
      <c r="M515">
        <v>8.65</v>
      </c>
      <c r="N515">
        <v>30</v>
      </c>
    </row>
    <row r="516" spans="1:14" x14ac:dyDescent="0.2">
      <c r="A516" t="s">
        <v>554</v>
      </c>
      <c r="B516" s="2">
        <v>1.3968145409999999</v>
      </c>
      <c r="C516">
        <v>10</v>
      </c>
      <c r="D516" s="2">
        <v>1.568666468</v>
      </c>
      <c r="E516" s="2">
        <v>1.37490318</v>
      </c>
      <c r="F516" s="3">
        <v>1.0592654130000001</v>
      </c>
      <c r="G516">
        <v>-23.6</v>
      </c>
      <c r="H516">
        <v>0.13</v>
      </c>
      <c r="I516" t="e">
        <f>NA()</f>
        <v>#N/A</v>
      </c>
      <c r="J516" t="e">
        <f>NA()</f>
        <v>#N/A</v>
      </c>
      <c r="K516" t="e">
        <f>NA()</f>
        <v>#N/A</v>
      </c>
      <c r="L516" t="e">
        <f>NA()</f>
        <v>#N/A</v>
      </c>
      <c r="M516">
        <v>8.3000000000000007</v>
      </c>
      <c r="N516">
        <v>40</v>
      </c>
    </row>
    <row r="517" spans="1:14" x14ac:dyDescent="0.2">
      <c r="A517" t="s">
        <v>555</v>
      </c>
      <c r="B517" s="2">
        <v>1.267812945</v>
      </c>
      <c r="C517">
        <v>10</v>
      </c>
      <c r="D517" s="2">
        <v>0.265151515</v>
      </c>
      <c r="E517" s="2">
        <v>1.26445132</v>
      </c>
      <c r="F517" s="3">
        <v>0.950380055</v>
      </c>
      <c r="G517">
        <v>-24.5</v>
      </c>
      <c r="H517">
        <v>0.12</v>
      </c>
      <c r="I517" t="e">
        <f>NA()</f>
        <v>#N/A</v>
      </c>
      <c r="J517" t="e">
        <f>NA()</f>
        <v>#N/A</v>
      </c>
      <c r="K517" t="e">
        <f>NA()</f>
        <v>#N/A</v>
      </c>
      <c r="L517" t="e">
        <f>NA()</f>
        <v>#N/A</v>
      </c>
      <c r="M517">
        <v>7.3</v>
      </c>
      <c r="N517">
        <v>50</v>
      </c>
    </row>
    <row r="518" spans="1:14" x14ac:dyDescent="0.2">
      <c r="A518" t="s">
        <v>556</v>
      </c>
      <c r="B518" s="2">
        <v>1.219549542</v>
      </c>
      <c r="C518">
        <v>10</v>
      </c>
      <c r="D518" s="2">
        <v>0.65414819599999996</v>
      </c>
      <c r="E518" s="2">
        <v>1.211571881</v>
      </c>
      <c r="F518" s="3">
        <v>0.71880521900000005</v>
      </c>
      <c r="G518">
        <v>-24.5</v>
      </c>
      <c r="H518">
        <v>8.2000000000000003E-2</v>
      </c>
      <c r="I518" t="e">
        <f>NA()</f>
        <v>#N/A</v>
      </c>
      <c r="J518" t="e">
        <f>NA()</f>
        <v>#N/A</v>
      </c>
      <c r="K518" t="e">
        <f>NA()</f>
        <v>#N/A</v>
      </c>
      <c r="L518" t="e">
        <f>NA()</f>
        <v>#N/A</v>
      </c>
      <c r="M518">
        <v>7.2</v>
      </c>
      <c r="N518">
        <v>60</v>
      </c>
    </row>
    <row r="519" spans="1:14" x14ac:dyDescent="0.2">
      <c r="A519" t="s">
        <v>557</v>
      </c>
      <c r="B519" s="2">
        <v>1.5430250059999999</v>
      </c>
      <c r="C519">
        <v>10</v>
      </c>
      <c r="D519" s="2">
        <v>18.541188890000001</v>
      </c>
      <c r="E519" s="2">
        <v>1.2569298250000001</v>
      </c>
      <c r="F519" s="3">
        <v>0.49281085099999999</v>
      </c>
      <c r="G519">
        <v>-24.7</v>
      </c>
      <c r="H519">
        <v>5.5E-2</v>
      </c>
      <c r="I519" t="e">
        <f>NA()</f>
        <v>#N/A</v>
      </c>
      <c r="J519" t="e">
        <f>NA()</f>
        <v>#N/A</v>
      </c>
      <c r="K519" t="e">
        <f>NA()</f>
        <v>#N/A</v>
      </c>
      <c r="L519" t="e">
        <f>NA()</f>
        <v>#N/A</v>
      </c>
      <c r="M519">
        <v>6.9</v>
      </c>
      <c r="N519">
        <v>70</v>
      </c>
    </row>
    <row r="520" spans="1:14" x14ac:dyDescent="0.2">
      <c r="A520" t="s">
        <v>558</v>
      </c>
      <c r="B520" s="2">
        <v>1.2079892059999999</v>
      </c>
      <c r="C520">
        <v>10</v>
      </c>
      <c r="D520" s="2">
        <v>0.52703979300000003</v>
      </c>
      <c r="E520" s="2">
        <v>1.201622623</v>
      </c>
      <c r="F520" s="3">
        <v>0.67820196600000004</v>
      </c>
      <c r="G520">
        <v>-24.8</v>
      </c>
      <c r="H520">
        <v>7.0999999999999994E-2</v>
      </c>
      <c r="I520" t="e">
        <f>NA()</f>
        <v>#N/A</v>
      </c>
      <c r="J520" t="e">
        <f>NA()</f>
        <v>#N/A</v>
      </c>
      <c r="K520" t="e">
        <f>NA()</f>
        <v>#N/A</v>
      </c>
      <c r="L520" t="e">
        <f>NA()</f>
        <v>#N/A</v>
      </c>
      <c r="M520">
        <v>7.1</v>
      </c>
      <c r="N520">
        <v>80</v>
      </c>
    </row>
    <row r="521" spans="1:14" x14ac:dyDescent="0.2">
      <c r="A521" t="s">
        <v>559</v>
      </c>
      <c r="B521" s="2">
        <v>1.192872782</v>
      </c>
      <c r="C521">
        <v>10</v>
      </c>
      <c r="D521" s="2">
        <v>0</v>
      </c>
      <c r="E521" s="2">
        <v>1.192872782</v>
      </c>
      <c r="F521" s="3">
        <v>1.1447090790000001</v>
      </c>
      <c r="G521">
        <v>-25.5</v>
      </c>
      <c r="H521">
        <v>0.11</v>
      </c>
      <c r="I521" t="e">
        <f>NA()</f>
        <v>#N/A</v>
      </c>
      <c r="J521" t="e">
        <f>NA()</f>
        <v>#N/A</v>
      </c>
      <c r="K521" t="e">
        <f>NA()</f>
        <v>#N/A</v>
      </c>
      <c r="L521" t="e">
        <f>NA()</f>
        <v>#N/A</v>
      </c>
      <c r="M521">
        <v>6.3</v>
      </c>
      <c r="N521">
        <v>90</v>
      </c>
    </row>
    <row r="522" spans="1:14" x14ac:dyDescent="0.2">
      <c r="A522" t="s">
        <v>563</v>
      </c>
      <c r="B522" s="2">
        <v>1.3080936249999999</v>
      </c>
      <c r="C522">
        <v>10</v>
      </c>
      <c r="D522" t="e">
        <f>NA()</f>
        <v>#N/A</v>
      </c>
      <c r="E522" s="2">
        <v>1.3080936249999999</v>
      </c>
      <c r="F522" s="3">
        <v>1.60027473</v>
      </c>
      <c r="G522">
        <v>-22.85</v>
      </c>
      <c r="H522">
        <v>0.18</v>
      </c>
      <c r="I522" t="e">
        <f>NA()</f>
        <v>#N/A</v>
      </c>
      <c r="J522" t="e">
        <f>NA()</f>
        <v>#N/A</v>
      </c>
      <c r="K522" t="e">
        <f>NA()</f>
        <v>#N/A</v>
      </c>
      <c r="L522" t="e">
        <f>NA()</f>
        <v>#N/A</v>
      </c>
      <c r="M522">
        <v>6.6</v>
      </c>
      <c r="N522">
        <v>10</v>
      </c>
    </row>
    <row r="523" spans="1:14" x14ac:dyDescent="0.2">
      <c r="A523" t="s">
        <v>572</v>
      </c>
      <c r="B523" s="2">
        <v>1.8836866990000001</v>
      </c>
      <c r="C523">
        <v>10</v>
      </c>
      <c r="D523" t="e">
        <f>NA()</f>
        <v>#N/A</v>
      </c>
      <c r="E523" s="2">
        <v>1.8836866990000001</v>
      </c>
      <c r="F523" s="3">
        <v>1.8471893660000001</v>
      </c>
      <c r="G523">
        <v>-1.2</v>
      </c>
      <c r="H523">
        <v>3.6999999999999998E-2</v>
      </c>
      <c r="I523" t="e">
        <f>NA()</f>
        <v>#N/A</v>
      </c>
      <c r="J523" t="e">
        <f>NA()</f>
        <v>#N/A</v>
      </c>
      <c r="K523" t="e">
        <f>NA()</f>
        <v>#N/A</v>
      </c>
      <c r="L523" t="e">
        <f>NA()</f>
        <v>#N/A</v>
      </c>
      <c r="M523">
        <v>1.1000000000000001</v>
      </c>
      <c r="N523">
        <v>100</v>
      </c>
    </row>
    <row r="524" spans="1:14" x14ac:dyDescent="0.2">
      <c r="A524" t="s">
        <v>573</v>
      </c>
      <c r="B524" s="2">
        <v>1.8565326</v>
      </c>
      <c r="C524">
        <v>10</v>
      </c>
      <c r="D524" t="e">
        <f>NA()</f>
        <v>#N/A</v>
      </c>
      <c r="E524" s="2">
        <v>1.8565326</v>
      </c>
      <c r="F524" s="3">
        <v>1.773104719</v>
      </c>
      <c r="G524">
        <v>-1</v>
      </c>
      <c r="H524">
        <v>3.7999999999999999E-2</v>
      </c>
      <c r="I524" t="e">
        <f>NA()</f>
        <v>#N/A</v>
      </c>
      <c r="J524" t="e">
        <f>NA()</f>
        <v>#N/A</v>
      </c>
      <c r="K524" t="e">
        <f>NA()</f>
        <v>#N/A</v>
      </c>
      <c r="L524" t="e">
        <f>NA()</f>
        <v>#N/A</v>
      </c>
      <c r="M524">
        <v>1.6</v>
      </c>
      <c r="N524">
        <v>110</v>
      </c>
    </row>
    <row r="525" spans="1:14" x14ac:dyDescent="0.2">
      <c r="A525" t="s">
        <v>574</v>
      </c>
      <c r="B525" s="2">
        <v>1.868744856</v>
      </c>
      <c r="C525">
        <v>8</v>
      </c>
      <c r="D525" t="e">
        <f>NA()</f>
        <v>#N/A</v>
      </c>
      <c r="E525" s="2">
        <v>1.868744856</v>
      </c>
      <c r="F525" s="3">
        <v>1.5524981710000001</v>
      </c>
      <c r="G525">
        <v>-1.4</v>
      </c>
      <c r="H525">
        <v>3.9E-2</v>
      </c>
      <c r="I525" t="e">
        <f>NA()</f>
        <v>#N/A</v>
      </c>
      <c r="J525" t="e">
        <f>NA()</f>
        <v>#N/A</v>
      </c>
      <c r="K525" t="e">
        <f>NA()</f>
        <v>#N/A</v>
      </c>
      <c r="L525" t="e">
        <f>NA()</f>
        <v>#N/A</v>
      </c>
      <c r="M525">
        <v>0.9</v>
      </c>
      <c r="N525">
        <v>118</v>
      </c>
    </row>
    <row r="526" spans="1:14" x14ac:dyDescent="0.2">
      <c r="A526" t="s">
        <v>564</v>
      </c>
      <c r="B526" s="2">
        <v>1.353775991</v>
      </c>
      <c r="C526">
        <v>10</v>
      </c>
      <c r="D526" t="e">
        <f>NA()</f>
        <v>#N/A</v>
      </c>
      <c r="E526" s="2">
        <v>1.353775991</v>
      </c>
      <c r="F526" s="3">
        <v>1.2432268289999999</v>
      </c>
      <c r="G526">
        <v>-23.3</v>
      </c>
      <c r="H526">
        <v>0.15</v>
      </c>
      <c r="I526" t="e">
        <f>NA()</f>
        <v>#N/A</v>
      </c>
      <c r="J526" t="e">
        <f>NA()</f>
        <v>#N/A</v>
      </c>
      <c r="K526" t="e">
        <f>NA()</f>
        <v>#N/A</v>
      </c>
      <c r="L526" t="e">
        <f>NA()</f>
        <v>#N/A</v>
      </c>
      <c r="M526">
        <v>7.4</v>
      </c>
      <c r="N526">
        <v>20</v>
      </c>
    </row>
    <row r="527" spans="1:14" x14ac:dyDescent="0.2">
      <c r="A527" t="s">
        <v>565</v>
      </c>
      <c r="B527" s="2">
        <v>1.540169994</v>
      </c>
      <c r="C527">
        <v>10</v>
      </c>
      <c r="D527" t="e">
        <f>NA()</f>
        <v>#N/A</v>
      </c>
      <c r="E527" s="2">
        <v>1.540169994</v>
      </c>
      <c r="F527" s="3">
        <v>0.31758720899999998</v>
      </c>
      <c r="G527">
        <v>-23.1</v>
      </c>
      <c r="H527">
        <v>5.3999999999999999E-2</v>
      </c>
      <c r="I527" t="e">
        <f>NA()</f>
        <v>#N/A</v>
      </c>
      <c r="J527" t="e">
        <f>NA()</f>
        <v>#N/A</v>
      </c>
      <c r="K527" t="e">
        <f>NA()</f>
        <v>#N/A</v>
      </c>
      <c r="L527" t="e">
        <f>NA()</f>
        <v>#N/A</v>
      </c>
      <c r="M527">
        <v>6.6</v>
      </c>
      <c r="N527">
        <v>30</v>
      </c>
    </row>
    <row r="528" spans="1:14" x14ac:dyDescent="0.2">
      <c r="A528" t="s">
        <v>566</v>
      </c>
      <c r="B528" s="2">
        <v>1.6626756709999999</v>
      </c>
      <c r="C528">
        <v>10</v>
      </c>
      <c r="D528" t="e">
        <f>NA()</f>
        <v>#N/A</v>
      </c>
      <c r="E528" s="2">
        <v>1.6626756709999999</v>
      </c>
      <c r="F528" s="3">
        <v>0.28631937299999999</v>
      </c>
      <c r="G528">
        <v>-23.2</v>
      </c>
      <c r="H528">
        <v>5.5E-2</v>
      </c>
      <c r="I528" t="e">
        <f>NA()</f>
        <v>#N/A</v>
      </c>
      <c r="J528" t="e">
        <f>NA()</f>
        <v>#N/A</v>
      </c>
      <c r="K528" t="e">
        <f>NA()</f>
        <v>#N/A</v>
      </c>
      <c r="L528" t="e">
        <f>NA()</f>
        <v>#N/A</v>
      </c>
      <c r="M528">
        <v>6.1</v>
      </c>
      <c r="N528">
        <v>40</v>
      </c>
    </row>
    <row r="529" spans="1:14" x14ac:dyDescent="0.2">
      <c r="A529" t="s">
        <v>567</v>
      </c>
      <c r="B529" s="2">
        <v>1.3916265880000001</v>
      </c>
      <c r="C529">
        <v>10</v>
      </c>
      <c r="D529" t="e">
        <f>NA()</f>
        <v>#N/A</v>
      </c>
      <c r="E529" s="2">
        <v>1.3916265880000001</v>
      </c>
      <c r="F529" s="3">
        <v>0.20473495</v>
      </c>
      <c r="G529">
        <v>-22.4</v>
      </c>
      <c r="H529">
        <v>5.3999999999999999E-2</v>
      </c>
      <c r="I529" t="e">
        <f>NA()</f>
        <v>#N/A</v>
      </c>
      <c r="J529" t="e">
        <f>NA()</f>
        <v>#N/A</v>
      </c>
      <c r="K529" t="e">
        <f>NA()</f>
        <v>#N/A</v>
      </c>
      <c r="L529" t="e">
        <f>NA()</f>
        <v>#N/A</v>
      </c>
      <c r="M529">
        <v>5.0999999999999996</v>
      </c>
      <c r="N529">
        <v>50</v>
      </c>
    </row>
    <row r="530" spans="1:14" x14ac:dyDescent="0.2">
      <c r="A530" t="s">
        <v>568</v>
      </c>
      <c r="B530" s="2">
        <v>1.2806133399999999</v>
      </c>
      <c r="C530">
        <v>10</v>
      </c>
      <c r="D530" t="e">
        <f>NA()</f>
        <v>#N/A</v>
      </c>
      <c r="E530" s="2">
        <v>1.2806133399999999</v>
      </c>
      <c r="F530" s="3">
        <v>0.24170421</v>
      </c>
      <c r="G530">
        <v>-22.2</v>
      </c>
      <c r="H530">
        <v>6.0999999999999999E-2</v>
      </c>
      <c r="I530" t="e">
        <f>NA()</f>
        <v>#N/A</v>
      </c>
      <c r="J530" t="e">
        <f>NA()</f>
        <v>#N/A</v>
      </c>
      <c r="K530" t="e">
        <f>NA()</f>
        <v>#N/A</v>
      </c>
      <c r="L530" t="e">
        <f>NA()</f>
        <v>#N/A</v>
      </c>
      <c r="M530">
        <v>5.9</v>
      </c>
      <c r="N530">
        <v>60</v>
      </c>
    </row>
    <row r="531" spans="1:14" x14ac:dyDescent="0.2">
      <c r="A531" t="s">
        <v>569</v>
      </c>
      <c r="B531" s="2">
        <v>1.744516687</v>
      </c>
      <c r="C531">
        <v>10</v>
      </c>
      <c r="D531" t="e">
        <f>NA()</f>
        <v>#N/A</v>
      </c>
      <c r="E531" s="2">
        <v>1.744516687</v>
      </c>
      <c r="F531" s="3">
        <v>0.19644078400000001</v>
      </c>
      <c r="G531">
        <v>-22.7</v>
      </c>
      <c r="H531">
        <v>5.7000000000000002E-2</v>
      </c>
      <c r="I531" t="e">
        <f>NA()</f>
        <v>#N/A</v>
      </c>
      <c r="J531" t="e">
        <f>NA()</f>
        <v>#N/A</v>
      </c>
      <c r="K531" t="e">
        <f>NA()</f>
        <v>#N/A</v>
      </c>
      <c r="L531" t="e">
        <f>NA()</f>
        <v>#N/A</v>
      </c>
      <c r="M531">
        <v>4.9000000000000004</v>
      </c>
      <c r="N531">
        <v>70</v>
      </c>
    </row>
    <row r="532" spans="1:14" x14ac:dyDescent="0.2">
      <c r="A532" t="s">
        <v>570</v>
      </c>
      <c r="B532" s="2">
        <v>1.5454743520000001</v>
      </c>
      <c r="C532">
        <v>10</v>
      </c>
      <c r="D532" t="e">
        <f>NA()</f>
        <v>#N/A</v>
      </c>
      <c r="E532" s="2">
        <v>1.5454743520000001</v>
      </c>
      <c r="F532" s="3">
        <v>1.25380833</v>
      </c>
      <c r="G532">
        <v>-3.2</v>
      </c>
      <c r="H532">
        <v>4.8500000000000001E-2</v>
      </c>
      <c r="I532" t="e">
        <f>NA()</f>
        <v>#N/A</v>
      </c>
      <c r="J532" t="e">
        <f>NA()</f>
        <v>#N/A</v>
      </c>
      <c r="K532" t="e">
        <f>NA()</f>
        <v>#N/A</v>
      </c>
      <c r="L532" t="e">
        <f>NA()</f>
        <v>#N/A</v>
      </c>
      <c r="M532">
        <v>3.3</v>
      </c>
      <c r="N532">
        <v>80</v>
      </c>
    </row>
    <row r="533" spans="1:14" x14ac:dyDescent="0.2">
      <c r="A533" t="s">
        <v>571</v>
      </c>
      <c r="B533" s="2">
        <v>1.801524997</v>
      </c>
      <c r="C533">
        <v>10</v>
      </c>
      <c r="D533" t="e">
        <f>NA()</f>
        <v>#N/A</v>
      </c>
      <c r="E533" s="2">
        <v>1.801524997</v>
      </c>
      <c r="F533" s="3">
        <v>1.713789402</v>
      </c>
      <c r="G533">
        <v>-1.6</v>
      </c>
      <c r="H533">
        <v>4.2000000000000003E-2</v>
      </c>
      <c r="I533" t="e">
        <f>NA()</f>
        <v>#N/A</v>
      </c>
      <c r="J533" t="e">
        <f>NA()</f>
        <v>#N/A</v>
      </c>
      <c r="K533" t="e">
        <f>NA()</f>
        <v>#N/A</v>
      </c>
      <c r="L533" t="e">
        <f>NA()</f>
        <v>#N/A</v>
      </c>
      <c r="M533">
        <v>2</v>
      </c>
      <c r="N533">
        <v>90</v>
      </c>
    </row>
    <row r="534" spans="1:14" x14ac:dyDescent="0.2">
      <c r="A534" t="s">
        <v>575</v>
      </c>
      <c r="B534" s="2">
        <v>1.1172004600000001</v>
      </c>
      <c r="C534">
        <v>10</v>
      </c>
      <c r="D534" t="e">
        <f>NA()</f>
        <v>#N/A</v>
      </c>
      <c r="E534" s="2">
        <v>1.1172004600000001</v>
      </c>
      <c r="F534" s="3">
        <v>1.8707731009999999</v>
      </c>
      <c r="G534">
        <v>-22.5</v>
      </c>
      <c r="H534">
        <v>0.21</v>
      </c>
      <c r="I534" t="e">
        <f>NA()</f>
        <v>#N/A</v>
      </c>
      <c r="J534" t="e">
        <f>NA()</f>
        <v>#N/A</v>
      </c>
      <c r="K534" t="e">
        <f>NA()</f>
        <v>#N/A</v>
      </c>
      <c r="L534" t="e">
        <f>NA()</f>
        <v>#N/A</v>
      </c>
      <c r="M534">
        <v>6.1</v>
      </c>
      <c r="N534">
        <v>10</v>
      </c>
    </row>
    <row r="535" spans="1:14" x14ac:dyDescent="0.2">
      <c r="A535" t="s">
        <v>584</v>
      </c>
      <c r="B535" s="2">
        <v>2.2390057790000002</v>
      </c>
      <c r="C535">
        <v>7</v>
      </c>
      <c r="D535" t="e">
        <f>NA()</f>
        <v>#N/A</v>
      </c>
      <c r="E535" s="2">
        <v>2.2390057790000002</v>
      </c>
      <c r="F535" s="3">
        <v>1.690944617</v>
      </c>
      <c r="G535">
        <v>-2</v>
      </c>
      <c r="H535">
        <v>4.3999999999999997E-2</v>
      </c>
      <c r="I535" t="e">
        <f>NA()</f>
        <v>#N/A</v>
      </c>
      <c r="J535" t="e">
        <f>NA()</f>
        <v>#N/A</v>
      </c>
      <c r="K535" t="e">
        <f>NA()</f>
        <v>#N/A</v>
      </c>
      <c r="L535" t="e">
        <f>NA()</f>
        <v>#N/A</v>
      </c>
      <c r="M535">
        <v>2.4</v>
      </c>
      <c r="N535">
        <v>97</v>
      </c>
    </row>
    <row r="536" spans="1:14" x14ac:dyDescent="0.2">
      <c r="A536" t="s">
        <v>576</v>
      </c>
      <c r="B536" s="2">
        <v>1.2600477640000001</v>
      </c>
      <c r="C536">
        <v>10</v>
      </c>
      <c r="D536" t="e">
        <f>NA()</f>
        <v>#N/A</v>
      </c>
      <c r="E536" s="2">
        <v>1.2600477640000001</v>
      </c>
      <c r="F536" s="3">
        <v>1.248794282</v>
      </c>
      <c r="G536">
        <v>-23</v>
      </c>
      <c r="H536">
        <v>0.15</v>
      </c>
      <c r="I536" t="e">
        <f>NA()</f>
        <v>#N/A</v>
      </c>
      <c r="J536" t="e">
        <f>NA()</f>
        <v>#N/A</v>
      </c>
      <c r="K536" t="e">
        <f>NA()</f>
        <v>#N/A</v>
      </c>
      <c r="L536" t="e">
        <f>NA()</f>
        <v>#N/A</v>
      </c>
      <c r="M536">
        <v>7</v>
      </c>
      <c r="N536">
        <v>20</v>
      </c>
    </row>
    <row r="537" spans="1:14" x14ac:dyDescent="0.2">
      <c r="A537" t="s">
        <v>577</v>
      </c>
      <c r="B537" s="2">
        <v>1.5421200770000001</v>
      </c>
      <c r="C537">
        <v>10</v>
      </c>
      <c r="D537" t="e">
        <f>NA()</f>
        <v>#N/A</v>
      </c>
      <c r="E537" s="2">
        <v>1.5421200770000001</v>
      </c>
      <c r="F537" s="3">
        <v>0.49775201400000002</v>
      </c>
      <c r="G537">
        <v>-23.3</v>
      </c>
      <c r="H537">
        <v>7.6999999999999999E-2</v>
      </c>
      <c r="I537" t="e">
        <f>NA()</f>
        <v>#N/A</v>
      </c>
      <c r="J537" t="e">
        <f>NA()</f>
        <v>#N/A</v>
      </c>
      <c r="K537" t="e">
        <f>NA()</f>
        <v>#N/A</v>
      </c>
      <c r="L537" t="e">
        <f>NA()</f>
        <v>#N/A</v>
      </c>
      <c r="M537">
        <v>6.05</v>
      </c>
      <c r="N537">
        <v>30</v>
      </c>
    </row>
    <row r="538" spans="1:14" x14ac:dyDescent="0.2">
      <c r="A538" t="s">
        <v>578</v>
      </c>
      <c r="B538" s="2">
        <v>1.4124610799999999</v>
      </c>
      <c r="C538">
        <v>10</v>
      </c>
      <c r="D538" t="e">
        <f>NA()</f>
        <v>#N/A</v>
      </c>
      <c r="E538" s="2">
        <v>1.4124610799999999</v>
      </c>
      <c r="F538" s="3">
        <v>0.368763175</v>
      </c>
      <c r="G538">
        <v>-23.1</v>
      </c>
      <c r="H538">
        <v>6.7000000000000004E-2</v>
      </c>
      <c r="I538" t="e">
        <f>NA()</f>
        <v>#N/A</v>
      </c>
      <c r="J538" t="e">
        <f>NA()</f>
        <v>#N/A</v>
      </c>
      <c r="K538" t="e">
        <f>NA()</f>
        <v>#N/A</v>
      </c>
      <c r="L538" t="e">
        <f>NA()</f>
        <v>#N/A</v>
      </c>
      <c r="M538">
        <v>5.7</v>
      </c>
      <c r="N538">
        <v>40</v>
      </c>
    </row>
    <row r="539" spans="1:14" x14ac:dyDescent="0.2">
      <c r="A539" t="s">
        <v>579</v>
      </c>
      <c r="B539" s="2">
        <v>1.492212707</v>
      </c>
      <c r="C539">
        <v>10</v>
      </c>
      <c r="D539" t="e">
        <f>NA()</f>
        <v>#N/A</v>
      </c>
      <c r="E539" s="2">
        <v>1.492212707</v>
      </c>
      <c r="F539" s="3">
        <v>0.406138108</v>
      </c>
      <c r="G539">
        <v>-23.4</v>
      </c>
      <c r="H539">
        <v>7.3999999999999996E-2</v>
      </c>
      <c r="I539" t="e">
        <f>NA()</f>
        <v>#N/A</v>
      </c>
      <c r="J539" t="e">
        <f>NA()</f>
        <v>#N/A</v>
      </c>
      <c r="K539" t="e">
        <f>NA()</f>
        <v>#N/A</v>
      </c>
      <c r="L539" t="e">
        <f>NA()</f>
        <v>#N/A</v>
      </c>
      <c r="M539">
        <v>5.6</v>
      </c>
      <c r="N539">
        <v>50</v>
      </c>
    </row>
    <row r="540" spans="1:14" x14ac:dyDescent="0.2">
      <c r="A540" t="s">
        <v>580</v>
      </c>
      <c r="B540" s="2">
        <v>1.4665321630000001</v>
      </c>
      <c r="C540">
        <v>10</v>
      </c>
      <c r="D540" t="e">
        <f>NA()</f>
        <v>#N/A</v>
      </c>
      <c r="E540" s="2">
        <v>1.4665321630000001</v>
      </c>
      <c r="F540" s="3">
        <v>0.36976824800000002</v>
      </c>
      <c r="G540">
        <v>-22.4</v>
      </c>
      <c r="H540">
        <v>7.0999999999999994E-2</v>
      </c>
      <c r="I540" t="e">
        <f>NA()</f>
        <v>#N/A</v>
      </c>
      <c r="J540" t="e">
        <f>NA()</f>
        <v>#N/A</v>
      </c>
      <c r="K540" t="e">
        <f>NA()</f>
        <v>#N/A</v>
      </c>
      <c r="L540" t="e">
        <f>NA()</f>
        <v>#N/A</v>
      </c>
      <c r="M540">
        <v>5.3</v>
      </c>
      <c r="N540">
        <v>60</v>
      </c>
    </row>
    <row r="541" spans="1:14" x14ac:dyDescent="0.2">
      <c r="A541" t="s">
        <v>581</v>
      </c>
      <c r="B541" s="2">
        <v>1.1259803610000001</v>
      </c>
      <c r="C541">
        <v>10</v>
      </c>
      <c r="D541" t="e">
        <f>NA()</f>
        <v>#N/A</v>
      </c>
      <c r="E541" s="2">
        <v>1.1259803610000001</v>
      </c>
      <c r="F541" s="3">
        <v>2.7691826669999999</v>
      </c>
      <c r="G541">
        <v>-2</v>
      </c>
      <c r="H541">
        <v>0.04</v>
      </c>
      <c r="I541" t="e">
        <f>NA()</f>
        <v>#N/A</v>
      </c>
      <c r="J541" t="e">
        <f>NA()</f>
        <v>#N/A</v>
      </c>
      <c r="K541" t="e">
        <f>NA()</f>
        <v>#N/A</v>
      </c>
      <c r="L541" t="e">
        <f>NA()</f>
        <v>#N/A</v>
      </c>
      <c r="M541">
        <v>2.9</v>
      </c>
      <c r="N541">
        <v>70</v>
      </c>
    </row>
    <row r="542" spans="1:14" x14ac:dyDescent="0.2">
      <c r="A542" t="s">
        <v>582</v>
      </c>
      <c r="B542" s="2">
        <v>1.486237322</v>
      </c>
      <c r="C542">
        <v>10</v>
      </c>
      <c r="D542" t="e">
        <f>NA()</f>
        <v>#N/A</v>
      </c>
      <c r="E542" s="2">
        <v>1.486237322</v>
      </c>
      <c r="F542" s="3">
        <v>2.2264259219999998</v>
      </c>
      <c r="G542">
        <v>-1.1000000000000001</v>
      </c>
      <c r="H542">
        <v>3.5000000000000003E-2</v>
      </c>
      <c r="I542" t="e">
        <f>NA()</f>
        <v>#N/A</v>
      </c>
      <c r="J542" t="e">
        <f>NA()</f>
        <v>#N/A</v>
      </c>
      <c r="K542" t="e">
        <f>NA()</f>
        <v>#N/A</v>
      </c>
      <c r="L542" t="e">
        <f>NA()</f>
        <v>#N/A</v>
      </c>
      <c r="M542">
        <v>1.3</v>
      </c>
      <c r="N542">
        <v>80</v>
      </c>
    </row>
    <row r="543" spans="1:14" x14ac:dyDescent="0.2">
      <c r="A543" t="s">
        <v>583</v>
      </c>
      <c r="B543" s="2">
        <v>1.5452711400000001</v>
      </c>
      <c r="C543">
        <v>10</v>
      </c>
      <c r="D543" t="e">
        <f>NA()</f>
        <v>#N/A</v>
      </c>
      <c r="E543" s="2">
        <v>1.5452711400000001</v>
      </c>
      <c r="F543" s="3">
        <v>1.7173868960000001</v>
      </c>
      <c r="G543">
        <v>-1.6</v>
      </c>
      <c r="H543">
        <v>4.1000000000000002E-2</v>
      </c>
      <c r="I543" t="e">
        <f>NA()</f>
        <v>#N/A</v>
      </c>
      <c r="J543" t="e">
        <f>NA()</f>
        <v>#N/A</v>
      </c>
      <c r="K543" t="e">
        <f>NA()</f>
        <v>#N/A</v>
      </c>
      <c r="L543" t="e">
        <f>NA()</f>
        <v>#N/A</v>
      </c>
      <c r="M543">
        <v>1.4</v>
      </c>
      <c r="N543">
        <v>90</v>
      </c>
    </row>
    <row r="544" spans="1:14" x14ac:dyDescent="0.2">
      <c r="A544" t="s">
        <v>585</v>
      </c>
      <c r="B544" s="2">
        <v>1.2486195040000001</v>
      </c>
      <c r="C544">
        <v>10</v>
      </c>
      <c r="D544" t="e">
        <f>NA()</f>
        <v>#N/A</v>
      </c>
      <c r="E544" s="2">
        <v>1.2486195040000001</v>
      </c>
      <c r="F544" s="3">
        <v>1.850025976</v>
      </c>
      <c r="G544">
        <v>-21.9</v>
      </c>
      <c r="H544">
        <v>0.21</v>
      </c>
      <c r="I544" t="e">
        <f>NA()</f>
        <v>#N/A</v>
      </c>
      <c r="J544" t="e">
        <f>NA()</f>
        <v>#N/A</v>
      </c>
      <c r="K544" t="e">
        <f>NA()</f>
        <v>#N/A</v>
      </c>
      <c r="L544" t="e">
        <f>NA()</f>
        <v>#N/A</v>
      </c>
      <c r="M544">
        <v>6.1</v>
      </c>
      <c r="N544">
        <v>10</v>
      </c>
    </row>
    <row r="545" spans="1:14" x14ac:dyDescent="0.2">
      <c r="A545" t="s">
        <v>594</v>
      </c>
      <c r="B545" s="2">
        <v>1.280390986</v>
      </c>
      <c r="C545">
        <v>10</v>
      </c>
      <c r="D545" t="e">
        <f>NA()</f>
        <v>#N/A</v>
      </c>
      <c r="E545" s="2">
        <v>1.280390986</v>
      </c>
      <c r="F545" s="3">
        <v>2.1068134449999998</v>
      </c>
      <c r="G545">
        <v>-2.5</v>
      </c>
      <c r="H545">
        <v>3.3000000000000002E-2</v>
      </c>
      <c r="I545" t="e">
        <f>NA()</f>
        <v>#N/A</v>
      </c>
      <c r="J545" t="e">
        <f>NA()</f>
        <v>#N/A</v>
      </c>
      <c r="K545" t="e">
        <f>NA()</f>
        <v>#N/A</v>
      </c>
      <c r="L545" t="e">
        <f>NA()</f>
        <v>#N/A</v>
      </c>
      <c r="M545">
        <v>2.7</v>
      </c>
      <c r="N545">
        <v>100</v>
      </c>
    </row>
    <row r="546" spans="1:14" x14ac:dyDescent="0.2">
      <c r="A546" t="s">
        <v>595</v>
      </c>
      <c r="B546" s="2">
        <v>1.8119294850000001</v>
      </c>
      <c r="C546">
        <v>10</v>
      </c>
      <c r="D546" t="e">
        <f>NA()</f>
        <v>#N/A</v>
      </c>
      <c r="E546" s="2">
        <v>1.8119294850000001</v>
      </c>
      <c r="F546" s="3">
        <v>2.2999999999999998</v>
      </c>
      <c r="G546">
        <v>-2.6</v>
      </c>
      <c r="H546">
        <v>4.1000000000000002E-2</v>
      </c>
      <c r="I546" t="e">
        <f>NA()</f>
        <v>#N/A</v>
      </c>
      <c r="J546" t="e">
        <f>NA()</f>
        <v>#N/A</v>
      </c>
      <c r="K546" t="e">
        <f>NA()</f>
        <v>#N/A</v>
      </c>
      <c r="L546" t="e">
        <f>NA()</f>
        <v>#N/A</v>
      </c>
      <c r="M546">
        <v>3.1</v>
      </c>
      <c r="N546">
        <v>110</v>
      </c>
    </row>
    <row r="547" spans="1:14" x14ac:dyDescent="0.2">
      <c r="A547" t="s">
        <v>596</v>
      </c>
      <c r="B547" s="2">
        <v>2.167394383</v>
      </c>
      <c r="C547">
        <v>10</v>
      </c>
      <c r="D547" t="e">
        <f>NA()</f>
        <v>#N/A</v>
      </c>
      <c r="E547" s="2">
        <v>2.167394383</v>
      </c>
      <c r="F547" s="3">
        <v>2.5</v>
      </c>
      <c r="G547">
        <v>-1.8</v>
      </c>
      <c r="H547">
        <v>3.4000000000000002E-2</v>
      </c>
      <c r="I547" t="e">
        <f>NA()</f>
        <v>#N/A</v>
      </c>
      <c r="J547" t="e">
        <f>NA()</f>
        <v>#N/A</v>
      </c>
      <c r="K547" t="e">
        <f>NA()</f>
        <v>#N/A</v>
      </c>
      <c r="L547" t="e">
        <f>NA()</f>
        <v>#N/A</v>
      </c>
      <c r="M547">
        <v>1.8</v>
      </c>
      <c r="N547">
        <v>120</v>
      </c>
    </row>
    <row r="548" spans="1:14" x14ac:dyDescent="0.2">
      <c r="A548" t="s">
        <v>586</v>
      </c>
      <c r="B548" s="2">
        <v>1.49555397</v>
      </c>
      <c r="C548">
        <v>10</v>
      </c>
      <c r="D548" t="e">
        <f>NA()</f>
        <v>#N/A</v>
      </c>
      <c r="E548" s="2">
        <v>1.49555397</v>
      </c>
      <c r="F548" s="3">
        <v>1.243766379</v>
      </c>
      <c r="G548">
        <v>-23.1</v>
      </c>
      <c r="H548">
        <v>0.16</v>
      </c>
      <c r="I548" t="e">
        <f>NA()</f>
        <v>#N/A</v>
      </c>
      <c r="J548" t="e">
        <f>NA()</f>
        <v>#N/A</v>
      </c>
      <c r="K548" t="e">
        <f>NA()</f>
        <v>#N/A</v>
      </c>
      <c r="L548" t="e">
        <f>NA()</f>
        <v>#N/A</v>
      </c>
      <c r="M548">
        <v>7</v>
      </c>
      <c r="N548">
        <v>20</v>
      </c>
    </row>
    <row r="549" spans="1:14" x14ac:dyDescent="0.2">
      <c r="A549" t="s">
        <v>587</v>
      </c>
      <c r="B549" s="2">
        <v>1.5302130759999999</v>
      </c>
      <c r="C549">
        <v>10</v>
      </c>
      <c r="D549" t="e">
        <f>NA()</f>
        <v>#N/A</v>
      </c>
      <c r="E549" s="2">
        <v>1.5302130759999999</v>
      </c>
      <c r="F549" s="3">
        <v>0.65689513899999996</v>
      </c>
      <c r="G549">
        <v>-23.5</v>
      </c>
      <c r="H549">
        <v>9.4E-2</v>
      </c>
      <c r="I549" t="e">
        <f>NA()</f>
        <v>#N/A</v>
      </c>
      <c r="J549" t="e">
        <f>NA()</f>
        <v>#N/A</v>
      </c>
      <c r="K549" t="e">
        <f>NA()</f>
        <v>#N/A</v>
      </c>
      <c r="L549" t="e">
        <f>NA()</f>
        <v>#N/A</v>
      </c>
      <c r="M549">
        <v>6.3</v>
      </c>
      <c r="N549">
        <v>30</v>
      </c>
    </row>
    <row r="550" spans="1:14" x14ac:dyDescent="0.2">
      <c r="A550" t="s">
        <v>588</v>
      </c>
      <c r="B550" s="2">
        <v>1.528067955</v>
      </c>
      <c r="C550">
        <v>10</v>
      </c>
      <c r="D550" t="e">
        <f>NA()</f>
        <v>#N/A</v>
      </c>
      <c r="E550" s="2">
        <v>1.528067955</v>
      </c>
      <c r="F550" s="3">
        <v>0.354213259</v>
      </c>
      <c r="G550">
        <v>-22.4</v>
      </c>
      <c r="H550">
        <v>6.0499999999999998E-2</v>
      </c>
      <c r="I550" t="e">
        <f>NA()</f>
        <v>#N/A</v>
      </c>
      <c r="J550" t="e">
        <f>NA()</f>
        <v>#N/A</v>
      </c>
      <c r="K550" t="e">
        <f>NA()</f>
        <v>#N/A</v>
      </c>
      <c r="L550" t="e">
        <f>NA()</f>
        <v>#N/A</v>
      </c>
      <c r="M550">
        <v>5.65</v>
      </c>
      <c r="N550">
        <v>40</v>
      </c>
    </row>
    <row r="551" spans="1:14" x14ac:dyDescent="0.2">
      <c r="A551" t="s">
        <v>589</v>
      </c>
      <c r="B551" s="2">
        <v>1.6368324080000001</v>
      </c>
      <c r="C551">
        <v>10</v>
      </c>
      <c r="D551" t="e">
        <f>NA()</f>
        <v>#N/A</v>
      </c>
      <c r="E551" s="2">
        <v>1.6368324080000001</v>
      </c>
      <c r="F551" s="3">
        <v>0.27747248499999999</v>
      </c>
      <c r="G551">
        <v>-22.9</v>
      </c>
      <c r="H551">
        <v>4.9000000000000002E-2</v>
      </c>
      <c r="I551" t="e">
        <f>NA()</f>
        <v>#N/A</v>
      </c>
      <c r="J551" t="e">
        <f>NA()</f>
        <v>#N/A</v>
      </c>
      <c r="K551" t="e">
        <f>NA()</f>
        <v>#N/A</v>
      </c>
      <c r="L551" t="e">
        <f>NA()</f>
        <v>#N/A</v>
      </c>
      <c r="M551">
        <v>5.5</v>
      </c>
      <c r="N551">
        <v>50</v>
      </c>
    </row>
    <row r="552" spans="1:14" x14ac:dyDescent="0.2">
      <c r="A552" t="s">
        <v>590</v>
      </c>
      <c r="B552" s="2">
        <v>1.468429322</v>
      </c>
      <c r="C552">
        <v>10</v>
      </c>
      <c r="D552" t="e">
        <f>NA()</f>
        <v>#N/A</v>
      </c>
      <c r="E552" s="2">
        <v>1.468429322</v>
      </c>
      <c r="F552" s="3">
        <v>0.30238055800000002</v>
      </c>
      <c r="G552">
        <v>-22.8</v>
      </c>
      <c r="H552">
        <v>5.5E-2</v>
      </c>
      <c r="I552" t="e">
        <f>NA()</f>
        <v>#N/A</v>
      </c>
      <c r="J552" t="e">
        <f>NA()</f>
        <v>#N/A</v>
      </c>
      <c r="K552" t="e">
        <f>NA()</f>
        <v>#N/A</v>
      </c>
      <c r="L552" t="e">
        <f>NA()</f>
        <v>#N/A</v>
      </c>
      <c r="M552">
        <v>5.9</v>
      </c>
      <c r="N552">
        <v>60</v>
      </c>
    </row>
    <row r="553" spans="1:14" x14ac:dyDescent="0.2">
      <c r="A553" t="s">
        <v>591</v>
      </c>
      <c r="B553" s="2">
        <v>1.6020751740000001</v>
      </c>
      <c r="C553">
        <v>10</v>
      </c>
      <c r="D553" t="e">
        <f>NA()</f>
        <v>#N/A</v>
      </c>
      <c r="E553" s="2">
        <v>1.6020751740000001</v>
      </c>
      <c r="F553" s="3">
        <v>0.27540624000000002</v>
      </c>
      <c r="G553">
        <v>-22.9</v>
      </c>
      <c r="H553">
        <v>5.1999999999999998E-2</v>
      </c>
      <c r="I553" t="e">
        <f>NA()</f>
        <v>#N/A</v>
      </c>
      <c r="J553" t="e">
        <f>NA()</f>
        <v>#N/A</v>
      </c>
      <c r="K553" t="e">
        <f>NA()</f>
        <v>#N/A</v>
      </c>
      <c r="L553" t="e">
        <f>NA()</f>
        <v>#N/A</v>
      </c>
      <c r="M553">
        <v>5.2</v>
      </c>
      <c r="N553">
        <v>70</v>
      </c>
    </row>
    <row r="554" spans="1:14" x14ac:dyDescent="0.2">
      <c r="A554" t="s">
        <v>592</v>
      </c>
      <c r="B554" s="2">
        <v>1.305268686</v>
      </c>
      <c r="C554">
        <v>10</v>
      </c>
      <c r="D554" t="e">
        <f>NA()</f>
        <v>#N/A</v>
      </c>
      <c r="E554" s="2">
        <v>1.305268686</v>
      </c>
      <c r="F554" s="3">
        <v>0.338619538</v>
      </c>
      <c r="G554">
        <v>-23.2</v>
      </c>
      <c r="H554">
        <v>5.8999999999999997E-2</v>
      </c>
      <c r="I554" t="e">
        <f>NA()</f>
        <v>#N/A</v>
      </c>
      <c r="J554" t="e">
        <f>NA()</f>
        <v>#N/A</v>
      </c>
      <c r="K554" t="e">
        <f>NA()</f>
        <v>#N/A</v>
      </c>
      <c r="L554" t="e">
        <f>NA()</f>
        <v>#N/A</v>
      </c>
      <c r="M554">
        <v>5.8</v>
      </c>
      <c r="N554">
        <v>80</v>
      </c>
    </row>
    <row r="555" spans="1:14" x14ac:dyDescent="0.2">
      <c r="A555" t="s">
        <v>593</v>
      </c>
      <c r="B555" s="2">
        <v>1.6733169459999999</v>
      </c>
      <c r="C555">
        <v>10</v>
      </c>
      <c r="D555" t="e">
        <f>NA()</f>
        <v>#N/A</v>
      </c>
      <c r="E555" s="2">
        <v>1.6733169459999999</v>
      </c>
      <c r="F555" s="3">
        <v>0.48674524600000002</v>
      </c>
      <c r="G555">
        <v>-13.9</v>
      </c>
      <c r="H555">
        <v>5.2999999999999999E-2</v>
      </c>
      <c r="I555" t="e">
        <f>NA()</f>
        <v>#N/A</v>
      </c>
      <c r="J555" t="e">
        <f>NA()</f>
        <v>#N/A</v>
      </c>
      <c r="K555" t="e">
        <f>NA()</f>
        <v>#N/A</v>
      </c>
      <c r="L555" t="e">
        <f>NA()</f>
        <v>#N/A</v>
      </c>
      <c r="M555">
        <v>4.9000000000000004</v>
      </c>
      <c r="N555">
        <v>90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421E-11A5-5E43-87BD-957414A7DEA0}">
  <dimension ref="A1:O122"/>
  <sheetViews>
    <sheetView topLeftCell="A29" workbookViewId="0">
      <selection activeCell="J50" sqref="J50"/>
    </sheetView>
  </sheetViews>
  <sheetFormatPr baseColWidth="10" defaultRowHeight="15" x14ac:dyDescent="0.2"/>
  <cols>
    <col min="1" max="1" width="18.5" style="65" bestFit="1" customWidth="1"/>
    <col min="2" max="16384" width="10.83203125" style="65"/>
  </cols>
  <sheetData>
    <row r="1" spans="1:15" ht="16" x14ac:dyDescent="0.2">
      <c r="A1" s="71" t="s">
        <v>0</v>
      </c>
      <c r="B1" s="72" t="s">
        <v>1087</v>
      </c>
      <c r="C1" s="71" t="s">
        <v>979</v>
      </c>
      <c r="D1" s="71" t="s">
        <v>1086</v>
      </c>
      <c r="E1" s="71" t="s">
        <v>1088</v>
      </c>
      <c r="F1" s="71" t="s">
        <v>1054</v>
      </c>
      <c r="G1" s="71" t="s">
        <v>12</v>
      </c>
      <c r="H1" s="71" t="s">
        <v>1056</v>
      </c>
      <c r="I1" s="71" t="s">
        <v>4</v>
      </c>
      <c r="J1" s="71" t="s">
        <v>5</v>
      </c>
      <c r="K1" s="71" t="s">
        <v>1089</v>
      </c>
      <c r="L1" s="71" t="s">
        <v>1090</v>
      </c>
      <c r="M1" s="71" t="s">
        <v>2</v>
      </c>
      <c r="N1" s="71" t="s">
        <v>1091</v>
      </c>
      <c r="O1" s="67" t="s">
        <v>1068</v>
      </c>
    </row>
    <row r="2" spans="1:15" ht="16" x14ac:dyDescent="0.2">
      <c r="A2" s="65" t="s">
        <v>379</v>
      </c>
      <c r="B2" s="66">
        <v>1.3897952579999999</v>
      </c>
      <c r="C2" s="65">
        <v>10</v>
      </c>
      <c r="D2" s="66">
        <v>1.8656347769999999</v>
      </c>
      <c r="E2" s="66">
        <v>1.3638667550000001</v>
      </c>
      <c r="F2" s="69">
        <v>0.97646517300000002</v>
      </c>
      <c r="G2" s="65">
        <v>-22.4</v>
      </c>
      <c r="H2" s="65">
        <v>0.11</v>
      </c>
      <c r="I2" s="70">
        <v>207153.81330000001</v>
      </c>
      <c r="J2" s="70">
        <v>364647.0932</v>
      </c>
      <c r="K2" s="70" t="s">
        <v>42</v>
      </c>
      <c r="L2" s="70" t="s">
        <v>68</v>
      </c>
      <c r="M2" s="65">
        <v>4.3</v>
      </c>
      <c r="N2" s="65">
        <v>10</v>
      </c>
      <c r="O2" s="68">
        <v>18</v>
      </c>
    </row>
    <row r="3" spans="1:15" ht="16" x14ac:dyDescent="0.2">
      <c r="A3" s="65" t="s">
        <v>368</v>
      </c>
      <c r="B3" s="66">
        <v>1.641523431</v>
      </c>
      <c r="C3" s="65">
        <v>10</v>
      </c>
      <c r="D3" s="66">
        <v>5.5877867659999998</v>
      </c>
      <c r="E3" s="66">
        <v>1.5497986020000001</v>
      </c>
      <c r="F3" s="69">
        <v>0.159010551</v>
      </c>
      <c r="G3" s="65">
        <v>-26.4</v>
      </c>
      <c r="H3" s="65">
        <v>4.7E-2</v>
      </c>
      <c r="I3" s="70">
        <v>207084.47579999999</v>
      </c>
      <c r="J3" s="70">
        <v>364768.71610000002</v>
      </c>
      <c r="K3" s="70" t="s">
        <v>42</v>
      </c>
      <c r="L3" s="70" t="s">
        <v>68</v>
      </c>
      <c r="M3" s="65">
        <v>2.7</v>
      </c>
      <c r="N3" s="65">
        <v>100</v>
      </c>
      <c r="O3" s="68">
        <v>18</v>
      </c>
    </row>
    <row r="4" spans="1:15" ht="16" x14ac:dyDescent="0.2">
      <c r="A4" s="65" t="s">
        <v>360</v>
      </c>
      <c r="B4" s="66">
        <v>1.4800589740000001</v>
      </c>
      <c r="C4" s="65">
        <v>10</v>
      </c>
      <c r="D4" s="66">
        <v>2.415363294</v>
      </c>
      <c r="E4" s="66">
        <v>1.4443101730000001</v>
      </c>
      <c r="F4" s="69">
        <v>0.807919108</v>
      </c>
      <c r="G4" s="65">
        <v>-22.1</v>
      </c>
      <c r="H4" s="65">
        <v>0.1</v>
      </c>
      <c r="I4" s="70">
        <v>207084.47579999999</v>
      </c>
      <c r="J4" s="70">
        <v>364768.71610000002</v>
      </c>
      <c r="K4" s="70" t="s">
        <v>42</v>
      </c>
      <c r="L4" s="70" t="s">
        <v>68</v>
      </c>
      <c r="M4" s="65">
        <v>4.8</v>
      </c>
      <c r="N4" s="65">
        <v>20</v>
      </c>
      <c r="O4" s="68">
        <v>18</v>
      </c>
    </row>
    <row r="5" spans="1:15" ht="16" x14ac:dyDescent="0.2">
      <c r="A5" s="65" t="s">
        <v>361</v>
      </c>
      <c r="B5" s="66">
        <v>1.4904553169999999</v>
      </c>
      <c r="C5" s="65">
        <v>10</v>
      </c>
      <c r="D5" s="66">
        <v>1.5038217300000001</v>
      </c>
      <c r="E5" s="66">
        <v>1.4680415259999999</v>
      </c>
      <c r="F5" s="69">
        <v>0.83577960500000004</v>
      </c>
      <c r="G5" s="65">
        <v>-21.7</v>
      </c>
      <c r="H5" s="65">
        <v>9.4E-2</v>
      </c>
      <c r="I5" s="70">
        <v>207084.47579999999</v>
      </c>
      <c r="J5" s="70">
        <v>364768.71610000002</v>
      </c>
      <c r="K5" s="70" t="s">
        <v>42</v>
      </c>
      <c r="L5" s="70" t="s">
        <v>68</v>
      </c>
      <c r="M5" s="65">
        <v>4.8</v>
      </c>
      <c r="N5" s="65">
        <v>30</v>
      </c>
      <c r="O5" s="68">
        <v>18</v>
      </c>
    </row>
    <row r="6" spans="1:15" ht="16" x14ac:dyDescent="0.2">
      <c r="A6" s="65" t="s">
        <v>362</v>
      </c>
      <c r="B6" s="66">
        <v>1.552428039</v>
      </c>
      <c r="C6" s="65">
        <v>10</v>
      </c>
      <c r="D6" s="66">
        <v>1.4358821479999999</v>
      </c>
      <c r="E6" s="66">
        <v>1.5301370009999999</v>
      </c>
      <c r="F6" s="69">
        <v>0.39106192699999998</v>
      </c>
      <c r="G6" s="65">
        <v>-23.65</v>
      </c>
      <c r="H6" s="65">
        <v>5.2499999999999998E-2</v>
      </c>
      <c r="I6" s="70">
        <v>207084.47579999999</v>
      </c>
      <c r="J6" s="70">
        <v>364768.71610000002</v>
      </c>
      <c r="K6" s="70" t="s">
        <v>42</v>
      </c>
      <c r="L6" s="70" t="s">
        <v>68</v>
      </c>
      <c r="M6" s="65">
        <v>5.9</v>
      </c>
      <c r="N6" s="65">
        <v>40</v>
      </c>
      <c r="O6" s="68">
        <v>18</v>
      </c>
    </row>
    <row r="7" spans="1:15" ht="16" x14ac:dyDescent="0.2">
      <c r="A7" s="65" t="s">
        <v>363</v>
      </c>
      <c r="B7" s="66">
        <v>1.450412751</v>
      </c>
      <c r="C7" s="65">
        <v>10</v>
      </c>
      <c r="D7" s="66">
        <v>3.0564004229999999</v>
      </c>
      <c r="E7" s="66">
        <v>1.40608233</v>
      </c>
      <c r="F7" s="69">
        <v>0.21817730099999999</v>
      </c>
      <c r="G7" s="65">
        <v>-22.9</v>
      </c>
      <c r="H7" s="65">
        <v>4.4999999999999998E-2</v>
      </c>
      <c r="I7" s="70">
        <v>207084.47579999999</v>
      </c>
      <c r="J7" s="70">
        <v>364768.71610000002</v>
      </c>
      <c r="K7" s="70" t="s">
        <v>42</v>
      </c>
      <c r="L7" s="70" t="s">
        <v>68</v>
      </c>
      <c r="M7" s="65">
        <v>5.3</v>
      </c>
      <c r="N7" s="65">
        <v>50</v>
      </c>
      <c r="O7" s="68">
        <v>18</v>
      </c>
    </row>
    <row r="8" spans="1:15" ht="16" x14ac:dyDescent="0.2">
      <c r="A8" s="65" t="s">
        <v>364</v>
      </c>
      <c r="B8" s="66">
        <v>1.5728871170000001</v>
      </c>
      <c r="C8" s="65">
        <v>10</v>
      </c>
      <c r="D8" s="66">
        <v>1.5771242050000001</v>
      </c>
      <c r="E8" s="66">
        <v>1.5480807329999999</v>
      </c>
      <c r="F8" s="69">
        <v>0.17938326399999999</v>
      </c>
      <c r="G8" s="65">
        <v>-23.1</v>
      </c>
      <c r="H8" s="65">
        <v>4.2999999999999997E-2</v>
      </c>
      <c r="I8" s="70">
        <v>207084.47579999999</v>
      </c>
      <c r="J8" s="70">
        <v>364768.71610000002</v>
      </c>
      <c r="K8" s="70" t="s">
        <v>42</v>
      </c>
      <c r="L8" s="70" t="s">
        <v>68</v>
      </c>
      <c r="M8" s="65">
        <v>4.5</v>
      </c>
      <c r="N8" s="65">
        <v>60</v>
      </c>
      <c r="O8" s="68">
        <v>18</v>
      </c>
    </row>
    <row r="9" spans="1:15" ht="16" x14ac:dyDescent="0.2">
      <c r="A9" s="65" t="s">
        <v>365</v>
      </c>
      <c r="B9" s="66">
        <v>1.294617192</v>
      </c>
      <c r="C9" s="65">
        <v>10</v>
      </c>
      <c r="D9" s="66">
        <v>2.63062767</v>
      </c>
      <c r="E9" s="66">
        <v>1.260560634</v>
      </c>
      <c r="F9" s="69">
        <v>0.15708585999999999</v>
      </c>
      <c r="G9" s="65">
        <v>-24.5</v>
      </c>
      <c r="H9" s="65">
        <v>4.2000000000000003E-2</v>
      </c>
      <c r="I9" s="70">
        <v>207084.47579999999</v>
      </c>
      <c r="J9" s="70">
        <v>364768.71610000002</v>
      </c>
      <c r="K9" s="70" t="s">
        <v>42</v>
      </c>
      <c r="L9" s="70" t="s">
        <v>68</v>
      </c>
      <c r="M9" s="65">
        <v>3.8</v>
      </c>
      <c r="N9" s="65">
        <v>70</v>
      </c>
      <c r="O9" s="68">
        <v>18</v>
      </c>
    </row>
    <row r="10" spans="1:15" ht="16" x14ac:dyDescent="0.2">
      <c r="A10" s="65" t="s">
        <v>366</v>
      </c>
      <c r="B10" s="66">
        <v>1.8100572450000001</v>
      </c>
      <c r="C10" s="65">
        <v>10</v>
      </c>
      <c r="D10" s="66">
        <v>2.8731639539999998</v>
      </c>
      <c r="E10" s="66">
        <v>1.758051333</v>
      </c>
      <c r="F10" s="69">
        <v>0.174582243</v>
      </c>
      <c r="G10" s="65">
        <v>-25</v>
      </c>
      <c r="H10" s="65">
        <v>4.8000000000000001E-2</v>
      </c>
      <c r="I10" s="70">
        <v>207084.47579999999</v>
      </c>
      <c r="J10" s="70">
        <v>364768.71610000002</v>
      </c>
      <c r="K10" s="70" t="s">
        <v>42</v>
      </c>
      <c r="L10" s="70" t="s">
        <v>68</v>
      </c>
      <c r="M10" s="65">
        <v>3.4</v>
      </c>
      <c r="N10" s="65">
        <v>80</v>
      </c>
      <c r="O10" s="68">
        <v>18</v>
      </c>
    </row>
    <row r="11" spans="1:15" ht="16" x14ac:dyDescent="0.2">
      <c r="A11" s="65" t="s">
        <v>367</v>
      </c>
      <c r="B11" s="66">
        <v>1.4618016739999999</v>
      </c>
      <c r="C11" s="65">
        <v>10</v>
      </c>
      <c r="D11" s="66">
        <v>2.4649757650000002</v>
      </c>
      <c r="E11" s="66">
        <v>1.4257686169999999</v>
      </c>
      <c r="F11" s="69">
        <v>0.180125905</v>
      </c>
      <c r="G11" s="65">
        <v>-25.6</v>
      </c>
      <c r="H11" s="65">
        <v>4.7E-2</v>
      </c>
      <c r="I11" s="70">
        <v>207084.47579999999</v>
      </c>
      <c r="J11" s="70">
        <v>364768.71610000002</v>
      </c>
      <c r="K11" s="70" t="s">
        <v>42</v>
      </c>
      <c r="L11" s="70" t="s">
        <v>68</v>
      </c>
      <c r="M11" s="65">
        <v>3.3</v>
      </c>
      <c r="N11" s="65">
        <v>90</v>
      </c>
      <c r="O11" s="68">
        <v>18</v>
      </c>
    </row>
    <row r="12" spans="1:15" ht="16" x14ac:dyDescent="0.2">
      <c r="A12" s="65" t="s">
        <v>369</v>
      </c>
      <c r="B12" s="66">
        <v>1.687126304</v>
      </c>
      <c r="C12" s="65">
        <v>10</v>
      </c>
      <c r="D12" s="66">
        <v>0.30085435999999999</v>
      </c>
      <c r="E12" s="66">
        <v>1.6820505109999999</v>
      </c>
      <c r="F12" s="69">
        <v>0.771976938</v>
      </c>
      <c r="G12" s="65">
        <v>-22.2</v>
      </c>
      <c r="H12" s="65">
        <v>9.1999999999999998E-2</v>
      </c>
      <c r="I12" s="70">
        <v>207084.47579999999</v>
      </c>
      <c r="J12" s="70">
        <v>364768.71610000002</v>
      </c>
      <c r="K12" s="70" t="s">
        <v>42</v>
      </c>
      <c r="L12" s="70" t="s">
        <v>68</v>
      </c>
      <c r="M12" s="65">
        <v>4.7</v>
      </c>
      <c r="N12" s="65">
        <v>10</v>
      </c>
      <c r="O12" s="68">
        <v>19</v>
      </c>
    </row>
    <row r="13" spans="1:15" ht="16" x14ac:dyDescent="0.2">
      <c r="A13" s="65" t="s">
        <v>378</v>
      </c>
      <c r="B13" s="66">
        <v>1.686800332</v>
      </c>
      <c r="C13" s="65">
        <v>10</v>
      </c>
      <c r="D13" s="66">
        <v>0.13075789900000001</v>
      </c>
      <c r="E13" s="66">
        <v>1.684594707</v>
      </c>
      <c r="F13" s="69">
        <v>0.138689064</v>
      </c>
      <c r="G13" s="65">
        <v>-26.2</v>
      </c>
      <c r="H13" s="65">
        <v>3.5999999999999997E-2</v>
      </c>
      <c r="I13" s="70">
        <v>207084.47579999999</v>
      </c>
      <c r="J13" s="70">
        <v>364768.71610000002</v>
      </c>
      <c r="K13" s="70" t="s">
        <v>42</v>
      </c>
      <c r="L13" s="70" t="s">
        <v>68</v>
      </c>
      <c r="M13" s="65">
        <v>2.8</v>
      </c>
      <c r="N13" s="65">
        <v>100</v>
      </c>
      <c r="O13" s="68">
        <v>19</v>
      </c>
    </row>
    <row r="14" spans="1:15" ht="16" x14ac:dyDescent="0.2">
      <c r="A14" s="65" t="s">
        <v>370</v>
      </c>
      <c r="B14" s="66">
        <v>1.6624450770000001</v>
      </c>
      <c r="C14" s="65">
        <v>10</v>
      </c>
      <c r="D14" s="66">
        <v>0.207544062</v>
      </c>
      <c r="E14" s="66">
        <v>1.6589947709999999</v>
      </c>
      <c r="F14" s="69">
        <v>0.69684916299999999</v>
      </c>
      <c r="G14" s="65">
        <v>-22.1</v>
      </c>
      <c r="H14" s="65">
        <v>8.7999999999999995E-2</v>
      </c>
      <c r="I14" s="70">
        <v>207084.47579999999</v>
      </c>
      <c r="J14" s="70">
        <v>364768.71610000002</v>
      </c>
      <c r="K14" s="70" t="s">
        <v>42</v>
      </c>
      <c r="L14" s="70" t="s">
        <v>68</v>
      </c>
      <c r="M14" s="65">
        <v>4.9000000000000004</v>
      </c>
      <c r="N14" s="65">
        <v>20</v>
      </c>
      <c r="O14" s="68">
        <v>19</v>
      </c>
    </row>
    <row r="15" spans="1:15" ht="16" x14ac:dyDescent="0.2">
      <c r="A15" s="65" t="s">
        <v>371</v>
      </c>
      <c r="B15" s="66">
        <v>1.6264625539999999</v>
      </c>
      <c r="C15" s="65">
        <v>10</v>
      </c>
      <c r="D15" s="66">
        <v>0.142771764</v>
      </c>
      <c r="E15" s="66">
        <v>1.624140425</v>
      </c>
      <c r="F15" s="69">
        <v>0.55563233000000001</v>
      </c>
      <c r="G15" s="65">
        <v>-22.4</v>
      </c>
      <c r="H15" s="65">
        <v>7.0999999999999994E-2</v>
      </c>
      <c r="I15" s="70">
        <v>207084.47579999999</v>
      </c>
      <c r="J15" s="70">
        <v>364768.71610000002</v>
      </c>
      <c r="K15" s="70" t="s">
        <v>42</v>
      </c>
      <c r="L15" s="70" t="s">
        <v>68</v>
      </c>
      <c r="M15" s="65">
        <v>4.9000000000000004</v>
      </c>
      <c r="N15" s="65">
        <v>30</v>
      </c>
      <c r="O15" s="68">
        <v>19</v>
      </c>
    </row>
    <row r="16" spans="1:15" ht="16" x14ac:dyDescent="0.2">
      <c r="A16" s="65" t="s">
        <v>372</v>
      </c>
      <c r="B16" s="66">
        <v>1.5247797400000001</v>
      </c>
      <c r="C16" s="65">
        <v>10</v>
      </c>
      <c r="D16" s="66">
        <v>5.6577085999999999E-2</v>
      </c>
      <c r="E16" s="66">
        <v>1.5239170639999999</v>
      </c>
      <c r="F16" s="69">
        <v>0.29256759700000001</v>
      </c>
      <c r="G16" s="65">
        <v>-23.1</v>
      </c>
      <c r="H16" s="65">
        <v>4.9000000000000002E-2</v>
      </c>
      <c r="I16" s="70">
        <v>207084.47579999999</v>
      </c>
      <c r="J16" s="70">
        <v>364768.71610000002</v>
      </c>
      <c r="K16" s="70" t="s">
        <v>42</v>
      </c>
      <c r="L16" s="70" t="s">
        <v>68</v>
      </c>
      <c r="M16" s="65">
        <v>5.3</v>
      </c>
      <c r="N16" s="65">
        <v>40</v>
      </c>
      <c r="O16" s="68">
        <v>19</v>
      </c>
    </row>
    <row r="17" spans="1:15" ht="16" x14ac:dyDescent="0.2">
      <c r="A17" s="65" t="s">
        <v>373</v>
      </c>
      <c r="B17" s="66">
        <v>1.5886400890000001</v>
      </c>
      <c r="C17" s="65">
        <v>10</v>
      </c>
      <c r="D17" s="66">
        <v>6.9406573999999999E-2</v>
      </c>
      <c r="E17" s="66">
        <v>1.5875374689999999</v>
      </c>
      <c r="F17" s="69">
        <v>0.215122698</v>
      </c>
      <c r="G17" s="65">
        <v>-23</v>
      </c>
      <c r="H17" s="65">
        <v>4.7E-2</v>
      </c>
      <c r="I17" s="70">
        <v>207084.47579999999</v>
      </c>
      <c r="J17" s="70">
        <v>364768.71610000002</v>
      </c>
      <c r="K17" s="70" t="s">
        <v>42</v>
      </c>
      <c r="L17" s="70" t="s">
        <v>68</v>
      </c>
      <c r="M17" s="65">
        <v>4.5</v>
      </c>
      <c r="N17" s="65">
        <v>50</v>
      </c>
      <c r="O17" s="68">
        <v>19</v>
      </c>
    </row>
    <row r="18" spans="1:15" ht="16" x14ac:dyDescent="0.2">
      <c r="A18" s="65" t="s">
        <v>374</v>
      </c>
      <c r="B18" s="66">
        <v>1.506529223</v>
      </c>
      <c r="C18" s="65">
        <v>10</v>
      </c>
      <c r="D18" s="66">
        <v>5.8259538E-2</v>
      </c>
      <c r="E18" s="66">
        <v>1.5056515260000001</v>
      </c>
      <c r="F18" s="69">
        <v>0.15787831699999999</v>
      </c>
      <c r="G18" s="65">
        <v>-24.7</v>
      </c>
      <c r="H18" s="65">
        <v>4.2000000000000003E-2</v>
      </c>
      <c r="I18" s="70">
        <v>207084.47579999999</v>
      </c>
      <c r="J18" s="70">
        <v>364768.71610000002</v>
      </c>
      <c r="K18" s="70" t="s">
        <v>42</v>
      </c>
      <c r="L18" s="70" t="s">
        <v>68</v>
      </c>
      <c r="M18" s="65">
        <v>4.2</v>
      </c>
      <c r="N18" s="65">
        <v>60</v>
      </c>
      <c r="O18" s="68">
        <v>19</v>
      </c>
    </row>
    <row r="19" spans="1:15" ht="16" x14ac:dyDescent="0.2">
      <c r="A19" s="65" t="s">
        <v>375</v>
      </c>
      <c r="B19" s="66">
        <v>1.561158217</v>
      </c>
      <c r="C19" s="65">
        <v>10</v>
      </c>
      <c r="D19" s="66">
        <v>8.5768951999999996E-2</v>
      </c>
      <c r="E19" s="66">
        <v>1.5598192280000001</v>
      </c>
      <c r="F19" s="69">
        <v>0.16527900500000001</v>
      </c>
      <c r="G19" s="65">
        <v>-24.2</v>
      </c>
      <c r="H19" s="65">
        <v>4.3499999999999997E-2</v>
      </c>
      <c r="I19" s="70">
        <v>207084.47579999999</v>
      </c>
      <c r="J19" s="70">
        <v>364768.71610000002</v>
      </c>
      <c r="K19" s="70" t="s">
        <v>42</v>
      </c>
      <c r="L19" s="70" t="s">
        <v>68</v>
      </c>
      <c r="M19" s="65">
        <v>3.4</v>
      </c>
      <c r="N19" s="65">
        <v>70</v>
      </c>
      <c r="O19" s="68">
        <v>19</v>
      </c>
    </row>
    <row r="20" spans="1:15" ht="16" x14ac:dyDescent="0.2">
      <c r="A20" s="65" t="s">
        <v>376</v>
      </c>
      <c r="B20" s="66">
        <v>1.4845566290000001</v>
      </c>
      <c r="C20" s="65">
        <v>10</v>
      </c>
      <c r="D20" s="66">
        <v>0.117374773</v>
      </c>
      <c r="E20" s="66">
        <v>1.4828141340000001</v>
      </c>
      <c r="F20" s="69">
        <v>0.13959053499999999</v>
      </c>
      <c r="G20" s="65">
        <v>-24.9</v>
      </c>
      <c r="H20" s="65">
        <v>0.04</v>
      </c>
      <c r="I20" s="70">
        <v>207084.47579999999</v>
      </c>
      <c r="J20" s="70">
        <v>364768.71610000002</v>
      </c>
      <c r="K20" s="70" t="s">
        <v>42</v>
      </c>
      <c r="L20" s="70" t="s">
        <v>68</v>
      </c>
      <c r="M20" s="65">
        <v>3.3</v>
      </c>
      <c r="N20" s="65">
        <v>80</v>
      </c>
      <c r="O20" s="68">
        <v>19</v>
      </c>
    </row>
    <row r="21" spans="1:15" ht="16" x14ac:dyDescent="0.2">
      <c r="A21" s="65" t="s">
        <v>377</v>
      </c>
      <c r="B21" s="66">
        <v>1.7731234469999999</v>
      </c>
      <c r="C21" s="65">
        <v>10</v>
      </c>
      <c r="D21" s="66">
        <v>5.3330666999999998E-2</v>
      </c>
      <c r="E21" s="66">
        <v>1.7721778290000001</v>
      </c>
      <c r="F21" s="69">
        <v>0.14664660099999999</v>
      </c>
      <c r="G21" s="65">
        <v>-26.5</v>
      </c>
      <c r="H21" s="65">
        <v>0.04</v>
      </c>
      <c r="I21" s="70">
        <v>207084.47579999999</v>
      </c>
      <c r="J21" s="70">
        <v>364768.71610000002</v>
      </c>
      <c r="K21" s="70" t="s">
        <v>42</v>
      </c>
      <c r="L21" s="70" t="s">
        <v>68</v>
      </c>
      <c r="M21" s="65">
        <v>2.8</v>
      </c>
      <c r="N21" s="65">
        <v>90</v>
      </c>
      <c r="O21" s="68">
        <v>19</v>
      </c>
    </row>
    <row r="22" spans="1:15" ht="16" x14ac:dyDescent="0.2">
      <c r="A22" s="65" t="s">
        <v>41</v>
      </c>
      <c r="B22" s="66">
        <v>0.93094835600000003</v>
      </c>
      <c r="C22" s="65">
        <v>10</v>
      </c>
      <c r="D22" s="66">
        <v>0.22408963600000001</v>
      </c>
      <c r="E22" s="66">
        <v>0.92886219699999995</v>
      </c>
      <c r="F22" s="69">
        <v>1.6867043479999999</v>
      </c>
      <c r="G22" s="65">
        <v>-21.55</v>
      </c>
      <c r="H22" s="65">
        <v>0.16</v>
      </c>
      <c r="I22" s="70">
        <v>207224.80119999999</v>
      </c>
      <c r="J22" s="70">
        <v>364768.04080000002</v>
      </c>
      <c r="K22" s="70" t="s">
        <v>42</v>
      </c>
      <c r="L22" s="70" t="s">
        <v>43</v>
      </c>
      <c r="M22" s="65">
        <v>4.3</v>
      </c>
      <c r="N22" s="65">
        <v>10</v>
      </c>
      <c r="O22" s="68">
        <v>18</v>
      </c>
    </row>
    <row r="23" spans="1:15" ht="16" x14ac:dyDescent="0.2">
      <c r="A23" s="65" t="s">
        <v>350</v>
      </c>
      <c r="B23" s="66">
        <v>1.2945954749999999</v>
      </c>
      <c r="C23" s="65">
        <v>10</v>
      </c>
      <c r="D23" s="66">
        <v>2.1607965E-2</v>
      </c>
      <c r="E23" s="66">
        <v>1.294315739</v>
      </c>
      <c r="F23" s="69">
        <v>0.12226912099999999</v>
      </c>
      <c r="G23" s="65">
        <v>-26.1</v>
      </c>
      <c r="H23" s="65">
        <v>2.8000000000000001E-2</v>
      </c>
      <c r="I23" s="70">
        <v>207224.80119999999</v>
      </c>
      <c r="J23" s="70">
        <v>364768.04080000002</v>
      </c>
      <c r="K23" s="70" t="s">
        <v>42</v>
      </c>
      <c r="L23" s="70" t="s">
        <v>43</v>
      </c>
      <c r="M23" s="65">
        <v>2.9</v>
      </c>
      <c r="N23" s="65">
        <v>100</v>
      </c>
      <c r="O23" s="68">
        <v>18</v>
      </c>
    </row>
    <row r="24" spans="1:15" ht="16" x14ac:dyDescent="0.2">
      <c r="A24" s="65" t="s">
        <v>351</v>
      </c>
      <c r="B24" s="66">
        <v>1.4918772010000001</v>
      </c>
      <c r="C24" s="65">
        <v>10</v>
      </c>
      <c r="D24" s="66">
        <v>0.140649303</v>
      </c>
      <c r="E24" s="66">
        <v>1.4897788860000001</v>
      </c>
      <c r="F24" s="69">
        <v>8.8233267000000004E-2</v>
      </c>
      <c r="G24" s="65">
        <v>-27.9</v>
      </c>
      <c r="H24" s="65">
        <v>2.4E-2</v>
      </c>
      <c r="I24" s="70">
        <v>207224.80119999999</v>
      </c>
      <c r="J24" s="70">
        <v>364768.04080000002</v>
      </c>
      <c r="K24" s="70" t="s">
        <v>42</v>
      </c>
      <c r="L24" s="70" t="s">
        <v>43</v>
      </c>
      <c r="M24" s="65">
        <v>3.6</v>
      </c>
      <c r="N24" s="65">
        <v>110</v>
      </c>
      <c r="O24" s="68">
        <v>18</v>
      </c>
    </row>
    <row r="25" spans="1:15" ht="16" x14ac:dyDescent="0.2">
      <c r="A25" s="65" t="s">
        <v>44</v>
      </c>
      <c r="B25" s="66">
        <v>1.374130898</v>
      </c>
      <c r="C25" s="65">
        <v>10</v>
      </c>
      <c r="D25" s="66">
        <v>0.50767278199999999</v>
      </c>
      <c r="E25" s="66">
        <v>1.3671548099999999</v>
      </c>
      <c r="F25" s="69">
        <v>1.4858071980000001</v>
      </c>
      <c r="G25" s="65">
        <v>-21.2</v>
      </c>
      <c r="H25" s="65">
        <v>0.16</v>
      </c>
      <c r="I25" s="70">
        <v>207224.80119999999</v>
      </c>
      <c r="J25" s="70">
        <v>364768.04080000002</v>
      </c>
      <c r="K25" s="70" t="s">
        <v>42</v>
      </c>
      <c r="L25" s="70" t="s">
        <v>43</v>
      </c>
      <c r="M25" s="65">
        <v>4.7</v>
      </c>
      <c r="N25" s="65">
        <v>20</v>
      </c>
      <c r="O25" s="68">
        <v>18</v>
      </c>
    </row>
    <row r="26" spans="1:15" ht="16" x14ac:dyDescent="0.2">
      <c r="A26" s="65" t="s">
        <v>45</v>
      </c>
      <c r="B26" s="66">
        <v>1.421491104</v>
      </c>
      <c r="C26" s="65">
        <v>10</v>
      </c>
      <c r="D26" s="66">
        <v>0.32316803100000002</v>
      </c>
      <c r="E26" s="66">
        <v>1.4168973</v>
      </c>
      <c r="F26" s="69">
        <v>1.0520801820000001</v>
      </c>
      <c r="G26" s="65">
        <v>-21.9</v>
      </c>
      <c r="H26" s="65">
        <v>0.11</v>
      </c>
      <c r="I26" s="70">
        <v>207224.80119999999</v>
      </c>
      <c r="J26" s="70">
        <v>364768.04080000002</v>
      </c>
      <c r="K26" s="70" t="s">
        <v>42</v>
      </c>
      <c r="L26" s="70" t="s">
        <v>43</v>
      </c>
      <c r="M26" s="65">
        <v>5</v>
      </c>
      <c r="N26" s="65">
        <v>30</v>
      </c>
      <c r="O26" s="68">
        <v>18</v>
      </c>
    </row>
    <row r="27" spans="1:15" ht="16" x14ac:dyDescent="0.2">
      <c r="A27" s="65" t="s">
        <v>46</v>
      </c>
      <c r="B27" s="66">
        <v>1.5503735359999999</v>
      </c>
      <c r="C27" s="65">
        <v>10</v>
      </c>
      <c r="D27" s="66">
        <v>0.27986303200000001</v>
      </c>
      <c r="E27" s="66">
        <v>1.5460346140000001</v>
      </c>
      <c r="F27" s="69">
        <v>0.49196556800000002</v>
      </c>
      <c r="G27" s="65">
        <v>-22.5</v>
      </c>
      <c r="H27" s="65">
        <v>5.7000000000000002E-2</v>
      </c>
      <c r="I27" s="70">
        <v>207224.80119999999</v>
      </c>
      <c r="J27" s="70">
        <v>364768.04080000002</v>
      </c>
      <c r="K27" s="70" t="s">
        <v>42</v>
      </c>
      <c r="L27" s="70" t="s">
        <v>43</v>
      </c>
      <c r="M27" s="65">
        <v>6.3</v>
      </c>
      <c r="N27" s="65">
        <v>40</v>
      </c>
      <c r="O27" s="68">
        <v>18</v>
      </c>
    </row>
    <row r="28" spans="1:15" ht="16" x14ac:dyDescent="0.2">
      <c r="A28" s="65" t="s">
        <v>47</v>
      </c>
      <c r="B28" s="66">
        <v>1.7626099690000001</v>
      </c>
      <c r="C28" s="65">
        <v>10</v>
      </c>
      <c r="D28" s="66">
        <v>0.56690273899999999</v>
      </c>
      <c r="E28" s="66">
        <v>1.7526176849999999</v>
      </c>
      <c r="F28" s="69">
        <v>0.232570529</v>
      </c>
      <c r="G28" s="65">
        <v>-20.9</v>
      </c>
      <c r="H28" s="65">
        <v>4.3999999999999997E-2</v>
      </c>
      <c r="I28" s="70">
        <v>207224.80119999999</v>
      </c>
      <c r="J28" s="70">
        <v>364768.04080000002</v>
      </c>
      <c r="K28" s="70" t="s">
        <v>42</v>
      </c>
      <c r="L28" s="70" t="s">
        <v>43</v>
      </c>
      <c r="M28" s="65">
        <v>6.4</v>
      </c>
      <c r="N28" s="65">
        <v>50</v>
      </c>
      <c r="O28" s="68">
        <v>18</v>
      </c>
    </row>
    <row r="29" spans="1:15" ht="16" x14ac:dyDescent="0.2">
      <c r="A29" s="65" t="s">
        <v>346</v>
      </c>
      <c r="B29" s="66">
        <v>1.530168435</v>
      </c>
      <c r="C29" s="65">
        <v>10</v>
      </c>
      <c r="D29" s="66">
        <v>0.87501871499999995</v>
      </c>
      <c r="E29" s="66">
        <v>1.5167791740000001</v>
      </c>
      <c r="F29" s="69">
        <v>0.18517167400000001</v>
      </c>
      <c r="G29" s="65">
        <v>-21.2</v>
      </c>
      <c r="H29" s="65">
        <v>4.1000000000000002E-2</v>
      </c>
      <c r="I29" s="70">
        <v>207224.80119999999</v>
      </c>
      <c r="J29" s="70">
        <v>364768.04080000002</v>
      </c>
      <c r="K29" s="70" t="s">
        <v>42</v>
      </c>
      <c r="L29" s="70" t="s">
        <v>43</v>
      </c>
      <c r="M29" s="65">
        <v>5.5</v>
      </c>
      <c r="N29" s="65">
        <v>60</v>
      </c>
      <c r="O29" s="68">
        <v>18</v>
      </c>
    </row>
    <row r="30" spans="1:15" ht="16" x14ac:dyDescent="0.2">
      <c r="A30" s="65" t="s">
        <v>347</v>
      </c>
      <c r="B30" s="66">
        <v>1.5898376030000001</v>
      </c>
      <c r="C30" s="65">
        <v>10</v>
      </c>
      <c r="D30" s="66">
        <v>0.114297073</v>
      </c>
      <c r="E30" s="66">
        <v>1.588020465</v>
      </c>
      <c r="F30" s="69">
        <v>0.16576269900000001</v>
      </c>
      <c r="G30" s="65">
        <v>-21.9</v>
      </c>
      <c r="H30" s="65">
        <v>3.9E-2</v>
      </c>
      <c r="I30" s="70">
        <v>207224.80119999999</v>
      </c>
      <c r="J30" s="70">
        <v>364768.04080000002</v>
      </c>
      <c r="K30" s="70" t="s">
        <v>42</v>
      </c>
      <c r="L30" s="70" t="s">
        <v>43</v>
      </c>
      <c r="M30" s="65">
        <v>5.2</v>
      </c>
      <c r="N30" s="65">
        <v>70</v>
      </c>
      <c r="O30" s="68">
        <v>18</v>
      </c>
    </row>
    <row r="31" spans="1:15" ht="16" x14ac:dyDescent="0.2">
      <c r="A31" s="65" t="s">
        <v>348</v>
      </c>
      <c r="B31" s="66">
        <v>1.495895499</v>
      </c>
      <c r="C31" s="65">
        <v>10</v>
      </c>
      <c r="D31" s="66">
        <v>0</v>
      </c>
      <c r="E31" s="66">
        <v>1.495895499</v>
      </c>
      <c r="F31" s="69">
        <v>0.13610828599999999</v>
      </c>
      <c r="G31" s="65">
        <v>-23.15</v>
      </c>
      <c r="H31" s="65">
        <v>3.3500000000000002E-2</v>
      </c>
      <c r="I31" s="70">
        <v>207224.80119999999</v>
      </c>
      <c r="J31" s="70">
        <v>364768.04080000002</v>
      </c>
      <c r="K31" s="70" t="s">
        <v>42</v>
      </c>
      <c r="L31" s="70" t="s">
        <v>43</v>
      </c>
      <c r="M31" s="65">
        <v>3.8</v>
      </c>
      <c r="N31" s="65">
        <v>80</v>
      </c>
      <c r="O31" s="68">
        <v>18</v>
      </c>
    </row>
    <row r="32" spans="1:15" ht="16" x14ac:dyDescent="0.2">
      <c r="A32" s="65" t="s">
        <v>349</v>
      </c>
      <c r="B32" s="66">
        <v>1.484127151</v>
      </c>
      <c r="C32" s="65">
        <v>10</v>
      </c>
      <c r="D32" s="66">
        <v>0</v>
      </c>
      <c r="E32" s="66">
        <v>1.484127151</v>
      </c>
      <c r="F32" s="69">
        <v>0.12537274100000001</v>
      </c>
      <c r="G32" s="65">
        <v>-25.2</v>
      </c>
      <c r="H32" s="65">
        <v>0.03</v>
      </c>
      <c r="I32" s="70">
        <v>207224.80119999999</v>
      </c>
      <c r="J32" s="70">
        <v>364768.04080000002</v>
      </c>
      <c r="K32" s="70" t="s">
        <v>42</v>
      </c>
      <c r="L32" s="70" t="s">
        <v>43</v>
      </c>
      <c r="M32" s="65">
        <v>2.9</v>
      </c>
      <c r="N32" s="65">
        <v>90</v>
      </c>
      <c r="O32" s="68">
        <v>18</v>
      </c>
    </row>
    <row r="33" spans="1:15" ht="16" x14ac:dyDescent="0.2">
      <c r="A33" s="65" t="s">
        <v>352</v>
      </c>
      <c r="B33" s="66">
        <v>1.269079292</v>
      </c>
      <c r="C33" s="65">
        <v>10</v>
      </c>
      <c r="D33" s="66">
        <v>2.3711712899999999</v>
      </c>
      <c r="E33" s="66">
        <v>1.238987249</v>
      </c>
      <c r="F33" s="69">
        <v>1.5090176390000001</v>
      </c>
      <c r="G33" s="65">
        <v>-21.25</v>
      </c>
      <c r="H33" s="65">
        <v>0.155</v>
      </c>
      <c r="I33" s="70">
        <v>207224.80119999999</v>
      </c>
      <c r="J33" s="70">
        <v>364768.04080000002</v>
      </c>
      <c r="K33" s="70" t="s">
        <v>42</v>
      </c>
      <c r="L33" s="70" t="s">
        <v>43</v>
      </c>
      <c r="M33" s="65">
        <v>5</v>
      </c>
      <c r="N33" s="65">
        <v>10</v>
      </c>
      <c r="O33" s="73">
        <v>19</v>
      </c>
    </row>
    <row r="34" spans="1:15" ht="16" x14ac:dyDescent="0.2">
      <c r="A34" s="65" t="s">
        <v>353</v>
      </c>
      <c r="B34" s="66">
        <v>1.393059542</v>
      </c>
      <c r="C34" s="65">
        <v>10</v>
      </c>
      <c r="D34" s="66">
        <v>3.5345386799999998</v>
      </c>
      <c r="E34" s="66">
        <v>1.3438213139999999</v>
      </c>
      <c r="F34" s="69">
        <v>1.169151936</v>
      </c>
      <c r="G34" s="65">
        <v>-21.5</v>
      </c>
      <c r="H34" s="65">
        <v>0.13</v>
      </c>
      <c r="I34" s="70">
        <v>207224.80119999999</v>
      </c>
      <c r="J34" s="70">
        <v>364768.04080000002</v>
      </c>
      <c r="K34" s="70" t="s">
        <v>42</v>
      </c>
      <c r="L34" s="70" t="s">
        <v>43</v>
      </c>
      <c r="M34" s="65">
        <v>5.2</v>
      </c>
      <c r="N34" s="65">
        <v>20</v>
      </c>
      <c r="O34" s="73">
        <v>19</v>
      </c>
    </row>
    <row r="35" spans="1:15" ht="16" x14ac:dyDescent="0.2">
      <c r="A35" s="65" t="s">
        <v>354</v>
      </c>
      <c r="B35" s="66">
        <v>1.3473057450000001</v>
      </c>
      <c r="C35" s="65">
        <v>10</v>
      </c>
      <c r="D35" s="66">
        <v>4.2024438569999996</v>
      </c>
      <c r="E35" s="66">
        <v>1.2906859770000001</v>
      </c>
      <c r="F35" s="69">
        <v>0.85866207100000003</v>
      </c>
      <c r="G35" s="65">
        <v>-22.6</v>
      </c>
      <c r="H35" s="65">
        <v>0.1</v>
      </c>
      <c r="I35" s="70">
        <v>207224.80119999999</v>
      </c>
      <c r="J35" s="70">
        <v>364768.04080000002</v>
      </c>
      <c r="K35" s="70" t="s">
        <v>42</v>
      </c>
      <c r="L35" s="70" t="s">
        <v>43</v>
      </c>
      <c r="M35" s="65">
        <v>5.4</v>
      </c>
      <c r="N35" s="65">
        <v>30</v>
      </c>
      <c r="O35" s="73">
        <v>19</v>
      </c>
    </row>
    <row r="36" spans="1:15" ht="16" x14ac:dyDescent="0.2">
      <c r="A36" s="65" t="s">
        <v>355</v>
      </c>
      <c r="B36" s="66">
        <v>1.447878657</v>
      </c>
      <c r="C36" s="65">
        <v>10</v>
      </c>
      <c r="D36" s="66">
        <v>2.0096688500000002</v>
      </c>
      <c r="E36" s="66">
        <v>1.418781091</v>
      </c>
      <c r="F36" s="69">
        <v>0.70762232700000005</v>
      </c>
      <c r="G36" s="65">
        <v>-23.5</v>
      </c>
      <c r="H36" s="65">
        <v>8.3000000000000004E-2</v>
      </c>
      <c r="I36" s="70">
        <v>207224.80119999999</v>
      </c>
      <c r="J36" s="70">
        <v>364768.04080000002</v>
      </c>
      <c r="K36" s="70" t="s">
        <v>42</v>
      </c>
      <c r="L36" s="70" t="s">
        <v>43</v>
      </c>
      <c r="M36" s="65">
        <v>5.5</v>
      </c>
      <c r="N36" s="65">
        <v>40</v>
      </c>
      <c r="O36" s="73">
        <v>19</v>
      </c>
    </row>
    <row r="37" spans="1:15" ht="16" x14ac:dyDescent="0.2">
      <c r="A37" s="65" t="s">
        <v>356</v>
      </c>
      <c r="B37" s="66">
        <v>1.7974030839999999</v>
      </c>
      <c r="C37" s="65">
        <v>10</v>
      </c>
      <c r="D37" s="66">
        <v>5.1331175269999996</v>
      </c>
      <c r="E37" s="66">
        <v>1.705140272</v>
      </c>
      <c r="F37" s="69">
        <v>0.29465600600000003</v>
      </c>
      <c r="G37" s="65">
        <v>-22.5</v>
      </c>
      <c r="H37" s="65">
        <v>0.05</v>
      </c>
      <c r="I37" s="70">
        <v>207224.80119999999</v>
      </c>
      <c r="J37" s="70">
        <v>364768.04080000002</v>
      </c>
      <c r="K37" s="70" t="s">
        <v>42</v>
      </c>
      <c r="L37" s="70" t="s">
        <v>43</v>
      </c>
      <c r="M37" s="65">
        <v>5.7</v>
      </c>
      <c r="N37" s="65">
        <v>50</v>
      </c>
      <c r="O37" s="73">
        <v>19</v>
      </c>
    </row>
    <row r="38" spans="1:15" ht="16" x14ac:dyDescent="0.2">
      <c r="A38" s="65" t="s">
        <v>357</v>
      </c>
      <c r="B38" s="66">
        <v>1.8168607059999999</v>
      </c>
      <c r="C38" s="65">
        <v>10</v>
      </c>
      <c r="D38" s="66">
        <v>10.46359805</v>
      </c>
      <c r="E38" s="66">
        <v>1.6267517039999999</v>
      </c>
      <c r="F38" s="69">
        <v>0.22773095400000001</v>
      </c>
      <c r="G38" s="65">
        <v>-22.9</v>
      </c>
      <c r="H38" s="65">
        <v>4.7E-2</v>
      </c>
      <c r="I38" s="70">
        <v>207224.80119999999</v>
      </c>
      <c r="J38" s="70">
        <v>364768.04080000002</v>
      </c>
      <c r="K38" s="70" t="s">
        <v>42</v>
      </c>
      <c r="L38" s="70" t="s">
        <v>43</v>
      </c>
      <c r="M38" s="65">
        <v>4.7</v>
      </c>
      <c r="N38" s="65">
        <v>60</v>
      </c>
      <c r="O38" s="73">
        <v>19</v>
      </c>
    </row>
    <row r="39" spans="1:15" ht="16" x14ac:dyDescent="0.2">
      <c r="A39" s="65" t="s">
        <v>358</v>
      </c>
      <c r="B39" s="66">
        <v>1.7487105199999999</v>
      </c>
      <c r="C39" s="65">
        <v>10</v>
      </c>
      <c r="D39" s="66">
        <v>1.308221683</v>
      </c>
      <c r="E39" s="66">
        <v>1.72583351</v>
      </c>
      <c r="F39" s="69">
        <v>0.15850551199999999</v>
      </c>
      <c r="G39" s="65">
        <v>-23.1</v>
      </c>
      <c r="H39" s="65">
        <v>4.2999999999999997E-2</v>
      </c>
      <c r="I39" s="70">
        <v>207224.80119999999</v>
      </c>
      <c r="J39" s="70">
        <v>364768.04080000002</v>
      </c>
      <c r="K39" s="70" t="s">
        <v>42</v>
      </c>
      <c r="L39" s="70" t="s">
        <v>43</v>
      </c>
      <c r="M39" s="65">
        <v>3.9</v>
      </c>
      <c r="N39" s="65">
        <v>70</v>
      </c>
      <c r="O39" s="73">
        <v>19</v>
      </c>
    </row>
    <row r="40" spans="1:15" ht="16" x14ac:dyDescent="0.2">
      <c r="A40" s="65" t="s">
        <v>359</v>
      </c>
      <c r="B40" s="66">
        <v>2.0225676039999998</v>
      </c>
      <c r="C40" s="65">
        <v>5</v>
      </c>
      <c r="D40" s="66">
        <v>8.4410532999999996E-2</v>
      </c>
      <c r="E40" s="66">
        <v>2.0208603429999998</v>
      </c>
      <c r="F40" s="69">
        <v>0.158123289</v>
      </c>
      <c r="G40" s="65">
        <v>-24</v>
      </c>
      <c r="H40" s="65">
        <v>4.1000000000000002E-2</v>
      </c>
      <c r="I40" s="70">
        <v>207224.80119999999</v>
      </c>
      <c r="J40" s="70">
        <v>364768.04080000002</v>
      </c>
      <c r="K40" s="70" t="s">
        <v>42</v>
      </c>
      <c r="L40" s="70" t="s">
        <v>43</v>
      </c>
      <c r="M40" s="65">
        <v>3.35</v>
      </c>
      <c r="N40" s="65">
        <v>75</v>
      </c>
      <c r="O40" s="73">
        <v>19</v>
      </c>
    </row>
    <row r="41" spans="1:15" ht="16" x14ac:dyDescent="0.2">
      <c r="A41" s="78" t="s">
        <v>380</v>
      </c>
      <c r="B41" s="79">
        <v>1.5649328739999999</v>
      </c>
      <c r="C41" s="78">
        <v>10</v>
      </c>
      <c r="D41" s="79">
        <v>1.942131077</v>
      </c>
      <c r="E41" s="79">
        <v>1.5345398260000001</v>
      </c>
      <c r="F41" s="80">
        <v>0.95104343499999999</v>
      </c>
      <c r="G41" s="78">
        <v>-22.2</v>
      </c>
      <c r="H41" s="78">
        <v>0.11</v>
      </c>
      <c r="I41" s="81">
        <v>207153.81330000001</v>
      </c>
      <c r="J41" s="81">
        <v>364647.0932</v>
      </c>
      <c r="K41" s="81" t="s">
        <v>42</v>
      </c>
      <c r="L41" s="81" t="s">
        <v>81</v>
      </c>
      <c r="M41" s="78">
        <v>4.5</v>
      </c>
      <c r="N41" s="78">
        <v>10</v>
      </c>
      <c r="O41" s="82">
        <v>18</v>
      </c>
    </row>
    <row r="42" spans="1:15" ht="16" x14ac:dyDescent="0.2">
      <c r="A42" s="65" t="s">
        <v>389</v>
      </c>
      <c r="B42" s="66">
        <v>1.620224627</v>
      </c>
      <c r="C42" s="65">
        <v>10</v>
      </c>
      <c r="D42" s="66">
        <v>6.5759338290000002</v>
      </c>
      <c r="E42" s="66">
        <v>1.513679727</v>
      </c>
      <c r="F42" s="69">
        <v>0.12967246199999999</v>
      </c>
      <c r="G42" s="65">
        <v>-25.5</v>
      </c>
      <c r="H42" s="65">
        <v>3.4000000000000002E-2</v>
      </c>
      <c r="I42" s="70">
        <v>207153.81330000001</v>
      </c>
      <c r="J42" s="70">
        <v>364647.0932</v>
      </c>
      <c r="K42" s="70" t="s">
        <v>42</v>
      </c>
      <c r="L42" s="70" t="s">
        <v>81</v>
      </c>
      <c r="M42" s="65">
        <v>4.4000000000000004</v>
      </c>
      <c r="N42" s="65">
        <v>100</v>
      </c>
      <c r="O42" s="68">
        <v>18</v>
      </c>
    </row>
    <row r="43" spans="1:15" ht="16" x14ac:dyDescent="0.2">
      <c r="A43" s="65" t="s">
        <v>390</v>
      </c>
      <c r="B43" s="66">
        <v>1.0914423099999999</v>
      </c>
      <c r="C43" s="65">
        <v>10</v>
      </c>
      <c r="D43" s="66">
        <v>8.0537806179999993</v>
      </c>
      <c r="E43" s="66">
        <v>1.0035399410000001</v>
      </c>
      <c r="F43" s="69">
        <v>0.122579076</v>
      </c>
      <c r="G43" s="65">
        <v>-27.3</v>
      </c>
      <c r="H43" s="65">
        <v>2.9000000000000001E-2</v>
      </c>
      <c r="I43" s="70">
        <v>207153.81330000001</v>
      </c>
      <c r="J43" s="70">
        <v>364647.0932</v>
      </c>
      <c r="K43" s="70" t="s">
        <v>42</v>
      </c>
      <c r="L43" s="70" t="s">
        <v>81</v>
      </c>
      <c r="M43" s="65">
        <v>2.1</v>
      </c>
      <c r="N43" s="65">
        <v>110</v>
      </c>
      <c r="O43" s="68">
        <v>18</v>
      </c>
    </row>
    <row r="44" spans="1:15" ht="16" x14ac:dyDescent="0.2">
      <c r="A44" s="65" t="s">
        <v>381</v>
      </c>
      <c r="B44" s="66">
        <v>1.503467876</v>
      </c>
      <c r="C44" s="65">
        <v>10</v>
      </c>
      <c r="D44" s="66">
        <v>0.72104176399999997</v>
      </c>
      <c r="E44" s="66">
        <v>1.492627245</v>
      </c>
      <c r="F44" s="69">
        <v>1.04766011</v>
      </c>
      <c r="G44" s="65">
        <v>-22.4</v>
      </c>
      <c r="H44" s="65">
        <v>0.12</v>
      </c>
      <c r="I44" s="70">
        <v>207153.81330000001</v>
      </c>
      <c r="J44" s="70">
        <v>364647.0932</v>
      </c>
      <c r="K44" s="70" t="s">
        <v>42</v>
      </c>
      <c r="L44" s="70" t="s">
        <v>81</v>
      </c>
      <c r="M44" s="65">
        <v>4.8</v>
      </c>
      <c r="N44" s="65">
        <v>20</v>
      </c>
      <c r="O44" s="68">
        <v>18</v>
      </c>
    </row>
    <row r="45" spans="1:15" ht="16" x14ac:dyDescent="0.2">
      <c r="A45" s="65" t="s">
        <v>382</v>
      </c>
      <c r="B45" s="66">
        <v>1.5069700399999999</v>
      </c>
      <c r="C45" s="65">
        <v>10</v>
      </c>
      <c r="D45" s="66">
        <v>0.433868217</v>
      </c>
      <c r="E45" s="66">
        <v>1.5004317760000001</v>
      </c>
      <c r="F45" s="69">
        <v>0.68868873100000005</v>
      </c>
      <c r="G45" s="65">
        <v>-22.7</v>
      </c>
      <c r="H45" s="65">
        <v>0.08</v>
      </c>
      <c r="I45" s="70">
        <v>207153.81330000001</v>
      </c>
      <c r="J45" s="70">
        <v>364647.0932</v>
      </c>
      <c r="K45" s="70" t="s">
        <v>42</v>
      </c>
      <c r="L45" s="70" t="s">
        <v>81</v>
      </c>
      <c r="M45" s="65">
        <v>4.95</v>
      </c>
      <c r="N45" s="65">
        <v>30</v>
      </c>
      <c r="O45" s="68">
        <v>18</v>
      </c>
    </row>
    <row r="46" spans="1:15" ht="16" x14ac:dyDescent="0.2">
      <c r="A46" s="65" t="s">
        <v>383</v>
      </c>
      <c r="B46" s="66">
        <v>1.4735695150000001</v>
      </c>
      <c r="C46" s="65">
        <v>10</v>
      </c>
      <c r="D46" s="66">
        <v>0.28113578900000002</v>
      </c>
      <c r="E46" s="66">
        <v>1.4694267839999999</v>
      </c>
      <c r="F46" s="69">
        <v>0.64900472200000003</v>
      </c>
      <c r="G46" s="65">
        <v>-23.6</v>
      </c>
      <c r="H46" s="65">
        <v>7.2999999999999995E-2</v>
      </c>
      <c r="I46" s="70">
        <v>207153.81330000001</v>
      </c>
      <c r="J46" s="70">
        <v>364647.0932</v>
      </c>
      <c r="K46" s="70" t="s">
        <v>42</v>
      </c>
      <c r="L46" s="70" t="s">
        <v>81</v>
      </c>
      <c r="M46" s="65">
        <v>4.7</v>
      </c>
      <c r="N46" s="65">
        <v>40</v>
      </c>
      <c r="O46" s="68">
        <v>18</v>
      </c>
    </row>
    <row r="47" spans="1:15" ht="16" x14ac:dyDescent="0.2">
      <c r="A47" s="65" t="s">
        <v>384</v>
      </c>
      <c r="B47" s="66">
        <v>1.4240283389999999</v>
      </c>
      <c r="C47" s="65">
        <v>10</v>
      </c>
      <c r="D47" s="66">
        <v>0.87482503499999997</v>
      </c>
      <c r="E47" s="66">
        <v>1.411570583</v>
      </c>
      <c r="F47" s="69">
        <v>0.51108373600000001</v>
      </c>
      <c r="G47" s="65">
        <v>-23.2</v>
      </c>
      <c r="H47" s="65">
        <v>5.8999999999999997E-2</v>
      </c>
      <c r="I47" s="70">
        <v>207153.81330000001</v>
      </c>
      <c r="J47" s="70">
        <v>364647.0932</v>
      </c>
      <c r="K47" s="70" t="s">
        <v>42</v>
      </c>
      <c r="L47" s="70" t="s">
        <v>81</v>
      </c>
      <c r="M47" s="65">
        <v>5.2</v>
      </c>
      <c r="N47" s="65">
        <v>50</v>
      </c>
      <c r="O47" s="68">
        <v>18</v>
      </c>
    </row>
    <row r="48" spans="1:15" ht="16" x14ac:dyDescent="0.2">
      <c r="A48" s="65" t="s">
        <v>385</v>
      </c>
      <c r="B48" s="66">
        <v>1.4164755710000001</v>
      </c>
      <c r="C48" s="65">
        <v>10</v>
      </c>
      <c r="D48" s="66">
        <v>4.5623324509999996</v>
      </c>
      <c r="E48" s="66">
        <v>1.3518512460000001</v>
      </c>
      <c r="F48" s="69">
        <v>0.36039121699999999</v>
      </c>
      <c r="G48" s="65">
        <v>-23</v>
      </c>
      <c r="H48" s="65">
        <v>4.9000000000000002E-2</v>
      </c>
      <c r="I48" s="70">
        <v>207153.81330000001</v>
      </c>
      <c r="J48" s="70">
        <v>364647.0932</v>
      </c>
      <c r="K48" s="70" t="s">
        <v>42</v>
      </c>
      <c r="L48" s="70" t="s">
        <v>81</v>
      </c>
      <c r="M48" s="65">
        <v>6.1</v>
      </c>
      <c r="N48" s="65">
        <v>60</v>
      </c>
      <c r="O48" s="68">
        <v>18</v>
      </c>
    </row>
    <row r="49" spans="1:15" ht="16" x14ac:dyDescent="0.2">
      <c r="A49" s="65" t="s">
        <v>386</v>
      </c>
      <c r="B49" s="66">
        <v>1.614320805</v>
      </c>
      <c r="C49" s="65">
        <v>10</v>
      </c>
      <c r="D49" s="66">
        <v>8.6254084629999994</v>
      </c>
      <c r="E49" s="66">
        <v>1.4750790410000001</v>
      </c>
      <c r="F49" s="69">
        <v>0.19814654900000001</v>
      </c>
      <c r="G49" s="65">
        <v>-23</v>
      </c>
      <c r="H49" s="65">
        <v>4.2000000000000003E-2</v>
      </c>
      <c r="I49" s="70">
        <v>207153.81330000001</v>
      </c>
      <c r="J49" s="70">
        <v>364647.0932</v>
      </c>
      <c r="K49" s="70" t="s">
        <v>42</v>
      </c>
      <c r="L49" s="70" t="s">
        <v>81</v>
      </c>
      <c r="M49" s="65">
        <v>4.7</v>
      </c>
      <c r="N49" s="65">
        <v>70</v>
      </c>
      <c r="O49" s="68">
        <v>18</v>
      </c>
    </row>
    <row r="50" spans="1:15" ht="16" x14ac:dyDescent="0.2">
      <c r="A50" s="65" t="s">
        <v>387</v>
      </c>
      <c r="B50" s="66">
        <v>1.5723599539999999</v>
      </c>
      <c r="C50" s="65">
        <v>10</v>
      </c>
      <c r="D50" s="66">
        <v>5.3776385219999998</v>
      </c>
      <c r="E50" s="66">
        <v>1.4878041200000001</v>
      </c>
      <c r="F50" s="69">
        <v>0.19459528300000001</v>
      </c>
      <c r="G50" s="65">
        <v>-23.8</v>
      </c>
      <c r="H50" s="65">
        <v>4.2999999999999997E-2</v>
      </c>
      <c r="I50" s="70">
        <v>207153.81330000001</v>
      </c>
      <c r="J50" s="70">
        <v>364647.0932</v>
      </c>
      <c r="K50" s="70" t="s">
        <v>42</v>
      </c>
      <c r="L50" s="70" t="s">
        <v>81</v>
      </c>
      <c r="M50" s="65">
        <v>4.0999999999999996</v>
      </c>
      <c r="N50" s="65">
        <v>80</v>
      </c>
      <c r="O50" s="68">
        <v>18</v>
      </c>
    </row>
    <row r="51" spans="1:15" ht="16" x14ac:dyDescent="0.2">
      <c r="A51" s="65" t="s">
        <v>388</v>
      </c>
      <c r="B51" s="66">
        <v>1.6875744619999999</v>
      </c>
      <c r="C51" s="65">
        <v>10</v>
      </c>
      <c r="D51" s="66">
        <v>5.4560827610000002</v>
      </c>
      <c r="E51" s="66">
        <v>1.595499003</v>
      </c>
      <c r="F51" s="69">
        <v>0.16815012600000001</v>
      </c>
      <c r="G51" s="65">
        <v>-24.7</v>
      </c>
      <c r="H51" s="65">
        <v>3.9E-2</v>
      </c>
      <c r="I51" s="70">
        <v>207153.81330000001</v>
      </c>
      <c r="J51" s="70">
        <v>364647.0932</v>
      </c>
      <c r="K51" s="70" t="s">
        <v>42</v>
      </c>
      <c r="L51" s="70" t="s">
        <v>81</v>
      </c>
      <c r="M51" s="65">
        <v>3.8</v>
      </c>
      <c r="N51" s="65">
        <v>90</v>
      </c>
      <c r="O51" s="68">
        <v>18</v>
      </c>
    </row>
    <row r="52" spans="1:15" ht="16" x14ac:dyDescent="0.2">
      <c r="A52" s="78" t="s">
        <v>391</v>
      </c>
      <c r="B52" s="79">
        <v>1.4598271</v>
      </c>
      <c r="C52" s="78">
        <v>10</v>
      </c>
      <c r="D52" s="79">
        <v>4.0547735520000003</v>
      </c>
      <c r="E52" s="79">
        <v>1.400634417</v>
      </c>
      <c r="F52" s="80">
        <v>1.412246573</v>
      </c>
      <c r="G52" s="78">
        <v>-22.8</v>
      </c>
      <c r="H52" s="78">
        <v>0.14000000000000001</v>
      </c>
      <c r="I52" s="81">
        <v>207153.81330000001</v>
      </c>
      <c r="J52" s="81">
        <v>364647.0932</v>
      </c>
      <c r="K52" s="81" t="s">
        <v>42</v>
      </c>
      <c r="L52" s="81" t="s">
        <v>81</v>
      </c>
      <c r="M52" s="78">
        <v>5.4</v>
      </c>
      <c r="N52" s="78">
        <v>10</v>
      </c>
      <c r="O52" s="82">
        <v>19</v>
      </c>
    </row>
    <row r="53" spans="1:15" ht="16" x14ac:dyDescent="0.2">
      <c r="A53" s="65" t="s">
        <v>400</v>
      </c>
      <c r="B53" s="66">
        <v>1.4816868830000001</v>
      </c>
      <c r="C53" s="65">
        <v>10</v>
      </c>
      <c r="D53" s="66">
        <v>16.641993379999999</v>
      </c>
      <c r="E53" s="66">
        <v>1.23510465</v>
      </c>
      <c r="F53" s="69">
        <v>0.111338242</v>
      </c>
      <c r="G53" s="65">
        <v>-26.1</v>
      </c>
      <c r="H53" s="65">
        <v>3.1E-2</v>
      </c>
      <c r="I53" s="70">
        <v>207153.81330000001</v>
      </c>
      <c r="J53" s="70">
        <v>364647.0932</v>
      </c>
      <c r="K53" s="70" t="s">
        <v>42</v>
      </c>
      <c r="L53" s="70" t="s">
        <v>81</v>
      </c>
      <c r="M53" s="65">
        <v>2.2999999999999998</v>
      </c>
      <c r="N53" s="65">
        <v>100</v>
      </c>
      <c r="O53" s="73">
        <v>19</v>
      </c>
    </row>
    <row r="54" spans="1:15" ht="16" x14ac:dyDescent="0.2">
      <c r="A54" s="65" t="s">
        <v>401</v>
      </c>
      <c r="B54" s="66">
        <v>1.2057807570000001</v>
      </c>
      <c r="C54" s="65">
        <v>10</v>
      </c>
      <c r="D54" s="66">
        <v>10.75147389</v>
      </c>
      <c r="E54" s="66">
        <v>1.0761415539999999</v>
      </c>
      <c r="F54" s="69">
        <v>0.116790042</v>
      </c>
      <c r="G54" s="65">
        <v>-26.6</v>
      </c>
      <c r="H54" s="65">
        <v>2.8000000000000001E-2</v>
      </c>
      <c r="I54" s="70">
        <v>207153.81330000001</v>
      </c>
      <c r="J54" s="70">
        <v>364647.0932</v>
      </c>
      <c r="K54" s="70" t="s">
        <v>42</v>
      </c>
      <c r="L54" s="70" t="s">
        <v>81</v>
      </c>
      <c r="M54" s="65">
        <v>2.7</v>
      </c>
      <c r="N54" s="65">
        <v>110</v>
      </c>
      <c r="O54" s="73">
        <v>19</v>
      </c>
    </row>
    <row r="55" spans="1:15" ht="16" x14ac:dyDescent="0.2">
      <c r="A55" s="65" t="s">
        <v>392</v>
      </c>
      <c r="B55" s="66">
        <v>1.4008197010000001</v>
      </c>
      <c r="C55" s="65">
        <v>10</v>
      </c>
      <c r="D55" s="66">
        <v>3.2141849150000001</v>
      </c>
      <c r="E55" s="66">
        <v>1.355794766</v>
      </c>
      <c r="F55" s="69">
        <v>1.3092866249999999</v>
      </c>
      <c r="G55" s="65">
        <v>-22.6</v>
      </c>
      <c r="H55" s="65">
        <v>0.14000000000000001</v>
      </c>
      <c r="I55" s="70">
        <v>207153.81330000001</v>
      </c>
      <c r="J55" s="70">
        <v>364647.0932</v>
      </c>
      <c r="K55" s="70" t="s">
        <v>42</v>
      </c>
      <c r="L55" s="70" t="s">
        <v>81</v>
      </c>
      <c r="M55" s="65">
        <v>5.6</v>
      </c>
      <c r="N55" s="65">
        <v>20</v>
      </c>
      <c r="O55" s="73">
        <v>19</v>
      </c>
    </row>
    <row r="56" spans="1:15" ht="16" x14ac:dyDescent="0.2">
      <c r="A56" s="65" t="s">
        <v>393</v>
      </c>
      <c r="B56" s="66">
        <v>1.4802509669999999</v>
      </c>
      <c r="C56" s="65">
        <v>10</v>
      </c>
      <c r="D56" s="66">
        <v>2.0476507829999999</v>
      </c>
      <c r="E56" s="66">
        <v>1.449940596</v>
      </c>
      <c r="F56" s="69">
        <v>1.0581228439999999</v>
      </c>
      <c r="G56" s="65">
        <v>-23.1</v>
      </c>
      <c r="H56" s="65">
        <v>0.11</v>
      </c>
      <c r="I56" s="70">
        <v>207153.81330000001</v>
      </c>
      <c r="J56" s="70">
        <v>364647.0932</v>
      </c>
      <c r="K56" s="70" t="s">
        <v>42</v>
      </c>
      <c r="L56" s="70" t="s">
        <v>81</v>
      </c>
      <c r="M56" s="65">
        <v>5.7</v>
      </c>
      <c r="N56" s="65">
        <v>30</v>
      </c>
      <c r="O56" s="73">
        <v>19</v>
      </c>
    </row>
    <row r="57" spans="1:15" ht="16" x14ac:dyDescent="0.2">
      <c r="A57" s="65" t="s">
        <v>394</v>
      </c>
      <c r="B57" s="66">
        <v>1.539637497</v>
      </c>
      <c r="C57" s="65">
        <v>10</v>
      </c>
      <c r="D57" s="66">
        <v>4.2245071410000001</v>
      </c>
      <c r="E57" s="66">
        <v>1.474595401</v>
      </c>
      <c r="F57" s="69">
        <v>0.84146701800000001</v>
      </c>
      <c r="G57" s="65">
        <v>-24</v>
      </c>
      <c r="H57" s="65">
        <v>7.6999999999999999E-2</v>
      </c>
      <c r="I57" s="70">
        <v>207153.81330000001</v>
      </c>
      <c r="J57" s="70">
        <v>364647.0932</v>
      </c>
      <c r="K57" s="70" t="s">
        <v>42</v>
      </c>
      <c r="L57" s="70" t="s">
        <v>81</v>
      </c>
      <c r="M57" s="65">
        <v>6</v>
      </c>
      <c r="N57" s="65">
        <v>40</v>
      </c>
      <c r="O57" s="73">
        <v>19</v>
      </c>
    </row>
    <row r="58" spans="1:15" ht="16" x14ac:dyDescent="0.2">
      <c r="A58" s="65" t="s">
        <v>395</v>
      </c>
      <c r="B58" s="66">
        <v>1.6392908530000001</v>
      </c>
      <c r="C58" s="65">
        <v>10</v>
      </c>
      <c r="D58" s="66">
        <v>11.08711066</v>
      </c>
      <c r="E58" s="66">
        <v>1.4575408620000001</v>
      </c>
      <c r="F58" s="69">
        <v>0.46614461699999998</v>
      </c>
      <c r="G58" s="65">
        <v>-23.1</v>
      </c>
      <c r="H58" s="65">
        <v>5.3999999999999999E-2</v>
      </c>
      <c r="I58" s="70">
        <v>207153.81330000001</v>
      </c>
      <c r="J58" s="70">
        <v>364647.0932</v>
      </c>
      <c r="K58" s="70" t="s">
        <v>42</v>
      </c>
      <c r="L58" s="70" t="s">
        <v>81</v>
      </c>
      <c r="M58" s="65">
        <v>6.3</v>
      </c>
      <c r="N58" s="65">
        <v>50</v>
      </c>
      <c r="O58" s="73">
        <v>19</v>
      </c>
    </row>
    <row r="59" spans="1:15" ht="16" x14ac:dyDescent="0.2">
      <c r="A59" s="65" t="s">
        <v>396</v>
      </c>
      <c r="B59" s="66">
        <v>1.520347417</v>
      </c>
      <c r="C59" s="65">
        <v>10</v>
      </c>
      <c r="D59" s="66">
        <v>25.204867549999999</v>
      </c>
      <c r="E59" s="66">
        <v>1.1371458640000001</v>
      </c>
      <c r="F59" s="69">
        <v>0.26676410499999997</v>
      </c>
      <c r="G59" s="65">
        <v>-22.6</v>
      </c>
      <c r="H59" s="65">
        <v>4.9000000000000002E-2</v>
      </c>
      <c r="I59" s="70">
        <v>207153.81330000001</v>
      </c>
      <c r="J59" s="70">
        <v>364647.0932</v>
      </c>
      <c r="K59" s="70" t="s">
        <v>42</v>
      </c>
      <c r="L59" s="70" t="s">
        <v>81</v>
      </c>
      <c r="M59" s="65">
        <v>5.6</v>
      </c>
      <c r="N59" s="65">
        <v>60</v>
      </c>
      <c r="O59" s="73">
        <v>19</v>
      </c>
    </row>
    <row r="60" spans="1:15" ht="16" x14ac:dyDescent="0.2">
      <c r="A60" s="65" t="s">
        <v>397</v>
      </c>
      <c r="B60" s="66">
        <v>1.7899866010000001</v>
      </c>
      <c r="C60" s="65">
        <v>10</v>
      </c>
      <c r="D60" s="66">
        <v>10.20835394</v>
      </c>
      <c r="E60" s="66">
        <v>1.6072584329999999</v>
      </c>
      <c r="F60" s="69">
        <v>0.21146679099999999</v>
      </c>
      <c r="G60" s="65">
        <v>-23.2</v>
      </c>
      <c r="H60" s="65">
        <v>4.5999999999999999E-2</v>
      </c>
      <c r="I60" s="70">
        <v>207153.81330000001</v>
      </c>
      <c r="J60" s="70">
        <v>364647.0932</v>
      </c>
      <c r="K60" s="70" t="s">
        <v>42</v>
      </c>
      <c r="L60" s="70" t="s">
        <v>81</v>
      </c>
      <c r="M60" s="65">
        <v>4.3</v>
      </c>
      <c r="N60" s="65">
        <v>70</v>
      </c>
      <c r="O60" s="73">
        <v>19</v>
      </c>
    </row>
    <row r="61" spans="1:15" ht="16" x14ac:dyDescent="0.2">
      <c r="A61" s="65" t="s">
        <v>398</v>
      </c>
      <c r="B61" s="66">
        <v>1.5049840569999999</v>
      </c>
      <c r="C61" s="65">
        <v>10</v>
      </c>
      <c r="D61" s="66">
        <v>10.412570430000001</v>
      </c>
      <c r="E61" s="66">
        <v>1.3482765320000001</v>
      </c>
      <c r="F61" s="69">
        <v>0.24375739599999999</v>
      </c>
      <c r="G61" s="65">
        <v>-23.9</v>
      </c>
      <c r="H61" s="65">
        <v>4.8000000000000001E-2</v>
      </c>
      <c r="I61" s="70">
        <v>207153.81330000001</v>
      </c>
      <c r="J61" s="70">
        <v>364647.0932</v>
      </c>
      <c r="K61" s="70" t="s">
        <v>42</v>
      </c>
      <c r="L61" s="70" t="s">
        <v>81</v>
      </c>
      <c r="M61" s="65">
        <v>4.5999999999999996</v>
      </c>
      <c r="N61" s="65">
        <v>80</v>
      </c>
      <c r="O61" s="73">
        <v>19</v>
      </c>
    </row>
    <row r="62" spans="1:15" ht="16" x14ac:dyDescent="0.2">
      <c r="A62" s="65" t="s">
        <v>399</v>
      </c>
      <c r="B62" s="66">
        <v>1.697616909</v>
      </c>
      <c r="C62" s="65">
        <v>10</v>
      </c>
      <c r="D62" s="66">
        <v>12.73057202</v>
      </c>
      <c r="E62" s="66">
        <v>1.481500566</v>
      </c>
      <c r="F62" s="69">
        <v>0.16075357700000001</v>
      </c>
      <c r="G62" s="65">
        <v>-24.3</v>
      </c>
      <c r="H62" s="65">
        <v>3.9E-2</v>
      </c>
      <c r="I62" s="70">
        <v>207153.81330000001</v>
      </c>
      <c r="J62" s="70">
        <v>364647.0932</v>
      </c>
      <c r="K62" s="70" t="s">
        <v>42</v>
      </c>
      <c r="L62" s="70" t="s">
        <v>81</v>
      </c>
      <c r="M62" s="65">
        <v>3.9</v>
      </c>
      <c r="N62" s="65">
        <v>90</v>
      </c>
      <c r="O62" s="73">
        <v>19</v>
      </c>
    </row>
    <row r="63" spans="1:15" ht="16" x14ac:dyDescent="0.2">
      <c r="A63" s="74" t="s">
        <v>422</v>
      </c>
      <c r="B63" s="75">
        <v>1.350992628</v>
      </c>
      <c r="C63" s="74">
        <v>10</v>
      </c>
      <c r="D63" s="75">
        <v>5.0892650130000003</v>
      </c>
      <c r="E63" s="75">
        <v>1.2822370329999999</v>
      </c>
      <c r="F63" s="76">
        <v>1.1494810630000001</v>
      </c>
      <c r="G63" s="74">
        <v>-22.9</v>
      </c>
      <c r="H63" s="74">
        <v>0.13</v>
      </c>
      <c r="I63" s="70">
        <v>210265.02439999999</v>
      </c>
      <c r="J63" s="70">
        <v>370347.01779999997</v>
      </c>
      <c r="K63" s="70" t="s">
        <v>49</v>
      </c>
      <c r="L63" s="70" t="s">
        <v>68</v>
      </c>
      <c r="M63" s="74">
        <v>4.5</v>
      </c>
      <c r="N63" s="74">
        <v>10</v>
      </c>
      <c r="O63" s="73">
        <v>18</v>
      </c>
    </row>
    <row r="64" spans="1:15" ht="16" x14ac:dyDescent="0.2">
      <c r="A64" s="74" t="s">
        <v>431</v>
      </c>
      <c r="B64" s="75">
        <v>1.56702344</v>
      </c>
      <c r="C64" s="74">
        <v>10</v>
      </c>
      <c r="D64" s="75">
        <v>0</v>
      </c>
      <c r="E64" s="75">
        <v>1.56702344</v>
      </c>
      <c r="F64" s="76">
        <v>6.6884665999999995E-2</v>
      </c>
      <c r="G64" s="74">
        <v>-25.6</v>
      </c>
      <c r="H64" s="74">
        <v>2.7E-2</v>
      </c>
      <c r="I64" s="70">
        <v>210265.02439999999</v>
      </c>
      <c r="J64" s="70">
        <v>370347.01779999997</v>
      </c>
      <c r="K64" s="70" t="s">
        <v>49</v>
      </c>
      <c r="L64" s="70" t="s">
        <v>68</v>
      </c>
      <c r="M64" s="74">
        <v>3.3</v>
      </c>
      <c r="N64" s="74">
        <v>100</v>
      </c>
      <c r="O64" s="73">
        <v>18</v>
      </c>
    </row>
    <row r="65" spans="1:15" ht="16" x14ac:dyDescent="0.2">
      <c r="A65" s="74" t="s">
        <v>423</v>
      </c>
      <c r="B65" s="75">
        <v>1.443952667</v>
      </c>
      <c r="C65" s="74">
        <v>10</v>
      </c>
      <c r="D65" s="75">
        <v>5.5821003720000002</v>
      </c>
      <c r="E65" s="75">
        <v>1.3633497800000001</v>
      </c>
      <c r="F65" s="76">
        <v>0.72351012100000001</v>
      </c>
      <c r="G65" s="74">
        <v>-22.3</v>
      </c>
      <c r="H65" s="74">
        <v>8.5999999999999993E-2</v>
      </c>
      <c r="I65" s="70">
        <v>210265.02439999999</v>
      </c>
      <c r="J65" s="70">
        <v>370347.01779999997</v>
      </c>
      <c r="K65" s="70" t="s">
        <v>49</v>
      </c>
      <c r="L65" s="70" t="s">
        <v>68</v>
      </c>
      <c r="M65" s="74">
        <v>5</v>
      </c>
      <c r="N65" s="74">
        <v>20</v>
      </c>
      <c r="O65" s="73">
        <v>18</v>
      </c>
    </row>
    <row r="66" spans="1:15" ht="16" x14ac:dyDescent="0.2">
      <c r="A66" s="74" t="s">
        <v>424</v>
      </c>
      <c r="B66" s="75">
        <v>1.5872981209999999</v>
      </c>
      <c r="C66" s="74">
        <v>10</v>
      </c>
      <c r="D66" s="75">
        <v>6.2575409479999999</v>
      </c>
      <c r="E66" s="75">
        <v>1.4879722909999999</v>
      </c>
      <c r="F66" s="76">
        <v>0.57373394099999997</v>
      </c>
      <c r="G66" s="74">
        <v>-23</v>
      </c>
      <c r="H66" s="74">
        <v>7.0999999999999994E-2</v>
      </c>
      <c r="I66" s="70">
        <v>210265.02439999999</v>
      </c>
      <c r="J66" s="70">
        <v>370347.01779999997</v>
      </c>
      <c r="K66" s="70" t="s">
        <v>49</v>
      </c>
      <c r="L66" s="70" t="s">
        <v>68</v>
      </c>
      <c r="M66" s="74">
        <v>5.4</v>
      </c>
      <c r="N66" s="74">
        <v>30</v>
      </c>
      <c r="O66" s="73">
        <v>18</v>
      </c>
    </row>
    <row r="67" spans="1:15" ht="16" x14ac:dyDescent="0.2">
      <c r="A67" s="74" t="s">
        <v>425</v>
      </c>
      <c r="B67" s="75">
        <v>1.71670776</v>
      </c>
      <c r="C67" s="74">
        <v>10</v>
      </c>
      <c r="D67" s="75">
        <v>10.199156090000001</v>
      </c>
      <c r="E67" s="75">
        <v>1.5416180559999999</v>
      </c>
      <c r="F67" s="76">
        <v>0.33652958199999999</v>
      </c>
      <c r="G67" s="74">
        <v>-22.6</v>
      </c>
      <c r="H67" s="74">
        <v>5.8000000000000003E-2</v>
      </c>
      <c r="I67" s="70">
        <v>210265.02439999999</v>
      </c>
      <c r="J67" s="70">
        <v>370347.01779999997</v>
      </c>
      <c r="K67" s="70" t="s">
        <v>49</v>
      </c>
      <c r="L67" s="70" t="s">
        <v>68</v>
      </c>
      <c r="M67" s="74">
        <v>4.8</v>
      </c>
      <c r="N67" s="74">
        <v>40</v>
      </c>
      <c r="O67" s="73">
        <v>18</v>
      </c>
    </row>
    <row r="68" spans="1:15" ht="16" x14ac:dyDescent="0.2">
      <c r="A68" s="74" t="s">
        <v>426</v>
      </c>
      <c r="B68" s="75">
        <v>1.6029812299999999</v>
      </c>
      <c r="C68" s="74">
        <v>10</v>
      </c>
      <c r="D68" s="75">
        <v>7.015244762</v>
      </c>
      <c r="E68" s="75">
        <v>1.490528173</v>
      </c>
      <c r="F68" s="76">
        <v>0.18232832099999999</v>
      </c>
      <c r="G68" s="74">
        <v>-23.2</v>
      </c>
      <c r="H68" s="74">
        <v>4.7E-2</v>
      </c>
      <c r="I68" s="70">
        <v>210265.02439999999</v>
      </c>
      <c r="J68" s="70">
        <v>370347.01779999997</v>
      </c>
      <c r="K68" s="70" t="s">
        <v>49</v>
      </c>
      <c r="L68" s="70" t="s">
        <v>68</v>
      </c>
      <c r="M68" s="74">
        <v>4.3</v>
      </c>
      <c r="N68" s="74">
        <v>50</v>
      </c>
      <c r="O68" s="73">
        <v>18</v>
      </c>
    </row>
    <row r="69" spans="1:15" ht="16" x14ac:dyDescent="0.2">
      <c r="A69" s="74" t="s">
        <v>427</v>
      </c>
      <c r="B69" s="75">
        <v>1.490366689</v>
      </c>
      <c r="C69" s="74">
        <v>10</v>
      </c>
      <c r="D69" s="75">
        <v>12.02497151</v>
      </c>
      <c r="E69" s="75">
        <v>1.3111505189999999</v>
      </c>
      <c r="F69" s="76">
        <v>0.11153381499999999</v>
      </c>
      <c r="G69" s="74">
        <v>-24</v>
      </c>
      <c r="H69" s="74">
        <v>3.7499999999999999E-2</v>
      </c>
      <c r="I69" s="70">
        <v>210265.02439999999</v>
      </c>
      <c r="J69" s="70">
        <v>370347.01779999997</v>
      </c>
      <c r="K69" s="70" t="s">
        <v>49</v>
      </c>
      <c r="L69" s="70" t="s">
        <v>68</v>
      </c>
      <c r="M69" s="74">
        <v>3.25</v>
      </c>
      <c r="N69" s="74">
        <v>60</v>
      </c>
      <c r="O69" s="73">
        <v>18</v>
      </c>
    </row>
    <row r="70" spans="1:15" ht="16" x14ac:dyDescent="0.2">
      <c r="A70" s="74" t="s">
        <v>428</v>
      </c>
      <c r="B70" s="75">
        <v>1.627267595</v>
      </c>
      <c r="C70" s="74">
        <v>10</v>
      </c>
      <c r="D70" s="75">
        <v>1.1890469530000001</v>
      </c>
      <c r="E70" s="75">
        <v>1.6079186190000001</v>
      </c>
      <c r="F70" s="76">
        <v>0.10966242</v>
      </c>
      <c r="G70" s="74">
        <v>-25.4</v>
      </c>
      <c r="H70" s="74">
        <v>3.5999999999999997E-2</v>
      </c>
      <c r="I70" s="70">
        <v>210265.02439999999</v>
      </c>
      <c r="J70" s="70">
        <v>370347.01779999997</v>
      </c>
      <c r="K70" s="70" t="s">
        <v>49</v>
      </c>
      <c r="L70" s="70" t="s">
        <v>68</v>
      </c>
      <c r="M70" s="74">
        <v>2.9</v>
      </c>
      <c r="N70" s="74">
        <v>70</v>
      </c>
      <c r="O70" s="73">
        <v>18</v>
      </c>
    </row>
    <row r="71" spans="1:15" ht="16" x14ac:dyDescent="0.2">
      <c r="A71" s="74" t="s">
        <v>429</v>
      </c>
      <c r="B71" s="75">
        <v>1.730541192</v>
      </c>
      <c r="C71" s="74">
        <v>10</v>
      </c>
      <c r="D71" s="75">
        <v>3.906649722</v>
      </c>
      <c r="E71" s="75">
        <v>1.6629350089999999</v>
      </c>
      <c r="F71" s="76">
        <v>9.0742674999999995E-2</v>
      </c>
      <c r="G71" s="74">
        <v>-25.6</v>
      </c>
      <c r="H71" s="74">
        <v>3.4000000000000002E-2</v>
      </c>
      <c r="I71" s="70">
        <v>210265.02439999999</v>
      </c>
      <c r="J71" s="70">
        <v>370347.01779999997</v>
      </c>
      <c r="K71" s="70" t="s">
        <v>49</v>
      </c>
      <c r="L71" s="70" t="s">
        <v>68</v>
      </c>
      <c r="M71" s="74">
        <v>2.6</v>
      </c>
      <c r="N71" s="74">
        <v>80</v>
      </c>
      <c r="O71" s="73">
        <v>18</v>
      </c>
    </row>
    <row r="72" spans="1:15" ht="16" x14ac:dyDescent="0.2">
      <c r="A72" s="74" t="s">
        <v>430</v>
      </c>
      <c r="B72" s="75">
        <v>1.9814850239999999</v>
      </c>
      <c r="C72" s="74">
        <v>10</v>
      </c>
      <c r="D72" s="75">
        <v>2.8154935440000002</v>
      </c>
      <c r="E72" s="75">
        <v>1.9256964409999999</v>
      </c>
      <c r="F72" s="76">
        <v>8.4292562000000001E-2</v>
      </c>
      <c r="G72" s="74">
        <v>-26.8</v>
      </c>
      <c r="H72" s="74">
        <v>3.1E-2</v>
      </c>
      <c r="I72" s="70">
        <v>210265.02439999999</v>
      </c>
      <c r="J72" s="70">
        <v>370347.01779999997</v>
      </c>
      <c r="K72" s="70" t="s">
        <v>49</v>
      </c>
      <c r="L72" s="70" t="s">
        <v>68</v>
      </c>
      <c r="M72" s="74">
        <v>3.2</v>
      </c>
      <c r="N72" s="74">
        <v>90</v>
      </c>
      <c r="O72" s="73">
        <v>18</v>
      </c>
    </row>
    <row r="73" spans="1:15" ht="16" x14ac:dyDescent="0.2">
      <c r="A73" s="74" t="s">
        <v>432</v>
      </c>
      <c r="B73" s="75">
        <v>0.66759236300000002</v>
      </c>
      <c r="C73" s="74">
        <v>10</v>
      </c>
      <c r="D73" s="75">
        <v>4.9113595959999996</v>
      </c>
      <c r="E73" s="75">
        <v>0.63480450099999997</v>
      </c>
      <c r="F73" s="76">
        <v>1.7435477290000001</v>
      </c>
      <c r="G73" s="74">
        <v>-22</v>
      </c>
      <c r="H73" s="74">
        <v>0.17</v>
      </c>
      <c r="I73" s="70">
        <v>210265.02439999999</v>
      </c>
      <c r="J73" s="70">
        <v>370347.01779999997</v>
      </c>
      <c r="K73" s="70" t="s">
        <v>49</v>
      </c>
      <c r="L73" s="70" t="s">
        <v>68</v>
      </c>
      <c r="M73" s="74">
        <v>3.1</v>
      </c>
      <c r="N73" s="74">
        <v>10</v>
      </c>
      <c r="O73" s="73">
        <v>19</v>
      </c>
    </row>
    <row r="74" spans="1:15" ht="16" x14ac:dyDescent="0.2">
      <c r="A74" s="74" t="s">
        <v>433</v>
      </c>
      <c r="B74" s="75">
        <v>1.340949419</v>
      </c>
      <c r="C74" s="74">
        <v>10</v>
      </c>
      <c r="D74" s="75">
        <v>8.4587873239999993</v>
      </c>
      <c r="E74" s="75">
        <v>1.2275213599999999</v>
      </c>
      <c r="F74" s="76">
        <v>0.98151355299999998</v>
      </c>
      <c r="G74" s="74">
        <v>-23</v>
      </c>
      <c r="H74" s="74">
        <v>0.11</v>
      </c>
      <c r="I74" s="70">
        <v>210265.02439999999</v>
      </c>
      <c r="J74" s="70">
        <v>370347.01779999997</v>
      </c>
      <c r="K74" s="70" t="s">
        <v>49</v>
      </c>
      <c r="L74" s="70" t="s">
        <v>68</v>
      </c>
      <c r="M74" s="74">
        <v>3.7</v>
      </c>
      <c r="N74" s="74">
        <v>20</v>
      </c>
      <c r="O74" s="73">
        <v>19</v>
      </c>
    </row>
    <row r="75" spans="1:15" ht="16" x14ac:dyDescent="0.2">
      <c r="A75" s="74" t="s">
        <v>434</v>
      </c>
      <c r="B75" s="75">
        <v>1.7278960670000001</v>
      </c>
      <c r="C75" s="74">
        <v>10</v>
      </c>
      <c r="D75" s="75">
        <v>11.23916453</v>
      </c>
      <c r="E75" s="75">
        <v>1.5336949849999999</v>
      </c>
      <c r="F75" s="76">
        <v>0.57507567999999998</v>
      </c>
      <c r="G75" s="74">
        <v>-23.5</v>
      </c>
      <c r="H75" s="74">
        <v>7.1999999999999995E-2</v>
      </c>
      <c r="I75" s="70">
        <v>210265.02439999999</v>
      </c>
      <c r="J75" s="70">
        <v>370347.01779999997</v>
      </c>
      <c r="K75" s="70" t="s">
        <v>49</v>
      </c>
      <c r="L75" s="70" t="s">
        <v>68</v>
      </c>
      <c r="M75" s="74">
        <v>4.5</v>
      </c>
      <c r="N75" s="74">
        <v>30</v>
      </c>
      <c r="O75" s="73">
        <v>19</v>
      </c>
    </row>
    <row r="76" spans="1:15" ht="16" x14ac:dyDescent="0.2">
      <c r="A76" s="74" t="s">
        <v>435</v>
      </c>
      <c r="B76" s="75">
        <v>1.6855427270000001</v>
      </c>
      <c r="C76" s="74">
        <v>10</v>
      </c>
      <c r="D76" s="75">
        <v>23.978373359999999</v>
      </c>
      <c r="E76" s="75">
        <v>1.281376998</v>
      </c>
      <c r="F76" s="76">
        <v>0.59705180000000002</v>
      </c>
      <c r="G76" s="74">
        <v>-24.75</v>
      </c>
      <c r="H76" s="74">
        <v>7.5499999999999998E-2</v>
      </c>
      <c r="I76" s="70">
        <v>210265.02439999999</v>
      </c>
      <c r="J76" s="70">
        <v>370347.01779999997</v>
      </c>
      <c r="K76" s="70" t="s">
        <v>49</v>
      </c>
      <c r="L76" s="70" t="s">
        <v>68</v>
      </c>
      <c r="M76" s="74">
        <v>4.6500000000000004</v>
      </c>
      <c r="N76" s="74">
        <v>40</v>
      </c>
      <c r="O76" s="73">
        <v>19</v>
      </c>
    </row>
    <row r="77" spans="1:15" ht="16" x14ac:dyDescent="0.2">
      <c r="A77" s="74" t="s">
        <v>436</v>
      </c>
      <c r="B77" s="75">
        <v>1.7325679970000001</v>
      </c>
      <c r="C77" s="74">
        <v>10</v>
      </c>
      <c r="D77" s="75">
        <v>33.763035680000002</v>
      </c>
      <c r="E77" s="75">
        <v>1.147600446</v>
      </c>
      <c r="F77" s="76">
        <v>0.25977882299999999</v>
      </c>
      <c r="G77" s="74">
        <v>-25.3</v>
      </c>
      <c r="H77" s="74">
        <v>4.8000000000000001E-2</v>
      </c>
      <c r="I77" s="70">
        <v>210265.02439999999</v>
      </c>
      <c r="J77" s="70">
        <v>370347.01779999997</v>
      </c>
      <c r="K77" s="70" t="s">
        <v>49</v>
      </c>
      <c r="L77" s="70" t="s">
        <v>68</v>
      </c>
      <c r="M77" s="74">
        <v>3.9</v>
      </c>
      <c r="N77" s="74">
        <v>50</v>
      </c>
      <c r="O77" s="73">
        <v>19</v>
      </c>
    </row>
    <row r="78" spans="1:15" ht="16" x14ac:dyDescent="0.2">
      <c r="A78" s="74" t="s">
        <v>437</v>
      </c>
      <c r="B78" s="75">
        <v>1.90925795</v>
      </c>
      <c r="C78" s="74">
        <v>10</v>
      </c>
      <c r="D78" s="75">
        <v>29.74618787</v>
      </c>
      <c r="E78" s="75">
        <v>1.341326494</v>
      </c>
      <c r="F78" s="76">
        <v>0.15987209399999999</v>
      </c>
      <c r="G78" s="74">
        <v>-25.6</v>
      </c>
      <c r="H78" s="74">
        <v>4.1000000000000002E-2</v>
      </c>
      <c r="I78" s="70">
        <v>210265.02439999999</v>
      </c>
      <c r="J78" s="70">
        <v>370347.01779999997</v>
      </c>
      <c r="K78" s="70" t="s">
        <v>49</v>
      </c>
      <c r="L78" s="70" t="s">
        <v>68</v>
      </c>
      <c r="M78" s="74">
        <v>3.2</v>
      </c>
      <c r="N78" s="74">
        <v>60</v>
      </c>
      <c r="O78" s="73">
        <v>19</v>
      </c>
    </row>
    <row r="79" spans="1:15" ht="16" x14ac:dyDescent="0.2">
      <c r="A79" s="74" t="s">
        <v>438</v>
      </c>
      <c r="B79" s="75">
        <v>2.1304394640000002</v>
      </c>
      <c r="C79" s="74">
        <v>10</v>
      </c>
      <c r="D79" s="75">
        <v>8.5334662019999996</v>
      </c>
      <c r="E79" s="75">
        <v>1.9486391320000001</v>
      </c>
      <c r="F79" s="76">
        <v>0.118759219</v>
      </c>
      <c r="G79" s="74">
        <v>-25.6</v>
      </c>
      <c r="H79" s="74">
        <v>3.4000000000000002E-2</v>
      </c>
      <c r="I79" s="70">
        <v>210265.02439999999</v>
      </c>
      <c r="J79" s="70">
        <v>370347.01779999997</v>
      </c>
      <c r="K79" s="70" t="s">
        <v>49</v>
      </c>
      <c r="L79" s="70" t="s">
        <v>68</v>
      </c>
      <c r="M79" s="74">
        <v>3.8</v>
      </c>
      <c r="N79" s="74">
        <v>70</v>
      </c>
      <c r="O79" s="73">
        <v>19</v>
      </c>
    </row>
    <row r="80" spans="1:15" ht="16" x14ac:dyDescent="0.2">
      <c r="A80" s="74" t="s">
        <v>439</v>
      </c>
      <c r="B80" s="75">
        <v>1.812583737</v>
      </c>
      <c r="C80" s="74">
        <v>10</v>
      </c>
      <c r="D80" s="75">
        <v>2.7259826409999999</v>
      </c>
      <c r="E80" s="75">
        <v>1.7631730189999999</v>
      </c>
      <c r="F80" s="76">
        <v>7.3958246000000005E-2</v>
      </c>
      <c r="G80" s="74">
        <v>-25.3</v>
      </c>
      <c r="H80" s="74">
        <v>3.1E-2</v>
      </c>
      <c r="I80" s="70">
        <v>210265.02439999999</v>
      </c>
      <c r="J80" s="70">
        <v>370347.01779999997</v>
      </c>
      <c r="K80" s="70" t="s">
        <v>49</v>
      </c>
      <c r="L80" s="70" t="s">
        <v>68</v>
      </c>
      <c r="M80" s="74">
        <v>2.1</v>
      </c>
      <c r="N80" s="74">
        <v>80</v>
      </c>
      <c r="O80" s="73">
        <v>19</v>
      </c>
    </row>
    <row r="81" spans="1:15" ht="16" x14ac:dyDescent="0.2">
      <c r="A81" s="65" t="s">
        <v>48</v>
      </c>
      <c r="B81" s="66">
        <v>1.049476276</v>
      </c>
      <c r="C81" s="65">
        <v>10</v>
      </c>
      <c r="D81" s="66">
        <v>20.333422160000001</v>
      </c>
      <c r="E81" s="66">
        <v>0.836081835</v>
      </c>
      <c r="F81" s="69">
        <v>1.4153126599999999</v>
      </c>
      <c r="G81" s="65">
        <v>-23.5</v>
      </c>
      <c r="H81" s="65">
        <v>0.14000000000000001</v>
      </c>
      <c r="I81" s="70">
        <v>210334.73490000001</v>
      </c>
      <c r="J81" s="70">
        <v>370225.49969999999</v>
      </c>
      <c r="K81" s="70" t="s">
        <v>49</v>
      </c>
      <c r="L81" s="70" t="s">
        <v>43</v>
      </c>
      <c r="M81" s="65">
        <v>4.0999999999999996</v>
      </c>
      <c r="N81" s="65">
        <v>10</v>
      </c>
      <c r="O81" s="73">
        <v>18</v>
      </c>
    </row>
    <row r="82" spans="1:15" ht="16" x14ac:dyDescent="0.2">
      <c r="A82" s="65" t="s">
        <v>50</v>
      </c>
      <c r="B82" s="66">
        <v>1.307897716</v>
      </c>
      <c r="C82" s="65">
        <v>10</v>
      </c>
      <c r="D82" s="66">
        <v>22.735662380000001</v>
      </c>
      <c r="E82" s="66">
        <v>1.0105385069999999</v>
      </c>
      <c r="F82" s="69">
        <v>0.69326623899999995</v>
      </c>
      <c r="G82" s="65">
        <v>-22.9</v>
      </c>
      <c r="H82" s="65">
        <v>8.6999999999999994E-2</v>
      </c>
      <c r="I82" s="70">
        <v>210334.73490000001</v>
      </c>
      <c r="J82" s="70">
        <v>370225.49969999999</v>
      </c>
      <c r="K82" s="70" t="s">
        <v>49</v>
      </c>
      <c r="L82" s="70" t="s">
        <v>43</v>
      </c>
      <c r="M82" s="65">
        <v>4.9000000000000004</v>
      </c>
      <c r="N82" s="65">
        <v>20</v>
      </c>
      <c r="O82" s="73">
        <v>18</v>
      </c>
    </row>
    <row r="83" spans="1:15" ht="16" x14ac:dyDescent="0.2">
      <c r="A83" s="65" t="s">
        <v>51</v>
      </c>
      <c r="B83" s="66">
        <v>1.583434767</v>
      </c>
      <c r="C83" s="65">
        <v>10</v>
      </c>
      <c r="D83" s="66">
        <v>19.16027991</v>
      </c>
      <c r="E83" s="66">
        <v>1.280044234</v>
      </c>
      <c r="F83" s="69">
        <v>0.64457492000000005</v>
      </c>
      <c r="G83" s="65">
        <v>-23.8</v>
      </c>
      <c r="H83" s="65">
        <v>8.3000000000000004E-2</v>
      </c>
      <c r="I83" s="70">
        <v>210334.73490000001</v>
      </c>
      <c r="J83" s="70">
        <v>370225.49969999999</v>
      </c>
      <c r="K83" s="70" t="s">
        <v>49</v>
      </c>
      <c r="L83" s="70" t="s">
        <v>43</v>
      </c>
      <c r="M83" s="65">
        <v>5.5</v>
      </c>
      <c r="N83" s="65">
        <v>30</v>
      </c>
      <c r="O83" s="73">
        <v>18</v>
      </c>
    </row>
    <row r="84" spans="1:15" ht="16" x14ac:dyDescent="0.2">
      <c r="A84" s="65" t="s">
        <v>52</v>
      </c>
      <c r="B84" s="66">
        <v>1.58564952</v>
      </c>
      <c r="C84" s="65">
        <v>10</v>
      </c>
      <c r="D84" s="66">
        <v>25.744119260000002</v>
      </c>
      <c r="E84" s="66">
        <v>1.177438016</v>
      </c>
      <c r="F84" s="69">
        <v>0.57995209800000003</v>
      </c>
      <c r="G84" s="65">
        <v>-24.1</v>
      </c>
      <c r="H84" s="65">
        <v>7.5999999999999998E-2</v>
      </c>
      <c r="I84" s="70">
        <v>210334.73490000001</v>
      </c>
      <c r="J84" s="70">
        <v>370225.49969999999</v>
      </c>
      <c r="K84" s="70" t="s">
        <v>49</v>
      </c>
      <c r="L84" s="70" t="s">
        <v>43</v>
      </c>
      <c r="M84" s="65">
        <v>5.2</v>
      </c>
      <c r="N84" s="65">
        <v>40</v>
      </c>
      <c r="O84" s="73">
        <v>18</v>
      </c>
    </row>
    <row r="85" spans="1:15" ht="16" x14ac:dyDescent="0.2">
      <c r="A85" s="65" t="s">
        <v>53</v>
      </c>
      <c r="B85" s="66">
        <v>2.0728127949999999</v>
      </c>
      <c r="C85" s="65">
        <v>10</v>
      </c>
      <c r="D85" s="66">
        <v>22.542137159999999</v>
      </c>
      <c r="E85" s="66">
        <v>1.605556491</v>
      </c>
      <c r="F85" s="69">
        <v>0.22671672300000001</v>
      </c>
      <c r="G85" s="65">
        <v>-24.3</v>
      </c>
      <c r="H85" s="65">
        <v>4.9000000000000002E-2</v>
      </c>
      <c r="I85" s="70">
        <v>210334.73490000001</v>
      </c>
      <c r="J85" s="70">
        <v>370225.49969999999</v>
      </c>
      <c r="K85" s="70" t="s">
        <v>49</v>
      </c>
      <c r="L85" s="70" t="s">
        <v>43</v>
      </c>
      <c r="M85" s="65">
        <v>4.8</v>
      </c>
      <c r="N85" s="65">
        <v>50</v>
      </c>
      <c r="O85" s="73">
        <v>18</v>
      </c>
    </row>
    <row r="86" spans="1:15" ht="16" x14ac:dyDescent="0.2">
      <c r="A86" s="65" t="s">
        <v>407</v>
      </c>
      <c r="B86" s="66">
        <v>1.654313782</v>
      </c>
      <c r="C86" s="65">
        <v>10</v>
      </c>
      <c r="D86" s="66">
        <v>2.2004608289999998</v>
      </c>
      <c r="E86" s="66">
        <v>1.6179112550000001</v>
      </c>
      <c r="F86" s="69">
        <v>0.112320594</v>
      </c>
      <c r="G86" s="65">
        <v>-26.3</v>
      </c>
      <c r="H86" s="65">
        <v>3.6999999999999998E-2</v>
      </c>
      <c r="I86" s="70">
        <v>210334.73490000001</v>
      </c>
      <c r="J86" s="70">
        <v>370225.49969999999</v>
      </c>
      <c r="K86" s="70" t="s">
        <v>49</v>
      </c>
      <c r="L86" s="70" t="s">
        <v>43</v>
      </c>
      <c r="M86" s="65">
        <v>3.7</v>
      </c>
      <c r="N86" s="65">
        <v>60</v>
      </c>
      <c r="O86" s="73">
        <v>18</v>
      </c>
    </row>
    <row r="87" spans="1:15" ht="16" x14ac:dyDescent="0.2">
      <c r="A87" s="65" t="s">
        <v>408</v>
      </c>
      <c r="B87" s="66">
        <v>2.132857622</v>
      </c>
      <c r="C87" s="65">
        <v>10</v>
      </c>
      <c r="D87" s="66">
        <v>2.3820224720000001</v>
      </c>
      <c r="E87" s="66">
        <v>2.0820524740000002</v>
      </c>
      <c r="F87" s="69">
        <v>0.10757443</v>
      </c>
      <c r="G87" s="65">
        <v>-26.5</v>
      </c>
      <c r="H87" s="65">
        <v>3.7999999999999999E-2</v>
      </c>
      <c r="I87" s="70">
        <v>210334.73490000001</v>
      </c>
      <c r="J87" s="70">
        <v>370225.49969999999</v>
      </c>
      <c r="K87" s="70" t="s">
        <v>49</v>
      </c>
      <c r="L87" s="70" t="s">
        <v>43</v>
      </c>
      <c r="M87" s="65">
        <v>3.5</v>
      </c>
      <c r="N87" s="65">
        <v>70</v>
      </c>
      <c r="O87" s="73">
        <v>18</v>
      </c>
    </row>
    <row r="88" spans="1:15" ht="16" x14ac:dyDescent="0.2">
      <c r="A88" s="65" t="s">
        <v>409</v>
      </c>
      <c r="B88" s="66">
        <v>1.9482885729999999</v>
      </c>
      <c r="C88" s="65">
        <v>10</v>
      </c>
      <c r="D88" s="66">
        <v>21.78898319</v>
      </c>
      <c r="E88" s="66">
        <v>1.523776303</v>
      </c>
      <c r="F88" s="69">
        <v>8.6143010000000006E-2</v>
      </c>
      <c r="G88" s="65">
        <v>-26.1</v>
      </c>
      <c r="H88" s="65">
        <v>3.5999999999999997E-2</v>
      </c>
      <c r="I88" s="70">
        <v>210334.73490000001</v>
      </c>
      <c r="J88" s="70">
        <v>370225.49969999999</v>
      </c>
      <c r="K88" s="70" t="s">
        <v>49</v>
      </c>
      <c r="L88" s="70" t="s">
        <v>43</v>
      </c>
      <c r="M88" s="65">
        <v>3.35</v>
      </c>
      <c r="N88" s="65">
        <v>80</v>
      </c>
      <c r="O88" s="73">
        <v>18</v>
      </c>
    </row>
    <row r="89" spans="1:15" ht="16" x14ac:dyDescent="0.2">
      <c r="A89" s="65" t="s">
        <v>410</v>
      </c>
      <c r="B89" s="66">
        <v>1.4741552149999999</v>
      </c>
      <c r="C89" s="65">
        <v>10</v>
      </c>
      <c r="D89" s="66">
        <v>24.181062109999999</v>
      </c>
      <c r="E89" s="66">
        <v>1.1176888270000001</v>
      </c>
      <c r="F89" s="69">
        <v>0.104151961</v>
      </c>
      <c r="G89" s="65">
        <v>-27.6</v>
      </c>
      <c r="H89" s="65">
        <v>3.5999999999999997E-2</v>
      </c>
      <c r="I89" s="70">
        <v>210334.73490000001</v>
      </c>
      <c r="J89" s="70">
        <v>370225.49969999999</v>
      </c>
      <c r="K89" s="70" t="s">
        <v>49</v>
      </c>
      <c r="L89" s="70" t="s">
        <v>43</v>
      </c>
      <c r="M89" s="65">
        <v>2.8</v>
      </c>
      <c r="N89" s="65">
        <v>90</v>
      </c>
      <c r="O89" s="73">
        <v>18</v>
      </c>
    </row>
    <row r="90" spans="1:15" ht="16" x14ac:dyDescent="0.2">
      <c r="A90" s="65" t="s">
        <v>411</v>
      </c>
      <c r="B90" s="66">
        <v>1.3912187389999999</v>
      </c>
      <c r="C90" s="65">
        <v>10</v>
      </c>
      <c r="D90" s="66">
        <v>6.1497768229999998</v>
      </c>
      <c r="E90" s="66">
        <v>1.305661892</v>
      </c>
      <c r="F90" s="69">
        <v>1.403197609</v>
      </c>
      <c r="G90" s="65">
        <v>-23</v>
      </c>
      <c r="H90" s="65">
        <v>0.13500000000000001</v>
      </c>
      <c r="I90" s="70">
        <v>210334.73490000001</v>
      </c>
      <c r="J90" s="70">
        <v>370225.49969999999</v>
      </c>
      <c r="K90" s="70" t="s">
        <v>49</v>
      </c>
      <c r="L90" s="70" t="s">
        <v>43</v>
      </c>
      <c r="M90" s="65">
        <v>4</v>
      </c>
      <c r="N90" s="65">
        <v>10</v>
      </c>
      <c r="O90" s="73">
        <v>19</v>
      </c>
    </row>
    <row r="91" spans="1:15" ht="16" x14ac:dyDescent="0.2">
      <c r="A91" s="65" t="s">
        <v>420</v>
      </c>
      <c r="B91" s="66">
        <v>1.742089271</v>
      </c>
      <c r="C91" s="65">
        <v>10</v>
      </c>
      <c r="D91" s="66">
        <v>30.000164380000001</v>
      </c>
      <c r="E91" s="66">
        <v>1.2194596259999999</v>
      </c>
      <c r="F91" s="69">
        <v>0.124535572</v>
      </c>
      <c r="G91" s="65">
        <v>-26.2</v>
      </c>
      <c r="H91" s="65">
        <v>3.6999999999999998E-2</v>
      </c>
      <c r="I91" s="70">
        <v>210334.73490000001</v>
      </c>
      <c r="J91" s="70">
        <v>370225.49969999999</v>
      </c>
      <c r="K91" s="70" t="s">
        <v>49</v>
      </c>
      <c r="L91" s="70" t="s">
        <v>43</v>
      </c>
      <c r="M91" s="65">
        <v>2.5</v>
      </c>
      <c r="N91" s="65">
        <v>100</v>
      </c>
      <c r="O91" s="73">
        <v>19</v>
      </c>
    </row>
    <row r="92" spans="1:15" ht="16" x14ac:dyDescent="0.2">
      <c r="A92" s="65" t="s">
        <v>421</v>
      </c>
      <c r="B92" s="66">
        <v>1.7593169790000001</v>
      </c>
      <c r="C92" s="65">
        <v>10</v>
      </c>
      <c r="D92" s="66">
        <v>12.07148847</v>
      </c>
      <c r="E92" s="66">
        <v>1.5469412330000001</v>
      </c>
      <c r="F92" s="69">
        <v>0.110716259</v>
      </c>
      <c r="G92" s="65">
        <v>-26.5</v>
      </c>
      <c r="H92" s="65">
        <v>3.6999999999999998E-2</v>
      </c>
      <c r="I92" s="70">
        <v>210334.73490000001</v>
      </c>
      <c r="J92" s="70">
        <v>370225.49969999999</v>
      </c>
      <c r="K92" s="70" t="s">
        <v>49</v>
      </c>
      <c r="L92" s="70" t="s">
        <v>43</v>
      </c>
      <c r="M92" s="65">
        <v>2.5</v>
      </c>
      <c r="N92" s="65">
        <v>110</v>
      </c>
      <c r="O92" s="73">
        <v>19</v>
      </c>
    </row>
    <row r="93" spans="1:15" ht="16" x14ac:dyDescent="0.2">
      <c r="A93" s="65" t="s">
        <v>412</v>
      </c>
      <c r="B93" s="66">
        <v>1.588518415</v>
      </c>
      <c r="C93" s="65">
        <v>10</v>
      </c>
      <c r="D93" s="66">
        <v>8.0139140859999998</v>
      </c>
      <c r="E93" s="66">
        <v>1.4612159140000001</v>
      </c>
      <c r="F93" s="69">
        <v>0.97551836199999997</v>
      </c>
      <c r="G93" s="65">
        <v>-23.6</v>
      </c>
      <c r="H93" s="65">
        <v>0.1</v>
      </c>
      <c r="I93" s="70">
        <v>210334.73490000001</v>
      </c>
      <c r="J93" s="70">
        <v>370225.49969999999</v>
      </c>
      <c r="K93" s="70" t="s">
        <v>49</v>
      </c>
      <c r="L93" s="70" t="s">
        <v>43</v>
      </c>
      <c r="M93" s="65">
        <v>5.0999999999999996</v>
      </c>
      <c r="N93" s="65">
        <v>20</v>
      </c>
      <c r="O93" s="73">
        <v>19</v>
      </c>
    </row>
    <row r="94" spans="1:15" ht="16" x14ac:dyDescent="0.2">
      <c r="A94" s="65" t="s">
        <v>413</v>
      </c>
      <c r="B94" s="66">
        <v>1.630811926</v>
      </c>
      <c r="C94" s="65">
        <v>10</v>
      </c>
      <c r="D94" s="66">
        <v>7.3965616519999999</v>
      </c>
      <c r="E94" s="66">
        <v>1.5101879170000001</v>
      </c>
      <c r="F94" s="69">
        <v>1.1783608240000001</v>
      </c>
      <c r="G94" s="65">
        <v>-24.8</v>
      </c>
      <c r="H94" s="65">
        <v>0.1</v>
      </c>
      <c r="I94" s="70">
        <v>210334.73490000001</v>
      </c>
      <c r="J94" s="70">
        <v>370225.49969999999</v>
      </c>
      <c r="K94" s="70" t="s">
        <v>49</v>
      </c>
      <c r="L94" s="70" t="s">
        <v>43</v>
      </c>
      <c r="M94" s="65">
        <v>5.6</v>
      </c>
      <c r="N94" s="65">
        <v>30</v>
      </c>
      <c r="O94" s="73">
        <v>19</v>
      </c>
    </row>
    <row r="95" spans="1:15" ht="16" x14ac:dyDescent="0.2">
      <c r="A95" s="65" t="s">
        <v>414</v>
      </c>
      <c r="B95" s="66">
        <v>1.5999294289999999</v>
      </c>
      <c r="C95" s="65">
        <v>10</v>
      </c>
      <c r="D95" s="66">
        <v>8.9390489169999992</v>
      </c>
      <c r="E95" s="66">
        <v>1.4569109549999999</v>
      </c>
      <c r="F95" s="69">
        <v>0.80910551600000002</v>
      </c>
      <c r="G95" s="65">
        <v>-23.8</v>
      </c>
      <c r="H95" s="65">
        <v>8.7999999999999995E-2</v>
      </c>
      <c r="I95" s="70">
        <v>210334.73490000001</v>
      </c>
      <c r="J95" s="70">
        <v>370225.49969999999</v>
      </c>
      <c r="K95" s="70" t="s">
        <v>49</v>
      </c>
      <c r="L95" s="70" t="s">
        <v>43</v>
      </c>
      <c r="M95" s="65">
        <v>5.8</v>
      </c>
      <c r="N95" s="65">
        <v>40</v>
      </c>
      <c r="O95" s="73">
        <v>19</v>
      </c>
    </row>
    <row r="96" spans="1:15" ht="16" x14ac:dyDescent="0.2">
      <c r="A96" s="65" t="s">
        <v>415</v>
      </c>
      <c r="B96" s="66">
        <v>1.5809599089999999</v>
      </c>
      <c r="C96" s="65">
        <v>10</v>
      </c>
      <c r="D96" s="66">
        <v>10.463854830000001</v>
      </c>
      <c r="E96" s="66">
        <v>1.415530559</v>
      </c>
      <c r="F96" s="69">
        <v>0.34407901400000002</v>
      </c>
      <c r="G96" s="65">
        <v>-23.7</v>
      </c>
      <c r="H96" s="65">
        <v>5.8000000000000003E-2</v>
      </c>
      <c r="I96" s="70">
        <v>210334.73490000001</v>
      </c>
      <c r="J96" s="70">
        <v>370225.49969999999</v>
      </c>
      <c r="K96" s="70" t="s">
        <v>49</v>
      </c>
      <c r="L96" s="70" t="s">
        <v>43</v>
      </c>
      <c r="M96" s="65">
        <v>5.5</v>
      </c>
      <c r="N96" s="65">
        <v>50</v>
      </c>
      <c r="O96" s="73">
        <v>19</v>
      </c>
    </row>
    <row r="97" spans="1:15" ht="16" x14ac:dyDescent="0.2">
      <c r="A97" s="65" t="s">
        <v>416</v>
      </c>
      <c r="B97" s="66">
        <v>1.7792175219999999</v>
      </c>
      <c r="C97" s="65">
        <v>10</v>
      </c>
      <c r="D97" s="66">
        <v>12.01339956</v>
      </c>
      <c r="E97" s="66">
        <v>1.565473012</v>
      </c>
      <c r="F97" s="69">
        <v>0.20931560699999999</v>
      </c>
      <c r="G97" s="65">
        <v>-24.3</v>
      </c>
      <c r="H97" s="65">
        <v>4.7E-2</v>
      </c>
      <c r="I97" s="70">
        <v>210334.73490000001</v>
      </c>
      <c r="J97" s="70">
        <v>370225.49969999999</v>
      </c>
      <c r="K97" s="70" t="s">
        <v>49</v>
      </c>
      <c r="L97" s="70" t="s">
        <v>43</v>
      </c>
      <c r="M97" s="65">
        <v>4.3</v>
      </c>
      <c r="N97" s="65">
        <v>60</v>
      </c>
      <c r="O97" s="73">
        <v>19</v>
      </c>
    </row>
    <row r="98" spans="1:15" ht="16" x14ac:dyDescent="0.2">
      <c r="A98" s="65" t="s">
        <v>417</v>
      </c>
      <c r="B98" s="66">
        <v>1.8928851799999999</v>
      </c>
      <c r="C98" s="65">
        <v>10</v>
      </c>
      <c r="D98" s="66">
        <v>9.6022538950000005</v>
      </c>
      <c r="E98" s="66">
        <v>1.711125539</v>
      </c>
      <c r="F98" s="69">
        <v>0.14806259899999999</v>
      </c>
      <c r="G98" s="65">
        <v>-24.3</v>
      </c>
      <c r="H98" s="65">
        <v>4.2999999999999997E-2</v>
      </c>
      <c r="I98" s="70">
        <v>210334.73490000001</v>
      </c>
      <c r="J98" s="70">
        <v>370225.49969999999</v>
      </c>
      <c r="K98" s="70" t="s">
        <v>49</v>
      </c>
      <c r="L98" s="70" t="s">
        <v>43</v>
      </c>
      <c r="M98" s="65">
        <v>3.9</v>
      </c>
      <c r="N98" s="65">
        <v>70</v>
      </c>
      <c r="O98" s="73">
        <v>19</v>
      </c>
    </row>
    <row r="99" spans="1:15" ht="16" x14ac:dyDescent="0.2">
      <c r="A99" s="65" t="s">
        <v>418</v>
      </c>
      <c r="B99" s="66">
        <v>1.138091889</v>
      </c>
      <c r="C99" s="65">
        <v>10</v>
      </c>
      <c r="D99" s="66">
        <v>16.954089960000001</v>
      </c>
      <c r="E99" s="66">
        <v>0.94513876600000002</v>
      </c>
      <c r="F99" s="69">
        <v>0.143277139</v>
      </c>
      <c r="G99" s="65">
        <v>-25.1</v>
      </c>
      <c r="H99" s="65">
        <v>4.0500000000000001E-2</v>
      </c>
      <c r="I99" s="70">
        <v>210334.73490000001</v>
      </c>
      <c r="J99" s="70">
        <v>370225.49969999999</v>
      </c>
      <c r="K99" s="70" t="s">
        <v>49</v>
      </c>
      <c r="L99" s="70" t="s">
        <v>43</v>
      </c>
      <c r="M99" s="65">
        <v>2.6</v>
      </c>
      <c r="N99" s="65">
        <v>80</v>
      </c>
      <c r="O99" s="73">
        <v>19</v>
      </c>
    </row>
    <row r="100" spans="1:15" ht="16" x14ac:dyDescent="0.2">
      <c r="A100" s="65" t="s">
        <v>419</v>
      </c>
      <c r="B100" s="66">
        <v>1.544540816</v>
      </c>
      <c r="C100" s="65">
        <v>10</v>
      </c>
      <c r="D100" s="66">
        <v>45.161397170000001</v>
      </c>
      <c r="E100" s="66">
        <v>0.84700460300000002</v>
      </c>
      <c r="F100" s="69">
        <v>0.16293413500000001</v>
      </c>
      <c r="G100" s="65">
        <v>-26</v>
      </c>
      <c r="H100" s="65">
        <v>4.3999999999999997E-2</v>
      </c>
      <c r="I100" s="70">
        <v>210334.73490000001</v>
      </c>
      <c r="J100" s="70">
        <v>370225.49969999999</v>
      </c>
      <c r="K100" s="70" t="s">
        <v>49</v>
      </c>
      <c r="L100" s="70" t="s">
        <v>43</v>
      </c>
      <c r="M100" s="65">
        <v>3.3</v>
      </c>
      <c r="N100" s="65">
        <v>90</v>
      </c>
      <c r="O100" s="73">
        <v>19</v>
      </c>
    </row>
    <row r="101" spans="1:15" ht="16" x14ac:dyDescent="0.2">
      <c r="A101" s="65" t="s">
        <v>440</v>
      </c>
      <c r="B101" s="66">
        <v>1.3635786990000001</v>
      </c>
      <c r="C101" s="65">
        <v>10</v>
      </c>
      <c r="D101" s="66">
        <v>3.4639004149999999</v>
      </c>
      <c r="E101" s="66">
        <v>1.316345691</v>
      </c>
      <c r="F101" s="69">
        <v>1.0673044890000001</v>
      </c>
      <c r="G101" s="65">
        <v>-22.7</v>
      </c>
      <c r="H101" s="65">
        <v>0.11</v>
      </c>
      <c r="I101" s="70">
        <v>210194.4284</v>
      </c>
      <c r="J101" s="70">
        <v>370226.23100000003</v>
      </c>
      <c r="K101" s="70" t="s">
        <v>49</v>
      </c>
      <c r="L101" s="70" t="s">
        <v>81</v>
      </c>
      <c r="M101" s="65">
        <v>4.2</v>
      </c>
      <c r="N101" s="65">
        <v>10</v>
      </c>
      <c r="O101" s="73">
        <v>18</v>
      </c>
    </row>
    <row r="102" spans="1:15" ht="16" x14ac:dyDescent="0.2">
      <c r="A102" s="65" t="s">
        <v>449</v>
      </c>
      <c r="B102" s="66">
        <v>1.223927996</v>
      </c>
      <c r="C102" s="65">
        <v>10</v>
      </c>
      <c r="D102" s="66">
        <v>0.64204928999999999</v>
      </c>
      <c r="E102" s="66">
        <v>1.216069775</v>
      </c>
      <c r="F102" s="69">
        <v>9.7473532000000002E-2</v>
      </c>
      <c r="G102" s="65">
        <v>-26.5</v>
      </c>
      <c r="H102" s="65">
        <v>3.2000000000000001E-2</v>
      </c>
      <c r="I102" s="70">
        <v>210194.4284</v>
      </c>
      <c r="J102" s="70">
        <v>370226.23100000003</v>
      </c>
      <c r="K102" s="70" t="s">
        <v>49</v>
      </c>
      <c r="L102" s="70" t="s">
        <v>81</v>
      </c>
      <c r="M102" s="65">
        <v>1.6</v>
      </c>
      <c r="N102" s="65">
        <v>100</v>
      </c>
      <c r="O102" s="73">
        <v>18</v>
      </c>
    </row>
    <row r="103" spans="1:15" ht="16" x14ac:dyDescent="0.2">
      <c r="A103" s="65" t="s">
        <v>450</v>
      </c>
      <c r="B103" s="66">
        <v>1.0097824909999999</v>
      </c>
      <c r="C103" s="65">
        <v>10</v>
      </c>
      <c r="D103" s="66">
        <v>2.2755927659999999</v>
      </c>
      <c r="E103" s="66">
        <v>0.98680395399999998</v>
      </c>
      <c r="F103" s="69">
        <v>9.8332355999999996E-2</v>
      </c>
      <c r="G103" s="65">
        <v>-26.5</v>
      </c>
      <c r="H103" s="65">
        <v>2.9000000000000001E-2</v>
      </c>
      <c r="I103" s="70">
        <v>210194.4284</v>
      </c>
      <c r="J103" s="70">
        <v>370226.23100000003</v>
      </c>
      <c r="K103" s="70" t="s">
        <v>49</v>
      </c>
      <c r="L103" s="70" t="s">
        <v>81</v>
      </c>
      <c r="M103" s="65">
        <v>1.4</v>
      </c>
      <c r="N103" s="65">
        <v>110</v>
      </c>
      <c r="O103" s="73">
        <v>18</v>
      </c>
    </row>
    <row r="104" spans="1:15" ht="16" x14ac:dyDescent="0.2">
      <c r="A104" s="65" t="s">
        <v>441</v>
      </c>
      <c r="B104" s="66">
        <v>1.574330805</v>
      </c>
      <c r="C104" s="65">
        <v>10</v>
      </c>
      <c r="D104" s="66">
        <v>5.8186514770000004</v>
      </c>
      <c r="E104" s="66">
        <v>1.4827259820000001</v>
      </c>
      <c r="F104" s="69">
        <v>0.733114037</v>
      </c>
      <c r="G104" s="65">
        <v>-22.3</v>
      </c>
      <c r="H104" s="65">
        <v>8.4000000000000005E-2</v>
      </c>
      <c r="I104" s="70">
        <v>210194.4284</v>
      </c>
      <c r="J104" s="70">
        <v>370226.23100000003</v>
      </c>
      <c r="K104" s="70" t="s">
        <v>49</v>
      </c>
      <c r="L104" s="70" t="s">
        <v>81</v>
      </c>
      <c r="M104" s="65">
        <v>4.8</v>
      </c>
      <c r="N104" s="65">
        <v>20</v>
      </c>
      <c r="O104" s="73">
        <v>18</v>
      </c>
    </row>
    <row r="105" spans="1:15" ht="16" x14ac:dyDescent="0.2">
      <c r="A105" s="65" t="s">
        <v>442</v>
      </c>
      <c r="B105" s="66">
        <v>1.5016770159999999</v>
      </c>
      <c r="C105" s="65">
        <v>10</v>
      </c>
      <c r="D105" s="66">
        <v>3.3775553870000001</v>
      </c>
      <c r="E105" s="66">
        <v>1.4509570430000001</v>
      </c>
      <c r="F105" s="69">
        <v>0.59295886099999995</v>
      </c>
      <c r="G105" s="65">
        <v>-23.2</v>
      </c>
      <c r="H105" s="65">
        <v>7.1999999999999995E-2</v>
      </c>
      <c r="I105" s="70">
        <v>210194.4284</v>
      </c>
      <c r="J105" s="70">
        <v>370226.23100000003</v>
      </c>
      <c r="K105" s="70" t="s">
        <v>49</v>
      </c>
      <c r="L105" s="70" t="s">
        <v>81</v>
      </c>
      <c r="M105" s="65">
        <v>5.0999999999999996</v>
      </c>
      <c r="N105" s="65">
        <v>30</v>
      </c>
      <c r="O105" s="73">
        <v>18</v>
      </c>
    </row>
    <row r="106" spans="1:15" ht="16" x14ac:dyDescent="0.2">
      <c r="A106" s="65" t="s">
        <v>443</v>
      </c>
      <c r="B106" s="66">
        <v>1.508886701</v>
      </c>
      <c r="C106" s="65">
        <v>10</v>
      </c>
      <c r="D106" s="66">
        <v>4.5078166399999997</v>
      </c>
      <c r="E106" s="66">
        <v>1.4408688549999999</v>
      </c>
      <c r="F106" s="69">
        <v>0.39901783600000001</v>
      </c>
      <c r="G106" s="65">
        <v>-22.35</v>
      </c>
      <c r="H106" s="65">
        <v>5.9499999999999997E-2</v>
      </c>
      <c r="I106" s="70">
        <v>210194.4284</v>
      </c>
      <c r="J106" s="70">
        <v>370226.23100000003</v>
      </c>
      <c r="K106" s="70" t="s">
        <v>49</v>
      </c>
      <c r="L106" s="70" t="s">
        <v>81</v>
      </c>
      <c r="M106" s="65">
        <v>5.05</v>
      </c>
      <c r="N106" s="65">
        <v>40</v>
      </c>
      <c r="O106" s="73">
        <v>18</v>
      </c>
    </row>
    <row r="107" spans="1:15" ht="16" x14ac:dyDescent="0.2">
      <c r="A107" s="65" t="s">
        <v>444</v>
      </c>
      <c r="B107" s="66">
        <v>1.6079948049999999</v>
      </c>
      <c r="C107" s="65">
        <v>10</v>
      </c>
      <c r="D107" s="66">
        <v>0.351884741</v>
      </c>
      <c r="E107" s="66">
        <v>1.6023365169999999</v>
      </c>
      <c r="F107" s="69">
        <v>0.193095775</v>
      </c>
      <c r="G107" s="65">
        <v>-23.5</v>
      </c>
      <c r="H107" s="65">
        <v>4.2999999999999997E-2</v>
      </c>
      <c r="I107" s="70">
        <v>210194.4284</v>
      </c>
      <c r="J107" s="70">
        <v>370226.23100000003</v>
      </c>
      <c r="K107" s="70" t="s">
        <v>49</v>
      </c>
      <c r="L107" s="70" t="s">
        <v>81</v>
      </c>
      <c r="M107" s="65">
        <v>3.9</v>
      </c>
      <c r="N107" s="65">
        <v>50</v>
      </c>
      <c r="O107" s="73">
        <v>18</v>
      </c>
    </row>
    <row r="108" spans="1:15" ht="16" x14ac:dyDescent="0.2">
      <c r="A108" s="65" t="s">
        <v>445</v>
      </c>
      <c r="B108" s="66">
        <v>1.3341204369999999</v>
      </c>
      <c r="C108" s="65">
        <v>10</v>
      </c>
      <c r="D108" s="66">
        <v>3.1871980880000002</v>
      </c>
      <c r="E108" s="66">
        <v>1.291599376</v>
      </c>
      <c r="F108" s="69">
        <v>0.16188870999999999</v>
      </c>
      <c r="G108" s="65">
        <v>-24.7</v>
      </c>
      <c r="H108" s="65">
        <v>0.04</v>
      </c>
      <c r="I108" s="70">
        <v>210194.4284</v>
      </c>
      <c r="J108" s="70">
        <v>370226.23100000003</v>
      </c>
      <c r="K108" s="70" t="s">
        <v>49</v>
      </c>
      <c r="L108" s="70" t="s">
        <v>81</v>
      </c>
      <c r="M108" s="65">
        <v>3.1</v>
      </c>
      <c r="N108" s="65">
        <v>60</v>
      </c>
      <c r="O108" s="73">
        <v>18</v>
      </c>
    </row>
    <row r="109" spans="1:15" ht="16" x14ac:dyDescent="0.2">
      <c r="A109" s="65" t="s">
        <v>446</v>
      </c>
      <c r="B109" s="66">
        <v>1.4304485870000001</v>
      </c>
      <c r="C109" s="65">
        <v>10</v>
      </c>
      <c r="D109" s="66">
        <v>0</v>
      </c>
      <c r="E109" s="66">
        <v>1.4304485870000001</v>
      </c>
      <c r="F109" s="69">
        <v>0.119100649</v>
      </c>
      <c r="G109" s="65">
        <v>-25.7</v>
      </c>
      <c r="H109" s="65">
        <v>3.5999999999999997E-2</v>
      </c>
      <c r="I109" s="70">
        <v>210194.4284</v>
      </c>
      <c r="J109" s="70">
        <v>370226.23100000003</v>
      </c>
      <c r="K109" s="70" t="s">
        <v>49</v>
      </c>
      <c r="L109" s="70" t="s">
        <v>81</v>
      </c>
      <c r="M109" s="65">
        <v>2.5</v>
      </c>
      <c r="N109" s="65">
        <v>70</v>
      </c>
      <c r="O109" s="73">
        <v>18</v>
      </c>
    </row>
    <row r="110" spans="1:15" ht="16" x14ac:dyDescent="0.2">
      <c r="A110" s="65" t="s">
        <v>447</v>
      </c>
      <c r="B110" s="66">
        <v>1.283253258</v>
      </c>
      <c r="C110" s="65">
        <v>10</v>
      </c>
      <c r="D110" s="66">
        <v>8.3954763000000002E-2</v>
      </c>
      <c r="E110" s="66">
        <v>1.282175906</v>
      </c>
      <c r="F110" s="69">
        <v>0.117608227</v>
      </c>
      <c r="G110" s="65">
        <v>-26.2</v>
      </c>
      <c r="H110" s="65">
        <v>3.5000000000000003E-2</v>
      </c>
      <c r="I110" s="70">
        <v>210194.4284</v>
      </c>
      <c r="J110" s="70">
        <v>370226.23100000003</v>
      </c>
      <c r="K110" s="70" t="s">
        <v>49</v>
      </c>
      <c r="L110" s="70" t="s">
        <v>81</v>
      </c>
      <c r="M110" s="65">
        <v>2.6</v>
      </c>
      <c r="N110" s="65">
        <v>80</v>
      </c>
      <c r="O110" s="73">
        <v>18</v>
      </c>
    </row>
    <row r="111" spans="1:15" ht="16" x14ac:dyDescent="0.2">
      <c r="A111" s="65" t="s">
        <v>448</v>
      </c>
      <c r="B111" s="66">
        <v>1.3469973850000001</v>
      </c>
      <c r="C111" s="65">
        <v>10</v>
      </c>
      <c r="D111" s="66">
        <v>1.3343499809999999</v>
      </c>
      <c r="E111" s="66">
        <v>1.329023726</v>
      </c>
      <c r="F111" s="69">
        <v>9.7567776999999994E-2</v>
      </c>
      <c r="G111" s="65">
        <v>-25.9</v>
      </c>
      <c r="H111" s="65">
        <v>3.4000000000000002E-2</v>
      </c>
      <c r="I111" s="70">
        <v>210194.4284</v>
      </c>
      <c r="J111" s="70">
        <v>370226.23100000003</v>
      </c>
      <c r="K111" s="70" t="s">
        <v>49</v>
      </c>
      <c r="L111" s="70" t="s">
        <v>81</v>
      </c>
      <c r="M111" s="65">
        <v>1.9</v>
      </c>
      <c r="N111" s="65">
        <v>90</v>
      </c>
      <c r="O111" s="73">
        <v>18</v>
      </c>
    </row>
    <row r="112" spans="1:15" ht="16" x14ac:dyDescent="0.2">
      <c r="A112" s="65" t="s">
        <v>451</v>
      </c>
      <c r="B112" s="66">
        <v>1.688038312</v>
      </c>
      <c r="C112" s="65">
        <v>10</v>
      </c>
      <c r="D112" s="66">
        <v>3.7197778440000002</v>
      </c>
      <c r="E112" s="66">
        <v>1.6252470370000001</v>
      </c>
      <c r="F112" s="69">
        <v>1.1256518520000001</v>
      </c>
      <c r="G112" s="65">
        <v>-22.2</v>
      </c>
      <c r="H112" s="65">
        <v>0.11</v>
      </c>
      <c r="I112" s="70">
        <v>210194.4284</v>
      </c>
      <c r="J112" s="70">
        <v>370226.23100000003</v>
      </c>
      <c r="K112" s="70" t="s">
        <v>49</v>
      </c>
      <c r="L112" s="70" t="s">
        <v>81</v>
      </c>
      <c r="M112" s="65">
        <v>4.0999999999999996</v>
      </c>
      <c r="N112" s="65">
        <v>10</v>
      </c>
      <c r="O112" s="73">
        <v>19</v>
      </c>
    </row>
    <row r="113" spans="1:15" ht="16" x14ac:dyDescent="0.2">
      <c r="A113" s="65" t="s">
        <v>460</v>
      </c>
      <c r="B113" s="66">
        <v>1.512138416</v>
      </c>
      <c r="C113" s="65">
        <v>10</v>
      </c>
      <c r="D113" s="66">
        <v>0.95359291300000004</v>
      </c>
      <c r="E113" s="66">
        <v>1.4977187709999999</v>
      </c>
      <c r="F113" s="69">
        <v>0.109032911</v>
      </c>
      <c r="G113" s="65">
        <v>-26.1</v>
      </c>
      <c r="H113" s="65">
        <v>2.9000000000000001E-2</v>
      </c>
      <c r="I113" s="70">
        <v>210194.4284</v>
      </c>
      <c r="J113" s="70">
        <v>370226.23100000003</v>
      </c>
      <c r="K113" s="70" t="s">
        <v>49</v>
      </c>
      <c r="L113" s="70" t="s">
        <v>81</v>
      </c>
      <c r="M113" s="65">
        <v>2</v>
      </c>
      <c r="N113" s="65">
        <v>100</v>
      </c>
      <c r="O113" s="73">
        <v>19</v>
      </c>
    </row>
    <row r="114" spans="1:15" ht="16" x14ac:dyDescent="0.2">
      <c r="A114" s="65" t="s">
        <v>461</v>
      </c>
      <c r="B114" s="66">
        <v>1.1316527249999999</v>
      </c>
      <c r="C114" s="65">
        <v>10</v>
      </c>
      <c r="D114" s="66">
        <v>0.97725219699999999</v>
      </c>
      <c r="E114" s="66">
        <v>1.1205936240000001</v>
      </c>
      <c r="F114" s="69">
        <v>8.8456567E-2</v>
      </c>
      <c r="G114" s="65">
        <v>-26</v>
      </c>
      <c r="H114" s="65">
        <v>2.9000000000000001E-2</v>
      </c>
      <c r="I114" s="70">
        <v>210194.4284</v>
      </c>
      <c r="J114" s="70">
        <v>370226.23100000003</v>
      </c>
      <c r="K114" s="70" t="s">
        <v>49</v>
      </c>
      <c r="L114" s="70" t="s">
        <v>81</v>
      </c>
      <c r="M114" s="65">
        <v>2.2000000000000002</v>
      </c>
      <c r="N114" s="65">
        <v>110</v>
      </c>
      <c r="O114" s="73">
        <v>19</v>
      </c>
    </row>
    <row r="115" spans="1:15" ht="16" x14ac:dyDescent="0.2">
      <c r="A115" s="65" t="s">
        <v>452</v>
      </c>
      <c r="B115" s="66">
        <v>1.5673582690000001</v>
      </c>
      <c r="C115" s="65">
        <v>10</v>
      </c>
      <c r="D115" s="66">
        <v>2.8965221969999999</v>
      </c>
      <c r="E115" s="66">
        <v>1.5219593890000001</v>
      </c>
      <c r="F115" s="69">
        <v>0.73177529699999999</v>
      </c>
      <c r="G115" s="65">
        <v>-23</v>
      </c>
      <c r="H115" s="65">
        <v>8.1000000000000003E-2</v>
      </c>
      <c r="I115" s="70">
        <v>210194.4284</v>
      </c>
      <c r="J115" s="70">
        <v>370226.23100000003</v>
      </c>
      <c r="K115" s="70" t="s">
        <v>49</v>
      </c>
      <c r="L115" s="70" t="s">
        <v>81</v>
      </c>
      <c r="M115" s="65">
        <v>5.0999999999999996</v>
      </c>
      <c r="N115" s="65">
        <v>20</v>
      </c>
      <c r="O115" s="73">
        <v>19</v>
      </c>
    </row>
    <row r="116" spans="1:15" ht="16" x14ac:dyDescent="0.2">
      <c r="A116" s="65" t="s">
        <v>453</v>
      </c>
      <c r="B116" s="66">
        <v>1.643739922</v>
      </c>
      <c r="C116" s="65">
        <v>10</v>
      </c>
      <c r="D116" s="66">
        <v>3.5097889819999999</v>
      </c>
      <c r="E116" s="66">
        <v>1.5860481200000001</v>
      </c>
      <c r="F116" s="69">
        <v>0.79581620200000003</v>
      </c>
      <c r="G116" s="65">
        <v>-23.1</v>
      </c>
      <c r="H116" s="65">
        <v>8.4000000000000005E-2</v>
      </c>
      <c r="I116" s="70">
        <v>210194.4284</v>
      </c>
      <c r="J116" s="70">
        <v>370226.23100000003</v>
      </c>
      <c r="K116" s="70" t="s">
        <v>49</v>
      </c>
      <c r="L116" s="70" t="s">
        <v>81</v>
      </c>
      <c r="M116" s="65">
        <v>5.3</v>
      </c>
      <c r="N116" s="65">
        <v>30</v>
      </c>
      <c r="O116" s="73">
        <v>19</v>
      </c>
    </row>
    <row r="117" spans="1:15" ht="16" x14ac:dyDescent="0.2">
      <c r="A117" s="65" t="s">
        <v>454</v>
      </c>
      <c r="B117" s="66">
        <v>1.6829072009999999</v>
      </c>
      <c r="C117" s="65">
        <v>10</v>
      </c>
      <c r="D117" s="66">
        <v>3.5758506269999999</v>
      </c>
      <c r="E117" s="66">
        <v>1.622728953</v>
      </c>
      <c r="F117" s="69">
        <v>0.24406156600000001</v>
      </c>
      <c r="G117" s="65">
        <v>-22.25</v>
      </c>
      <c r="H117" s="65">
        <v>4.65E-2</v>
      </c>
      <c r="I117" s="70">
        <v>210194.4284</v>
      </c>
      <c r="J117" s="70">
        <v>370226.23100000003</v>
      </c>
      <c r="K117" s="70" t="s">
        <v>49</v>
      </c>
      <c r="L117" s="70" t="s">
        <v>81</v>
      </c>
      <c r="M117" s="65">
        <v>4.1500000000000004</v>
      </c>
      <c r="N117" s="65">
        <v>40</v>
      </c>
      <c r="O117" s="73">
        <v>19</v>
      </c>
    </row>
    <row r="118" spans="1:15" ht="16" x14ac:dyDescent="0.2">
      <c r="A118" s="65" t="s">
        <v>455</v>
      </c>
      <c r="B118" s="66">
        <v>1.678199899</v>
      </c>
      <c r="C118" s="65">
        <v>10</v>
      </c>
      <c r="D118" s="66">
        <v>3.929993885</v>
      </c>
      <c r="E118" s="66">
        <v>1.6122467460000001</v>
      </c>
      <c r="F118" s="69">
        <v>0.16381469700000001</v>
      </c>
      <c r="G118" s="65">
        <v>-23.3</v>
      </c>
      <c r="H118" s="65">
        <v>4.1000000000000002E-2</v>
      </c>
      <c r="I118" s="70">
        <v>210194.4284</v>
      </c>
      <c r="J118" s="70">
        <v>370226.23100000003</v>
      </c>
      <c r="K118" s="70" t="s">
        <v>49</v>
      </c>
      <c r="L118" s="70" t="s">
        <v>81</v>
      </c>
      <c r="M118" s="65">
        <v>3.6</v>
      </c>
      <c r="N118" s="65">
        <v>50</v>
      </c>
      <c r="O118" s="73">
        <v>19</v>
      </c>
    </row>
    <row r="119" spans="1:15" ht="16" x14ac:dyDescent="0.2">
      <c r="A119" s="65" t="s">
        <v>456</v>
      </c>
      <c r="B119" s="66">
        <v>1.7051100690000001</v>
      </c>
      <c r="C119" s="65">
        <v>10</v>
      </c>
      <c r="D119" s="66">
        <v>1.6677631580000001</v>
      </c>
      <c r="E119" s="66">
        <v>1.6766728719999999</v>
      </c>
      <c r="F119" s="69">
        <v>0.11187773600000001</v>
      </c>
      <c r="G119" s="65">
        <v>-23.9</v>
      </c>
      <c r="H119" s="65">
        <v>3.7999999999999999E-2</v>
      </c>
      <c r="I119" s="70">
        <v>210194.4284</v>
      </c>
      <c r="J119" s="70">
        <v>370226.23100000003</v>
      </c>
      <c r="K119" s="70" t="s">
        <v>49</v>
      </c>
      <c r="L119" s="70" t="s">
        <v>81</v>
      </c>
      <c r="M119" s="65">
        <v>3.5</v>
      </c>
      <c r="N119" s="65">
        <v>60</v>
      </c>
      <c r="O119" s="73">
        <v>19</v>
      </c>
    </row>
    <row r="120" spans="1:15" ht="16" x14ac:dyDescent="0.2">
      <c r="A120" s="65" t="s">
        <v>457</v>
      </c>
      <c r="B120" s="66">
        <v>1.5317316889999999</v>
      </c>
      <c r="C120" s="65">
        <v>10</v>
      </c>
      <c r="D120" s="66">
        <v>0.67117422400000004</v>
      </c>
      <c r="E120" s="66">
        <v>1.521451101</v>
      </c>
      <c r="F120" s="69">
        <v>0.10510826099999999</v>
      </c>
      <c r="G120" s="65">
        <v>-25.2</v>
      </c>
      <c r="H120" s="65">
        <v>3.1E-2</v>
      </c>
      <c r="I120" s="70">
        <v>210194.4284</v>
      </c>
      <c r="J120" s="70">
        <v>370226.23100000003</v>
      </c>
      <c r="K120" s="70" t="s">
        <v>49</v>
      </c>
      <c r="L120" s="70" t="s">
        <v>81</v>
      </c>
      <c r="M120" s="65">
        <v>2.8</v>
      </c>
      <c r="N120" s="65">
        <v>70</v>
      </c>
      <c r="O120" s="73">
        <v>19</v>
      </c>
    </row>
    <row r="121" spans="1:15" ht="16" x14ac:dyDescent="0.2">
      <c r="A121" s="65" t="s">
        <v>458</v>
      </c>
      <c r="B121" s="66">
        <v>1.4724273489999999</v>
      </c>
      <c r="C121" s="65">
        <v>10</v>
      </c>
      <c r="D121" s="66">
        <v>0.28138528099999999</v>
      </c>
      <c r="E121" s="66">
        <v>1.4682841550000001</v>
      </c>
      <c r="F121" s="69">
        <v>0.108849248</v>
      </c>
      <c r="G121" s="65">
        <v>-26</v>
      </c>
      <c r="H121" s="65">
        <v>0.03</v>
      </c>
      <c r="I121" s="70">
        <v>210194.4284</v>
      </c>
      <c r="J121" s="70">
        <v>370226.23100000003</v>
      </c>
      <c r="K121" s="70" t="s">
        <v>49</v>
      </c>
      <c r="L121" s="70" t="s">
        <v>81</v>
      </c>
      <c r="M121" s="65">
        <v>2.1</v>
      </c>
      <c r="N121" s="65">
        <v>80</v>
      </c>
      <c r="O121" s="73">
        <v>19</v>
      </c>
    </row>
    <row r="122" spans="1:15" ht="16" x14ac:dyDescent="0.2">
      <c r="A122" s="65" t="s">
        <v>459</v>
      </c>
      <c r="B122" s="66">
        <v>1.6320369450000001</v>
      </c>
      <c r="C122" s="65">
        <v>10</v>
      </c>
      <c r="D122" s="66">
        <v>0.30610229700000002</v>
      </c>
      <c r="E122" s="66">
        <v>1.627041242</v>
      </c>
      <c r="F122" s="69">
        <v>0.108408975</v>
      </c>
      <c r="G122" s="65">
        <v>-25.7</v>
      </c>
      <c r="H122" s="65">
        <v>2.9000000000000001E-2</v>
      </c>
      <c r="I122" s="70">
        <v>210194.4284</v>
      </c>
      <c r="J122" s="70">
        <v>370226.23100000003</v>
      </c>
      <c r="K122" s="70" t="s">
        <v>49</v>
      </c>
      <c r="L122" s="70" t="s">
        <v>81</v>
      </c>
      <c r="M122" s="65">
        <v>2</v>
      </c>
      <c r="N122" s="65">
        <v>90</v>
      </c>
      <c r="O122" s="73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A7A3-C3F3-4499-ADFA-9D9C3A0EBD5E}">
  <dimension ref="A1:D40"/>
  <sheetViews>
    <sheetView workbookViewId="0">
      <selection activeCell="I42" sqref="I42"/>
    </sheetView>
  </sheetViews>
  <sheetFormatPr baseColWidth="10" defaultColWidth="8.83203125" defaultRowHeight="15" x14ac:dyDescent="0.2"/>
  <cols>
    <col min="1" max="1" width="21.83203125" customWidth="1"/>
    <col min="2" max="2" width="17.83203125" customWidth="1"/>
    <col min="3" max="3" width="21.5" customWidth="1"/>
    <col min="4" max="4" width="38.5" customWidth="1"/>
  </cols>
  <sheetData>
    <row r="1" spans="1:4" ht="16" x14ac:dyDescent="0.2">
      <c r="A1" s="18" t="s">
        <v>981</v>
      </c>
      <c r="B1" s="19" t="s">
        <v>982</v>
      </c>
      <c r="C1" s="19" t="s">
        <v>983</v>
      </c>
      <c r="D1" s="20" t="s">
        <v>984</v>
      </c>
    </row>
    <row r="2" spans="1:4" ht="16" x14ac:dyDescent="0.2">
      <c r="A2" s="21" t="s">
        <v>985</v>
      </c>
      <c r="B2" s="22" t="s">
        <v>986</v>
      </c>
      <c r="C2" s="22" t="s">
        <v>987</v>
      </c>
      <c r="D2" s="23" t="s">
        <v>988</v>
      </c>
    </row>
    <row r="3" spans="1:4" ht="16" x14ac:dyDescent="0.2">
      <c r="A3" s="21" t="s">
        <v>989</v>
      </c>
      <c r="B3" s="22" t="s">
        <v>990</v>
      </c>
      <c r="C3" s="22" t="s">
        <v>991</v>
      </c>
      <c r="D3" s="23" t="s">
        <v>992</v>
      </c>
    </row>
    <row r="4" spans="1:4" ht="16" x14ac:dyDescent="0.2">
      <c r="A4" s="21" t="s">
        <v>993</v>
      </c>
      <c r="B4" s="22" t="s">
        <v>994</v>
      </c>
      <c r="C4" s="22" t="s">
        <v>991</v>
      </c>
      <c r="D4" s="23" t="s">
        <v>992</v>
      </c>
    </row>
    <row r="5" spans="1:4" ht="16" x14ac:dyDescent="0.2">
      <c r="A5" s="21" t="s">
        <v>995</v>
      </c>
      <c r="B5" s="22" t="s">
        <v>996</v>
      </c>
      <c r="C5" s="22" t="s">
        <v>997</v>
      </c>
      <c r="D5" s="23" t="s">
        <v>998</v>
      </c>
    </row>
    <row r="6" spans="1:4" ht="16" x14ac:dyDescent="0.2">
      <c r="A6" s="21" t="s">
        <v>999</v>
      </c>
      <c r="B6" s="22" t="s">
        <v>1000</v>
      </c>
      <c r="C6" s="22" t="s">
        <v>1001</v>
      </c>
      <c r="D6" s="23" t="s">
        <v>992</v>
      </c>
    </row>
    <row r="7" spans="1:4" ht="16" x14ac:dyDescent="0.2">
      <c r="A7" s="21" t="s">
        <v>1002</v>
      </c>
      <c r="B7" s="22" t="s">
        <v>1003</v>
      </c>
      <c r="C7" s="22" t="s">
        <v>1001</v>
      </c>
      <c r="D7" s="23" t="s">
        <v>992</v>
      </c>
    </row>
    <row r="8" spans="1:4" ht="16" x14ac:dyDescent="0.2">
      <c r="A8" s="21" t="s">
        <v>1004</v>
      </c>
      <c r="B8" s="22" t="s">
        <v>1005</v>
      </c>
      <c r="C8" s="22" t="s">
        <v>1001</v>
      </c>
      <c r="D8" s="23" t="s">
        <v>992</v>
      </c>
    </row>
    <row r="9" spans="1:4" ht="16" x14ac:dyDescent="0.2">
      <c r="A9" s="21" t="s">
        <v>1006</v>
      </c>
      <c r="B9" s="22" t="s">
        <v>1007</v>
      </c>
      <c r="C9" s="22" t="s">
        <v>987</v>
      </c>
      <c r="D9" s="23" t="s">
        <v>988</v>
      </c>
    </row>
    <row r="10" spans="1:4" ht="16" x14ac:dyDescent="0.2">
      <c r="A10" s="21" t="s">
        <v>1008</v>
      </c>
      <c r="B10" s="22" t="s">
        <v>1009</v>
      </c>
      <c r="C10" s="22" t="s">
        <v>1010</v>
      </c>
      <c r="D10" s="23" t="s">
        <v>1011</v>
      </c>
    </row>
    <row r="11" spans="1:4" ht="16" x14ac:dyDescent="0.2">
      <c r="A11" s="21" t="s">
        <v>1012</v>
      </c>
      <c r="B11" s="22" t="s">
        <v>1013</v>
      </c>
      <c r="C11" s="22" t="s">
        <v>1014</v>
      </c>
      <c r="D11" s="23" t="s">
        <v>1015</v>
      </c>
    </row>
    <row r="12" spans="1:4" ht="16" x14ac:dyDescent="0.2">
      <c r="A12" s="21" t="s">
        <v>1016</v>
      </c>
      <c r="B12" s="22" t="s">
        <v>1017</v>
      </c>
      <c r="C12" s="22" t="s">
        <v>997</v>
      </c>
      <c r="D12" s="23" t="s">
        <v>998</v>
      </c>
    </row>
    <row r="13" spans="1:4" ht="16" x14ac:dyDescent="0.2">
      <c r="A13" s="62" t="s">
        <v>1018</v>
      </c>
      <c r="B13" s="63" t="s">
        <v>1019</v>
      </c>
      <c r="C13" s="63" t="s">
        <v>987</v>
      </c>
      <c r="D13" s="64" t="s">
        <v>988</v>
      </c>
    </row>
    <row r="14" spans="1:4" ht="16" x14ac:dyDescent="0.2">
      <c r="A14" s="62" t="s">
        <v>1020</v>
      </c>
      <c r="B14" s="63" t="s">
        <v>1021</v>
      </c>
      <c r="C14" s="63" t="s">
        <v>987</v>
      </c>
      <c r="D14" s="64" t="s">
        <v>988</v>
      </c>
    </row>
    <row r="15" spans="1:4" ht="16" x14ac:dyDescent="0.2">
      <c r="A15" s="21" t="s">
        <v>1022</v>
      </c>
      <c r="B15" s="22" t="s">
        <v>1023</v>
      </c>
      <c r="C15" s="22" t="s">
        <v>1024</v>
      </c>
      <c r="D15" s="23" t="s">
        <v>1025</v>
      </c>
    </row>
    <row r="16" spans="1:4" ht="16" x14ac:dyDescent="0.2">
      <c r="A16" s="21" t="s">
        <v>1026</v>
      </c>
      <c r="B16" s="22" t="s">
        <v>1023</v>
      </c>
      <c r="C16" s="22" t="s">
        <v>1024</v>
      </c>
      <c r="D16" s="23" t="s">
        <v>1025</v>
      </c>
    </row>
    <row r="17" spans="1:4" ht="16" x14ac:dyDescent="0.2">
      <c r="A17" s="21" t="s">
        <v>1027</v>
      </c>
      <c r="B17" s="22" t="s">
        <v>1028</v>
      </c>
      <c r="C17" s="22" t="s">
        <v>1001</v>
      </c>
      <c r="D17" s="23" t="s">
        <v>1029</v>
      </c>
    </row>
    <row r="18" spans="1:4" ht="16" x14ac:dyDescent="0.2">
      <c r="A18" s="21" t="s">
        <v>1030</v>
      </c>
      <c r="B18" s="22" t="s">
        <v>1028</v>
      </c>
      <c r="C18" s="22" t="s">
        <v>1001</v>
      </c>
      <c r="D18" s="23" t="s">
        <v>1029</v>
      </c>
    </row>
    <row r="19" spans="1:4" ht="16" x14ac:dyDescent="0.2">
      <c r="A19" s="21" t="s">
        <v>1031</v>
      </c>
      <c r="B19" s="22" t="s">
        <v>1028</v>
      </c>
      <c r="C19" s="22" t="s">
        <v>1001</v>
      </c>
      <c r="D19" s="23" t="s">
        <v>1029</v>
      </c>
    </row>
    <row r="20" spans="1:4" ht="16" x14ac:dyDescent="0.2">
      <c r="A20" s="21" t="s">
        <v>1032</v>
      </c>
      <c r="B20" s="22" t="s">
        <v>1028</v>
      </c>
      <c r="C20" s="22" t="s">
        <v>1001</v>
      </c>
      <c r="D20" s="23" t="s">
        <v>1029</v>
      </c>
    </row>
    <row r="21" spans="1:4" ht="16" x14ac:dyDescent="0.2">
      <c r="A21" s="21" t="s">
        <v>1033</v>
      </c>
      <c r="B21" s="22" t="s">
        <v>1028</v>
      </c>
      <c r="C21" s="22" t="s">
        <v>1001</v>
      </c>
      <c r="D21" s="23" t="s">
        <v>1029</v>
      </c>
    </row>
    <row r="22" spans="1:4" ht="16" x14ac:dyDescent="0.2">
      <c r="A22" s="21" t="s">
        <v>1034</v>
      </c>
      <c r="B22" s="22" t="s">
        <v>1028</v>
      </c>
      <c r="C22" s="22" t="s">
        <v>1001</v>
      </c>
      <c r="D22" s="23" t="s">
        <v>1029</v>
      </c>
    </row>
    <row r="23" spans="1:4" ht="16" x14ac:dyDescent="0.2">
      <c r="A23" s="21" t="s">
        <v>1035</v>
      </c>
      <c r="B23" s="22" t="s">
        <v>1028</v>
      </c>
      <c r="C23" s="22" t="s">
        <v>1001</v>
      </c>
      <c r="D23" s="23" t="s">
        <v>1029</v>
      </c>
    </row>
    <row r="24" spans="1:4" ht="16" x14ac:dyDescent="0.2">
      <c r="A24" s="21" t="s">
        <v>1036</v>
      </c>
      <c r="B24" s="22" t="s">
        <v>1028</v>
      </c>
      <c r="C24" s="22" t="s">
        <v>1001</v>
      </c>
      <c r="D24" s="23" t="s">
        <v>1029</v>
      </c>
    </row>
    <row r="25" spans="1:4" ht="16" x14ac:dyDescent="0.2">
      <c r="A25" s="21" t="s">
        <v>1037</v>
      </c>
      <c r="B25" s="22" t="s">
        <v>1028</v>
      </c>
      <c r="C25" s="22" t="s">
        <v>1001</v>
      </c>
      <c r="D25" s="23" t="s">
        <v>1029</v>
      </c>
    </row>
    <row r="26" spans="1:4" ht="16" x14ac:dyDescent="0.2">
      <c r="A26" s="21" t="s">
        <v>1038</v>
      </c>
      <c r="B26" s="22" t="s">
        <v>1028</v>
      </c>
      <c r="C26" s="22" t="s">
        <v>1001</v>
      </c>
      <c r="D26" s="23" t="s">
        <v>1029</v>
      </c>
    </row>
    <row r="27" spans="1:4" ht="16" x14ac:dyDescent="0.2">
      <c r="A27" s="21" t="s">
        <v>1039</v>
      </c>
      <c r="B27" s="22" t="s">
        <v>1028</v>
      </c>
      <c r="C27" s="22" t="s">
        <v>1001</v>
      </c>
      <c r="D27" s="23" t="s">
        <v>1029</v>
      </c>
    </row>
    <row r="28" spans="1:4" ht="16" x14ac:dyDescent="0.2">
      <c r="A28" s="21" t="s">
        <v>1040</v>
      </c>
      <c r="B28" s="22" t="s">
        <v>1028</v>
      </c>
      <c r="C28" s="22" t="s">
        <v>1001</v>
      </c>
      <c r="D28" s="23" t="s">
        <v>1029</v>
      </c>
    </row>
    <row r="29" spans="1:4" ht="16" x14ac:dyDescent="0.2">
      <c r="A29" s="21" t="s">
        <v>1041</v>
      </c>
      <c r="B29" s="22" t="s">
        <v>1028</v>
      </c>
      <c r="C29" s="22" t="s">
        <v>1001</v>
      </c>
      <c r="D29" s="23" t="s">
        <v>1029</v>
      </c>
    </row>
    <row r="30" spans="1:4" ht="16" x14ac:dyDescent="0.2">
      <c r="A30" s="21" t="s">
        <v>1042</v>
      </c>
      <c r="B30" s="22" t="s">
        <v>1028</v>
      </c>
      <c r="C30" s="22" t="s">
        <v>1001</v>
      </c>
      <c r="D30" s="23" t="s">
        <v>1029</v>
      </c>
    </row>
    <row r="31" spans="1:4" ht="16" x14ac:dyDescent="0.2">
      <c r="A31" s="21" t="s">
        <v>1043</v>
      </c>
      <c r="B31" s="22" t="s">
        <v>1028</v>
      </c>
      <c r="C31" s="22" t="s">
        <v>1001</v>
      </c>
      <c r="D31" s="23" t="s">
        <v>1029</v>
      </c>
    </row>
    <row r="32" spans="1:4" ht="16" x14ac:dyDescent="0.2">
      <c r="A32" s="21" t="s">
        <v>1044</v>
      </c>
      <c r="B32" s="22" t="s">
        <v>1028</v>
      </c>
      <c r="C32" s="22" t="s">
        <v>1001</v>
      </c>
      <c r="D32" s="23" t="s">
        <v>1029</v>
      </c>
    </row>
    <row r="33" spans="1:4" ht="16" x14ac:dyDescent="0.2">
      <c r="A33" s="21" t="s">
        <v>1045</v>
      </c>
      <c r="B33" s="22" t="s">
        <v>1028</v>
      </c>
      <c r="C33" s="22" t="s">
        <v>1001</v>
      </c>
      <c r="D33" s="23" t="s">
        <v>1029</v>
      </c>
    </row>
    <row r="34" spans="1:4" ht="16" x14ac:dyDescent="0.2">
      <c r="A34" s="21" t="s">
        <v>1046</v>
      </c>
      <c r="B34" s="22" t="s">
        <v>1028</v>
      </c>
      <c r="C34" s="22" t="s">
        <v>1001</v>
      </c>
      <c r="D34" s="23" t="s">
        <v>1029</v>
      </c>
    </row>
    <row r="35" spans="1:4" ht="16" x14ac:dyDescent="0.2">
      <c r="A35" s="21" t="s">
        <v>1047</v>
      </c>
      <c r="B35" s="22" t="s">
        <v>1028</v>
      </c>
      <c r="C35" s="22" t="s">
        <v>1001</v>
      </c>
      <c r="D35" s="23" t="s">
        <v>1029</v>
      </c>
    </row>
    <row r="36" spans="1:4" ht="16" x14ac:dyDescent="0.2">
      <c r="A36" s="21" t="s">
        <v>1048</v>
      </c>
      <c r="B36" s="22" t="s">
        <v>1028</v>
      </c>
      <c r="C36" s="22" t="s">
        <v>1001</v>
      </c>
      <c r="D36" s="23" t="s">
        <v>1029</v>
      </c>
    </row>
    <row r="37" spans="1:4" ht="16" x14ac:dyDescent="0.2">
      <c r="A37" s="21" t="s">
        <v>1049</v>
      </c>
      <c r="B37" s="22" t="s">
        <v>1028</v>
      </c>
      <c r="C37" s="22" t="s">
        <v>1001</v>
      </c>
      <c r="D37" s="23" t="s">
        <v>1029</v>
      </c>
    </row>
    <row r="38" spans="1:4" ht="16" x14ac:dyDescent="0.2">
      <c r="A38" s="21" t="s">
        <v>1050</v>
      </c>
      <c r="B38" s="22" t="s">
        <v>1028</v>
      </c>
      <c r="C38" s="22" t="s">
        <v>1001</v>
      </c>
      <c r="D38" s="23" t="s">
        <v>1029</v>
      </c>
    </row>
    <row r="39" spans="1:4" ht="16" x14ac:dyDescent="0.2">
      <c r="A39" s="21" t="s">
        <v>1051</v>
      </c>
      <c r="B39" s="22" t="s">
        <v>1028</v>
      </c>
      <c r="C39" s="22" t="s">
        <v>1001</v>
      </c>
      <c r="D39" s="23" t="s">
        <v>1029</v>
      </c>
    </row>
    <row r="40" spans="1:4" ht="16" x14ac:dyDescent="0.2">
      <c r="A40" s="24" t="s">
        <v>1052</v>
      </c>
      <c r="B40" s="25" t="s">
        <v>1028</v>
      </c>
      <c r="C40" s="25" t="s">
        <v>1001</v>
      </c>
      <c r="D40" s="26" t="s">
        <v>1029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FB8B-A773-174A-8094-7E0233F51243}">
  <dimension ref="A1:Q122"/>
  <sheetViews>
    <sheetView tabSelected="1" workbookViewId="0">
      <selection activeCell="J45" sqref="J45"/>
    </sheetView>
  </sheetViews>
  <sheetFormatPr baseColWidth="10" defaultRowHeight="15" x14ac:dyDescent="0.2"/>
  <cols>
    <col min="1" max="1" width="18.5" bestFit="1" customWidth="1"/>
    <col min="2" max="2" width="18.5" customWidth="1"/>
    <col min="4" max="6" width="18.5" customWidth="1"/>
    <col min="7" max="7" width="15.1640625" bestFit="1" customWidth="1"/>
    <col min="8" max="8" width="32.33203125" bestFit="1" customWidth="1"/>
    <col min="9" max="9" width="16" bestFit="1" customWidth="1"/>
  </cols>
  <sheetData>
    <row r="1" spans="1:17" x14ac:dyDescent="0.2">
      <c r="A1" s="61" t="s">
        <v>1080</v>
      </c>
      <c r="B1" s="61" t="s">
        <v>1057</v>
      </c>
      <c r="C1" s="61" t="s">
        <v>1064</v>
      </c>
      <c r="D1" s="61" t="s">
        <v>1068</v>
      </c>
      <c r="E1" s="61" t="s">
        <v>1058</v>
      </c>
      <c r="F1" s="61" t="s">
        <v>1081</v>
      </c>
      <c r="G1" s="61" t="s">
        <v>1060</v>
      </c>
      <c r="H1" s="61" t="s">
        <v>1067</v>
      </c>
      <c r="I1" s="61" t="s">
        <v>1053</v>
      </c>
      <c r="J1" s="61" t="s">
        <v>1054</v>
      </c>
      <c r="K1" s="61" t="s">
        <v>1055</v>
      </c>
      <c r="L1" s="61" t="s">
        <v>1056</v>
      </c>
      <c r="M1" s="61" t="s">
        <v>1059</v>
      </c>
      <c r="N1" s="61" t="s">
        <v>1082</v>
      </c>
      <c r="O1" s="61" t="s">
        <v>1083</v>
      </c>
      <c r="P1" s="61" t="s">
        <v>1084</v>
      </c>
      <c r="Q1" s="61" t="s">
        <v>1085</v>
      </c>
    </row>
    <row r="2" spans="1:17" x14ac:dyDescent="0.2">
      <c r="A2" s="58">
        <v>20329</v>
      </c>
      <c r="B2" s="58" t="s">
        <v>42</v>
      </c>
      <c r="C2" t="s">
        <v>1065</v>
      </c>
      <c r="D2" s="58">
        <v>18</v>
      </c>
      <c r="E2" s="58" t="s">
        <v>1061</v>
      </c>
      <c r="F2" s="58" t="s">
        <v>1069</v>
      </c>
      <c r="G2" s="58">
        <v>10</v>
      </c>
      <c r="H2" s="2">
        <v>0.92886219699999995</v>
      </c>
      <c r="I2" s="59">
        <v>0.224</v>
      </c>
      <c r="J2" s="60">
        <v>1.69</v>
      </c>
      <c r="K2" s="58">
        <v>-21.55</v>
      </c>
      <c r="L2" s="58">
        <v>0.16</v>
      </c>
      <c r="M2" s="58">
        <v>4.3</v>
      </c>
      <c r="N2">
        <f>H2*(J2/100)*1000*0.1</f>
        <v>1.5697771129299998</v>
      </c>
      <c r="O2">
        <f>H2*(L2/100)*1000*0.1</f>
        <v>0.14861795152000001</v>
      </c>
    </row>
    <row r="3" spans="1:17" x14ac:dyDescent="0.2">
      <c r="A3" s="58">
        <v>20329</v>
      </c>
      <c r="B3" s="58" t="s">
        <v>42</v>
      </c>
      <c r="C3" t="s">
        <v>1065</v>
      </c>
      <c r="D3" s="58">
        <v>18</v>
      </c>
      <c r="E3" s="58" t="s">
        <v>1061</v>
      </c>
      <c r="F3" s="58" t="s">
        <v>1070</v>
      </c>
      <c r="G3" s="58">
        <v>20</v>
      </c>
      <c r="H3" s="2">
        <v>1.3671548099999999</v>
      </c>
      <c r="I3" s="59">
        <v>0.50800000000000001</v>
      </c>
      <c r="J3" s="60">
        <v>1.49</v>
      </c>
      <c r="K3" s="58">
        <v>-21.2</v>
      </c>
      <c r="L3" s="58">
        <v>0.16</v>
      </c>
      <c r="M3" s="58">
        <v>4.7</v>
      </c>
      <c r="N3">
        <f t="shared" ref="N3:N66" si="0">H3*(J3/100)*1000*0.1</f>
        <v>2.0370606669</v>
      </c>
      <c r="O3">
        <f t="shared" ref="O3:O66" si="1">H3*(L3/100)*1000*0.1</f>
        <v>0.2187447696</v>
      </c>
    </row>
    <row r="4" spans="1:17" x14ac:dyDescent="0.2">
      <c r="A4" s="58">
        <v>20329</v>
      </c>
      <c r="B4" s="58" t="s">
        <v>42</v>
      </c>
      <c r="C4" t="s">
        <v>1065</v>
      </c>
      <c r="D4" s="58">
        <v>18</v>
      </c>
      <c r="E4" s="58" t="s">
        <v>1061</v>
      </c>
      <c r="F4" s="58" t="s">
        <v>1071</v>
      </c>
      <c r="G4" s="58">
        <v>30</v>
      </c>
      <c r="H4" s="2">
        <v>1.4168973</v>
      </c>
      <c r="I4" s="59">
        <v>0.32300000000000001</v>
      </c>
      <c r="J4" s="60">
        <v>1.05</v>
      </c>
      <c r="K4" s="58">
        <v>-21.9</v>
      </c>
      <c r="L4" s="58">
        <v>0.11</v>
      </c>
      <c r="M4" s="58">
        <v>5</v>
      </c>
      <c r="N4">
        <f t="shared" si="0"/>
        <v>1.4877421650000002</v>
      </c>
      <c r="O4">
        <f t="shared" si="1"/>
        <v>0.15585870300000002</v>
      </c>
    </row>
    <row r="5" spans="1:17" x14ac:dyDescent="0.2">
      <c r="A5" s="58">
        <v>20329</v>
      </c>
      <c r="B5" s="58" t="s">
        <v>42</v>
      </c>
      <c r="C5" t="s">
        <v>1065</v>
      </c>
      <c r="D5" s="58">
        <v>18</v>
      </c>
      <c r="E5" s="58" t="s">
        <v>1061</v>
      </c>
      <c r="F5" s="58" t="s">
        <v>1072</v>
      </c>
      <c r="G5" s="58">
        <v>40</v>
      </c>
      <c r="H5" s="2">
        <v>1.5460346140000001</v>
      </c>
      <c r="I5" s="59">
        <v>0.28000000000000003</v>
      </c>
      <c r="J5" s="60">
        <v>0.49</v>
      </c>
      <c r="K5" s="58">
        <v>-22.5</v>
      </c>
      <c r="L5" s="58">
        <v>5.7000000000000002E-2</v>
      </c>
      <c r="M5" s="58">
        <v>6.3</v>
      </c>
      <c r="N5">
        <f t="shared" si="0"/>
        <v>0.75755696086000013</v>
      </c>
      <c r="O5">
        <f t="shared" si="1"/>
        <v>8.8123972998000011E-2</v>
      </c>
    </row>
    <row r="6" spans="1:17" x14ac:dyDescent="0.2">
      <c r="A6" s="58">
        <v>20329</v>
      </c>
      <c r="B6" s="58" t="s">
        <v>42</v>
      </c>
      <c r="C6" t="s">
        <v>1065</v>
      </c>
      <c r="D6" s="58">
        <v>18</v>
      </c>
      <c r="E6" s="58" t="s">
        <v>1061</v>
      </c>
      <c r="F6" s="58" t="s">
        <v>1073</v>
      </c>
      <c r="G6" s="58">
        <v>50</v>
      </c>
      <c r="H6" s="2">
        <v>1.7526176849999999</v>
      </c>
      <c r="I6" s="59">
        <v>0.56699999999999995</v>
      </c>
      <c r="J6" s="60">
        <v>0.23</v>
      </c>
      <c r="K6" s="58">
        <v>-20.9</v>
      </c>
      <c r="L6" s="58">
        <v>4.3999999999999997E-2</v>
      </c>
      <c r="M6" s="58">
        <v>6.4</v>
      </c>
      <c r="N6">
        <f t="shared" si="0"/>
        <v>0.40310206755</v>
      </c>
      <c r="O6">
        <f t="shared" si="1"/>
        <v>7.7115178140000004E-2</v>
      </c>
    </row>
    <row r="7" spans="1:17" x14ac:dyDescent="0.2">
      <c r="A7" s="58">
        <v>20329</v>
      </c>
      <c r="B7" s="58" t="s">
        <v>49</v>
      </c>
      <c r="C7" t="s">
        <v>1066</v>
      </c>
      <c r="D7" s="58">
        <v>18</v>
      </c>
      <c r="E7" s="58" t="s">
        <v>1061</v>
      </c>
      <c r="F7" s="58" t="s">
        <v>1069</v>
      </c>
      <c r="G7" s="58">
        <v>10</v>
      </c>
      <c r="H7" s="2">
        <v>0.836081835</v>
      </c>
      <c r="I7" s="59">
        <v>20.332999999999998</v>
      </c>
      <c r="J7" s="60">
        <v>1.42</v>
      </c>
      <c r="K7" s="58">
        <v>-23.5</v>
      </c>
      <c r="L7" s="58">
        <v>0.14000000000000001</v>
      </c>
      <c r="M7" s="58">
        <v>4.0999999999999996</v>
      </c>
      <c r="N7">
        <f t="shared" si="0"/>
        <v>1.1872362057000001</v>
      </c>
      <c r="O7">
        <f t="shared" si="1"/>
        <v>0.11705145690000003</v>
      </c>
    </row>
    <row r="8" spans="1:17" x14ac:dyDescent="0.2">
      <c r="A8" s="58">
        <v>20329</v>
      </c>
      <c r="B8" s="58" t="s">
        <v>49</v>
      </c>
      <c r="C8" t="s">
        <v>1066</v>
      </c>
      <c r="D8" s="58">
        <v>18</v>
      </c>
      <c r="E8" s="58" t="s">
        <v>1061</v>
      </c>
      <c r="F8" s="58" t="s">
        <v>1070</v>
      </c>
      <c r="G8" s="58">
        <v>20</v>
      </c>
      <c r="H8" s="2">
        <v>1.0105385069999999</v>
      </c>
      <c r="I8" s="59">
        <v>22.736000000000001</v>
      </c>
      <c r="J8" s="60">
        <v>0.69</v>
      </c>
      <c r="K8" s="58">
        <v>-22.9</v>
      </c>
      <c r="L8" s="58">
        <v>8.6999999999999994E-2</v>
      </c>
      <c r="M8" s="58">
        <v>4.9000000000000004</v>
      </c>
      <c r="N8">
        <f t="shared" si="0"/>
        <v>0.69727156982999994</v>
      </c>
      <c r="O8">
        <f t="shared" si="1"/>
        <v>8.7916850108999994E-2</v>
      </c>
    </row>
    <row r="9" spans="1:17" x14ac:dyDescent="0.2">
      <c r="A9" s="58">
        <v>20329</v>
      </c>
      <c r="B9" s="58" t="s">
        <v>49</v>
      </c>
      <c r="C9" t="s">
        <v>1066</v>
      </c>
      <c r="D9" s="58">
        <v>18</v>
      </c>
      <c r="E9" s="58" t="s">
        <v>1061</v>
      </c>
      <c r="F9" s="58" t="s">
        <v>1071</v>
      </c>
      <c r="G9" s="58">
        <v>30</v>
      </c>
      <c r="H9" s="2">
        <v>1.280044234</v>
      </c>
      <c r="I9" s="59">
        <v>19.16</v>
      </c>
      <c r="J9" s="60">
        <v>0.64</v>
      </c>
      <c r="K9" s="58">
        <v>-23.8</v>
      </c>
      <c r="L9" s="58">
        <v>8.3000000000000004E-2</v>
      </c>
      <c r="M9" s="58">
        <v>5.5</v>
      </c>
      <c r="N9">
        <f t="shared" si="0"/>
        <v>0.81922830976000016</v>
      </c>
      <c r="O9">
        <f t="shared" si="1"/>
        <v>0.106243671422</v>
      </c>
    </row>
    <row r="10" spans="1:17" x14ac:dyDescent="0.2">
      <c r="A10" s="58">
        <v>20329</v>
      </c>
      <c r="B10" s="58" t="s">
        <v>49</v>
      </c>
      <c r="C10" t="s">
        <v>1066</v>
      </c>
      <c r="D10" s="58">
        <v>18</v>
      </c>
      <c r="E10" s="58" t="s">
        <v>1061</v>
      </c>
      <c r="F10" s="58" t="s">
        <v>1072</v>
      </c>
      <c r="G10" s="58">
        <v>40</v>
      </c>
      <c r="H10" s="2">
        <v>1.177438016</v>
      </c>
      <c r="I10" s="59">
        <v>25.744</v>
      </c>
      <c r="J10" s="60">
        <v>0.57999999999999996</v>
      </c>
      <c r="K10" s="58">
        <v>-24.1</v>
      </c>
      <c r="L10" s="58">
        <v>7.5999999999999998E-2</v>
      </c>
      <c r="M10" s="58">
        <v>5.2</v>
      </c>
      <c r="N10">
        <f t="shared" si="0"/>
        <v>0.68291404927999999</v>
      </c>
      <c r="O10">
        <f t="shared" si="1"/>
        <v>8.9485289215999991E-2</v>
      </c>
    </row>
    <row r="11" spans="1:17" x14ac:dyDescent="0.2">
      <c r="A11" s="58">
        <v>20329</v>
      </c>
      <c r="B11" s="58" t="s">
        <v>49</v>
      </c>
      <c r="C11" t="s">
        <v>1066</v>
      </c>
      <c r="D11" s="58">
        <v>18</v>
      </c>
      <c r="E11" s="58" t="s">
        <v>1061</v>
      </c>
      <c r="F11" s="58" t="s">
        <v>1073</v>
      </c>
      <c r="G11" s="58">
        <v>50</v>
      </c>
      <c r="H11" s="2">
        <v>1.605556491</v>
      </c>
      <c r="I11" s="59">
        <v>22.542000000000002</v>
      </c>
      <c r="J11" s="60">
        <v>0.23</v>
      </c>
      <c r="K11" s="58">
        <v>-24.3</v>
      </c>
      <c r="L11" s="58">
        <v>4.9000000000000002E-2</v>
      </c>
      <c r="M11" s="58">
        <v>4.8</v>
      </c>
      <c r="N11">
        <f t="shared" si="0"/>
        <v>0.36927799293000002</v>
      </c>
      <c r="O11">
        <f t="shared" si="1"/>
        <v>7.8672268059000003E-2</v>
      </c>
    </row>
    <row r="12" spans="1:17" x14ac:dyDescent="0.2">
      <c r="A12" s="58">
        <v>20329</v>
      </c>
      <c r="B12" s="58" t="s">
        <v>42</v>
      </c>
      <c r="C12" t="s">
        <v>1065</v>
      </c>
      <c r="D12" s="58">
        <v>18</v>
      </c>
      <c r="E12" s="58" t="s">
        <v>1061</v>
      </c>
      <c r="F12" s="58" t="s">
        <v>1074</v>
      </c>
      <c r="G12" s="58">
        <v>60</v>
      </c>
      <c r="H12" s="2">
        <v>1.5167791740000001</v>
      </c>
      <c r="I12" s="59">
        <v>0.875</v>
      </c>
      <c r="J12" s="60">
        <v>0.19</v>
      </c>
      <c r="K12" s="58">
        <v>-21.2</v>
      </c>
      <c r="L12" s="58">
        <v>4.1000000000000002E-2</v>
      </c>
      <c r="M12" s="58">
        <v>5.5</v>
      </c>
      <c r="N12">
        <f t="shared" si="0"/>
        <v>0.28818804306000001</v>
      </c>
      <c r="O12">
        <f t="shared" si="1"/>
        <v>6.2187946134000006E-2</v>
      </c>
    </row>
    <row r="13" spans="1:17" x14ac:dyDescent="0.2">
      <c r="A13" s="58">
        <v>20329</v>
      </c>
      <c r="B13" s="58" t="s">
        <v>42</v>
      </c>
      <c r="C13" t="s">
        <v>1065</v>
      </c>
      <c r="D13" s="58">
        <v>18</v>
      </c>
      <c r="E13" s="58" t="s">
        <v>1061</v>
      </c>
      <c r="F13" s="58" t="s">
        <v>1075</v>
      </c>
      <c r="G13" s="58">
        <v>70</v>
      </c>
      <c r="H13" s="2">
        <v>1.588020465</v>
      </c>
      <c r="I13" s="59">
        <v>0.114</v>
      </c>
      <c r="J13" s="60">
        <v>0.17</v>
      </c>
      <c r="K13" s="58">
        <v>-21.9</v>
      </c>
      <c r="L13" s="58">
        <v>3.9E-2</v>
      </c>
      <c r="M13" s="58">
        <v>5.2</v>
      </c>
      <c r="N13">
        <f t="shared" si="0"/>
        <v>0.26996347905000001</v>
      </c>
      <c r="O13">
        <f t="shared" si="1"/>
        <v>6.1932798135000001E-2</v>
      </c>
    </row>
    <row r="14" spans="1:17" x14ac:dyDescent="0.2">
      <c r="A14" s="58">
        <v>20329</v>
      </c>
      <c r="B14" s="58" t="s">
        <v>42</v>
      </c>
      <c r="C14" t="s">
        <v>1065</v>
      </c>
      <c r="D14" s="58">
        <v>18</v>
      </c>
      <c r="E14" s="58" t="s">
        <v>1061</v>
      </c>
      <c r="F14" s="58" t="s">
        <v>1076</v>
      </c>
      <c r="G14" s="58">
        <v>80</v>
      </c>
      <c r="H14" s="2">
        <v>1.495895499</v>
      </c>
      <c r="I14" s="59">
        <v>0</v>
      </c>
      <c r="J14" s="60">
        <v>0.14000000000000001</v>
      </c>
      <c r="K14" s="58">
        <v>-23.15</v>
      </c>
      <c r="L14" s="58">
        <v>3.3500000000000002E-2</v>
      </c>
      <c r="M14" s="58">
        <v>3.8</v>
      </c>
      <c r="N14">
        <f t="shared" si="0"/>
        <v>0.20942536986000004</v>
      </c>
      <c r="O14">
        <f t="shared" si="1"/>
        <v>5.011249921650001E-2</v>
      </c>
    </row>
    <row r="15" spans="1:17" x14ac:dyDescent="0.2">
      <c r="A15" s="58">
        <v>20329</v>
      </c>
      <c r="B15" s="58" t="s">
        <v>42</v>
      </c>
      <c r="C15" t="s">
        <v>1065</v>
      </c>
      <c r="D15" s="58">
        <v>18</v>
      </c>
      <c r="E15" s="58" t="s">
        <v>1061</v>
      </c>
      <c r="F15" s="58" t="s">
        <v>1077</v>
      </c>
      <c r="G15" s="58">
        <v>90</v>
      </c>
      <c r="H15" s="2">
        <v>1.484127151</v>
      </c>
      <c r="I15" s="59">
        <v>0</v>
      </c>
      <c r="J15" s="60">
        <v>0.13</v>
      </c>
      <c r="K15" s="58">
        <v>-25.2</v>
      </c>
      <c r="L15" s="58">
        <v>0.03</v>
      </c>
      <c r="M15" s="58">
        <v>2.9</v>
      </c>
      <c r="N15">
        <f t="shared" si="0"/>
        <v>0.19293652962999999</v>
      </c>
      <c r="O15">
        <f t="shared" si="1"/>
        <v>4.4523814530000004E-2</v>
      </c>
    </row>
    <row r="16" spans="1:17" x14ac:dyDescent="0.2">
      <c r="A16" s="58">
        <v>20329</v>
      </c>
      <c r="B16" s="58" t="s">
        <v>42</v>
      </c>
      <c r="C16" t="s">
        <v>1065</v>
      </c>
      <c r="D16" s="58">
        <v>18</v>
      </c>
      <c r="E16" s="58" t="s">
        <v>1061</v>
      </c>
      <c r="F16" s="58" t="s">
        <v>1078</v>
      </c>
      <c r="G16" s="58">
        <v>100</v>
      </c>
      <c r="H16" s="2">
        <v>1.294315739</v>
      </c>
      <c r="I16" s="59">
        <v>2.1999999999999999E-2</v>
      </c>
      <c r="J16" s="60">
        <v>0.12</v>
      </c>
      <c r="K16" s="58">
        <v>-26.1</v>
      </c>
      <c r="L16" s="58">
        <v>2.8000000000000001E-2</v>
      </c>
      <c r="M16" s="58">
        <v>2.9</v>
      </c>
      <c r="N16">
        <f t="shared" si="0"/>
        <v>0.15531788867999999</v>
      </c>
      <c r="O16">
        <f t="shared" si="1"/>
        <v>3.6240840692000002E-2</v>
      </c>
    </row>
    <row r="17" spans="1:15" x14ac:dyDescent="0.2">
      <c r="A17" s="58">
        <v>20329</v>
      </c>
      <c r="B17" s="58" t="s">
        <v>42</v>
      </c>
      <c r="C17" t="s">
        <v>1065</v>
      </c>
      <c r="D17" s="58">
        <v>18</v>
      </c>
      <c r="E17" s="58" t="s">
        <v>1061</v>
      </c>
      <c r="F17" s="58" t="s">
        <v>1079</v>
      </c>
      <c r="G17" s="58">
        <v>110</v>
      </c>
      <c r="H17" s="2">
        <v>1.4897788860000001</v>
      </c>
      <c r="I17" s="59">
        <v>0.14099999999999999</v>
      </c>
      <c r="J17" s="60">
        <v>0.09</v>
      </c>
      <c r="K17" s="58">
        <v>-27.9</v>
      </c>
      <c r="L17" s="58">
        <v>2.4E-2</v>
      </c>
      <c r="M17" s="58">
        <v>3.6</v>
      </c>
      <c r="N17">
        <f t="shared" si="0"/>
        <v>0.13408009974000001</v>
      </c>
      <c r="O17">
        <f t="shared" si="1"/>
        <v>3.5754693264000006E-2</v>
      </c>
    </row>
    <row r="18" spans="1:15" x14ac:dyDescent="0.2">
      <c r="A18" s="58">
        <v>20329</v>
      </c>
      <c r="B18" s="58" t="s">
        <v>42</v>
      </c>
      <c r="C18" t="s">
        <v>1065</v>
      </c>
      <c r="D18" s="58">
        <v>19</v>
      </c>
      <c r="E18" s="58" t="s">
        <v>1061</v>
      </c>
      <c r="F18" s="58" t="s">
        <v>1069</v>
      </c>
      <c r="G18" s="58">
        <v>10</v>
      </c>
      <c r="H18" s="2">
        <v>1.238987249</v>
      </c>
      <c r="I18" s="59">
        <v>2.371</v>
      </c>
      <c r="J18" s="60">
        <v>1.51</v>
      </c>
      <c r="K18" s="58">
        <v>-21.25</v>
      </c>
      <c r="L18" s="58">
        <v>0.155</v>
      </c>
      <c r="M18" s="58">
        <v>5</v>
      </c>
      <c r="N18">
        <f t="shared" si="0"/>
        <v>1.8708707459900003</v>
      </c>
      <c r="O18">
        <f t="shared" si="1"/>
        <v>0.192043023595</v>
      </c>
    </row>
    <row r="19" spans="1:15" x14ac:dyDescent="0.2">
      <c r="A19" s="58">
        <v>20329</v>
      </c>
      <c r="B19" s="58" t="s">
        <v>42</v>
      </c>
      <c r="C19" t="s">
        <v>1065</v>
      </c>
      <c r="D19" s="58">
        <v>19</v>
      </c>
      <c r="E19" s="58" t="s">
        <v>1061</v>
      </c>
      <c r="F19" s="58" t="s">
        <v>1070</v>
      </c>
      <c r="G19" s="58">
        <v>20</v>
      </c>
      <c r="H19" s="2">
        <v>1.3438213139999999</v>
      </c>
      <c r="I19" s="59">
        <v>3.5350000000000001</v>
      </c>
      <c r="J19" s="60">
        <v>1.17</v>
      </c>
      <c r="K19" s="58">
        <v>-21.5</v>
      </c>
      <c r="L19" s="58">
        <v>0.13</v>
      </c>
      <c r="M19" s="58">
        <v>5.2</v>
      </c>
      <c r="N19">
        <f t="shared" si="0"/>
        <v>1.5722709373799997</v>
      </c>
      <c r="O19">
        <f t="shared" si="1"/>
        <v>0.17469677082000001</v>
      </c>
    </row>
    <row r="20" spans="1:15" x14ac:dyDescent="0.2">
      <c r="A20" s="58">
        <v>20329</v>
      </c>
      <c r="B20" s="58" t="s">
        <v>42</v>
      </c>
      <c r="C20" t="s">
        <v>1065</v>
      </c>
      <c r="D20" s="58">
        <v>19</v>
      </c>
      <c r="E20" s="58" t="s">
        <v>1061</v>
      </c>
      <c r="F20" s="58" t="s">
        <v>1071</v>
      </c>
      <c r="G20" s="58">
        <v>30</v>
      </c>
      <c r="H20" s="2">
        <v>1.2906859770000001</v>
      </c>
      <c r="I20" s="59">
        <v>4.202</v>
      </c>
      <c r="J20" s="60">
        <v>0.86</v>
      </c>
      <c r="K20" s="58">
        <v>-22.6</v>
      </c>
      <c r="L20" s="58">
        <v>0.1</v>
      </c>
      <c r="M20" s="58">
        <v>5.4</v>
      </c>
      <c r="N20">
        <f t="shared" si="0"/>
        <v>1.10998994022</v>
      </c>
      <c r="O20">
        <f t="shared" si="1"/>
        <v>0.12906859770000001</v>
      </c>
    </row>
    <row r="21" spans="1:15" x14ac:dyDescent="0.2">
      <c r="A21" s="58">
        <v>20329</v>
      </c>
      <c r="B21" s="58" t="s">
        <v>42</v>
      </c>
      <c r="C21" t="s">
        <v>1065</v>
      </c>
      <c r="D21" s="58">
        <v>19</v>
      </c>
      <c r="E21" s="58" t="s">
        <v>1061</v>
      </c>
      <c r="F21" s="58" t="s">
        <v>1072</v>
      </c>
      <c r="G21" s="58">
        <v>40</v>
      </c>
      <c r="H21" s="2">
        <v>1.418781091</v>
      </c>
      <c r="I21" s="59">
        <v>2.0099999999999998</v>
      </c>
      <c r="J21" s="60">
        <v>0.71</v>
      </c>
      <c r="K21" s="58">
        <v>-23.5</v>
      </c>
      <c r="L21" s="58">
        <v>8.3000000000000004E-2</v>
      </c>
      <c r="M21" s="58">
        <v>5.5</v>
      </c>
      <c r="N21">
        <f t="shared" si="0"/>
        <v>1.0073345746100002</v>
      </c>
      <c r="O21">
        <f t="shared" si="1"/>
        <v>0.11775883055300002</v>
      </c>
    </row>
    <row r="22" spans="1:15" x14ac:dyDescent="0.2">
      <c r="A22" s="58">
        <v>20329</v>
      </c>
      <c r="B22" s="58" t="s">
        <v>42</v>
      </c>
      <c r="C22" t="s">
        <v>1065</v>
      </c>
      <c r="D22" s="58">
        <v>19</v>
      </c>
      <c r="E22" s="58" t="s">
        <v>1061</v>
      </c>
      <c r="F22" s="58" t="s">
        <v>1073</v>
      </c>
      <c r="G22" s="58">
        <v>50</v>
      </c>
      <c r="H22" s="2">
        <v>1.705140272</v>
      </c>
      <c r="I22" s="59">
        <v>5.133</v>
      </c>
      <c r="J22" s="60">
        <v>0.28999999999999998</v>
      </c>
      <c r="K22" s="58">
        <v>-22.5</v>
      </c>
      <c r="L22" s="58">
        <v>0.05</v>
      </c>
      <c r="M22" s="58">
        <v>5.7</v>
      </c>
      <c r="N22">
        <f t="shared" si="0"/>
        <v>0.49449067888000003</v>
      </c>
      <c r="O22">
        <f t="shared" si="1"/>
        <v>8.5257013600000001E-2</v>
      </c>
    </row>
    <row r="23" spans="1:15" x14ac:dyDescent="0.2">
      <c r="A23" s="58">
        <v>20329</v>
      </c>
      <c r="B23" s="58" t="s">
        <v>42</v>
      </c>
      <c r="C23" t="s">
        <v>1065</v>
      </c>
      <c r="D23" s="58">
        <v>19</v>
      </c>
      <c r="E23" s="58" t="s">
        <v>1061</v>
      </c>
      <c r="F23" s="58" t="s">
        <v>1074</v>
      </c>
      <c r="G23" s="58">
        <v>60</v>
      </c>
      <c r="H23" s="2">
        <v>1.6267517039999999</v>
      </c>
      <c r="I23" s="59">
        <v>10.464</v>
      </c>
      <c r="J23" s="60">
        <v>0.23</v>
      </c>
      <c r="K23" s="58">
        <v>-22.9</v>
      </c>
      <c r="L23" s="58">
        <v>4.7E-2</v>
      </c>
      <c r="M23" s="58">
        <v>4.7</v>
      </c>
      <c r="N23">
        <f t="shared" si="0"/>
        <v>0.37415289191999995</v>
      </c>
      <c r="O23">
        <f t="shared" si="1"/>
        <v>7.6457330087999986E-2</v>
      </c>
    </row>
    <row r="24" spans="1:15" x14ac:dyDescent="0.2">
      <c r="A24" s="58">
        <v>20329</v>
      </c>
      <c r="B24" s="58" t="s">
        <v>42</v>
      </c>
      <c r="C24" t="s">
        <v>1065</v>
      </c>
      <c r="D24" s="58">
        <v>19</v>
      </c>
      <c r="E24" s="58" t="s">
        <v>1061</v>
      </c>
      <c r="F24" s="58" t="s">
        <v>1075</v>
      </c>
      <c r="G24" s="58">
        <v>70</v>
      </c>
      <c r="H24" s="2">
        <v>1.72583351</v>
      </c>
      <c r="I24" s="59">
        <v>1.3080000000000001</v>
      </c>
      <c r="J24" s="60">
        <v>0.16</v>
      </c>
      <c r="K24" s="58">
        <v>-23.1</v>
      </c>
      <c r="L24" s="58">
        <v>4.2999999999999997E-2</v>
      </c>
      <c r="M24" s="58">
        <v>3.9</v>
      </c>
      <c r="N24">
        <f t="shared" si="0"/>
        <v>0.27613336160000002</v>
      </c>
      <c r="O24">
        <f t="shared" si="1"/>
        <v>7.4210840929999994E-2</v>
      </c>
    </row>
    <row r="25" spans="1:15" x14ac:dyDescent="0.2">
      <c r="A25" s="58">
        <v>20329</v>
      </c>
      <c r="B25" s="58" t="s">
        <v>42</v>
      </c>
      <c r="C25" t="s">
        <v>1065</v>
      </c>
      <c r="D25" s="58">
        <v>19</v>
      </c>
      <c r="E25" s="58" t="s">
        <v>1061</v>
      </c>
      <c r="F25" s="58" t="s">
        <v>1076</v>
      </c>
      <c r="G25" s="58">
        <v>75</v>
      </c>
      <c r="H25" s="2">
        <v>2.0208603429999998</v>
      </c>
      <c r="I25" s="59">
        <v>8.4000000000000005E-2</v>
      </c>
      <c r="J25" s="60">
        <v>0.16</v>
      </c>
      <c r="K25" s="58">
        <v>-24</v>
      </c>
      <c r="L25" s="58">
        <v>4.1000000000000002E-2</v>
      </c>
      <c r="M25" s="58">
        <v>3.35</v>
      </c>
      <c r="N25">
        <f t="shared" si="0"/>
        <v>0.32333765487999999</v>
      </c>
      <c r="O25">
        <f t="shared" si="1"/>
        <v>8.2855274063000001E-2</v>
      </c>
    </row>
    <row r="26" spans="1:15" x14ac:dyDescent="0.2">
      <c r="A26" s="58">
        <v>20329</v>
      </c>
      <c r="B26" s="58" t="s">
        <v>42</v>
      </c>
      <c r="C26" t="s">
        <v>1065</v>
      </c>
      <c r="D26" s="58">
        <v>18</v>
      </c>
      <c r="E26" s="58" t="s">
        <v>1063</v>
      </c>
      <c r="F26" s="58" t="s">
        <v>1070</v>
      </c>
      <c r="G26" s="58">
        <v>20</v>
      </c>
      <c r="H26" s="2">
        <v>1.4443101730000001</v>
      </c>
      <c r="I26" s="59">
        <v>2.415</v>
      </c>
      <c r="J26" s="60">
        <v>0.81</v>
      </c>
      <c r="K26" s="58">
        <v>-22.1</v>
      </c>
      <c r="L26" s="58">
        <v>0.1</v>
      </c>
      <c r="M26" s="58">
        <v>4.8</v>
      </c>
      <c r="N26">
        <f t="shared" si="0"/>
        <v>1.1698912401300003</v>
      </c>
      <c r="O26">
        <f t="shared" si="1"/>
        <v>0.14443101730000002</v>
      </c>
    </row>
    <row r="27" spans="1:15" x14ac:dyDescent="0.2">
      <c r="A27" s="58">
        <v>20329</v>
      </c>
      <c r="B27" s="58" t="s">
        <v>42</v>
      </c>
      <c r="C27" t="s">
        <v>1065</v>
      </c>
      <c r="D27" s="58">
        <v>18</v>
      </c>
      <c r="E27" s="58" t="s">
        <v>1063</v>
      </c>
      <c r="F27" s="58" t="s">
        <v>1071</v>
      </c>
      <c r="G27" s="58">
        <v>30</v>
      </c>
      <c r="H27" s="2">
        <v>1.4680415259999999</v>
      </c>
      <c r="I27" s="59">
        <v>1.504</v>
      </c>
      <c r="J27" s="60">
        <v>0.84</v>
      </c>
      <c r="K27" s="58">
        <v>-21.7</v>
      </c>
      <c r="L27" s="58">
        <v>9.4E-2</v>
      </c>
      <c r="M27" s="58">
        <v>4.8</v>
      </c>
      <c r="N27">
        <f t="shared" si="0"/>
        <v>1.23315488184</v>
      </c>
      <c r="O27">
        <f t="shared" si="1"/>
        <v>0.13799590344400001</v>
      </c>
    </row>
    <row r="28" spans="1:15" x14ac:dyDescent="0.2">
      <c r="A28" s="58">
        <v>20329</v>
      </c>
      <c r="B28" s="58" t="s">
        <v>42</v>
      </c>
      <c r="C28" t="s">
        <v>1065</v>
      </c>
      <c r="D28" s="58">
        <v>18</v>
      </c>
      <c r="E28" s="58" t="s">
        <v>1063</v>
      </c>
      <c r="F28" s="58" t="s">
        <v>1072</v>
      </c>
      <c r="G28" s="58">
        <v>40</v>
      </c>
      <c r="H28" s="2">
        <v>1.5301370009999999</v>
      </c>
      <c r="I28" s="59">
        <v>1.4359999999999999</v>
      </c>
      <c r="J28" s="60">
        <v>0.39</v>
      </c>
      <c r="K28" s="58">
        <v>-23.65</v>
      </c>
      <c r="L28" s="58">
        <v>5.2499999999999998E-2</v>
      </c>
      <c r="M28" s="58">
        <v>5.9</v>
      </c>
      <c r="N28">
        <f t="shared" si="0"/>
        <v>0.59675343039000006</v>
      </c>
      <c r="O28">
        <f t="shared" si="1"/>
        <v>8.0332192552500001E-2</v>
      </c>
    </row>
    <row r="29" spans="1:15" x14ac:dyDescent="0.2">
      <c r="A29" s="58">
        <v>20329</v>
      </c>
      <c r="B29" s="58" t="s">
        <v>42</v>
      </c>
      <c r="C29" t="s">
        <v>1065</v>
      </c>
      <c r="D29" s="58">
        <v>18</v>
      </c>
      <c r="E29" s="58" t="s">
        <v>1063</v>
      </c>
      <c r="F29" s="58" t="s">
        <v>1073</v>
      </c>
      <c r="G29" s="58">
        <v>50</v>
      </c>
      <c r="H29" s="2">
        <v>1.40608233</v>
      </c>
      <c r="I29" s="59">
        <v>3.056</v>
      </c>
      <c r="J29" s="60">
        <v>0.22</v>
      </c>
      <c r="K29" s="58">
        <v>-22.9</v>
      </c>
      <c r="L29" s="58">
        <v>4.4999999999999998E-2</v>
      </c>
      <c r="M29" s="58">
        <v>5.3</v>
      </c>
      <c r="N29">
        <f t="shared" si="0"/>
        <v>0.3093381126000001</v>
      </c>
      <c r="O29">
        <f t="shared" si="1"/>
        <v>6.3273704850000001E-2</v>
      </c>
    </row>
    <row r="30" spans="1:15" x14ac:dyDescent="0.2">
      <c r="A30" s="58">
        <v>20329</v>
      </c>
      <c r="B30" s="58" t="s">
        <v>42</v>
      </c>
      <c r="C30" t="s">
        <v>1065</v>
      </c>
      <c r="D30" s="58">
        <v>18</v>
      </c>
      <c r="E30" s="58" t="s">
        <v>1063</v>
      </c>
      <c r="F30" s="58" t="s">
        <v>1074</v>
      </c>
      <c r="G30" s="58">
        <v>60</v>
      </c>
      <c r="H30" s="2">
        <v>1.5480807329999999</v>
      </c>
      <c r="I30" s="59">
        <v>1.577</v>
      </c>
      <c r="J30" s="60">
        <v>0.18</v>
      </c>
      <c r="K30" s="58">
        <v>-23.1</v>
      </c>
      <c r="L30" s="58">
        <v>4.2999999999999997E-2</v>
      </c>
      <c r="M30" s="58">
        <v>4.5</v>
      </c>
      <c r="N30">
        <f t="shared" si="0"/>
        <v>0.27865453193999995</v>
      </c>
      <c r="O30">
        <f t="shared" si="1"/>
        <v>6.6567471518999999E-2</v>
      </c>
    </row>
    <row r="31" spans="1:15" x14ac:dyDescent="0.2">
      <c r="A31" s="58">
        <v>20329</v>
      </c>
      <c r="B31" s="58" t="s">
        <v>42</v>
      </c>
      <c r="C31" t="s">
        <v>1065</v>
      </c>
      <c r="D31" s="58">
        <v>18</v>
      </c>
      <c r="E31" s="58" t="s">
        <v>1063</v>
      </c>
      <c r="F31" s="58" t="s">
        <v>1075</v>
      </c>
      <c r="G31" s="58">
        <v>70</v>
      </c>
      <c r="H31" s="2">
        <v>1.260560634</v>
      </c>
      <c r="I31" s="59">
        <v>2.6309999999999998</v>
      </c>
      <c r="J31" s="60">
        <v>0.16</v>
      </c>
      <c r="K31" s="58">
        <v>-24.5</v>
      </c>
      <c r="L31" s="58">
        <v>4.2000000000000003E-2</v>
      </c>
      <c r="M31" s="58">
        <v>3.8</v>
      </c>
      <c r="N31">
        <f t="shared" si="0"/>
        <v>0.20168970144000001</v>
      </c>
      <c r="O31">
        <f t="shared" si="1"/>
        <v>5.2943546628000007E-2</v>
      </c>
    </row>
    <row r="32" spans="1:15" x14ac:dyDescent="0.2">
      <c r="A32" s="58">
        <v>20329</v>
      </c>
      <c r="B32" s="58" t="s">
        <v>42</v>
      </c>
      <c r="C32" t="s">
        <v>1065</v>
      </c>
      <c r="D32" s="58">
        <v>18</v>
      </c>
      <c r="E32" s="58" t="s">
        <v>1063</v>
      </c>
      <c r="F32" s="58" t="s">
        <v>1076</v>
      </c>
      <c r="G32" s="58">
        <v>80</v>
      </c>
      <c r="H32" s="2">
        <v>1.758051333</v>
      </c>
      <c r="I32" s="59">
        <v>2.8730000000000002</v>
      </c>
      <c r="J32" s="60">
        <v>0.17</v>
      </c>
      <c r="K32" s="58">
        <v>-25</v>
      </c>
      <c r="L32" s="58">
        <v>4.8000000000000001E-2</v>
      </c>
      <c r="M32" s="58">
        <v>3.4</v>
      </c>
      <c r="N32">
        <f t="shared" si="0"/>
        <v>0.29886872661000002</v>
      </c>
      <c r="O32">
        <f t="shared" si="1"/>
        <v>8.4386463984000015E-2</v>
      </c>
    </row>
    <row r="33" spans="1:15" x14ac:dyDescent="0.2">
      <c r="A33" s="58">
        <v>20329</v>
      </c>
      <c r="B33" s="58" t="s">
        <v>42</v>
      </c>
      <c r="C33" t="s">
        <v>1065</v>
      </c>
      <c r="D33" s="58">
        <v>18</v>
      </c>
      <c r="E33" s="58" t="s">
        <v>1063</v>
      </c>
      <c r="F33" s="58" t="s">
        <v>1077</v>
      </c>
      <c r="G33" s="58">
        <v>90</v>
      </c>
      <c r="H33" s="2">
        <v>1.4257686169999999</v>
      </c>
      <c r="I33" s="59">
        <v>2.4649999999999999</v>
      </c>
      <c r="J33" s="60">
        <v>0.18</v>
      </c>
      <c r="K33" s="58">
        <v>-25.6</v>
      </c>
      <c r="L33" s="58">
        <v>4.7E-2</v>
      </c>
      <c r="M33" s="58">
        <v>3.3</v>
      </c>
      <c r="N33">
        <f t="shared" si="0"/>
        <v>0.25663835105999999</v>
      </c>
      <c r="O33">
        <f t="shared" si="1"/>
        <v>6.7011124998999999E-2</v>
      </c>
    </row>
    <row r="34" spans="1:15" x14ac:dyDescent="0.2">
      <c r="A34" s="58">
        <v>20329</v>
      </c>
      <c r="B34" s="58" t="s">
        <v>42</v>
      </c>
      <c r="C34" t="s">
        <v>1065</v>
      </c>
      <c r="D34" s="58">
        <v>18</v>
      </c>
      <c r="E34" s="58" t="s">
        <v>1063</v>
      </c>
      <c r="F34" s="58" t="s">
        <v>1078</v>
      </c>
      <c r="G34" s="58">
        <v>100</v>
      </c>
      <c r="H34" s="2">
        <v>1.5497986020000001</v>
      </c>
      <c r="I34" s="59">
        <v>5.5880000000000001</v>
      </c>
      <c r="J34" s="60">
        <v>0.16</v>
      </c>
      <c r="K34" s="58">
        <v>-26.4</v>
      </c>
      <c r="L34" s="58">
        <v>4.7E-2</v>
      </c>
      <c r="M34" s="58">
        <v>2.7</v>
      </c>
      <c r="N34">
        <f t="shared" si="0"/>
        <v>0.24796777632000003</v>
      </c>
      <c r="O34">
        <f t="shared" si="1"/>
        <v>7.2840534293999989E-2</v>
      </c>
    </row>
    <row r="35" spans="1:15" x14ac:dyDescent="0.2">
      <c r="A35" s="58">
        <v>20329</v>
      </c>
      <c r="B35" s="58" t="s">
        <v>42</v>
      </c>
      <c r="C35" t="s">
        <v>1065</v>
      </c>
      <c r="D35" s="58">
        <v>19</v>
      </c>
      <c r="E35" s="58" t="s">
        <v>1063</v>
      </c>
      <c r="F35" s="58" t="s">
        <v>1069</v>
      </c>
      <c r="G35" s="58">
        <v>10</v>
      </c>
      <c r="H35" s="2">
        <v>1.6820505109999999</v>
      </c>
      <c r="I35" s="59">
        <v>0.30099999999999999</v>
      </c>
      <c r="J35" s="60">
        <v>0.77</v>
      </c>
      <c r="K35" s="58">
        <v>-22.2</v>
      </c>
      <c r="L35" s="58">
        <v>9.1999999999999998E-2</v>
      </c>
      <c r="M35" s="58">
        <v>4.7</v>
      </c>
      <c r="N35">
        <f t="shared" si="0"/>
        <v>1.2951788934700001</v>
      </c>
      <c r="O35">
        <f t="shared" si="1"/>
        <v>0.154748647012</v>
      </c>
    </row>
    <row r="36" spans="1:15" x14ac:dyDescent="0.2">
      <c r="A36" s="58">
        <v>20329</v>
      </c>
      <c r="B36" s="58" t="s">
        <v>42</v>
      </c>
      <c r="C36" t="s">
        <v>1065</v>
      </c>
      <c r="D36" s="58">
        <v>19</v>
      </c>
      <c r="E36" s="58" t="s">
        <v>1063</v>
      </c>
      <c r="F36" s="58" t="s">
        <v>1070</v>
      </c>
      <c r="G36" s="58">
        <v>20</v>
      </c>
      <c r="H36" s="2">
        <v>1.6589947709999999</v>
      </c>
      <c r="I36" s="59">
        <v>0.20799999999999999</v>
      </c>
      <c r="J36" s="60">
        <v>0.7</v>
      </c>
      <c r="K36" s="58">
        <v>-22.1</v>
      </c>
      <c r="L36" s="58">
        <v>8.7999999999999995E-2</v>
      </c>
      <c r="M36" s="58">
        <v>4.9000000000000004</v>
      </c>
      <c r="N36">
        <f t="shared" si="0"/>
        <v>1.1612963396999998</v>
      </c>
      <c r="O36">
        <f t="shared" si="1"/>
        <v>0.14599153984800001</v>
      </c>
    </row>
    <row r="37" spans="1:15" x14ac:dyDescent="0.2">
      <c r="A37" s="58">
        <v>20329</v>
      </c>
      <c r="B37" s="58" t="s">
        <v>42</v>
      </c>
      <c r="C37" t="s">
        <v>1065</v>
      </c>
      <c r="D37" s="58">
        <v>19</v>
      </c>
      <c r="E37" s="58" t="s">
        <v>1063</v>
      </c>
      <c r="F37" s="58" t="s">
        <v>1071</v>
      </c>
      <c r="G37" s="58">
        <v>30</v>
      </c>
      <c r="H37" s="2">
        <v>1.624140425</v>
      </c>
      <c r="I37" s="59">
        <v>0.14299999999999999</v>
      </c>
      <c r="J37" s="60">
        <v>0.56000000000000005</v>
      </c>
      <c r="K37" s="58">
        <v>-22.4</v>
      </c>
      <c r="L37" s="58">
        <v>7.0999999999999994E-2</v>
      </c>
      <c r="M37" s="58">
        <v>4.9000000000000004</v>
      </c>
      <c r="N37">
        <f t="shared" si="0"/>
        <v>0.90951863800000021</v>
      </c>
      <c r="O37">
        <f t="shared" si="1"/>
        <v>0.11531397017499999</v>
      </c>
    </row>
    <row r="38" spans="1:15" x14ac:dyDescent="0.2">
      <c r="A38" s="58">
        <v>20329</v>
      </c>
      <c r="B38" s="58" t="s">
        <v>42</v>
      </c>
      <c r="C38" t="s">
        <v>1065</v>
      </c>
      <c r="D38" s="58">
        <v>19</v>
      </c>
      <c r="E38" s="58" t="s">
        <v>1063</v>
      </c>
      <c r="F38" s="58" t="s">
        <v>1072</v>
      </c>
      <c r="G38" s="58">
        <v>40</v>
      </c>
      <c r="H38" s="2">
        <v>1.5239170639999999</v>
      </c>
      <c r="I38" s="59">
        <v>5.7000000000000002E-2</v>
      </c>
      <c r="J38" s="60">
        <v>0.28999999999999998</v>
      </c>
      <c r="K38" s="58">
        <v>-23.1</v>
      </c>
      <c r="L38" s="58">
        <v>4.9000000000000002E-2</v>
      </c>
      <c r="M38" s="58">
        <v>5.3</v>
      </c>
      <c r="N38">
        <f t="shared" si="0"/>
        <v>0.44193594855999996</v>
      </c>
      <c r="O38">
        <f t="shared" si="1"/>
        <v>7.4671936135999997E-2</v>
      </c>
    </row>
    <row r="39" spans="1:15" x14ac:dyDescent="0.2">
      <c r="A39" s="58">
        <v>20329</v>
      </c>
      <c r="B39" s="58" t="s">
        <v>42</v>
      </c>
      <c r="C39" t="s">
        <v>1065</v>
      </c>
      <c r="D39" s="58">
        <v>19</v>
      </c>
      <c r="E39" s="58" t="s">
        <v>1063</v>
      </c>
      <c r="F39" s="58" t="s">
        <v>1073</v>
      </c>
      <c r="G39" s="58">
        <v>50</v>
      </c>
      <c r="H39" s="2">
        <v>1.5875374689999999</v>
      </c>
      <c r="I39" s="59">
        <v>6.9000000000000006E-2</v>
      </c>
      <c r="J39" s="60">
        <v>0.22</v>
      </c>
      <c r="K39" s="58">
        <v>-23</v>
      </c>
      <c r="L39" s="58">
        <v>4.7E-2</v>
      </c>
      <c r="M39" s="58">
        <v>4.5</v>
      </c>
      <c r="N39">
        <f t="shared" si="0"/>
        <v>0.34925824317999998</v>
      </c>
      <c r="O39">
        <f t="shared" si="1"/>
        <v>7.4614261042999994E-2</v>
      </c>
    </row>
    <row r="40" spans="1:15" x14ac:dyDescent="0.2">
      <c r="A40" s="58">
        <v>20329</v>
      </c>
      <c r="B40" s="58" t="s">
        <v>42</v>
      </c>
      <c r="C40" t="s">
        <v>1065</v>
      </c>
      <c r="D40" s="58">
        <v>19</v>
      </c>
      <c r="E40" s="58" t="s">
        <v>1063</v>
      </c>
      <c r="F40" s="58" t="s">
        <v>1074</v>
      </c>
      <c r="G40" s="58">
        <v>60</v>
      </c>
      <c r="H40" s="2">
        <v>1.5056515260000001</v>
      </c>
      <c r="I40" s="59">
        <v>5.8000000000000003E-2</v>
      </c>
      <c r="J40" s="60">
        <v>0.16</v>
      </c>
      <c r="K40" s="58">
        <v>-24.7</v>
      </c>
      <c r="L40" s="58">
        <v>4.2000000000000003E-2</v>
      </c>
      <c r="M40" s="58">
        <v>4.2</v>
      </c>
      <c r="N40">
        <f t="shared" si="0"/>
        <v>0.24090424416</v>
      </c>
      <c r="O40">
        <f t="shared" si="1"/>
        <v>6.3237364092000023E-2</v>
      </c>
    </row>
    <row r="41" spans="1:15" x14ac:dyDescent="0.2">
      <c r="A41" s="58">
        <v>20329</v>
      </c>
      <c r="B41" s="58" t="s">
        <v>42</v>
      </c>
      <c r="C41" t="s">
        <v>1065</v>
      </c>
      <c r="D41" s="58">
        <v>19</v>
      </c>
      <c r="E41" s="58" t="s">
        <v>1063</v>
      </c>
      <c r="F41" s="58" t="s">
        <v>1075</v>
      </c>
      <c r="G41" s="58">
        <v>70</v>
      </c>
      <c r="H41" s="2">
        <v>1.5598192280000001</v>
      </c>
      <c r="I41" s="59">
        <v>8.5999999999999993E-2</v>
      </c>
      <c r="J41" s="60">
        <v>0.17</v>
      </c>
      <c r="K41" s="58">
        <v>-24.2</v>
      </c>
      <c r="L41" s="58">
        <v>4.3499999999999997E-2</v>
      </c>
      <c r="M41" s="58">
        <v>3.4</v>
      </c>
      <c r="N41">
        <f t="shared" si="0"/>
        <v>0.26516926876000002</v>
      </c>
      <c r="O41">
        <f t="shared" si="1"/>
        <v>6.7852136418000003E-2</v>
      </c>
    </row>
    <row r="42" spans="1:15" x14ac:dyDescent="0.2">
      <c r="A42" s="58">
        <v>20329</v>
      </c>
      <c r="B42" s="58" t="s">
        <v>42</v>
      </c>
      <c r="C42" t="s">
        <v>1065</v>
      </c>
      <c r="D42" s="58">
        <v>19</v>
      </c>
      <c r="E42" s="58" t="s">
        <v>1063</v>
      </c>
      <c r="F42" s="58" t="s">
        <v>1076</v>
      </c>
      <c r="G42" s="58">
        <v>80</v>
      </c>
      <c r="H42" s="2">
        <v>1.4828141340000001</v>
      </c>
      <c r="I42" s="59">
        <v>0.11700000000000001</v>
      </c>
      <c r="J42" s="60">
        <v>0.14000000000000001</v>
      </c>
      <c r="K42" s="58">
        <v>-24.9</v>
      </c>
      <c r="L42" s="58">
        <v>0.04</v>
      </c>
      <c r="M42" s="58">
        <v>3.3</v>
      </c>
      <c r="N42">
        <f t="shared" si="0"/>
        <v>0.20759397876000008</v>
      </c>
      <c r="O42">
        <f t="shared" si="1"/>
        <v>5.9312565360000014E-2</v>
      </c>
    </row>
    <row r="43" spans="1:15" x14ac:dyDescent="0.2">
      <c r="A43" s="58">
        <v>20329</v>
      </c>
      <c r="B43" s="58" t="s">
        <v>42</v>
      </c>
      <c r="C43" t="s">
        <v>1065</v>
      </c>
      <c r="D43" s="58">
        <v>19</v>
      </c>
      <c r="E43" s="58" t="s">
        <v>1063</v>
      </c>
      <c r="F43" s="58" t="s">
        <v>1077</v>
      </c>
      <c r="G43" s="58">
        <v>90</v>
      </c>
      <c r="H43" s="2">
        <v>1.7721778290000001</v>
      </c>
      <c r="I43" s="59">
        <v>5.2999999999999999E-2</v>
      </c>
      <c r="J43" s="60">
        <v>0.15</v>
      </c>
      <c r="K43" s="58">
        <v>-26.5</v>
      </c>
      <c r="L43" s="58">
        <v>0.04</v>
      </c>
      <c r="M43" s="58">
        <v>2.8</v>
      </c>
      <c r="N43">
        <f t="shared" si="0"/>
        <v>0.26582667435000001</v>
      </c>
      <c r="O43">
        <f t="shared" si="1"/>
        <v>7.0887113160000001E-2</v>
      </c>
    </row>
    <row r="44" spans="1:15" x14ac:dyDescent="0.2">
      <c r="A44" s="58">
        <v>20329</v>
      </c>
      <c r="B44" s="58" t="s">
        <v>42</v>
      </c>
      <c r="C44" t="s">
        <v>1065</v>
      </c>
      <c r="D44" s="58">
        <v>19</v>
      </c>
      <c r="E44" s="58" t="s">
        <v>1063</v>
      </c>
      <c r="F44" s="58" t="s">
        <v>1078</v>
      </c>
      <c r="G44" s="58">
        <v>100</v>
      </c>
      <c r="H44" s="2">
        <v>1.684594707</v>
      </c>
      <c r="I44" s="59">
        <v>0.13100000000000001</v>
      </c>
      <c r="J44" s="60">
        <v>0.14000000000000001</v>
      </c>
      <c r="K44" s="58">
        <v>-26.2</v>
      </c>
      <c r="L44" s="58">
        <v>3.5999999999999997E-2</v>
      </c>
      <c r="M44" s="58">
        <v>2.8</v>
      </c>
      <c r="N44">
        <f t="shared" si="0"/>
        <v>0.23584325898000003</v>
      </c>
      <c r="O44">
        <f t="shared" si="1"/>
        <v>6.0645409452000004E-2</v>
      </c>
    </row>
    <row r="45" spans="1:15" x14ac:dyDescent="0.2">
      <c r="A45" s="58">
        <v>20329</v>
      </c>
      <c r="B45" s="58" t="s">
        <v>42</v>
      </c>
      <c r="C45" t="s">
        <v>1065</v>
      </c>
      <c r="D45" s="58">
        <v>18</v>
      </c>
      <c r="E45" s="58" t="s">
        <v>1063</v>
      </c>
      <c r="F45" s="58" t="s">
        <v>1069</v>
      </c>
      <c r="G45" s="58">
        <v>10</v>
      </c>
      <c r="H45" s="2">
        <v>1.3638667550000001</v>
      </c>
      <c r="I45" s="59">
        <v>1.8660000000000001</v>
      </c>
      <c r="J45" s="60">
        <v>0.98</v>
      </c>
      <c r="K45" s="58">
        <v>-22.4</v>
      </c>
      <c r="L45" s="58">
        <v>0.11</v>
      </c>
      <c r="M45" s="58">
        <v>4.3</v>
      </c>
      <c r="N45">
        <f t="shared" si="0"/>
        <v>1.3365894199000001</v>
      </c>
      <c r="O45">
        <f t="shared" si="1"/>
        <v>0.15002534305000004</v>
      </c>
    </row>
    <row r="46" spans="1:15" x14ac:dyDescent="0.2">
      <c r="A46" s="58">
        <v>20329</v>
      </c>
      <c r="B46" s="58" t="s">
        <v>42</v>
      </c>
      <c r="C46" t="s">
        <v>1065</v>
      </c>
      <c r="D46" s="58">
        <v>18</v>
      </c>
      <c r="E46" s="58" t="s">
        <v>1062</v>
      </c>
      <c r="F46" s="58" t="s">
        <v>1069</v>
      </c>
      <c r="G46" s="58">
        <v>10</v>
      </c>
      <c r="H46" s="2">
        <v>1.5345398260000001</v>
      </c>
      <c r="I46" s="59">
        <v>1.9419999999999999</v>
      </c>
      <c r="J46" s="60">
        <v>0.95</v>
      </c>
      <c r="K46" s="58">
        <v>-22.2</v>
      </c>
      <c r="L46" s="58">
        <v>0.11</v>
      </c>
      <c r="M46" s="58">
        <v>4.5</v>
      </c>
      <c r="N46">
        <f t="shared" si="0"/>
        <v>1.4578128347000003</v>
      </c>
      <c r="O46">
        <f t="shared" si="1"/>
        <v>0.16879938086000001</v>
      </c>
    </row>
    <row r="47" spans="1:15" x14ac:dyDescent="0.2">
      <c r="A47" s="58">
        <v>20329</v>
      </c>
      <c r="B47" s="58" t="s">
        <v>42</v>
      </c>
      <c r="C47" t="s">
        <v>1065</v>
      </c>
      <c r="D47" s="58">
        <v>18</v>
      </c>
      <c r="E47" s="58" t="s">
        <v>1062</v>
      </c>
      <c r="F47" s="58" t="s">
        <v>1070</v>
      </c>
      <c r="G47" s="58">
        <v>20</v>
      </c>
      <c r="H47" s="2">
        <v>1.492627245</v>
      </c>
      <c r="I47" s="59">
        <v>0.72099999999999997</v>
      </c>
      <c r="J47" s="60">
        <v>1.05</v>
      </c>
      <c r="K47" s="58">
        <v>-22.4</v>
      </c>
      <c r="L47" s="58">
        <v>0.12</v>
      </c>
      <c r="M47" s="58">
        <v>4.8</v>
      </c>
      <c r="N47">
        <f t="shared" si="0"/>
        <v>1.5672586072500003</v>
      </c>
      <c r="O47">
        <f t="shared" si="1"/>
        <v>0.1791152694</v>
      </c>
    </row>
    <row r="48" spans="1:15" x14ac:dyDescent="0.2">
      <c r="A48" s="58">
        <v>20329</v>
      </c>
      <c r="B48" s="58" t="s">
        <v>42</v>
      </c>
      <c r="C48" t="s">
        <v>1065</v>
      </c>
      <c r="D48" s="58">
        <v>18</v>
      </c>
      <c r="E48" s="58" t="s">
        <v>1062</v>
      </c>
      <c r="F48" s="58" t="s">
        <v>1071</v>
      </c>
      <c r="G48" s="58">
        <v>30</v>
      </c>
      <c r="H48" s="2">
        <v>1.5004317760000001</v>
      </c>
      <c r="I48" s="59">
        <v>0.434</v>
      </c>
      <c r="J48" s="60">
        <v>0.69</v>
      </c>
      <c r="K48" s="58">
        <v>-22.7</v>
      </c>
      <c r="L48" s="58">
        <v>0.08</v>
      </c>
      <c r="M48" s="58">
        <v>4.95</v>
      </c>
      <c r="N48">
        <f t="shared" si="0"/>
        <v>1.0352979254400001</v>
      </c>
      <c r="O48">
        <f t="shared" si="1"/>
        <v>0.12003454208000003</v>
      </c>
    </row>
    <row r="49" spans="1:15" x14ac:dyDescent="0.2">
      <c r="A49" s="58">
        <v>20329</v>
      </c>
      <c r="B49" s="58" t="s">
        <v>42</v>
      </c>
      <c r="C49" t="s">
        <v>1065</v>
      </c>
      <c r="D49" s="58">
        <v>18</v>
      </c>
      <c r="E49" s="58" t="s">
        <v>1062</v>
      </c>
      <c r="F49" s="58" t="s">
        <v>1072</v>
      </c>
      <c r="G49" s="58">
        <v>40</v>
      </c>
      <c r="H49" s="2">
        <v>1.4694267839999999</v>
      </c>
      <c r="I49" s="59">
        <v>0.28100000000000003</v>
      </c>
      <c r="J49" s="60">
        <v>0.65</v>
      </c>
      <c r="K49" s="58">
        <v>-23.6</v>
      </c>
      <c r="L49" s="58">
        <v>7.2999999999999995E-2</v>
      </c>
      <c r="M49" s="58">
        <v>4.7</v>
      </c>
      <c r="N49">
        <f t="shared" si="0"/>
        <v>0.95512740960000009</v>
      </c>
      <c r="O49">
        <f t="shared" si="1"/>
        <v>0.10726815523200001</v>
      </c>
    </row>
    <row r="50" spans="1:15" x14ac:dyDescent="0.2">
      <c r="A50" s="58">
        <v>20329</v>
      </c>
      <c r="B50" s="58" t="s">
        <v>42</v>
      </c>
      <c r="C50" t="s">
        <v>1065</v>
      </c>
      <c r="D50" s="58">
        <v>18</v>
      </c>
      <c r="E50" s="58" t="s">
        <v>1062</v>
      </c>
      <c r="F50" s="58" t="s">
        <v>1073</v>
      </c>
      <c r="G50" s="58">
        <v>50</v>
      </c>
      <c r="H50" s="2">
        <v>1.411570583</v>
      </c>
      <c r="I50" s="59">
        <v>0.875</v>
      </c>
      <c r="J50" s="60">
        <v>0.51</v>
      </c>
      <c r="K50" s="58">
        <v>-23.2</v>
      </c>
      <c r="L50" s="58">
        <v>5.8999999999999997E-2</v>
      </c>
      <c r="M50" s="58">
        <v>5.2</v>
      </c>
      <c r="N50">
        <f t="shared" si="0"/>
        <v>0.71990099733000013</v>
      </c>
      <c r="O50">
        <f t="shared" si="1"/>
        <v>8.3282664396999995E-2</v>
      </c>
    </row>
    <row r="51" spans="1:15" x14ac:dyDescent="0.2">
      <c r="A51" s="58">
        <v>20329</v>
      </c>
      <c r="B51" s="58" t="s">
        <v>42</v>
      </c>
      <c r="C51" t="s">
        <v>1065</v>
      </c>
      <c r="D51" s="58">
        <v>18</v>
      </c>
      <c r="E51" s="58" t="s">
        <v>1062</v>
      </c>
      <c r="F51" s="58" t="s">
        <v>1074</v>
      </c>
      <c r="G51" s="58">
        <v>60</v>
      </c>
      <c r="H51" s="2">
        <v>1.3518512460000001</v>
      </c>
      <c r="I51" s="59">
        <v>4.5620000000000003</v>
      </c>
      <c r="J51" s="60">
        <v>0.36</v>
      </c>
      <c r="K51" s="58">
        <v>-23</v>
      </c>
      <c r="L51" s="58">
        <v>4.9000000000000002E-2</v>
      </c>
      <c r="M51" s="58">
        <v>6.1</v>
      </c>
      <c r="N51">
        <f t="shared" si="0"/>
        <v>0.48666644856000008</v>
      </c>
      <c r="O51">
        <f t="shared" si="1"/>
        <v>6.6240711054000007E-2</v>
      </c>
    </row>
    <row r="52" spans="1:15" x14ac:dyDescent="0.2">
      <c r="A52" s="58">
        <v>20329</v>
      </c>
      <c r="B52" s="58" t="s">
        <v>42</v>
      </c>
      <c r="C52" t="s">
        <v>1065</v>
      </c>
      <c r="D52" s="58">
        <v>18</v>
      </c>
      <c r="E52" s="58" t="s">
        <v>1062</v>
      </c>
      <c r="F52" s="58" t="s">
        <v>1075</v>
      </c>
      <c r="G52" s="58">
        <v>70</v>
      </c>
      <c r="H52" s="2">
        <v>1.4750790410000001</v>
      </c>
      <c r="I52" s="59">
        <v>8.625</v>
      </c>
      <c r="J52" s="60">
        <v>0.2</v>
      </c>
      <c r="K52" s="58">
        <v>-23</v>
      </c>
      <c r="L52" s="58">
        <v>4.2000000000000003E-2</v>
      </c>
      <c r="M52" s="58">
        <v>4.7</v>
      </c>
      <c r="N52">
        <f t="shared" si="0"/>
        <v>0.29501580820000001</v>
      </c>
      <c r="O52">
        <f t="shared" si="1"/>
        <v>6.1953319722000015E-2</v>
      </c>
    </row>
    <row r="53" spans="1:15" x14ac:dyDescent="0.2">
      <c r="A53" s="58">
        <v>20329</v>
      </c>
      <c r="B53" s="58" t="s">
        <v>42</v>
      </c>
      <c r="C53" t="s">
        <v>1065</v>
      </c>
      <c r="D53" s="58">
        <v>18</v>
      </c>
      <c r="E53" s="58" t="s">
        <v>1062</v>
      </c>
      <c r="F53" s="58" t="s">
        <v>1076</v>
      </c>
      <c r="G53" s="58">
        <v>80</v>
      </c>
      <c r="H53" s="2">
        <v>1.4878041200000001</v>
      </c>
      <c r="I53" s="59">
        <v>5.3780000000000001</v>
      </c>
      <c r="J53" s="60">
        <v>0.19</v>
      </c>
      <c r="K53" s="58">
        <v>-23.8</v>
      </c>
      <c r="L53" s="58">
        <v>4.2999999999999997E-2</v>
      </c>
      <c r="M53" s="58">
        <v>4.0999999999999996</v>
      </c>
      <c r="N53">
        <f t="shared" si="0"/>
        <v>0.28268278280000003</v>
      </c>
      <c r="O53">
        <f t="shared" si="1"/>
        <v>6.3975577160000005E-2</v>
      </c>
    </row>
    <row r="54" spans="1:15" x14ac:dyDescent="0.2">
      <c r="A54" s="58">
        <v>20329</v>
      </c>
      <c r="B54" s="58" t="s">
        <v>42</v>
      </c>
      <c r="C54" t="s">
        <v>1065</v>
      </c>
      <c r="D54" s="58">
        <v>18</v>
      </c>
      <c r="E54" s="58" t="s">
        <v>1062</v>
      </c>
      <c r="F54" s="58" t="s">
        <v>1077</v>
      </c>
      <c r="G54" s="58">
        <v>90</v>
      </c>
      <c r="H54" s="2">
        <v>1.595499003</v>
      </c>
      <c r="I54" s="59">
        <v>5.4560000000000004</v>
      </c>
      <c r="J54" s="60">
        <v>0.17</v>
      </c>
      <c r="K54" s="58">
        <v>-24.7</v>
      </c>
      <c r="L54" s="58">
        <v>3.9E-2</v>
      </c>
      <c r="M54" s="58">
        <v>3.8</v>
      </c>
      <c r="N54">
        <f t="shared" si="0"/>
        <v>0.27123483051000002</v>
      </c>
      <c r="O54">
        <f t="shared" si="1"/>
        <v>6.2224461117000002E-2</v>
      </c>
    </row>
    <row r="55" spans="1:15" x14ac:dyDescent="0.2">
      <c r="A55" s="58">
        <v>20329</v>
      </c>
      <c r="B55" s="58" t="s">
        <v>42</v>
      </c>
      <c r="C55" t="s">
        <v>1065</v>
      </c>
      <c r="D55" s="58">
        <v>18</v>
      </c>
      <c r="E55" s="58" t="s">
        <v>1062</v>
      </c>
      <c r="F55" s="58" t="s">
        <v>1078</v>
      </c>
      <c r="G55" s="58">
        <v>100</v>
      </c>
      <c r="H55" s="2">
        <v>1.513679727</v>
      </c>
      <c r="I55" s="59">
        <v>6.5759999999999996</v>
      </c>
      <c r="J55" s="60">
        <v>0.13</v>
      </c>
      <c r="K55" s="58">
        <v>-25.5</v>
      </c>
      <c r="L55" s="58">
        <v>3.4000000000000002E-2</v>
      </c>
      <c r="M55" s="58">
        <v>4.4000000000000004</v>
      </c>
      <c r="N55">
        <f t="shared" si="0"/>
        <v>0.19677836450999997</v>
      </c>
      <c r="O55">
        <f t="shared" si="1"/>
        <v>5.1465110718000001E-2</v>
      </c>
    </row>
    <row r="56" spans="1:15" x14ac:dyDescent="0.2">
      <c r="A56" s="58">
        <v>20329</v>
      </c>
      <c r="B56" s="58" t="s">
        <v>42</v>
      </c>
      <c r="C56" t="s">
        <v>1065</v>
      </c>
      <c r="D56" s="58">
        <v>18</v>
      </c>
      <c r="E56" s="58" t="s">
        <v>1062</v>
      </c>
      <c r="F56" s="58" t="s">
        <v>1079</v>
      </c>
      <c r="G56" s="58">
        <v>110</v>
      </c>
      <c r="H56" s="2">
        <v>1.0035399410000001</v>
      </c>
      <c r="I56" s="59">
        <v>8.0540000000000003</v>
      </c>
      <c r="J56" s="60">
        <v>0.12</v>
      </c>
      <c r="K56" s="58">
        <v>-27.3</v>
      </c>
      <c r="L56" s="58">
        <v>2.9000000000000001E-2</v>
      </c>
      <c r="M56" s="58">
        <v>2.1</v>
      </c>
      <c r="N56">
        <f t="shared" si="0"/>
        <v>0.12042479292000002</v>
      </c>
      <c r="O56">
        <f t="shared" si="1"/>
        <v>2.9102658289000008E-2</v>
      </c>
    </row>
    <row r="57" spans="1:15" x14ac:dyDescent="0.2">
      <c r="A57" s="58">
        <v>20329</v>
      </c>
      <c r="B57" s="58" t="s">
        <v>42</v>
      </c>
      <c r="C57" t="s">
        <v>1065</v>
      </c>
      <c r="D57" s="58">
        <v>19</v>
      </c>
      <c r="E57" s="58" t="s">
        <v>1062</v>
      </c>
      <c r="F57" s="58" t="s">
        <v>1069</v>
      </c>
      <c r="G57" s="58">
        <v>10</v>
      </c>
      <c r="H57" s="2">
        <v>1.400634417</v>
      </c>
      <c r="I57" s="59">
        <v>4.0549999999999997</v>
      </c>
      <c r="J57" s="60">
        <v>1.41</v>
      </c>
      <c r="K57" s="58">
        <v>-22.8</v>
      </c>
      <c r="L57" s="58">
        <v>0.14000000000000001</v>
      </c>
      <c r="M57" s="58">
        <v>5.4</v>
      </c>
      <c r="N57">
        <f t="shared" si="0"/>
        <v>1.9748945279700001</v>
      </c>
      <c r="O57">
        <f t="shared" si="1"/>
        <v>0.19608881838000006</v>
      </c>
    </row>
    <row r="58" spans="1:15" x14ac:dyDescent="0.2">
      <c r="A58" s="58">
        <v>20329</v>
      </c>
      <c r="B58" s="58" t="s">
        <v>42</v>
      </c>
      <c r="C58" t="s">
        <v>1065</v>
      </c>
      <c r="D58" s="58">
        <v>19</v>
      </c>
      <c r="E58" s="58" t="s">
        <v>1062</v>
      </c>
      <c r="F58" s="58" t="s">
        <v>1070</v>
      </c>
      <c r="G58" s="58">
        <v>20</v>
      </c>
      <c r="H58" s="2">
        <v>1.355794766</v>
      </c>
      <c r="I58" s="59">
        <v>3.214</v>
      </c>
      <c r="J58" s="60">
        <v>1.31</v>
      </c>
      <c r="K58" s="58">
        <v>-22.6</v>
      </c>
      <c r="L58" s="58">
        <v>0.14000000000000001</v>
      </c>
      <c r="M58" s="58">
        <v>5.6</v>
      </c>
      <c r="N58">
        <f t="shared" si="0"/>
        <v>1.7760911434600004</v>
      </c>
      <c r="O58">
        <f t="shared" si="1"/>
        <v>0.18981126724000003</v>
      </c>
    </row>
    <row r="59" spans="1:15" x14ac:dyDescent="0.2">
      <c r="A59" s="58">
        <v>20329</v>
      </c>
      <c r="B59" s="58" t="s">
        <v>42</v>
      </c>
      <c r="C59" t="s">
        <v>1065</v>
      </c>
      <c r="D59" s="58">
        <v>19</v>
      </c>
      <c r="E59" s="58" t="s">
        <v>1062</v>
      </c>
      <c r="F59" s="58" t="s">
        <v>1071</v>
      </c>
      <c r="G59" s="58">
        <v>30</v>
      </c>
      <c r="H59" s="2">
        <v>1.449940596</v>
      </c>
      <c r="I59" s="59">
        <v>2.048</v>
      </c>
      <c r="J59" s="60">
        <v>1.06</v>
      </c>
      <c r="K59" s="58">
        <v>-23.1</v>
      </c>
      <c r="L59" s="58">
        <v>0.11</v>
      </c>
      <c r="M59" s="58">
        <v>5.7</v>
      </c>
      <c r="N59">
        <f t="shared" si="0"/>
        <v>1.53693703176</v>
      </c>
      <c r="O59">
        <f t="shared" si="1"/>
        <v>0.15949346556000002</v>
      </c>
    </row>
    <row r="60" spans="1:15" x14ac:dyDescent="0.2">
      <c r="A60" s="58">
        <v>20329</v>
      </c>
      <c r="B60" s="58" t="s">
        <v>42</v>
      </c>
      <c r="C60" t="s">
        <v>1065</v>
      </c>
      <c r="D60" s="58">
        <v>19</v>
      </c>
      <c r="E60" s="58" t="s">
        <v>1062</v>
      </c>
      <c r="F60" s="58" t="s">
        <v>1072</v>
      </c>
      <c r="G60" s="58">
        <v>40</v>
      </c>
      <c r="H60" s="2">
        <v>1.474595401</v>
      </c>
      <c r="I60" s="59">
        <v>4.2249999999999996</v>
      </c>
      <c r="J60" s="60">
        <v>0.84</v>
      </c>
      <c r="K60" s="58">
        <v>-24</v>
      </c>
      <c r="L60" s="58">
        <v>7.6999999999999999E-2</v>
      </c>
      <c r="M60" s="58">
        <v>6</v>
      </c>
      <c r="N60">
        <f t="shared" si="0"/>
        <v>1.2386601368400001</v>
      </c>
      <c r="O60">
        <f t="shared" si="1"/>
        <v>0.113543845877</v>
      </c>
    </row>
    <row r="61" spans="1:15" x14ac:dyDescent="0.2">
      <c r="A61" s="58">
        <v>20329</v>
      </c>
      <c r="B61" s="58" t="s">
        <v>42</v>
      </c>
      <c r="C61" t="s">
        <v>1065</v>
      </c>
      <c r="D61" s="58">
        <v>19</v>
      </c>
      <c r="E61" s="58" t="s">
        <v>1062</v>
      </c>
      <c r="F61" s="58" t="s">
        <v>1073</v>
      </c>
      <c r="G61" s="58">
        <v>50</v>
      </c>
      <c r="H61" s="2">
        <v>1.4575408620000001</v>
      </c>
      <c r="I61" s="59">
        <v>11.087</v>
      </c>
      <c r="J61" s="60">
        <v>0.47</v>
      </c>
      <c r="K61" s="58">
        <v>-23.1</v>
      </c>
      <c r="L61" s="58">
        <v>5.3999999999999999E-2</v>
      </c>
      <c r="M61" s="58">
        <v>6.3</v>
      </c>
      <c r="N61">
        <f t="shared" si="0"/>
        <v>0.68504420514000008</v>
      </c>
      <c r="O61">
        <f t="shared" si="1"/>
        <v>7.8707206548000008E-2</v>
      </c>
    </row>
    <row r="62" spans="1:15" x14ac:dyDescent="0.2">
      <c r="A62" s="58">
        <v>20329</v>
      </c>
      <c r="B62" s="58" t="s">
        <v>42</v>
      </c>
      <c r="C62" t="s">
        <v>1065</v>
      </c>
      <c r="D62" s="58">
        <v>19</v>
      </c>
      <c r="E62" s="58" t="s">
        <v>1062</v>
      </c>
      <c r="F62" s="58" t="s">
        <v>1074</v>
      </c>
      <c r="G62" s="58">
        <v>60</v>
      </c>
      <c r="H62" s="2">
        <v>1.1371458640000001</v>
      </c>
      <c r="I62" s="59">
        <v>25.204999999999998</v>
      </c>
      <c r="J62" s="60">
        <v>0.27</v>
      </c>
      <c r="K62" s="58">
        <v>-22.6</v>
      </c>
      <c r="L62" s="58">
        <v>4.9000000000000002E-2</v>
      </c>
      <c r="M62" s="58">
        <v>5.6</v>
      </c>
      <c r="N62">
        <f t="shared" si="0"/>
        <v>0.30702938328000007</v>
      </c>
      <c r="O62">
        <f t="shared" si="1"/>
        <v>5.5720147335999996E-2</v>
      </c>
    </row>
    <row r="63" spans="1:15" x14ac:dyDescent="0.2">
      <c r="A63" s="58">
        <v>20329</v>
      </c>
      <c r="B63" s="58" t="s">
        <v>42</v>
      </c>
      <c r="C63" t="s">
        <v>1065</v>
      </c>
      <c r="D63" s="58">
        <v>19</v>
      </c>
      <c r="E63" s="58" t="s">
        <v>1062</v>
      </c>
      <c r="F63" s="58" t="s">
        <v>1075</v>
      </c>
      <c r="G63" s="58">
        <v>70</v>
      </c>
      <c r="H63" s="2">
        <v>1.6072584329999999</v>
      </c>
      <c r="I63" s="59">
        <v>10.208</v>
      </c>
      <c r="J63" s="60">
        <v>0.21</v>
      </c>
      <c r="K63" s="58">
        <v>-23.2</v>
      </c>
      <c r="L63" s="58">
        <v>4.5999999999999999E-2</v>
      </c>
      <c r="M63" s="58">
        <v>4.3</v>
      </c>
      <c r="N63">
        <f t="shared" si="0"/>
        <v>0.33752427092999993</v>
      </c>
      <c r="O63">
        <f t="shared" si="1"/>
        <v>7.3933887918000013E-2</v>
      </c>
    </row>
    <row r="64" spans="1:15" x14ac:dyDescent="0.2">
      <c r="A64" s="58">
        <v>20329</v>
      </c>
      <c r="B64" s="58" t="s">
        <v>42</v>
      </c>
      <c r="C64" t="s">
        <v>1065</v>
      </c>
      <c r="D64" s="58">
        <v>19</v>
      </c>
      <c r="E64" s="58" t="s">
        <v>1062</v>
      </c>
      <c r="F64" s="58" t="s">
        <v>1076</v>
      </c>
      <c r="G64" s="58">
        <v>80</v>
      </c>
      <c r="H64" s="2">
        <v>1.3482765320000001</v>
      </c>
      <c r="I64" s="59">
        <v>10.413</v>
      </c>
      <c r="J64" s="60">
        <v>0.24</v>
      </c>
      <c r="K64" s="58">
        <v>-23.9</v>
      </c>
      <c r="L64" s="58">
        <v>4.8000000000000001E-2</v>
      </c>
      <c r="M64" s="58">
        <v>4.5999999999999996</v>
      </c>
      <c r="N64">
        <f t="shared" si="0"/>
        <v>0.32358636768000004</v>
      </c>
      <c r="O64">
        <f t="shared" si="1"/>
        <v>6.4717273536000014E-2</v>
      </c>
    </row>
    <row r="65" spans="1:15" x14ac:dyDescent="0.2">
      <c r="A65" s="58">
        <v>20329</v>
      </c>
      <c r="B65" s="58" t="s">
        <v>42</v>
      </c>
      <c r="C65" t="s">
        <v>1065</v>
      </c>
      <c r="D65" s="58">
        <v>19</v>
      </c>
      <c r="E65" s="58" t="s">
        <v>1062</v>
      </c>
      <c r="F65" s="58" t="s">
        <v>1077</v>
      </c>
      <c r="G65" s="58">
        <v>90</v>
      </c>
      <c r="H65" s="2">
        <v>1.481500566</v>
      </c>
      <c r="I65" s="59">
        <v>12.731</v>
      </c>
      <c r="J65" s="60">
        <v>0.16</v>
      </c>
      <c r="K65" s="58">
        <v>-24.3</v>
      </c>
      <c r="L65" s="58">
        <v>3.9E-2</v>
      </c>
      <c r="M65" s="58">
        <v>3.9</v>
      </c>
      <c r="N65">
        <f t="shared" si="0"/>
        <v>0.23704009056000006</v>
      </c>
      <c r="O65">
        <f t="shared" si="1"/>
        <v>5.7778522074000006E-2</v>
      </c>
    </row>
    <row r="66" spans="1:15" x14ac:dyDescent="0.2">
      <c r="A66" s="58">
        <v>20329</v>
      </c>
      <c r="B66" s="58" t="s">
        <v>42</v>
      </c>
      <c r="C66" t="s">
        <v>1065</v>
      </c>
      <c r="D66" s="58">
        <v>19</v>
      </c>
      <c r="E66" s="58" t="s">
        <v>1062</v>
      </c>
      <c r="F66" s="58" t="s">
        <v>1078</v>
      </c>
      <c r="G66" s="58">
        <v>100</v>
      </c>
      <c r="H66" s="2">
        <v>1.23510465</v>
      </c>
      <c r="I66" s="59">
        <v>16.641999999999999</v>
      </c>
      <c r="J66" s="60">
        <v>0.11</v>
      </c>
      <c r="K66" s="58">
        <v>-26.1</v>
      </c>
      <c r="L66" s="58">
        <v>3.1E-2</v>
      </c>
      <c r="M66" s="58">
        <v>2.2999999999999998</v>
      </c>
      <c r="N66">
        <f t="shared" si="0"/>
        <v>0.1358615115</v>
      </c>
      <c r="O66">
        <f t="shared" si="1"/>
        <v>3.8288244150000005E-2</v>
      </c>
    </row>
    <row r="67" spans="1:15" x14ac:dyDescent="0.2">
      <c r="A67" s="58">
        <v>20329</v>
      </c>
      <c r="B67" s="58" t="s">
        <v>42</v>
      </c>
      <c r="C67" t="s">
        <v>1065</v>
      </c>
      <c r="D67" s="58">
        <v>19</v>
      </c>
      <c r="E67" s="58" t="s">
        <v>1062</v>
      </c>
      <c r="F67" s="58" t="s">
        <v>1079</v>
      </c>
      <c r="G67" s="58">
        <v>110</v>
      </c>
      <c r="H67" s="2">
        <v>1.0761415539999999</v>
      </c>
      <c r="I67" s="59">
        <v>10.750999999999999</v>
      </c>
      <c r="J67" s="60">
        <v>0.12</v>
      </c>
      <c r="K67" s="58">
        <v>-26.6</v>
      </c>
      <c r="L67" s="58">
        <v>2.8000000000000001E-2</v>
      </c>
      <c r="M67" s="58">
        <v>2.7</v>
      </c>
      <c r="N67">
        <f t="shared" ref="N67:N122" si="2">H67*(J67/100)*1000*0.1</f>
        <v>0.12913698647999999</v>
      </c>
      <c r="O67">
        <f t="shared" ref="O67:O122" si="3">H67*(L67/100)*1000*0.1</f>
        <v>3.0131963511999999E-2</v>
      </c>
    </row>
    <row r="68" spans="1:15" x14ac:dyDescent="0.2">
      <c r="A68" s="58">
        <v>20329</v>
      </c>
      <c r="B68" s="58" t="s">
        <v>49</v>
      </c>
      <c r="C68" t="s">
        <v>1066</v>
      </c>
      <c r="D68" s="58">
        <v>18</v>
      </c>
      <c r="E68" s="58" t="s">
        <v>1061</v>
      </c>
      <c r="F68" s="58" t="s">
        <v>1074</v>
      </c>
      <c r="G68" s="58">
        <v>60</v>
      </c>
      <c r="H68" s="2">
        <v>1.6179112550000001</v>
      </c>
      <c r="I68" s="59">
        <v>2.2000000000000002</v>
      </c>
      <c r="J68" s="60">
        <v>0.11</v>
      </c>
      <c r="K68" s="58">
        <v>-26.3</v>
      </c>
      <c r="L68" s="58">
        <v>3.6999999999999998E-2</v>
      </c>
      <c r="M68" s="58">
        <v>3.7</v>
      </c>
      <c r="N68">
        <f t="shared" si="2"/>
        <v>0.17797023805000003</v>
      </c>
      <c r="O68">
        <f t="shared" si="3"/>
        <v>5.9862716434999998E-2</v>
      </c>
    </row>
    <row r="69" spans="1:15" x14ac:dyDescent="0.2">
      <c r="A69" s="58">
        <v>20329</v>
      </c>
      <c r="B69" s="58" t="s">
        <v>49</v>
      </c>
      <c r="C69" t="s">
        <v>1066</v>
      </c>
      <c r="D69" s="58">
        <v>18</v>
      </c>
      <c r="E69" s="58" t="s">
        <v>1061</v>
      </c>
      <c r="F69" s="58" t="s">
        <v>1075</v>
      </c>
      <c r="G69" s="58">
        <v>70</v>
      </c>
      <c r="H69" s="2">
        <v>2.0820524740000002</v>
      </c>
      <c r="I69" s="59">
        <v>2.3820000000000001</v>
      </c>
      <c r="J69" s="60">
        <v>0.11</v>
      </c>
      <c r="K69" s="58">
        <v>-26.5</v>
      </c>
      <c r="L69" s="58">
        <v>3.7999999999999999E-2</v>
      </c>
      <c r="M69" s="58">
        <v>3.5</v>
      </c>
      <c r="N69">
        <f t="shared" si="2"/>
        <v>0.22902577214000008</v>
      </c>
      <c r="O69">
        <f t="shared" si="3"/>
        <v>7.9117994012000009E-2</v>
      </c>
    </row>
    <row r="70" spans="1:15" x14ac:dyDescent="0.2">
      <c r="A70" s="58">
        <v>20329</v>
      </c>
      <c r="B70" s="58" t="s">
        <v>49</v>
      </c>
      <c r="C70" t="s">
        <v>1066</v>
      </c>
      <c r="D70" s="58">
        <v>18</v>
      </c>
      <c r="E70" s="58" t="s">
        <v>1061</v>
      </c>
      <c r="F70" s="58" t="s">
        <v>1076</v>
      </c>
      <c r="G70" s="58">
        <v>80</v>
      </c>
      <c r="H70" s="2">
        <v>1.523776303</v>
      </c>
      <c r="I70" s="59">
        <v>21.789000000000001</v>
      </c>
      <c r="J70" s="60">
        <v>0.09</v>
      </c>
      <c r="K70" s="58">
        <v>-26.1</v>
      </c>
      <c r="L70" s="58">
        <v>3.5999999999999997E-2</v>
      </c>
      <c r="M70" s="58">
        <v>3.35</v>
      </c>
      <c r="N70">
        <f t="shared" si="2"/>
        <v>0.13713986726999999</v>
      </c>
      <c r="O70">
        <f t="shared" si="3"/>
        <v>5.4855946907999997E-2</v>
      </c>
    </row>
    <row r="71" spans="1:15" x14ac:dyDescent="0.2">
      <c r="A71" s="58">
        <v>20329</v>
      </c>
      <c r="B71" s="58" t="s">
        <v>49</v>
      </c>
      <c r="C71" t="s">
        <v>1066</v>
      </c>
      <c r="D71" s="58">
        <v>18</v>
      </c>
      <c r="E71" s="58" t="s">
        <v>1061</v>
      </c>
      <c r="F71" s="58" t="s">
        <v>1077</v>
      </c>
      <c r="G71" s="58">
        <v>90</v>
      </c>
      <c r="H71" s="2">
        <v>1.1176888270000001</v>
      </c>
      <c r="I71" s="59">
        <v>24.181000000000001</v>
      </c>
      <c r="J71" s="60">
        <v>0.1</v>
      </c>
      <c r="K71" s="58">
        <v>-27.6</v>
      </c>
      <c r="L71" s="58">
        <v>3.5999999999999997E-2</v>
      </c>
      <c r="M71" s="58">
        <v>2.8</v>
      </c>
      <c r="N71">
        <f t="shared" si="2"/>
        <v>0.11176888270000002</v>
      </c>
      <c r="O71">
        <f t="shared" si="3"/>
        <v>4.0236797772000003E-2</v>
      </c>
    </row>
    <row r="72" spans="1:15" x14ac:dyDescent="0.2">
      <c r="A72" s="58">
        <v>20329</v>
      </c>
      <c r="B72" s="58" t="s">
        <v>49</v>
      </c>
      <c r="C72" t="s">
        <v>1066</v>
      </c>
      <c r="D72" s="58">
        <v>19</v>
      </c>
      <c r="E72" s="58" t="s">
        <v>1061</v>
      </c>
      <c r="F72" s="58" t="s">
        <v>1069</v>
      </c>
      <c r="G72" s="58">
        <v>10</v>
      </c>
      <c r="H72" s="2">
        <v>1.305661892</v>
      </c>
      <c r="I72" s="59">
        <v>6.15</v>
      </c>
      <c r="J72" s="60">
        <v>1.4</v>
      </c>
      <c r="K72" s="58">
        <v>-23</v>
      </c>
      <c r="L72" s="58">
        <v>0.13500000000000001</v>
      </c>
      <c r="M72" s="58">
        <v>4</v>
      </c>
      <c r="N72">
        <f t="shared" si="2"/>
        <v>1.8279266488000001</v>
      </c>
      <c r="O72">
        <f t="shared" si="3"/>
        <v>0.17626435542000002</v>
      </c>
    </row>
    <row r="73" spans="1:15" x14ac:dyDescent="0.2">
      <c r="A73" s="58">
        <v>20329</v>
      </c>
      <c r="B73" s="58" t="s">
        <v>49</v>
      </c>
      <c r="C73" t="s">
        <v>1066</v>
      </c>
      <c r="D73" s="58">
        <v>19</v>
      </c>
      <c r="E73" s="58" t="s">
        <v>1061</v>
      </c>
      <c r="F73" s="58" t="s">
        <v>1070</v>
      </c>
      <c r="G73" s="58">
        <v>20</v>
      </c>
      <c r="H73" s="2">
        <v>1.4612159140000001</v>
      </c>
      <c r="I73" s="59">
        <v>8.0139999999999993</v>
      </c>
      <c r="J73" s="60">
        <v>0.98</v>
      </c>
      <c r="K73" s="58">
        <v>-23.6</v>
      </c>
      <c r="L73" s="58">
        <v>0.1</v>
      </c>
      <c r="M73" s="58">
        <v>5.0999999999999996</v>
      </c>
      <c r="N73">
        <f t="shared" si="2"/>
        <v>1.4319915957200002</v>
      </c>
      <c r="O73">
        <f t="shared" si="3"/>
        <v>0.1461215914</v>
      </c>
    </row>
    <row r="74" spans="1:15" x14ac:dyDescent="0.2">
      <c r="A74" s="58">
        <v>20329</v>
      </c>
      <c r="B74" s="58" t="s">
        <v>49</v>
      </c>
      <c r="C74" t="s">
        <v>1066</v>
      </c>
      <c r="D74" s="58">
        <v>19</v>
      </c>
      <c r="E74" s="58" t="s">
        <v>1061</v>
      </c>
      <c r="F74" s="58" t="s">
        <v>1071</v>
      </c>
      <c r="G74" s="58">
        <v>30</v>
      </c>
      <c r="H74" s="2">
        <v>1.5101879170000001</v>
      </c>
      <c r="I74" s="59">
        <v>7.3970000000000002</v>
      </c>
      <c r="J74" s="60">
        <v>1.18</v>
      </c>
      <c r="K74" s="58">
        <v>-24.8</v>
      </c>
      <c r="L74" s="58">
        <v>0.1</v>
      </c>
      <c r="M74" s="58">
        <v>5.6</v>
      </c>
      <c r="N74">
        <f t="shared" si="2"/>
        <v>1.7820217420600004</v>
      </c>
      <c r="O74">
        <f t="shared" si="3"/>
        <v>0.15101879170000002</v>
      </c>
    </row>
    <row r="75" spans="1:15" x14ac:dyDescent="0.2">
      <c r="A75" s="58">
        <v>20329</v>
      </c>
      <c r="B75" s="58" t="s">
        <v>49</v>
      </c>
      <c r="C75" t="s">
        <v>1066</v>
      </c>
      <c r="D75" s="58">
        <v>19</v>
      </c>
      <c r="E75" s="58" t="s">
        <v>1061</v>
      </c>
      <c r="F75" s="58" t="s">
        <v>1072</v>
      </c>
      <c r="G75" s="58">
        <v>40</v>
      </c>
      <c r="H75" s="2">
        <v>1.4569109549999999</v>
      </c>
      <c r="I75" s="59">
        <v>8.9390000000000001</v>
      </c>
      <c r="J75" s="60">
        <v>0.81</v>
      </c>
      <c r="K75" s="58">
        <v>-23.8</v>
      </c>
      <c r="L75" s="58">
        <v>8.7999999999999995E-2</v>
      </c>
      <c r="M75" s="58">
        <v>5.8</v>
      </c>
      <c r="N75">
        <f t="shared" si="2"/>
        <v>1.1800978735500001</v>
      </c>
      <c r="O75">
        <f t="shared" si="3"/>
        <v>0.12820816403999999</v>
      </c>
    </row>
    <row r="76" spans="1:15" x14ac:dyDescent="0.2">
      <c r="A76" s="58">
        <v>20329</v>
      </c>
      <c r="B76" s="58" t="s">
        <v>49</v>
      </c>
      <c r="C76" t="s">
        <v>1066</v>
      </c>
      <c r="D76" s="58">
        <v>19</v>
      </c>
      <c r="E76" s="58" t="s">
        <v>1061</v>
      </c>
      <c r="F76" s="58" t="s">
        <v>1073</v>
      </c>
      <c r="G76" s="58">
        <v>50</v>
      </c>
      <c r="H76" s="2">
        <v>1.415530559</v>
      </c>
      <c r="I76" s="59">
        <v>10.464</v>
      </c>
      <c r="J76" s="60">
        <v>0.34</v>
      </c>
      <c r="K76" s="58">
        <v>-23.7</v>
      </c>
      <c r="L76" s="58">
        <v>5.8000000000000003E-2</v>
      </c>
      <c r="M76" s="58">
        <v>5.5</v>
      </c>
      <c r="N76">
        <f t="shared" si="2"/>
        <v>0.48128039006000001</v>
      </c>
      <c r="O76">
        <f t="shared" si="3"/>
        <v>8.2100772422000007E-2</v>
      </c>
    </row>
    <row r="77" spans="1:15" x14ac:dyDescent="0.2">
      <c r="A77" s="58">
        <v>20329</v>
      </c>
      <c r="B77" s="58" t="s">
        <v>49</v>
      </c>
      <c r="C77" t="s">
        <v>1066</v>
      </c>
      <c r="D77" s="58">
        <v>19</v>
      </c>
      <c r="E77" s="58" t="s">
        <v>1061</v>
      </c>
      <c r="F77" s="58" t="s">
        <v>1074</v>
      </c>
      <c r="G77" s="58">
        <v>60</v>
      </c>
      <c r="H77" s="2">
        <v>1.565473012</v>
      </c>
      <c r="I77" s="59">
        <v>12.013</v>
      </c>
      <c r="J77" s="60">
        <v>0.21</v>
      </c>
      <c r="K77" s="58">
        <v>-24.3</v>
      </c>
      <c r="L77" s="58">
        <v>4.7E-2</v>
      </c>
      <c r="M77" s="58">
        <v>4.3</v>
      </c>
      <c r="N77">
        <f t="shared" si="2"/>
        <v>0.32874933251999994</v>
      </c>
      <c r="O77">
        <f t="shared" si="3"/>
        <v>7.3577231564000006E-2</v>
      </c>
    </row>
    <row r="78" spans="1:15" x14ac:dyDescent="0.2">
      <c r="A78" s="58">
        <v>20329</v>
      </c>
      <c r="B78" s="58" t="s">
        <v>49</v>
      </c>
      <c r="C78" t="s">
        <v>1066</v>
      </c>
      <c r="D78" s="58">
        <v>19</v>
      </c>
      <c r="E78" s="58" t="s">
        <v>1061</v>
      </c>
      <c r="F78" s="58" t="s">
        <v>1075</v>
      </c>
      <c r="G78" s="58">
        <v>70</v>
      </c>
      <c r="H78" s="2">
        <v>1.711125539</v>
      </c>
      <c r="I78" s="59">
        <v>9.6020000000000003</v>
      </c>
      <c r="J78" s="60">
        <v>0.15</v>
      </c>
      <c r="K78" s="58">
        <v>-24.3</v>
      </c>
      <c r="L78" s="58">
        <v>4.2999999999999997E-2</v>
      </c>
      <c r="M78" s="58">
        <v>3.9</v>
      </c>
      <c r="N78">
        <f t="shared" si="2"/>
        <v>0.25666883084999997</v>
      </c>
      <c r="O78">
        <f t="shared" si="3"/>
        <v>7.3578398177000001E-2</v>
      </c>
    </row>
    <row r="79" spans="1:15" x14ac:dyDescent="0.2">
      <c r="A79" s="58">
        <v>20329</v>
      </c>
      <c r="B79" s="58" t="s">
        <v>49</v>
      </c>
      <c r="C79" t="s">
        <v>1066</v>
      </c>
      <c r="D79" s="58">
        <v>19</v>
      </c>
      <c r="E79" s="58" t="s">
        <v>1061</v>
      </c>
      <c r="F79" s="58" t="s">
        <v>1076</v>
      </c>
      <c r="G79" s="58">
        <v>80</v>
      </c>
      <c r="H79" s="2">
        <v>0.94513876600000002</v>
      </c>
      <c r="I79" s="59">
        <v>16.954000000000001</v>
      </c>
      <c r="J79" s="60">
        <v>0.14000000000000001</v>
      </c>
      <c r="K79" s="58">
        <v>-25.1</v>
      </c>
      <c r="L79" s="58">
        <v>4.0500000000000001E-2</v>
      </c>
      <c r="M79" s="58">
        <v>2.6</v>
      </c>
      <c r="N79">
        <f t="shared" si="2"/>
        <v>0.13231942724000004</v>
      </c>
      <c r="O79">
        <f t="shared" si="3"/>
        <v>3.8278120023000003E-2</v>
      </c>
    </row>
    <row r="80" spans="1:15" x14ac:dyDescent="0.2">
      <c r="A80" s="58">
        <v>20329</v>
      </c>
      <c r="B80" s="58" t="s">
        <v>49</v>
      </c>
      <c r="C80" t="s">
        <v>1066</v>
      </c>
      <c r="D80" s="58">
        <v>19</v>
      </c>
      <c r="E80" s="58" t="s">
        <v>1061</v>
      </c>
      <c r="F80" s="58" t="s">
        <v>1077</v>
      </c>
      <c r="G80" s="58">
        <v>90</v>
      </c>
      <c r="H80" s="2">
        <v>0.84700460300000002</v>
      </c>
      <c r="I80" s="59">
        <v>45.161000000000001</v>
      </c>
      <c r="J80" s="60">
        <v>0.16</v>
      </c>
      <c r="K80" s="58">
        <v>-26</v>
      </c>
      <c r="L80" s="58">
        <v>4.3999999999999997E-2</v>
      </c>
      <c r="M80" s="58">
        <v>3.3</v>
      </c>
      <c r="N80">
        <f t="shared" si="2"/>
        <v>0.13552073648000001</v>
      </c>
      <c r="O80">
        <f t="shared" si="3"/>
        <v>3.7268202532E-2</v>
      </c>
    </row>
    <row r="81" spans="1:15" x14ac:dyDescent="0.2">
      <c r="A81" s="58">
        <v>20329</v>
      </c>
      <c r="B81" s="58" t="s">
        <v>49</v>
      </c>
      <c r="C81" t="s">
        <v>1066</v>
      </c>
      <c r="D81" s="58">
        <v>19</v>
      </c>
      <c r="E81" s="58" t="s">
        <v>1061</v>
      </c>
      <c r="F81" s="58" t="s">
        <v>1078</v>
      </c>
      <c r="G81" s="58">
        <v>100</v>
      </c>
      <c r="H81" s="2">
        <v>1.2194596259999999</v>
      </c>
      <c r="I81" s="59">
        <v>30</v>
      </c>
      <c r="J81" s="60">
        <v>0.12</v>
      </c>
      <c r="K81" s="58">
        <v>-26.2</v>
      </c>
      <c r="L81" s="58">
        <v>3.6999999999999998E-2</v>
      </c>
      <c r="M81" s="58">
        <v>2.5</v>
      </c>
      <c r="N81">
        <f t="shared" si="2"/>
        <v>0.14633515511999998</v>
      </c>
      <c r="O81">
        <f t="shared" si="3"/>
        <v>4.5120006162000001E-2</v>
      </c>
    </row>
    <row r="82" spans="1:15" x14ac:dyDescent="0.2">
      <c r="A82" s="58">
        <v>20329</v>
      </c>
      <c r="B82" s="58" t="s">
        <v>49</v>
      </c>
      <c r="C82" t="s">
        <v>1066</v>
      </c>
      <c r="D82" s="58">
        <v>19</v>
      </c>
      <c r="E82" s="58" t="s">
        <v>1061</v>
      </c>
      <c r="F82" s="58" t="s">
        <v>1079</v>
      </c>
      <c r="G82" s="58">
        <v>110</v>
      </c>
      <c r="H82" s="2">
        <v>1.5469412330000001</v>
      </c>
      <c r="I82" s="59">
        <v>12.071</v>
      </c>
      <c r="J82" s="60">
        <v>0.11</v>
      </c>
      <c r="K82" s="58">
        <v>-26.5</v>
      </c>
      <c r="L82" s="58">
        <v>3.6999999999999998E-2</v>
      </c>
      <c r="M82" s="58">
        <v>2.5</v>
      </c>
      <c r="N82">
        <f t="shared" si="2"/>
        <v>0.17016353563000003</v>
      </c>
      <c r="O82">
        <f t="shared" si="3"/>
        <v>5.7236825621E-2</v>
      </c>
    </row>
    <row r="83" spans="1:15" x14ac:dyDescent="0.2">
      <c r="A83" s="58">
        <v>20327</v>
      </c>
      <c r="B83" s="58" t="s">
        <v>49</v>
      </c>
      <c r="C83" t="s">
        <v>1066</v>
      </c>
      <c r="D83" s="58">
        <v>18</v>
      </c>
      <c r="E83" s="58" t="s">
        <v>1063</v>
      </c>
      <c r="F83" s="58" t="s">
        <v>1069</v>
      </c>
      <c r="G83" s="58">
        <v>10</v>
      </c>
      <c r="H83" s="2">
        <v>1.2822370329999999</v>
      </c>
      <c r="I83" s="59">
        <v>5.0890000000000004</v>
      </c>
      <c r="J83" s="60">
        <v>1.1499999999999999</v>
      </c>
      <c r="K83" s="58">
        <v>-22.9</v>
      </c>
      <c r="L83" s="58">
        <v>0.13</v>
      </c>
      <c r="M83" s="58">
        <v>4.5</v>
      </c>
      <c r="N83">
        <f t="shared" si="2"/>
        <v>1.47457258795</v>
      </c>
      <c r="O83">
        <f t="shared" si="3"/>
        <v>0.16669081428999999</v>
      </c>
    </row>
    <row r="84" spans="1:15" x14ac:dyDescent="0.2">
      <c r="A84" s="58">
        <v>20327</v>
      </c>
      <c r="B84" s="58" t="s">
        <v>49</v>
      </c>
      <c r="C84" t="s">
        <v>1066</v>
      </c>
      <c r="D84" s="58">
        <v>18</v>
      </c>
      <c r="E84" s="58" t="s">
        <v>1063</v>
      </c>
      <c r="F84" s="58" t="s">
        <v>1070</v>
      </c>
      <c r="G84" s="58">
        <v>20</v>
      </c>
      <c r="H84" s="2">
        <v>1.3633497800000001</v>
      </c>
      <c r="I84" s="59">
        <v>5.5819999999999999</v>
      </c>
      <c r="J84" s="60">
        <v>0.72</v>
      </c>
      <c r="K84" s="58">
        <v>-22.3</v>
      </c>
      <c r="L84" s="58">
        <v>8.5999999999999993E-2</v>
      </c>
      <c r="M84" s="58">
        <v>5</v>
      </c>
      <c r="N84">
        <f t="shared" si="2"/>
        <v>0.98161184160000003</v>
      </c>
      <c r="O84">
        <f t="shared" si="3"/>
        <v>0.11724808108000002</v>
      </c>
    </row>
    <row r="85" spans="1:15" x14ac:dyDescent="0.2">
      <c r="A85" s="58">
        <v>20327</v>
      </c>
      <c r="B85" s="58" t="s">
        <v>49</v>
      </c>
      <c r="C85" t="s">
        <v>1066</v>
      </c>
      <c r="D85" s="58">
        <v>18</v>
      </c>
      <c r="E85" s="58" t="s">
        <v>1063</v>
      </c>
      <c r="F85" s="58" t="s">
        <v>1071</v>
      </c>
      <c r="G85" s="58">
        <v>30</v>
      </c>
      <c r="H85" s="2">
        <v>1.4879722909999999</v>
      </c>
      <c r="I85" s="59">
        <v>6.258</v>
      </c>
      <c r="J85" s="60">
        <v>0.56999999999999995</v>
      </c>
      <c r="K85" s="58">
        <v>-23</v>
      </c>
      <c r="L85" s="58">
        <v>7.0999999999999994E-2</v>
      </c>
      <c r="M85" s="58">
        <v>5.4</v>
      </c>
      <c r="N85">
        <f t="shared" si="2"/>
        <v>0.84814420586999995</v>
      </c>
      <c r="O85">
        <f t="shared" si="3"/>
        <v>0.10564603266099999</v>
      </c>
    </row>
    <row r="86" spans="1:15" x14ac:dyDescent="0.2">
      <c r="A86" s="58">
        <v>20327</v>
      </c>
      <c r="B86" s="58" t="s">
        <v>49</v>
      </c>
      <c r="C86" t="s">
        <v>1066</v>
      </c>
      <c r="D86" s="58">
        <v>18</v>
      </c>
      <c r="E86" s="58" t="s">
        <v>1063</v>
      </c>
      <c r="F86" s="58" t="s">
        <v>1072</v>
      </c>
      <c r="G86" s="58">
        <v>40</v>
      </c>
      <c r="H86" s="2">
        <v>1.5416180559999999</v>
      </c>
      <c r="I86" s="59">
        <v>10.199</v>
      </c>
      <c r="J86" s="60">
        <v>0.34</v>
      </c>
      <c r="K86" s="58">
        <v>-22.6</v>
      </c>
      <c r="L86" s="58">
        <v>5.8000000000000003E-2</v>
      </c>
      <c r="M86" s="58">
        <v>4.8</v>
      </c>
      <c r="N86">
        <f t="shared" si="2"/>
        <v>0.52415013903999996</v>
      </c>
      <c r="O86">
        <f t="shared" si="3"/>
        <v>8.9413847248E-2</v>
      </c>
    </row>
    <row r="87" spans="1:15" x14ac:dyDescent="0.2">
      <c r="A87" s="58">
        <v>20327</v>
      </c>
      <c r="B87" s="58" t="s">
        <v>49</v>
      </c>
      <c r="C87" t="s">
        <v>1066</v>
      </c>
      <c r="D87" s="58">
        <v>18</v>
      </c>
      <c r="E87" s="58" t="s">
        <v>1063</v>
      </c>
      <c r="F87" s="58" t="s">
        <v>1073</v>
      </c>
      <c r="G87" s="58">
        <v>50</v>
      </c>
      <c r="H87" s="2">
        <v>1.490528173</v>
      </c>
      <c r="I87" s="59">
        <v>7.0149999999999997</v>
      </c>
      <c r="J87" s="60">
        <v>0.18</v>
      </c>
      <c r="K87" s="58">
        <v>-23.2</v>
      </c>
      <c r="L87" s="58">
        <v>4.7E-2</v>
      </c>
      <c r="M87" s="58">
        <v>4.3</v>
      </c>
      <c r="N87">
        <f t="shared" si="2"/>
        <v>0.26829507114000001</v>
      </c>
      <c r="O87">
        <f t="shared" si="3"/>
        <v>7.005482413099999E-2</v>
      </c>
    </row>
    <row r="88" spans="1:15" x14ac:dyDescent="0.2">
      <c r="A88" s="58">
        <v>20327</v>
      </c>
      <c r="B88" s="58" t="s">
        <v>49</v>
      </c>
      <c r="C88" t="s">
        <v>1066</v>
      </c>
      <c r="D88" s="58">
        <v>18</v>
      </c>
      <c r="E88" s="58" t="s">
        <v>1063</v>
      </c>
      <c r="F88" s="58" t="s">
        <v>1074</v>
      </c>
      <c r="G88" s="58">
        <v>60</v>
      </c>
      <c r="H88" s="2">
        <v>1.3111505189999999</v>
      </c>
      <c r="I88" s="59">
        <v>12.025</v>
      </c>
      <c r="J88" s="60">
        <v>0.11</v>
      </c>
      <c r="K88" s="58">
        <v>-24</v>
      </c>
      <c r="L88" s="58">
        <v>3.7499999999999999E-2</v>
      </c>
      <c r="M88" s="58">
        <v>3.25</v>
      </c>
      <c r="N88">
        <f t="shared" si="2"/>
        <v>0.14422655708999998</v>
      </c>
      <c r="O88">
        <f t="shared" si="3"/>
        <v>4.9168144462500007E-2</v>
      </c>
    </row>
    <row r="89" spans="1:15" x14ac:dyDescent="0.2">
      <c r="A89" s="58">
        <v>20327</v>
      </c>
      <c r="B89" s="58" t="s">
        <v>49</v>
      </c>
      <c r="C89" t="s">
        <v>1066</v>
      </c>
      <c r="D89" s="58">
        <v>18</v>
      </c>
      <c r="E89" s="58" t="s">
        <v>1063</v>
      </c>
      <c r="F89" s="58" t="s">
        <v>1075</v>
      </c>
      <c r="G89" s="58">
        <v>70</v>
      </c>
      <c r="H89" s="2">
        <v>1.6079186190000001</v>
      </c>
      <c r="I89" s="59">
        <v>1.1890000000000001</v>
      </c>
      <c r="J89" s="60">
        <v>0.11</v>
      </c>
      <c r="K89" s="58">
        <v>-25.4</v>
      </c>
      <c r="L89" s="58">
        <v>3.5999999999999997E-2</v>
      </c>
      <c r="M89" s="58">
        <v>2.9</v>
      </c>
      <c r="N89">
        <f t="shared" si="2"/>
        <v>0.17687104809000004</v>
      </c>
      <c r="O89">
        <f t="shared" si="3"/>
        <v>5.7885070284000001E-2</v>
      </c>
    </row>
    <row r="90" spans="1:15" x14ac:dyDescent="0.2">
      <c r="A90" s="58">
        <v>20327</v>
      </c>
      <c r="B90" s="58" t="s">
        <v>49</v>
      </c>
      <c r="C90" t="s">
        <v>1066</v>
      </c>
      <c r="D90" s="58">
        <v>18</v>
      </c>
      <c r="E90" s="58" t="s">
        <v>1063</v>
      </c>
      <c r="F90" s="58" t="s">
        <v>1076</v>
      </c>
      <c r="G90" s="58">
        <v>80</v>
      </c>
      <c r="H90" s="2">
        <v>1.6629350089999999</v>
      </c>
      <c r="I90" s="59">
        <v>3.907</v>
      </c>
      <c r="J90" s="60">
        <v>0.09</v>
      </c>
      <c r="K90" s="58">
        <v>-25.6</v>
      </c>
      <c r="L90" s="58">
        <v>3.4000000000000002E-2</v>
      </c>
      <c r="M90" s="58">
        <v>2.6</v>
      </c>
      <c r="N90">
        <f t="shared" si="2"/>
        <v>0.14966415081000001</v>
      </c>
      <c r="O90">
        <f t="shared" si="3"/>
        <v>5.6539790305999996E-2</v>
      </c>
    </row>
    <row r="91" spans="1:15" x14ac:dyDescent="0.2">
      <c r="A91" s="58">
        <v>20327</v>
      </c>
      <c r="B91" s="58" t="s">
        <v>49</v>
      </c>
      <c r="C91" t="s">
        <v>1066</v>
      </c>
      <c r="D91" s="58">
        <v>18</v>
      </c>
      <c r="E91" s="58" t="s">
        <v>1063</v>
      </c>
      <c r="F91" s="58" t="s">
        <v>1077</v>
      </c>
      <c r="G91" s="58">
        <v>90</v>
      </c>
      <c r="H91" s="2">
        <v>1.9256964409999999</v>
      </c>
      <c r="I91" s="59">
        <v>2.8149999999999999</v>
      </c>
      <c r="J91" s="60">
        <v>0.08</v>
      </c>
      <c r="K91" s="58">
        <v>-26.8</v>
      </c>
      <c r="L91" s="58">
        <v>3.1E-2</v>
      </c>
      <c r="M91" s="58">
        <v>3.2</v>
      </c>
      <c r="N91">
        <f t="shared" si="2"/>
        <v>0.15405571528000001</v>
      </c>
      <c r="O91">
        <f t="shared" si="3"/>
        <v>5.9696589671E-2</v>
      </c>
    </row>
    <row r="92" spans="1:15" x14ac:dyDescent="0.2">
      <c r="A92" s="58">
        <v>20327</v>
      </c>
      <c r="B92" s="58" t="s">
        <v>49</v>
      </c>
      <c r="C92" t="s">
        <v>1066</v>
      </c>
      <c r="D92" s="58">
        <v>18</v>
      </c>
      <c r="E92" s="58" t="s">
        <v>1063</v>
      </c>
      <c r="F92" s="58" t="s">
        <v>1078</v>
      </c>
      <c r="G92" s="58">
        <v>100</v>
      </c>
      <c r="H92" s="2">
        <v>1.56702344</v>
      </c>
      <c r="I92" s="59">
        <v>0</v>
      </c>
      <c r="J92" s="60">
        <v>7.0000000000000007E-2</v>
      </c>
      <c r="K92" s="58">
        <v>-25.6</v>
      </c>
      <c r="L92" s="58">
        <v>2.7E-2</v>
      </c>
      <c r="M92" s="58">
        <v>3.3</v>
      </c>
      <c r="N92">
        <f t="shared" si="2"/>
        <v>0.10969164080000003</v>
      </c>
      <c r="O92">
        <f t="shared" si="3"/>
        <v>4.2309632880000003E-2</v>
      </c>
    </row>
    <row r="93" spans="1:15" x14ac:dyDescent="0.2">
      <c r="A93" s="58">
        <v>20327</v>
      </c>
      <c r="B93" s="58" t="s">
        <v>49</v>
      </c>
      <c r="C93" t="s">
        <v>1066</v>
      </c>
      <c r="D93" s="58">
        <v>19</v>
      </c>
      <c r="E93" s="58" t="s">
        <v>1063</v>
      </c>
      <c r="F93" s="58" t="s">
        <v>1069</v>
      </c>
      <c r="G93" s="58">
        <v>10</v>
      </c>
      <c r="H93" s="2">
        <v>0.63480450099999997</v>
      </c>
      <c r="I93" s="59">
        <v>4.9109999999999996</v>
      </c>
      <c r="J93" s="60">
        <v>1.74</v>
      </c>
      <c r="K93" s="58">
        <v>-22</v>
      </c>
      <c r="L93" s="58">
        <v>0.17</v>
      </c>
      <c r="M93" s="58">
        <v>3.1</v>
      </c>
      <c r="N93">
        <f t="shared" si="2"/>
        <v>1.1045598317400001</v>
      </c>
      <c r="O93">
        <f t="shared" si="3"/>
        <v>0.10791676517</v>
      </c>
    </row>
    <row r="94" spans="1:15" x14ac:dyDescent="0.2">
      <c r="A94" s="58">
        <v>20327</v>
      </c>
      <c r="B94" s="58" t="s">
        <v>49</v>
      </c>
      <c r="C94" t="s">
        <v>1066</v>
      </c>
      <c r="D94" s="58">
        <v>19</v>
      </c>
      <c r="E94" s="58" t="s">
        <v>1063</v>
      </c>
      <c r="F94" s="58" t="s">
        <v>1070</v>
      </c>
      <c r="G94" s="58">
        <v>20</v>
      </c>
      <c r="H94" s="2">
        <v>1.2275213599999999</v>
      </c>
      <c r="I94" s="59">
        <v>8.4589999999999996</v>
      </c>
      <c r="J94" s="60">
        <v>0.98</v>
      </c>
      <c r="K94" s="58">
        <v>-23</v>
      </c>
      <c r="L94" s="58">
        <v>0.11</v>
      </c>
      <c r="M94" s="58">
        <v>3.7</v>
      </c>
      <c r="N94">
        <f t="shared" si="2"/>
        <v>1.2029709327999998</v>
      </c>
      <c r="O94">
        <f t="shared" si="3"/>
        <v>0.13502734959999999</v>
      </c>
    </row>
    <row r="95" spans="1:15" x14ac:dyDescent="0.2">
      <c r="A95" s="58">
        <v>20327</v>
      </c>
      <c r="B95" s="58" t="s">
        <v>49</v>
      </c>
      <c r="C95" t="s">
        <v>1066</v>
      </c>
      <c r="D95" s="58">
        <v>19</v>
      </c>
      <c r="E95" s="58" t="s">
        <v>1063</v>
      </c>
      <c r="F95" s="58" t="s">
        <v>1071</v>
      </c>
      <c r="G95" s="58">
        <v>30</v>
      </c>
      <c r="H95" s="2">
        <v>1.5336949849999999</v>
      </c>
      <c r="I95" s="59">
        <v>11.239000000000001</v>
      </c>
      <c r="J95" s="60">
        <v>0.57999999999999996</v>
      </c>
      <c r="K95" s="58">
        <v>-23.5</v>
      </c>
      <c r="L95" s="58">
        <v>7.1999999999999995E-2</v>
      </c>
      <c r="M95" s="58">
        <v>4.5</v>
      </c>
      <c r="N95">
        <f t="shared" si="2"/>
        <v>0.88954309130000009</v>
      </c>
      <c r="O95">
        <f t="shared" si="3"/>
        <v>0.11042603891999998</v>
      </c>
    </row>
    <row r="96" spans="1:15" x14ac:dyDescent="0.2">
      <c r="A96" s="58">
        <v>20327</v>
      </c>
      <c r="B96" s="58" t="s">
        <v>49</v>
      </c>
      <c r="C96" t="s">
        <v>1066</v>
      </c>
      <c r="D96" s="58">
        <v>19</v>
      </c>
      <c r="E96" s="58" t="s">
        <v>1063</v>
      </c>
      <c r="F96" s="58" t="s">
        <v>1072</v>
      </c>
      <c r="G96" s="58">
        <v>40</v>
      </c>
      <c r="H96" s="2">
        <v>1.281376998</v>
      </c>
      <c r="I96" s="59">
        <v>23.978000000000002</v>
      </c>
      <c r="J96" s="60">
        <v>0.6</v>
      </c>
      <c r="K96" s="58">
        <v>-24.75</v>
      </c>
      <c r="L96" s="58">
        <v>7.5499999999999998E-2</v>
      </c>
      <c r="M96" s="58">
        <v>4.6500000000000004</v>
      </c>
      <c r="N96">
        <f t="shared" si="2"/>
        <v>0.76882619880000014</v>
      </c>
      <c r="O96">
        <f t="shared" si="3"/>
        <v>9.6743963349000012E-2</v>
      </c>
    </row>
    <row r="97" spans="1:15" x14ac:dyDescent="0.2">
      <c r="A97" s="58">
        <v>20327</v>
      </c>
      <c r="B97" s="58" t="s">
        <v>49</v>
      </c>
      <c r="C97" t="s">
        <v>1066</v>
      </c>
      <c r="D97" s="58">
        <v>19</v>
      </c>
      <c r="E97" s="58" t="s">
        <v>1063</v>
      </c>
      <c r="F97" s="58" t="s">
        <v>1073</v>
      </c>
      <c r="G97" s="58">
        <v>50</v>
      </c>
      <c r="H97" s="2">
        <v>1.147600446</v>
      </c>
      <c r="I97" s="59">
        <v>33.762999999999998</v>
      </c>
      <c r="J97" s="60">
        <v>0.26</v>
      </c>
      <c r="K97" s="58">
        <v>-25.3</v>
      </c>
      <c r="L97" s="58">
        <v>4.8000000000000001E-2</v>
      </c>
      <c r="M97" s="58">
        <v>3.9</v>
      </c>
      <c r="N97">
        <f t="shared" si="2"/>
        <v>0.29837611596000002</v>
      </c>
      <c r="O97">
        <f t="shared" si="3"/>
        <v>5.5084821408000001E-2</v>
      </c>
    </row>
    <row r="98" spans="1:15" x14ac:dyDescent="0.2">
      <c r="A98" s="58">
        <v>20327</v>
      </c>
      <c r="B98" s="58" t="s">
        <v>49</v>
      </c>
      <c r="C98" t="s">
        <v>1066</v>
      </c>
      <c r="D98" s="58">
        <v>19</v>
      </c>
      <c r="E98" s="58" t="s">
        <v>1063</v>
      </c>
      <c r="F98" s="58" t="s">
        <v>1074</v>
      </c>
      <c r="G98" s="58">
        <v>60</v>
      </c>
      <c r="H98" s="2">
        <v>1.341326494</v>
      </c>
      <c r="I98" s="59">
        <v>29.745999999999999</v>
      </c>
      <c r="J98" s="60">
        <v>0.16</v>
      </c>
      <c r="K98" s="58">
        <v>-25.6</v>
      </c>
      <c r="L98" s="58">
        <v>4.1000000000000002E-2</v>
      </c>
      <c r="M98" s="58">
        <v>3.2</v>
      </c>
      <c r="N98">
        <f t="shared" si="2"/>
        <v>0.21461223904000001</v>
      </c>
      <c r="O98">
        <f t="shared" si="3"/>
        <v>5.4994386254000008E-2</v>
      </c>
    </row>
    <row r="99" spans="1:15" x14ac:dyDescent="0.2">
      <c r="A99" s="58">
        <v>20327</v>
      </c>
      <c r="B99" s="58" t="s">
        <v>49</v>
      </c>
      <c r="C99" t="s">
        <v>1066</v>
      </c>
      <c r="D99" s="58">
        <v>19</v>
      </c>
      <c r="E99" s="58" t="s">
        <v>1063</v>
      </c>
      <c r="F99" s="58" t="s">
        <v>1075</v>
      </c>
      <c r="G99" s="58">
        <v>70</v>
      </c>
      <c r="H99" s="2">
        <v>1.9486391320000001</v>
      </c>
      <c r="I99" s="59">
        <v>8.5329999999999995</v>
      </c>
      <c r="J99" s="60">
        <v>0.12</v>
      </c>
      <c r="K99" s="58">
        <v>-25.6</v>
      </c>
      <c r="L99" s="58">
        <v>3.4000000000000002E-2</v>
      </c>
      <c r="M99" s="58">
        <v>3.8</v>
      </c>
      <c r="N99">
        <f t="shared" si="2"/>
        <v>0.23383669583999997</v>
      </c>
      <c r="O99">
        <f t="shared" si="3"/>
        <v>6.6253730488000012E-2</v>
      </c>
    </row>
    <row r="100" spans="1:15" x14ac:dyDescent="0.2">
      <c r="A100" s="58">
        <v>20327</v>
      </c>
      <c r="B100" s="58" t="s">
        <v>49</v>
      </c>
      <c r="C100" t="s">
        <v>1066</v>
      </c>
      <c r="D100" s="58">
        <v>19</v>
      </c>
      <c r="E100" s="58" t="s">
        <v>1063</v>
      </c>
      <c r="F100" s="58" t="s">
        <v>1076</v>
      </c>
      <c r="G100" s="58">
        <v>80</v>
      </c>
      <c r="H100" s="2">
        <v>1.7631730189999999</v>
      </c>
      <c r="I100" s="59">
        <v>2.726</v>
      </c>
      <c r="J100" s="60">
        <v>7.0000000000000007E-2</v>
      </c>
      <c r="K100" s="58">
        <v>-25.3</v>
      </c>
      <c r="L100" s="58">
        <v>3.1E-2</v>
      </c>
      <c r="M100" s="58">
        <v>2.1</v>
      </c>
      <c r="N100">
        <f t="shared" si="2"/>
        <v>0.12342211133000003</v>
      </c>
      <c r="O100">
        <f t="shared" si="3"/>
        <v>5.4658363588999996E-2</v>
      </c>
    </row>
    <row r="101" spans="1:15" x14ac:dyDescent="0.2">
      <c r="A101" s="58">
        <v>20329</v>
      </c>
      <c r="B101" s="58" t="s">
        <v>49</v>
      </c>
      <c r="C101" t="s">
        <v>1066</v>
      </c>
      <c r="D101" s="58">
        <v>18</v>
      </c>
      <c r="E101" s="58" t="s">
        <v>1062</v>
      </c>
      <c r="F101" s="58" t="s">
        <v>1069</v>
      </c>
      <c r="G101" s="58">
        <v>10</v>
      </c>
      <c r="H101" s="2">
        <v>1.316345691</v>
      </c>
      <c r="I101" s="59">
        <v>3.464</v>
      </c>
      <c r="J101" s="60">
        <v>1.07</v>
      </c>
      <c r="K101" s="58">
        <v>-22.7</v>
      </c>
      <c r="L101" s="58">
        <v>0.11</v>
      </c>
      <c r="M101" s="58">
        <v>4.2</v>
      </c>
      <c r="N101">
        <f t="shared" si="2"/>
        <v>1.4084898893700002</v>
      </c>
      <c r="O101">
        <f t="shared" si="3"/>
        <v>0.14479802601</v>
      </c>
    </row>
    <row r="102" spans="1:15" x14ac:dyDescent="0.2">
      <c r="A102" s="58">
        <v>20329</v>
      </c>
      <c r="B102" s="58" t="s">
        <v>49</v>
      </c>
      <c r="C102" t="s">
        <v>1066</v>
      </c>
      <c r="D102" s="58">
        <v>18</v>
      </c>
      <c r="E102" s="58" t="s">
        <v>1062</v>
      </c>
      <c r="F102" s="58" t="s">
        <v>1070</v>
      </c>
      <c r="G102" s="58">
        <v>20</v>
      </c>
      <c r="H102" s="2">
        <v>1.4827259820000001</v>
      </c>
      <c r="I102" s="59">
        <v>5.819</v>
      </c>
      <c r="J102" s="60">
        <v>0.73</v>
      </c>
      <c r="K102" s="58">
        <v>-22.3</v>
      </c>
      <c r="L102" s="58">
        <v>8.4000000000000005E-2</v>
      </c>
      <c r="M102" s="58">
        <v>4.8</v>
      </c>
      <c r="N102">
        <f t="shared" si="2"/>
        <v>1.0823899668599999</v>
      </c>
      <c r="O102">
        <f t="shared" si="3"/>
        <v>0.124548982488</v>
      </c>
    </row>
    <row r="103" spans="1:15" x14ac:dyDescent="0.2">
      <c r="A103" s="58">
        <v>20329</v>
      </c>
      <c r="B103" s="58" t="s">
        <v>49</v>
      </c>
      <c r="C103" t="s">
        <v>1066</v>
      </c>
      <c r="D103" s="58">
        <v>18</v>
      </c>
      <c r="E103" s="58" t="s">
        <v>1062</v>
      </c>
      <c r="F103" s="58" t="s">
        <v>1071</v>
      </c>
      <c r="G103" s="58">
        <v>30</v>
      </c>
      <c r="H103" s="2">
        <v>1.4509570430000001</v>
      </c>
      <c r="I103" s="59">
        <v>3.3780000000000001</v>
      </c>
      <c r="J103" s="60">
        <v>0.59</v>
      </c>
      <c r="K103" s="58">
        <v>-23.2</v>
      </c>
      <c r="L103" s="58">
        <v>7.1999999999999995E-2</v>
      </c>
      <c r="M103" s="58">
        <v>5.0999999999999996</v>
      </c>
      <c r="N103">
        <f t="shared" si="2"/>
        <v>0.85606465536999998</v>
      </c>
      <c r="O103">
        <f t="shared" si="3"/>
        <v>0.10446890709599999</v>
      </c>
    </row>
    <row r="104" spans="1:15" x14ac:dyDescent="0.2">
      <c r="A104" s="58">
        <v>20329</v>
      </c>
      <c r="B104" s="58" t="s">
        <v>49</v>
      </c>
      <c r="C104" t="s">
        <v>1066</v>
      </c>
      <c r="D104" s="58">
        <v>18</v>
      </c>
      <c r="E104" s="58" t="s">
        <v>1062</v>
      </c>
      <c r="F104" s="58" t="s">
        <v>1072</v>
      </c>
      <c r="G104" s="58">
        <v>40</v>
      </c>
      <c r="H104" s="2">
        <v>1.4408688549999999</v>
      </c>
      <c r="I104" s="59">
        <v>4.508</v>
      </c>
      <c r="J104" s="60">
        <v>0.4</v>
      </c>
      <c r="K104" s="58">
        <v>-22.35</v>
      </c>
      <c r="L104" s="58">
        <v>5.9499999999999997E-2</v>
      </c>
      <c r="M104" s="58">
        <v>5.05</v>
      </c>
      <c r="N104">
        <f t="shared" si="2"/>
        <v>0.57634754200000005</v>
      </c>
      <c r="O104">
        <f t="shared" si="3"/>
        <v>8.5731696872499985E-2</v>
      </c>
    </row>
    <row r="105" spans="1:15" x14ac:dyDescent="0.2">
      <c r="A105" s="58">
        <v>20329</v>
      </c>
      <c r="B105" s="58" t="s">
        <v>49</v>
      </c>
      <c r="C105" t="s">
        <v>1066</v>
      </c>
      <c r="D105" s="58">
        <v>18</v>
      </c>
      <c r="E105" s="58" t="s">
        <v>1062</v>
      </c>
      <c r="F105" s="58" t="s">
        <v>1073</v>
      </c>
      <c r="G105" s="58">
        <v>50</v>
      </c>
      <c r="H105" s="2">
        <v>1.6023365169999999</v>
      </c>
      <c r="I105" s="59">
        <v>0.35199999999999998</v>
      </c>
      <c r="J105" s="60">
        <v>0.19</v>
      </c>
      <c r="K105" s="58">
        <v>-23.5</v>
      </c>
      <c r="L105" s="58">
        <v>4.2999999999999997E-2</v>
      </c>
      <c r="M105" s="58">
        <v>3.9</v>
      </c>
      <c r="N105">
        <f t="shared" si="2"/>
        <v>0.30444393822999999</v>
      </c>
      <c r="O105">
        <f t="shared" si="3"/>
        <v>6.8900470231000002E-2</v>
      </c>
    </row>
    <row r="106" spans="1:15" x14ac:dyDescent="0.2">
      <c r="A106" s="58">
        <v>20329</v>
      </c>
      <c r="B106" s="58" t="s">
        <v>49</v>
      </c>
      <c r="C106" t="s">
        <v>1066</v>
      </c>
      <c r="D106" s="58">
        <v>18</v>
      </c>
      <c r="E106" s="58" t="s">
        <v>1062</v>
      </c>
      <c r="F106" s="58" t="s">
        <v>1074</v>
      </c>
      <c r="G106" s="58">
        <v>60</v>
      </c>
      <c r="H106" s="2">
        <v>1.291599376</v>
      </c>
      <c r="I106" s="59">
        <v>3.1869999999999998</v>
      </c>
      <c r="J106" s="60">
        <v>0.16</v>
      </c>
      <c r="K106" s="58">
        <v>-24.7</v>
      </c>
      <c r="L106" s="58">
        <v>0.04</v>
      </c>
      <c r="M106" s="58">
        <v>3.1</v>
      </c>
      <c r="N106">
        <f t="shared" si="2"/>
        <v>0.20665590016000002</v>
      </c>
      <c r="O106">
        <f t="shared" si="3"/>
        <v>5.1663975040000004E-2</v>
      </c>
    </row>
    <row r="107" spans="1:15" x14ac:dyDescent="0.2">
      <c r="A107" s="58">
        <v>20329</v>
      </c>
      <c r="B107" s="58" t="s">
        <v>49</v>
      </c>
      <c r="C107" t="s">
        <v>1066</v>
      </c>
      <c r="D107" s="58">
        <v>18</v>
      </c>
      <c r="E107" s="58" t="s">
        <v>1062</v>
      </c>
      <c r="F107" s="58" t="s">
        <v>1075</v>
      </c>
      <c r="G107" s="58">
        <v>70</v>
      </c>
      <c r="H107" s="2">
        <v>1.4304485870000001</v>
      </c>
      <c r="I107" s="59">
        <v>0</v>
      </c>
      <c r="J107" s="60">
        <v>0.12</v>
      </c>
      <c r="K107" s="58">
        <v>-25.7</v>
      </c>
      <c r="L107" s="58">
        <v>3.5999999999999997E-2</v>
      </c>
      <c r="M107" s="58">
        <v>2.5</v>
      </c>
      <c r="N107">
        <f t="shared" si="2"/>
        <v>0.17165383043999999</v>
      </c>
      <c r="O107">
        <f t="shared" si="3"/>
        <v>5.1496149131999992E-2</v>
      </c>
    </row>
    <row r="108" spans="1:15" x14ac:dyDescent="0.2">
      <c r="A108" s="58">
        <v>20329</v>
      </c>
      <c r="B108" s="58" t="s">
        <v>49</v>
      </c>
      <c r="C108" t="s">
        <v>1066</v>
      </c>
      <c r="D108" s="58">
        <v>18</v>
      </c>
      <c r="E108" s="58" t="s">
        <v>1062</v>
      </c>
      <c r="F108" s="58" t="s">
        <v>1076</v>
      </c>
      <c r="G108" s="58">
        <v>80</v>
      </c>
      <c r="H108" s="2">
        <v>1.282175906</v>
      </c>
      <c r="I108" s="59">
        <v>8.4000000000000005E-2</v>
      </c>
      <c r="J108" s="60">
        <v>0.12</v>
      </c>
      <c r="K108" s="58">
        <v>-26.2</v>
      </c>
      <c r="L108" s="58">
        <v>3.5000000000000003E-2</v>
      </c>
      <c r="M108" s="58">
        <v>2.6</v>
      </c>
      <c r="N108">
        <f t="shared" si="2"/>
        <v>0.15386110872</v>
      </c>
      <c r="O108">
        <f t="shared" si="3"/>
        <v>4.4876156710000004E-2</v>
      </c>
    </row>
    <row r="109" spans="1:15" x14ac:dyDescent="0.2">
      <c r="A109" s="58">
        <v>20329</v>
      </c>
      <c r="B109" s="58" t="s">
        <v>49</v>
      </c>
      <c r="C109" t="s">
        <v>1066</v>
      </c>
      <c r="D109" s="58">
        <v>18</v>
      </c>
      <c r="E109" s="58" t="s">
        <v>1062</v>
      </c>
      <c r="F109" s="58" t="s">
        <v>1077</v>
      </c>
      <c r="G109" s="58">
        <v>90</v>
      </c>
      <c r="H109" s="2">
        <v>1.329023726</v>
      </c>
      <c r="I109" s="59">
        <v>1.3340000000000001</v>
      </c>
      <c r="J109" s="60">
        <v>0.1</v>
      </c>
      <c r="K109" s="58">
        <v>-25.9</v>
      </c>
      <c r="L109" s="58">
        <v>3.4000000000000002E-2</v>
      </c>
      <c r="M109" s="58">
        <v>1.9</v>
      </c>
      <c r="N109">
        <f t="shared" si="2"/>
        <v>0.13290237260000001</v>
      </c>
      <c r="O109">
        <f t="shared" si="3"/>
        <v>4.5186806684000005E-2</v>
      </c>
    </row>
    <row r="110" spans="1:15" x14ac:dyDescent="0.2">
      <c r="A110" s="58">
        <v>20329</v>
      </c>
      <c r="B110" s="58" t="s">
        <v>49</v>
      </c>
      <c r="C110" t="s">
        <v>1066</v>
      </c>
      <c r="D110" s="58">
        <v>18</v>
      </c>
      <c r="E110" s="58" t="s">
        <v>1062</v>
      </c>
      <c r="F110" s="58" t="s">
        <v>1078</v>
      </c>
      <c r="G110" s="58">
        <v>100</v>
      </c>
      <c r="H110" s="2">
        <v>1.216069775</v>
      </c>
      <c r="I110" s="59">
        <v>0.64200000000000002</v>
      </c>
      <c r="J110" s="60">
        <v>0.1</v>
      </c>
      <c r="K110" s="58">
        <v>-26.5</v>
      </c>
      <c r="L110" s="58">
        <v>3.2000000000000001E-2</v>
      </c>
      <c r="M110" s="58">
        <v>1.6</v>
      </c>
      <c r="N110">
        <f t="shared" si="2"/>
        <v>0.1216069775</v>
      </c>
      <c r="O110">
        <f t="shared" si="3"/>
        <v>3.8914232800000004E-2</v>
      </c>
    </row>
    <row r="111" spans="1:15" x14ac:dyDescent="0.2">
      <c r="A111" s="58">
        <v>20329</v>
      </c>
      <c r="B111" s="58" t="s">
        <v>49</v>
      </c>
      <c r="C111" t="s">
        <v>1066</v>
      </c>
      <c r="D111" s="58">
        <v>18</v>
      </c>
      <c r="E111" s="58" t="s">
        <v>1062</v>
      </c>
      <c r="F111" s="58" t="s">
        <v>1079</v>
      </c>
      <c r="G111" s="58">
        <v>110</v>
      </c>
      <c r="H111" s="2">
        <v>0.98680395399999998</v>
      </c>
      <c r="I111" s="59">
        <v>2.2759999999999998</v>
      </c>
      <c r="J111" s="60">
        <v>0.1</v>
      </c>
      <c r="K111" s="58">
        <v>-26.5</v>
      </c>
      <c r="L111" s="58">
        <v>2.9000000000000001E-2</v>
      </c>
      <c r="M111" s="58">
        <v>1.4</v>
      </c>
      <c r="N111">
        <f t="shared" si="2"/>
        <v>9.8680395400000009E-2</v>
      </c>
      <c r="O111">
        <f t="shared" si="3"/>
        <v>2.8617314666E-2</v>
      </c>
    </row>
    <row r="112" spans="1:15" x14ac:dyDescent="0.2">
      <c r="A112" s="58">
        <v>20329</v>
      </c>
      <c r="B112" s="58" t="s">
        <v>49</v>
      </c>
      <c r="C112" t="s">
        <v>1066</v>
      </c>
      <c r="D112" s="58">
        <v>19</v>
      </c>
      <c r="E112" s="58" t="s">
        <v>1062</v>
      </c>
      <c r="F112" s="58" t="s">
        <v>1069</v>
      </c>
      <c r="G112" s="58">
        <v>10</v>
      </c>
      <c r="H112" s="2">
        <v>1.6252470370000001</v>
      </c>
      <c r="I112" s="59">
        <v>3.72</v>
      </c>
      <c r="J112" s="60">
        <v>1.1299999999999999</v>
      </c>
      <c r="K112" s="58">
        <v>-22.2</v>
      </c>
      <c r="L112" s="58">
        <v>0.11</v>
      </c>
      <c r="M112" s="58">
        <v>4.0999999999999996</v>
      </c>
      <c r="N112">
        <f t="shared" si="2"/>
        <v>1.8365291518099998</v>
      </c>
      <c r="O112">
        <f t="shared" si="3"/>
        <v>0.17877717407000002</v>
      </c>
    </row>
    <row r="113" spans="1:15" x14ac:dyDescent="0.2">
      <c r="A113" s="58">
        <v>20329</v>
      </c>
      <c r="B113" s="58" t="s">
        <v>49</v>
      </c>
      <c r="C113" t="s">
        <v>1066</v>
      </c>
      <c r="D113" s="58">
        <v>19</v>
      </c>
      <c r="E113" s="58" t="s">
        <v>1062</v>
      </c>
      <c r="F113" s="58" t="s">
        <v>1070</v>
      </c>
      <c r="G113" s="58">
        <v>20</v>
      </c>
      <c r="H113" s="2">
        <v>1.5219593890000001</v>
      </c>
      <c r="I113" s="59">
        <v>2.8969999999999998</v>
      </c>
      <c r="J113" s="60">
        <v>0.73</v>
      </c>
      <c r="K113" s="58">
        <v>-23</v>
      </c>
      <c r="L113" s="58">
        <v>8.1000000000000003E-2</v>
      </c>
      <c r="M113" s="58">
        <v>5.0999999999999996</v>
      </c>
      <c r="N113">
        <f t="shared" si="2"/>
        <v>1.1110303539700002</v>
      </c>
      <c r="O113">
        <f t="shared" si="3"/>
        <v>0.12327871050900004</v>
      </c>
    </row>
    <row r="114" spans="1:15" x14ac:dyDescent="0.2">
      <c r="A114" s="58">
        <v>20329</v>
      </c>
      <c r="B114" s="58" t="s">
        <v>49</v>
      </c>
      <c r="C114" t="s">
        <v>1066</v>
      </c>
      <c r="D114" s="58">
        <v>19</v>
      </c>
      <c r="E114" s="58" t="s">
        <v>1062</v>
      </c>
      <c r="F114" s="58" t="s">
        <v>1071</v>
      </c>
      <c r="G114" s="58">
        <v>30</v>
      </c>
      <c r="H114" s="2">
        <v>1.5860481200000001</v>
      </c>
      <c r="I114" s="59">
        <v>3.51</v>
      </c>
      <c r="J114" s="60">
        <v>0.8</v>
      </c>
      <c r="K114" s="58">
        <v>-23.1</v>
      </c>
      <c r="L114" s="58">
        <v>8.4000000000000005E-2</v>
      </c>
      <c r="M114" s="58">
        <v>5.3</v>
      </c>
      <c r="N114">
        <f t="shared" si="2"/>
        <v>1.2688384960000001</v>
      </c>
      <c r="O114">
        <f t="shared" si="3"/>
        <v>0.13322804208000003</v>
      </c>
    </row>
    <row r="115" spans="1:15" x14ac:dyDescent="0.2">
      <c r="A115" s="58">
        <v>20329</v>
      </c>
      <c r="B115" s="58" t="s">
        <v>49</v>
      </c>
      <c r="C115" t="s">
        <v>1066</v>
      </c>
      <c r="D115" s="58">
        <v>19</v>
      </c>
      <c r="E115" s="58" t="s">
        <v>1062</v>
      </c>
      <c r="F115" s="58" t="s">
        <v>1072</v>
      </c>
      <c r="G115" s="58">
        <v>40</v>
      </c>
      <c r="H115" s="2">
        <v>1.622728953</v>
      </c>
      <c r="I115" s="59">
        <v>3.5760000000000001</v>
      </c>
      <c r="J115" s="60">
        <v>0.24</v>
      </c>
      <c r="K115" s="58">
        <v>-22.25</v>
      </c>
      <c r="L115" s="58">
        <v>4.65E-2</v>
      </c>
      <c r="M115" s="58">
        <v>4.1500000000000004</v>
      </c>
      <c r="N115">
        <f t="shared" si="2"/>
        <v>0.38945494872000003</v>
      </c>
      <c r="O115">
        <f t="shared" si="3"/>
        <v>7.5456896314499991E-2</v>
      </c>
    </row>
    <row r="116" spans="1:15" x14ac:dyDescent="0.2">
      <c r="A116" s="58">
        <v>20329</v>
      </c>
      <c r="B116" s="58" t="s">
        <v>49</v>
      </c>
      <c r="C116" t="s">
        <v>1066</v>
      </c>
      <c r="D116" s="58">
        <v>19</v>
      </c>
      <c r="E116" s="58" t="s">
        <v>1062</v>
      </c>
      <c r="F116" s="58" t="s">
        <v>1073</v>
      </c>
      <c r="G116" s="58">
        <v>50</v>
      </c>
      <c r="H116" s="2">
        <v>1.6122467460000001</v>
      </c>
      <c r="I116" s="59">
        <v>3.93</v>
      </c>
      <c r="J116" s="60">
        <v>0.16</v>
      </c>
      <c r="K116" s="58">
        <v>-23.3</v>
      </c>
      <c r="L116" s="58">
        <v>4.1000000000000002E-2</v>
      </c>
      <c r="M116" s="58">
        <v>3.6</v>
      </c>
      <c r="N116">
        <f t="shared" si="2"/>
        <v>0.25795947936000002</v>
      </c>
      <c r="O116">
        <f t="shared" si="3"/>
        <v>6.6102116586000001E-2</v>
      </c>
    </row>
    <row r="117" spans="1:15" x14ac:dyDescent="0.2">
      <c r="A117" s="58">
        <v>20329</v>
      </c>
      <c r="B117" s="58" t="s">
        <v>49</v>
      </c>
      <c r="C117" t="s">
        <v>1066</v>
      </c>
      <c r="D117" s="58">
        <v>19</v>
      </c>
      <c r="E117" s="58" t="s">
        <v>1062</v>
      </c>
      <c r="F117" s="58" t="s">
        <v>1074</v>
      </c>
      <c r="G117" s="58">
        <v>60</v>
      </c>
      <c r="H117" s="2">
        <v>1.6766728719999999</v>
      </c>
      <c r="I117" s="59">
        <v>1.6679999999999999</v>
      </c>
      <c r="J117" s="60">
        <v>0.11</v>
      </c>
      <c r="K117" s="58">
        <v>-23.9</v>
      </c>
      <c r="L117" s="58">
        <v>3.7999999999999999E-2</v>
      </c>
      <c r="M117" s="58">
        <v>3.5</v>
      </c>
      <c r="N117">
        <f t="shared" si="2"/>
        <v>0.18443401592000003</v>
      </c>
      <c r="O117">
        <f t="shared" si="3"/>
        <v>6.3713569136000001E-2</v>
      </c>
    </row>
    <row r="118" spans="1:15" x14ac:dyDescent="0.2">
      <c r="A118" s="58">
        <v>20329</v>
      </c>
      <c r="B118" s="58" t="s">
        <v>49</v>
      </c>
      <c r="C118" t="s">
        <v>1066</v>
      </c>
      <c r="D118" s="58">
        <v>19</v>
      </c>
      <c r="E118" s="58" t="s">
        <v>1062</v>
      </c>
      <c r="F118" s="58" t="s">
        <v>1075</v>
      </c>
      <c r="G118" s="58">
        <v>70</v>
      </c>
      <c r="H118" s="2">
        <v>1.521451101</v>
      </c>
      <c r="I118" s="59">
        <v>0.67100000000000004</v>
      </c>
      <c r="J118" s="60">
        <v>0.11</v>
      </c>
      <c r="K118" s="58">
        <v>-25.2</v>
      </c>
      <c r="L118" s="58">
        <v>3.1E-2</v>
      </c>
      <c r="M118" s="58">
        <v>2.8</v>
      </c>
      <c r="N118">
        <f t="shared" si="2"/>
        <v>0.16735962111000002</v>
      </c>
      <c r="O118">
        <f t="shared" si="3"/>
        <v>4.7164984131000003E-2</v>
      </c>
    </row>
    <row r="119" spans="1:15" x14ac:dyDescent="0.2">
      <c r="A119" s="58">
        <v>20329</v>
      </c>
      <c r="B119" s="58" t="s">
        <v>49</v>
      </c>
      <c r="C119" t="s">
        <v>1066</v>
      </c>
      <c r="D119" s="58">
        <v>19</v>
      </c>
      <c r="E119" s="58" t="s">
        <v>1062</v>
      </c>
      <c r="F119" s="58" t="s">
        <v>1076</v>
      </c>
      <c r="G119" s="58">
        <v>80</v>
      </c>
      <c r="H119" s="2">
        <v>1.4682841550000001</v>
      </c>
      <c r="I119" s="59">
        <v>0.28100000000000003</v>
      </c>
      <c r="J119" s="60">
        <v>0.11</v>
      </c>
      <c r="K119" s="58">
        <v>-26</v>
      </c>
      <c r="L119" s="58">
        <v>0.03</v>
      </c>
      <c r="M119" s="58">
        <v>2.1</v>
      </c>
      <c r="N119">
        <f t="shared" si="2"/>
        <v>0.16151125705000002</v>
      </c>
      <c r="O119">
        <f t="shared" si="3"/>
        <v>4.4048524650000004E-2</v>
      </c>
    </row>
    <row r="120" spans="1:15" x14ac:dyDescent="0.2">
      <c r="A120" s="58">
        <v>20329</v>
      </c>
      <c r="B120" s="58" t="s">
        <v>49</v>
      </c>
      <c r="C120" t="s">
        <v>1066</v>
      </c>
      <c r="D120" s="58">
        <v>19</v>
      </c>
      <c r="E120" s="58" t="s">
        <v>1062</v>
      </c>
      <c r="F120" s="58" t="s">
        <v>1077</v>
      </c>
      <c r="G120" s="58">
        <v>90</v>
      </c>
      <c r="H120" s="2">
        <v>1.627041242</v>
      </c>
      <c r="I120" s="59">
        <v>0.30599999999999999</v>
      </c>
      <c r="J120" s="60">
        <v>0.11</v>
      </c>
      <c r="K120" s="58">
        <v>-25.7</v>
      </c>
      <c r="L120" s="58">
        <v>2.9000000000000001E-2</v>
      </c>
      <c r="M120" s="58">
        <v>2</v>
      </c>
      <c r="N120">
        <f t="shared" si="2"/>
        <v>0.17897453662000004</v>
      </c>
      <c r="O120">
        <f t="shared" si="3"/>
        <v>4.7184196018000002E-2</v>
      </c>
    </row>
    <row r="121" spans="1:15" x14ac:dyDescent="0.2">
      <c r="A121" s="58">
        <v>20329</v>
      </c>
      <c r="B121" s="58" t="s">
        <v>49</v>
      </c>
      <c r="C121" t="s">
        <v>1066</v>
      </c>
      <c r="D121" s="58">
        <v>19</v>
      </c>
      <c r="E121" s="58" t="s">
        <v>1062</v>
      </c>
      <c r="F121" s="58" t="s">
        <v>1078</v>
      </c>
      <c r="G121" s="58">
        <v>100</v>
      </c>
      <c r="H121" s="2">
        <v>1.4977187709999999</v>
      </c>
      <c r="I121" s="59">
        <v>0.95399999999999996</v>
      </c>
      <c r="J121" s="60">
        <v>0.11</v>
      </c>
      <c r="K121" s="58">
        <v>-26.1</v>
      </c>
      <c r="L121" s="58">
        <v>2.9000000000000001E-2</v>
      </c>
      <c r="M121" s="58">
        <v>2</v>
      </c>
      <c r="N121">
        <f t="shared" si="2"/>
        <v>0.16474906481000001</v>
      </c>
      <c r="O121">
        <f t="shared" si="3"/>
        <v>4.3433844359000003E-2</v>
      </c>
    </row>
    <row r="122" spans="1:15" x14ac:dyDescent="0.2">
      <c r="A122" s="58">
        <v>20329</v>
      </c>
      <c r="B122" s="58" t="s">
        <v>49</v>
      </c>
      <c r="C122" t="s">
        <v>1066</v>
      </c>
      <c r="D122" s="58">
        <v>19</v>
      </c>
      <c r="E122" s="58" t="s">
        <v>1062</v>
      </c>
      <c r="F122" s="58" t="s">
        <v>1079</v>
      </c>
      <c r="G122" s="58">
        <v>110</v>
      </c>
      <c r="H122" s="2">
        <v>1.1205936240000001</v>
      </c>
      <c r="I122" s="59">
        <v>0.97699999999999998</v>
      </c>
      <c r="J122" s="60">
        <v>0.09</v>
      </c>
      <c r="K122" s="58">
        <v>-26</v>
      </c>
      <c r="L122" s="58">
        <v>2.9000000000000001E-2</v>
      </c>
      <c r="M122" s="58">
        <v>2.2000000000000002</v>
      </c>
      <c r="N122">
        <f t="shared" si="2"/>
        <v>0.10085342616000002</v>
      </c>
      <c r="O122">
        <f t="shared" si="3"/>
        <v>3.2497215096000003E-2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6A9-26B8-F140-8A9F-846538C03607}">
  <dimension ref="A1:I13"/>
  <sheetViews>
    <sheetView workbookViewId="0">
      <selection activeCell="W47" sqref="W47"/>
    </sheetView>
  </sheetViews>
  <sheetFormatPr baseColWidth="10" defaultRowHeight="15" x14ac:dyDescent="0.2"/>
  <cols>
    <col min="1" max="1" width="18.5" bestFit="1" customWidth="1"/>
  </cols>
  <sheetData>
    <row r="1" spans="1:9" x14ac:dyDescent="0.2">
      <c r="A1" s="61" t="s">
        <v>1080</v>
      </c>
      <c r="B1" s="61" t="s">
        <v>1057</v>
      </c>
      <c r="C1" s="61" t="s">
        <v>1064</v>
      </c>
      <c r="D1" s="61" t="s">
        <v>1068</v>
      </c>
      <c r="E1" s="61" t="s">
        <v>1058</v>
      </c>
      <c r="F1" t="s">
        <v>4</v>
      </c>
      <c r="G1" t="s">
        <v>5</v>
      </c>
    </row>
    <row r="2" spans="1:9" ht="16" x14ac:dyDescent="0.2">
      <c r="A2" s="77">
        <v>20329</v>
      </c>
      <c r="B2" s="77" t="s">
        <v>42</v>
      </c>
      <c r="C2" s="77" t="s">
        <v>1065</v>
      </c>
      <c r="D2" s="77">
        <v>18</v>
      </c>
      <c r="E2" s="77" t="s">
        <v>1063</v>
      </c>
      <c r="F2" s="8">
        <v>207153.81330000001</v>
      </c>
      <c r="G2" s="8">
        <v>364647.0932</v>
      </c>
      <c r="H2" s="8"/>
      <c r="I2" s="8"/>
    </row>
    <row r="3" spans="1:9" ht="16" x14ac:dyDescent="0.2">
      <c r="A3" s="77">
        <v>20329</v>
      </c>
      <c r="B3" s="77" t="s">
        <v>42</v>
      </c>
      <c r="C3" s="77" t="s">
        <v>1065</v>
      </c>
      <c r="D3" s="77">
        <v>19</v>
      </c>
      <c r="E3" s="77" t="s">
        <v>1063</v>
      </c>
      <c r="F3" s="8">
        <v>207084.47579999999</v>
      </c>
      <c r="G3" s="8">
        <v>364768.71610000002</v>
      </c>
      <c r="H3" s="8"/>
      <c r="I3" s="8"/>
    </row>
    <row r="4" spans="1:9" ht="16" x14ac:dyDescent="0.2">
      <c r="A4">
        <v>20329</v>
      </c>
      <c r="B4" t="s">
        <v>42</v>
      </c>
      <c r="C4" t="s">
        <v>1065</v>
      </c>
      <c r="D4">
        <v>18</v>
      </c>
      <c r="E4" t="s">
        <v>1061</v>
      </c>
      <c r="F4" s="8">
        <v>207224.80119999999</v>
      </c>
      <c r="G4" s="8">
        <v>364768.04080000002</v>
      </c>
      <c r="H4" s="8"/>
      <c r="I4" s="8"/>
    </row>
    <row r="5" spans="1:9" ht="16" x14ac:dyDescent="0.2">
      <c r="A5" s="77">
        <v>20329</v>
      </c>
      <c r="B5" s="77" t="s">
        <v>42</v>
      </c>
      <c r="C5" s="77" t="s">
        <v>1065</v>
      </c>
      <c r="D5" s="77">
        <v>19</v>
      </c>
      <c r="E5" s="77" t="s">
        <v>1061</v>
      </c>
      <c r="F5" s="8">
        <v>207224.80119999999</v>
      </c>
      <c r="G5" s="8">
        <v>364768.04080000002</v>
      </c>
      <c r="H5" s="8"/>
      <c r="I5" s="8"/>
    </row>
    <row r="6" spans="1:9" ht="16" x14ac:dyDescent="0.2">
      <c r="A6" s="77">
        <v>20329</v>
      </c>
      <c r="B6" s="77" t="s">
        <v>42</v>
      </c>
      <c r="C6" s="77" t="s">
        <v>1065</v>
      </c>
      <c r="D6" s="77">
        <v>18</v>
      </c>
      <c r="E6" s="77" t="s">
        <v>1062</v>
      </c>
      <c r="F6" s="8">
        <v>207153.81330000001</v>
      </c>
      <c r="G6" s="8">
        <v>364647.0932</v>
      </c>
      <c r="H6" s="8"/>
      <c r="I6" s="8"/>
    </row>
    <row r="7" spans="1:9" ht="16" x14ac:dyDescent="0.2">
      <c r="A7" s="77">
        <v>20329</v>
      </c>
      <c r="B7" s="77" t="s">
        <v>42</v>
      </c>
      <c r="C7" s="77" t="s">
        <v>1065</v>
      </c>
      <c r="D7" s="77">
        <v>19</v>
      </c>
      <c r="E7" s="77" t="s">
        <v>1062</v>
      </c>
      <c r="F7" s="8">
        <v>207153.81330000001</v>
      </c>
      <c r="G7" s="8">
        <v>364647.0932</v>
      </c>
      <c r="H7" s="8"/>
      <c r="I7" s="8"/>
    </row>
    <row r="8" spans="1:9" ht="16" x14ac:dyDescent="0.2">
      <c r="A8" s="77">
        <v>20327</v>
      </c>
      <c r="B8" s="77" t="s">
        <v>49</v>
      </c>
      <c r="C8" s="77" t="s">
        <v>1066</v>
      </c>
      <c r="D8" s="77">
        <v>18</v>
      </c>
      <c r="E8" s="77" t="s">
        <v>1063</v>
      </c>
      <c r="F8" s="8">
        <v>210265.02439999999</v>
      </c>
      <c r="G8" s="8">
        <v>370347.01779999997</v>
      </c>
      <c r="H8" s="8"/>
      <c r="I8" s="8"/>
    </row>
    <row r="9" spans="1:9" ht="16" x14ac:dyDescent="0.2">
      <c r="A9" s="77">
        <v>20327</v>
      </c>
      <c r="B9" s="77" t="s">
        <v>49</v>
      </c>
      <c r="C9" s="77" t="s">
        <v>1066</v>
      </c>
      <c r="D9" s="77">
        <v>19</v>
      </c>
      <c r="E9" s="77" t="s">
        <v>1063</v>
      </c>
      <c r="F9" s="8">
        <v>210265.02439999999</v>
      </c>
      <c r="G9" s="8">
        <v>370347.01779999997</v>
      </c>
      <c r="H9" s="8"/>
      <c r="I9" s="8"/>
    </row>
    <row r="10" spans="1:9" ht="16" x14ac:dyDescent="0.2">
      <c r="A10" s="77">
        <v>20329</v>
      </c>
      <c r="B10" s="77" t="s">
        <v>49</v>
      </c>
      <c r="C10" s="77" t="s">
        <v>1066</v>
      </c>
      <c r="D10" s="77">
        <v>18</v>
      </c>
      <c r="E10" s="77" t="s">
        <v>1061</v>
      </c>
      <c r="F10" s="8">
        <v>210334.73490000001</v>
      </c>
      <c r="G10" s="8">
        <v>370225.49969999999</v>
      </c>
      <c r="H10" s="8"/>
      <c r="I10" s="8"/>
    </row>
    <row r="11" spans="1:9" ht="16" x14ac:dyDescent="0.2">
      <c r="A11" s="77">
        <v>20329</v>
      </c>
      <c r="B11" s="77" t="s">
        <v>49</v>
      </c>
      <c r="C11" s="77" t="s">
        <v>1066</v>
      </c>
      <c r="D11" s="77">
        <v>19</v>
      </c>
      <c r="E11" s="77" t="s">
        <v>1061</v>
      </c>
      <c r="F11" s="8">
        <v>210334.73490000001</v>
      </c>
      <c r="G11" s="8">
        <v>370225.49969999999</v>
      </c>
      <c r="H11" s="8"/>
      <c r="I11" s="8"/>
    </row>
    <row r="12" spans="1:9" ht="16" x14ac:dyDescent="0.2">
      <c r="A12" s="77">
        <v>20329</v>
      </c>
      <c r="B12" s="77" t="s">
        <v>49</v>
      </c>
      <c r="C12" s="77" t="s">
        <v>1066</v>
      </c>
      <c r="D12" s="77">
        <v>18</v>
      </c>
      <c r="E12" s="77" t="s">
        <v>1062</v>
      </c>
      <c r="F12" s="8">
        <v>210194.4284</v>
      </c>
      <c r="G12" s="8">
        <v>370226.23100000003</v>
      </c>
      <c r="H12" s="8"/>
      <c r="I12" s="8"/>
    </row>
    <row r="13" spans="1:9" ht="16" x14ac:dyDescent="0.2">
      <c r="A13" s="77">
        <v>20329</v>
      </c>
      <c r="B13" s="77" t="s">
        <v>49</v>
      </c>
      <c r="C13" s="77" t="s">
        <v>1066</v>
      </c>
      <c r="D13" s="77">
        <v>19</v>
      </c>
      <c r="E13" s="77" t="s">
        <v>1062</v>
      </c>
      <c r="F13" s="8">
        <v>210194.4284</v>
      </c>
      <c r="G13" s="8">
        <v>370226.23100000003</v>
      </c>
      <c r="H13" s="8"/>
      <c r="I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2020-2015 Nitrogen Data</vt:lpstr>
      <vt:lpstr>2015 Nitrogen Values</vt:lpstr>
      <vt:lpstr>2016 Nitrogen Values</vt:lpstr>
      <vt:lpstr>2017 Nitrogen Values</vt:lpstr>
      <vt:lpstr>2018 Nitrogen Values</vt:lpstr>
      <vt:lpstr>2019 Nitrogen Values</vt:lpstr>
      <vt:lpstr>2020 Nitrogen Values</vt:lpstr>
      <vt:lpstr>3Jun2026_wrangling</vt:lpstr>
      <vt:lpstr>Sites</vt:lpstr>
      <vt:lpstr>ESF_2020dat</vt:lpstr>
      <vt:lpstr>ESF_2020_xy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Forbes</cp:lastModifiedBy>
  <cp:revision/>
  <dcterms:created xsi:type="dcterms:W3CDTF">2006-09-16T00:00:00Z</dcterms:created>
  <dcterms:modified xsi:type="dcterms:W3CDTF">2026-06-03T19:37:30Z</dcterms:modified>
  <cp:category/>
  <cp:contentStatus/>
</cp:coreProperties>
</file>